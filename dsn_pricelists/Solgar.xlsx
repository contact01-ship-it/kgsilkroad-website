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8_{727425E9-B74C-478B-8F86-BC86231E1A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Solgar)" sheetId="1" r:id="rId1"/>
    <sheet name="DSN GROUP (Solgar) (2)" sheetId="3" r:id="rId2"/>
  </sheets>
  <externalReferences>
    <externalReference r:id="rId3"/>
  </externalReferences>
  <definedNames>
    <definedName name="_xlnm._FilterDatabase" localSheetId="0" hidden="1">'DSN GROUP (Solgar)'!$A$2:$M$357</definedName>
    <definedName name="_xlnm._FilterDatabase" localSheetId="1" hidden="1">'DSN GROUP (Solgar) (2)'!$A$2:$O$441</definedName>
    <definedName name="Account_Group">#REF!</definedName>
    <definedName name="Account_Group10">#REF!</definedName>
    <definedName name="Account_Group11">#REF!</definedName>
    <definedName name="Account_Group12">#REF!</definedName>
    <definedName name="Account_Group13">#REF!</definedName>
    <definedName name="Account_Group14">#REF!</definedName>
    <definedName name="Account_Group15">#REF!</definedName>
    <definedName name="Account_Group2">#REF!</definedName>
    <definedName name="Account_Group20">#REF!</definedName>
    <definedName name="Account_Group21">#REF!</definedName>
    <definedName name="Account_Group2A">#REF!</definedName>
    <definedName name="Account_Group2B">#REF!</definedName>
    <definedName name="Account_Group2D">#REF!</definedName>
    <definedName name="Account_Group3">#REF!</definedName>
    <definedName name="Account_Group4">#REF!</definedName>
    <definedName name="Account_Group5">#REF!</definedName>
    <definedName name="Account_Group6">#REF!</definedName>
    <definedName name="Account_Group7">#REF!</definedName>
    <definedName name="Account_Group8">#REF!</definedName>
    <definedName name="Account_Group9">#REF!</definedName>
    <definedName name="Account_GroupA">#REF!</definedName>
    <definedName name="Account_GroupB">#REF!</definedName>
    <definedName name="Account_GroupC">#REF!</definedName>
    <definedName name="Account_GroupD">#REF!</definedName>
    <definedName name="Account_GroupX1">#REF!</definedName>
    <definedName name="Account_GroupX2">#REF!</definedName>
    <definedName name="LinkedArea61" localSheetId="0">#REF!</definedName>
    <definedName name="LinkedArea61" localSheetId="1">#REF!</definedName>
    <definedName name="LinkedArea61">#REF!</definedName>
    <definedName name="LinkedArea62" localSheetId="0">#REF!</definedName>
    <definedName name="LinkedArea62" localSheetId="1">#REF!</definedName>
    <definedName name="LinkedArea62">#REF!</definedName>
    <definedName name="LinkedArea68" localSheetId="0">#REF!</definedName>
    <definedName name="LinkedArea68" localSheetId="1">#REF!</definedName>
    <definedName name="LinkedArea68">#REF!</definedName>
    <definedName name="LinkedArea81" localSheetId="0">#REF!</definedName>
    <definedName name="LinkedArea81" localSheetId="1">#REF!</definedName>
    <definedName name="LinkedArea81">#REF!</definedName>
    <definedName name="LinkedArea87" localSheetId="0">#REF!</definedName>
    <definedName name="LinkedArea87" localSheetId="1">#REF!</definedName>
    <definedName name="LinkedArea87">#REF!</definedName>
    <definedName name="LinkedArea88" localSheetId="0">#REF!</definedName>
    <definedName name="LinkedArea88" localSheetId="1">#REF!</definedName>
    <definedName name="LinkedArea88">#REF!</definedName>
    <definedName name="LinkedArea89" localSheetId="0">#REF!</definedName>
    <definedName name="LinkedArea89" localSheetId="1">#REF!</definedName>
    <definedName name="LinkedArea89">#REF!</definedName>
    <definedName name="LinkedArea90" localSheetId="0">#REF!</definedName>
    <definedName name="LinkedArea90" localSheetId="1">#REF!</definedName>
    <definedName name="LinkedArea90">#REF!</definedName>
    <definedName name="PopCache_EGO_BULKLOAD_INTF_C_INTF_ATTR12" localSheetId="0" hidden="1">#REF!</definedName>
    <definedName name="PopCache_EGO_BULKLOAD_INTF_C_INTF_ATTR12" localSheetId="1" hidden="1">#REF!</definedName>
    <definedName name="PopCache_EGO_BULKLOAD_INTF_C_INTF_ATTR12" hidden="1">#REF!</definedName>
    <definedName name="PopCache_EGO_BULKLOAD_INTF_C_INTF_ATTR13" hidden="1">[1]PopCache!$D$1:$D$2</definedName>
    <definedName name="PopCache_EGO_BULKLOAD_INTF_C_INTF_ATTR15" hidden="1">[1]PopCache!$E$1:$E$2</definedName>
    <definedName name="PopCache_EGO_BULKLOAD_INTF_C_INTF_ATTR16" hidden="1">[1]PopCache!$F$1:$F$14</definedName>
    <definedName name="PopCache_EGO_BULKLOAD_INTF_C_INTF_ATTR19" hidden="1">[1]PopCache!$G$1:$G$38</definedName>
    <definedName name="PopCache_EGO_BULKLOAD_INTF_C_INTF_ATTR20" localSheetId="0" hidden="1">#REF!</definedName>
    <definedName name="PopCache_EGO_BULKLOAD_INTF_C_INTF_ATTR20" localSheetId="1" hidden="1">#REF!</definedName>
    <definedName name="PopCache_EGO_BULKLOAD_INTF_C_INTF_ATTR20" hidden="1">#REF!</definedName>
    <definedName name="PopCache_EGO_BULKLOAD_INTF_C_INTF_ATTR3" hidden="1">[1]PopCache!$A$1:$A$47</definedName>
    <definedName name="PopCache_EGO_BULKLOAD_INTF_C_INTF_ATTR5" hidden="1">[1]PopCache!$B$1:$B$4</definedName>
    <definedName name="PopCache_EGO_BULKLOAD_INTF_C_INTF_ATTR6" hidden="1">[1]PopCache!$C$1:$C$68</definedName>
    <definedName name="Select_Disc.">#REF!</definedName>
    <definedName name="Select_Disc.20">#REF!</definedName>
    <definedName name="Select_Disc.C">#REF!</definedName>
    <definedName name="Select_Group">#REF!</definedName>
    <definedName name="Select_Group10">#REF!</definedName>
    <definedName name="Select_Group11">#REF!</definedName>
    <definedName name="Select_Group12">#REF!</definedName>
    <definedName name="Select_Group2">#REF!</definedName>
    <definedName name="Select_Group20">#REF!</definedName>
    <definedName name="Select_Group21">#REF!</definedName>
    <definedName name="Select_Group2A">#REF!</definedName>
    <definedName name="Select_Group2B">#REF!</definedName>
    <definedName name="Select_Group2D">#REF!</definedName>
    <definedName name="Select_Group3">#REF!</definedName>
    <definedName name="Select_Group4">#REF!</definedName>
    <definedName name="Select_Group5">#REF!</definedName>
    <definedName name="Select_Group6">#REF!</definedName>
    <definedName name="Select_Group8">#REF!</definedName>
    <definedName name="Select_Group9">#REF!</definedName>
    <definedName name="Select_GroupA">#REF!</definedName>
    <definedName name="Select_GroupB">#REF!</definedName>
    <definedName name="Select_GroupC">#REF!</definedName>
    <definedName name="Select_GroupD">#REF!</definedName>
    <definedName name="SelectDisc">#REF!</definedName>
    <definedName name="SelectDisc20">#REF!</definedName>
    <definedName name="SelectDiscC">#REF!</definedName>
    <definedName name="SelectGroup">#REF!</definedName>
    <definedName name="SelectGroup20">#REF!</definedName>
    <definedName name="SelectGroupc">#REF!</definedName>
    <definedName name="_xlnm.Database" localSheetId="0">#REF!</definedName>
    <definedName name="_xlnm.Database" localSheetId="1">#REF!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4" i="1" l="1"/>
  <c r="N374" i="1"/>
  <c r="O374" i="1" s="1"/>
  <c r="P374" i="1"/>
  <c r="Q374" i="1"/>
  <c r="N305" i="3"/>
  <c r="O305" i="3"/>
  <c r="N306" i="3"/>
  <c r="O306" i="3"/>
  <c r="N454" i="3"/>
  <c r="O454" i="3"/>
  <c r="N307" i="3"/>
  <c r="O307" i="3"/>
  <c r="N88" i="3"/>
  <c r="O88" i="3"/>
  <c r="N455" i="3"/>
  <c r="O455" i="3"/>
  <c r="N456" i="3"/>
  <c r="O456" i="3"/>
  <c r="N308" i="3"/>
  <c r="O308" i="3"/>
  <c r="N457" i="3"/>
  <c r="O457" i="3"/>
  <c r="N309" i="3"/>
  <c r="O309" i="3"/>
  <c r="N310" i="3"/>
  <c r="O310" i="3"/>
  <c r="N311" i="3"/>
  <c r="O311" i="3"/>
  <c r="N312" i="3"/>
  <c r="O312" i="3"/>
  <c r="N179" i="3"/>
  <c r="O179" i="3"/>
  <c r="N180" i="3"/>
  <c r="O180" i="3"/>
  <c r="N181" i="3"/>
  <c r="O181" i="3"/>
  <c r="N458" i="3"/>
  <c r="O458" i="3"/>
  <c r="N459" i="3"/>
  <c r="O459" i="3"/>
  <c r="N460" i="3"/>
  <c r="O460" i="3"/>
  <c r="N461" i="3"/>
  <c r="O461" i="3"/>
  <c r="N462" i="3"/>
  <c r="O462" i="3"/>
  <c r="N463" i="3"/>
  <c r="O463" i="3"/>
  <c r="P2" i="3" s="1"/>
  <c r="R442" i="3"/>
  <c r="S442" i="3"/>
  <c r="T442" i="3"/>
  <c r="U442" i="3"/>
  <c r="R443" i="3"/>
  <c r="S443" i="3" s="1"/>
  <c r="T443" i="3"/>
  <c r="U443" i="3"/>
  <c r="R444" i="3"/>
  <c r="S444" i="3" s="1"/>
  <c r="T444" i="3"/>
  <c r="U444" i="3"/>
  <c r="R445" i="3"/>
  <c r="S445" i="3" s="1"/>
  <c r="T445" i="3"/>
  <c r="U445" i="3"/>
  <c r="R446" i="3"/>
  <c r="S446" i="3"/>
  <c r="T446" i="3"/>
  <c r="U446" i="3"/>
  <c r="R447" i="3"/>
  <c r="S447" i="3"/>
  <c r="T447" i="3"/>
  <c r="U447" i="3"/>
  <c r="R448" i="3"/>
  <c r="S448" i="3" s="1"/>
  <c r="T448" i="3"/>
  <c r="U448" i="3"/>
  <c r="R449" i="3"/>
  <c r="S449" i="3"/>
  <c r="T449" i="3"/>
  <c r="U449" i="3"/>
  <c r="R450" i="3"/>
  <c r="S450" i="3"/>
  <c r="T450" i="3"/>
  <c r="U450" i="3"/>
  <c r="R451" i="3"/>
  <c r="S451" i="3"/>
  <c r="T451" i="3"/>
  <c r="U451" i="3"/>
  <c r="R452" i="3"/>
  <c r="S452" i="3" s="1"/>
  <c r="T452" i="3"/>
  <c r="U452" i="3"/>
  <c r="R453" i="3"/>
  <c r="S453" i="3" s="1"/>
  <c r="T453" i="3"/>
  <c r="U453" i="3"/>
  <c r="R454" i="3"/>
  <c r="S454" i="3" s="1"/>
  <c r="T454" i="3"/>
  <c r="U454" i="3"/>
  <c r="R455" i="3"/>
  <c r="S455" i="3"/>
  <c r="T455" i="3"/>
  <c r="U455" i="3"/>
  <c r="R456" i="3"/>
  <c r="S456" i="3"/>
  <c r="T456" i="3"/>
  <c r="U456" i="3"/>
  <c r="R457" i="3"/>
  <c r="S457" i="3"/>
  <c r="T457" i="3"/>
  <c r="U457" i="3"/>
  <c r="R458" i="3"/>
  <c r="S458" i="3" s="1"/>
  <c r="T458" i="3"/>
  <c r="U458" i="3"/>
  <c r="R459" i="3"/>
  <c r="S459" i="3" s="1"/>
  <c r="T459" i="3"/>
  <c r="U459" i="3"/>
  <c r="R460" i="3"/>
  <c r="S460" i="3"/>
  <c r="T460" i="3"/>
  <c r="U460" i="3"/>
  <c r="R461" i="3"/>
  <c r="S461" i="3" s="1"/>
  <c r="T461" i="3"/>
  <c r="U461" i="3"/>
  <c r="R462" i="3"/>
  <c r="S462" i="3"/>
  <c r="T462" i="3"/>
  <c r="U462" i="3"/>
  <c r="R463" i="3"/>
  <c r="S463" i="3" s="1"/>
  <c r="T463" i="3"/>
  <c r="T2" i="3" s="1"/>
  <c r="U463" i="3"/>
  <c r="U2" i="3" s="1"/>
  <c r="K373" i="1"/>
  <c r="K291" i="1"/>
  <c r="K171" i="1"/>
  <c r="K172" i="1"/>
  <c r="K292" i="1"/>
  <c r="K173" i="1"/>
  <c r="K174" i="1"/>
  <c r="K293" i="1"/>
  <c r="K294" i="1"/>
  <c r="K84" i="1"/>
  <c r="K295" i="1"/>
  <c r="K85" i="1"/>
  <c r="K296" i="1"/>
  <c r="K175" i="1"/>
  <c r="K297" i="1"/>
  <c r="K375" i="1"/>
  <c r="K86" i="1"/>
  <c r="N358" i="1"/>
  <c r="O358" i="1" s="1"/>
  <c r="P358" i="1"/>
  <c r="Q358" i="1"/>
  <c r="N359" i="1"/>
  <c r="O359" i="1" s="1"/>
  <c r="P359" i="1"/>
  <c r="Q359" i="1"/>
  <c r="N360" i="1"/>
  <c r="O360" i="1" s="1"/>
  <c r="P360" i="1"/>
  <c r="Q360" i="1"/>
  <c r="N361" i="1"/>
  <c r="O361" i="1" s="1"/>
  <c r="P361" i="1"/>
  <c r="Q361" i="1"/>
  <c r="N362" i="1"/>
  <c r="O362" i="1" s="1"/>
  <c r="P362" i="1"/>
  <c r="Q362" i="1"/>
  <c r="N363" i="1"/>
  <c r="O363" i="1" s="1"/>
  <c r="P363" i="1"/>
  <c r="Q363" i="1"/>
  <c r="N364" i="1"/>
  <c r="O364" i="1" s="1"/>
  <c r="P364" i="1"/>
  <c r="Q364" i="1"/>
  <c r="N365" i="1"/>
  <c r="O365" i="1" s="1"/>
  <c r="P365" i="1"/>
  <c r="Q365" i="1"/>
  <c r="N366" i="1"/>
  <c r="O366" i="1" s="1"/>
  <c r="P366" i="1"/>
  <c r="Q366" i="1"/>
  <c r="N367" i="1"/>
  <c r="O367" i="1" s="1"/>
  <c r="P367" i="1"/>
  <c r="Q367" i="1"/>
  <c r="N368" i="1"/>
  <c r="O368" i="1" s="1"/>
  <c r="P368" i="1"/>
  <c r="Q368" i="1"/>
  <c r="N369" i="1"/>
  <c r="O369" i="1" s="1"/>
  <c r="P369" i="1"/>
  <c r="Q369" i="1"/>
  <c r="N370" i="1"/>
  <c r="O370" i="1" s="1"/>
  <c r="P370" i="1"/>
  <c r="Q370" i="1"/>
  <c r="N371" i="1"/>
  <c r="O371" i="1" s="1"/>
  <c r="P371" i="1"/>
  <c r="Q371" i="1"/>
  <c r="N372" i="1"/>
  <c r="O372" i="1" s="1"/>
  <c r="P372" i="1"/>
  <c r="Q372" i="1"/>
  <c r="N373" i="1"/>
  <c r="O373" i="1" s="1"/>
  <c r="P373" i="1"/>
  <c r="Q373" i="1"/>
  <c r="N375" i="1"/>
  <c r="O375" i="1" s="1"/>
  <c r="P375" i="1"/>
  <c r="Q375" i="1"/>
  <c r="F295" i="1"/>
  <c r="F294" i="1"/>
  <c r="S374" i="1" l="1"/>
  <c r="S375" i="1"/>
  <c r="W458" i="3"/>
  <c r="W460" i="3"/>
  <c r="W463" i="3"/>
  <c r="W1" i="3" s="1"/>
  <c r="W462" i="3"/>
  <c r="W457" i="3"/>
  <c r="W456" i="3"/>
  <c r="W455" i="3"/>
  <c r="W459" i="3"/>
  <c r="W461" i="3"/>
  <c r="W454" i="3"/>
  <c r="S373" i="1"/>
  <c r="O66" i="3"/>
  <c r="K88" i="1"/>
  <c r="K89" i="1"/>
  <c r="K90" i="1"/>
  <c r="K98" i="1"/>
  <c r="K304" i="1"/>
  <c r="K185" i="1"/>
  <c r="K8" i="1"/>
  <c r="K10" i="1"/>
  <c r="K11" i="1"/>
  <c r="K191" i="1"/>
  <c r="K15" i="1"/>
  <c r="K104" i="1"/>
  <c r="K105" i="1"/>
  <c r="K19" i="1"/>
  <c r="K199" i="1"/>
  <c r="K200" i="1"/>
  <c r="K27" i="1"/>
  <c r="K201" i="1"/>
  <c r="K117" i="1"/>
  <c r="K206" i="1"/>
  <c r="K311" i="1"/>
  <c r="K122" i="1"/>
  <c r="K210" i="1"/>
  <c r="K123" i="1"/>
  <c r="K38" i="1"/>
  <c r="K127" i="1"/>
  <c r="K215" i="1"/>
  <c r="K128" i="1"/>
  <c r="K42" i="1"/>
  <c r="K46" i="1"/>
  <c r="K47" i="1"/>
  <c r="K48" i="1"/>
  <c r="K49" i="1"/>
  <c r="K223" i="1"/>
  <c r="K135" i="1"/>
  <c r="K224" i="1"/>
  <c r="K228" i="1"/>
  <c r="K229" i="1"/>
  <c r="K139" i="1"/>
  <c r="K140" i="1"/>
  <c r="K312" i="1"/>
  <c r="K236" i="1"/>
  <c r="K65" i="1"/>
  <c r="K238" i="1"/>
  <c r="K239" i="1"/>
  <c r="K240" i="1"/>
  <c r="K245" i="1"/>
  <c r="K314" i="1"/>
  <c r="K247" i="1"/>
  <c r="K147" i="1"/>
  <c r="K248" i="1"/>
  <c r="K315" i="1"/>
  <c r="K150" i="1"/>
  <c r="K257" i="1"/>
  <c r="K67" i="1"/>
  <c r="K258" i="1"/>
  <c r="K153" i="1"/>
  <c r="K70" i="1"/>
  <c r="K160" i="1"/>
  <c r="K162" i="1"/>
  <c r="K264" i="1"/>
  <c r="K265" i="1"/>
  <c r="K266" i="1"/>
  <c r="K75" i="1"/>
  <c r="K270" i="1"/>
  <c r="K271" i="1"/>
  <c r="K320" i="1"/>
  <c r="K272" i="1"/>
  <c r="K81" i="1"/>
  <c r="K321" i="1"/>
  <c r="K326" i="1"/>
  <c r="K337" i="1"/>
  <c r="K338" i="1"/>
  <c r="K339" i="1"/>
  <c r="K340" i="1"/>
  <c r="K341" i="1"/>
  <c r="K342" i="1"/>
  <c r="K352" i="1"/>
  <c r="K353" i="1"/>
  <c r="K354" i="1"/>
  <c r="K355" i="1"/>
  <c r="K358" i="1"/>
  <c r="S358" i="1" s="1"/>
  <c r="K361" i="1"/>
  <c r="S361" i="1" s="1"/>
  <c r="K362" i="1"/>
  <c r="S362" i="1" s="1"/>
  <c r="K363" i="1"/>
  <c r="S363" i="1" s="1"/>
  <c r="K365" i="1"/>
  <c r="S365" i="1" s="1"/>
  <c r="K287" i="1"/>
  <c r="K289" i="1"/>
  <c r="K290" i="1"/>
  <c r="K370" i="1"/>
  <c r="S370" i="1" s="1"/>
  <c r="K369" i="1"/>
  <c r="S369" i="1" s="1"/>
  <c r="K368" i="1"/>
  <c r="S368" i="1" s="1"/>
  <c r="K288" i="1"/>
  <c r="K286" i="1"/>
  <c r="K364" i="1"/>
  <c r="S364" i="1" s="1"/>
  <c r="K283" i="1"/>
  <c r="K282" i="1"/>
  <c r="K281" i="1"/>
  <c r="K280" i="1"/>
  <c r="K359" i="1"/>
  <c r="S359" i="1" s="1"/>
  <c r="K350" i="1"/>
  <c r="K349" i="1"/>
  <c r="K348" i="1"/>
  <c r="K347" i="1"/>
  <c r="K346" i="1"/>
  <c r="K345" i="1"/>
  <c r="K344" i="1"/>
  <c r="K343" i="1"/>
  <c r="K334" i="1"/>
  <c r="K333" i="1"/>
  <c r="K332" i="1"/>
  <c r="K331" i="1"/>
  <c r="K325" i="1"/>
  <c r="K324" i="1"/>
  <c r="K322" i="1"/>
  <c r="K279" i="1"/>
  <c r="K278" i="1"/>
  <c r="K277" i="1"/>
  <c r="K169" i="1"/>
  <c r="K168" i="1"/>
  <c r="K276" i="1"/>
  <c r="K275" i="1"/>
  <c r="K274" i="1"/>
  <c r="K80" i="1"/>
  <c r="K319" i="1"/>
  <c r="K269" i="1"/>
  <c r="K268" i="1"/>
  <c r="K267" i="1"/>
  <c r="K165" i="1"/>
  <c r="K76" i="1"/>
  <c r="K164" i="1"/>
  <c r="K74" i="1"/>
  <c r="K163" i="1"/>
  <c r="K263" i="1"/>
  <c r="K262" i="1"/>
  <c r="K161" i="1"/>
  <c r="K71" i="1"/>
  <c r="K260" i="1"/>
  <c r="K159" i="1"/>
  <c r="K259" i="1"/>
  <c r="K156" i="1"/>
  <c r="K155" i="1"/>
  <c r="K154" i="1"/>
  <c r="K256" i="1"/>
  <c r="K255" i="1"/>
  <c r="K254" i="1"/>
  <c r="K253" i="1"/>
  <c r="K252" i="1"/>
  <c r="K251" i="1"/>
  <c r="K250" i="1"/>
  <c r="K316" i="1"/>
  <c r="K246" i="1"/>
  <c r="K144" i="1"/>
  <c r="K244" i="1"/>
  <c r="K143" i="1"/>
  <c r="K243" i="1"/>
  <c r="K142" i="1"/>
  <c r="K242" i="1"/>
  <c r="K241" i="1"/>
  <c r="K235" i="1"/>
  <c r="K234" i="1"/>
  <c r="K233" i="1"/>
  <c r="K63" i="1"/>
  <c r="K313" i="1"/>
  <c r="K232" i="1"/>
  <c r="K231" i="1"/>
  <c r="K230" i="1"/>
  <c r="K227" i="1"/>
  <c r="K226" i="1"/>
  <c r="K225" i="1"/>
  <c r="K62" i="1"/>
  <c r="K61" i="1"/>
  <c r="K60" i="1"/>
  <c r="K138" i="1"/>
  <c r="K59" i="1"/>
  <c r="K58" i="1"/>
  <c r="K57" i="1"/>
  <c r="K136" i="1"/>
  <c r="K134" i="1"/>
  <c r="K54" i="1"/>
  <c r="K53" i="1"/>
  <c r="K133" i="1"/>
  <c r="K52" i="1"/>
  <c r="K51" i="1"/>
  <c r="K50" i="1"/>
  <c r="K45" i="1"/>
  <c r="K219" i="1"/>
  <c r="K44" i="1"/>
  <c r="K43" i="1"/>
  <c r="K41" i="1"/>
  <c r="K131" i="1"/>
  <c r="K218" i="1"/>
  <c r="K130" i="1"/>
  <c r="K216" i="1"/>
  <c r="K129" i="1"/>
  <c r="K214" i="1"/>
  <c r="K126" i="1"/>
  <c r="K39" i="1"/>
  <c r="K125" i="1"/>
  <c r="K124" i="1"/>
  <c r="K37" i="1"/>
  <c r="K36" i="1"/>
  <c r="K212" i="1"/>
  <c r="K211" i="1"/>
  <c r="K209" i="1"/>
  <c r="K121" i="1"/>
  <c r="K35" i="1"/>
  <c r="K34" i="1"/>
  <c r="K208" i="1"/>
  <c r="K207" i="1"/>
  <c r="K33" i="1"/>
  <c r="K205" i="1"/>
  <c r="K120" i="1"/>
  <c r="K204" i="1"/>
  <c r="K31" i="1"/>
  <c r="K203" i="1"/>
  <c r="K202" i="1"/>
  <c r="K118" i="1"/>
  <c r="K310" i="1"/>
  <c r="K116" i="1"/>
  <c r="K29" i="1"/>
  <c r="K115" i="1"/>
  <c r="K114" i="1"/>
  <c r="K24" i="1"/>
  <c r="K23" i="1"/>
  <c r="K22" i="1"/>
  <c r="K21" i="1"/>
  <c r="K20" i="1"/>
  <c r="K198" i="1"/>
  <c r="K17" i="1"/>
  <c r="K16" i="1"/>
  <c r="K309" i="1"/>
  <c r="K308" i="1"/>
  <c r="K111" i="1"/>
  <c r="K110" i="1"/>
  <c r="K109" i="1"/>
  <c r="K108" i="1"/>
  <c r="K107" i="1"/>
  <c r="K106" i="1"/>
  <c r="K307" i="1"/>
  <c r="K306" i="1"/>
  <c r="K196" i="1"/>
  <c r="K14" i="1"/>
  <c r="K195" i="1"/>
  <c r="K194" i="1"/>
  <c r="K13" i="1"/>
  <c r="K193" i="1"/>
  <c r="K192" i="1"/>
  <c r="K102" i="1"/>
  <c r="K101" i="1"/>
  <c r="K7" i="1"/>
  <c r="K6" i="1"/>
  <c r="K190" i="1"/>
  <c r="K189" i="1"/>
  <c r="K188" i="1"/>
  <c r="K100" i="1"/>
  <c r="K5" i="1"/>
  <c r="K187" i="1"/>
  <c r="K4" i="1"/>
  <c r="K184" i="1"/>
  <c r="K183" i="1"/>
  <c r="K94" i="1"/>
  <c r="K182" i="1"/>
  <c r="K181" i="1"/>
  <c r="K3" i="1"/>
  <c r="K93" i="1"/>
  <c r="K91" i="1"/>
  <c r="K180" i="1"/>
  <c r="K87" i="1"/>
  <c r="K178" i="1"/>
  <c r="K177" i="1"/>
  <c r="K176" i="1"/>
  <c r="K303" i="1"/>
  <c r="K302" i="1"/>
  <c r="K301" i="1"/>
  <c r="K300" i="1"/>
  <c r="K299" i="1"/>
  <c r="K372" i="1"/>
  <c r="S372" i="1" s="1"/>
  <c r="K371" i="1"/>
  <c r="S371" i="1" s="1"/>
  <c r="K318" i="1"/>
  <c r="K158" i="1"/>
  <c r="K69" i="1"/>
  <c r="K68" i="1"/>
  <c r="K149" i="1"/>
  <c r="K148" i="1"/>
  <c r="K146" i="1"/>
  <c r="K141" i="1"/>
  <c r="K237" i="1"/>
  <c r="K221" i="1"/>
  <c r="K26" i="1"/>
  <c r="K25" i="1"/>
  <c r="K95" i="1"/>
  <c r="K298" i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8" i="3"/>
  <c r="S88" i="3" s="1"/>
  <c r="R89" i="3"/>
  <c r="S89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S99" i="3" s="1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8" i="3"/>
  <c r="S138" i="3" s="1"/>
  <c r="R139" i="3"/>
  <c r="S139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146" i="3"/>
  <c r="S146" i="3" s="1"/>
  <c r="R147" i="3"/>
  <c r="S147" i="3" s="1"/>
  <c r="R148" i="3"/>
  <c r="S148" i="3" s="1"/>
  <c r="R149" i="3"/>
  <c r="S149" i="3" s="1"/>
  <c r="R150" i="3"/>
  <c r="S150" i="3" s="1"/>
  <c r="R151" i="3"/>
  <c r="S151" i="3" s="1"/>
  <c r="R152" i="3"/>
  <c r="S152" i="3" s="1"/>
  <c r="R153" i="3"/>
  <c r="S153" i="3" s="1"/>
  <c r="R154" i="3"/>
  <c r="S154" i="3" s="1"/>
  <c r="R155" i="3"/>
  <c r="S155" i="3" s="1"/>
  <c r="R156" i="3"/>
  <c r="S156" i="3" s="1"/>
  <c r="R157" i="3"/>
  <c r="S157" i="3" s="1"/>
  <c r="R158" i="3"/>
  <c r="S158" i="3" s="1"/>
  <c r="R159" i="3"/>
  <c r="S159" i="3" s="1"/>
  <c r="R160" i="3"/>
  <c r="S160" i="3" s="1"/>
  <c r="R161" i="3"/>
  <c r="S161" i="3" s="1"/>
  <c r="R162" i="3"/>
  <c r="S162" i="3" s="1"/>
  <c r="R163" i="3"/>
  <c r="S163" i="3" s="1"/>
  <c r="R164" i="3"/>
  <c r="S164" i="3" s="1"/>
  <c r="R165" i="3"/>
  <c r="S165" i="3" s="1"/>
  <c r="R166" i="3"/>
  <c r="S166" i="3" s="1"/>
  <c r="R167" i="3"/>
  <c r="S167" i="3" s="1"/>
  <c r="R168" i="3"/>
  <c r="S168" i="3" s="1"/>
  <c r="R169" i="3"/>
  <c r="S169" i="3" s="1"/>
  <c r="R170" i="3"/>
  <c r="S170" i="3" s="1"/>
  <c r="R171" i="3"/>
  <c r="S171" i="3" s="1"/>
  <c r="R172" i="3"/>
  <c r="S172" i="3" s="1"/>
  <c r="R173" i="3"/>
  <c r="S173" i="3" s="1"/>
  <c r="R174" i="3"/>
  <c r="S174" i="3" s="1"/>
  <c r="R175" i="3"/>
  <c r="S175" i="3" s="1"/>
  <c r="R176" i="3"/>
  <c r="S176" i="3" s="1"/>
  <c r="R177" i="3"/>
  <c r="S177" i="3" s="1"/>
  <c r="R178" i="3"/>
  <c r="S178" i="3" s="1"/>
  <c r="R179" i="3"/>
  <c r="S179" i="3" s="1"/>
  <c r="R180" i="3"/>
  <c r="S180" i="3" s="1"/>
  <c r="R181" i="3"/>
  <c r="S181" i="3" s="1"/>
  <c r="R182" i="3"/>
  <c r="S182" i="3" s="1"/>
  <c r="R183" i="3"/>
  <c r="S183" i="3" s="1"/>
  <c r="R184" i="3"/>
  <c r="S184" i="3" s="1"/>
  <c r="R185" i="3"/>
  <c r="S185" i="3" s="1"/>
  <c r="R186" i="3"/>
  <c r="S186" i="3" s="1"/>
  <c r="R187" i="3"/>
  <c r="S187" i="3" s="1"/>
  <c r="R188" i="3"/>
  <c r="S188" i="3" s="1"/>
  <c r="R189" i="3"/>
  <c r="S189" i="3" s="1"/>
  <c r="R190" i="3"/>
  <c r="S190" i="3" s="1"/>
  <c r="R191" i="3"/>
  <c r="S191" i="3" s="1"/>
  <c r="R192" i="3"/>
  <c r="S192" i="3" s="1"/>
  <c r="R193" i="3"/>
  <c r="S193" i="3" s="1"/>
  <c r="R194" i="3"/>
  <c r="S194" i="3" s="1"/>
  <c r="R195" i="3"/>
  <c r="S195" i="3" s="1"/>
  <c r="R196" i="3"/>
  <c r="S196" i="3" s="1"/>
  <c r="R197" i="3"/>
  <c r="S197" i="3" s="1"/>
  <c r="R198" i="3"/>
  <c r="S198" i="3" s="1"/>
  <c r="R199" i="3"/>
  <c r="S199" i="3" s="1"/>
  <c r="R200" i="3"/>
  <c r="S200" i="3" s="1"/>
  <c r="R201" i="3"/>
  <c r="S201" i="3" s="1"/>
  <c r="R202" i="3"/>
  <c r="S202" i="3" s="1"/>
  <c r="R203" i="3"/>
  <c r="S203" i="3" s="1"/>
  <c r="R204" i="3"/>
  <c r="S204" i="3" s="1"/>
  <c r="R205" i="3"/>
  <c r="S205" i="3" s="1"/>
  <c r="R206" i="3"/>
  <c r="S206" i="3" s="1"/>
  <c r="R207" i="3"/>
  <c r="S207" i="3" s="1"/>
  <c r="R208" i="3"/>
  <c r="S208" i="3" s="1"/>
  <c r="R209" i="3"/>
  <c r="S209" i="3" s="1"/>
  <c r="R210" i="3"/>
  <c r="S210" i="3" s="1"/>
  <c r="R211" i="3"/>
  <c r="S211" i="3" s="1"/>
  <c r="R212" i="3"/>
  <c r="S212" i="3" s="1"/>
  <c r="R213" i="3"/>
  <c r="S213" i="3" s="1"/>
  <c r="R214" i="3"/>
  <c r="S214" i="3" s="1"/>
  <c r="R215" i="3"/>
  <c r="S215" i="3" s="1"/>
  <c r="R216" i="3"/>
  <c r="S216" i="3" s="1"/>
  <c r="R217" i="3"/>
  <c r="S217" i="3" s="1"/>
  <c r="R218" i="3"/>
  <c r="S218" i="3" s="1"/>
  <c r="R219" i="3"/>
  <c r="S219" i="3" s="1"/>
  <c r="R220" i="3"/>
  <c r="S220" i="3" s="1"/>
  <c r="R221" i="3"/>
  <c r="S221" i="3" s="1"/>
  <c r="R222" i="3"/>
  <c r="S222" i="3" s="1"/>
  <c r="R223" i="3"/>
  <c r="S223" i="3" s="1"/>
  <c r="R224" i="3"/>
  <c r="S224" i="3" s="1"/>
  <c r="R225" i="3"/>
  <c r="S225" i="3" s="1"/>
  <c r="R226" i="3"/>
  <c r="S226" i="3" s="1"/>
  <c r="R227" i="3"/>
  <c r="S227" i="3" s="1"/>
  <c r="R228" i="3"/>
  <c r="S228" i="3" s="1"/>
  <c r="R229" i="3"/>
  <c r="S229" i="3" s="1"/>
  <c r="R230" i="3"/>
  <c r="S230" i="3" s="1"/>
  <c r="R231" i="3"/>
  <c r="S231" i="3" s="1"/>
  <c r="R232" i="3"/>
  <c r="S232" i="3" s="1"/>
  <c r="R233" i="3"/>
  <c r="S233" i="3" s="1"/>
  <c r="R234" i="3"/>
  <c r="S234" i="3" s="1"/>
  <c r="R235" i="3"/>
  <c r="S235" i="3" s="1"/>
  <c r="R236" i="3"/>
  <c r="S236" i="3" s="1"/>
  <c r="R237" i="3"/>
  <c r="S237" i="3" s="1"/>
  <c r="R238" i="3"/>
  <c r="S238" i="3" s="1"/>
  <c r="R239" i="3"/>
  <c r="S239" i="3" s="1"/>
  <c r="R240" i="3"/>
  <c r="S240" i="3" s="1"/>
  <c r="R241" i="3"/>
  <c r="S241" i="3" s="1"/>
  <c r="R242" i="3"/>
  <c r="S242" i="3" s="1"/>
  <c r="R243" i="3"/>
  <c r="S243" i="3" s="1"/>
  <c r="R244" i="3"/>
  <c r="S244" i="3" s="1"/>
  <c r="R245" i="3"/>
  <c r="S245" i="3" s="1"/>
  <c r="R246" i="3"/>
  <c r="S246" i="3" s="1"/>
  <c r="R247" i="3"/>
  <c r="S247" i="3" s="1"/>
  <c r="R248" i="3"/>
  <c r="S248" i="3" s="1"/>
  <c r="R249" i="3"/>
  <c r="S249" i="3" s="1"/>
  <c r="R250" i="3"/>
  <c r="S250" i="3" s="1"/>
  <c r="R251" i="3"/>
  <c r="S251" i="3" s="1"/>
  <c r="R252" i="3"/>
  <c r="S252" i="3" s="1"/>
  <c r="R253" i="3"/>
  <c r="S253" i="3" s="1"/>
  <c r="R254" i="3"/>
  <c r="S254" i="3" s="1"/>
  <c r="R255" i="3"/>
  <c r="S255" i="3" s="1"/>
  <c r="R256" i="3"/>
  <c r="S256" i="3" s="1"/>
  <c r="R257" i="3"/>
  <c r="S257" i="3" s="1"/>
  <c r="R258" i="3"/>
  <c r="S258" i="3" s="1"/>
  <c r="R259" i="3"/>
  <c r="S259" i="3" s="1"/>
  <c r="R260" i="3"/>
  <c r="S260" i="3" s="1"/>
  <c r="R261" i="3"/>
  <c r="S261" i="3" s="1"/>
  <c r="R262" i="3"/>
  <c r="S262" i="3" s="1"/>
  <c r="R263" i="3"/>
  <c r="S263" i="3" s="1"/>
  <c r="R264" i="3"/>
  <c r="S264" i="3" s="1"/>
  <c r="R265" i="3"/>
  <c r="S265" i="3" s="1"/>
  <c r="R266" i="3"/>
  <c r="S266" i="3" s="1"/>
  <c r="R267" i="3"/>
  <c r="S267" i="3" s="1"/>
  <c r="R268" i="3"/>
  <c r="S268" i="3" s="1"/>
  <c r="R269" i="3"/>
  <c r="S269" i="3" s="1"/>
  <c r="R270" i="3"/>
  <c r="S270" i="3" s="1"/>
  <c r="R271" i="3"/>
  <c r="S271" i="3" s="1"/>
  <c r="R272" i="3"/>
  <c r="S272" i="3" s="1"/>
  <c r="R273" i="3"/>
  <c r="S273" i="3" s="1"/>
  <c r="R274" i="3"/>
  <c r="S274" i="3" s="1"/>
  <c r="R275" i="3"/>
  <c r="S275" i="3" s="1"/>
  <c r="R276" i="3"/>
  <c r="S276" i="3" s="1"/>
  <c r="R277" i="3"/>
  <c r="S277" i="3" s="1"/>
  <c r="R278" i="3"/>
  <c r="S278" i="3" s="1"/>
  <c r="R279" i="3"/>
  <c r="S279" i="3" s="1"/>
  <c r="R280" i="3"/>
  <c r="S280" i="3" s="1"/>
  <c r="R281" i="3"/>
  <c r="S281" i="3" s="1"/>
  <c r="R282" i="3"/>
  <c r="S282" i="3" s="1"/>
  <c r="R283" i="3"/>
  <c r="S283" i="3" s="1"/>
  <c r="R284" i="3"/>
  <c r="S284" i="3" s="1"/>
  <c r="R285" i="3"/>
  <c r="S285" i="3" s="1"/>
  <c r="R286" i="3"/>
  <c r="S286" i="3" s="1"/>
  <c r="R287" i="3"/>
  <c r="S287" i="3" s="1"/>
  <c r="R288" i="3"/>
  <c r="S288" i="3" s="1"/>
  <c r="R289" i="3"/>
  <c r="S289" i="3" s="1"/>
  <c r="R290" i="3"/>
  <c r="S290" i="3" s="1"/>
  <c r="R291" i="3"/>
  <c r="S291" i="3" s="1"/>
  <c r="R292" i="3"/>
  <c r="S292" i="3" s="1"/>
  <c r="R293" i="3"/>
  <c r="S293" i="3" s="1"/>
  <c r="R294" i="3"/>
  <c r="S294" i="3" s="1"/>
  <c r="R295" i="3"/>
  <c r="S295" i="3" s="1"/>
  <c r="R296" i="3"/>
  <c r="S296" i="3" s="1"/>
  <c r="R297" i="3"/>
  <c r="S297" i="3" s="1"/>
  <c r="R298" i="3"/>
  <c r="S298" i="3" s="1"/>
  <c r="R299" i="3"/>
  <c r="S299" i="3" s="1"/>
  <c r="R300" i="3"/>
  <c r="S300" i="3" s="1"/>
  <c r="R301" i="3"/>
  <c r="S301" i="3" s="1"/>
  <c r="R302" i="3"/>
  <c r="S302" i="3" s="1"/>
  <c r="R303" i="3"/>
  <c r="S303" i="3" s="1"/>
  <c r="R304" i="3"/>
  <c r="S304" i="3" s="1"/>
  <c r="R305" i="3"/>
  <c r="S305" i="3" s="1"/>
  <c r="R306" i="3"/>
  <c r="S306" i="3" s="1"/>
  <c r="R307" i="3"/>
  <c r="S307" i="3" s="1"/>
  <c r="R308" i="3"/>
  <c r="S308" i="3" s="1"/>
  <c r="R309" i="3"/>
  <c r="S309" i="3" s="1"/>
  <c r="R310" i="3"/>
  <c r="S310" i="3" s="1"/>
  <c r="R311" i="3"/>
  <c r="S311" i="3" s="1"/>
  <c r="R312" i="3"/>
  <c r="S312" i="3" s="1"/>
  <c r="R313" i="3"/>
  <c r="S313" i="3" s="1"/>
  <c r="R314" i="3"/>
  <c r="S314" i="3" s="1"/>
  <c r="R315" i="3"/>
  <c r="S315" i="3" s="1"/>
  <c r="R316" i="3"/>
  <c r="S316" i="3" s="1"/>
  <c r="R317" i="3"/>
  <c r="S317" i="3" s="1"/>
  <c r="R318" i="3"/>
  <c r="S318" i="3" s="1"/>
  <c r="R319" i="3"/>
  <c r="S319" i="3" s="1"/>
  <c r="R320" i="3"/>
  <c r="S320" i="3" s="1"/>
  <c r="R321" i="3"/>
  <c r="S321" i="3" s="1"/>
  <c r="R322" i="3"/>
  <c r="S322" i="3" s="1"/>
  <c r="R323" i="3"/>
  <c r="S323" i="3" s="1"/>
  <c r="R324" i="3"/>
  <c r="S324" i="3" s="1"/>
  <c r="R325" i="3"/>
  <c r="S325" i="3" s="1"/>
  <c r="R326" i="3"/>
  <c r="S326" i="3" s="1"/>
  <c r="R327" i="3"/>
  <c r="S327" i="3" s="1"/>
  <c r="R328" i="3"/>
  <c r="S328" i="3" s="1"/>
  <c r="R329" i="3"/>
  <c r="S329" i="3" s="1"/>
  <c r="R330" i="3"/>
  <c r="S330" i="3" s="1"/>
  <c r="R331" i="3"/>
  <c r="S331" i="3" s="1"/>
  <c r="R332" i="3"/>
  <c r="S332" i="3" s="1"/>
  <c r="R333" i="3"/>
  <c r="S333" i="3" s="1"/>
  <c r="R334" i="3"/>
  <c r="S334" i="3" s="1"/>
  <c r="R335" i="3"/>
  <c r="S335" i="3" s="1"/>
  <c r="R336" i="3"/>
  <c r="S336" i="3" s="1"/>
  <c r="R337" i="3"/>
  <c r="S337" i="3" s="1"/>
  <c r="R338" i="3"/>
  <c r="S338" i="3" s="1"/>
  <c r="R339" i="3"/>
  <c r="S339" i="3" s="1"/>
  <c r="R340" i="3"/>
  <c r="S340" i="3" s="1"/>
  <c r="R341" i="3"/>
  <c r="S341" i="3" s="1"/>
  <c r="R342" i="3"/>
  <c r="S342" i="3" s="1"/>
  <c r="R343" i="3"/>
  <c r="S343" i="3" s="1"/>
  <c r="R344" i="3"/>
  <c r="S344" i="3" s="1"/>
  <c r="R345" i="3"/>
  <c r="S345" i="3" s="1"/>
  <c r="R346" i="3"/>
  <c r="S346" i="3" s="1"/>
  <c r="R347" i="3"/>
  <c r="S347" i="3" s="1"/>
  <c r="R348" i="3"/>
  <c r="S348" i="3" s="1"/>
  <c r="R349" i="3"/>
  <c r="S349" i="3" s="1"/>
  <c r="R350" i="3"/>
  <c r="S350" i="3" s="1"/>
  <c r="R351" i="3"/>
  <c r="S351" i="3" s="1"/>
  <c r="R352" i="3"/>
  <c r="S352" i="3" s="1"/>
  <c r="R353" i="3"/>
  <c r="S353" i="3" s="1"/>
  <c r="R354" i="3"/>
  <c r="S354" i="3" s="1"/>
  <c r="R355" i="3"/>
  <c r="S355" i="3" s="1"/>
  <c r="R356" i="3"/>
  <c r="S356" i="3" s="1"/>
  <c r="R357" i="3"/>
  <c r="S357" i="3" s="1"/>
  <c r="R358" i="3"/>
  <c r="S358" i="3" s="1"/>
  <c r="R359" i="3"/>
  <c r="S359" i="3" s="1"/>
  <c r="R360" i="3"/>
  <c r="S360" i="3" s="1"/>
  <c r="R361" i="3"/>
  <c r="S361" i="3" s="1"/>
  <c r="R362" i="3"/>
  <c r="S362" i="3" s="1"/>
  <c r="R363" i="3"/>
  <c r="S363" i="3" s="1"/>
  <c r="R364" i="3"/>
  <c r="S364" i="3" s="1"/>
  <c r="R365" i="3"/>
  <c r="S365" i="3" s="1"/>
  <c r="R366" i="3"/>
  <c r="S366" i="3" s="1"/>
  <c r="R367" i="3"/>
  <c r="S367" i="3" s="1"/>
  <c r="R368" i="3"/>
  <c r="S368" i="3" s="1"/>
  <c r="R369" i="3"/>
  <c r="S369" i="3" s="1"/>
  <c r="R370" i="3"/>
  <c r="S370" i="3" s="1"/>
  <c r="R371" i="3"/>
  <c r="S371" i="3" s="1"/>
  <c r="R372" i="3"/>
  <c r="S372" i="3" s="1"/>
  <c r="R373" i="3"/>
  <c r="S373" i="3" s="1"/>
  <c r="R374" i="3"/>
  <c r="S374" i="3" s="1"/>
  <c r="R375" i="3"/>
  <c r="S375" i="3" s="1"/>
  <c r="R376" i="3"/>
  <c r="S376" i="3" s="1"/>
  <c r="R377" i="3"/>
  <c r="S377" i="3" s="1"/>
  <c r="R378" i="3"/>
  <c r="S378" i="3" s="1"/>
  <c r="R379" i="3"/>
  <c r="S379" i="3" s="1"/>
  <c r="R380" i="3"/>
  <c r="S380" i="3" s="1"/>
  <c r="R381" i="3"/>
  <c r="S381" i="3" s="1"/>
  <c r="R382" i="3"/>
  <c r="S382" i="3" s="1"/>
  <c r="R383" i="3"/>
  <c r="S383" i="3" s="1"/>
  <c r="R384" i="3"/>
  <c r="S384" i="3" s="1"/>
  <c r="R385" i="3"/>
  <c r="S385" i="3" s="1"/>
  <c r="R386" i="3"/>
  <c r="S386" i="3" s="1"/>
  <c r="R387" i="3"/>
  <c r="S387" i="3" s="1"/>
  <c r="R388" i="3"/>
  <c r="S388" i="3" s="1"/>
  <c r="R389" i="3"/>
  <c r="S389" i="3" s="1"/>
  <c r="R390" i="3"/>
  <c r="S390" i="3" s="1"/>
  <c r="R391" i="3"/>
  <c r="S391" i="3" s="1"/>
  <c r="R392" i="3"/>
  <c r="S392" i="3" s="1"/>
  <c r="R393" i="3"/>
  <c r="S393" i="3" s="1"/>
  <c r="R394" i="3"/>
  <c r="S394" i="3" s="1"/>
  <c r="R395" i="3"/>
  <c r="S395" i="3" s="1"/>
  <c r="R396" i="3"/>
  <c r="S396" i="3" s="1"/>
  <c r="R397" i="3"/>
  <c r="S397" i="3" s="1"/>
  <c r="R398" i="3"/>
  <c r="S398" i="3" s="1"/>
  <c r="R399" i="3"/>
  <c r="S399" i="3" s="1"/>
  <c r="R400" i="3"/>
  <c r="S400" i="3" s="1"/>
  <c r="R401" i="3"/>
  <c r="S401" i="3" s="1"/>
  <c r="R402" i="3"/>
  <c r="S402" i="3" s="1"/>
  <c r="R403" i="3"/>
  <c r="S403" i="3" s="1"/>
  <c r="R404" i="3"/>
  <c r="S404" i="3" s="1"/>
  <c r="R405" i="3"/>
  <c r="S405" i="3" s="1"/>
  <c r="R406" i="3"/>
  <c r="S406" i="3" s="1"/>
  <c r="R407" i="3"/>
  <c r="S407" i="3" s="1"/>
  <c r="R408" i="3"/>
  <c r="S408" i="3" s="1"/>
  <c r="R409" i="3"/>
  <c r="S409" i="3" s="1"/>
  <c r="R410" i="3"/>
  <c r="S410" i="3" s="1"/>
  <c r="R411" i="3"/>
  <c r="S411" i="3" s="1"/>
  <c r="R412" i="3"/>
  <c r="S412" i="3" s="1"/>
  <c r="R413" i="3"/>
  <c r="S413" i="3" s="1"/>
  <c r="R414" i="3"/>
  <c r="S414" i="3" s="1"/>
  <c r="R415" i="3"/>
  <c r="S415" i="3" s="1"/>
  <c r="R416" i="3"/>
  <c r="S416" i="3" s="1"/>
  <c r="R417" i="3"/>
  <c r="S417" i="3" s="1"/>
  <c r="R418" i="3"/>
  <c r="S418" i="3" s="1"/>
  <c r="R419" i="3"/>
  <c r="S419" i="3" s="1"/>
  <c r="R420" i="3"/>
  <c r="S420" i="3" s="1"/>
  <c r="R421" i="3"/>
  <c r="S421" i="3" s="1"/>
  <c r="R422" i="3"/>
  <c r="S422" i="3" s="1"/>
  <c r="R423" i="3"/>
  <c r="S423" i="3" s="1"/>
  <c r="R424" i="3"/>
  <c r="S424" i="3" s="1"/>
  <c r="R425" i="3"/>
  <c r="S425" i="3" s="1"/>
  <c r="R426" i="3"/>
  <c r="S426" i="3" s="1"/>
  <c r="R427" i="3"/>
  <c r="S427" i="3" s="1"/>
  <c r="R428" i="3"/>
  <c r="S428" i="3" s="1"/>
  <c r="R429" i="3"/>
  <c r="S429" i="3" s="1"/>
  <c r="R430" i="3"/>
  <c r="S430" i="3" s="1"/>
  <c r="R431" i="3"/>
  <c r="S431" i="3" s="1"/>
  <c r="R432" i="3"/>
  <c r="S432" i="3" s="1"/>
  <c r="R433" i="3"/>
  <c r="S433" i="3" s="1"/>
  <c r="R434" i="3"/>
  <c r="S434" i="3" s="1"/>
  <c r="R435" i="3"/>
  <c r="S435" i="3" s="1"/>
  <c r="R436" i="3"/>
  <c r="S436" i="3" s="1"/>
  <c r="R437" i="3"/>
  <c r="S437" i="3" s="1"/>
  <c r="R438" i="3"/>
  <c r="S438" i="3" s="1"/>
  <c r="R439" i="3"/>
  <c r="S439" i="3" s="1"/>
  <c r="R440" i="3"/>
  <c r="S440" i="3" s="1"/>
  <c r="R441" i="3"/>
  <c r="S441" i="3" s="1"/>
  <c r="T4" i="3"/>
  <c r="T5" i="3"/>
  <c r="U5" i="3" s="1"/>
  <c r="T6" i="3"/>
  <c r="T7" i="3"/>
  <c r="U7" i="3" s="1"/>
  <c r="T8" i="3"/>
  <c r="U8" i="3" s="1"/>
  <c r="T9" i="3"/>
  <c r="U9" i="3" s="1"/>
  <c r="T10" i="3"/>
  <c r="U10" i="3" s="1"/>
  <c r="T11" i="3"/>
  <c r="T12" i="3"/>
  <c r="T13" i="3"/>
  <c r="U13" i="3" s="1"/>
  <c r="T14" i="3"/>
  <c r="T15" i="3"/>
  <c r="U15" i="3" s="1"/>
  <c r="T16" i="3"/>
  <c r="U16" i="3" s="1"/>
  <c r="T17" i="3"/>
  <c r="U17" i="3" s="1"/>
  <c r="T18" i="3"/>
  <c r="U18" i="3" s="1"/>
  <c r="T19" i="3"/>
  <c r="T20" i="3"/>
  <c r="T21" i="3"/>
  <c r="U21" i="3" s="1"/>
  <c r="T22" i="3"/>
  <c r="T23" i="3"/>
  <c r="T24" i="3"/>
  <c r="U24" i="3" s="1"/>
  <c r="T25" i="3"/>
  <c r="U25" i="3" s="1"/>
  <c r="T26" i="3"/>
  <c r="T27" i="3"/>
  <c r="U27" i="3" s="1"/>
  <c r="T28" i="3"/>
  <c r="U28" i="3" s="1"/>
  <c r="T29" i="3"/>
  <c r="U29" i="3" s="1"/>
  <c r="T30" i="3"/>
  <c r="U30" i="3" s="1"/>
  <c r="T31" i="3"/>
  <c r="U31" i="3" s="1"/>
  <c r="T32" i="3"/>
  <c r="U32" i="3" s="1"/>
  <c r="T33" i="3"/>
  <c r="U33" i="3" s="1"/>
  <c r="T34" i="3"/>
  <c r="U34" i="3" s="1"/>
  <c r="T35" i="3"/>
  <c r="U35" i="3" s="1"/>
  <c r="T36" i="3"/>
  <c r="T37" i="3"/>
  <c r="U37" i="3" s="1"/>
  <c r="T38" i="3"/>
  <c r="T39" i="3"/>
  <c r="T40" i="3"/>
  <c r="T41" i="3"/>
  <c r="T42" i="3"/>
  <c r="T43" i="3"/>
  <c r="U43" i="3" s="1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T53" i="3"/>
  <c r="U53" i="3" s="1"/>
  <c r="T54" i="3"/>
  <c r="T55" i="3"/>
  <c r="T56" i="3"/>
  <c r="T57" i="3"/>
  <c r="T58" i="3"/>
  <c r="T59" i="3"/>
  <c r="T60" i="3"/>
  <c r="U60" i="3" s="1"/>
  <c r="T61" i="3"/>
  <c r="T62" i="3"/>
  <c r="T63" i="3"/>
  <c r="U63" i="3" s="1"/>
  <c r="T64" i="3"/>
  <c r="U64" i="3" s="1"/>
  <c r="T65" i="3"/>
  <c r="U65" i="3" s="1"/>
  <c r="T66" i="3"/>
  <c r="U66" i="3" s="1"/>
  <c r="T67" i="3"/>
  <c r="U67" i="3" s="1"/>
  <c r="T68" i="3"/>
  <c r="T69" i="3"/>
  <c r="U69" i="3" s="1"/>
  <c r="T70" i="3"/>
  <c r="T71" i="3"/>
  <c r="T72" i="3"/>
  <c r="T73" i="3"/>
  <c r="T74" i="3"/>
  <c r="T75" i="3"/>
  <c r="T76" i="3"/>
  <c r="U76" i="3" s="1"/>
  <c r="T77" i="3"/>
  <c r="T78" i="3"/>
  <c r="T79" i="3"/>
  <c r="U79" i="3" s="1"/>
  <c r="T80" i="3"/>
  <c r="U80" i="3" s="1"/>
  <c r="T81" i="3"/>
  <c r="U81" i="3" s="1"/>
  <c r="T82" i="3"/>
  <c r="U82" i="3" s="1"/>
  <c r="T83" i="3"/>
  <c r="U83" i="3" s="1"/>
  <c r="T84" i="3"/>
  <c r="T85" i="3"/>
  <c r="U85" i="3" s="1"/>
  <c r="T86" i="3"/>
  <c r="T87" i="3"/>
  <c r="T88" i="3"/>
  <c r="T89" i="3"/>
  <c r="U89" i="3" s="1"/>
  <c r="T90" i="3"/>
  <c r="T91" i="3"/>
  <c r="U91" i="3" s="1"/>
  <c r="T92" i="3"/>
  <c r="U92" i="3" s="1"/>
  <c r="T93" i="3"/>
  <c r="U93" i="3" s="1"/>
  <c r="T94" i="3"/>
  <c r="U94" i="3" s="1"/>
  <c r="T95" i="3"/>
  <c r="U95" i="3" s="1"/>
  <c r="T96" i="3"/>
  <c r="U96" i="3" s="1"/>
  <c r="T97" i="3"/>
  <c r="U97" i="3" s="1"/>
  <c r="T98" i="3"/>
  <c r="U98" i="3" s="1"/>
  <c r="T99" i="3"/>
  <c r="U99" i="3" s="1"/>
  <c r="T100" i="3"/>
  <c r="T101" i="3"/>
  <c r="U101" i="3" s="1"/>
  <c r="T102" i="3"/>
  <c r="T103" i="3"/>
  <c r="T104" i="3"/>
  <c r="T105" i="3"/>
  <c r="T106" i="3"/>
  <c r="T107" i="3"/>
  <c r="T108" i="3"/>
  <c r="T109" i="3"/>
  <c r="T110" i="3"/>
  <c r="U110" i="3" s="1"/>
  <c r="T111" i="3"/>
  <c r="U111" i="3" s="1"/>
  <c r="T112" i="3"/>
  <c r="U112" i="3" s="1"/>
  <c r="T113" i="3"/>
  <c r="U113" i="3" s="1"/>
  <c r="T114" i="3"/>
  <c r="U114" i="3" s="1"/>
  <c r="T115" i="3"/>
  <c r="U115" i="3" s="1"/>
  <c r="T116" i="3"/>
  <c r="T117" i="3"/>
  <c r="U117" i="3" s="1"/>
  <c r="T118" i="3"/>
  <c r="T119" i="3"/>
  <c r="T120" i="3"/>
  <c r="T121" i="3"/>
  <c r="U121" i="3" s="1"/>
  <c r="T122" i="3"/>
  <c r="T123" i="3"/>
  <c r="T124" i="3"/>
  <c r="T125" i="3"/>
  <c r="T126" i="3"/>
  <c r="T127" i="3"/>
  <c r="U127" i="3" s="1"/>
  <c r="T128" i="3"/>
  <c r="U128" i="3" s="1"/>
  <c r="T129" i="3"/>
  <c r="U129" i="3" s="1"/>
  <c r="T130" i="3"/>
  <c r="T131" i="3"/>
  <c r="U131" i="3" s="1"/>
  <c r="T132" i="3"/>
  <c r="T133" i="3"/>
  <c r="U133" i="3" s="1"/>
  <c r="T134" i="3"/>
  <c r="U134" i="3" s="1"/>
  <c r="T135" i="3"/>
  <c r="T136" i="3"/>
  <c r="U136" i="3" s="1"/>
  <c r="T137" i="3"/>
  <c r="U137" i="3" s="1"/>
  <c r="T138" i="3"/>
  <c r="U138" i="3" s="1"/>
  <c r="T139" i="3"/>
  <c r="U139" i="3" s="1"/>
  <c r="T140" i="3"/>
  <c r="U140" i="3" s="1"/>
  <c r="T141" i="3"/>
  <c r="U141" i="3" s="1"/>
  <c r="T142" i="3"/>
  <c r="U142" i="3" s="1"/>
  <c r="T143" i="3"/>
  <c r="U143" i="3" s="1"/>
  <c r="T144" i="3"/>
  <c r="U144" i="3" s="1"/>
  <c r="T145" i="3"/>
  <c r="T146" i="3"/>
  <c r="U146" i="3" s="1"/>
  <c r="T147" i="3"/>
  <c r="T148" i="3"/>
  <c r="T149" i="3"/>
  <c r="T150" i="3"/>
  <c r="T151" i="3"/>
  <c r="T152" i="3"/>
  <c r="T153" i="3"/>
  <c r="T154" i="3"/>
  <c r="U154" i="3" s="1"/>
  <c r="T155" i="3"/>
  <c r="U155" i="3" s="1"/>
  <c r="T156" i="3"/>
  <c r="U156" i="3" s="1"/>
  <c r="T157" i="3"/>
  <c r="U157" i="3" s="1"/>
  <c r="T158" i="3"/>
  <c r="U158" i="3" s="1"/>
  <c r="T159" i="3"/>
  <c r="U159" i="3" s="1"/>
  <c r="T160" i="3"/>
  <c r="U160" i="3" s="1"/>
  <c r="T161" i="3"/>
  <c r="T162" i="3"/>
  <c r="U162" i="3" s="1"/>
  <c r="T163" i="3"/>
  <c r="T164" i="3"/>
  <c r="T165" i="3"/>
  <c r="U165" i="3" s="1"/>
  <c r="T166" i="3"/>
  <c r="T167" i="3"/>
  <c r="T168" i="3"/>
  <c r="T169" i="3"/>
  <c r="T170" i="3"/>
  <c r="T171" i="3"/>
  <c r="T172" i="3"/>
  <c r="U172" i="3" s="1"/>
  <c r="T173" i="3"/>
  <c r="U173" i="3" s="1"/>
  <c r="T174" i="3"/>
  <c r="U174" i="3" s="1"/>
  <c r="T175" i="3"/>
  <c r="U175" i="3" s="1"/>
  <c r="T176" i="3"/>
  <c r="U176" i="3" s="1"/>
  <c r="T177" i="3"/>
  <c r="T178" i="3"/>
  <c r="U178" i="3" s="1"/>
  <c r="T179" i="3"/>
  <c r="T180" i="3"/>
  <c r="T181" i="3"/>
  <c r="U181" i="3" s="1"/>
  <c r="T182" i="3"/>
  <c r="U182" i="3" s="1"/>
  <c r="T183" i="3"/>
  <c r="T184" i="3"/>
  <c r="U184" i="3" s="1"/>
  <c r="T185" i="3"/>
  <c r="U185" i="3" s="1"/>
  <c r="T186" i="3"/>
  <c r="U186" i="3" s="1"/>
  <c r="T187" i="3"/>
  <c r="U187" i="3" s="1"/>
  <c r="T188" i="3"/>
  <c r="U188" i="3" s="1"/>
  <c r="T189" i="3"/>
  <c r="U189" i="3" s="1"/>
  <c r="T190" i="3"/>
  <c r="U190" i="3" s="1"/>
  <c r="T191" i="3"/>
  <c r="T192" i="3"/>
  <c r="T193" i="3"/>
  <c r="T194" i="3"/>
  <c r="T195" i="3"/>
  <c r="T196" i="3"/>
  <c r="T197" i="3"/>
  <c r="U197" i="3" s="1"/>
  <c r="T198" i="3"/>
  <c r="U198" i="3" s="1"/>
  <c r="T199" i="3"/>
  <c r="U199" i="3" s="1"/>
  <c r="T200" i="3"/>
  <c r="U200" i="3" s="1"/>
  <c r="T201" i="3"/>
  <c r="U201" i="3" s="1"/>
  <c r="T202" i="3"/>
  <c r="U202" i="3" s="1"/>
  <c r="T203" i="3"/>
  <c r="U203" i="3" s="1"/>
  <c r="T204" i="3"/>
  <c r="U204" i="3" s="1"/>
  <c r="T205" i="3"/>
  <c r="T206" i="3"/>
  <c r="U206" i="3" s="1"/>
  <c r="T207" i="3"/>
  <c r="T208" i="3"/>
  <c r="T209" i="3"/>
  <c r="T210" i="3"/>
  <c r="T211" i="3"/>
  <c r="T212" i="3"/>
  <c r="T213" i="3"/>
  <c r="U213" i="3" s="1"/>
  <c r="T214" i="3"/>
  <c r="U214" i="3" s="1"/>
  <c r="T215" i="3"/>
  <c r="U215" i="3" s="1"/>
  <c r="T216" i="3"/>
  <c r="U216" i="3" s="1"/>
  <c r="T217" i="3"/>
  <c r="U217" i="3" s="1"/>
  <c r="T218" i="3"/>
  <c r="U218" i="3" s="1"/>
  <c r="T219" i="3"/>
  <c r="T220" i="3"/>
  <c r="U220" i="3" s="1"/>
  <c r="T221" i="3"/>
  <c r="T222" i="3"/>
  <c r="T223" i="3"/>
  <c r="T224" i="3"/>
  <c r="U224" i="3" s="1"/>
  <c r="T225" i="3"/>
  <c r="T226" i="3"/>
  <c r="U226" i="3" s="1"/>
  <c r="T227" i="3"/>
  <c r="U227" i="3" s="1"/>
  <c r="T228" i="3"/>
  <c r="U228" i="3" s="1"/>
  <c r="T229" i="3"/>
  <c r="U229" i="3" s="1"/>
  <c r="T230" i="3"/>
  <c r="U230" i="3" s="1"/>
  <c r="T231" i="3"/>
  <c r="U231" i="3" s="1"/>
  <c r="T232" i="3"/>
  <c r="U232" i="3" s="1"/>
  <c r="T233" i="3"/>
  <c r="U233" i="3" s="1"/>
  <c r="T234" i="3"/>
  <c r="U234" i="3" s="1"/>
  <c r="T235" i="3"/>
  <c r="T236" i="3"/>
  <c r="U236" i="3" s="1"/>
  <c r="T237" i="3"/>
  <c r="T238" i="3"/>
  <c r="T239" i="3"/>
  <c r="T240" i="3"/>
  <c r="T241" i="3"/>
  <c r="T242" i="3"/>
  <c r="U242" i="3" s="1"/>
  <c r="T243" i="3"/>
  <c r="U243" i="3" s="1"/>
  <c r="T244" i="3"/>
  <c r="U244" i="3" s="1"/>
  <c r="T245" i="3"/>
  <c r="U245" i="3" s="1"/>
  <c r="T246" i="3"/>
  <c r="U246" i="3" s="1"/>
  <c r="T247" i="3"/>
  <c r="U247" i="3" s="1"/>
  <c r="T248" i="3"/>
  <c r="U248" i="3" s="1"/>
  <c r="T249" i="3"/>
  <c r="U249" i="3" s="1"/>
  <c r="T250" i="3"/>
  <c r="U250" i="3" s="1"/>
  <c r="T251" i="3"/>
  <c r="T252" i="3"/>
  <c r="U252" i="3" s="1"/>
  <c r="T253" i="3"/>
  <c r="T254" i="3"/>
  <c r="T255" i="3"/>
  <c r="T256" i="3"/>
  <c r="T257" i="3"/>
  <c r="T258" i="3"/>
  <c r="T259" i="3"/>
  <c r="T260" i="3"/>
  <c r="U260" i="3" s="1"/>
  <c r="T261" i="3"/>
  <c r="T262" i="3"/>
  <c r="U262" i="3" s="1"/>
  <c r="T263" i="3"/>
  <c r="U263" i="3" s="1"/>
  <c r="T264" i="3"/>
  <c r="U264" i="3" s="1"/>
  <c r="T265" i="3"/>
  <c r="U265" i="3" s="1"/>
  <c r="T266" i="3"/>
  <c r="T267" i="3"/>
  <c r="T268" i="3"/>
  <c r="U268" i="3" s="1"/>
  <c r="T269" i="3"/>
  <c r="T270" i="3"/>
  <c r="T271" i="3"/>
  <c r="U271" i="3" s="1"/>
  <c r="T272" i="3"/>
  <c r="U272" i="3" s="1"/>
  <c r="T273" i="3"/>
  <c r="T274" i="3"/>
  <c r="U274" i="3" s="1"/>
  <c r="T275" i="3"/>
  <c r="U275" i="3" s="1"/>
  <c r="T276" i="3"/>
  <c r="U276" i="3" s="1"/>
  <c r="T277" i="3"/>
  <c r="U277" i="3" s="1"/>
  <c r="T278" i="3"/>
  <c r="U278" i="3" s="1"/>
  <c r="T279" i="3"/>
  <c r="U279" i="3" s="1"/>
  <c r="T280" i="3"/>
  <c r="U280" i="3" s="1"/>
  <c r="T281" i="3"/>
  <c r="U281" i="3" s="1"/>
  <c r="T282" i="3"/>
  <c r="U282" i="3" s="1"/>
  <c r="T283" i="3"/>
  <c r="T284" i="3"/>
  <c r="U284" i="3" s="1"/>
  <c r="T285" i="3"/>
  <c r="T286" i="3"/>
  <c r="T287" i="3"/>
  <c r="T288" i="3"/>
  <c r="T289" i="3"/>
  <c r="T290" i="3"/>
  <c r="U290" i="3" s="1"/>
  <c r="T291" i="3"/>
  <c r="U291" i="3" s="1"/>
  <c r="T292" i="3"/>
  <c r="U292" i="3" s="1"/>
  <c r="T293" i="3"/>
  <c r="U293" i="3" s="1"/>
  <c r="T294" i="3"/>
  <c r="U294" i="3" s="1"/>
  <c r="T295" i="3"/>
  <c r="U295" i="3" s="1"/>
  <c r="T296" i="3"/>
  <c r="U296" i="3" s="1"/>
  <c r="T297" i="3"/>
  <c r="U297" i="3" s="1"/>
  <c r="T298" i="3"/>
  <c r="U298" i="3" s="1"/>
  <c r="T299" i="3"/>
  <c r="T300" i="3"/>
  <c r="U300" i="3" s="1"/>
  <c r="T301" i="3"/>
  <c r="T302" i="3"/>
  <c r="T303" i="3"/>
  <c r="T304" i="3"/>
  <c r="T305" i="3"/>
  <c r="T306" i="3"/>
  <c r="T307" i="3"/>
  <c r="U307" i="3" s="1"/>
  <c r="T308" i="3"/>
  <c r="T309" i="3"/>
  <c r="T310" i="3"/>
  <c r="U310" i="3" s="1"/>
  <c r="T311" i="3"/>
  <c r="U311" i="3" s="1"/>
  <c r="T312" i="3"/>
  <c r="U312" i="3" s="1"/>
  <c r="T313" i="3"/>
  <c r="U313" i="3" s="1"/>
  <c r="T314" i="3"/>
  <c r="U314" i="3" s="1"/>
  <c r="T315" i="3"/>
  <c r="T316" i="3"/>
  <c r="U316" i="3" s="1"/>
  <c r="T317" i="3"/>
  <c r="T318" i="3"/>
  <c r="T319" i="3"/>
  <c r="T320" i="3"/>
  <c r="T321" i="3"/>
  <c r="T322" i="3"/>
  <c r="T323" i="3"/>
  <c r="T324" i="3"/>
  <c r="T325" i="3"/>
  <c r="T326" i="3"/>
  <c r="U326" i="3" s="1"/>
  <c r="T327" i="3"/>
  <c r="U327" i="3" s="1"/>
  <c r="T328" i="3"/>
  <c r="U328" i="3" s="1"/>
  <c r="T329" i="3"/>
  <c r="U329" i="3" s="1"/>
  <c r="T330" i="3"/>
  <c r="U330" i="3" s="1"/>
  <c r="T331" i="3"/>
  <c r="T332" i="3"/>
  <c r="U332" i="3" s="1"/>
  <c r="T333" i="3"/>
  <c r="T334" i="3"/>
  <c r="T335" i="3"/>
  <c r="T336" i="3"/>
  <c r="U336" i="3" s="1"/>
  <c r="T337" i="3"/>
  <c r="T338" i="3"/>
  <c r="U338" i="3" s="1"/>
  <c r="T339" i="3"/>
  <c r="U339" i="3" s="1"/>
  <c r="T340" i="3"/>
  <c r="U340" i="3" s="1"/>
  <c r="T341" i="3"/>
  <c r="U341" i="3" s="1"/>
  <c r="T342" i="3"/>
  <c r="U342" i="3" s="1"/>
  <c r="T343" i="3"/>
  <c r="U343" i="3" s="1"/>
  <c r="T344" i="3"/>
  <c r="U344" i="3" s="1"/>
  <c r="T345" i="3"/>
  <c r="U345" i="3" s="1"/>
  <c r="T346" i="3"/>
  <c r="U346" i="3" s="1"/>
  <c r="T347" i="3"/>
  <c r="T348" i="3"/>
  <c r="U348" i="3" s="1"/>
  <c r="T349" i="3"/>
  <c r="T350" i="3"/>
  <c r="T351" i="3"/>
  <c r="T352" i="3"/>
  <c r="T353" i="3"/>
  <c r="T354" i="3"/>
  <c r="T355" i="3"/>
  <c r="T356" i="3"/>
  <c r="T357" i="3"/>
  <c r="U357" i="3" s="1"/>
  <c r="T358" i="3"/>
  <c r="U358" i="3" s="1"/>
  <c r="T359" i="3"/>
  <c r="U359" i="3" s="1"/>
  <c r="T360" i="3"/>
  <c r="U360" i="3" s="1"/>
  <c r="T361" i="3"/>
  <c r="U361" i="3" s="1"/>
  <c r="T362" i="3"/>
  <c r="U362" i="3" s="1"/>
  <c r="T363" i="3"/>
  <c r="T364" i="3"/>
  <c r="U364" i="3" s="1"/>
  <c r="T365" i="3"/>
  <c r="T366" i="3"/>
  <c r="T367" i="3"/>
  <c r="T368" i="3"/>
  <c r="U368" i="3" s="1"/>
  <c r="T369" i="3"/>
  <c r="T370" i="3"/>
  <c r="T371" i="3"/>
  <c r="T372" i="3"/>
  <c r="T373" i="3"/>
  <c r="T374" i="3"/>
  <c r="U374" i="3" s="1"/>
  <c r="T375" i="3"/>
  <c r="U375" i="3" s="1"/>
  <c r="T376" i="3"/>
  <c r="U376" i="3" s="1"/>
  <c r="T377" i="3"/>
  <c r="U377" i="3" s="1"/>
  <c r="T378" i="3"/>
  <c r="T379" i="3"/>
  <c r="T380" i="3"/>
  <c r="U380" i="3" s="1"/>
  <c r="T381" i="3"/>
  <c r="T382" i="3"/>
  <c r="T383" i="3"/>
  <c r="U383" i="3" s="1"/>
  <c r="T384" i="3"/>
  <c r="U384" i="3" s="1"/>
  <c r="T385" i="3"/>
  <c r="T386" i="3"/>
  <c r="U386" i="3" s="1"/>
  <c r="T387" i="3"/>
  <c r="U387" i="3" s="1"/>
  <c r="T388" i="3"/>
  <c r="U388" i="3" s="1"/>
  <c r="T389" i="3"/>
  <c r="U389" i="3" s="1"/>
  <c r="T390" i="3"/>
  <c r="U390" i="3" s="1"/>
  <c r="T391" i="3"/>
  <c r="U391" i="3" s="1"/>
  <c r="T392" i="3"/>
  <c r="U392" i="3" s="1"/>
  <c r="T393" i="3"/>
  <c r="U393" i="3" s="1"/>
  <c r="T394" i="3"/>
  <c r="U394" i="3" s="1"/>
  <c r="T395" i="3"/>
  <c r="T396" i="3"/>
  <c r="U396" i="3" s="1"/>
  <c r="T397" i="3"/>
  <c r="T398" i="3"/>
  <c r="T399" i="3"/>
  <c r="T400" i="3"/>
  <c r="T401" i="3"/>
  <c r="T402" i="3"/>
  <c r="T403" i="3"/>
  <c r="T404" i="3"/>
  <c r="U404" i="3" s="1"/>
  <c r="T405" i="3"/>
  <c r="U405" i="3" s="1"/>
  <c r="T406" i="3"/>
  <c r="U406" i="3" s="1"/>
  <c r="T407" i="3"/>
  <c r="U407" i="3" s="1"/>
  <c r="T408" i="3"/>
  <c r="U408" i="3" s="1"/>
  <c r="T409" i="3"/>
  <c r="U409" i="3" s="1"/>
  <c r="T410" i="3"/>
  <c r="U410" i="3" s="1"/>
  <c r="T411" i="3"/>
  <c r="T412" i="3"/>
  <c r="U412" i="3" s="1"/>
  <c r="T413" i="3"/>
  <c r="T414" i="3"/>
  <c r="T415" i="3"/>
  <c r="U415" i="3" s="1"/>
  <c r="T416" i="3"/>
  <c r="T417" i="3"/>
  <c r="T418" i="3"/>
  <c r="T419" i="3"/>
  <c r="T420" i="3"/>
  <c r="T421" i="3"/>
  <c r="T422" i="3"/>
  <c r="U422" i="3" s="1"/>
  <c r="T423" i="3"/>
  <c r="U423" i="3" s="1"/>
  <c r="T424" i="3"/>
  <c r="U424" i="3" s="1"/>
  <c r="T425" i="3"/>
  <c r="U425" i="3" s="1"/>
  <c r="T426" i="3"/>
  <c r="U426" i="3" s="1"/>
  <c r="T427" i="3"/>
  <c r="T428" i="3"/>
  <c r="U428" i="3" s="1"/>
  <c r="T429" i="3"/>
  <c r="U429" i="3" s="1"/>
  <c r="T430" i="3"/>
  <c r="U430" i="3" s="1"/>
  <c r="T431" i="3"/>
  <c r="U431" i="3" s="1"/>
  <c r="T432" i="3"/>
  <c r="U432" i="3" s="1"/>
  <c r="T433" i="3"/>
  <c r="U433" i="3" s="1"/>
  <c r="T434" i="3"/>
  <c r="U434" i="3" s="1"/>
  <c r="T435" i="3"/>
  <c r="U435" i="3" s="1"/>
  <c r="T436" i="3"/>
  <c r="U436" i="3" s="1"/>
  <c r="T437" i="3"/>
  <c r="T438" i="3"/>
  <c r="U438" i="3" s="1"/>
  <c r="T439" i="3"/>
  <c r="T440" i="3"/>
  <c r="T441" i="3"/>
  <c r="U4" i="3"/>
  <c r="U6" i="3"/>
  <c r="U11" i="3"/>
  <c r="U12" i="3"/>
  <c r="U14" i="3"/>
  <c r="U19" i="3"/>
  <c r="U20" i="3"/>
  <c r="U22" i="3"/>
  <c r="U23" i="3"/>
  <c r="U26" i="3"/>
  <c r="U36" i="3"/>
  <c r="U38" i="3"/>
  <c r="U39" i="3"/>
  <c r="U40" i="3"/>
  <c r="U41" i="3"/>
  <c r="U42" i="3"/>
  <c r="U52" i="3"/>
  <c r="U54" i="3"/>
  <c r="U55" i="3"/>
  <c r="U56" i="3"/>
  <c r="U57" i="3"/>
  <c r="U58" i="3"/>
  <c r="U59" i="3"/>
  <c r="U61" i="3"/>
  <c r="U62" i="3"/>
  <c r="U68" i="3"/>
  <c r="U70" i="3"/>
  <c r="U71" i="3"/>
  <c r="U72" i="3"/>
  <c r="U73" i="3"/>
  <c r="U74" i="3"/>
  <c r="U75" i="3"/>
  <c r="U77" i="3"/>
  <c r="U78" i="3"/>
  <c r="U84" i="3"/>
  <c r="U86" i="3"/>
  <c r="U87" i="3"/>
  <c r="U88" i="3"/>
  <c r="U90" i="3"/>
  <c r="U100" i="3"/>
  <c r="U102" i="3"/>
  <c r="U103" i="3"/>
  <c r="U104" i="3"/>
  <c r="U105" i="3"/>
  <c r="U106" i="3"/>
  <c r="U107" i="3"/>
  <c r="U108" i="3"/>
  <c r="U109" i="3"/>
  <c r="U116" i="3"/>
  <c r="U118" i="3"/>
  <c r="U119" i="3"/>
  <c r="U120" i="3"/>
  <c r="U122" i="3"/>
  <c r="U123" i="3"/>
  <c r="U124" i="3"/>
  <c r="U125" i="3"/>
  <c r="U126" i="3"/>
  <c r="U130" i="3"/>
  <c r="U132" i="3"/>
  <c r="U135" i="3"/>
  <c r="U145" i="3"/>
  <c r="U147" i="3"/>
  <c r="U148" i="3"/>
  <c r="U149" i="3"/>
  <c r="U150" i="3"/>
  <c r="U151" i="3"/>
  <c r="U152" i="3"/>
  <c r="U153" i="3"/>
  <c r="U161" i="3"/>
  <c r="U163" i="3"/>
  <c r="U164" i="3"/>
  <c r="U166" i="3"/>
  <c r="U167" i="3"/>
  <c r="U168" i="3"/>
  <c r="U169" i="3"/>
  <c r="U170" i="3"/>
  <c r="U171" i="3"/>
  <c r="U177" i="3"/>
  <c r="U179" i="3"/>
  <c r="U180" i="3"/>
  <c r="U183" i="3"/>
  <c r="U191" i="3"/>
  <c r="U192" i="3"/>
  <c r="U193" i="3"/>
  <c r="U194" i="3"/>
  <c r="U195" i="3"/>
  <c r="U196" i="3"/>
  <c r="U205" i="3"/>
  <c r="U207" i="3"/>
  <c r="U208" i="3"/>
  <c r="U209" i="3"/>
  <c r="U210" i="3"/>
  <c r="U211" i="3"/>
  <c r="U212" i="3"/>
  <c r="U219" i="3"/>
  <c r="U221" i="3"/>
  <c r="U222" i="3"/>
  <c r="U223" i="3"/>
  <c r="U225" i="3"/>
  <c r="U235" i="3"/>
  <c r="U237" i="3"/>
  <c r="U238" i="3"/>
  <c r="U239" i="3"/>
  <c r="U240" i="3"/>
  <c r="U241" i="3"/>
  <c r="U251" i="3"/>
  <c r="U253" i="3"/>
  <c r="U254" i="3"/>
  <c r="U255" i="3"/>
  <c r="U256" i="3"/>
  <c r="U257" i="3"/>
  <c r="U258" i="3"/>
  <c r="U259" i="3"/>
  <c r="U261" i="3"/>
  <c r="U266" i="3"/>
  <c r="U267" i="3"/>
  <c r="U269" i="3"/>
  <c r="U270" i="3"/>
  <c r="U273" i="3"/>
  <c r="U283" i="3"/>
  <c r="U285" i="3"/>
  <c r="U286" i="3"/>
  <c r="U287" i="3"/>
  <c r="U288" i="3"/>
  <c r="U289" i="3"/>
  <c r="U299" i="3"/>
  <c r="U301" i="3"/>
  <c r="U302" i="3"/>
  <c r="U303" i="3"/>
  <c r="U304" i="3"/>
  <c r="U305" i="3"/>
  <c r="U306" i="3"/>
  <c r="U308" i="3"/>
  <c r="U309" i="3"/>
  <c r="U315" i="3"/>
  <c r="U317" i="3"/>
  <c r="U318" i="3"/>
  <c r="U319" i="3"/>
  <c r="U320" i="3"/>
  <c r="U321" i="3"/>
  <c r="U322" i="3"/>
  <c r="U323" i="3"/>
  <c r="U324" i="3"/>
  <c r="U325" i="3"/>
  <c r="U331" i="3"/>
  <c r="U333" i="3"/>
  <c r="U334" i="3"/>
  <c r="U335" i="3"/>
  <c r="U337" i="3"/>
  <c r="U347" i="3"/>
  <c r="U349" i="3"/>
  <c r="U350" i="3"/>
  <c r="U351" i="3"/>
  <c r="U352" i="3"/>
  <c r="U353" i="3"/>
  <c r="U354" i="3"/>
  <c r="U355" i="3"/>
  <c r="U356" i="3"/>
  <c r="U363" i="3"/>
  <c r="U365" i="3"/>
  <c r="U366" i="3"/>
  <c r="U367" i="3"/>
  <c r="U369" i="3"/>
  <c r="U370" i="3"/>
  <c r="U371" i="3"/>
  <c r="U372" i="3"/>
  <c r="U373" i="3"/>
  <c r="U378" i="3"/>
  <c r="U379" i="3"/>
  <c r="U381" i="3"/>
  <c r="U382" i="3"/>
  <c r="U385" i="3"/>
  <c r="U395" i="3"/>
  <c r="U397" i="3"/>
  <c r="U398" i="3"/>
  <c r="U399" i="3"/>
  <c r="U400" i="3"/>
  <c r="U401" i="3"/>
  <c r="U402" i="3"/>
  <c r="U403" i="3"/>
  <c r="U411" i="3"/>
  <c r="U413" i="3"/>
  <c r="U414" i="3"/>
  <c r="U416" i="3"/>
  <c r="U417" i="3"/>
  <c r="U418" i="3"/>
  <c r="U419" i="3"/>
  <c r="U420" i="3"/>
  <c r="U421" i="3"/>
  <c r="U427" i="3"/>
  <c r="U437" i="3"/>
  <c r="U439" i="3"/>
  <c r="U440" i="3"/>
  <c r="U441" i="3"/>
  <c r="U3" i="3"/>
  <c r="T3" i="3"/>
  <c r="R3" i="3"/>
  <c r="S3" i="3" s="1"/>
  <c r="N4" i="1"/>
  <c r="O4" i="1" s="1"/>
  <c r="P4" i="1"/>
  <c r="Q4" i="1"/>
  <c r="N5" i="1"/>
  <c r="O5" i="1" s="1"/>
  <c r="P5" i="1"/>
  <c r="Q5" i="1"/>
  <c r="N6" i="1"/>
  <c r="O6" i="1" s="1"/>
  <c r="P6" i="1"/>
  <c r="Q6" i="1"/>
  <c r="N7" i="1"/>
  <c r="O7" i="1" s="1"/>
  <c r="P7" i="1"/>
  <c r="Q7" i="1"/>
  <c r="N8" i="1"/>
  <c r="O8" i="1" s="1"/>
  <c r="P8" i="1"/>
  <c r="Q8" i="1"/>
  <c r="N9" i="1"/>
  <c r="O9" i="1" s="1"/>
  <c r="P9" i="1"/>
  <c r="Q9" i="1"/>
  <c r="N10" i="1"/>
  <c r="O10" i="1" s="1"/>
  <c r="P10" i="1"/>
  <c r="Q10" i="1"/>
  <c r="N11" i="1"/>
  <c r="O11" i="1" s="1"/>
  <c r="P11" i="1"/>
  <c r="Q11" i="1"/>
  <c r="N12" i="1"/>
  <c r="O12" i="1" s="1"/>
  <c r="P12" i="1"/>
  <c r="Q12" i="1"/>
  <c r="N13" i="1"/>
  <c r="O13" i="1" s="1"/>
  <c r="P13" i="1"/>
  <c r="Q13" i="1"/>
  <c r="N14" i="1"/>
  <c r="P14" i="1"/>
  <c r="Q14" i="1"/>
  <c r="N15" i="1"/>
  <c r="P15" i="1"/>
  <c r="Q15" i="1"/>
  <c r="N16" i="1"/>
  <c r="O16" i="1" s="1"/>
  <c r="P16" i="1"/>
  <c r="Q16" i="1"/>
  <c r="N17" i="1"/>
  <c r="O17" i="1" s="1"/>
  <c r="P17" i="1"/>
  <c r="Q17" i="1"/>
  <c r="N18" i="1"/>
  <c r="O18" i="1" s="1"/>
  <c r="P18" i="1"/>
  <c r="Q18" i="1"/>
  <c r="N19" i="1"/>
  <c r="O19" i="1" s="1"/>
  <c r="P19" i="1"/>
  <c r="Q19" i="1"/>
  <c r="N20" i="1"/>
  <c r="O20" i="1" s="1"/>
  <c r="P20" i="1"/>
  <c r="Q20" i="1"/>
  <c r="N21" i="1"/>
  <c r="O21" i="1" s="1"/>
  <c r="P21" i="1"/>
  <c r="Q21" i="1"/>
  <c r="N22" i="1"/>
  <c r="O22" i="1" s="1"/>
  <c r="P22" i="1"/>
  <c r="Q22" i="1"/>
  <c r="N23" i="1"/>
  <c r="O23" i="1" s="1"/>
  <c r="P23" i="1"/>
  <c r="Q23" i="1"/>
  <c r="N24" i="1"/>
  <c r="O24" i="1" s="1"/>
  <c r="P24" i="1"/>
  <c r="Q24" i="1"/>
  <c r="N25" i="1"/>
  <c r="O25" i="1" s="1"/>
  <c r="P25" i="1"/>
  <c r="Q25" i="1"/>
  <c r="N26" i="1"/>
  <c r="O26" i="1" s="1"/>
  <c r="P26" i="1"/>
  <c r="Q26" i="1"/>
  <c r="N27" i="1"/>
  <c r="O27" i="1" s="1"/>
  <c r="P27" i="1"/>
  <c r="Q27" i="1"/>
  <c r="N28" i="1"/>
  <c r="O28" i="1" s="1"/>
  <c r="P28" i="1"/>
  <c r="Q28" i="1"/>
  <c r="N29" i="1"/>
  <c r="O29" i="1" s="1"/>
  <c r="P29" i="1"/>
  <c r="Q29" i="1"/>
  <c r="N30" i="1"/>
  <c r="P30" i="1"/>
  <c r="Q30" i="1"/>
  <c r="N31" i="1"/>
  <c r="P31" i="1"/>
  <c r="Q31" i="1"/>
  <c r="N32" i="1"/>
  <c r="O32" i="1" s="1"/>
  <c r="P32" i="1"/>
  <c r="Q32" i="1"/>
  <c r="N33" i="1"/>
  <c r="O33" i="1" s="1"/>
  <c r="P33" i="1"/>
  <c r="Q33" i="1"/>
  <c r="N34" i="1"/>
  <c r="O34" i="1" s="1"/>
  <c r="P34" i="1"/>
  <c r="Q34" i="1"/>
  <c r="N35" i="1"/>
  <c r="O35" i="1" s="1"/>
  <c r="P35" i="1"/>
  <c r="Q35" i="1"/>
  <c r="N36" i="1"/>
  <c r="O36" i="1" s="1"/>
  <c r="P36" i="1"/>
  <c r="Q36" i="1"/>
  <c r="N37" i="1"/>
  <c r="O37" i="1" s="1"/>
  <c r="P37" i="1"/>
  <c r="Q37" i="1"/>
  <c r="N38" i="1"/>
  <c r="O38" i="1" s="1"/>
  <c r="P38" i="1"/>
  <c r="Q38" i="1"/>
  <c r="N39" i="1"/>
  <c r="O39" i="1" s="1"/>
  <c r="P39" i="1"/>
  <c r="Q39" i="1"/>
  <c r="N40" i="1"/>
  <c r="O40" i="1" s="1"/>
  <c r="P40" i="1"/>
  <c r="Q40" i="1"/>
  <c r="N41" i="1"/>
  <c r="O41" i="1" s="1"/>
  <c r="P41" i="1"/>
  <c r="Q41" i="1"/>
  <c r="N42" i="1"/>
  <c r="O42" i="1" s="1"/>
  <c r="P42" i="1"/>
  <c r="Q42" i="1"/>
  <c r="N43" i="1"/>
  <c r="O43" i="1" s="1"/>
  <c r="P43" i="1"/>
  <c r="Q43" i="1"/>
  <c r="N44" i="1"/>
  <c r="O44" i="1" s="1"/>
  <c r="P44" i="1"/>
  <c r="Q44" i="1"/>
  <c r="N45" i="1"/>
  <c r="O45" i="1" s="1"/>
  <c r="P45" i="1"/>
  <c r="Q45" i="1"/>
  <c r="N46" i="1"/>
  <c r="P46" i="1"/>
  <c r="Q46" i="1"/>
  <c r="N47" i="1"/>
  <c r="P47" i="1"/>
  <c r="Q47" i="1"/>
  <c r="N48" i="1"/>
  <c r="O48" i="1" s="1"/>
  <c r="P48" i="1"/>
  <c r="Q48" i="1"/>
  <c r="N49" i="1"/>
  <c r="O49" i="1" s="1"/>
  <c r="P49" i="1"/>
  <c r="Q49" i="1"/>
  <c r="N50" i="1"/>
  <c r="O50" i="1" s="1"/>
  <c r="P50" i="1"/>
  <c r="Q50" i="1"/>
  <c r="N51" i="1"/>
  <c r="O51" i="1" s="1"/>
  <c r="P51" i="1"/>
  <c r="Q51" i="1"/>
  <c r="N52" i="1"/>
  <c r="O52" i="1" s="1"/>
  <c r="P52" i="1"/>
  <c r="Q52" i="1"/>
  <c r="N53" i="1"/>
  <c r="O53" i="1" s="1"/>
  <c r="P53" i="1"/>
  <c r="Q53" i="1"/>
  <c r="N54" i="1"/>
  <c r="O54" i="1" s="1"/>
  <c r="P54" i="1"/>
  <c r="Q54" i="1"/>
  <c r="N55" i="1"/>
  <c r="O55" i="1" s="1"/>
  <c r="P55" i="1"/>
  <c r="Q55" i="1"/>
  <c r="N56" i="1"/>
  <c r="O56" i="1" s="1"/>
  <c r="P56" i="1"/>
  <c r="Q56" i="1"/>
  <c r="N57" i="1"/>
  <c r="O57" i="1" s="1"/>
  <c r="P57" i="1"/>
  <c r="Q57" i="1"/>
  <c r="N58" i="1"/>
  <c r="O58" i="1" s="1"/>
  <c r="P58" i="1"/>
  <c r="Q58" i="1"/>
  <c r="N59" i="1"/>
  <c r="O59" i="1" s="1"/>
  <c r="P59" i="1"/>
  <c r="Q59" i="1"/>
  <c r="N60" i="1"/>
  <c r="O60" i="1" s="1"/>
  <c r="P60" i="1"/>
  <c r="Q60" i="1"/>
  <c r="N61" i="1"/>
  <c r="O61" i="1" s="1"/>
  <c r="P61" i="1"/>
  <c r="Q61" i="1"/>
  <c r="N62" i="1"/>
  <c r="P62" i="1"/>
  <c r="Q62" i="1"/>
  <c r="N63" i="1"/>
  <c r="O63" i="1" s="1"/>
  <c r="P63" i="1"/>
  <c r="Q63" i="1"/>
  <c r="N64" i="1"/>
  <c r="O64" i="1" s="1"/>
  <c r="P64" i="1"/>
  <c r="Q64" i="1"/>
  <c r="N65" i="1"/>
  <c r="O65" i="1" s="1"/>
  <c r="P65" i="1"/>
  <c r="Q65" i="1"/>
  <c r="N66" i="1"/>
  <c r="O66" i="1" s="1"/>
  <c r="P66" i="1"/>
  <c r="Q66" i="1"/>
  <c r="N67" i="1"/>
  <c r="O67" i="1" s="1"/>
  <c r="P67" i="1"/>
  <c r="Q67" i="1"/>
  <c r="N68" i="1"/>
  <c r="O68" i="1" s="1"/>
  <c r="P68" i="1"/>
  <c r="Q68" i="1"/>
  <c r="N69" i="1"/>
  <c r="O69" i="1" s="1"/>
  <c r="P69" i="1"/>
  <c r="Q69" i="1"/>
  <c r="N70" i="1"/>
  <c r="O70" i="1" s="1"/>
  <c r="P70" i="1"/>
  <c r="Q70" i="1"/>
  <c r="N71" i="1"/>
  <c r="O71" i="1" s="1"/>
  <c r="P71" i="1"/>
  <c r="Q71" i="1"/>
  <c r="N72" i="1"/>
  <c r="O72" i="1" s="1"/>
  <c r="P72" i="1"/>
  <c r="Q72" i="1"/>
  <c r="N73" i="1"/>
  <c r="O73" i="1" s="1"/>
  <c r="P73" i="1"/>
  <c r="Q73" i="1"/>
  <c r="N74" i="1"/>
  <c r="O74" i="1" s="1"/>
  <c r="P74" i="1"/>
  <c r="Q74" i="1"/>
  <c r="N75" i="1"/>
  <c r="O75" i="1" s="1"/>
  <c r="P75" i="1"/>
  <c r="Q75" i="1"/>
  <c r="N76" i="1"/>
  <c r="O76" i="1" s="1"/>
  <c r="P76" i="1"/>
  <c r="Q76" i="1"/>
  <c r="N77" i="1"/>
  <c r="O77" i="1" s="1"/>
  <c r="P77" i="1"/>
  <c r="Q77" i="1"/>
  <c r="N78" i="1"/>
  <c r="P78" i="1"/>
  <c r="Q78" i="1"/>
  <c r="N79" i="1"/>
  <c r="O79" i="1" s="1"/>
  <c r="P79" i="1"/>
  <c r="Q79" i="1"/>
  <c r="N80" i="1"/>
  <c r="O80" i="1" s="1"/>
  <c r="P80" i="1"/>
  <c r="Q80" i="1"/>
  <c r="N81" i="1"/>
  <c r="O81" i="1" s="1"/>
  <c r="P81" i="1"/>
  <c r="Q81" i="1"/>
  <c r="N82" i="1"/>
  <c r="O82" i="1" s="1"/>
  <c r="P82" i="1"/>
  <c r="Q82" i="1"/>
  <c r="N83" i="1"/>
  <c r="O83" i="1" s="1"/>
  <c r="P83" i="1"/>
  <c r="Q83" i="1"/>
  <c r="N84" i="1"/>
  <c r="O84" i="1" s="1"/>
  <c r="P84" i="1"/>
  <c r="Q84" i="1"/>
  <c r="N85" i="1"/>
  <c r="O85" i="1" s="1"/>
  <c r="P85" i="1"/>
  <c r="Q85" i="1"/>
  <c r="N86" i="1"/>
  <c r="O86" i="1" s="1"/>
  <c r="P86" i="1"/>
  <c r="Q86" i="1"/>
  <c r="N87" i="1"/>
  <c r="O87" i="1" s="1"/>
  <c r="P87" i="1"/>
  <c r="Q87" i="1"/>
  <c r="N88" i="1"/>
  <c r="O88" i="1" s="1"/>
  <c r="P88" i="1"/>
  <c r="Q88" i="1"/>
  <c r="N89" i="1"/>
  <c r="O89" i="1" s="1"/>
  <c r="P89" i="1"/>
  <c r="Q89" i="1"/>
  <c r="N90" i="1"/>
  <c r="O90" i="1" s="1"/>
  <c r="P90" i="1"/>
  <c r="Q90" i="1"/>
  <c r="N91" i="1"/>
  <c r="O91" i="1" s="1"/>
  <c r="P91" i="1"/>
  <c r="Q91" i="1"/>
  <c r="N92" i="1"/>
  <c r="O92" i="1" s="1"/>
  <c r="P92" i="1"/>
  <c r="Q92" i="1"/>
  <c r="N93" i="1"/>
  <c r="O93" i="1" s="1"/>
  <c r="P93" i="1"/>
  <c r="Q93" i="1"/>
  <c r="N94" i="1"/>
  <c r="P94" i="1"/>
  <c r="Q94" i="1"/>
  <c r="N95" i="1"/>
  <c r="O95" i="1" s="1"/>
  <c r="P95" i="1"/>
  <c r="Q95" i="1"/>
  <c r="N96" i="1"/>
  <c r="O96" i="1" s="1"/>
  <c r="P96" i="1"/>
  <c r="Q96" i="1"/>
  <c r="N97" i="1"/>
  <c r="O97" i="1" s="1"/>
  <c r="P97" i="1"/>
  <c r="Q97" i="1"/>
  <c r="N98" i="1"/>
  <c r="O98" i="1" s="1"/>
  <c r="P98" i="1"/>
  <c r="Q98" i="1"/>
  <c r="N99" i="1"/>
  <c r="O99" i="1" s="1"/>
  <c r="P99" i="1"/>
  <c r="Q99" i="1"/>
  <c r="N100" i="1"/>
  <c r="O100" i="1" s="1"/>
  <c r="P100" i="1"/>
  <c r="Q100" i="1"/>
  <c r="N101" i="1"/>
  <c r="O101" i="1" s="1"/>
  <c r="P101" i="1"/>
  <c r="Q101" i="1"/>
  <c r="N102" i="1"/>
  <c r="O102" i="1" s="1"/>
  <c r="P102" i="1"/>
  <c r="Q102" i="1"/>
  <c r="N103" i="1"/>
  <c r="O103" i="1" s="1"/>
  <c r="P103" i="1"/>
  <c r="Q103" i="1"/>
  <c r="N104" i="1"/>
  <c r="O104" i="1" s="1"/>
  <c r="P104" i="1"/>
  <c r="Q104" i="1"/>
  <c r="N105" i="1"/>
  <c r="O105" i="1" s="1"/>
  <c r="P105" i="1"/>
  <c r="Q105" i="1"/>
  <c r="N106" i="1"/>
  <c r="O106" i="1" s="1"/>
  <c r="P106" i="1"/>
  <c r="Q106" i="1"/>
  <c r="N107" i="1"/>
  <c r="O107" i="1" s="1"/>
  <c r="P107" i="1"/>
  <c r="Q107" i="1"/>
  <c r="N108" i="1"/>
  <c r="O108" i="1" s="1"/>
  <c r="P108" i="1"/>
  <c r="Q108" i="1"/>
  <c r="N109" i="1"/>
  <c r="O109" i="1" s="1"/>
  <c r="P109" i="1"/>
  <c r="Q109" i="1"/>
  <c r="N110" i="1"/>
  <c r="P110" i="1"/>
  <c r="Q110" i="1"/>
  <c r="N111" i="1"/>
  <c r="O111" i="1" s="1"/>
  <c r="P111" i="1"/>
  <c r="Q111" i="1"/>
  <c r="N112" i="1"/>
  <c r="O112" i="1" s="1"/>
  <c r="P112" i="1"/>
  <c r="Q112" i="1"/>
  <c r="N113" i="1"/>
  <c r="P113" i="1"/>
  <c r="Q113" i="1"/>
  <c r="N114" i="1"/>
  <c r="O114" i="1" s="1"/>
  <c r="P114" i="1"/>
  <c r="Q114" i="1"/>
  <c r="N115" i="1"/>
  <c r="O115" i="1" s="1"/>
  <c r="P115" i="1"/>
  <c r="Q115" i="1"/>
  <c r="N116" i="1"/>
  <c r="O116" i="1" s="1"/>
  <c r="P116" i="1"/>
  <c r="Q116" i="1"/>
  <c r="N117" i="1"/>
  <c r="O117" i="1" s="1"/>
  <c r="P117" i="1"/>
  <c r="Q117" i="1"/>
  <c r="N118" i="1"/>
  <c r="O118" i="1" s="1"/>
  <c r="P118" i="1"/>
  <c r="Q118" i="1"/>
  <c r="N119" i="1"/>
  <c r="O119" i="1" s="1"/>
  <c r="P119" i="1"/>
  <c r="Q119" i="1"/>
  <c r="N120" i="1"/>
  <c r="O120" i="1" s="1"/>
  <c r="P120" i="1"/>
  <c r="Q120" i="1"/>
  <c r="N121" i="1"/>
  <c r="O121" i="1" s="1"/>
  <c r="P121" i="1"/>
  <c r="Q121" i="1"/>
  <c r="N122" i="1"/>
  <c r="O122" i="1" s="1"/>
  <c r="P122" i="1"/>
  <c r="Q122" i="1"/>
  <c r="N123" i="1"/>
  <c r="O123" i="1" s="1"/>
  <c r="P123" i="1"/>
  <c r="Q123" i="1"/>
  <c r="N124" i="1"/>
  <c r="P124" i="1"/>
  <c r="Q124" i="1"/>
  <c r="N125" i="1"/>
  <c r="O125" i="1" s="1"/>
  <c r="P125" i="1"/>
  <c r="Q125" i="1"/>
  <c r="N126" i="1"/>
  <c r="O126" i="1" s="1"/>
  <c r="P126" i="1"/>
  <c r="Q126" i="1"/>
  <c r="N127" i="1"/>
  <c r="P127" i="1"/>
  <c r="Q127" i="1"/>
  <c r="N128" i="1"/>
  <c r="O128" i="1" s="1"/>
  <c r="P128" i="1"/>
  <c r="Q128" i="1"/>
  <c r="N129" i="1"/>
  <c r="O129" i="1" s="1"/>
  <c r="P129" i="1"/>
  <c r="Q129" i="1"/>
  <c r="N130" i="1"/>
  <c r="O130" i="1" s="1"/>
  <c r="P130" i="1"/>
  <c r="Q130" i="1"/>
  <c r="N131" i="1"/>
  <c r="O131" i="1" s="1"/>
  <c r="P131" i="1"/>
  <c r="Q131" i="1"/>
  <c r="N132" i="1"/>
  <c r="O132" i="1" s="1"/>
  <c r="P132" i="1"/>
  <c r="Q132" i="1"/>
  <c r="N133" i="1"/>
  <c r="P133" i="1"/>
  <c r="Q133" i="1"/>
  <c r="N134" i="1"/>
  <c r="O134" i="1" s="1"/>
  <c r="P134" i="1"/>
  <c r="Q134" i="1"/>
  <c r="N135" i="1"/>
  <c r="O135" i="1" s="1"/>
  <c r="P135" i="1"/>
  <c r="Q135" i="1"/>
  <c r="N136" i="1"/>
  <c r="O136" i="1" s="1"/>
  <c r="P136" i="1"/>
  <c r="Q136" i="1"/>
  <c r="N137" i="1"/>
  <c r="O137" i="1" s="1"/>
  <c r="P137" i="1"/>
  <c r="Q137" i="1"/>
  <c r="N138" i="1"/>
  <c r="O138" i="1" s="1"/>
  <c r="P138" i="1"/>
  <c r="Q138" i="1"/>
  <c r="N139" i="1"/>
  <c r="O139" i="1" s="1"/>
  <c r="P139" i="1"/>
  <c r="Q139" i="1"/>
  <c r="N140" i="1"/>
  <c r="O140" i="1" s="1"/>
  <c r="P140" i="1"/>
  <c r="Q140" i="1"/>
  <c r="N141" i="1"/>
  <c r="O141" i="1" s="1"/>
  <c r="P141" i="1"/>
  <c r="Q141" i="1"/>
  <c r="N142" i="1"/>
  <c r="O142" i="1" s="1"/>
  <c r="P142" i="1"/>
  <c r="Q142" i="1"/>
  <c r="N143" i="1"/>
  <c r="P143" i="1"/>
  <c r="Q143" i="1"/>
  <c r="N144" i="1"/>
  <c r="O144" i="1" s="1"/>
  <c r="P144" i="1"/>
  <c r="Q144" i="1"/>
  <c r="N145" i="1"/>
  <c r="O145" i="1" s="1"/>
  <c r="P145" i="1"/>
  <c r="Q145" i="1"/>
  <c r="N146" i="1"/>
  <c r="O146" i="1" s="1"/>
  <c r="P146" i="1"/>
  <c r="Q146" i="1"/>
  <c r="N147" i="1"/>
  <c r="O147" i="1" s="1"/>
  <c r="P147" i="1"/>
  <c r="Q147" i="1"/>
  <c r="N148" i="1"/>
  <c r="O148" i="1" s="1"/>
  <c r="P148" i="1"/>
  <c r="Q148" i="1"/>
  <c r="N149" i="1"/>
  <c r="P149" i="1"/>
  <c r="Q149" i="1"/>
  <c r="N150" i="1"/>
  <c r="O150" i="1" s="1"/>
  <c r="P150" i="1"/>
  <c r="Q150" i="1"/>
  <c r="N151" i="1"/>
  <c r="O151" i="1" s="1"/>
  <c r="P151" i="1"/>
  <c r="Q151" i="1"/>
  <c r="N152" i="1"/>
  <c r="P152" i="1"/>
  <c r="Q152" i="1"/>
  <c r="N153" i="1"/>
  <c r="P153" i="1"/>
  <c r="Q153" i="1"/>
  <c r="N154" i="1"/>
  <c r="O154" i="1" s="1"/>
  <c r="P154" i="1"/>
  <c r="Q154" i="1"/>
  <c r="N155" i="1"/>
  <c r="O155" i="1" s="1"/>
  <c r="P155" i="1"/>
  <c r="Q155" i="1"/>
  <c r="N156" i="1"/>
  <c r="O156" i="1" s="1"/>
  <c r="P156" i="1"/>
  <c r="Q156" i="1"/>
  <c r="N157" i="1"/>
  <c r="O157" i="1" s="1"/>
  <c r="P157" i="1"/>
  <c r="Q157" i="1"/>
  <c r="N158" i="1"/>
  <c r="O158" i="1" s="1"/>
  <c r="P158" i="1"/>
  <c r="Q158" i="1"/>
  <c r="N159" i="1"/>
  <c r="O159" i="1" s="1"/>
  <c r="P159" i="1"/>
  <c r="Q159" i="1"/>
  <c r="N160" i="1"/>
  <c r="O160" i="1" s="1"/>
  <c r="P160" i="1"/>
  <c r="Q160" i="1"/>
  <c r="N161" i="1"/>
  <c r="O161" i="1" s="1"/>
  <c r="P161" i="1"/>
  <c r="Q161" i="1"/>
  <c r="N162" i="1"/>
  <c r="O162" i="1" s="1"/>
  <c r="P162" i="1"/>
  <c r="Q162" i="1"/>
  <c r="N163" i="1"/>
  <c r="O163" i="1" s="1"/>
  <c r="P163" i="1"/>
  <c r="Q163" i="1"/>
  <c r="N164" i="1"/>
  <c r="O164" i="1" s="1"/>
  <c r="P164" i="1"/>
  <c r="Q164" i="1"/>
  <c r="N165" i="1"/>
  <c r="P165" i="1"/>
  <c r="Q165" i="1"/>
  <c r="N166" i="1"/>
  <c r="P166" i="1"/>
  <c r="Q166" i="1"/>
  <c r="N167" i="1"/>
  <c r="O167" i="1" s="1"/>
  <c r="P167" i="1"/>
  <c r="Q167" i="1"/>
  <c r="N168" i="1"/>
  <c r="O168" i="1" s="1"/>
  <c r="P168" i="1"/>
  <c r="Q168" i="1"/>
  <c r="N169" i="1"/>
  <c r="O169" i="1" s="1"/>
  <c r="P169" i="1"/>
  <c r="Q169" i="1"/>
  <c r="N170" i="1"/>
  <c r="O170" i="1" s="1"/>
  <c r="P170" i="1"/>
  <c r="Q170" i="1"/>
  <c r="N171" i="1"/>
  <c r="O171" i="1" s="1"/>
  <c r="P171" i="1"/>
  <c r="Q171" i="1"/>
  <c r="N172" i="1"/>
  <c r="P172" i="1"/>
  <c r="Q172" i="1"/>
  <c r="N173" i="1"/>
  <c r="O173" i="1" s="1"/>
  <c r="P173" i="1"/>
  <c r="Q173" i="1"/>
  <c r="N174" i="1"/>
  <c r="O174" i="1" s="1"/>
  <c r="P174" i="1"/>
  <c r="Q174" i="1"/>
  <c r="N175" i="1"/>
  <c r="O175" i="1" s="1"/>
  <c r="P175" i="1"/>
  <c r="Q175" i="1"/>
  <c r="N176" i="1"/>
  <c r="O176" i="1" s="1"/>
  <c r="P176" i="1"/>
  <c r="Q176" i="1"/>
  <c r="N177" i="1"/>
  <c r="O177" i="1" s="1"/>
  <c r="P177" i="1"/>
  <c r="Q177" i="1"/>
  <c r="N178" i="1"/>
  <c r="O178" i="1" s="1"/>
  <c r="P178" i="1"/>
  <c r="Q178" i="1"/>
  <c r="N179" i="1"/>
  <c r="O179" i="1" s="1"/>
  <c r="P179" i="1"/>
  <c r="Q179" i="1"/>
  <c r="N180" i="1"/>
  <c r="O180" i="1" s="1"/>
  <c r="P180" i="1"/>
  <c r="Q180" i="1"/>
  <c r="N181" i="1"/>
  <c r="O181" i="1" s="1"/>
  <c r="P181" i="1"/>
  <c r="Q181" i="1"/>
  <c r="N182" i="1"/>
  <c r="O182" i="1" s="1"/>
  <c r="P182" i="1"/>
  <c r="Q182" i="1"/>
  <c r="N183" i="1"/>
  <c r="O183" i="1" s="1"/>
  <c r="P183" i="1"/>
  <c r="Q183" i="1"/>
  <c r="N184" i="1"/>
  <c r="O184" i="1" s="1"/>
  <c r="P184" i="1"/>
  <c r="Q184" i="1"/>
  <c r="N185" i="1"/>
  <c r="O185" i="1" s="1"/>
  <c r="P185" i="1"/>
  <c r="Q185" i="1"/>
  <c r="N186" i="1"/>
  <c r="O186" i="1" s="1"/>
  <c r="P186" i="1"/>
  <c r="Q186" i="1"/>
  <c r="N187" i="1"/>
  <c r="O187" i="1" s="1"/>
  <c r="P187" i="1"/>
  <c r="Q187" i="1"/>
  <c r="N188" i="1"/>
  <c r="O188" i="1" s="1"/>
  <c r="P188" i="1"/>
  <c r="Q188" i="1"/>
  <c r="N189" i="1"/>
  <c r="O189" i="1" s="1"/>
  <c r="P189" i="1"/>
  <c r="Q189" i="1"/>
  <c r="N190" i="1"/>
  <c r="O190" i="1" s="1"/>
  <c r="P190" i="1"/>
  <c r="Q190" i="1"/>
  <c r="N191" i="1"/>
  <c r="O191" i="1" s="1"/>
  <c r="P191" i="1"/>
  <c r="Q191" i="1"/>
  <c r="N192" i="1"/>
  <c r="O192" i="1" s="1"/>
  <c r="P192" i="1"/>
  <c r="Q192" i="1"/>
  <c r="N193" i="1"/>
  <c r="O193" i="1" s="1"/>
  <c r="P193" i="1"/>
  <c r="Q193" i="1"/>
  <c r="N194" i="1"/>
  <c r="O194" i="1" s="1"/>
  <c r="P194" i="1"/>
  <c r="Q194" i="1"/>
  <c r="N195" i="1"/>
  <c r="O195" i="1" s="1"/>
  <c r="P195" i="1"/>
  <c r="Q195" i="1"/>
  <c r="N196" i="1"/>
  <c r="O196" i="1" s="1"/>
  <c r="P196" i="1"/>
  <c r="Q196" i="1"/>
  <c r="N197" i="1"/>
  <c r="O197" i="1" s="1"/>
  <c r="P197" i="1"/>
  <c r="Q197" i="1"/>
  <c r="N198" i="1"/>
  <c r="O198" i="1" s="1"/>
  <c r="P198" i="1"/>
  <c r="Q198" i="1"/>
  <c r="N199" i="1"/>
  <c r="O199" i="1" s="1"/>
  <c r="P199" i="1"/>
  <c r="Q199" i="1"/>
  <c r="N200" i="1"/>
  <c r="P200" i="1"/>
  <c r="Q200" i="1"/>
  <c r="N201" i="1"/>
  <c r="P201" i="1"/>
  <c r="Q201" i="1"/>
  <c r="N202" i="1"/>
  <c r="O202" i="1" s="1"/>
  <c r="P202" i="1"/>
  <c r="Q202" i="1"/>
  <c r="N203" i="1"/>
  <c r="O203" i="1" s="1"/>
  <c r="P203" i="1"/>
  <c r="Q203" i="1"/>
  <c r="N204" i="1"/>
  <c r="O204" i="1" s="1"/>
  <c r="P204" i="1"/>
  <c r="Q204" i="1"/>
  <c r="N205" i="1"/>
  <c r="O205" i="1" s="1"/>
  <c r="P205" i="1"/>
  <c r="Q205" i="1"/>
  <c r="N206" i="1"/>
  <c r="O206" i="1" s="1"/>
  <c r="P206" i="1"/>
  <c r="Q206" i="1"/>
  <c r="N207" i="1"/>
  <c r="O207" i="1" s="1"/>
  <c r="P207" i="1"/>
  <c r="Q207" i="1"/>
  <c r="N208" i="1"/>
  <c r="O208" i="1" s="1"/>
  <c r="P208" i="1"/>
  <c r="Q208" i="1"/>
  <c r="N209" i="1"/>
  <c r="O209" i="1" s="1"/>
  <c r="P209" i="1"/>
  <c r="Q209" i="1"/>
  <c r="N210" i="1"/>
  <c r="O210" i="1" s="1"/>
  <c r="P210" i="1"/>
  <c r="Q210" i="1"/>
  <c r="N211" i="1"/>
  <c r="O211" i="1" s="1"/>
  <c r="P211" i="1"/>
  <c r="Q211" i="1"/>
  <c r="N212" i="1"/>
  <c r="O212" i="1" s="1"/>
  <c r="P212" i="1"/>
  <c r="Q212" i="1"/>
  <c r="N213" i="1"/>
  <c r="O213" i="1" s="1"/>
  <c r="P213" i="1"/>
  <c r="Q213" i="1"/>
  <c r="N214" i="1"/>
  <c r="O214" i="1" s="1"/>
  <c r="P214" i="1"/>
  <c r="Q214" i="1"/>
  <c r="N215" i="1"/>
  <c r="O215" i="1" s="1"/>
  <c r="P215" i="1"/>
  <c r="Q215" i="1"/>
  <c r="N216" i="1"/>
  <c r="P216" i="1"/>
  <c r="Q216" i="1"/>
  <c r="N217" i="1"/>
  <c r="P217" i="1"/>
  <c r="Q217" i="1"/>
  <c r="N218" i="1"/>
  <c r="O218" i="1" s="1"/>
  <c r="P218" i="1"/>
  <c r="Q218" i="1"/>
  <c r="N219" i="1"/>
  <c r="P219" i="1"/>
  <c r="Q219" i="1"/>
  <c r="N220" i="1"/>
  <c r="O220" i="1" s="1"/>
  <c r="P220" i="1"/>
  <c r="Q220" i="1"/>
  <c r="N221" i="1"/>
  <c r="O221" i="1" s="1"/>
  <c r="P221" i="1"/>
  <c r="Q221" i="1"/>
  <c r="N222" i="1"/>
  <c r="O222" i="1" s="1"/>
  <c r="P222" i="1"/>
  <c r="Q222" i="1"/>
  <c r="N223" i="1"/>
  <c r="O223" i="1" s="1"/>
  <c r="P223" i="1"/>
  <c r="Q223" i="1"/>
  <c r="N224" i="1"/>
  <c r="O224" i="1" s="1"/>
  <c r="P224" i="1"/>
  <c r="Q224" i="1"/>
  <c r="N225" i="1"/>
  <c r="O225" i="1" s="1"/>
  <c r="P225" i="1"/>
  <c r="Q225" i="1"/>
  <c r="N226" i="1"/>
  <c r="O226" i="1" s="1"/>
  <c r="P226" i="1"/>
  <c r="Q226" i="1"/>
  <c r="N227" i="1"/>
  <c r="O227" i="1" s="1"/>
  <c r="P227" i="1"/>
  <c r="Q227" i="1"/>
  <c r="N228" i="1"/>
  <c r="O228" i="1" s="1"/>
  <c r="P228" i="1"/>
  <c r="Q228" i="1"/>
  <c r="N229" i="1"/>
  <c r="O229" i="1" s="1"/>
  <c r="P229" i="1"/>
  <c r="Q229" i="1"/>
  <c r="N230" i="1"/>
  <c r="O230" i="1" s="1"/>
  <c r="P230" i="1"/>
  <c r="Q230" i="1"/>
  <c r="N231" i="1"/>
  <c r="P231" i="1"/>
  <c r="Q231" i="1"/>
  <c r="N232" i="1"/>
  <c r="P232" i="1"/>
  <c r="Q232" i="1"/>
  <c r="N233" i="1"/>
  <c r="O233" i="1" s="1"/>
  <c r="P233" i="1"/>
  <c r="Q233" i="1"/>
  <c r="N234" i="1"/>
  <c r="O234" i="1" s="1"/>
  <c r="P234" i="1"/>
  <c r="Q234" i="1"/>
  <c r="N235" i="1"/>
  <c r="O235" i="1" s="1"/>
  <c r="P235" i="1"/>
  <c r="Q235" i="1"/>
  <c r="N236" i="1"/>
  <c r="P236" i="1"/>
  <c r="Q236" i="1"/>
  <c r="N237" i="1"/>
  <c r="O237" i="1" s="1"/>
  <c r="P237" i="1"/>
  <c r="Q237" i="1"/>
  <c r="N238" i="1"/>
  <c r="O238" i="1" s="1"/>
  <c r="P238" i="1"/>
  <c r="Q238" i="1"/>
  <c r="N239" i="1"/>
  <c r="O239" i="1" s="1"/>
  <c r="P239" i="1"/>
  <c r="Q239" i="1"/>
  <c r="N240" i="1"/>
  <c r="O240" i="1" s="1"/>
  <c r="P240" i="1"/>
  <c r="Q240" i="1"/>
  <c r="N241" i="1"/>
  <c r="O241" i="1" s="1"/>
  <c r="P241" i="1"/>
  <c r="Q241" i="1"/>
  <c r="N242" i="1"/>
  <c r="O242" i="1" s="1"/>
  <c r="P242" i="1"/>
  <c r="Q242" i="1"/>
  <c r="N243" i="1"/>
  <c r="O243" i="1" s="1"/>
  <c r="P243" i="1"/>
  <c r="Q243" i="1"/>
  <c r="N244" i="1"/>
  <c r="O244" i="1" s="1"/>
  <c r="P244" i="1"/>
  <c r="Q244" i="1"/>
  <c r="N245" i="1"/>
  <c r="O245" i="1" s="1"/>
  <c r="P245" i="1"/>
  <c r="Q245" i="1"/>
  <c r="N246" i="1"/>
  <c r="O246" i="1" s="1"/>
  <c r="P246" i="1"/>
  <c r="Q246" i="1"/>
  <c r="N247" i="1"/>
  <c r="O247" i="1" s="1"/>
  <c r="P247" i="1"/>
  <c r="Q247" i="1"/>
  <c r="N248" i="1"/>
  <c r="O248" i="1" s="1"/>
  <c r="P248" i="1"/>
  <c r="Q248" i="1"/>
  <c r="N249" i="1"/>
  <c r="O249" i="1" s="1"/>
  <c r="P249" i="1"/>
  <c r="Q249" i="1"/>
  <c r="N250" i="1"/>
  <c r="O250" i="1" s="1"/>
  <c r="P250" i="1"/>
  <c r="Q250" i="1"/>
  <c r="N251" i="1"/>
  <c r="O251" i="1" s="1"/>
  <c r="P251" i="1"/>
  <c r="Q251" i="1"/>
  <c r="N252" i="1"/>
  <c r="O252" i="1" s="1"/>
  <c r="P252" i="1"/>
  <c r="Q252" i="1"/>
  <c r="N253" i="1"/>
  <c r="O253" i="1" s="1"/>
  <c r="P253" i="1"/>
  <c r="Q253" i="1"/>
  <c r="N254" i="1"/>
  <c r="O254" i="1" s="1"/>
  <c r="P254" i="1"/>
  <c r="Q254" i="1"/>
  <c r="N255" i="1"/>
  <c r="O255" i="1" s="1"/>
  <c r="P255" i="1"/>
  <c r="Q255" i="1"/>
  <c r="N256" i="1"/>
  <c r="O256" i="1" s="1"/>
  <c r="P256" i="1"/>
  <c r="Q256" i="1"/>
  <c r="N257" i="1"/>
  <c r="O257" i="1" s="1"/>
  <c r="P257" i="1"/>
  <c r="Q257" i="1"/>
  <c r="N258" i="1"/>
  <c r="O258" i="1" s="1"/>
  <c r="P258" i="1"/>
  <c r="Q258" i="1"/>
  <c r="N259" i="1"/>
  <c r="O259" i="1" s="1"/>
  <c r="P259" i="1"/>
  <c r="Q259" i="1"/>
  <c r="N260" i="1"/>
  <c r="O260" i="1" s="1"/>
  <c r="P260" i="1"/>
  <c r="Q260" i="1"/>
  <c r="N261" i="1"/>
  <c r="O261" i="1" s="1"/>
  <c r="P261" i="1"/>
  <c r="Q261" i="1"/>
  <c r="N262" i="1"/>
  <c r="O262" i="1" s="1"/>
  <c r="P262" i="1"/>
  <c r="Q262" i="1"/>
  <c r="N263" i="1"/>
  <c r="O263" i="1" s="1"/>
  <c r="P263" i="1"/>
  <c r="Q263" i="1"/>
  <c r="N264" i="1"/>
  <c r="O264" i="1" s="1"/>
  <c r="P264" i="1"/>
  <c r="Q264" i="1"/>
  <c r="N265" i="1"/>
  <c r="O265" i="1" s="1"/>
  <c r="P265" i="1"/>
  <c r="Q265" i="1"/>
  <c r="N266" i="1"/>
  <c r="O266" i="1" s="1"/>
  <c r="P266" i="1"/>
  <c r="Q266" i="1"/>
  <c r="N267" i="1"/>
  <c r="O267" i="1" s="1"/>
  <c r="P267" i="1"/>
  <c r="Q267" i="1"/>
  <c r="N268" i="1"/>
  <c r="O268" i="1" s="1"/>
  <c r="P268" i="1"/>
  <c r="Q268" i="1"/>
  <c r="N269" i="1"/>
  <c r="O269" i="1" s="1"/>
  <c r="P269" i="1"/>
  <c r="Q269" i="1"/>
  <c r="N270" i="1"/>
  <c r="O270" i="1" s="1"/>
  <c r="P270" i="1"/>
  <c r="Q270" i="1"/>
  <c r="N271" i="1"/>
  <c r="O271" i="1" s="1"/>
  <c r="P271" i="1"/>
  <c r="Q271" i="1"/>
  <c r="N272" i="1"/>
  <c r="O272" i="1" s="1"/>
  <c r="P272" i="1"/>
  <c r="Q272" i="1"/>
  <c r="N273" i="1"/>
  <c r="O273" i="1" s="1"/>
  <c r="P273" i="1"/>
  <c r="Q273" i="1"/>
  <c r="N274" i="1"/>
  <c r="O274" i="1" s="1"/>
  <c r="P274" i="1"/>
  <c r="Q274" i="1"/>
  <c r="N275" i="1"/>
  <c r="O275" i="1" s="1"/>
  <c r="P275" i="1"/>
  <c r="Q275" i="1"/>
  <c r="N276" i="1"/>
  <c r="O276" i="1" s="1"/>
  <c r="P276" i="1"/>
  <c r="Q276" i="1"/>
  <c r="N277" i="1"/>
  <c r="O277" i="1" s="1"/>
  <c r="P277" i="1"/>
  <c r="Q277" i="1"/>
  <c r="N278" i="1"/>
  <c r="O278" i="1" s="1"/>
  <c r="P278" i="1"/>
  <c r="Q278" i="1"/>
  <c r="N279" i="1"/>
  <c r="O279" i="1" s="1"/>
  <c r="P279" i="1"/>
  <c r="Q279" i="1"/>
  <c r="N280" i="1"/>
  <c r="O280" i="1" s="1"/>
  <c r="P280" i="1"/>
  <c r="Q280" i="1"/>
  <c r="N281" i="1"/>
  <c r="O281" i="1" s="1"/>
  <c r="P281" i="1"/>
  <c r="Q281" i="1"/>
  <c r="N282" i="1"/>
  <c r="O282" i="1" s="1"/>
  <c r="P282" i="1"/>
  <c r="Q282" i="1"/>
  <c r="N283" i="1"/>
  <c r="O283" i="1" s="1"/>
  <c r="P283" i="1"/>
  <c r="Q283" i="1"/>
  <c r="N284" i="1"/>
  <c r="O284" i="1" s="1"/>
  <c r="P284" i="1"/>
  <c r="Q284" i="1"/>
  <c r="N285" i="1"/>
  <c r="O285" i="1" s="1"/>
  <c r="P285" i="1"/>
  <c r="Q285" i="1"/>
  <c r="N286" i="1"/>
  <c r="O286" i="1" s="1"/>
  <c r="P286" i="1"/>
  <c r="Q286" i="1"/>
  <c r="N287" i="1"/>
  <c r="O287" i="1" s="1"/>
  <c r="P287" i="1"/>
  <c r="Q287" i="1"/>
  <c r="N288" i="1"/>
  <c r="O288" i="1" s="1"/>
  <c r="P288" i="1"/>
  <c r="Q288" i="1"/>
  <c r="N289" i="1"/>
  <c r="O289" i="1" s="1"/>
  <c r="P289" i="1"/>
  <c r="Q289" i="1"/>
  <c r="N290" i="1"/>
  <c r="O290" i="1" s="1"/>
  <c r="P290" i="1"/>
  <c r="Q290" i="1"/>
  <c r="N291" i="1"/>
  <c r="O291" i="1" s="1"/>
  <c r="P291" i="1"/>
  <c r="Q291" i="1"/>
  <c r="N292" i="1"/>
  <c r="O292" i="1" s="1"/>
  <c r="P292" i="1"/>
  <c r="Q292" i="1"/>
  <c r="N293" i="1"/>
  <c r="O293" i="1" s="1"/>
  <c r="P293" i="1"/>
  <c r="Q293" i="1"/>
  <c r="N294" i="1"/>
  <c r="O294" i="1" s="1"/>
  <c r="P294" i="1"/>
  <c r="Q294" i="1"/>
  <c r="N295" i="1"/>
  <c r="P295" i="1"/>
  <c r="Q295" i="1"/>
  <c r="N296" i="1"/>
  <c r="O296" i="1" s="1"/>
  <c r="P296" i="1"/>
  <c r="Q296" i="1"/>
  <c r="N297" i="1"/>
  <c r="O297" i="1" s="1"/>
  <c r="P297" i="1"/>
  <c r="Q297" i="1"/>
  <c r="N298" i="1"/>
  <c r="O298" i="1" s="1"/>
  <c r="P298" i="1"/>
  <c r="Q298" i="1"/>
  <c r="N299" i="1"/>
  <c r="O299" i="1" s="1"/>
  <c r="P299" i="1"/>
  <c r="Q299" i="1"/>
  <c r="N300" i="1"/>
  <c r="P300" i="1"/>
  <c r="Q300" i="1"/>
  <c r="N301" i="1"/>
  <c r="O301" i="1" s="1"/>
  <c r="P301" i="1"/>
  <c r="Q301" i="1"/>
  <c r="N302" i="1"/>
  <c r="O302" i="1" s="1"/>
  <c r="P302" i="1"/>
  <c r="Q302" i="1"/>
  <c r="N303" i="1"/>
  <c r="O303" i="1" s="1"/>
  <c r="P303" i="1"/>
  <c r="Q303" i="1"/>
  <c r="N304" i="1"/>
  <c r="O304" i="1" s="1"/>
  <c r="P304" i="1"/>
  <c r="Q304" i="1"/>
  <c r="N305" i="1"/>
  <c r="O305" i="1" s="1"/>
  <c r="P305" i="1"/>
  <c r="Q305" i="1"/>
  <c r="N306" i="1"/>
  <c r="O306" i="1" s="1"/>
  <c r="P306" i="1"/>
  <c r="Q306" i="1"/>
  <c r="N307" i="1"/>
  <c r="O307" i="1" s="1"/>
  <c r="P307" i="1"/>
  <c r="Q307" i="1"/>
  <c r="N308" i="1"/>
  <c r="O308" i="1" s="1"/>
  <c r="P308" i="1"/>
  <c r="Q308" i="1"/>
  <c r="N309" i="1"/>
  <c r="O309" i="1" s="1"/>
  <c r="P309" i="1"/>
  <c r="Q309" i="1"/>
  <c r="N310" i="1"/>
  <c r="O310" i="1" s="1"/>
  <c r="P310" i="1"/>
  <c r="Q310" i="1"/>
  <c r="N311" i="1"/>
  <c r="P311" i="1"/>
  <c r="Q311" i="1"/>
  <c r="N312" i="1"/>
  <c r="P312" i="1"/>
  <c r="Q312" i="1"/>
  <c r="N313" i="1"/>
  <c r="P313" i="1"/>
  <c r="Q313" i="1"/>
  <c r="N314" i="1"/>
  <c r="O314" i="1" s="1"/>
  <c r="P314" i="1"/>
  <c r="Q314" i="1"/>
  <c r="N315" i="1"/>
  <c r="O315" i="1" s="1"/>
  <c r="P315" i="1"/>
  <c r="Q315" i="1"/>
  <c r="N316" i="1"/>
  <c r="P316" i="1"/>
  <c r="Q316" i="1"/>
  <c r="N317" i="1"/>
  <c r="O317" i="1" s="1"/>
  <c r="P317" i="1"/>
  <c r="Q317" i="1"/>
  <c r="N318" i="1"/>
  <c r="O318" i="1" s="1"/>
  <c r="P318" i="1"/>
  <c r="Q318" i="1"/>
  <c r="N319" i="1"/>
  <c r="O319" i="1" s="1"/>
  <c r="P319" i="1"/>
  <c r="Q319" i="1"/>
  <c r="N320" i="1"/>
  <c r="O320" i="1" s="1"/>
  <c r="P320" i="1"/>
  <c r="Q320" i="1"/>
  <c r="N321" i="1"/>
  <c r="O321" i="1" s="1"/>
  <c r="P321" i="1"/>
  <c r="Q321" i="1"/>
  <c r="N322" i="1"/>
  <c r="O322" i="1" s="1"/>
  <c r="P322" i="1"/>
  <c r="Q322" i="1"/>
  <c r="N323" i="1"/>
  <c r="O323" i="1" s="1"/>
  <c r="P323" i="1"/>
  <c r="Q323" i="1"/>
  <c r="N324" i="1"/>
  <c r="O324" i="1" s="1"/>
  <c r="P324" i="1"/>
  <c r="Q324" i="1"/>
  <c r="N325" i="1"/>
  <c r="O325" i="1" s="1"/>
  <c r="P325" i="1"/>
  <c r="Q325" i="1"/>
  <c r="N326" i="1"/>
  <c r="P326" i="1"/>
  <c r="Q326" i="1"/>
  <c r="N327" i="1"/>
  <c r="O327" i="1" s="1"/>
  <c r="P327" i="1"/>
  <c r="Q327" i="1"/>
  <c r="N328" i="1"/>
  <c r="P328" i="1"/>
  <c r="Q328" i="1"/>
  <c r="N329" i="1"/>
  <c r="O329" i="1" s="1"/>
  <c r="P329" i="1"/>
  <c r="Q329" i="1"/>
  <c r="N330" i="1"/>
  <c r="O330" i="1" s="1"/>
  <c r="P330" i="1"/>
  <c r="Q330" i="1"/>
  <c r="N331" i="1"/>
  <c r="O331" i="1" s="1"/>
  <c r="P331" i="1"/>
  <c r="Q331" i="1"/>
  <c r="N332" i="1"/>
  <c r="P332" i="1"/>
  <c r="Q332" i="1"/>
  <c r="N333" i="1"/>
  <c r="O333" i="1" s="1"/>
  <c r="P333" i="1"/>
  <c r="Q333" i="1"/>
  <c r="N334" i="1"/>
  <c r="O334" i="1" s="1"/>
  <c r="P334" i="1"/>
  <c r="Q334" i="1"/>
  <c r="N335" i="1"/>
  <c r="O335" i="1" s="1"/>
  <c r="P335" i="1"/>
  <c r="Q335" i="1"/>
  <c r="N336" i="1"/>
  <c r="O336" i="1" s="1"/>
  <c r="P336" i="1"/>
  <c r="Q336" i="1"/>
  <c r="N337" i="1"/>
  <c r="O337" i="1" s="1"/>
  <c r="P337" i="1"/>
  <c r="Q337" i="1"/>
  <c r="N338" i="1"/>
  <c r="O338" i="1" s="1"/>
  <c r="P338" i="1"/>
  <c r="Q338" i="1"/>
  <c r="N339" i="1"/>
  <c r="O339" i="1" s="1"/>
  <c r="P339" i="1"/>
  <c r="Q339" i="1"/>
  <c r="N340" i="1"/>
  <c r="O340" i="1" s="1"/>
  <c r="P340" i="1"/>
  <c r="Q340" i="1"/>
  <c r="N341" i="1"/>
  <c r="O341" i="1" s="1"/>
  <c r="P341" i="1"/>
  <c r="Q341" i="1"/>
  <c r="N342" i="1"/>
  <c r="O342" i="1" s="1"/>
  <c r="P342" i="1"/>
  <c r="Q342" i="1"/>
  <c r="N343" i="1"/>
  <c r="O343" i="1" s="1"/>
  <c r="P343" i="1"/>
  <c r="Q343" i="1"/>
  <c r="N344" i="1"/>
  <c r="O344" i="1" s="1"/>
  <c r="P344" i="1"/>
  <c r="Q344" i="1"/>
  <c r="N345" i="1"/>
  <c r="O345" i="1" s="1"/>
  <c r="P345" i="1"/>
  <c r="Q345" i="1"/>
  <c r="N346" i="1"/>
  <c r="O346" i="1" s="1"/>
  <c r="P346" i="1"/>
  <c r="Q346" i="1"/>
  <c r="N347" i="1"/>
  <c r="O347" i="1" s="1"/>
  <c r="P347" i="1"/>
  <c r="Q347" i="1"/>
  <c r="N348" i="1"/>
  <c r="O348" i="1" s="1"/>
  <c r="P348" i="1"/>
  <c r="Q348" i="1"/>
  <c r="N349" i="1"/>
  <c r="O349" i="1" s="1"/>
  <c r="P349" i="1"/>
  <c r="Q349" i="1"/>
  <c r="N350" i="1"/>
  <c r="O350" i="1" s="1"/>
  <c r="P350" i="1"/>
  <c r="Q350" i="1"/>
  <c r="N351" i="1"/>
  <c r="P351" i="1"/>
  <c r="Q351" i="1"/>
  <c r="N352" i="1"/>
  <c r="O352" i="1" s="1"/>
  <c r="P352" i="1"/>
  <c r="Q352" i="1"/>
  <c r="N353" i="1"/>
  <c r="O353" i="1" s="1"/>
  <c r="P353" i="1"/>
  <c r="Q353" i="1"/>
  <c r="N354" i="1"/>
  <c r="O354" i="1" s="1"/>
  <c r="P354" i="1"/>
  <c r="Q354" i="1"/>
  <c r="N355" i="1"/>
  <c r="O355" i="1" s="1"/>
  <c r="P355" i="1"/>
  <c r="Q355" i="1"/>
  <c r="N356" i="1"/>
  <c r="O356" i="1" s="1"/>
  <c r="P356" i="1"/>
  <c r="Q356" i="1"/>
  <c r="N357" i="1"/>
  <c r="O357" i="1" s="1"/>
  <c r="P357" i="1"/>
  <c r="Q357" i="1"/>
  <c r="P3" i="1"/>
  <c r="Q3" i="1"/>
  <c r="N3" i="1"/>
  <c r="O3" i="1" s="1"/>
  <c r="O324" i="3"/>
  <c r="O318" i="3"/>
  <c r="K360" i="1"/>
  <c r="S360" i="1" s="1"/>
  <c r="K330" i="1"/>
  <c r="K329" i="1"/>
  <c r="K328" i="1"/>
  <c r="K327" i="1"/>
  <c r="K170" i="1"/>
  <c r="K79" i="1"/>
  <c r="K157" i="1"/>
  <c r="K305" i="1"/>
  <c r="K99" i="1"/>
  <c r="K92" i="1"/>
  <c r="Q2" i="1" l="1"/>
  <c r="P2" i="1"/>
  <c r="N16" i="3"/>
  <c r="O26" i="3"/>
  <c r="O220" i="3"/>
  <c r="O227" i="3"/>
  <c r="O140" i="3"/>
  <c r="O244" i="3"/>
  <c r="N157" i="3"/>
  <c r="N280" i="3"/>
  <c r="O313" i="3"/>
  <c r="N366" i="3"/>
  <c r="N187" i="3"/>
  <c r="N83" i="3"/>
  <c r="N102" i="3"/>
  <c r="N406" i="3"/>
  <c r="O102" i="3"/>
  <c r="O433" i="3"/>
  <c r="O95" i="3"/>
  <c r="N9" i="3"/>
  <c r="N323" i="3"/>
  <c r="N20" i="3"/>
  <c r="N125" i="3"/>
  <c r="O36" i="3"/>
  <c r="N43" i="3"/>
  <c r="N240" i="3"/>
  <c r="N250" i="3"/>
  <c r="N155" i="3"/>
  <c r="N70" i="3"/>
  <c r="O77" i="3"/>
  <c r="O296" i="3"/>
  <c r="W345" i="3" s="1"/>
  <c r="O392" i="3"/>
  <c r="W376" i="3" s="1"/>
  <c r="N420" i="3"/>
  <c r="O445" i="3"/>
  <c r="N96" i="3"/>
  <c r="O9" i="3"/>
  <c r="O323" i="3"/>
  <c r="O118" i="3"/>
  <c r="O219" i="3"/>
  <c r="O131" i="3"/>
  <c r="O237" i="3"/>
  <c r="W180" i="3" s="1"/>
  <c r="N146" i="3"/>
  <c r="N255" i="3"/>
  <c r="N270" i="3"/>
  <c r="O278" i="3"/>
  <c r="W291" i="3" s="1"/>
  <c r="O362" i="3"/>
  <c r="O82" i="3"/>
  <c r="W353" i="3" s="1"/>
  <c r="O398" i="3"/>
  <c r="W382" i="3" s="1"/>
  <c r="N428" i="3"/>
  <c r="O450" i="3"/>
  <c r="O96" i="3"/>
  <c r="N10" i="3"/>
  <c r="N109" i="3"/>
  <c r="N24" i="3"/>
  <c r="N327" i="3"/>
  <c r="N226" i="3"/>
  <c r="N48" i="3"/>
  <c r="O146" i="3"/>
  <c r="O255" i="3"/>
  <c r="W233" i="3" s="1"/>
  <c r="O270" i="3"/>
  <c r="W264" i="3" s="1"/>
  <c r="N357" i="3"/>
  <c r="N289" i="3"/>
  <c r="N178" i="3"/>
  <c r="N399" i="3"/>
  <c r="N431" i="3"/>
  <c r="O453" i="3"/>
  <c r="N194" i="3"/>
  <c r="O10" i="3"/>
  <c r="O109" i="3"/>
  <c r="O24" i="3"/>
  <c r="O327" i="3"/>
  <c r="O226" i="3"/>
  <c r="O48" i="3"/>
  <c r="W181" i="3" s="1"/>
  <c r="N60" i="3"/>
  <c r="N256" i="3"/>
  <c r="N271" i="3"/>
  <c r="N279" i="3"/>
  <c r="O289" i="3"/>
  <c r="O178" i="3"/>
  <c r="W355" i="3" s="1"/>
  <c r="O399" i="3"/>
  <c r="W383" i="3" s="1"/>
  <c r="O431" i="3"/>
  <c r="N87" i="3"/>
  <c r="N13" i="3"/>
  <c r="N119" i="3"/>
  <c r="O230" i="3"/>
  <c r="N238" i="3"/>
  <c r="N245" i="3"/>
  <c r="N346" i="3"/>
  <c r="N159" i="3"/>
  <c r="O280" i="3"/>
  <c r="O368" i="3"/>
  <c r="O83" i="3"/>
  <c r="O406" i="3"/>
  <c r="W390" i="3" s="1"/>
  <c r="N436" i="3"/>
  <c r="N89" i="3"/>
  <c r="N315" i="3"/>
  <c r="O13" i="3"/>
  <c r="O16" i="3"/>
  <c r="O224" i="3"/>
  <c r="N136" i="3"/>
  <c r="N154" i="3"/>
  <c r="N94" i="3"/>
  <c r="N199" i="3"/>
  <c r="O14" i="3"/>
  <c r="N208" i="3"/>
  <c r="O30" i="3"/>
  <c r="O332" i="3"/>
  <c r="O41" i="3"/>
  <c r="W168" i="3" s="1"/>
  <c r="O142" i="3"/>
  <c r="W193" i="3" s="1"/>
  <c r="O249" i="3"/>
  <c r="N263" i="3"/>
  <c r="N276" i="3"/>
  <c r="N76" i="3"/>
  <c r="N295" i="3"/>
  <c r="O386" i="3"/>
  <c r="O417" i="3"/>
  <c r="N304" i="3"/>
  <c r="N183" i="3"/>
  <c r="O99" i="3"/>
  <c r="N11" i="3"/>
  <c r="N110" i="3"/>
  <c r="N25" i="3"/>
  <c r="N35" i="3"/>
  <c r="N132" i="3"/>
  <c r="N49" i="3"/>
  <c r="N243" i="3"/>
  <c r="O256" i="3"/>
  <c r="W234" i="3" s="1"/>
  <c r="O272" i="3"/>
  <c r="W266" i="3" s="1"/>
  <c r="O73" i="3"/>
  <c r="O364" i="3"/>
  <c r="N301" i="3"/>
  <c r="N403" i="3"/>
  <c r="N432" i="3"/>
  <c r="O87" i="3"/>
  <c r="O186" i="3"/>
  <c r="N101" i="3"/>
  <c r="N201" i="3"/>
  <c r="O110" i="3"/>
  <c r="O25" i="3"/>
  <c r="O35" i="3"/>
  <c r="W127" i="3" s="1"/>
  <c r="O132" i="3"/>
  <c r="W151" i="3" s="1"/>
  <c r="O49" i="3"/>
  <c r="O243" i="3"/>
  <c r="W210" i="3" s="1"/>
  <c r="N257" i="3"/>
  <c r="N273" i="3"/>
  <c r="N170" i="3"/>
  <c r="N365" i="3"/>
  <c r="N303" i="3"/>
  <c r="O403" i="3"/>
  <c r="O432" i="3"/>
  <c r="N313" i="3"/>
  <c r="O101" i="3"/>
  <c r="N318" i="3"/>
  <c r="O113" i="3"/>
  <c r="N26" i="3"/>
  <c r="N220" i="3"/>
  <c r="N227" i="3"/>
  <c r="N140" i="3"/>
  <c r="N244" i="3"/>
  <c r="N66" i="3"/>
  <c r="O273" i="3"/>
  <c r="O170" i="3"/>
  <c r="O365" i="3"/>
  <c r="O303" i="3"/>
  <c r="N404" i="3"/>
  <c r="N433" i="3"/>
  <c r="O326" i="3"/>
  <c r="N342" i="3"/>
  <c r="N165" i="3"/>
  <c r="N173" i="3"/>
  <c r="O292" i="3"/>
  <c r="W337" i="3" s="1"/>
  <c r="O384" i="3"/>
  <c r="W368" i="3" s="1"/>
  <c r="O415" i="3"/>
  <c r="N443" i="3"/>
  <c r="N314" i="3"/>
  <c r="O315" i="3"/>
  <c r="N203" i="3"/>
  <c r="N17" i="3"/>
  <c r="N214" i="3"/>
  <c r="N331" i="3"/>
  <c r="N40" i="3"/>
  <c r="O342" i="3"/>
  <c r="O154" i="3"/>
  <c r="O165" i="3"/>
  <c r="O173" i="3"/>
  <c r="W310" i="3" s="1"/>
  <c r="N80" i="3"/>
  <c r="N385" i="3"/>
  <c r="N416" i="3"/>
  <c r="O443" i="3"/>
  <c r="O93" i="3"/>
  <c r="N196" i="3"/>
  <c r="O203" i="3"/>
  <c r="W59" i="3" s="1"/>
  <c r="N19" i="3"/>
  <c r="O214" i="3"/>
  <c r="O331" i="3"/>
  <c r="O40" i="3"/>
  <c r="N343" i="3"/>
  <c r="N348" i="3"/>
  <c r="N166" i="3"/>
  <c r="N360" i="3"/>
  <c r="O80" i="3"/>
  <c r="O385" i="3"/>
  <c r="O416" i="3"/>
  <c r="W400" i="3" s="1"/>
  <c r="N190" i="3"/>
  <c r="O104" i="3"/>
  <c r="W40" i="3" s="1"/>
  <c r="N14" i="3"/>
  <c r="O19" i="3"/>
  <c r="W85" i="3" s="1"/>
  <c r="N30" i="3"/>
  <c r="N332" i="3"/>
  <c r="N41" i="3"/>
  <c r="N142" i="3"/>
  <c r="N249" i="3"/>
  <c r="O350" i="3"/>
  <c r="O166" i="3"/>
  <c r="O360" i="3"/>
  <c r="W311" i="3" s="1"/>
  <c r="O294" i="3"/>
  <c r="N386" i="3"/>
  <c r="N417" i="3"/>
  <c r="O447" i="3"/>
  <c r="O94" i="3"/>
  <c r="O199" i="3"/>
  <c r="W42" i="3" s="1"/>
  <c r="N15" i="3"/>
  <c r="O208" i="3"/>
  <c r="W87" i="3" s="1"/>
  <c r="N124" i="3"/>
  <c r="N225" i="3"/>
  <c r="N42" i="3"/>
  <c r="N239" i="3"/>
  <c r="N64" i="3"/>
  <c r="N264" i="3"/>
  <c r="O276" i="3"/>
  <c r="O76" i="3"/>
  <c r="W312" i="3" s="1"/>
  <c r="O295" i="3"/>
  <c r="N387" i="3"/>
  <c r="N418" i="3"/>
  <c r="O304" i="3"/>
  <c r="W429" i="3" s="1"/>
  <c r="N95" i="3"/>
  <c r="N200" i="3"/>
  <c r="O322" i="3"/>
  <c r="W68" i="3" s="1"/>
  <c r="N209" i="3"/>
  <c r="O124" i="3"/>
  <c r="W113" i="3" s="1"/>
  <c r="N36" i="3"/>
  <c r="O42" i="3"/>
  <c r="O239" i="3"/>
  <c r="O64" i="3"/>
  <c r="O264" i="3"/>
  <c r="W254" i="3" s="1"/>
  <c r="N277" i="3"/>
  <c r="N77" i="3"/>
  <c r="N375" i="3"/>
  <c r="O387" i="3"/>
  <c r="O418" i="3"/>
  <c r="N445" i="3"/>
  <c r="O89" i="3"/>
  <c r="W10" i="3" s="1"/>
  <c r="N3" i="3"/>
  <c r="N197" i="3"/>
  <c r="O11" i="3"/>
  <c r="W49" i="3" s="1"/>
  <c r="N204" i="3"/>
  <c r="N206" i="3"/>
  <c r="O209" i="3"/>
  <c r="W88" i="3" s="1"/>
  <c r="O119" i="3"/>
  <c r="O125" i="3"/>
  <c r="N128" i="3"/>
  <c r="N336" i="3"/>
  <c r="N234" i="3"/>
  <c r="O238" i="3"/>
  <c r="O240" i="3"/>
  <c r="O245" i="3"/>
  <c r="O250" i="3"/>
  <c r="O346" i="3"/>
  <c r="W241" i="3" s="1"/>
  <c r="O155" i="3"/>
  <c r="W255" i="3" s="1"/>
  <c r="O159" i="3"/>
  <c r="O70" i="3"/>
  <c r="W287" i="3" s="1"/>
  <c r="N171" i="3"/>
  <c r="N174" i="3"/>
  <c r="N369" i="3"/>
  <c r="N297" i="3"/>
  <c r="N84" i="3"/>
  <c r="N393" i="3"/>
  <c r="N407" i="3"/>
  <c r="N422" i="3"/>
  <c r="N438" i="3"/>
  <c r="N446" i="3"/>
  <c r="N90" i="3"/>
  <c r="O3" i="3"/>
  <c r="O197" i="3"/>
  <c r="W37" i="3" s="1"/>
  <c r="N105" i="3"/>
  <c r="O204" i="3"/>
  <c r="O206" i="3"/>
  <c r="W76" i="3" s="1"/>
  <c r="N210" i="3"/>
  <c r="N120" i="3"/>
  <c r="N216" i="3"/>
  <c r="N127" i="3"/>
  <c r="O128" i="3"/>
  <c r="O336" i="3"/>
  <c r="O234" i="3"/>
  <c r="N339" i="3"/>
  <c r="O57" i="3"/>
  <c r="N251" i="3"/>
  <c r="N347" i="3"/>
  <c r="N156" i="3"/>
  <c r="N274" i="3"/>
  <c r="N355" i="3"/>
  <c r="N281" i="3"/>
  <c r="O361" i="3"/>
  <c r="O369" i="3"/>
  <c r="W331" i="3" s="1"/>
  <c r="O297" i="3"/>
  <c r="O84" i="3"/>
  <c r="O393" i="3"/>
  <c r="O407" i="3"/>
  <c r="O422" i="3"/>
  <c r="O438" i="3"/>
  <c r="W422" i="3" s="1"/>
  <c r="N86" i="3"/>
  <c r="O90" i="3"/>
  <c r="N191" i="3"/>
  <c r="N5" i="3"/>
  <c r="O105" i="3"/>
  <c r="W50" i="3" s="1"/>
  <c r="N205" i="3"/>
  <c r="N114" i="3"/>
  <c r="O210" i="3"/>
  <c r="O120" i="3"/>
  <c r="W103" i="3" s="1"/>
  <c r="O216" i="3"/>
  <c r="W117" i="3" s="1"/>
  <c r="O127" i="3"/>
  <c r="N37" i="3"/>
  <c r="N231" i="3"/>
  <c r="N235" i="3"/>
  <c r="N52" i="3"/>
  <c r="N58" i="3"/>
  <c r="O251" i="3"/>
  <c r="O347" i="3"/>
  <c r="O156" i="3"/>
  <c r="O274" i="3"/>
  <c r="O355" i="3"/>
  <c r="O281" i="3"/>
  <c r="N78" i="3"/>
  <c r="N370" i="3"/>
  <c r="N298" i="3"/>
  <c r="N377" i="3"/>
  <c r="N394" i="3"/>
  <c r="N408" i="3"/>
  <c r="N423" i="3"/>
  <c r="N439" i="3"/>
  <c r="O86" i="3"/>
  <c r="N188" i="3"/>
  <c r="O98" i="3"/>
  <c r="W26" i="3" s="1"/>
  <c r="O5" i="3"/>
  <c r="N316" i="3"/>
  <c r="N321" i="3"/>
  <c r="O114" i="3"/>
  <c r="N117" i="3"/>
  <c r="N121" i="3"/>
  <c r="N217" i="3"/>
  <c r="O334" i="3"/>
  <c r="W145" i="3" s="1"/>
  <c r="O231" i="3"/>
  <c r="W159" i="3" s="1"/>
  <c r="O45" i="3"/>
  <c r="O141" i="3"/>
  <c r="O58" i="3"/>
  <c r="O254" i="3"/>
  <c r="N151" i="3"/>
  <c r="N266" i="3"/>
  <c r="N160" i="3"/>
  <c r="N168" i="3"/>
  <c r="N282" i="3"/>
  <c r="N79" i="3"/>
  <c r="N372" i="3"/>
  <c r="O298" i="3"/>
  <c r="W347" i="3" s="1"/>
  <c r="N382" i="3"/>
  <c r="O394" i="3"/>
  <c r="O408" i="3"/>
  <c r="O425" i="3"/>
  <c r="W409" i="3" s="1"/>
  <c r="O440" i="3"/>
  <c r="N447" i="3"/>
  <c r="O188" i="3"/>
  <c r="N193" i="3"/>
  <c r="N104" i="3"/>
  <c r="O316" i="3"/>
  <c r="O321" i="3"/>
  <c r="W66" i="3" s="1"/>
  <c r="N324" i="3"/>
  <c r="O117" i="3"/>
  <c r="W90" i="3" s="1"/>
  <c r="O121" i="3"/>
  <c r="O217" i="3"/>
  <c r="N130" i="3"/>
  <c r="N135" i="3"/>
  <c r="N236" i="3"/>
  <c r="N241" i="3"/>
  <c r="N147" i="3"/>
  <c r="N65" i="3"/>
  <c r="O151" i="3"/>
  <c r="O266" i="3"/>
  <c r="O160" i="3"/>
  <c r="O168" i="3"/>
  <c r="O282" i="3"/>
  <c r="W303" i="3" s="1"/>
  <c r="O79" i="3"/>
  <c r="O372" i="3"/>
  <c r="N299" i="3"/>
  <c r="O382" i="3"/>
  <c r="N395" i="3"/>
  <c r="N409" i="3"/>
  <c r="N426" i="3"/>
  <c r="N441" i="3"/>
  <c r="N450" i="3"/>
  <c r="N440" i="3"/>
  <c r="O430" i="3"/>
  <c r="O419" i="3"/>
  <c r="N410" i="3"/>
  <c r="O400" i="3"/>
  <c r="N391" i="3"/>
  <c r="N380" i="3"/>
  <c r="O177" i="3"/>
  <c r="N296" i="3"/>
  <c r="O291" i="3"/>
  <c r="N364" i="3"/>
  <c r="N361" i="3"/>
  <c r="O283" i="3"/>
  <c r="W305" i="3" s="1"/>
  <c r="N72" i="3"/>
  <c r="O167" i="3"/>
  <c r="O161" i="3"/>
  <c r="N272" i="3"/>
  <c r="O265" i="3"/>
  <c r="N262" i="3"/>
  <c r="N258" i="3"/>
  <c r="O252" i="3"/>
  <c r="N148" i="3"/>
  <c r="O242" i="3"/>
  <c r="N57" i="3"/>
  <c r="N54" i="3"/>
  <c r="O50" i="3"/>
  <c r="N45" i="3"/>
  <c r="O137" i="3"/>
  <c r="O133" i="3"/>
  <c r="N38" i="3"/>
  <c r="O223" i="3"/>
  <c r="O126" i="3"/>
  <c r="W128" i="3" s="1"/>
  <c r="O33" i="3"/>
  <c r="W119" i="3" s="1"/>
  <c r="O123" i="3"/>
  <c r="O27" i="3"/>
  <c r="O211" i="3"/>
  <c r="O17" i="3"/>
  <c r="O111" i="3"/>
  <c r="O320" i="3"/>
  <c r="W64" i="3" s="1"/>
  <c r="O106" i="3"/>
  <c r="O7" i="3"/>
  <c r="O196" i="3"/>
  <c r="W36" i="3" s="1"/>
  <c r="O193" i="3"/>
  <c r="O190" i="3"/>
  <c r="O187" i="3"/>
  <c r="W9" i="3" s="1"/>
  <c r="O449" i="3"/>
  <c r="O439" i="3"/>
  <c r="N430" i="3"/>
  <c r="N419" i="3"/>
  <c r="O409" i="3"/>
  <c r="N400" i="3"/>
  <c r="O390" i="3"/>
  <c r="O379" i="3"/>
  <c r="N177" i="3"/>
  <c r="O375" i="3"/>
  <c r="N291" i="3"/>
  <c r="N290" i="3"/>
  <c r="O174" i="3"/>
  <c r="N283" i="3"/>
  <c r="O71" i="3"/>
  <c r="W295" i="3" s="1"/>
  <c r="N167" i="3"/>
  <c r="N161" i="3"/>
  <c r="O271" i="3"/>
  <c r="N265" i="3"/>
  <c r="O153" i="3"/>
  <c r="W246" i="3" s="1"/>
  <c r="O257" i="3"/>
  <c r="N252" i="3"/>
  <c r="O341" i="3"/>
  <c r="N242" i="3"/>
  <c r="N145" i="3"/>
  <c r="O53" i="3"/>
  <c r="N50" i="3"/>
  <c r="O235" i="3"/>
  <c r="N137" i="3"/>
  <c r="N133" i="3"/>
  <c r="O129" i="3"/>
  <c r="W143" i="3" s="1"/>
  <c r="N223" i="3"/>
  <c r="N126" i="3"/>
  <c r="N33" i="3"/>
  <c r="N123" i="3"/>
  <c r="N27" i="3"/>
  <c r="N211" i="3"/>
  <c r="N449" i="3"/>
  <c r="O435" i="3"/>
  <c r="W419" i="3" s="1"/>
  <c r="N425" i="3"/>
  <c r="O414" i="3"/>
  <c r="O402" i="3"/>
  <c r="N392" i="3"/>
  <c r="N379" i="3"/>
  <c r="O176" i="3"/>
  <c r="N294" i="3"/>
  <c r="N368" i="3"/>
  <c r="O287" i="3"/>
  <c r="O172" i="3"/>
  <c r="W307" i="3" s="1"/>
  <c r="N73" i="3"/>
  <c r="N69" i="3"/>
  <c r="O275" i="3"/>
  <c r="W273" i="3" s="1"/>
  <c r="N269" i="3"/>
  <c r="N350" i="3"/>
  <c r="O260" i="3"/>
  <c r="N254" i="3"/>
  <c r="N248" i="3"/>
  <c r="O340" i="3"/>
  <c r="O144" i="3"/>
  <c r="N141" i="3"/>
  <c r="N338" i="3"/>
  <c r="O337" i="3"/>
  <c r="N230" i="3"/>
  <c r="N334" i="3"/>
  <c r="O222" i="3"/>
  <c r="W133" i="3" s="1"/>
  <c r="O329" i="3"/>
  <c r="W125" i="3" s="1"/>
  <c r="O215" i="3"/>
  <c r="W115" i="3" s="1"/>
  <c r="O29" i="3"/>
  <c r="W105" i="3" s="1"/>
  <c r="O23" i="3"/>
  <c r="O116" i="3"/>
  <c r="W84" i="3" s="1"/>
  <c r="N113" i="3"/>
  <c r="O107" i="3"/>
  <c r="N202" i="3"/>
  <c r="N7" i="3"/>
  <c r="O195" i="3"/>
  <c r="N98" i="3"/>
  <c r="O92" i="3"/>
  <c r="N186" i="3"/>
  <c r="O448" i="3"/>
  <c r="N435" i="3"/>
  <c r="O424" i="3"/>
  <c r="N414" i="3"/>
  <c r="N402" i="3"/>
  <c r="O391" i="3"/>
  <c r="W375" i="3" s="1"/>
  <c r="O378" i="3"/>
  <c r="N176" i="3"/>
  <c r="N374" i="3"/>
  <c r="O367" i="3"/>
  <c r="N287" i="3"/>
  <c r="N172" i="3"/>
  <c r="O72" i="3"/>
  <c r="O68" i="3"/>
  <c r="N275" i="3"/>
  <c r="O268" i="3"/>
  <c r="O349" i="3"/>
  <c r="W250" i="3" s="1"/>
  <c r="N260" i="3"/>
  <c r="N149" i="3"/>
  <c r="O148" i="3"/>
  <c r="N340" i="3"/>
  <c r="N144" i="3"/>
  <c r="O139" i="3"/>
  <c r="N337" i="3"/>
  <c r="O134" i="3"/>
  <c r="O38" i="3"/>
  <c r="N222" i="3"/>
  <c r="N329" i="3"/>
  <c r="N215" i="3"/>
  <c r="N29" i="3"/>
  <c r="N23" i="3"/>
  <c r="N116" i="3"/>
  <c r="O112" i="3"/>
  <c r="W74" i="3" s="1"/>
  <c r="N107" i="3"/>
  <c r="N106" i="3"/>
  <c r="O6" i="3"/>
  <c r="W44" i="3" s="1"/>
  <c r="N195" i="3"/>
  <c r="O192" i="3"/>
  <c r="W25" i="3" s="1"/>
  <c r="N92" i="3"/>
  <c r="O184" i="3"/>
  <c r="N448" i="3"/>
  <c r="O434" i="3"/>
  <c r="N424" i="3"/>
  <c r="N412" i="3"/>
  <c r="O401" i="3"/>
  <c r="N390" i="3"/>
  <c r="N378" i="3"/>
  <c r="O300" i="3"/>
  <c r="W351" i="3" s="1"/>
  <c r="O81" i="3"/>
  <c r="W339" i="3" s="1"/>
  <c r="N367" i="3"/>
  <c r="O286" i="3"/>
  <c r="W318" i="3" s="1"/>
  <c r="O284" i="3"/>
  <c r="W306" i="3" s="1"/>
  <c r="N71" i="3"/>
  <c r="N68" i="3"/>
  <c r="O67" i="3"/>
  <c r="N268" i="3"/>
  <c r="N349" i="3"/>
  <c r="O150" i="3"/>
  <c r="O253" i="3"/>
  <c r="N341" i="3"/>
  <c r="N61" i="3"/>
  <c r="O143" i="3"/>
  <c r="N139" i="3"/>
  <c r="O138" i="3"/>
  <c r="N134" i="3"/>
  <c r="N129" i="3"/>
  <c r="O330" i="3"/>
  <c r="W132" i="3" s="1"/>
  <c r="O328" i="3"/>
  <c r="O31" i="3"/>
  <c r="W114" i="3" s="1"/>
  <c r="O212" i="3"/>
  <c r="W104" i="3" s="1"/>
  <c r="O21" i="3"/>
  <c r="O18" i="3"/>
  <c r="N112" i="3"/>
  <c r="N320" i="3"/>
  <c r="O12" i="3"/>
  <c r="N6" i="3"/>
  <c r="O4" i="3"/>
  <c r="N192" i="3"/>
  <c r="O189" i="3"/>
  <c r="N184" i="3"/>
  <c r="N434" i="3"/>
  <c r="O423" i="3"/>
  <c r="W407" i="3" s="1"/>
  <c r="O411" i="3"/>
  <c r="W395" i="3" s="1"/>
  <c r="N401" i="3"/>
  <c r="N388" i="3"/>
  <c r="O377" i="3"/>
  <c r="W361" i="3" s="1"/>
  <c r="N300" i="3"/>
  <c r="N81" i="3"/>
  <c r="O366" i="3"/>
  <c r="N286" i="3"/>
  <c r="N284" i="3"/>
  <c r="O279" i="3"/>
  <c r="O277" i="3"/>
  <c r="N67" i="3"/>
  <c r="N353" i="3"/>
  <c r="O348" i="3"/>
  <c r="N150" i="3"/>
  <c r="N253" i="3"/>
  <c r="O247" i="3"/>
  <c r="O60" i="3"/>
  <c r="N143" i="3"/>
  <c r="O52" i="3"/>
  <c r="W188" i="3" s="1"/>
  <c r="O46" i="3"/>
  <c r="N138" i="3"/>
  <c r="N228" i="3"/>
  <c r="O37" i="3"/>
  <c r="N330" i="3"/>
  <c r="N328" i="3"/>
  <c r="N31" i="3"/>
  <c r="N212" i="3"/>
  <c r="N21" i="3"/>
  <c r="N18" i="3"/>
  <c r="N111" i="3"/>
  <c r="O205" i="3"/>
  <c r="N12" i="3"/>
  <c r="O200" i="3"/>
  <c r="N4" i="3"/>
  <c r="O191" i="3"/>
  <c r="W24" i="3" s="1"/>
  <c r="N189" i="3"/>
  <c r="O183" i="3"/>
  <c r="N444" i="3"/>
  <c r="N122" i="3"/>
  <c r="N218" i="3"/>
  <c r="N221" i="3"/>
  <c r="N335" i="3"/>
  <c r="O135" i="3"/>
  <c r="O236" i="3"/>
  <c r="O241" i="3"/>
  <c r="O147" i="3"/>
  <c r="O65" i="3"/>
  <c r="N261" i="3"/>
  <c r="N352" i="3"/>
  <c r="N162" i="3"/>
  <c r="N356" i="3"/>
  <c r="N359" i="3"/>
  <c r="N288" i="3"/>
  <c r="N373" i="3"/>
  <c r="N376" i="3"/>
  <c r="N383" i="3"/>
  <c r="O395" i="3"/>
  <c r="W379" i="3" s="1"/>
  <c r="O410" i="3"/>
  <c r="O426" i="3"/>
  <c r="O441" i="3"/>
  <c r="O314" i="3"/>
  <c r="W13" i="3" s="1"/>
  <c r="O194" i="3"/>
  <c r="N198" i="3"/>
  <c r="O201" i="3"/>
  <c r="O15" i="3"/>
  <c r="N325" i="3"/>
  <c r="O20" i="3"/>
  <c r="W92" i="3" s="1"/>
  <c r="O122" i="3"/>
  <c r="O218" i="3"/>
  <c r="O221" i="3"/>
  <c r="O335" i="3"/>
  <c r="N232" i="3"/>
  <c r="N46" i="3"/>
  <c r="N53" i="3"/>
  <c r="N59" i="3"/>
  <c r="N247" i="3"/>
  <c r="N345" i="3"/>
  <c r="N153" i="3"/>
  <c r="O352" i="3"/>
  <c r="N164" i="3"/>
  <c r="O356" i="3"/>
  <c r="O359" i="3"/>
  <c r="W304" i="3" s="1"/>
  <c r="O288" i="3"/>
  <c r="W321" i="3" s="1"/>
  <c r="O373" i="3"/>
  <c r="O376" i="3"/>
  <c r="O383" i="3"/>
  <c r="W367" i="3" s="1"/>
  <c r="N396" i="3"/>
  <c r="N411" i="3"/>
  <c r="N427" i="3"/>
  <c r="N442" i="3"/>
  <c r="N451" i="3"/>
  <c r="N93" i="3"/>
  <c r="N99" i="3"/>
  <c r="O198" i="3"/>
  <c r="O202" i="3"/>
  <c r="N322" i="3"/>
  <c r="O325" i="3"/>
  <c r="W80" i="3" s="1"/>
  <c r="N118" i="3"/>
  <c r="N326" i="3"/>
  <c r="N219" i="3"/>
  <c r="N224" i="3"/>
  <c r="N131" i="3"/>
  <c r="O232" i="3"/>
  <c r="N237" i="3"/>
  <c r="O54" i="3"/>
  <c r="O59" i="3"/>
  <c r="O248" i="3"/>
  <c r="O345" i="3"/>
  <c r="W232" i="3" s="1"/>
  <c r="O262" i="3"/>
  <c r="O269" i="3"/>
  <c r="O164" i="3"/>
  <c r="N278" i="3"/>
  <c r="N74" i="3"/>
  <c r="N362" i="3"/>
  <c r="N292" i="3"/>
  <c r="N82" i="3"/>
  <c r="N384" i="3"/>
  <c r="N398" i="3"/>
  <c r="N415" i="3"/>
  <c r="O427" i="3"/>
  <c r="O442" i="3"/>
  <c r="N453" i="3"/>
  <c r="O225" i="3"/>
  <c r="O130" i="3"/>
  <c r="O228" i="3"/>
  <c r="O43" i="3"/>
  <c r="O338" i="3"/>
  <c r="O145" i="3"/>
  <c r="W198" i="3" s="1"/>
  <c r="O343" i="3"/>
  <c r="W220" i="3" s="1"/>
  <c r="O258" i="3"/>
  <c r="W236" i="3" s="1"/>
  <c r="O261" i="3"/>
  <c r="W244" i="3" s="1"/>
  <c r="O353" i="3"/>
  <c r="O157" i="3"/>
  <c r="O69" i="3"/>
  <c r="O357" i="3"/>
  <c r="O74" i="3"/>
  <c r="W308" i="3" s="1"/>
  <c r="O78" i="3"/>
  <c r="W316" i="3" s="1"/>
  <c r="O370" i="3"/>
  <c r="O374" i="3"/>
  <c r="O301" i="3"/>
  <c r="O380" i="3"/>
  <c r="O396" i="3"/>
  <c r="W380" i="3" s="1"/>
  <c r="O404" i="3"/>
  <c r="O412" i="3"/>
  <c r="W396" i="3" s="1"/>
  <c r="O428" i="3"/>
  <c r="O436" i="3"/>
  <c r="W420" i="3" s="1"/>
  <c r="O444" i="3"/>
  <c r="O446" i="3"/>
  <c r="N185" i="3"/>
  <c r="N91" i="3"/>
  <c r="N97" i="3"/>
  <c r="N100" i="3"/>
  <c r="N103" i="3"/>
  <c r="N8" i="3"/>
  <c r="N317" i="3"/>
  <c r="N319" i="3"/>
  <c r="N108" i="3"/>
  <c r="N115" i="3"/>
  <c r="N207" i="3"/>
  <c r="N22" i="3"/>
  <c r="N28" i="3"/>
  <c r="N213" i="3"/>
  <c r="N32" i="3"/>
  <c r="N34" i="3"/>
  <c r="N333" i="3"/>
  <c r="N39" i="3"/>
  <c r="N229" i="3"/>
  <c r="N233" i="3"/>
  <c r="N44" i="3"/>
  <c r="N47" i="3"/>
  <c r="N51" i="3"/>
  <c r="N55" i="3"/>
  <c r="N56" i="3"/>
  <c r="N62" i="3"/>
  <c r="N246" i="3"/>
  <c r="N63" i="3"/>
  <c r="N344" i="3"/>
  <c r="N259" i="3"/>
  <c r="N152" i="3"/>
  <c r="N351" i="3"/>
  <c r="N267" i="3"/>
  <c r="N158" i="3"/>
  <c r="N163" i="3"/>
  <c r="N354" i="3"/>
  <c r="N169" i="3"/>
  <c r="N358" i="3"/>
  <c r="N75" i="3"/>
  <c r="N285" i="3"/>
  <c r="N363" i="3"/>
  <c r="N371" i="3"/>
  <c r="N293" i="3"/>
  <c r="N175" i="3"/>
  <c r="N302" i="3"/>
  <c r="N381" i="3"/>
  <c r="N389" i="3"/>
  <c r="N397" i="3"/>
  <c r="N405" i="3"/>
  <c r="N413" i="3"/>
  <c r="N421" i="3"/>
  <c r="N429" i="3"/>
  <c r="N437" i="3"/>
  <c r="N85" i="3"/>
  <c r="N452" i="3"/>
  <c r="O136" i="3"/>
  <c r="O339" i="3"/>
  <c r="W186" i="3" s="1"/>
  <c r="O61" i="3"/>
  <c r="O149" i="3"/>
  <c r="W228" i="3" s="1"/>
  <c r="O263" i="3"/>
  <c r="W252" i="3" s="1"/>
  <c r="O162" i="3"/>
  <c r="W276" i="3" s="1"/>
  <c r="O171" i="3"/>
  <c r="W300" i="3" s="1"/>
  <c r="O290" i="3"/>
  <c r="W324" i="3" s="1"/>
  <c r="O299" i="3"/>
  <c r="O388" i="3"/>
  <c r="O420" i="3"/>
  <c r="O451" i="3"/>
  <c r="O185" i="3"/>
  <c r="O91" i="3"/>
  <c r="O97" i="3"/>
  <c r="O100" i="3"/>
  <c r="O103" i="3"/>
  <c r="W38" i="3" s="1"/>
  <c r="O8" i="3"/>
  <c r="O317" i="3"/>
  <c r="W54" i="3" s="1"/>
  <c r="O319" i="3"/>
  <c r="O108" i="3"/>
  <c r="O115" i="3"/>
  <c r="W78" i="3" s="1"/>
  <c r="O207" i="3"/>
  <c r="W86" i="3" s="1"/>
  <c r="O22" i="3"/>
  <c r="W94" i="3" s="1"/>
  <c r="O28" i="3"/>
  <c r="W102" i="3" s="1"/>
  <c r="O213" i="3"/>
  <c r="O32" i="3"/>
  <c r="O34" i="3"/>
  <c r="O333" i="3"/>
  <c r="O39" i="3"/>
  <c r="O229" i="3"/>
  <c r="O233" i="3"/>
  <c r="O44" i="3"/>
  <c r="O47" i="3"/>
  <c r="W179" i="3" s="1"/>
  <c r="O51" i="3"/>
  <c r="O55" i="3"/>
  <c r="O56" i="3"/>
  <c r="W199" i="3" s="1"/>
  <c r="O62" i="3"/>
  <c r="O246" i="3"/>
  <c r="W213" i="3" s="1"/>
  <c r="O63" i="3"/>
  <c r="W221" i="3" s="1"/>
  <c r="O344" i="3"/>
  <c r="O259" i="3"/>
  <c r="O152" i="3"/>
  <c r="O351" i="3"/>
  <c r="O267" i="3"/>
  <c r="O158" i="3"/>
  <c r="O163" i="3"/>
  <c r="W277" i="3" s="1"/>
  <c r="O354" i="3"/>
  <c r="O169" i="3"/>
  <c r="O358" i="3"/>
  <c r="W301" i="3" s="1"/>
  <c r="O75" i="3"/>
  <c r="W309" i="3" s="1"/>
  <c r="O285" i="3"/>
  <c r="W317" i="3" s="1"/>
  <c r="O363" i="3"/>
  <c r="O371" i="3"/>
  <c r="W333" i="3" s="1"/>
  <c r="O293" i="3"/>
  <c r="W341" i="3" s="1"/>
  <c r="O175" i="3"/>
  <c r="W349" i="3" s="1"/>
  <c r="O302" i="3"/>
  <c r="O381" i="3"/>
  <c r="O389" i="3"/>
  <c r="W373" i="3" s="1"/>
  <c r="O397" i="3"/>
  <c r="O405" i="3"/>
  <c r="O413" i="3"/>
  <c r="W397" i="3" s="1"/>
  <c r="O421" i="3"/>
  <c r="O429" i="3"/>
  <c r="O437" i="3"/>
  <c r="O85" i="3"/>
  <c r="O452" i="3"/>
  <c r="O182" i="3"/>
  <c r="N182" i="3"/>
  <c r="W238" i="3"/>
  <c r="W79" i="3"/>
  <c r="W57" i="3"/>
  <c r="K132" i="1"/>
  <c r="S155" i="1" s="1"/>
  <c r="K56" i="1"/>
  <c r="S169" i="1" s="1"/>
  <c r="K66" i="1"/>
  <c r="S204" i="1" s="1"/>
  <c r="K273" i="1"/>
  <c r="S280" i="1" s="1"/>
  <c r="K323" i="1"/>
  <c r="S297" i="1" s="1"/>
  <c r="O328" i="1"/>
  <c r="O232" i="1"/>
  <c r="O217" i="1"/>
  <c r="O201" i="1"/>
  <c r="O172" i="1"/>
  <c r="O143" i="1"/>
  <c r="K28" i="1"/>
  <c r="S92" i="1" s="1"/>
  <c r="K32" i="1"/>
  <c r="S108" i="1" s="1"/>
  <c r="K213" i="1"/>
  <c r="S122" i="1" s="1"/>
  <c r="K217" i="1"/>
  <c r="S138" i="1" s="1"/>
  <c r="K222" i="1"/>
  <c r="S156" i="1" s="1"/>
  <c r="K166" i="1"/>
  <c r="S281" i="1" s="1"/>
  <c r="O316" i="1"/>
  <c r="O231" i="1"/>
  <c r="O216" i="1"/>
  <c r="O200" i="1"/>
  <c r="O127" i="1"/>
  <c r="O113" i="1"/>
  <c r="K167" i="1"/>
  <c r="O124" i="1"/>
  <c r="K18" i="1"/>
  <c r="S76" i="1" s="1"/>
  <c r="O313" i="1"/>
  <c r="O94" i="1"/>
  <c r="O78" i="1"/>
  <c r="K103" i="1"/>
  <c r="S61" i="1" s="1"/>
  <c r="K112" i="1"/>
  <c r="K145" i="1"/>
  <c r="S210" i="1" s="1"/>
  <c r="K317" i="1"/>
  <c r="S267" i="1" s="1"/>
  <c r="K284" i="1"/>
  <c r="S344" i="1" s="1"/>
  <c r="O326" i="1"/>
  <c r="O312" i="1"/>
  <c r="O166" i="1"/>
  <c r="O153" i="1"/>
  <c r="O62" i="1"/>
  <c r="O47" i="1"/>
  <c r="O31" i="1"/>
  <c r="K113" i="1"/>
  <c r="S86" i="1" s="1"/>
  <c r="K96" i="1"/>
  <c r="S96" i="1" s="1"/>
  <c r="K9" i="1"/>
  <c r="K72" i="1"/>
  <c r="S251" i="1" s="1"/>
  <c r="K78" i="1"/>
  <c r="S268" i="1" s="1"/>
  <c r="K335" i="1"/>
  <c r="S309" i="1" s="1"/>
  <c r="K351" i="1"/>
  <c r="S325" i="1" s="1"/>
  <c r="K285" i="1"/>
  <c r="S345" i="1" s="1"/>
  <c r="O351" i="1"/>
  <c r="O311" i="1"/>
  <c r="O165" i="1"/>
  <c r="O152" i="1"/>
  <c r="O46" i="1"/>
  <c r="O15" i="1"/>
  <c r="K197" i="1"/>
  <c r="S60" i="1" s="1"/>
  <c r="K261" i="1"/>
  <c r="O300" i="1"/>
  <c r="O110" i="1"/>
  <c r="K137" i="1"/>
  <c r="S168" i="1" s="1"/>
  <c r="K97" i="1"/>
  <c r="S29" i="1" s="1"/>
  <c r="K73" i="1"/>
  <c r="S252" i="1" s="1"/>
  <c r="K336" i="1"/>
  <c r="S310" i="1" s="1"/>
  <c r="O30" i="1"/>
  <c r="O14" i="1"/>
  <c r="K40" i="1"/>
  <c r="S140" i="1" s="1"/>
  <c r="K77" i="1"/>
  <c r="S265" i="1" s="1"/>
  <c r="K12" i="1"/>
  <c r="S50" i="1" s="1"/>
  <c r="K64" i="1"/>
  <c r="S194" i="1" s="1"/>
  <c r="K366" i="1"/>
  <c r="K179" i="1"/>
  <c r="S13" i="1" s="1"/>
  <c r="K55" i="1"/>
  <c r="S163" i="1" s="1"/>
  <c r="K367" i="1"/>
  <c r="O295" i="1"/>
  <c r="O149" i="1"/>
  <c r="K30" i="1"/>
  <c r="S102" i="1" s="1"/>
  <c r="K220" i="1"/>
  <c r="S148" i="1" s="1"/>
  <c r="K151" i="1"/>
  <c r="S234" i="1" s="1"/>
  <c r="O332" i="1"/>
  <c r="O133" i="1"/>
  <c r="K356" i="1"/>
  <c r="S330" i="1" s="1"/>
  <c r="O236" i="1"/>
  <c r="K119" i="1"/>
  <c r="K152" i="1"/>
  <c r="S235" i="1" s="1"/>
  <c r="K82" i="1"/>
  <c r="S293" i="1" s="1"/>
  <c r="K186" i="1"/>
  <c r="S34" i="1" s="1"/>
  <c r="K249" i="1"/>
  <c r="S218" i="1" s="1"/>
  <c r="K83" i="1"/>
  <c r="S294" i="1" s="1"/>
  <c r="K357" i="1"/>
  <c r="S331" i="1" s="1"/>
  <c r="O219" i="1"/>
  <c r="S193" i="1"/>
  <c r="S178" i="1"/>
  <c r="S315" i="1"/>
  <c r="S275" i="1"/>
  <c r="S24" i="1"/>
  <c r="S44" i="1"/>
  <c r="S244" i="1"/>
  <c r="S26" i="1"/>
  <c r="S149" i="1"/>
  <c r="S162" i="1"/>
  <c r="S191" i="1"/>
  <c r="S312" i="1"/>
  <c r="S7" i="1"/>
  <c r="S47" i="1"/>
  <c r="S93" i="1"/>
  <c r="S129" i="1"/>
  <c r="S136" i="1"/>
  <c r="S306" i="1"/>
  <c r="S328" i="1"/>
  <c r="S228" i="1"/>
  <c r="S304" i="1"/>
  <c r="S42" i="1"/>
  <c r="S184" i="1"/>
  <c r="S242" i="1"/>
  <c r="S65" i="1"/>
  <c r="S81" i="1"/>
  <c r="S89" i="1"/>
  <c r="S198" i="1"/>
  <c r="S206" i="1"/>
  <c r="S214" i="1"/>
  <c r="S258" i="1"/>
  <c r="S6" i="1"/>
  <c r="S38" i="1"/>
  <c r="S68" i="1"/>
  <c r="S84" i="1"/>
  <c r="S181" i="1"/>
  <c r="S49" i="1"/>
  <c r="S56" i="1"/>
  <c r="S212" i="1"/>
  <c r="S21" i="1"/>
  <c r="S90" i="1"/>
  <c r="S106" i="1"/>
  <c r="S134" i="1"/>
  <c r="S139" i="1"/>
  <c r="S199" i="1"/>
  <c r="S207" i="1"/>
  <c r="S229" i="1"/>
  <c r="S237" i="1"/>
  <c r="S259" i="1"/>
  <c r="S289" i="1"/>
  <c r="S295" i="1"/>
  <c r="S303" i="1"/>
  <c r="S356" i="1"/>
  <c r="S11" i="1"/>
  <c r="S157" i="1"/>
  <c r="S227" i="1"/>
  <c r="S257" i="1"/>
  <c r="S273" i="1"/>
  <c r="S338" i="1"/>
  <c r="S80" i="1"/>
  <c r="S132" i="1"/>
  <c r="S5" i="1"/>
  <c r="S22" i="1"/>
  <c r="S37" i="1"/>
  <c r="S127" i="1"/>
  <c r="S135" i="1"/>
  <c r="S146" i="1"/>
  <c r="S165" i="1"/>
  <c r="S253" i="1"/>
  <c r="S27" i="1"/>
  <c r="S104" i="1"/>
  <c r="S8" i="1"/>
  <c r="S10" i="1"/>
  <c r="S25" i="1"/>
  <c r="S70" i="1"/>
  <c r="S141" i="1"/>
  <c r="S161" i="1"/>
  <c r="S203" i="1"/>
  <c r="S233" i="1"/>
  <c r="S35" i="1"/>
  <c r="S58" i="1"/>
  <c r="S119" i="1"/>
  <c r="S125" i="1"/>
  <c r="S150" i="1"/>
  <c r="S185" i="1"/>
  <c r="S243" i="1"/>
  <c r="S274" i="1"/>
  <c r="S153" i="1"/>
  <c r="S201" i="1"/>
  <c r="S231" i="1"/>
  <c r="S305" i="1"/>
  <c r="S352" i="1"/>
  <c r="S279" i="1"/>
  <c r="S43" i="1"/>
  <c r="S20" i="1"/>
  <c r="S221" i="1"/>
  <c r="S170" i="1"/>
  <c r="S88" i="1"/>
  <c r="S133" i="1"/>
  <c r="S324" i="1"/>
  <c r="S250" i="1"/>
  <c r="S36" i="1"/>
  <c r="S85" i="1"/>
  <c r="S290" i="1"/>
  <c r="S123" i="1"/>
  <c r="S158" i="1"/>
  <c r="S264" i="1"/>
  <c r="S350" i="1"/>
  <c r="S192" i="1"/>
  <c r="S298" i="1"/>
  <c r="S48" i="1"/>
  <c r="S124" i="1"/>
  <c r="S105" i="1"/>
  <c r="S219" i="1"/>
  <c r="S147" i="1"/>
  <c r="S182" i="1"/>
  <c r="S14" i="1"/>
  <c r="S52" i="1"/>
  <c r="S54" i="1"/>
  <c r="S75" i="1"/>
  <c r="S107" i="1"/>
  <c r="S109" i="1"/>
  <c r="S111" i="1"/>
  <c r="S236" i="1"/>
  <c r="S241" i="1"/>
  <c r="S283" i="1"/>
  <c r="S317" i="1"/>
  <c r="S322" i="1"/>
  <c r="S337" i="1"/>
  <c r="S343" i="1"/>
  <c r="S4" i="1"/>
  <c r="S143" i="1"/>
  <c r="S23" i="1"/>
  <c r="S67" i="1"/>
  <c r="S57" i="1"/>
  <c r="S59" i="1"/>
  <c r="S64" i="1"/>
  <c r="S94" i="1"/>
  <c r="S126" i="1"/>
  <c r="S144" i="1"/>
  <c r="S266" i="1"/>
  <c r="S272" i="1"/>
  <c r="S40" i="1"/>
  <c r="S171" i="1"/>
  <c r="S173" i="1"/>
  <c r="S175" i="1"/>
  <c r="S177" i="1"/>
  <c r="S195" i="1"/>
  <c r="S209" i="1"/>
  <c r="S211" i="1"/>
  <c r="S215" i="1"/>
  <c r="S292" i="1"/>
  <c r="S296" i="1"/>
  <c r="S205" i="1"/>
  <c r="S15" i="1"/>
  <c r="S17" i="1"/>
  <c r="S19" i="1"/>
  <c r="S51" i="1"/>
  <c r="S87" i="1"/>
  <c r="S110" i="1"/>
  <c r="S115" i="1"/>
  <c r="S117" i="1"/>
  <c r="S188" i="1"/>
  <c r="S190" i="1"/>
  <c r="S256" i="1"/>
  <c r="S316" i="1"/>
  <c r="S321" i="1"/>
  <c r="S323" i="1"/>
  <c r="S91" i="1"/>
  <c r="S69" i="1"/>
  <c r="S71" i="1"/>
  <c r="S154" i="1"/>
  <c r="S164" i="1"/>
  <c r="S200" i="1"/>
  <c r="S202" i="1"/>
  <c r="S332" i="1"/>
  <c r="S131" i="1"/>
  <c r="S39" i="1"/>
  <c r="S41" i="1"/>
  <c r="S99" i="1"/>
  <c r="S101" i="1"/>
  <c r="S121" i="1"/>
  <c r="S172" i="1"/>
  <c r="S208" i="1"/>
  <c r="S216" i="1"/>
  <c r="S223" i="1"/>
  <c r="S225" i="1"/>
  <c r="S291" i="1"/>
  <c r="S238" i="1"/>
  <c r="S246" i="1"/>
  <c r="S270" i="1"/>
  <c r="S278" i="1"/>
  <c r="S288" i="1"/>
  <c r="S302" i="1"/>
  <c r="S314" i="1"/>
  <c r="S318" i="1"/>
  <c r="S319" i="1"/>
  <c r="S326" i="1"/>
  <c r="S327" i="1"/>
  <c r="S329" i="1"/>
  <c r="S334" i="1"/>
  <c r="S339" i="1"/>
  <c r="S341" i="1"/>
  <c r="S349" i="1"/>
  <c r="S354" i="1"/>
  <c r="S240" i="1"/>
  <c r="S248" i="1"/>
  <c r="S255" i="1"/>
  <c r="S263" i="1"/>
  <c r="S276" i="1"/>
  <c r="S282" i="1"/>
  <c r="S286" i="1"/>
  <c r="S300" i="1"/>
  <c r="S16" i="1"/>
  <c r="S46" i="1"/>
  <c r="S53" i="1"/>
  <c r="S79" i="1"/>
  <c r="S95" i="1"/>
  <c r="S114" i="1"/>
  <c r="S116" i="1"/>
  <c r="S118" i="1"/>
  <c r="S159" i="1"/>
  <c r="S160" i="1"/>
  <c r="S166" i="1"/>
  <c r="S224" i="1"/>
  <c r="S226" i="1"/>
  <c r="S62" i="1"/>
  <c r="S63" i="1"/>
  <c r="S74" i="1"/>
  <c r="S120" i="1"/>
  <c r="S128" i="1"/>
  <c r="S130" i="1"/>
  <c r="S174" i="1"/>
  <c r="S176" i="1"/>
  <c r="S180" i="1"/>
  <c r="S183" i="1"/>
  <c r="S230" i="1"/>
  <c r="S232" i="1"/>
  <c r="S239" i="1"/>
  <c r="S245" i="1"/>
  <c r="S247" i="1"/>
  <c r="S254" i="1"/>
  <c r="S260" i="1"/>
  <c r="S262" i="1"/>
  <c r="S269" i="1"/>
  <c r="S271" i="1"/>
  <c r="S277" i="1"/>
  <c r="S285" i="1"/>
  <c r="S287" i="1"/>
  <c r="S299" i="1"/>
  <c r="S301" i="1"/>
  <c r="S307" i="1"/>
  <c r="S308" i="1"/>
  <c r="S311" i="1"/>
  <c r="S313" i="1"/>
  <c r="S320" i="1"/>
  <c r="S333" i="1"/>
  <c r="S340" i="1"/>
  <c r="S342" i="1"/>
  <c r="S346" i="1"/>
  <c r="S353" i="1"/>
  <c r="S355" i="1"/>
  <c r="S3" i="1"/>
  <c r="S31" i="1"/>
  <c r="S33" i="1"/>
  <c r="S98" i="1"/>
  <c r="S100" i="1"/>
  <c r="S142" i="1"/>
  <c r="S187" i="1"/>
  <c r="S189" i="1"/>
  <c r="S196" i="1"/>
  <c r="S284" i="1" l="1"/>
  <c r="S249" i="1"/>
  <c r="S77" i="1"/>
  <c r="S45" i="1"/>
  <c r="L2" i="1"/>
  <c r="S55" i="1"/>
  <c r="S197" i="1"/>
  <c r="S12" i="1"/>
  <c r="S357" i="1"/>
  <c r="S151" i="1"/>
  <c r="S336" i="1"/>
  <c r="S72" i="1"/>
  <c r="S82" i="1"/>
  <c r="S66" i="1"/>
  <c r="S351" i="1"/>
  <c r="S152" i="1"/>
  <c r="S217" i="1"/>
  <c r="S348" i="1"/>
  <c r="S367" i="1"/>
  <c r="S113" i="1"/>
  <c r="S32" i="1"/>
  <c r="S222" i="1"/>
  <c r="S145" i="1"/>
  <c r="S347" i="1"/>
  <c r="S366" i="1"/>
  <c r="S261" i="1"/>
  <c r="S335" i="1"/>
  <c r="S137" i="1"/>
  <c r="S97" i="1"/>
  <c r="S112" i="1"/>
  <c r="S78" i="1"/>
  <c r="S103" i="1"/>
  <c r="S9" i="1"/>
  <c r="S28" i="1"/>
  <c r="S213" i="1"/>
  <c r="S83" i="1"/>
  <c r="S18" i="1"/>
  <c r="S186" i="1"/>
  <c r="S167" i="1"/>
  <c r="S30" i="1"/>
  <c r="S73" i="1"/>
  <c r="S220" i="1"/>
  <c r="S179" i="1"/>
  <c r="W294" i="3"/>
  <c r="W219" i="3"/>
  <c r="W441" i="3"/>
  <c r="W387" i="3"/>
  <c r="W226" i="3"/>
  <c r="W14" i="3"/>
  <c r="W131" i="3"/>
  <c r="W374" i="3"/>
  <c r="W101" i="3"/>
  <c r="W327" i="3"/>
  <c r="W135" i="3"/>
  <c r="W21" i="3"/>
  <c r="W412" i="3"/>
  <c r="W67" i="3"/>
  <c r="W43" i="3"/>
  <c r="W205" i="3"/>
  <c r="W217" i="3"/>
  <c r="W265" i="3"/>
  <c r="W423" i="3"/>
  <c r="W134" i="3"/>
  <c r="W286" i="3"/>
  <c r="W378" i="3"/>
  <c r="W89" i="3"/>
  <c r="W61" i="3"/>
  <c r="W270" i="3"/>
  <c r="W17" i="3"/>
  <c r="W182" i="3"/>
  <c r="W222" i="3"/>
  <c r="W323" i="3"/>
  <c r="W313" i="3"/>
  <c r="W170" i="3"/>
  <c r="W28" i="3"/>
  <c r="W224" i="3"/>
  <c r="W98" i="3"/>
  <c r="W214" i="3"/>
  <c r="W18" i="3"/>
  <c r="W23" i="3"/>
  <c r="W432" i="3"/>
  <c r="W46" i="3"/>
  <c r="W364" i="3"/>
  <c r="W154" i="3"/>
  <c r="W166" i="3"/>
  <c r="W27" i="3"/>
  <c r="W366" i="3"/>
  <c r="W106" i="3"/>
  <c r="W72" i="3"/>
  <c r="W299" i="3"/>
  <c r="W421" i="3"/>
  <c r="W16" i="3"/>
  <c r="W183" i="3"/>
  <c r="W335" i="3"/>
  <c r="W257" i="3"/>
  <c r="W163" i="3"/>
  <c r="W218" i="3"/>
  <c r="W410" i="3"/>
  <c r="W160" i="3"/>
  <c r="W195" i="3"/>
  <c r="W45" i="3"/>
  <c r="W140" i="3"/>
  <c r="W123" i="3"/>
  <c r="W388" i="3"/>
  <c r="W302" i="3"/>
  <c r="W209" i="3"/>
  <c r="W97" i="3"/>
  <c r="W96" i="3"/>
  <c r="W152" i="3"/>
  <c r="W259" i="3"/>
  <c r="W386" i="3"/>
  <c r="W344" i="3"/>
  <c r="W389" i="3"/>
  <c r="W139" i="3"/>
  <c r="W73" i="3"/>
  <c r="W433" i="3"/>
  <c r="W251" i="3"/>
  <c r="W157" i="3"/>
  <c r="W69" i="3"/>
  <c r="W381" i="3"/>
  <c r="W141" i="3"/>
  <c r="W116" i="3"/>
  <c r="W33" i="3"/>
  <c r="W325" i="3"/>
  <c r="W52" i="3"/>
  <c r="W408" i="3"/>
  <c r="W192" i="3"/>
  <c r="W178" i="3"/>
  <c r="W435" i="3"/>
  <c r="W448" i="3"/>
  <c r="W271" i="3"/>
  <c r="W212" i="3"/>
  <c r="W369" i="3"/>
  <c r="W75" i="3"/>
  <c r="W171" i="3"/>
  <c r="W356" i="3"/>
  <c r="W146" i="3"/>
  <c r="W175" i="3"/>
  <c r="W15" i="3"/>
  <c r="W352" i="3"/>
  <c r="W197" i="3"/>
  <c r="W338" i="3"/>
  <c r="W413" i="3"/>
  <c r="W285" i="3"/>
  <c r="W30" i="3"/>
  <c r="W340" i="3"/>
  <c r="W138" i="3"/>
  <c r="W283" i="3"/>
  <c r="W173" i="3"/>
  <c r="W334" i="3"/>
  <c r="W39" i="3"/>
  <c r="W242" i="3"/>
  <c r="W11" i="3"/>
  <c r="W200" i="3"/>
  <c r="W185" i="3"/>
  <c r="W343" i="3"/>
  <c r="W342" i="3"/>
  <c r="W279" i="3"/>
  <c r="W31" i="3"/>
  <c r="W60" i="3"/>
  <c r="W150" i="3"/>
  <c r="W149" i="3"/>
  <c r="W211" i="3"/>
  <c r="W206" i="3"/>
  <c r="W263" i="3"/>
  <c r="W247" i="3"/>
  <c r="W202" i="3"/>
  <c r="W249" i="3"/>
  <c r="W262" i="3"/>
  <c r="W167" i="3"/>
  <c r="W402" i="3"/>
  <c r="W112" i="3"/>
  <c r="W204" i="3"/>
  <c r="W293" i="3"/>
  <c r="W162" i="3"/>
  <c r="W425" i="3"/>
  <c r="W314" i="3"/>
  <c r="W371" i="3"/>
  <c r="W405" i="3"/>
  <c r="W155" i="3"/>
  <c r="W22" i="3"/>
  <c r="W332" i="3"/>
  <c r="W203" i="3"/>
  <c r="W394" i="3"/>
  <c r="W282" i="3"/>
  <c r="W34" i="3"/>
  <c r="W385" i="3"/>
  <c r="W296" i="3"/>
  <c r="W35" i="3"/>
  <c r="W196" i="3"/>
  <c r="W55" i="3"/>
  <c r="W354" i="3"/>
  <c r="W320" i="3"/>
  <c r="W225" i="3"/>
  <c r="W248" i="3"/>
  <c r="W108" i="3"/>
  <c r="W7" i="3"/>
  <c r="W29" i="3"/>
  <c r="W122" i="3"/>
  <c r="W184" i="3"/>
  <c r="W275" i="3"/>
  <c r="W124" i="3"/>
  <c r="W70" i="3"/>
  <c r="W399" i="3"/>
  <c r="W56" i="3"/>
  <c r="W63" i="3"/>
  <c r="W153" i="3"/>
  <c r="W187" i="3"/>
  <c r="W164" i="3"/>
  <c r="W120" i="3"/>
  <c r="W288" i="3"/>
  <c r="W434" i="3"/>
  <c r="W447" i="3"/>
  <c r="W269" i="3"/>
  <c r="W190" i="3"/>
  <c r="W281" i="3"/>
  <c r="W261" i="3"/>
  <c r="W411" i="3"/>
  <c r="W227" i="3"/>
  <c r="W398" i="3"/>
  <c r="W289" i="3"/>
  <c r="W406" i="3"/>
  <c r="W158" i="3"/>
  <c r="W71" i="3"/>
  <c r="W129" i="3"/>
  <c r="W253" i="3"/>
  <c r="W126" i="3"/>
  <c r="W438" i="3"/>
  <c r="W451" i="3"/>
  <c r="W292" i="3"/>
  <c r="W161" i="3"/>
  <c r="W148" i="3"/>
  <c r="W142" i="3"/>
  <c r="W239" i="3"/>
  <c r="W418" i="3"/>
  <c r="W144" i="3"/>
  <c r="W329" i="3"/>
  <c r="W65" i="3"/>
  <c r="W363" i="3"/>
  <c r="W82" i="3"/>
  <c r="W384" i="3"/>
  <c r="W274" i="3"/>
  <c r="W230" i="3"/>
  <c r="W391" i="3"/>
  <c r="W223" i="3"/>
  <c r="W165" i="3"/>
  <c r="W358" i="3"/>
  <c r="W401" i="3"/>
  <c r="W48" i="3"/>
  <c r="W47" i="3"/>
  <c r="W99" i="3"/>
  <c r="W392" i="3"/>
  <c r="W315" i="3"/>
  <c r="W207" i="3"/>
  <c r="W19" i="3"/>
  <c r="W330" i="3"/>
  <c r="W290" i="3"/>
  <c r="W322" i="3"/>
  <c r="W215" i="3"/>
  <c r="W427" i="3"/>
  <c r="W443" i="3"/>
  <c r="W231" i="3"/>
  <c r="W319" i="3"/>
  <c r="W359" i="3"/>
  <c r="W41" i="3"/>
  <c r="W77" i="3"/>
  <c r="W191" i="3"/>
  <c r="W208" i="3"/>
  <c r="W51" i="3"/>
  <c r="W53" i="3"/>
  <c r="W118" i="3"/>
  <c r="W328" i="3"/>
  <c r="W156" i="3"/>
  <c r="W201" i="3"/>
  <c r="W377" i="3"/>
  <c r="W136" i="3"/>
  <c r="W370" i="3"/>
  <c r="W365" i="3"/>
  <c r="W237" i="3"/>
  <c r="W110" i="3"/>
  <c r="W372" i="3"/>
  <c r="W268" i="3"/>
  <c r="W350" i="3"/>
  <c r="W121" i="3"/>
  <c r="W4" i="3"/>
  <c r="W83" i="3"/>
  <c r="W5" i="3"/>
  <c r="W100" i="3"/>
  <c r="W403" i="3"/>
  <c r="W243" i="3"/>
  <c r="W189" i="3"/>
  <c r="W360" i="3"/>
  <c r="W169" i="3"/>
  <c r="W111" i="3"/>
  <c r="W298" i="3"/>
  <c r="W326" i="3"/>
  <c r="W81" i="3"/>
  <c r="W440" i="3"/>
  <c r="W453" i="3"/>
  <c r="W437" i="3"/>
  <c r="W450" i="3"/>
  <c r="W430" i="3"/>
  <c r="W445" i="3"/>
  <c r="W417" i="3"/>
  <c r="W428" i="3"/>
  <c r="W444" i="3"/>
  <c r="W436" i="3"/>
  <c r="W449" i="3"/>
  <c r="W62" i="3"/>
  <c r="W278" i="3"/>
  <c r="W439" i="3"/>
  <c r="W452" i="3"/>
  <c r="W137" i="3"/>
  <c r="W147" i="3"/>
  <c r="W426" i="3"/>
  <c r="W442" i="3"/>
  <c r="W172" i="3"/>
  <c r="W280" i="3"/>
  <c r="W416" i="3"/>
  <c r="W6" i="3"/>
  <c r="W245" i="3"/>
  <c r="W404" i="3"/>
  <c r="W284" i="3"/>
  <c r="W240" i="3"/>
  <c r="W216" i="3"/>
  <c r="W91" i="3"/>
  <c r="W258" i="3"/>
  <c r="W194" i="3"/>
  <c r="W20" i="3"/>
  <c r="W357" i="3"/>
  <c r="W229" i="3"/>
  <c r="W348" i="3"/>
  <c r="W431" i="3"/>
  <c r="W446" i="3"/>
  <c r="W260" i="3"/>
  <c r="W336" i="3"/>
  <c r="W107" i="3"/>
  <c r="W176" i="3"/>
  <c r="W93" i="3"/>
  <c r="W272" i="3"/>
  <c r="W177" i="3"/>
  <c r="W362" i="3"/>
  <c r="W95" i="3"/>
  <c r="W235" i="3"/>
  <c r="W393" i="3"/>
  <c r="W109" i="3"/>
  <c r="W256" i="3"/>
  <c r="W414" i="3"/>
  <c r="W424" i="3"/>
  <c r="W174" i="3"/>
  <c r="W130" i="3"/>
  <c r="W346" i="3"/>
  <c r="W267" i="3"/>
  <c r="W297" i="3"/>
  <c r="W58" i="3"/>
  <c r="W415" i="3"/>
  <c r="W32" i="3"/>
  <c r="W12" i="3"/>
  <c r="W8" i="3"/>
  <c r="W3" i="3"/>
  <c r="S1" i="1" l="1"/>
</calcChain>
</file>

<file path=xl/sharedStrings.xml><?xml version="1.0" encoding="utf-8"?>
<sst xmlns="http://schemas.openxmlformats.org/spreadsheetml/2006/main" count="2736" uniqueCount="863">
  <si>
    <t>International Whsl ($)</t>
  </si>
  <si>
    <t>Total</t>
  </si>
  <si>
    <r>
      <rPr>
        <b/>
        <sz val="10"/>
        <color rgb="FFFF0000"/>
        <rFont val="Calibri"/>
        <family val="2"/>
        <charset val="204"/>
        <scheme val="minor"/>
      </rPr>
      <t>Importantly!</t>
    </r>
    <r>
      <rPr>
        <sz val="10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</si>
  <si>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Item #</t>
  </si>
  <si>
    <t>AS400</t>
  </si>
  <si>
    <t>UPC</t>
  </si>
  <si>
    <t>Description</t>
  </si>
  <si>
    <t>Order</t>
  </si>
  <si>
    <t>Tray/Case Size</t>
  </si>
  <si>
    <t>NA</t>
  </si>
  <si>
    <t>Weight, kg</t>
  </si>
  <si>
    <t>Solgar Muscle Maintenance 60ct CAPSULES</t>
  </si>
  <si>
    <t>Solgar Joint Ease 30ct SOFTGELS</t>
  </si>
  <si>
    <t>Solgar Hair Growth 30ct SOFTGELS</t>
  </si>
  <si>
    <t>Solgar Cellulite Fighter 30ct CAPSULES</t>
  </si>
  <si>
    <t>Solgar Digital Defense 30ct CAPSULES</t>
  </si>
  <si>
    <t>Solgar Memory Support 30ct CAPSULES</t>
  </si>
  <si>
    <t>Grass-Fed Whey To Go® Protein Powder Natural Chocolate Flavor</t>
  </si>
  <si>
    <t>L-Carnitine 500 mg Tablets</t>
  </si>
  <si>
    <t>L-Cysteine 500 mg Vegetable Capsules</t>
  </si>
  <si>
    <t>DLPA 500 mg Vegetable Capsules</t>
  </si>
  <si>
    <t>GABA 500 mg Vegetable Capsules</t>
  </si>
  <si>
    <t>L-Glutamine 500 mg Vegetable Capsules</t>
  </si>
  <si>
    <t>L-Glutamine 1000 mg Tablets</t>
  </si>
  <si>
    <t>Reduced L-Glutathione 250 mg Vegetable Capsules</t>
  </si>
  <si>
    <t>Glycine 500 mg Vegetable Capsules</t>
  </si>
  <si>
    <t>5-HTP 100 mg Vegetable Capsules</t>
  </si>
  <si>
    <t>L-Lysine 500 mg Vegetable Capsules</t>
  </si>
  <si>
    <t>L-Lysine 1000 mg Tablets</t>
  </si>
  <si>
    <t>L-Methionine 500 mg Vegetable Capsules</t>
  </si>
  <si>
    <t>Taurine 500 mg Vegetable Capsules</t>
  </si>
  <si>
    <t>L-Theanine 150 mg Vegetable Capsules</t>
  </si>
  <si>
    <t>L-Tyrosine 500 mg Vegetable Capsules</t>
  </si>
  <si>
    <t>SG Vitamin D3 5000 IU 60ct GUMMY</t>
  </si>
  <si>
    <t>Dry Vitamin A 1500 mcg (5000 IU) Tablets</t>
  </si>
  <si>
    <t>Vitamin D3 (Cholecalciferol) 10 mcg (400 IU) Softgels</t>
  </si>
  <si>
    <t>Vitamin D3 (Cholecalciferol) 15 mcg (600 IU) Vegetable Capsules</t>
  </si>
  <si>
    <t>Vitamin D3 (Cholecalciferol) 25 mcg (1000 IU) Chewable Tablets - Natural Strawberry Banana Swirl Flavor</t>
  </si>
  <si>
    <t>Vitamin D3 (Cholecalciferol) 25 mcg (1000 IU) Softgels</t>
  </si>
  <si>
    <t>Vitamin D3 (Cholecalciferol) 25 mcg (1000 IU) Tablets</t>
  </si>
  <si>
    <t xml:space="preserve">Vegan Vitamin D3 25 mcg (1000 IU) Softgels </t>
  </si>
  <si>
    <t>Vitamin D3 (Cholecalciferol) 55 mcg (2200 IU) Vegetable Capsules</t>
  </si>
  <si>
    <t>Liquid Vitamin D3 (Cholecalciferol) 125 mcg (5,000 IU) - Natural Orange Flavor</t>
  </si>
  <si>
    <t>Vitamin D3 (Cholecalciferol) 125 mcg (5,000 IU) Softgels</t>
  </si>
  <si>
    <t>Vitamin D3 (Cholecalciferol) 125 mcg (5,000 IU) Vegetable Capsules</t>
  </si>
  <si>
    <t xml:space="preserve">Vegan Vitamin D3 150 mcg (6000 IU) Softgels </t>
  </si>
  <si>
    <t>Vitamin D3 (Cholecalciferol) 250 mcg (10,000 IU) Softgels</t>
  </si>
  <si>
    <t>Dry Vitamin E with Yeast-Free Selenium Vegetable Capsules</t>
  </si>
  <si>
    <t>Vitamin E 67 mg (100 IU) Mixed Softgels (d-Alpha Tocopherol &amp; Mixed Tocopherols)</t>
  </si>
  <si>
    <t>Vitamin E 200 IU Alpha Softgels</t>
  </si>
  <si>
    <t>Vitamin E 134 mg (200 IU) Mixed Softgels (d-Alpha Tocopherol &amp; Mixed Tocopherols)</t>
  </si>
  <si>
    <t>Vitamin E 268 mg (400 IU) Alpha Softgels</t>
  </si>
  <si>
    <t>Vitamin E 268 mg (400 IU) Mixed Softgels (d-Alpha Tocopherol &amp; Mixed Tocopherols)</t>
  </si>
  <si>
    <t>Vitamin E 268 mg (400 IU) Vegan Softgels (d-Alpha Tocopherol &amp; Mixed Tocopherols)</t>
  </si>
  <si>
    <t>Vitamin E 670 mg (1000 IU) Mixed Softgels (d-Alpha Tocopherol &amp; Mixed Tocopherols)</t>
  </si>
  <si>
    <t>Liquid Vitamin E (with dropper)</t>
  </si>
  <si>
    <t>Naturally Sourced Vitamin K2 (MK-7) 100 mcg Vegetable Capsules</t>
  </si>
  <si>
    <t>SG B12 1500mcg 60ct GUMMY</t>
  </si>
  <si>
    <t>Vitamin B1 (Thiamin) 500 mg Tablets</t>
  </si>
  <si>
    <t>Vitamin B2 (Riboflavin) 100 mg Vegetable Capsules</t>
  </si>
  <si>
    <t>Vitamin B6 25 mg Tablets</t>
  </si>
  <si>
    <t>Vitamin B6 50 mg Tablets</t>
  </si>
  <si>
    <t>Vitamin B6 100 mg Tablets</t>
  </si>
  <si>
    <t>Vitamin B6 100 mg Vegetable Capsules</t>
  </si>
  <si>
    <t>Vitamin B12 100 mcg Tablets</t>
  </si>
  <si>
    <t>Vitamin B12 500 mcg Tablets</t>
  </si>
  <si>
    <t>Vitamin B12 500 mcg Vegetable Capsules</t>
  </si>
  <si>
    <t>Methylcobalamin (Vitamin B12) 1000 mcg Nuggets</t>
  </si>
  <si>
    <t>Methylcobalamin (Vitamin B12) 5000 mcg Nuggets</t>
  </si>
  <si>
    <t>Vitamin B12 1000 mcg Nuggets</t>
  </si>
  <si>
    <t>Sublingual Liquid B-12 2000 mcg with B-Complex</t>
  </si>
  <si>
    <t>Vitamin B12 5000 mcg Nuggets</t>
  </si>
  <si>
    <t>Biotin 5000 mcg Vegetable Capsules</t>
  </si>
  <si>
    <t>Biotin 10,000 mcg Vegetable Capsules</t>
  </si>
  <si>
    <t>Choline 350 mg Vegetable Capsules</t>
  </si>
  <si>
    <t>Choline/Inositol 500 mg/500 mg Vegetable Capsules</t>
  </si>
  <si>
    <t>Folate 666 mcg DFE (Metafolin® 400 mcg) Tablets</t>
  </si>
  <si>
    <t>Folate 1,333 mcg DFE (Metafolin® 800 mcg) Tablets</t>
  </si>
  <si>
    <t>Folate 1000 mcg (Metafolin® 1,000 mcg) Tablets</t>
  </si>
  <si>
    <t>Folate 666 mcg DFE (Folic Acid 400 mcg) Tablets</t>
  </si>
  <si>
    <t>Folic Acid 800 mcg Tablets</t>
  </si>
  <si>
    <t>Folic Acid 800 mcg Vegetable Capsules</t>
  </si>
  <si>
    <t>Inositol 500 mg Vegetable Capsules</t>
  </si>
  <si>
    <t>Niacin (Vitamin B3) 100 mg Tablets</t>
  </si>
  <si>
    <t>Niacin (Vitamin B3) 500 mg Vegetable Capsules</t>
  </si>
  <si>
    <t>No-Flush Niacin 500 mg Vegetable Capsules (Vitamin B3) (Inositol Hexanicotinate)</t>
  </si>
  <si>
    <t>Pantothenic Acid 550 mg Vegetable Capsules</t>
  </si>
  <si>
    <t>B-Complex with Vitamin C Stress Formula Tablets</t>
  </si>
  <si>
    <t>B-Complex "50" Vegetable Capsules</t>
  </si>
  <si>
    <t>B-Complex "100" Tablets</t>
  </si>
  <si>
    <t>B-Complex "100" Vegetable Capsules</t>
  </si>
  <si>
    <t>Megasorb B-Complex "50" Tablets</t>
  </si>
  <si>
    <t>Ultimate B+C Complex Tablets</t>
  </si>
  <si>
    <t>SG Vitamin C 1000mg 60ct GUMMY</t>
  </si>
  <si>
    <t>Ester-C® Plus 500 mg Vitamin C Vegetable Capsules (Ester-C® Ascorbate Complex)</t>
  </si>
  <si>
    <t>Ester-C® Plus 1000mg Vitamin C Tablets (Ester-C® Ascorbate Complex) (not sold in CA)</t>
  </si>
  <si>
    <t>Ester-C® Plus 1000 mg Vitamin C Tablets (Ester-C® Ascorbate Complex) (not sold in CA)</t>
  </si>
  <si>
    <t xml:space="preserve">Ester-C® Plus 500 mg Vitamin C Capsules </t>
  </si>
  <si>
    <t xml:space="preserve">Ester-C® Plus 1000 mg Vitamin C Capsules </t>
  </si>
  <si>
    <t>Vitamin C 500 mg Vegetable Capsules</t>
  </si>
  <si>
    <t>Vitamin C 1000 mg Tablets</t>
  </si>
  <si>
    <t>Vitamin C 1000 mg Vegetable Capsules</t>
  </si>
  <si>
    <t>Quercetin Complex with Ester-C® Plus Vegetable Capsules</t>
  </si>
  <si>
    <t>Vitamin C 500 mg with Rose Hips Tablets</t>
  </si>
  <si>
    <t>Vitamin C 1000 mg with Rose Hips Tablets</t>
  </si>
  <si>
    <t>Vitamin C 1500 mg with Rose Hips Tablets</t>
  </si>
  <si>
    <t>Astaxanthin 10 mg Softgels</t>
  </si>
  <si>
    <t>Lutein 20 mg Softgels</t>
  </si>
  <si>
    <t>Lutein 40 mg Softgels</t>
  </si>
  <si>
    <t>SG Zinc 25mg 60ct GUMMY</t>
  </si>
  <si>
    <t>Chewable Calcium 500 mg Wafers</t>
  </si>
  <si>
    <t>Calcium Citrate with Vitamin D3 Tablets</t>
  </si>
  <si>
    <t>Liquid Calcium Magnesium Citrate with Vitamin D3 - Natural Blueberry Flavor</t>
  </si>
  <si>
    <t>Liquid Calcium Magnesium Citrate with Vitamin D3 - Natural Orange-Vanilla Flavor</t>
  </si>
  <si>
    <t>Liquid Calcium Magnesium Citrate with Vitamin D3 - Natural Strawberry Flavor</t>
  </si>
  <si>
    <t>Calcium Magnesium Citrate Tablets</t>
  </si>
  <si>
    <t>Calcium Magnesium with Vitamin D3 Tablets</t>
  </si>
  <si>
    <t>Calcium Magnesium Plus Zinc Tablets</t>
  </si>
  <si>
    <t>Chromium Picolinate 500 mcg Vegetable Capsules</t>
  </si>
  <si>
    <t>Chromium Polynicotinate 200 mcg Yeast Free Vegetable Capsules</t>
  </si>
  <si>
    <t>Chelated Copper Tablets</t>
  </si>
  <si>
    <t>Chelated Iron Tablets</t>
  </si>
  <si>
    <t>Gentle Iron® Vegetable Capsules</t>
  </si>
  <si>
    <t>Earth Source® Koji Fermented Iron 27 mg Vegetable Capsules</t>
  </si>
  <si>
    <t>North Atlantic Kelp Tablets</t>
  </si>
  <si>
    <t>Chelated Magnesium Tablets** (not sold in CA)</t>
  </si>
  <si>
    <t>Magnesium with Vitamin B6 Tablets</t>
  </si>
  <si>
    <t>Magnesium Citrate Tablets (not sold in California)</t>
  </si>
  <si>
    <t>Chelated Manganese Tablets</t>
  </si>
  <si>
    <t>Potassium Amino Acid Complex Tablets</t>
  </si>
  <si>
    <t>Potassium Tablets</t>
  </si>
  <si>
    <t>Selenium 200 mcg Tablets</t>
  </si>
  <si>
    <t>Yeast-Free Selenium 100 mcg Tablets</t>
  </si>
  <si>
    <t>Yeast-Free Selenium 200 mcg Tablets</t>
  </si>
  <si>
    <t>Oceanic Silica 25 mg Vegetable Capsules</t>
  </si>
  <si>
    <t>Chelated Zinc Tablets</t>
  </si>
  <si>
    <t>Zinc 50 mg Tablets</t>
  </si>
  <si>
    <t>Zinc Citrate 30 mg Vegetable Capsules</t>
  </si>
  <si>
    <t>Zinc Picolinate 22 mg Tablets</t>
  </si>
  <si>
    <t>SG One Daily Mens Multi 60ct CAPSULES</t>
  </si>
  <si>
    <t>SG One Daily Mens Multi 50 Plus 60ct CAPSULES</t>
  </si>
  <si>
    <t>SG One Daily Womens Multi 60ct CAPSULES</t>
  </si>
  <si>
    <t>SG One Daily Womens Multi 50 Plus 60ct CAPSULES</t>
  </si>
  <si>
    <t>Formula VM-75® Tablets</t>
  </si>
  <si>
    <t>Iron-Free Formula VM-75® Tablets</t>
  </si>
  <si>
    <t>Formula VM-75® Vegetable Capsules</t>
  </si>
  <si>
    <t>Formula VM-2000® Tablets (Multinutrient System) (not sold in California)</t>
  </si>
  <si>
    <t>Kangavites® Multivitamin &amp; Mineral Chewable Tablets - Bouncin' Berry® Flavor</t>
  </si>
  <si>
    <t>Male Multiple Tablets</t>
  </si>
  <si>
    <t>Omnium® Tablets Phytonutrient Complex Multiple Vitamin &amp; Mineral Formula</t>
  </si>
  <si>
    <t>Prenatal Nutrients Tablets</t>
  </si>
  <si>
    <t>Vitamins Only Vegetable Capsules</t>
  </si>
  <si>
    <t>PM PhytoGen Complex™ Tablets (Pueraria mirifica)</t>
  </si>
  <si>
    <t>Cranberry Plus Ester-C® Vegetable Capsules</t>
  </si>
  <si>
    <t>SFP Ashwagandha Root Extract Vegetable Capsules</t>
  </si>
  <si>
    <t>SFP Boswellia Resin Extract Vegetable Capsules</t>
  </si>
  <si>
    <t>FP Cinnamon Vegetable Capsules</t>
  </si>
  <si>
    <t>Chlorella Vegetable Capsules</t>
  </si>
  <si>
    <t>Natural Cranberry with Vitamin C Vegetable Capsules</t>
  </si>
  <si>
    <t>Full Spectrum Curcumin Brain Works Licaps™</t>
  </si>
  <si>
    <t>Full Spectrum Curcumin Liquid Extract Softgels</t>
  </si>
  <si>
    <t>FP Super Ginkgo Vegetable Capsules</t>
  </si>
  <si>
    <t>SFP Ginkgo Biloba Leaf Extract Vegetable Capsules</t>
  </si>
  <si>
    <t>SFP Korean Ginseng Root Extract Vegetable Capsules</t>
  </si>
  <si>
    <t>FP Milk Thistle Vegetable Capsules</t>
  </si>
  <si>
    <t>Wild Oregano Oil Softgels</t>
  </si>
  <si>
    <t xml:space="preserve">Daily Stress Support Vegetable Capsules </t>
  </si>
  <si>
    <t>Stress &amp; Anxiety Relief Tablets</t>
  </si>
  <si>
    <t>Tart Cherry 1000 mg Vegetable Capsules</t>
  </si>
  <si>
    <t>Standardized Turmeric Root Extract Vegetable Capsules</t>
  </si>
  <si>
    <t>Herbal Water Pill Vegetable Capsules</t>
  </si>
  <si>
    <t>Advanced Antioxidant Formula Vegetable Capsules</t>
  </si>
  <si>
    <t>Bilberry Ginkgo Eyebright Complex Vegetable Capsules</t>
  </si>
  <si>
    <t>Bilberry Ginkgo Eyebright Complex Plus Lutein Vegetable Capsules</t>
  </si>
  <si>
    <t>Grape Seed Extract 100 mg Vegetable Capsules</t>
  </si>
  <si>
    <t>Pycnogenol® 100 mg Vegetable Capsules</t>
  </si>
  <si>
    <t>Resveratrol 250 mg with Red Wine Extract Softgels</t>
  </si>
  <si>
    <t>Resveratrol 500 mg Vegetable Capsules</t>
  </si>
  <si>
    <t>Megasorb CoQ-10 60 mg Softgels</t>
  </si>
  <si>
    <t>Vegetarian CoQ-10 60 mg Vegetable Capsules</t>
  </si>
  <si>
    <t>Megasorb CoQ-10 100 mg Softgels</t>
  </si>
  <si>
    <t>Vegan CoQ-10 120 mg Vegetable Capsules</t>
  </si>
  <si>
    <t>Megasorb CoQ-10 200 mg Softgels</t>
  </si>
  <si>
    <t>Vegan CoQ-10 200 mg Vegetable Capsules</t>
  </si>
  <si>
    <t>Megasorb CoQ-10 400 mg Softgels</t>
  </si>
  <si>
    <t>Megasorb CoQ-10 600 mg Softgels</t>
  </si>
  <si>
    <t>Ubiquinol 100 mg (Reduced CoQ-10) Softgels</t>
  </si>
  <si>
    <t>Ubiquinol 200 mg (Reduced CoQ-10) Softgels</t>
  </si>
  <si>
    <t>Omega-3 Vegetarian DHA 200 mg Vegetarian Softgels</t>
  </si>
  <si>
    <t>1300 mg Omega 3-6-9 Softgels</t>
  </si>
  <si>
    <t>Evening Primrose Oil 500 mg Softgels</t>
  </si>
  <si>
    <t>Evening Primrose Oil 1300 mg Softgels</t>
  </si>
  <si>
    <t>Flaxseed Oil 1250 mg Softgels</t>
  </si>
  <si>
    <t>Super GLA 300 mg Softgels</t>
  </si>
  <si>
    <t>Double Strength Omega-3 700 mg Softgels</t>
  </si>
  <si>
    <t>Triple Strength Omega-3 950 mg Softgels</t>
  </si>
  <si>
    <t>Omega-3 Fish Oil Concentrate Softgels</t>
  </si>
  <si>
    <t>Tonalin® CLA 1300 mg Softgels</t>
  </si>
  <si>
    <t>Cod Liver Oil Softgels (Vitamin A &amp; D Supplement)</t>
  </si>
  <si>
    <t>Extra Strength Glucosamine Chondroitin Complex Tablets</t>
  </si>
  <si>
    <t>Triple Strength Glucosamine Chondroitin MSM (Shellfish-Free) Tablets</t>
  </si>
  <si>
    <t>Extra Strength Glucosamine Chondroitin MSM with Ester-C® Tablets</t>
  </si>
  <si>
    <t>Glucosamine Hyaluronic Acid Chondroitin MSM (Shellfish-Free) Tablets</t>
  </si>
  <si>
    <t>Glucosamine MSM Complex (Shellfish-Free) Tablets</t>
  </si>
  <si>
    <t>Melatonin 3 mg Nuggets</t>
  </si>
  <si>
    <t>Melatonin 5 mg Nuggets</t>
  </si>
  <si>
    <t>Liquid Melatonin 10 mg - Natural Black Cherry Flavor</t>
  </si>
  <si>
    <t>Melatonin 10 mg Tablets</t>
  </si>
  <si>
    <t>MSM 1000 mg Tablets</t>
  </si>
  <si>
    <t>Triple Action Sleep Tri-Layered Tablets</t>
  </si>
  <si>
    <t>Solgar® No. 7 Vegetable Capsules</t>
  </si>
  <si>
    <t xml:space="preserve">Sleep &amp; Stress Support Vegetable Capsules </t>
  </si>
  <si>
    <t>N/A</t>
  </si>
  <si>
    <t>Solgar Advanced Sleep Support Probiotic 30B</t>
  </si>
  <si>
    <t>Advanced Probiotic Complex Vegetable Capsules</t>
  </si>
  <si>
    <t>Probi® Plus Enzyme Capsules</t>
  </si>
  <si>
    <t>Psyllium Husks Fiber 500 mg Vegetable Capsules</t>
  </si>
  <si>
    <t>Brewer's Yeast 7 1/2 Grains Tablets with Vitamin B12</t>
  </si>
  <si>
    <t>Garlic Oil Perles Softgels (Reduced Odor)</t>
  </si>
  <si>
    <t>Gelatin Capsules</t>
  </si>
  <si>
    <t>Royal Jelly "500" Softgels</t>
  </si>
  <si>
    <t>Reishi Shiitake Maitake Mushroom Extract Vegetable Capsules</t>
  </si>
  <si>
    <t>Homocysteine Modulators® Vegetable Capsules</t>
  </si>
  <si>
    <t>Prostate Support Vegetable Capsules</t>
  </si>
  <si>
    <t>Collagen Hyaluronic Acid Complex Tablets</t>
  </si>
  <si>
    <t>Lipotropic Factors Tablets</t>
  </si>
  <si>
    <t>Phosphatidylserine 200 mg Softgels</t>
  </si>
  <si>
    <t>Policosanol 20 mg Vegetable Capsules</t>
  </si>
  <si>
    <t>Red Yeast Rice Vegetable Capsules</t>
  </si>
  <si>
    <t>Skin, Nails &amp; Hair Tablets</t>
  </si>
  <si>
    <t>Original Papaya Enzyme Chewable Tablets</t>
  </si>
  <si>
    <t>Papaya Enzyme with Chlorophyll Chewable Tablets</t>
  </si>
  <si>
    <t>Super Papaya Enzyme Plus Chewable Tablets</t>
  </si>
  <si>
    <t>Chewable Acidophilus And Bifidum (1 Billion) Natural Strawberry Wafers</t>
  </si>
  <si>
    <t xml:space="preserve">Enzyme Probiotic Complex Plus Capsules </t>
  </si>
  <si>
    <t>Super Acerola Plus®  500 mg Chewable Wafers</t>
  </si>
  <si>
    <t>Apple Cider Vinegar 480 mg Tablets</t>
  </si>
  <si>
    <t>Klamath Shores®  Blue Green Algae 500 mg Capsules</t>
  </si>
  <si>
    <t>Tam®  Herbal Laxative Tablets</t>
  </si>
  <si>
    <t>Ester-C®  500 mg Capsules</t>
  </si>
  <si>
    <t>Ester-C®  500 mg with Citrus Bioflavonoids Capsules</t>
  </si>
  <si>
    <t>Ester-C®  1000 mg with Citrus Bioflavonoids Capsules</t>
  </si>
  <si>
    <t>Ester-C®  500 mg with Citrus Bioflavonoids Vegetable Capsules</t>
  </si>
  <si>
    <t>Ester-C®  500 mg Vegetarian Tablets</t>
  </si>
  <si>
    <t>Ester-C®  500 mg with Citrus Bioflavonoids Vegetarian Tablets</t>
  </si>
  <si>
    <t>Ester-C®  1000 mg with Citrus Bioflavonoids Vegetarian Tablets</t>
  </si>
  <si>
    <t>Ester-C®  1000mg With D3 5000  IU Bone &amp; Immune Health Complex Vegetarian Tablets</t>
  </si>
  <si>
    <t xml:space="preserve">Organic Castor Oil </t>
  </si>
  <si>
    <t>Wool Flannel, Small</t>
  </si>
  <si>
    <t>Hyaluronic Acid Moisturizing Cream</t>
  </si>
  <si>
    <t>Ubiquinol 100 mg Kosher (Reduced CoQ-10) Softgels</t>
  </si>
  <si>
    <t xml:space="preserve">Liposomal Melatonin Spray </t>
  </si>
  <si>
    <t>Ester-C® 1000 mg Effervescent Powder Packets - Orange /21 Packets</t>
  </si>
  <si>
    <t>Grass-Fed Whey To Go® Protein Powder Unflavored</t>
  </si>
  <si>
    <t>Grass-Fed Whey To Go® Protein Powder Natural Vanilla Flavor</t>
  </si>
  <si>
    <t>L-Carnitine 1500 mg Liquid</t>
  </si>
  <si>
    <t>Vitamin E 670 mg (1000 IU) Vegan Softgels (d-Alpha Tocopherol &amp; Mixed Tocopherols)</t>
  </si>
  <si>
    <t>Ester-C® Plus Immune Complex Softgels</t>
  </si>
  <si>
    <t xml:space="preserve">Adult Vitamin C Gummies </t>
  </si>
  <si>
    <t>U-Cubes™ Children's Vitamin C Gummies</t>
  </si>
  <si>
    <t>U-Cubes™ Children's Calcium with D3 Gummies</t>
  </si>
  <si>
    <t>Potassium Magnesium Aspartate Vegetable Capsules</t>
  </si>
  <si>
    <t>Female Multiple Tablets (not sold in California)</t>
  </si>
  <si>
    <t>U-Cubes™ Children's Multi-Vitamin &amp; Mineral Gummies</t>
  </si>
  <si>
    <t>Solgar Advanced Bowel Support Probiotic 30B</t>
  </si>
  <si>
    <t>Solgar Weight Management Probiotic 30B</t>
  </si>
  <si>
    <t>Solgar Advanced Daily Support Probiotic 30B</t>
  </si>
  <si>
    <t>Solgar Women's Complete Probiotic 30B</t>
  </si>
  <si>
    <t>Desiccated Liver Tablets</t>
  </si>
  <si>
    <t>Extra Care Probiotic Complex Vegetable Capsules</t>
  </si>
  <si>
    <t>Daily Care Probiotic Complex Vegan Capsules</t>
  </si>
  <si>
    <t>13.2 oz</t>
  </si>
  <si>
    <t>36.8 oz</t>
  </si>
  <si>
    <t>2 oz</t>
  </si>
  <si>
    <t>16 oz</t>
  </si>
  <si>
    <t>14 oz</t>
  </si>
  <si>
    <t>8 fl. oz.</t>
  </si>
  <si>
    <t>16 fl. oz.</t>
  </si>
  <si>
    <t>32 fl. oz.</t>
  </si>
  <si>
    <t>12x18 in.</t>
  </si>
  <si>
    <t>4 oz.</t>
  </si>
  <si>
    <t>21 Pkts</t>
  </si>
  <si>
    <t>12 oz</t>
  </si>
  <si>
    <t>33 oz</t>
  </si>
  <si>
    <t>Size</t>
  </si>
  <si>
    <r>
      <rPr>
        <b/>
        <sz val="10"/>
        <color theme="1"/>
        <rFont val="Calibri"/>
        <family val="2"/>
        <charset val="204"/>
        <scheme val="minor"/>
      </rPr>
      <t>- Yellow items will be out of stock or discontinued soon.</t>
    </r>
    <r>
      <rPr>
        <sz val="10"/>
        <color theme="1"/>
        <rFont val="Calibri"/>
        <family val="2"/>
        <charset val="204"/>
        <scheme val="minor"/>
      </rPr>
      <t xml:space="preserve">
</t>
    </r>
    <r>
      <rPr>
        <b/>
        <sz val="10"/>
        <color theme="1"/>
        <rFont val="Calibri"/>
        <family val="2"/>
        <charset val="204"/>
        <scheme val="minor"/>
      </rPr>
      <t>- These items have been discontinued.</t>
    </r>
    <r>
      <rPr>
        <sz val="10"/>
        <color theme="1"/>
        <rFont val="Calibri"/>
        <family val="2"/>
        <charset val="204"/>
        <scheme val="minor"/>
      </rPr>
      <t xml:space="preserve">
UPC 033984000544 Alpha Lipoic Acid 600 mg Tablets
UPC 033984007109 Apple Cider Vinegar 1000 mg Gummies
</t>
    </r>
    <r>
      <rPr>
        <b/>
        <sz val="10"/>
        <color theme="1"/>
        <rFont val="Calibri"/>
        <family val="2"/>
        <charset val="204"/>
        <scheme val="minor"/>
      </rPr>
      <t xml:space="preserve">
- "(CALIFORNIA ACCOUNTS ONLY)" item will be ordered as "(not sold in CA)" right above.</t>
    </r>
  </si>
  <si>
    <t>Oracle Description</t>
  </si>
  <si>
    <t>Delivery 
Type</t>
  </si>
  <si>
    <t>Price</t>
  </si>
  <si>
    <t>Price (144+ units per item)</t>
  </si>
  <si>
    <t>Total with discount</t>
  </si>
  <si>
    <t>SG.WHEY TO GO UNFLVD.377.G.PWD</t>
  </si>
  <si>
    <t>powder</t>
  </si>
  <si>
    <t>SG.WHEY TO GO UNFLVD.1044.G.PWD</t>
  </si>
  <si>
    <t>SG.WHEY TO GO CHOC.377.G.PWD</t>
  </si>
  <si>
    <t>SG.WHEY TO GO CHOC.1044.G.PWD</t>
  </si>
  <si>
    <t>SG.WHEY TO GO VAN.338.G.PWD</t>
  </si>
  <si>
    <t>SG.WHEY TO GO VAN.936.G.PWD</t>
  </si>
  <si>
    <t>Essential Amino Complex Vegetable Capsules</t>
  </si>
  <si>
    <t>SG.ESSENT AMINO CMPX.90.CAP</t>
  </si>
  <si>
    <t>V cap</t>
  </si>
  <si>
    <t>L-Arginine 500 mg Vegetable Capsules</t>
  </si>
  <si>
    <t>SG.L-ARGININE.500.MG.100.CAP</t>
  </si>
  <si>
    <t>SG.L-ARGININE.500.MG.250.CAP</t>
  </si>
  <si>
    <t>SG.MAX L-CARNIT.500.MG.60.TAB</t>
  </si>
  <si>
    <t>tablet</t>
  </si>
  <si>
    <t>SG.L-CARN LEMON.1500.MG.16.OZ.LIQ</t>
  </si>
  <si>
    <t>liquid</t>
  </si>
  <si>
    <t>SG.L-CYSTEINE VEG.500.MG.90.CAP</t>
  </si>
  <si>
    <t>SG.DLPA.500.MG.100.CAP</t>
  </si>
  <si>
    <t>SG.GABA.500.MG.50.CAP</t>
  </si>
  <si>
    <t>SG.GABA.500.MG.100.CAP</t>
  </si>
  <si>
    <t>SG.L-GLUTAMINE.500.MG.100.CAP</t>
  </si>
  <si>
    <t>SG.L-GLUTAMINE.1000.MG.60.TAB</t>
  </si>
  <si>
    <t>SG.L-GLUTATHIONE.250.MG.30.CAP</t>
  </si>
  <si>
    <t>SG.L-GLUTATHIONE.250.MG.60.CAP</t>
  </si>
  <si>
    <t>SG.GLYCINE.500.MG.100.CAP</t>
  </si>
  <si>
    <t>SG.5-HTP TRYPTOPHAN.90.CAP</t>
  </si>
  <si>
    <t>SG.L-LYSINE.500.MG.100.CAP</t>
  </si>
  <si>
    <t>SG.L-LYSINE.500.MG.250.CAP</t>
  </si>
  <si>
    <t>SG.L-LYSINE.1000.MG.100.TAB</t>
  </si>
  <si>
    <t>SG.L-LYSINE.1000.MG.250.TAB</t>
  </si>
  <si>
    <t>SG.L-METHIONINE.500.MG.90.CAP</t>
  </si>
  <si>
    <t>SG.TAURINE.500.MG.100.CAP</t>
  </si>
  <si>
    <t>SG.TAURINE.500.MG.250.CAP</t>
  </si>
  <si>
    <t>SG.L-THEANINE.150.MG.60.CAP</t>
  </si>
  <si>
    <t>SG.L-TYROSINE.500.MG.100.CAP</t>
  </si>
  <si>
    <t>gummy</t>
  </si>
  <si>
    <t>SG.DRY VIT A.1500.MCG.100.TAB</t>
  </si>
  <si>
    <t>SG.VIT D.400.IU.100.SFG</t>
  </si>
  <si>
    <t>softgel</t>
  </si>
  <si>
    <t>SG.VIT D.400.IU.250.SFG</t>
  </si>
  <si>
    <t>SG.VIT D3.600.IU.120.CAP</t>
  </si>
  <si>
    <t>SG.CHWBLE VIT D3.1000.IU.100.TAB</t>
  </si>
  <si>
    <t>SG.VIT D.1000.IU.100.SFG</t>
  </si>
  <si>
    <t>SG.VIT D.1000.IU.250.SFG</t>
  </si>
  <si>
    <t>SG.VIT D3.1000.IU.90.TAB</t>
  </si>
  <si>
    <t>SG.VIT D3.1000.IU.180.TAB</t>
  </si>
  <si>
    <t>SG.VEGAN VIT D.25.MCG.120.SFG</t>
  </si>
  <si>
    <t>SG.VIT D3.2200.IU.50.CAP</t>
  </si>
  <si>
    <t>SG.VIT D3.2200.IU.100.CAP</t>
  </si>
  <si>
    <t>SG.VIT D3.5000.IU.2.OZ.LIQ</t>
  </si>
  <si>
    <t>SG.VIT D3.5000.IU.100.SFG</t>
  </si>
  <si>
    <t>SG.VIT D3 CHOLECALC.5000.IU.60.CAP</t>
  </si>
  <si>
    <t>SG.VIT D3 CHOLECALC.5000.IU.120.CAP</t>
  </si>
  <si>
    <t>SG.VIT D3 CHOLECALC.5000.IU.240.CAP</t>
  </si>
  <si>
    <t>SG.VEGAN VIT D.150.MCG.50.SFG</t>
  </si>
  <si>
    <t>SG.VEGAN VIT D.150.MCG.100.SFG</t>
  </si>
  <si>
    <t>SG.VIT D3.10000.IU.120.SFG</t>
  </si>
  <si>
    <t>SG.VIT E YF SELE.100.CAP</t>
  </si>
  <si>
    <t xml:space="preserve"> V cap</t>
  </si>
  <si>
    <t>SG.VIT E MIXED.100.IU.100.SFG</t>
  </si>
  <si>
    <t>SG.VIT E MIXED.200.IU.100.SFG</t>
  </si>
  <si>
    <t>Vitamin E 134 mg (200 IU) Vegan Softgels (d-Alpha Tocopherol &amp; Mixed Tocopherols)</t>
  </si>
  <si>
    <t>SG.VIT E.200.IU.100.SFG</t>
  </si>
  <si>
    <t>SG.VIT E ALPHA TOC.400.IU.100.SFG</t>
  </si>
  <si>
    <t>SG.VIT E ALPHA TOC.400.IU.250.SFG</t>
  </si>
  <si>
    <t>SG.VIT E MIXED.400.IU.100.SFG</t>
  </si>
  <si>
    <t>SG.VIT E MIXED.400.IU.250.SFG</t>
  </si>
  <si>
    <t>SG.VIT E.400.IU.100.SFG</t>
  </si>
  <si>
    <t>SG.VIT E MIXED.1000.IU.100.SFG</t>
  </si>
  <si>
    <t>SG.VIT E.1000.IU.100.SFG</t>
  </si>
  <si>
    <t>SG.VIT E.2.OZ.LIQ</t>
  </si>
  <si>
    <t>Liquid Vitamin E (without dropper)</t>
  </si>
  <si>
    <t>SG.VIT E.4.OZ.LIQ</t>
  </si>
  <si>
    <t>4 oz</t>
  </si>
  <si>
    <t>SG.VIT K2.100.MCG.50.CAP</t>
  </si>
  <si>
    <t>Vitamin B1 (Thiamin) 100 mg Vegetable Capsules</t>
  </si>
  <si>
    <t>SG.VIT B1.100.MG.100.CAP</t>
  </si>
  <si>
    <t>SG.VIT B1.500.MG.100.TAB</t>
  </si>
  <si>
    <t>SG.VIT B2.100.MG.100.CAP</t>
  </si>
  <si>
    <t>SG.VIT B6.25.MG.100.TAB</t>
  </si>
  <si>
    <t>SG.VIT B6.50.MG.100.TAB</t>
  </si>
  <si>
    <t>SG.VIT B6.100.MG.100.TAB</t>
  </si>
  <si>
    <t>SG.VIT B6.100.MG.100.CAP</t>
  </si>
  <si>
    <t>SG.VIT B6.100.MG.250.CAP</t>
  </si>
  <si>
    <t>SG.VIT B12.100.MCG.100.TAB</t>
  </si>
  <si>
    <t>SG.VIT B12.500.MCG.100.TAB</t>
  </si>
  <si>
    <t>SG.VIT B12.500.MCG.100.CAP</t>
  </si>
  <si>
    <t>SG.VIT B12.500.MCG.250.CAP</t>
  </si>
  <si>
    <t>SG.METHYLCOBAL NGT.1000.MCG.30.TAB</t>
  </si>
  <si>
    <t>SG.METHYLCOBAL NGT.1000.MCG.60.TAB</t>
  </si>
  <si>
    <t>SG.METHYLCOBAL NGT.5000.MCG.30.TAB</t>
  </si>
  <si>
    <t>SG.METHYLCOBAL NGT.5000.MCG.60.TAB</t>
  </si>
  <si>
    <t>SG.VIT B12 NGTS.1000.MCG.100.TAB</t>
  </si>
  <si>
    <t>SG.VIT B12 NGTS.1000.MCG.250.TAB</t>
  </si>
  <si>
    <t>SG.B12 SL W/B-CMP.2000.MCG.2.OZ.LIQ</t>
  </si>
  <si>
    <t>SG.VIT B12 NGTS.5000.MCG.30.TAB</t>
  </si>
  <si>
    <t>Biotin 300 mcg Tablets</t>
  </si>
  <si>
    <t>SG.BIOTIN.300.MCG.100.TAB</t>
  </si>
  <si>
    <t>Biotin 1000 mcg Vegetable Capsules</t>
  </si>
  <si>
    <t>SG.BIOTIN.1000.MCG.100.CAP</t>
  </si>
  <si>
    <t>SG.BIOTIN.1000.MCG.250.CAP</t>
  </si>
  <si>
    <t>SG.BIOTIN.5000.MCG.50.CAP</t>
  </si>
  <si>
    <t>SG.BIOTIN.5000.MCG.100.CAP</t>
  </si>
  <si>
    <t>SG.BIOTIN VEG.10000.MCG.60.CAP</t>
  </si>
  <si>
    <t>SG.BIOTIN.10000.MCG.120.CAP</t>
  </si>
  <si>
    <t>SG.CHOLINE.350.MG.100.CAP</t>
  </si>
  <si>
    <t>SG.CHOLINE INOSITOL.500.MG.100.CAP</t>
  </si>
  <si>
    <t>SG.METAFOLIN.400.MCG.100.TAB</t>
  </si>
  <si>
    <t>SG.METAFOLIN.800.MCG.100.TAB</t>
  </si>
  <si>
    <t>SG.METAFOLIN.1000.MCG.60.TAB</t>
  </si>
  <si>
    <t>SG.METAFOLIN.1000.MCG.120.TAB</t>
  </si>
  <si>
    <t>SG.FOLIC ACID.400.MCG.250.TAB</t>
  </si>
  <si>
    <t>SG.FOLIC ACID.800.MCG.250.TAB</t>
  </si>
  <si>
    <t>SG.FOLIC ACID.800.MCG.250.CAP</t>
  </si>
  <si>
    <t>SG.INOSITOL.500.MG.100.CAP</t>
  </si>
  <si>
    <t>SG.NIACIN.100.MG.100.TAB</t>
  </si>
  <si>
    <t>SG.NIACIN.500.MG.100.CAP</t>
  </si>
  <si>
    <t>SG.NIACIN.500.MG.250.CAP</t>
  </si>
  <si>
    <t>SG.FF NIACIN.500.MG.100.CAP</t>
  </si>
  <si>
    <t>SG.FF NIACIN.500.MG.250.CAP</t>
  </si>
  <si>
    <t>SG.PANTOTHENIC ACID.550.MG.100.CAP</t>
  </si>
  <si>
    <t>SG.B-COMPLEX W/C.100.TAB</t>
  </si>
  <si>
    <t>SG.B-COMPLEX W/C.250.TAB</t>
  </si>
  <si>
    <t>SG.B-COMPLEX 50.100.CAP</t>
  </si>
  <si>
    <t>SG.B-COMPLEX 50.250.CAP</t>
  </si>
  <si>
    <t>SG.FORM B-100 CMPLX.100.TAB</t>
  </si>
  <si>
    <t>SG.FORM B-100 CMPLX.250.TAB</t>
  </si>
  <si>
    <t>SG.B-COMPLEX 100.50.CAP</t>
  </si>
  <si>
    <t>SG.B-COMPLEX 100.100.CAP</t>
  </si>
  <si>
    <t>SG.B-COMPLEX 100.250.CAP</t>
  </si>
  <si>
    <t>SG.MEGASORB B50 CMPX.100.TAB</t>
  </si>
  <si>
    <t>SG.ULT VIT B + C CMPX.90.TAB</t>
  </si>
  <si>
    <t>Citrus Bioflavonoid Complex 1000 mg Tablets</t>
  </si>
  <si>
    <t>SG.CITRUS BIOFLAV.1000.MG.100.TAB</t>
  </si>
  <si>
    <t>SG.CITRUS BIOFLAV.1000.MG.250.TAB</t>
  </si>
  <si>
    <t>SG.ESTER-C PLUS.500.MG.50.CAP</t>
  </si>
  <si>
    <t>SG.ESTER-C PLUS.500.MG.100.CAP</t>
  </si>
  <si>
    <t>SG.ESTER-C PLUS.500.MG.250.CAP</t>
  </si>
  <si>
    <t>SG.ESTER-C PLUS.1000.MG.60.TAB^^</t>
  </si>
  <si>
    <t>SG.ESTER-C PLUS.1000.MG.90.TAB^^</t>
  </si>
  <si>
    <t>SG.ESTER-C PLUS.1000.MG.180.TAB^^</t>
  </si>
  <si>
    <t>SG.ESTER-C PLUS.500. MG.45.CAP</t>
  </si>
  <si>
    <t>cap</t>
  </si>
  <si>
    <t>SG.ESTER-C PLUS.500. MG.90.CAP</t>
  </si>
  <si>
    <t>SG.ESTER-C PLUS.1000. MG.50.CAP</t>
  </si>
  <si>
    <t>SG.ESTER-C PLUS.1000. MG.100.CAP</t>
  </si>
  <si>
    <t>SG.ESTER-C PLUS IMMUNE.60.SFG</t>
  </si>
  <si>
    <t>SG.ESTER-C PLUS IMMUNE.90.SFG</t>
  </si>
  <si>
    <t>Vitamin C 500 mg Chewable Tablets - Orange Flavor</t>
  </si>
  <si>
    <t>SG.VIT C CHWORG.90.SFC</t>
  </si>
  <si>
    <t>Vitamin C 500 mg Chewable Tablets - Cran Raspberry Flavor</t>
  </si>
  <si>
    <t>SG.VIT C CHW CRRA.90.SFC</t>
  </si>
  <si>
    <t>SG.VIT C.500.MG.100.CAP</t>
  </si>
  <si>
    <t>SG.VIT C.500.MG.250.CAP</t>
  </si>
  <si>
    <t>SG.VIT C.1000.MG.90.TAB</t>
  </si>
  <si>
    <t>SG.VIT C.1000.MG.100.CAP</t>
  </si>
  <si>
    <t>SG.VIT C.1000.MG.250.CAP</t>
  </si>
  <si>
    <t>Hy-Bio® Tablets (500 mg Vitamin C with 500 mg Bioflavonoids)</t>
  </si>
  <si>
    <t>SG.HY-BIO.250.TAB</t>
  </si>
  <si>
    <t>SG.QUERCETIN EST C.50.CAP</t>
  </si>
  <si>
    <t>SG.QUERCETIN EST C.100.CAP</t>
  </si>
  <si>
    <t>SG.ADULT VIT C.120.GMY</t>
  </si>
  <si>
    <t>SG.VIT C W RH.500.MG.100.TAB</t>
  </si>
  <si>
    <t>SG.VIT C W RH.500.MG.250.TAB</t>
  </si>
  <si>
    <t>SG.VIT C W RH.1000.MG.100.TAB</t>
  </si>
  <si>
    <t>SG.VIT C W RH.1000.MG.250.TAB</t>
  </si>
  <si>
    <t>SG.VIT C W RH.1500.MG.90.TAB</t>
  </si>
  <si>
    <t>SG.VIT C W RH.1500.MG.180.TAB</t>
  </si>
  <si>
    <t>Natural Astaxanthin 5 mg Softgels</t>
  </si>
  <si>
    <t>SG.ASTAXANTHIN.5.MG.60.SFG</t>
  </si>
  <si>
    <t>SG.ASTAXANTHIN.10.MG.30.SFG</t>
  </si>
  <si>
    <t>Oceanic Beta-Carotene 25,000 IU Softgels</t>
  </si>
  <si>
    <t>SG.OCEANIC BETACARO.90.SFG</t>
  </si>
  <si>
    <t>SG.OCEANIC BETACARO.180.SFG</t>
  </si>
  <si>
    <t>SG.LUTEIN.20.MG.60.SFG</t>
  </si>
  <si>
    <t>SG.LUTEIN.40.MG.30.SFG</t>
  </si>
  <si>
    <t>Advanced Calcium Complex Tablets</t>
  </si>
  <si>
    <t>SG.ADV CALCIUM CMPX.120.TAB</t>
  </si>
  <si>
    <t>SG.CALCIUM CHWWFRS.500.MG.120.SFC</t>
  </si>
  <si>
    <t>Calcium "600" Tablets (from Oyster Shell with Vitamin D3)</t>
  </si>
  <si>
    <t>SG.CALCIUM 600.240.TAB</t>
  </si>
  <si>
    <t>SG.CALCIUM CITRATE W/D3.120.TAB</t>
  </si>
  <si>
    <t>SG.CALCIUM CITRATE W/D3.240.TAB</t>
  </si>
  <si>
    <t>SG.CAL D3 CUBE PECTIN.60.GMY</t>
  </si>
  <si>
    <t>SG.CAL/MAG/D3 BLBRY.16.OZ.LIQ</t>
  </si>
  <si>
    <t>SG.CAL/MAG/D3 ORGVAN.16.OZ.LIQ</t>
  </si>
  <si>
    <t>SG.CAL/MAG/D3 STWBRY.16.OZ.LIQ</t>
  </si>
  <si>
    <t>SG.CAL MG W/VIT D3.150.TAB</t>
  </si>
  <si>
    <t>SG.CAL MG W/VIT D3.300.TAB</t>
  </si>
  <si>
    <t>Calcium Magnesium Plus Boron Tablets</t>
  </si>
  <si>
    <t>SG.CAL MG W/BORON.250.TAB</t>
  </si>
  <si>
    <t>SG.CAL MG CITRATE.100.TAB</t>
  </si>
  <si>
    <t>SG.CAL MG CITRATE.250.TAB</t>
  </si>
  <si>
    <t>SG.CALC/MAG/ZINC.100.TAB</t>
  </si>
  <si>
    <t>SG.CALC/MAG/ZINC.250.TAB</t>
  </si>
  <si>
    <t>Chromium Picolinate 200 mcg Vegetable Capsules</t>
  </si>
  <si>
    <t>SG.CHROMIUM PICO.200.MCG.180.CAP</t>
  </si>
  <si>
    <t>SG.CHROMIUM PICO.500.MCG.60.CAP</t>
  </si>
  <si>
    <t>SG.CHROMIUM POLYNIC.200.MCG.100.CAP</t>
  </si>
  <si>
    <t>SG.CHELATED COPPER.100.TAB</t>
  </si>
  <si>
    <t>SG.CHELATED IRON.MG.100.TAB</t>
  </si>
  <si>
    <t>SG.GENTLE IRON.90.CAP</t>
  </si>
  <si>
    <t>SG.GENTLE IRON.180.CAP</t>
  </si>
  <si>
    <t>SG.KOJI IRON FRMNTD.27.MG.30.CAP</t>
  </si>
  <si>
    <t>SG.KOJI IRON FRMNTD.27.MG.60.CAP</t>
  </si>
  <si>
    <t>SG.KELP.250.TAB</t>
  </si>
  <si>
    <t>SG.CHELATED MAGNESIUM.100.TAB^^</t>
  </si>
  <si>
    <t>SG.CHELATED MAGNESIUM.250.TAB^^</t>
  </si>
  <si>
    <t>SG.MAGNESIUM W/B6.250.TAB</t>
  </si>
  <si>
    <t>SG.MAGNESIUM CITRATE.60.TAB^^</t>
  </si>
  <si>
    <t>SG.MAGNESIUM CITRATE.120.TAB^^</t>
  </si>
  <si>
    <t>SG.CHELATED MANGANESE.100.TAB</t>
  </si>
  <si>
    <t>SG.POTASSIUM COMPLEX.100.TAB</t>
  </si>
  <si>
    <t>SG.POTASSIUM.100.TAB</t>
  </si>
  <si>
    <t>SG.POTASSIUM.250.TAB</t>
  </si>
  <si>
    <t>SG.POT/MG ASPARTATE.90.CAP</t>
  </si>
  <si>
    <t>SG.SELENIUM.200.MCG.100.TAB</t>
  </si>
  <si>
    <t>SG.YF SELENIUM.100.MCG.100.TAB</t>
  </si>
  <si>
    <t>SG.YF SELENIUM.200.MCG.100.TAB</t>
  </si>
  <si>
    <t>SG.YF SELENIUM.200.MCG.250.TAB</t>
  </si>
  <si>
    <t>SG.OCEANIC SILICA.25.MG.100.CAP</t>
  </si>
  <si>
    <t>SG.CHELATED ZINC.MG.100.TAB</t>
  </si>
  <si>
    <t>SG.CHELATED ZINC.MG.250.TAB</t>
  </si>
  <si>
    <t>SG.ZINC.50.MG.100.TAB</t>
  </si>
  <si>
    <t>SG.ZINC CITRATE.30.MG.100.CAP</t>
  </si>
  <si>
    <t>SG.ZINC PICOLINATE.22.MG.100.TAB</t>
  </si>
  <si>
    <t>Earth Source® Koji Fermented Zinc 25 mg Vegetable Capsules</t>
  </si>
  <si>
    <t>SG.KOJI ZINC.25.MG.60.CAP</t>
  </si>
  <si>
    <t>capsule</t>
  </si>
  <si>
    <t>SG.FORMULA VM-75.60.TAB</t>
  </si>
  <si>
    <t>SG.FORMULA VM-75.90.TAB</t>
  </si>
  <si>
    <t>SG.FORMULA VM-75.180.TAB</t>
  </si>
  <si>
    <t>SG.FORMULA VM-75.250.TAB</t>
  </si>
  <si>
    <t>SG.FORM VM-75 NO FE.90.TAB</t>
  </si>
  <si>
    <t>SG.FORM VM-75 NO FE.180.TAB</t>
  </si>
  <si>
    <t>SG.FORMULA VM-75.120.CAP</t>
  </si>
  <si>
    <t>SG.FORMULA VM-2000.180.TAB^^</t>
  </si>
  <si>
    <t>SG.KANGAVITE BERRY.120.TAB</t>
  </si>
  <si>
    <t>SG.OMNIUM.90.TAB</t>
  </si>
  <si>
    <t>SG.PRENATAL NUTRIENTS.120.TAB</t>
  </si>
  <si>
    <t>SG.MULTI CUBE PECTIN.120.GMY</t>
  </si>
  <si>
    <t>SG.VITAMINS ONLY.90.CAP</t>
  </si>
  <si>
    <t>Menopause Relief Mini-Tablets</t>
  </si>
  <si>
    <t>SG.MENOPAUSE RELIEF.30.TAB</t>
  </si>
  <si>
    <t>SG.PM PHYTOGEN CMPX.60.TAB</t>
  </si>
  <si>
    <t>SG.CRANBERRY W/ESTER-C.60.CAP</t>
  </si>
  <si>
    <t>Non-GMO Super Concentrated Isoflavones Tablets</t>
  </si>
  <si>
    <t>SG.SUPER CONC ISO.120.TAB</t>
  </si>
  <si>
    <t>SFP Herbal Female Complex Vegetable Capsules</t>
  </si>
  <si>
    <t>SG.SFP HRBL FEMALE CMPX.50.CAP</t>
  </si>
  <si>
    <t>SG.SFP ASHWAGANDHA.60.CAP</t>
  </si>
  <si>
    <t>SFP Bilberry Berry Extract Vegetable Capsules</t>
  </si>
  <si>
    <t>SG.SFP BILBERRY.60.MG.60.CAP</t>
  </si>
  <si>
    <t>SG.SFP BOSWELLIA RESIN.60.CAP</t>
  </si>
  <si>
    <t>SG.CINNAMON.500.MG.100.CAP</t>
  </si>
  <si>
    <t>SG.CHLORELLA.100.CAP</t>
  </si>
  <si>
    <t>SG.CRANBERRY.60.CAP</t>
  </si>
  <si>
    <t>SG.BRAIN WORKS FS CURC.90.CAP</t>
  </si>
  <si>
    <t>SG.FS CURCUMIN.30.SFG</t>
  </si>
  <si>
    <t>SG.FS CURCUMIN.60.SFG</t>
  </si>
  <si>
    <t>SG.FS CURCUMIN.90.SFG</t>
  </si>
  <si>
    <t>FP Echinacea Vegetable Capsules</t>
  </si>
  <si>
    <t>SG.FP ECHINACEA.100.CAP</t>
  </si>
  <si>
    <t>SFP Echinacea Herb Extract Vegetable Capsules</t>
  </si>
  <si>
    <t>SG.SFP ECHINACEA.60.CAP</t>
  </si>
  <si>
    <t>SG.FP GINKGO BILOBA.120.CAP</t>
  </si>
  <si>
    <t>SG.SFP GINKGO BILOBA.90.MG.180.CAP</t>
  </si>
  <si>
    <t>SG.SFP KOREAN GINSENG.60.CAP</t>
  </si>
  <si>
    <t>SG.FP MILK THISTLE.100.MG.100.CAP</t>
  </si>
  <si>
    <t>SG.FP MILK THISTLE.100.MG.250.CAP</t>
  </si>
  <si>
    <t>SG.OREGANO OIL.175.MG.60.SFG</t>
  </si>
  <si>
    <t>SFP Rhodiola Root Extract Vegetable Capsules</t>
  </si>
  <si>
    <t>SG.SFP RHODIOLA ROOT.60.CAP</t>
  </si>
  <si>
    <t>Full Spectrum Curcumin Sleep Ease Licaps™</t>
  </si>
  <si>
    <t>SG.SLEEP EASE PM WFSC.60.CAP</t>
  </si>
  <si>
    <t>SG.STRESS SUPPORT.30.CAP</t>
  </si>
  <si>
    <t>SG.STRESS SUPPORT.60.CAP</t>
  </si>
  <si>
    <t>SG.STRESS ANXIETY RLF.30.TAB</t>
  </si>
  <si>
    <t>SG.TART CHERRY.90.CAP</t>
  </si>
  <si>
    <t>SG.TURMERIC.60.CAP</t>
  </si>
  <si>
    <t>SG.HERBAL DIURETIC.100.CAP</t>
  </si>
  <si>
    <t>Alpha Lipoic Acid 200 mg Vegetable Capsules</t>
  </si>
  <si>
    <t>SG.ALPHA LIPO ACID.200.MG.50.CAP</t>
  </si>
  <si>
    <t>SG.ADV ANTIOXIDANT.120.CAP</t>
  </si>
  <si>
    <t>SG.BLBRY GNKGO EYEBRT.60.CAP</t>
  </si>
  <si>
    <t>SG.BLBRY GNKGO EYEBR LT.60.CAP</t>
  </si>
  <si>
    <t>SG.GRAPE SEED.100.MG.60.CAP</t>
  </si>
  <si>
    <t>SG.PYCNOGENOL.100.MG.30.CAP</t>
  </si>
  <si>
    <t>Resveratrol 100 mg Vegetable Capsules</t>
  </si>
  <si>
    <t>SG.RESVERATROL.100.MG.60.CAP</t>
  </si>
  <si>
    <t>SG.RESVERATROL.250.MG.30.SFG</t>
  </si>
  <si>
    <t>SG.RESVERATROL.250.MG.60.SFG</t>
  </si>
  <si>
    <t>SG.RESVERATROL.500.MG.30.CAP</t>
  </si>
  <si>
    <t>SG.COQ10.60.MG.180.CAP</t>
  </si>
  <si>
    <t>SG.COQ10.100.MG.30.SFG</t>
  </si>
  <si>
    <t>SG.COQ10.100.MG.60.SFG</t>
  </si>
  <si>
    <t>SG.COQ10.100.MG.90.SFG</t>
  </si>
  <si>
    <t>SG.COQ10.120.MG.60.CAP</t>
  </si>
  <si>
    <t>SG.COQ10.200.MG.30.SFG</t>
  </si>
  <si>
    <t>SG.COQ10.200.MG.60.SFG</t>
  </si>
  <si>
    <t>SG.COQ10.200.MG.30.CAP</t>
  </si>
  <si>
    <t>SG.COQ10.200.MG.60.CAP</t>
  </si>
  <si>
    <t>SG.COQ10.400.MG.30.SFG</t>
  </si>
  <si>
    <t>SG.COQ10.400.MG.60.SFG</t>
  </si>
  <si>
    <t>SG.COQ10.600.MG.30.SFG</t>
  </si>
  <si>
    <t>SG.UBIQUINOL.100.MG.50.SFG</t>
  </si>
  <si>
    <t>SG.UBIQUINOL.200.MG.30.SFG</t>
  </si>
  <si>
    <t>SG.KOSH UBIQUINOL.100.MG.60.SFG</t>
  </si>
  <si>
    <t>SG.DHA.200.MG.50.SFG</t>
  </si>
  <si>
    <t>SG.FISH FLAX BORAGE.1300.MG.60.SFG</t>
  </si>
  <si>
    <t>SG.FISH FLAX BORAGE.1300.MG.120.SFG</t>
  </si>
  <si>
    <t>SG.EVENING PRIMROSE.500.MG.90.SFG</t>
  </si>
  <si>
    <t>SG.EVENING PRIMROSE.500.MG.180.SFG</t>
  </si>
  <si>
    <t>SG.EVENING PRIMROSE.1300.MG.60.SFG</t>
  </si>
  <si>
    <t>Earth Source® Organic Flaxseed Oil</t>
  </si>
  <si>
    <t>SG.ORG FLAXSEED OIL.16.OZ.LIQ</t>
  </si>
  <si>
    <t>SG.FLAXSEED OIL.1250.MG.100.SFG</t>
  </si>
  <si>
    <t>SG.FLAXSEED OIL.1250.MG.170.SFG</t>
  </si>
  <si>
    <t>SG.SUPER GLA.300.MG.60.SFG</t>
  </si>
  <si>
    <t>Omega-3 740 mg Kosher Softgels</t>
  </si>
  <si>
    <t>SG.KOSHER OMEGA 3.740.MG.100.SFG</t>
  </si>
  <si>
    <t>SG.OMEGA 3 2X.700.MG.60.SFG</t>
  </si>
  <si>
    <t>SG.OMEGA 3 2X.700.MG.120.SFG</t>
  </si>
  <si>
    <t>SG.OMEGA 3 3X.950.MG.50.SFG</t>
  </si>
  <si>
    <t>SG.OMEGA 3 3X.950.MG.100.SFG</t>
  </si>
  <si>
    <t>SG.OMEGA 3 FISH OIL.120.SFG</t>
  </si>
  <si>
    <t>SG.TONALIN CLA.1300.MG.60.SFG</t>
  </si>
  <si>
    <t>SG.COD LIVER OIL.100.SFG</t>
  </si>
  <si>
    <t>SG.COD LIVER OIL.250.SFG</t>
  </si>
  <si>
    <t>Energy Kicks Single Serving - Natural Pomegranate Flavor</t>
  </si>
  <si>
    <t>SG.ES GLUCO/CHON CMPX.75.TAB</t>
  </si>
  <si>
    <t>SG.ES GLUCO/CHON CMPX.150.TAB</t>
  </si>
  <si>
    <t>SG.GLUC/CHOND COMP.270.TAB</t>
  </si>
  <si>
    <t>SG.GLUC/CHOND/MSM/ESTC.60.TAB</t>
  </si>
  <si>
    <t>SG.GLUC/CHOND/MSM/ESTC.120.TAB</t>
  </si>
  <si>
    <t>SG.GLUC/CHOND/MSM ES.180.TAB</t>
  </si>
  <si>
    <t>SG.GLUC/HA/CHOND/MSM.60.TAB</t>
  </si>
  <si>
    <t>SG.GLUC/HA/CHOND/MSM.120.TAB</t>
  </si>
  <si>
    <t>SG.GLUCOSAMINE MSM.120.TAB</t>
  </si>
  <si>
    <t>SG.MELSPRY.0.5.MG.0.68.OZ.LIQ</t>
  </si>
  <si>
    <t>68 oz</t>
  </si>
  <si>
    <t>SG.MELATONIN.3.MG.120.TAB</t>
  </si>
  <si>
    <t>SG.MELATONIN.5.MG.60.TAB</t>
  </si>
  <si>
    <t>SG.MELATONIN.5.MG.120.TAB</t>
  </si>
  <si>
    <t>SG.MELATONIN.10.MG.2.OZ.LIQ</t>
  </si>
  <si>
    <t>SG.MELATONIN.10.MG.60.TAB</t>
  </si>
  <si>
    <t>SG.MSM.1000.MG.120.TAB</t>
  </si>
  <si>
    <t>SG.TRIPLE ACTION SLEEP.30.TAB</t>
  </si>
  <si>
    <t>SG.TRIPLE ACTION SLEEP.60.TAB</t>
  </si>
  <si>
    <t>SG.SOLGAR 7.30.CAP</t>
  </si>
  <si>
    <t>SG.SOLGAR 7.60.CAP</t>
  </si>
  <si>
    <t>SG.SOLGAR 7.90.CAP</t>
  </si>
  <si>
    <t>SG.SLEEP&amp;STRESS SPT.30.CAP</t>
  </si>
  <si>
    <t>SG.SLEEP&amp;STRESS SPT.60.CAP</t>
  </si>
  <si>
    <t>Advanced Acidophilus Vegetable Capsules</t>
  </si>
  <si>
    <t>SG.ADV ACIDOPHILUS.100.CAP</t>
  </si>
  <si>
    <t>Advanced Acidophilus Plus Vegetable Capsules</t>
  </si>
  <si>
    <t>SG.ADV ACIDOPHILUS PLUS.60.CAP</t>
  </si>
  <si>
    <t>SG.ADV ACIDOPHILUS PLUS.120.CAP</t>
  </si>
  <si>
    <t>Advanced 40+ Acidophilus Vegetable Capsules</t>
  </si>
  <si>
    <t>SG.ADV 40+ ACIDOPHILUS.60.CAP</t>
  </si>
  <si>
    <t>SG.ADV 40+ ACIDOPHILUS.120.CAP</t>
  </si>
  <si>
    <t>Advanced Multi-Billion Dophilus® Vegetable Capsules</t>
  </si>
  <si>
    <t>SG.ADV MLTBL DOPHILUS.60.CAP</t>
  </si>
  <si>
    <t>SG.ADV PROBIOTIC CMPLX.30.CAP</t>
  </si>
  <si>
    <t>SG.PROBI PLUS DIGESTENZ.30.CAP</t>
  </si>
  <si>
    <t>Comfort Zone Digestive Complex Vegetable Capsules</t>
  </si>
  <si>
    <t>SG.COMFORT ZONE DGST.90.CAP</t>
  </si>
  <si>
    <t>SG.PSYLLIUM HUSKS.200.CAP</t>
  </si>
  <si>
    <t>Beta Glucans Tablets</t>
  </si>
  <si>
    <t>SG.BETA 1,3 GLUCANS.60.TAB</t>
  </si>
  <si>
    <t>Brewer's Yeast Powder</t>
  </si>
  <si>
    <t>SG.BREWERS YEAST.14.OZ.PWD</t>
  </si>
  <si>
    <t>SG.BREWERS YEAST.250.TAB</t>
  </si>
  <si>
    <t>SG.GELATIN.100.CAP</t>
  </si>
  <si>
    <t>SG.GELATIN.250.CAP</t>
  </si>
  <si>
    <t>Lecithin 1360 mg Softgels</t>
  </si>
  <si>
    <t>SG.LECITHIN.1360.MG.180.SFG</t>
  </si>
  <si>
    <t>SG.DESICCATED LIVER.100.TAB</t>
  </si>
  <si>
    <t>Phosphatidylcholine Softgels</t>
  </si>
  <si>
    <t>SG.PHOSPHATIDYL CHOLINE.420.MG.100.SFG</t>
  </si>
  <si>
    <t>SG.ROYAL JELLY.500.MG.60.SFG</t>
  </si>
  <si>
    <t>SG.REISHI SHIIT MAIT.50.CAP</t>
  </si>
  <si>
    <t>Spirulina 750 mg Vegetable Capsules</t>
  </si>
  <si>
    <t>SG.SPIRULINA.750.MG.250.CAP</t>
  </si>
  <si>
    <t>SG.HOMOCYST MDULTRS.120.CAP</t>
  </si>
  <si>
    <t>SG.PROSTATE SUPPORT.60.CAP</t>
  </si>
  <si>
    <t>SG.COLLAGEN HA.120.MG.30.TAB</t>
  </si>
  <si>
    <t>SG.LIPOTROPIC FACTOR.100.TAB</t>
  </si>
  <si>
    <t>SG.PHOSPHATIDYLSERINE.200.MG.60.SFG</t>
  </si>
  <si>
    <t>SG.POLICOSANOL.100.CAP</t>
  </si>
  <si>
    <t>SG.RED YEAST RICE.600.MG.60.CAP</t>
  </si>
  <si>
    <t>SG.RED YEAST RICE.600.MG.120.CAP</t>
  </si>
  <si>
    <t>SG.SKIN NAILS HAIR.60.TAB</t>
  </si>
  <si>
    <t>SG.SKIN NAILS HAIR.120.TAB</t>
  </si>
  <si>
    <t>Royal Brittany™ Evening Primrose Oil 500 mg Softgels</t>
  </si>
  <si>
    <t>AH.RB EPO BOGO.500.MG.50X2.SFG</t>
  </si>
  <si>
    <t>50 + 50</t>
  </si>
  <si>
    <t>AH.RB EPO BOGO.500.MG.100X2.SFG</t>
  </si>
  <si>
    <t>100 + 100</t>
  </si>
  <si>
    <t>Probiotic Kidchewable Natural Grape Flavor</t>
  </si>
  <si>
    <t>AH.PROBI KIDCHEW GRP.5.BILLION.30.TAB</t>
  </si>
  <si>
    <t>Probiotic Kidchewable Natural Strawberry Vanilla Flavor</t>
  </si>
  <si>
    <t>AH.PRO KIDCHEW STRW VAN.5.BILLION.30.TAB</t>
  </si>
  <si>
    <t>AH.ORIG PAPAYA ENZYME.100.TAB</t>
  </si>
  <si>
    <t>AH.ORIG PAPAYA ENZYME.600.TAB</t>
  </si>
  <si>
    <t>AH.PAP ENZ W/CHLOROPHYL.100.TAB</t>
  </si>
  <si>
    <t>AH.PAP ENZ W/CHLOROPHYL.250.TAB</t>
  </si>
  <si>
    <t>AH.PAP ENZ W/CHLOROPHYL.600.TAB</t>
  </si>
  <si>
    <t>AH.SUPER PAPAYA ENZYME+.90.TAB</t>
  </si>
  <si>
    <t>AH.SUPER PAPAYA ENZYME+.180.TAB</t>
  </si>
  <si>
    <t>AH.SUPER PAPAYA ENZYME+.360.TAB</t>
  </si>
  <si>
    <t>AH.STRWB PROB CHEW.1.BILLION.60.TAB</t>
  </si>
  <si>
    <t>Chewable Probiotic (5 Billion) Natural Strawberry Tablets</t>
  </si>
  <si>
    <t>AH.STRWBRY PROB CHEW.5.BILLION.30.TAB</t>
  </si>
  <si>
    <t>Chewable Probiotic (5 Billion) Natural Grape Tablets</t>
  </si>
  <si>
    <t>AH.GRAPE PROB CHEW.5.BILLION.30.TAB</t>
  </si>
  <si>
    <t>AH.DAILY CARE PROB.20.BILLION.30.CAP</t>
  </si>
  <si>
    <t>AH.DAILY CARE PROB.20.BILLION.60.CAP</t>
  </si>
  <si>
    <t>AH.ENZYME PROB PLUS.20.BILLION.30.CAP</t>
  </si>
  <si>
    <t>AH.ENZYME PROB PLUS.20.BILLION.60.CAP</t>
  </si>
  <si>
    <t>AH.EXTRA CARE PROB.80.BILLION.15.CAP</t>
  </si>
  <si>
    <t>AH.EXTRA CARE PROB.80.BILLION.30.CAP</t>
  </si>
  <si>
    <t>AH.SUPER ACEROLA+.500.MG.100.TAB</t>
  </si>
  <si>
    <t>AH Acerola Chew 500 MG 250 Tab</t>
  </si>
  <si>
    <t>AH.APPLE CIDER VINEGAR.480.MG.200.TAB</t>
  </si>
  <si>
    <t>AH.BLUE-GREEN ALGAE.500.MG.120.CAP</t>
  </si>
  <si>
    <t>AH.TAM HERBAL LAXATIVE.100.CAP</t>
  </si>
  <si>
    <t>AH.TAM.250.TAB</t>
  </si>
  <si>
    <t>Calcium, Magnesium, Zinc Tablets</t>
  </si>
  <si>
    <t>AH.CAL/MAG/ZINC.250.TAB</t>
  </si>
  <si>
    <t>ES.ESTER C.500.MG.120.CAP</t>
  </si>
  <si>
    <t>ES.EST C W/200MG BIOFLV.500.MG.60.CAP</t>
  </si>
  <si>
    <t>ES.EST C W/200MG BIOFLV.500.MG.120.CAP</t>
  </si>
  <si>
    <t>ES.EST C W/200MG BIOFLV.500.MG.240.CAP</t>
  </si>
  <si>
    <t>ES.EST C W/ BIOFLV.1000.MG.90.CAP</t>
  </si>
  <si>
    <t>ES.ESTER C.500.MG.225.TAB</t>
  </si>
  <si>
    <t>ES.EST C W/200MG BIOFLV.500.MG.90.TAB</t>
  </si>
  <si>
    <t>ES.EST C W/200MG BIOFLV.500.MG.225.TAB</t>
  </si>
  <si>
    <t>ES.EST C W/200MG BIOFLV.500.MG.450.TAB</t>
  </si>
  <si>
    <t>ES.EST C W/200MG BIOFLV.1000.MG.45.TAB</t>
  </si>
  <si>
    <t>ES.EST C W/200MG BIOFLV.1000.MG.90.TAB</t>
  </si>
  <si>
    <t>ES.EST C W/200MG BIOFLV.1000.MG.120.TAB</t>
  </si>
  <si>
    <t>ES.EST C W/200MG BIOFLV.1000.MG.180.TAB</t>
  </si>
  <si>
    <t>ES.ESTER-C EFFER ORANGE.21.PKTS.PWD</t>
  </si>
  <si>
    <t>Ester-C® 1000 mg Effervescent Powder Packets - Orange</t>
  </si>
  <si>
    <t>10g</t>
  </si>
  <si>
    <t>Ester-C® 1000 mg Effervescent Powder Packets - Lemon Lime /21 Packets</t>
  </si>
  <si>
    <t>ES.ESTR C EFFRV LEM LME.21.PKTS.PWD</t>
  </si>
  <si>
    <t>Ester-C® 1000 mg Effervescent  Powder Packets - Lemon Lime</t>
  </si>
  <si>
    <t>Ester-C® 1000 mg Effervescent Powder Packets - Raspberry /21Packets</t>
  </si>
  <si>
    <t>ES.ESTER C EFFRV RASB.21.PKTS.PWD</t>
  </si>
  <si>
    <t>Ester-C® 1000 mg Effervescent  Powder Packets - Raspberry</t>
  </si>
  <si>
    <t>Ester-C® 250 mg Liquid with Citrus Bioflavonoids</t>
  </si>
  <si>
    <t>ES.ESTER-C.8.OZ.LIQ</t>
  </si>
  <si>
    <t>ES.ESTER-C + VIT D3.60.TAB</t>
  </si>
  <si>
    <t>V tablet</t>
  </si>
  <si>
    <t>Almond Glow®  Skin Lotion (Almond)</t>
  </si>
  <si>
    <t>HM.ALMND AG SKIN LOTION.8.OZ.LIQ</t>
  </si>
  <si>
    <t>-</t>
  </si>
  <si>
    <t>Almond Glow®  Skin Lotion (Coconut)</t>
  </si>
  <si>
    <t>HM.COCON AG SKIN LOTION.8.OZ.LIQ</t>
  </si>
  <si>
    <t>Almond Glow®  Skin Lotion (Jasmine)</t>
  </si>
  <si>
    <t>HM.JASMN AG SKIN LOTION.8.OZ.LIQ</t>
  </si>
  <si>
    <t>Almond Glow®  Skin Lotion (Lavender)</t>
  </si>
  <si>
    <t>HM.LVNDR AG SKIN LOTION.8.OZ.LIQ</t>
  </si>
  <si>
    <t>Almond Glow®  Skin Lotion (Rose)</t>
  </si>
  <si>
    <t>HM.ROSE AG SKIN LOTION.8.OZ.LIQ</t>
  </si>
  <si>
    <t>Almond Glow®  Skin Lotion (Unscented)</t>
  </si>
  <si>
    <t>HM.UNSCNTED AG SKIN LTN.8.OZ.LIQ</t>
  </si>
  <si>
    <t>HM.CASTOR OIL.8.OZ.LIQ</t>
  </si>
  <si>
    <t>HM.CASTOR OIL.16.OZ.LIQ</t>
  </si>
  <si>
    <t>HM.CASTOR OIL.32.OZ.LIQ</t>
  </si>
  <si>
    <t>HM.WOOL FLANNEL SMALL.12X18.OTH</t>
  </si>
  <si>
    <t>Wool Flannel, Large</t>
  </si>
  <si>
    <t>HM.WOOL FLANNEL LARGE.18X24.OTH</t>
  </si>
  <si>
    <t>18x24 in.</t>
  </si>
  <si>
    <t>Goji Berry Eye Cream</t>
  </si>
  <si>
    <t>HM.GOJI EYE CREAM.1.OZ.CRM</t>
  </si>
  <si>
    <t>1 oz.</t>
  </si>
  <si>
    <t>Goji Berry Facial Cream</t>
  </si>
  <si>
    <t>HM.GOJI BRRY FACIAL CRM.4.OZ.CRM</t>
  </si>
  <si>
    <t>HM.HYALURONIC ACID CRM.4.OZ.LIQ</t>
  </si>
  <si>
    <t>Natural Vitamin E Skin Beauty Oil 9,000  IU</t>
  </si>
  <si>
    <t>HM.VITAMIN E OIL..5.OZ.LIQ</t>
  </si>
  <si>
    <t>0.5 fl. oz.</t>
  </si>
  <si>
    <t>Natural Vitamin E Skin  Beauty Oil 45,000  IU</t>
  </si>
  <si>
    <t>HM.VITAMIN E OIL.2.5.OZ.LIQ</t>
  </si>
  <si>
    <t>2.5 fl. oz.</t>
  </si>
  <si>
    <t>L-Arginine 1000 mg Tablets</t>
  </si>
  <si>
    <t>SG.L-ARGININE.1000.MG.90.TAB</t>
  </si>
  <si>
    <t>SG.VEGAN VIT D.25.MCG.60.SFG</t>
  </si>
  <si>
    <t>Rutin 500 mg Tablets</t>
  </si>
  <si>
    <t>SG.RUTIN.500.MG.100.TAB</t>
  </si>
  <si>
    <t>SG.CALCIUM 600.120.TAB</t>
  </si>
  <si>
    <t>SG.CHROMIUM PICO.500.MCG.120.CAP</t>
  </si>
  <si>
    <t>SG.KOJI ZINC.25.MG.30.CAP</t>
  </si>
  <si>
    <t>SG.KOSHER OMEGA 3.740.MG.50.SFG</t>
  </si>
  <si>
    <t>Royal Brittany™ Evening Primrose Oil 1300  mg Softgels</t>
  </si>
  <si>
    <t>AH.RB EPO OIL BOGO.1300.MG.60X2.SFG</t>
  </si>
  <si>
    <t>60 + 60</t>
  </si>
  <si>
    <t>ES.ESTER C.500.MG.60.CAP</t>
  </si>
  <si>
    <t>Ester-C® 750 mg Powder with Citrus Bioflavonoids</t>
  </si>
  <si>
    <t>ES.EST C W/BIOFLAV.4.OZ.PWD</t>
  </si>
  <si>
    <t>Herbal Magic®  Deodorant (Jasmine)</t>
  </si>
  <si>
    <t>HM.HRBL MAGC JA DEODRNT.3.OZ.LIQ</t>
  </si>
  <si>
    <t>3 fl. oz.</t>
  </si>
  <si>
    <t>Herbal Magic®  Deodorant (Unscented)</t>
  </si>
  <si>
    <t>HM.HRBL MAGC UN DEODRNT.3.OZ.LIQ</t>
  </si>
  <si>
    <t>SG.LECITHIN.1360.MG.100.SFG</t>
  </si>
  <si>
    <t>Unіt Freight Cost</t>
  </si>
  <si>
    <t>unit, key</t>
  </si>
  <si>
    <t>Logistic Price</t>
  </si>
  <si>
    <t>Landed Cost</t>
  </si>
  <si>
    <t>Ester-C® Plus Immune Complex Softgels   **REINSTATED Nov 2024**</t>
  </si>
  <si>
    <t>Oceanic Beta-Carotene 25,000 IU Softgels  **REINSTATED Nov 2024**</t>
  </si>
  <si>
    <t>Advanced Calcium Complex Tablets **REINSTATED Nov 2024**</t>
  </si>
  <si>
    <t>Calcium "600" Tablets (from Oyster Shell with Vitamin D3)  **REINSTATED Nov 2024**</t>
  </si>
  <si>
    <t>Calcium Magnesium Plus Boron Tablets  **REINSTATED Nov 2024**</t>
  </si>
  <si>
    <t>Calcium Magnesium Plus Zinc Tablets   **REINSTATED Nov 2024**</t>
  </si>
  <si>
    <t>Female Multiple Tablets (not sold in California)  **REINSTATED Nov 2024**</t>
  </si>
  <si>
    <t>Menopause Relief Mini-Tablets  **REINSTATED Nov 2024**</t>
  </si>
  <si>
    <t>Resveratrol 100 mg Vegetable Capsules  **REINSTATED Nov 2024**</t>
  </si>
  <si>
    <t>51299</t>
  </si>
  <si>
    <t>Comfort Zone Digestive Complex Vegetable Capsules  **REINSTATED Nov 2024**</t>
  </si>
  <si>
    <t>Brewer's Yeast Powder   **REINSTATED Nov 2024**</t>
  </si>
  <si>
    <t>Lecithin 1360 mg Softgels  **REINSTATED Nov 2024**</t>
  </si>
  <si>
    <t>Phosphatidylcholine Softgels    **REINSTATED Nov 2024**</t>
  </si>
  <si>
    <t xml:space="preserve">Antifungal Lotion </t>
  </si>
  <si>
    <t>4 fl. oz.</t>
  </si>
  <si>
    <t>Chromium Picolinate 500 mcg Vegetable Capsules   **REINSTATED Jan 2025**</t>
  </si>
  <si>
    <t>SG.VIT E MIXED.400.IU.50.SFG</t>
  </si>
  <si>
    <t>SG.VIT C CUBE PECTIN.250.MG.90.GMY</t>
  </si>
  <si>
    <t>SG.CAL D3 CUBE PECTIN.120.GMY</t>
  </si>
  <si>
    <t>SG.MAGNESIUM W/B6.100.TAB</t>
  </si>
  <si>
    <t>SG.FEMALE MULTIPLE.60.TAB^^</t>
  </si>
  <si>
    <t>SG.FEMALE MULTIPLE.120.TAB^^</t>
  </si>
  <si>
    <t>SG.FORMULA VM-75.60.CAP</t>
  </si>
  <si>
    <t>SG.MALE MULTIPLE.60.TAB</t>
  </si>
  <si>
    <t>SG.MALE MULTIPLE.120.TAB</t>
  </si>
  <si>
    <t>SG.MALE MULTIPLE.180.TAB</t>
  </si>
  <si>
    <t>SG.MULTI CUBE PECTIN.60.GMY</t>
  </si>
  <si>
    <t>SG.COQ10.60.MG.120.SFG</t>
  </si>
  <si>
    <t>SG.OMEGA 3 FISH OIL.240.SFG</t>
  </si>
  <si>
    <t>SG.GARLIC OIL PRLS.100.SFG</t>
  </si>
  <si>
    <t>SG.GARLIC OIL PRLS.250.SFG</t>
  </si>
  <si>
    <t>AH.ORIG PAPAYA ENZYME.250.TAB</t>
  </si>
  <si>
    <t xml:space="preserve">Everclean®  Anti-Dandruff Shampoo </t>
  </si>
  <si>
    <t>HM.EVCN DNDRF SHMP SCNT.8.OZ.LIQ</t>
  </si>
  <si>
    <t xml:space="preserve">Everclean®  Anti-Dandruff Shampoo Unscented </t>
  </si>
  <si>
    <t>HM.EVRCLN UNSCNTD SHAMP.8.OZ.LIQ</t>
  </si>
  <si>
    <t>HM.ANTIFUNGAL LOTION.4.OZ.LIQ</t>
  </si>
  <si>
    <t xml:space="preserve">Psoriasis Cream </t>
  </si>
  <si>
    <t>HM.PSORIASIS CREAM.2.OZ.CRM</t>
  </si>
  <si>
    <t>2 oz.</t>
  </si>
  <si>
    <t xml:space="preserve">Psoriasis  Medicated  Scalp &amp; Body Wash </t>
  </si>
  <si>
    <t>HM.PSORIASIS MED WASH.8.OZ.LIQ</t>
  </si>
  <si>
    <t>Rating</t>
  </si>
  <si>
    <t>С</t>
  </si>
  <si>
    <t>В</t>
  </si>
  <si>
    <t>А</t>
  </si>
  <si>
    <t>033984020313</t>
  </si>
  <si>
    <t>033984004177</t>
  </si>
  <si>
    <t>033984005211</t>
  </si>
  <si>
    <t>033984012059</t>
  </si>
  <si>
    <t>033984005891</t>
  </si>
  <si>
    <t>033984023352</t>
  </si>
  <si>
    <t>033984003804</t>
  </si>
  <si>
    <t>033984022102</t>
  </si>
  <si>
    <t>318858118120</t>
  </si>
  <si>
    <t>Magnesium Glycinate 120 mg 90 Vcaps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</si>
</sst>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_-[$$-1009]* #,##0.00_-;\-[$$-1009]* #,##0.00_-;_-[$$-1009]* &quot;-&quot;??_-;_-@_-"/>
    <numFmt numFmtId="166" formatCode="_-[$$-2809]* #,##0.00_-;\-[$$-2809]* #,##0.00_-;_-[$$-2809]* &quot;-&quot;??_-;_-@_-"/>
    <numFmt numFmtId="167" formatCode="0.000"/>
    <numFmt numFmtId="168" formatCode="[$$-409]#,##0.00"/>
    <numFmt numFmtId="169" formatCode="000000000000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charset val="204"/>
      <scheme val="minor"/>
    </font>
    <font>
      <b/>
      <i/>
      <sz val="8"/>
      <color rgb="FF0070C0"/>
      <name val="Arial"/>
      <family val="2"/>
    </font>
    <font>
      <b/>
      <i/>
      <sz val="8"/>
      <color theme="4" tint="-0.249977111117893"/>
      <name val="Arial"/>
      <family val="2"/>
    </font>
    <font>
      <b/>
      <sz val="9"/>
      <color theme="1"/>
      <name val="Calibri"/>
      <family val="2"/>
      <charset val="204"/>
      <scheme val="minor"/>
    </font>
    <font>
      <sz val="9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BBA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horizontal="left" vertical="top"/>
      <protection locked="0"/>
    </xf>
    <xf numFmtId="0" fontId="3" fillId="0" borderId="0"/>
    <xf numFmtId="0" fontId="4" fillId="0" borderId="0"/>
    <xf numFmtId="0" fontId="3" fillId="0" borderId="0"/>
  </cellStyleXfs>
  <cellXfs count="172">
    <xf numFmtId="0" fontId="0" fillId="0" borderId="0" xfId="0">
      <alignment horizontal="left" vertical="top"/>
      <protection locked="0"/>
    </xf>
    <xf numFmtId="164" fontId="1" fillId="0" borderId="0" xfId="0" applyNumberFormat="1" applyFont="1" applyAlignment="1" applyProtection="1">
      <alignment horizontal="center" vertical="top"/>
    </xf>
    <xf numFmtId="164" fontId="14" fillId="0" borderId="1" xfId="0" applyNumberFormat="1" applyFont="1" applyBorder="1" applyAlignment="1" applyProtection="1">
      <alignment horizontal="center" vertical="top"/>
    </xf>
    <xf numFmtId="14" fontId="5" fillId="7" borderId="4" xfId="0" applyNumberFormat="1" applyFont="1" applyFill="1" applyBorder="1" applyAlignment="1" applyProtection="1">
      <alignment horizontal="center" vertical="center" wrapText="1"/>
    </xf>
    <xf numFmtId="0" fontId="5" fillId="7" borderId="4" xfId="0" applyFont="1" applyFill="1" applyBorder="1" applyAlignment="1" applyProtection="1">
      <alignment horizontal="center" vertical="center" wrapText="1"/>
    </xf>
    <xf numFmtId="164" fontId="17" fillId="7" borderId="4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0" xfId="0" applyAlignment="1" applyProtection="1"/>
    <xf numFmtId="168" fontId="5" fillId="7" borderId="4" xfId="0" applyNumberFormat="1" applyFont="1" applyFill="1" applyBorder="1" applyAlignment="1" applyProtection="1">
      <alignment horizontal="center" vertical="center"/>
    </xf>
    <xf numFmtId="4" fontId="5" fillId="4" borderId="6" xfId="0" applyNumberFormat="1" applyFont="1" applyFill="1" applyBorder="1" applyAlignment="1" applyProtection="1">
      <alignment horizontal="center" vertical="center"/>
    </xf>
    <xf numFmtId="164" fontId="17" fillId="0" borderId="0" xfId="0" applyNumberFormat="1" applyFont="1" applyAlignment="1" applyProtection="1">
      <alignment vertical="center" wrapText="1" readingOrder="1"/>
      <protection hidden="1"/>
    </xf>
    <xf numFmtId="0" fontId="5" fillId="8" borderId="4" xfId="0" applyFont="1" applyFill="1" applyBorder="1" applyAlignment="1" applyProtection="1">
      <alignment horizontal="center" vertical="center" wrapText="1"/>
    </xf>
    <xf numFmtId="4" fontId="5" fillId="0" borderId="0" xfId="0" applyNumberFormat="1" applyFont="1" applyAlignment="1" applyProtection="1">
      <alignment horizontal="center" vertical="center"/>
    </xf>
    <xf numFmtId="4" fontId="0" fillId="0" borderId="0" xfId="0" applyNumberFormat="1" applyAlignment="1" applyProtection="1">
      <alignment horizontal="center" vertical="center"/>
    </xf>
    <xf numFmtId="168" fontId="5" fillId="0" borderId="0" xfId="0" applyNumberFormat="1" applyFont="1" applyAlignment="1" applyProtection="1">
      <alignment horizontal="center" vertical="center"/>
    </xf>
    <xf numFmtId="0" fontId="1" fillId="0" borderId="0" xfId="0" applyFont="1" applyProtection="1">
      <alignment horizontal="left" vertical="top"/>
      <protection hidden="1"/>
    </xf>
    <xf numFmtId="14" fontId="5" fillId="7" borderId="4" xfId="0" applyNumberFormat="1" applyFont="1" applyFill="1" applyBorder="1" applyAlignment="1" applyProtection="1">
      <alignment horizontal="center" vertical="center" wrapText="1"/>
      <protection hidden="1"/>
    </xf>
    <xf numFmtId="0" fontId="5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protection hidden="1"/>
    </xf>
    <xf numFmtId="168" fontId="5" fillId="7" borderId="4" xfId="0" applyNumberFormat="1" applyFont="1" applyFill="1" applyBorder="1" applyAlignment="1" applyProtection="1">
      <alignment horizontal="center" vertical="center"/>
      <protection hidden="1"/>
    </xf>
    <xf numFmtId="0" fontId="18" fillId="4" borderId="4" xfId="0" applyFont="1" applyFill="1" applyBorder="1" applyAlignment="1" applyProtection="1">
      <alignment horizontal="center" vertical="center" wrapText="1" readingOrder="1"/>
      <protection hidden="1"/>
    </xf>
    <xf numFmtId="4" fontId="5" fillId="4" borderId="6" xfId="0" applyNumberFormat="1" applyFont="1" applyFill="1" applyBorder="1" applyAlignment="1" applyProtection="1">
      <alignment horizontal="center" vertical="center"/>
      <protection hidden="1"/>
    </xf>
    <xf numFmtId="0" fontId="5" fillId="8" borderId="4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1" fontId="8" fillId="0" borderId="2" xfId="0" quotePrefix="1" applyNumberFormat="1" applyFont="1" applyBorder="1" applyAlignment="1" applyProtection="1">
      <alignment horizontal="center" vertical="center"/>
      <protection hidden="1"/>
    </xf>
    <xf numFmtId="0" fontId="8" fillId="0" borderId="2" xfId="2" applyFont="1" applyBorder="1" applyAlignment="1" applyProtection="1">
      <alignment horizontal="left" vertical="center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2" fontId="8" fillId="0" borderId="2" xfId="0" applyNumberFormat="1" applyFont="1" applyBorder="1" applyAlignment="1" applyProtection="1">
      <alignment horizontal="center" vertical="center"/>
      <protection hidden="1"/>
    </xf>
    <xf numFmtId="165" fontId="8" fillId="0" borderId="2" xfId="0" applyNumberFormat="1" applyFont="1" applyBorder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right" vertical="top"/>
      <protection hidden="1"/>
    </xf>
    <xf numFmtId="4" fontId="5" fillId="0" borderId="0" xfId="0" applyNumberFormat="1" applyFont="1" applyAlignment="1" applyProtection="1">
      <alignment horizontal="center" vertical="center"/>
      <protection hidden="1"/>
    </xf>
    <xf numFmtId="4" fontId="0" fillId="0" borderId="0" xfId="0" applyNumberFormat="1" applyAlignment="1" applyProtection="1">
      <alignment horizontal="center" vertical="center"/>
      <protection hidden="1"/>
    </xf>
    <xf numFmtId="168" fontId="5" fillId="0" borderId="0" xfId="0" applyNumberFormat="1" applyFont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2" xfId="0" quotePrefix="1" applyFont="1" applyBorder="1" applyAlignment="1" applyProtection="1">
      <alignment horizontal="center" vertical="center"/>
      <protection hidden="1"/>
    </xf>
    <xf numFmtId="0" fontId="11" fillId="0" borderId="2" xfId="2" applyFont="1" applyBorder="1" applyAlignment="1" applyProtection="1">
      <alignment horizontal="left" vertical="center"/>
      <protection hidden="1"/>
    </xf>
    <xf numFmtId="2" fontId="11" fillId="0" borderId="2" xfId="0" applyNumberFormat="1" applyFont="1" applyBorder="1" applyAlignment="1" applyProtection="1">
      <alignment horizontal="center" vertical="center"/>
      <protection hidden="1"/>
    </xf>
    <xf numFmtId="165" fontId="11" fillId="0" borderId="2" xfId="0" applyNumberFormat="1" applyFont="1" applyBorder="1" applyAlignment="1" applyProtection="1">
      <alignment horizontal="center" vertical="center"/>
      <protection hidden="1"/>
    </xf>
    <xf numFmtId="0" fontId="8" fillId="0" borderId="2" xfId="0" quotePrefix="1" applyFont="1" applyBorder="1" applyAlignment="1" applyProtection="1">
      <alignment horizontal="center" vertical="center"/>
      <protection hidden="1"/>
    </xf>
    <xf numFmtId="0" fontId="8" fillId="4" borderId="2" xfId="2" applyFont="1" applyFill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2" xfId="0" quotePrefix="1" applyFont="1" applyBorder="1" applyAlignment="1" applyProtection="1">
      <alignment horizontal="center" vertical="center"/>
      <protection hidden="1"/>
    </xf>
    <xf numFmtId="0" fontId="12" fillId="4" borderId="2" xfId="2" applyFont="1" applyFill="1" applyBorder="1" applyAlignment="1" applyProtection="1">
      <alignment horizontal="left" vertical="center"/>
      <protection hidden="1"/>
    </xf>
    <xf numFmtId="2" fontId="12" fillId="0" borderId="2" xfId="0" applyNumberFormat="1" applyFont="1" applyBorder="1" applyAlignment="1" applyProtection="1">
      <alignment horizontal="center" vertical="center"/>
      <protection hidden="1"/>
    </xf>
    <xf numFmtId="165" fontId="12" fillId="0" borderId="2" xfId="0" applyNumberFormat="1" applyFont="1" applyBorder="1" applyAlignment="1" applyProtection="1">
      <alignment horizontal="center" vertical="center"/>
      <protection hidden="1"/>
    </xf>
    <xf numFmtId="0" fontId="8" fillId="4" borderId="2" xfId="2" applyFont="1" applyFill="1" applyBorder="1" applyAlignment="1" applyProtection="1">
      <alignment horizontal="left" vertical="center" wrapText="1"/>
      <protection hidden="1"/>
    </xf>
    <xf numFmtId="0" fontId="11" fillId="4" borderId="2" xfId="2" applyFont="1" applyFill="1" applyBorder="1" applyAlignment="1" applyProtection="1">
      <alignment horizontal="left" vertical="center" wrapText="1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0" fontId="8" fillId="2" borderId="2" xfId="0" quotePrefix="1" applyFont="1" applyFill="1" applyBorder="1" applyAlignment="1" applyProtection="1">
      <alignment horizontal="center" vertical="center"/>
      <protection hidden="1"/>
    </xf>
    <xf numFmtId="0" fontId="8" fillId="2" borderId="2" xfId="2" applyFont="1" applyFill="1" applyBorder="1" applyAlignment="1" applyProtection="1">
      <alignment vertical="center" wrapText="1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2" fontId="8" fillId="2" borderId="2" xfId="0" applyNumberFormat="1" applyFont="1" applyFill="1" applyBorder="1" applyAlignment="1" applyProtection="1">
      <alignment horizontal="center" vertical="center"/>
      <protection hidden="1"/>
    </xf>
    <xf numFmtId="165" fontId="8" fillId="2" borderId="2" xfId="0" applyNumberFormat="1" applyFont="1" applyFill="1" applyBorder="1" applyAlignment="1" applyProtection="1">
      <alignment horizontal="center" vertical="center"/>
      <protection hidden="1"/>
    </xf>
    <xf numFmtId="0" fontId="8" fillId="0" borderId="2" xfId="2" applyFont="1" applyBorder="1" applyAlignment="1" applyProtection="1">
      <alignment vertical="center" wrapText="1"/>
      <protection hidden="1"/>
    </xf>
    <xf numFmtId="0" fontId="9" fillId="0" borderId="2" xfId="0" quotePrefix="1" applyFont="1" applyBorder="1" applyAlignment="1" applyProtection="1">
      <alignment horizontal="center" vertical="center"/>
      <protection hidden="1"/>
    </xf>
    <xf numFmtId="0" fontId="11" fillId="4" borderId="2" xfId="2" applyFont="1" applyFill="1" applyBorder="1" applyAlignment="1" applyProtection="1">
      <alignment horizontal="left" vertical="center"/>
      <protection hidden="1"/>
    </xf>
    <xf numFmtId="1" fontId="11" fillId="0" borderId="2" xfId="0" quotePrefix="1" applyNumberFormat="1" applyFont="1" applyBorder="1" applyAlignment="1" applyProtection="1">
      <alignment horizontal="center" vertical="center"/>
      <protection hidden="1"/>
    </xf>
    <xf numFmtId="49" fontId="8" fillId="0" borderId="2" xfId="0" quotePrefix="1" applyNumberFormat="1" applyFont="1" applyBorder="1" applyAlignment="1" applyProtection="1">
      <alignment horizontal="center" vertical="center"/>
      <protection hidden="1"/>
    </xf>
    <xf numFmtId="0" fontId="8" fillId="0" borderId="2" xfId="2" applyFont="1" applyBorder="1" applyAlignment="1" applyProtection="1">
      <alignment horizontal="left" vertical="center" wrapText="1"/>
      <protection hidden="1"/>
    </xf>
    <xf numFmtId="0" fontId="12" fillId="0" borderId="2" xfId="2" applyFont="1" applyBorder="1" applyAlignment="1" applyProtection="1">
      <alignment horizontal="left" vertical="center"/>
      <protection hidden="1"/>
    </xf>
    <xf numFmtId="0" fontId="11" fillId="0" borderId="2" xfId="2" applyFont="1" applyBorder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center" vertical="top"/>
      <protection hidden="1"/>
    </xf>
    <xf numFmtId="165" fontId="1" fillId="0" borderId="0" xfId="0" applyNumberFormat="1" applyFont="1" applyAlignment="1" applyProtection="1">
      <alignment horizontal="center" vertical="top"/>
      <protection hidden="1"/>
    </xf>
    <xf numFmtId="0" fontId="10" fillId="0" borderId="0" xfId="0" applyFont="1" applyAlignment="1" applyProtection="1">
      <alignment horizontal="center" vertical="top"/>
      <protection hidden="1"/>
    </xf>
    <xf numFmtId="166" fontId="1" fillId="0" borderId="0" xfId="0" applyNumberFormat="1" applyFont="1" applyAlignment="1" applyProtection="1">
      <alignment horizontal="center" vertical="top"/>
      <protection hidden="1"/>
    </xf>
    <xf numFmtId="14" fontId="5" fillId="0" borderId="0" xfId="0" quotePrefix="1" applyNumberFormat="1" applyFont="1" applyAlignment="1" applyProtection="1">
      <alignment horizontal="center" vertical="center"/>
      <protection hidden="1"/>
    </xf>
    <xf numFmtId="14" fontId="10" fillId="0" borderId="0" xfId="0" quotePrefix="1" applyNumberFormat="1" applyFont="1" applyAlignment="1" applyProtection="1">
      <alignment horizontal="center" vertical="center"/>
    </xf>
    <xf numFmtId="0" fontId="1" fillId="0" borderId="0" xfId="0" applyFont="1" applyProtection="1">
      <alignment horizontal="left" vertical="top"/>
    </xf>
    <xf numFmtId="0" fontId="18" fillId="4" borderId="4" xfId="0" applyFont="1" applyFill="1" applyBorder="1" applyAlignment="1" applyProtection="1">
      <alignment horizontal="center" vertical="center" wrapText="1" readingOrder="1"/>
    </xf>
    <xf numFmtId="0" fontId="2" fillId="0" borderId="0" xfId="0" applyFont="1" applyAlignment="1" applyProtection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8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67" fontId="8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top"/>
    </xf>
    <xf numFmtId="2" fontId="1" fillId="0" borderId="0" xfId="0" applyNumberFormat="1" applyFont="1" applyAlignment="1" applyProtection="1">
      <alignment horizontal="right" vertical="top"/>
    </xf>
    <xf numFmtId="1" fontId="9" fillId="5" borderId="3" xfId="0" applyNumberFormat="1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8" fillId="5" borderId="1" xfId="2" applyFont="1" applyFill="1" applyBorder="1" applyAlignment="1">
      <alignment vertical="center"/>
    </xf>
    <xf numFmtId="1" fontId="15" fillId="0" borderId="3" xfId="0" applyNumberFormat="1" applyFont="1" applyBorder="1" applyAlignment="1" applyProtection="1">
      <alignment horizontal="center" vertical="center"/>
    </xf>
    <xf numFmtId="0" fontId="15" fillId="0" borderId="1" xfId="0" applyFont="1" applyBorder="1" applyAlignment="1" applyProtection="1">
      <alignment horizontal="center" vertical="center"/>
    </xf>
    <xf numFmtId="0" fontId="16" fillId="0" borderId="1" xfId="2" applyFont="1" applyBorder="1" applyAlignment="1">
      <alignment vertical="center"/>
    </xf>
    <xf numFmtId="0" fontId="16" fillId="0" borderId="1" xfId="2" applyFont="1" applyBorder="1" applyAlignment="1">
      <alignment horizontal="center" vertical="center"/>
    </xf>
    <xf numFmtId="1" fontId="9" fillId="6" borderId="3" xfId="0" applyNumberFormat="1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0" fontId="8" fillId="6" borderId="1" xfId="2" applyFont="1" applyFill="1" applyBorder="1" applyAlignment="1">
      <alignment vertical="center"/>
    </xf>
    <xf numFmtId="1" fontId="15" fillId="5" borderId="3" xfId="0" applyNumberFormat="1" applyFont="1" applyFill="1" applyBorder="1" applyAlignment="1" applyProtection="1">
      <alignment horizontal="center" vertical="center"/>
    </xf>
    <xf numFmtId="0" fontId="15" fillId="5" borderId="1" xfId="0" applyFont="1" applyFill="1" applyBorder="1" applyAlignment="1" applyProtection="1">
      <alignment horizontal="center" vertical="center"/>
    </xf>
    <xf numFmtId="0" fontId="16" fillId="5" borderId="1" xfId="2" applyFont="1" applyFill="1" applyBorder="1" applyAlignment="1">
      <alignment vertical="center"/>
    </xf>
    <xf numFmtId="0" fontId="9" fillId="0" borderId="1" xfId="0" applyFont="1" applyBorder="1" applyAlignment="1" applyProtection="1">
      <alignment horizontal="left" vertical="center"/>
    </xf>
    <xf numFmtId="0" fontId="9" fillId="5" borderId="1" xfId="0" applyFont="1" applyFill="1" applyBorder="1" applyAlignment="1" applyProtection="1">
      <alignment horizontal="left" vertical="center"/>
    </xf>
    <xf numFmtId="49" fontId="8" fillId="0" borderId="1" xfId="0" quotePrefix="1" applyNumberFormat="1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top"/>
    </xf>
    <xf numFmtId="167" fontId="1" fillId="0" borderId="0" xfId="0" applyNumberFormat="1" applyFont="1" applyProtection="1">
      <alignment horizontal="left" vertical="top"/>
    </xf>
    <xf numFmtId="0" fontId="10" fillId="0" borderId="0" xfId="0" applyFont="1" applyAlignment="1" applyProtection="1">
      <alignment horizontal="center" vertical="top"/>
    </xf>
    <xf numFmtId="169" fontId="8" fillId="0" borderId="1" xfId="0" quotePrefix="1" applyNumberFormat="1" applyFont="1" applyBorder="1" applyAlignment="1" applyProtection="1">
      <alignment horizontal="center" vertical="center"/>
    </xf>
    <xf numFmtId="169" fontId="8" fillId="5" borderId="1" xfId="0" quotePrefix="1" applyNumberFormat="1" applyFont="1" applyFill="1" applyBorder="1" applyAlignment="1" applyProtection="1">
      <alignment horizontal="center" vertical="center"/>
    </xf>
    <xf numFmtId="169" fontId="16" fillId="0" borderId="1" xfId="0" quotePrefix="1" applyNumberFormat="1" applyFont="1" applyBorder="1" applyAlignment="1" applyProtection="1">
      <alignment horizontal="center" vertical="center"/>
    </xf>
    <xf numFmtId="169" fontId="9" fillId="0" borderId="1" xfId="0" applyNumberFormat="1" applyFont="1" applyBorder="1" applyAlignment="1" applyProtection="1">
      <alignment horizontal="center" vertical="center"/>
    </xf>
    <xf numFmtId="169" fontId="8" fillId="6" borderId="1" xfId="0" quotePrefix="1" applyNumberFormat="1" applyFont="1" applyFill="1" applyBorder="1" applyAlignment="1" applyProtection="1">
      <alignment horizontal="center" vertical="center"/>
    </xf>
    <xf numFmtId="169" fontId="16" fillId="5" borderId="1" xfId="0" quotePrefix="1" applyNumberFormat="1" applyFont="1" applyFill="1" applyBorder="1" applyAlignment="1" applyProtection="1">
      <alignment horizontal="center" vertical="center"/>
    </xf>
    <xf numFmtId="169" fontId="9" fillId="0" borderId="1" xfId="0" quotePrefix="1" applyNumberFormat="1" applyFont="1" applyBorder="1" applyAlignment="1" applyProtection="1">
      <alignment horizontal="center" vertical="center"/>
    </xf>
    <xf numFmtId="169" fontId="1" fillId="0" borderId="0" xfId="0" applyNumberFormat="1" applyFont="1" applyAlignment="1" applyProtection="1">
      <alignment horizontal="center" vertical="top"/>
    </xf>
    <xf numFmtId="2" fontId="1" fillId="0" borderId="0" xfId="0" applyNumberFormat="1" applyFont="1" applyProtection="1">
      <alignment horizontal="left" vertical="top"/>
      <protection hidden="1"/>
    </xf>
    <xf numFmtId="0" fontId="5" fillId="0" borderId="7" xfId="0" applyFont="1" applyBorder="1" applyAlignment="1" applyProtection="1">
      <alignment horizontal="center"/>
    </xf>
    <xf numFmtId="164" fontId="14" fillId="0" borderId="8" xfId="0" applyNumberFormat="1" applyFont="1" applyBorder="1" applyAlignment="1" applyProtection="1">
      <alignment horizontal="center" vertical="top"/>
    </xf>
    <xf numFmtId="1" fontId="9" fillId="0" borderId="9" xfId="0" applyNumberFormat="1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169" fontId="8" fillId="0" borderId="10" xfId="0" quotePrefix="1" applyNumberFormat="1" applyFont="1" applyBorder="1" applyAlignment="1" applyProtection="1">
      <alignment horizontal="center" vertical="center"/>
    </xf>
    <xf numFmtId="0" fontId="8" fillId="0" borderId="10" xfId="2" applyFont="1" applyBorder="1" applyAlignment="1">
      <alignment vertical="center"/>
    </xf>
    <xf numFmtId="0" fontId="8" fillId="0" borderId="10" xfId="2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/>
    </xf>
    <xf numFmtId="167" fontId="8" fillId="0" borderId="10" xfId="2" applyNumberFormat="1" applyFont="1" applyBorder="1" applyAlignment="1">
      <alignment horizontal="center" vertical="center"/>
    </xf>
    <xf numFmtId="164" fontId="14" fillId="0" borderId="10" xfId="0" applyNumberFormat="1" applyFont="1" applyBorder="1" applyAlignment="1" applyProtection="1">
      <alignment horizontal="center" vertical="top"/>
    </xf>
    <xf numFmtId="0" fontId="10" fillId="0" borderId="10" xfId="0" applyFont="1" applyBorder="1" applyAlignment="1" applyProtection="1">
      <alignment horizontal="center" vertical="top"/>
    </xf>
    <xf numFmtId="164" fontId="14" fillId="0" borderId="12" xfId="0" applyNumberFormat="1" applyFont="1" applyBorder="1" applyAlignment="1" applyProtection="1">
      <alignment horizontal="center" vertical="top"/>
    </xf>
    <xf numFmtId="1" fontId="9" fillId="0" borderId="13" xfId="0" applyNumberFormat="1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169" fontId="8" fillId="0" borderId="14" xfId="0" quotePrefix="1" applyNumberFormat="1" applyFont="1" applyBorder="1" applyAlignment="1" applyProtection="1">
      <alignment horizontal="center" vertical="center"/>
    </xf>
    <xf numFmtId="0" fontId="8" fillId="0" borderId="14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167" fontId="8" fillId="0" borderId="14" xfId="2" applyNumberFormat="1" applyFont="1" applyBorder="1" applyAlignment="1">
      <alignment horizontal="center" vertical="center"/>
    </xf>
    <xf numFmtId="164" fontId="14" fillId="0" borderId="14" xfId="0" applyNumberFormat="1" applyFont="1" applyBorder="1" applyAlignment="1" applyProtection="1">
      <alignment horizontal="center" vertical="top"/>
    </xf>
    <xf numFmtId="0" fontId="10" fillId="0" borderId="14" xfId="0" applyFont="1" applyBorder="1" applyAlignment="1" applyProtection="1">
      <alignment horizontal="center" vertical="top"/>
    </xf>
    <xf numFmtId="164" fontId="14" fillId="0" borderId="15" xfId="0" applyNumberFormat="1" applyFont="1" applyBorder="1" applyAlignment="1" applyProtection="1">
      <alignment horizontal="center" vertical="top"/>
    </xf>
    <xf numFmtId="0" fontId="2" fillId="3" borderId="16" xfId="0" applyFont="1" applyFill="1" applyBorder="1" applyAlignment="1" applyProtection="1">
      <alignment horizontal="center" vertical="center" wrapText="1"/>
    </xf>
    <xf numFmtId="0" fontId="2" fillId="3" borderId="17" xfId="0" applyFont="1" applyFill="1" applyBorder="1" applyAlignment="1" applyProtection="1">
      <alignment horizontal="center" vertical="center" wrapText="1"/>
    </xf>
    <xf numFmtId="169" fontId="2" fillId="3" borderId="17" xfId="0" applyNumberFormat="1" applyFont="1" applyFill="1" applyBorder="1" applyAlignment="1" applyProtection="1">
      <alignment horizontal="center" vertical="center" wrapText="1"/>
    </xf>
    <xf numFmtId="167" fontId="2" fillId="3" borderId="17" xfId="0" applyNumberFormat="1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164" fontId="2" fillId="3" borderId="17" xfId="0" applyNumberFormat="1" applyFont="1" applyFill="1" applyBorder="1" applyAlignment="1" applyProtection="1">
      <alignment horizontal="center" vertical="center" wrapText="1"/>
    </xf>
    <xf numFmtId="164" fontId="2" fillId="3" borderId="18" xfId="0" applyNumberFormat="1" applyFont="1" applyFill="1" applyBorder="1" applyAlignment="1" applyProtection="1">
      <alignment horizontal="center" vertical="center" wrapText="1"/>
    </xf>
    <xf numFmtId="164" fontId="2" fillId="3" borderId="19" xfId="0" applyNumberFormat="1" applyFont="1" applyFill="1" applyBorder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/>
      <protection hidden="1"/>
    </xf>
    <xf numFmtId="165" fontId="8" fillId="0" borderId="8" xfId="0" applyNumberFormat="1" applyFont="1" applyBorder="1" applyAlignment="1" applyProtection="1">
      <alignment horizontal="center" vertical="center"/>
      <protection hidden="1"/>
    </xf>
    <xf numFmtId="0" fontId="9" fillId="2" borderId="20" xfId="0" applyFont="1" applyFill="1" applyBorder="1" applyAlignment="1" applyProtection="1">
      <alignment horizontal="center" vertical="center"/>
      <protection hidden="1"/>
    </xf>
    <xf numFmtId="165" fontId="8" fillId="2" borderId="8" xfId="0" applyNumberFormat="1" applyFont="1" applyFill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center" vertical="center"/>
      <protection hidden="1"/>
    </xf>
    <xf numFmtId="165" fontId="12" fillId="0" borderId="8" xfId="0" applyNumberFormat="1" applyFont="1" applyBorder="1" applyAlignment="1" applyProtection="1">
      <alignment horizontal="center" vertical="center"/>
      <protection hidden="1"/>
    </xf>
    <xf numFmtId="0" fontId="11" fillId="0" borderId="20" xfId="0" applyFont="1" applyBorder="1" applyAlignment="1" applyProtection="1">
      <alignment horizontal="center" vertical="center"/>
      <protection hidden="1"/>
    </xf>
    <xf numFmtId="165" fontId="11" fillId="0" borderId="8" xfId="0" applyNumberFormat="1" applyFont="1" applyBorder="1" applyAlignment="1" applyProtection="1">
      <alignment horizontal="center" vertical="center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8" fillId="0" borderId="22" xfId="0" quotePrefix="1" applyFont="1" applyBorder="1" applyAlignment="1" applyProtection="1">
      <alignment horizontal="center" vertical="center"/>
      <protection hidden="1"/>
    </xf>
    <xf numFmtId="0" fontId="8" fillId="0" borderId="22" xfId="2" applyFont="1" applyBorder="1" applyAlignment="1" applyProtection="1">
      <alignment horizontal="left" vertical="center"/>
      <protection hidden="1"/>
    </xf>
    <xf numFmtId="0" fontId="8" fillId="0" borderId="22" xfId="0" applyFont="1" applyBorder="1" applyAlignment="1" applyProtection="1">
      <alignment horizontal="center" vertical="center"/>
      <protection hidden="1"/>
    </xf>
    <xf numFmtId="2" fontId="8" fillId="0" borderId="22" xfId="0" applyNumberFormat="1" applyFont="1" applyBorder="1" applyAlignment="1" applyProtection="1">
      <alignment horizontal="center" vertical="center"/>
      <protection hidden="1"/>
    </xf>
    <xf numFmtId="165" fontId="8" fillId="0" borderId="22" xfId="0" applyNumberFormat="1" applyFont="1" applyBorder="1" applyAlignment="1" applyProtection="1">
      <alignment horizontal="center" vertical="center"/>
      <protection hidden="1"/>
    </xf>
    <xf numFmtId="165" fontId="8" fillId="0" borderId="12" xfId="0" applyNumberFormat="1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0" fontId="9" fillId="0" borderId="24" xfId="0" applyFont="1" applyBorder="1" applyAlignment="1" applyProtection="1">
      <alignment horizontal="center" vertical="center"/>
      <protection hidden="1"/>
    </xf>
    <xf numFmtId="0" fontId="8" fillId="0" borderId="24" xfId="0" quotePrefix="1" applyFont="1" applyBorder="1" applyAlignment="1" applyProtection="1">
      <alignment horizontal="center" vertical="center"/>
      <protection hidden="1"/>
    </xf>
    <xf numFmtId="0" fontId="8" fillId="4" borderId="24" xfId="2" applyFont="1" applyFill="1" applyBorder="1" applyAlignment="1" applyProtection="1">
      <alignment horizontal="left" vertical="center"/>
      <protection hidden="1"/>
    </xf>
    <xf numFmtId="0" fontId="8" fillId="0" borderId="24" xfId="0" applyFont="1" applyBorder="1" applyAlignment="1" applyProtection="1">
      <alignment horizontal="center" vertical="center"/>
      <protection hidden="1"/>
    </xf>
    <xf numFmtId="2" fontId="8" fillId="0" borderId="24" xfId="0" applyNumberFormat="1" applyFont="1" applyBorder="1" applyAlignment="1" applyProtection="1">
      <alignment horizontal="center" vertical="center"/>
      <protection hidden="1"/>
    </xf>
    <xf numFmtId="165" fontId="8" fillId="0" borderId="24" xfId="0" applyNumberFormat="1" applyFont="1" applyBorder="1" applyAlignment="1" applyProtection="1">
      <alignment horizontal="center" vertical="center"/>
      <protection hidden="1"/>
    </xf>
    <xf numFmtId="165" fontId="8" fillId="0" borderId="15" xfId="0" applyNumberFormat="1" applyFont="1" applyBorder="1" applyAlignment="1" applyProtection="1">
      <alignment horizontal="center" vertical="center"/>
      <protection hidden="1"/>
    </xf>
    <xf numFmtId="0" fontId="2" fillId="3" borderId="16" xfId="0" applyFont="1" applyFill="1" applyBorder="1" applyAlignment="1" applyProtection="1">
      <alignment horizontal="center" vertical="center" wrapText="1"/>
      <protection hidden="1"/>
    </xf>
    <xf numFmtId="0" fontId="2" fillId="3" borderId="17" xfId="0" applyFont="1" applyFill="1" applyBorder="1" applyAlignment="1" applyProtection="1">
      <alignment horizontal="center" vertical="center" wrapText="1"/>
      <protection hidden="1"/>
    </xf>
    <xf numFmtId="49" fontId="2" fillId="3" borderId="17" xfId="0" applyNumberFormat="1" applyFont="1" applyFill="1" applyBorder="1" applyAlignment="1" applyProtection="1">
      <alignment horizontal="center" vertical="center" wrapText="1"/>
      <protection hidden="1"/>
    </xf>
    <xf numFmtId="165" fontId="2" fillId="3" borderId="17" xfId="0" applyNumberFormat="1" applyFont="1" applyFill="1" applyBorder="1" applyAlignment="1" applyProtection="1">
      <alignment horizontal="center" vertical="center" wrapText="1"/>
      <protection hidden="1"/>
    </xf>
    <xf numFmtId="165" fontId="2" fillId="3" borderId="18" xfId="0" applyNumberFormat="1" applyFont="1" applyFill="1" applyBorder="1" applyAlignment="1" applyProtection="1">
      <alignment horizontal="center" vertical="center" wrapText="1"/>
      <protection hidden="1"/>
    </xf>
    <xf numFmtId="164" fontId="2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14" fontId="5" fillId="7" borderId="5" xfId="0" applyNumberFormat="1" applyFont="1" applyFill="1" applyBorder="1" applyAlignment="1" applyProtection="1">
      <alignment horizontal="center" vertical="center" wrapText="1"/>
      <protection hidden="1"/>
    </xf>
    <xf numFmtId="14" fontId="5" fillId="7" borderId="6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left" vertical="top" wrapText="1"/>
    </xf>
    <xf numFmtId="0" fontId="7" fillId="0" borderId="0" xfId="0" quotePrefix="1" applyFont="1" applyAlignment="1" applyProtection="1">
      <alignment horizontal="left" vertical="top" wrapText="1"/>
    </xf>
    <xf numFmtId="0" fontId="7" fillId="0" borderId="0" xfId="0" applyFont="1" applyAlignment="1" applyProtection="1">
      <alignment horizontal="center" vertical="top" wrapText="1"/>
    </xf>
    <xf numFmtId="14" fontId="5" fillId="7" borderId="5" xfId="0" applyNumberFormat="1" applyFont="1" applyFill="1" applyBorder="1" applyAlignment="1" applyProtection="1">
      <alignment horizontal="center" vertical="center" wrapText="1"/>
    </xf>
    <xf numFmtId="14" fontId="5" fillId="7" borderId="6" xfId="0" applyNumberFormat="1" applyFont="1" applyFill="1" applyBorder="1" applyAlignment="1" applyProtection="1">
      <alignment horizontal="center" vertical="center" wrapText="1"/>
    </xf>
  </cellXfs>
  <cellStyles count="4">
    <cellStyle name="Normal 2" xfId="1" xr:uid="{00000000-0005-0000-0000-000000000000}"/>
    <cellStyle name="Normal 7 22 10 2 2" xfId="3" xr:uid="{58A40E37-C411-4184-A6D8-6A9CE4D35047}"/>
    <cellStyle name="Normal 85 2" xfId="2" xr:uid="{00000000-0005-0000-0000-000001000000}"/>
    <cellStyle name="Звичайний" xfId="0" builtinId="0"/>
  </cellStyles>
  <dxfs count="84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  <dxf>
      <font>
        <color theme="0"/>
      </font>
      <fill>
        <patternFill patternType="solid">
          <fgColor rgb="FF9C0006"/>
          <bgColor rgb="FF9C0006"/>
        </patternFill>
      </fill>
    </dxf>
  </dxfs>
  <tableStyles count="0" defaultTableStyle="TableStyleMedium2" defaultPivotStyle="PivotStyleLight16"/>
  <colors>
    <mruColors>
      <color rgb="FFDBBA17"/>
      <color rgb="FFCB9B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10</xdr:col>
      <xdr:colOff>370755</xdr:colOff>
      <xdr:row>0</xdr:row>
      <xdr:rowOff>990722</xdr:rowOff>
    </xdr:to>
    <xdr:pic>
      <xdr:nvPicPr>
        <xdr:cNvPr id="2" name="Рисунок 1" descr="Solgar Logo PNG Vector (EPS) Free Download">
          <a:extLst>
            <a:ext uri="{FF2B5EF4-FFF2-40B4-BE49-F238E27FC236}">
              <a16:creationId xmlns:a16="http://schemas.microsoft.com/office/drawing/2014/main" id="{007A0ED0-9302-B656-E2C9-0F4D653BD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560" y="0"/>
          <a:ext cx="1821180" cy="990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484094</xdr:colOff>
      <xdr:row>0</xdr:row>
      <xdr:rowOff>0</xdr:rowOff>
    </xdr:from>
    <xdr:to>
      <xdr:col>14</xdr:col>
      <xdr:colOff>738308</xdr:colOff>
      <xdr:row>0</xdr:row>
      <xdr:rowOff>990722</xdr:rowOff>
    </xdr:to>
    <xdr:pic>
      <xdr:nvPicPr>
        <xdr:cNvPr id="2" name="Рисунок 1" descr="Solgar Logo PNG Vector (EPS) Free Download">
          <a:extLst>
            <a:ext uri="{FF2B5EF4-FFF2-40B4-BE49-F238E27FC236}">
              <a16:creationId xmlns:a16="http://schemas.microsoft.com/office/drawing/2014/main" id="{3A9CEC9E-BE8B-4A59-AF26-5B74F6FF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9894" y="0"/>
          <a:ext cx="1816314" cy="990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iceListUpdates\2015-04-PrintedPriceList\Oracle%20Extract%2003%2011%2015-SG-SOLG-US-DOMESTIC-PRICING-EFFECTIVE-2015-04-01-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Log"/>
      <sheetName val="BneWorkBookProperties"/>
      <sheetName val="Orig"/>
      <sheetName val="SOLG-SG-PriceIncrease"/>
      <sheetName val="EFFECTIVE-2015-04-01-POSSystems"/>
      <sheetName val="OriginalPriceIncrease"/>
      <sheetName val="CA Part #s"/>
      <sheetName val="Sheet5"/>
      <sheetName val="MasterOrigPriceIncrease"/>
    </sheetNames>
    <sheetDataSet>
      <sheetData sheetId="0">
        <row r="1">
          <cell r="A1" t="str">
            <v>@PLM for Process Items</v>
          </cell>
          <cell r="B1" t="str">
            <v>Active</v>
          </cell>
          <cell r="C1" t="str">
            <v>Kilometer</v>
          </cell>
          <cell r="D1" t="str">
            <v>Y</v>
          </cell>
          <cell r="E1" t="str">
            <v>Y</v>
          </cell>
          <cell r="F1" t="str">
            <v>Billion</v>
          </cell>
          <cell r="G1" t="str">
            <v>ATO Option Class</v>
          </cell>
        </row>
        <row r="2">
          <cell r="A2" t="str">
            <v>NBTY_conversion temp</v>
          </cell>
          <cell r="B2" t="str">
            <v>Inactive</v>
          </cell>
          <cell r="C2" t="str">
            <v>Pad</v>
          </cell>
          <cell r="D2" t="str">
            <v>N</v>
          </cell>
          <cell r="E2" t="str">
            <v>N</v>
          </cell>
          <cell r="F2" t="str">
            <v>CS</v>
          </cell>
          <cell r="G2" t="str">
            <v>ATO item</v>
          </cell>
        </row>
        <row r="3">
          <cell r="A3" t="str">
            <v>Supply - Bulk at ZZZ</v>
          </cell>
          <cell r="B3" t="str">
            <v>Future Delete</v>
          </cell>
          <cell r="C3" t="str">
            <v>Pair</v>
          </cell>
          <cell r="F3" t="str">
            <v>Compartment</v>
          </cell>
          <cell r="G3" t="str">
            <v>ATO model</v>
          </cell>
        </row>
        <row r="4">
          <cell r="A4" t="str">
            <v>Supply - Bulk at DCs</v>
          </cell>
          <cell r="B4" t="str">
            <v>Delete - Active</v>
          </cell>
          <cell r="C4" t="str">
            <v>Pallet</v>
          </cell>
          <cell r="F4" t="str">
            <v>EA</v>
          </cell>
          <cell r="G4" t="str">
            <v>Asset Activity</v>
          </cell>
        </row>
        <row r="5">
          <cell r="A5" t="str">
            <v>Supply - Bulk at MFG</v>
          </cell>
          <cell r="C5" t="str">
            <v>Pint</v>
          </cell>
          <cell r="F5" t="str">
            <v>Grain</v>
          </cell>
          <cell r="G5" t="str">
            <v>Asset Group</v>
          </cell>
        </row>
        <row r="6">
          <cell r="A6" t="str">
            <v>Supply - Bulk at Co-Man</v>
          </cell>
          <cell r="C6" t="str">
            <v>Quart</v>
          </cell>
          <cell r="F6" t="str">
            <v>Gram</v>
          </cell>
          <cell r="G6" t="str">
            <v>Bulk</v>
          </cell>
        </row>
        <row r="7">
          <cell r="A7" t="str">
            <v>Supply - Bulk at Co-Pack</v>
          </cell>
          <cell r="C7" t="str">
            <v>Quire</v>
          </cell>
          <cell r="F7" t="str">
            <v>IT</v>
          </cell>
          <cell r="G7" t="str">
            <v>Contracts - Consulting</v>
          </cell>
        </row>
        <row r="8">
          <cell r="A8" t="str">
            <v>Supply - Bulk at PKG</v>
          </cell>
          <cell r="C8" t="str">
            <v>Ream</v>
          </cell>
          <cell r="F8" t="str">
            <v>IU</v>
          </cell>
          <cell r="G8" t="str">
            <v>Contracts - Education</v>
          </cell>
        </row>
        <row r="9">
          <cell r="A9" t="str">
            <v>Supply - FP at ZZZ</v>
          </cell>
          <cell r="C9" t="str">
            <v>Set</v>
          </cell>
          <cell r="F9" t="str">
            <v>Mg</v>
          </cell>
          <cell r="G9" t="str">
            <v>Contracts - KIT</v>
          </cell>
        </row>
        <row r="10">
          <cell r="A10" t="str">
            <v>Supply - FP at DCs</v>
          </cell>
          <cell r="C10" t="str">
            <v>Sheet</v>
          </cell>
          <cell r="F10" t="str">
            <v>Ml</v>
          </cell>
          <cell r="G10" t="str">
            <v>Contracts - Media</v>
          </cell>
        </row>
        <row r="11">
          <cell r="A11" t="str">
            <v>Supply - FP at PKG</v>
          </cell>
          <cell r="C11" t="str">
            <v>Skid</v>
          </cell>
          <cell r="F11" t="str">
            <v>Oz</v>
          </cell>
          <cell r="G11" t="str">
            <v>Contracts - Software License</v>
          </cell>
        </row>
        <row r="12">
          <cell r="A12" t="str">
            <v>Supply - FP at Co-Pack</v>
          </cell>
          <cell r="C12" t="str">
            <v>Sleeve</v>
          </cell>
          <cell r="F12" t="str">
            <v>Spf</v>
          </cell>
          <cell r="G12" t="str">
            <v>Contracts - Training</v>
          </cell>
        </row>
        <row r="13">
          <cell r="A13" t="str">
            <v>Supply - SFG at ZZZ</v>
          </cell>
          <cell r="C13" t="str">
            <v>Spool</v>
          </cell>
          <cell r="F13" t="str">
            <v>Unit</v>
          </cell>
          <cell r="G13" t="str">
            <v>Discount</v>
          </cell>
        </row>
        <row r="14">
          <cell r="A14" t="str">
            <v>Supply - SFG at DCs</v>
          </cell>
          <cell r="C14" t="str">
            <v>Truckload</v>
          </cell>
          <cell r="F14" t="str">
            <v>mcg</v>
          </cell>
          <cell r="G14" t="str">
            <v>Discount Model</v>
          </cell>
        </row>
        <row r="15">
          <cell r="A15" t="str">
            <v>Supply - Displays at ZZZ</v>
          </cell>
          <cell r="C15" t="str">
            <v>Tube</v>
          </cell>
          <cell r="G15" t="str">
            <v>Equipment</v>
          </cell>
        </row>
        <row r="16">
          <cell r="A16" t="str">
            <v>Supply - Displays at DCs</v>
          </cell>
          <cell r="C16" t="str">
            <v>Unit</v>
          </cell>
          <cell r="G16" t="str">
            <v>FInished Goods - Buy</v>
          </cell>
        </row>
        <row r="17">
          <cell r="A17" t="str">
            <v>Supply - RM at ZZZ</v>
          </cell>
          <cell r="C17" t="str">
            <v>Wrap</v>
          </cell>
          <cell r="G17" t="str">
            <v>FInished Goods - Make</v>
          </cell>
        </row>
        <row r="18">
          <cell r="A18" t="str">
            <v>Supply - RM at MFG</v>
          </cell>
          <cell r="C18" t="str">
            <v>Tub</v>
          </cell>
          <cell r="G18" t="str">
            <v>Freight</v>
          </cell>
        </row>
        <row r="19">
          <cell r="A19" t="str">
            <v>Supply - Components at ZZZ</v>
          </cell>
          <cell r="C19" t="str">
            <v>Cone</v>
          </cell>
          <cell r="G19" t="str">
            <v>Inventory Type</v>
          </cell>
        </row>
        <row r="20">
          <cell r="A20" t="str">
            <v>Supply - Components at PKG</v>
          </cell>
          <cell r="C20" t="str">
            <v>Assortment</v>
          </cell>
          <cell r="G20" t="str">
            <v>Kit</v>
          </cell>
        </row>
        <row r="21">
          <cell r="A21" t="str">
            <v>Procurement Template</v>
          </cell>
          <cell r="C21" t="str">
            <v>Bag</v>
          </cell>
          <cell r="G21" t="str">
            <v>Model</v>
          </cell>
        </row>
        <row r="22">
          <cell r="A22" t="str">
            <v>@Finished Good</v>
          </cell>
          <cell r="C22" t="str">
            <v>Bale</v>
          </cell>
          <cell r="G22" t="str">
            <v>Non-Recurring</v>
          </cell>
        </row>
        <row r="23">
          <cell r="A23" t="str">
            <v>@Purchased Item</v>
          </cell>
          <cell r="C23" t="str">
            <v>Band</v>
          </cell>
          <cell r="G23" t="str">
            <v>Non-Stocked item</v>
          </cell>
        </row>
        <row r="24">
          <cell r="A24" t="str">
            <v>@Supply Item</v>
          </cell>
          <cell r="C24" t="str">
            <v>Book</v>
          </cell>
          <cell r="G24" t="str">
            <v>Option Class</v>
          </cell>
        </row>
        <row r="25">
          <cell r="A25" t="str">
            <v>@Outside Processing Item</v>
          </cell>
          <cell r="C25" t="str">
            <v>Bundle</v>
          </cell>
          <cell r="G25" t="str">
            <v>Outside Processing Item</v>
          </cell>
        </row>
        <row r="26">
          <cell r="A26" t="str">
            <v>@Subassembly</v>
          </cell>
          <cell r="C26" t="str">
            <v>Can</v>
          </cell>
          <cell r="G26" t="str">
            <v>PTO Option Class</v>
          </cell>
        </row>
        <row r="27">
          <cell r="A27" t="str">
            <v>@ATO Model</v>
          </cell>
          <cell r="C27" t="str">
            <v>Card</v>
          </cell>
          <cell r="G27" t="str">
            <v>PTO model</v>
          </cell>
        </row>
        <row r="28">
          <cell r="A28" t="str">
            <v>@PTO Model</v>
          </cell>
          <cell r="C28" t="str">
            <v>Carton</v>
          </cell>
          <cell r="G28" t="str">
            <v>Phantom item</v>
          </cell>
        </row>
        <row r="29">
          <cell r="A29" t="str">
            <v>@ATO Option Class</v>
          </cell>
          <cell r="C29" t="str">
            <v>Cartridge</v>
          </cell>
          <cell r="G29" t="str">
            <v>Planning</v>
          </cell>
        </row>
        <row r="30">
          <cell r="A30" t="str">
            <v>@PTO Option Class</v>
          </cell>
          <cell r="C30" t="str">
            <v>Deal</v>
          </cell>
          <cell r="G30" t="str">
            <v>Product Family</v>
          </cell>
        </row>
        <row r="31">
          <cell r="A31" t="str">
            <v>@Planning Item</v>
          </cell>
          <cell r="C31" t="str">
            <v>Display</v>
          </cell>
          <cell r="G31" t="str">
            <v>Promotion</v>
          </cell>
        </row>
        <row r="32">
          <cell r="A32" t="str">
            <v>@Kit</v>
          </cell>
          <cell r="C32" t="str">
            <v>Gross</v>
          </cell>
          <cell r="G32" t="str">
            <v>Purchased item</v>
          </cell>
        </row>
        <row r="33">
          <cell r="A33" t="str">
            <v>@Phantom Item</v>
          </cell>
          <cell r="C33" t="str">
            <v>Hour</v>
          </cell>
          <cell r="G33" t="str">
            <v>Raw Material</v>
          </cell>
        </row>
        <row r="34">
          <cell r="A34" t="str">
            <v>@Reference Item</v>
          </cell>
          <cell r="C34" t="str">
            <v>Hundred</v>
          </cell>
          <cell r="G34" t="str">
            <v>Rebuildable</v>
          </cell>
        </row>
        <row r="35">
          <cell r="A35" t="str">
            <v>@ATO Item</v>
          </cell>
          <cell r="C35" t="str">
            <v>Kit</v>
          </cell>
          <cell r="G35" t="str">
            <v>Recurring</v>
          </cell>
        </row>
        <row r="36">
          <cell r="A36" t="str">
            <v>@Freight</v>
          </cell>
          <cell r="C36" t="str">
            <v>Lot</v>
          </cell>
          <cell r="G36" t="str">
            <v>Reference item</v>
          </cell>
        </row>
        <row r="37">
          <cell r="A37" t="str">
            <v>@Product Family</v>
          </cell>
          <cell r="C37" t="str">
            <v>Gram</v>
          </cell>
          <cell r="G37" t="str">
            <v>Subassembly</v>
          </cell>
        </row>
        <row r="38">
          <cell r="A38" t="str">
            <v>@Asset Group</v>
          </cell>
          <cell r="C38" t="str">
            <v>Box</v>
          </cell>
          <cell r="G38" t="str">
            <v>Supply item</v>
          </cell>
        </row>
        <row r="39">
          <cell r="A39" t="str">
            <v>@Activity</v>
          </cell>
          <cell r="C39" t="str">
            <v>Bottle</v>
          </cell>
        </row>
        <row r="40">
          <cell r="A40" t="str">
            <v>@Rebuildable</v>
          </cell>
          <cell r="C40" t="str">
            <v>CF</v>
          </cell>
        </row>
        <row r="41">
          <cell r="A41" t="str">
            <v>@Equipment</v>
          </cell>
          <cell r="C41" t="str">
            <v>CP</v>
          </cell>
        </row>
        <row r="42">
          <cell r="A42" t="str">
            <v>@Non-Stocked Item</v>
          </cell>
          <cell r="C42" t="str">
            <v>Count</v>
          </cell>
        </row>
        <row r="43">
          <cell r="A43" t="str">
            <v>Finished Goods - Make</v>
          </cell>
          <cell r="C43" t="str">
            <v>Dozen</v>
          </cell>
        </row>
        <row r="44">
          <cell r="A44" t="str">
            <v>Finished Goods - Buy</v>
          </cell>
          <cell r="C44" t="str">
            <v>EW</v>
          </cell>
        </row>
        <row r="45">
          <cell r="A45" t="str">
            <v>Bulk</v>
          </cell>
          <cell r="C45" t="str">
            <v>GR</v>
          </cell>
        </row>
        <row r="46">
          <cell r="A46" t="str">
            <v>Raw material</v>
          </cell>
          <cell r="C46" t="str">
            <v>E</v>
          </cell>
        </row>
        <row r="47">
          <cell r="A47" t="str">
            <v>Purchased Item</v>
          </cell>
          <cell r="C47" t="str">
            <v>KB</v>
          </cell>
        </row>
        <row r="48">
          <cell r="C48" t="str">
            <v>Meter</v>
          </cell>
        </row>
        <row r="49">
          <cell r="C49" t="str">
            <v>Foot</v>
          </cell>
        </row>
        <row r="50">
          <cell r="C50" t="str">
            <v>Centimeter</v>
          </cell>
        </row>
        <row r="51">
          <cell r="C51" t="str">
            <v>Roll</v>
          </cell>
        </row>
        <row r="52">
          <cell r="C52" t="str">
            <v>Each</v>
          </cell>
        </row>
        <row r="53">
          <cell r="C53" t="str">
            <v>Cube Inch</v>
          </cell>
        </row>
        <row r="54">
          <cell r="C54" t="str">
            <v>Inch</v>
          </cell>
        </row>
        <row r="55">
          <cell r="C55" t="str">
            <v>Pound</v>
          </cell>
        </row>
        <row r="56">
          <cell r="C56" t="str">
            <v>Daily</v>
          </cell>
        </row>
        <row r="57">
          <cell r="C57" t="str">
            <v>Gallon</v>
          </cell>
        </row>
        <row r="58">
          <cell r="C58" t="str">
            <v>Cylinder</v>
          </cell>
        </row>
        <row r="59">
          <cell r="C59" t="str">
            <v>CASE</v>
          </cell>
        </row>
        <row r="60">
          <cell r="C60" t="str">
            <v>Inner Tray</v>
          </cell>
        </row>
        <row r="61">
          <cell r="C61" t="str">
            <v>Thousand</v>
          </cell>
        </row>
        <row r="62">
          <cell r="C62" t="str">
            <v>Kilogram</v>
          </cell>
        </row>
        <row r="63">
          <cell r="C63" t="str">
            <v>Cubic Foot</v>
          </cell>
        </row>
        <row r="64">
          <cell r="C64" t="str">
            <v>Gal</v>
          </cell>
        </row>
        <row r="65">
          <cell r="C65" t="str">
            <v>Milimeter</v>
          </cell>
        </row>
        <row r="66">
          <cell r="C66" t="str">
            <v>Liter</v>
          </cell>
        </row>
        <row r="67">
          <cell r="C67" t="str">
            <v>Ounce</v>
          </cell>
        </row>
        <row r="68">
          <cell r="C68" t="str">
            <v>Pack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6"/>
  <sheetViews>
    <sheetView tabSelected="1" topLeftCell="C1" zoomScale="85" zoomScaleNormal="85" workbookViewId="0">
      <pane ySplit="2" topLeftCell="A3" activePane="bottomLeft" state="frozen"/>
      <selection pane="bottomLeft" activeCell="L9" sqref="L9"/>
    </sheetView>
  </sheetViews>
  <sheetFormatPr defaultColWidth="8.88671875" defaultRowHeight="14.4" x14ac:dyDescent="0.3"/>
  <cols>
    <col min="1" max="1" width="11.109375" style="61" bestFit="1" customWidth="1"/>
    <col min="2" max="2" width="6" style="61" customWidth="1"/>
    <col min="3" max="3" width="12" style="61" bestFit="1" customWidth="1"/>
    <col min="4" max="4" width="62" style="14" customWidth="1"/>
    <col min="5" max="5" width="6.6640625" style="14" bestFit="1" customWidth="1"/>
    <col min="6" max="6" width="11.44140625" style="14" customWidth="1"/>
    <col min="7" max="7" width="11.44140625" style="61" customWidth="1"/>
    <col min="8" max="8" width="11.109375" style="61" bestFit="1" customWidth="1"/>
    <col min="9" max="9" width="11.77734375" style="62" customWidth="1"/>
    <col min="10" max="10" width="9.33203125" style="63" customWidth="1"/>
    <col min="11" max="11" width="13.44140625" style="64" bestFit="1" customWidth="1"/>
    <col min="12" max="12" width="13.44140625" style="14" bestFit="1" customWidth="1"/>
    <col min="13" max="13" width="13.44140625" style="14" customWidth="1"/>
    <col min="14" max="14" width="10.44140625" style="17" customWidth="1"/>
    <col min="15" max="15" width="12.109375" style="17" bestFit="1" customWidth="1"/>
    <col min="16" max="17" width="13.88671875" style="17" customWidth="1"/>
    <col min="18" max="18" width="5.5546875" style="17" customWidth="1"/>
    <col min="19" max="19" width="13.88671875" style="17" customWidth="1"/>
    <col min="20" max="16384" width="8.88671875" style="14"/>
  </cols>
  <sheetData>
    <row r="1" spans="1:19" ht="85.2" customHeight="1" thickBot="1" x14ac:dyDescent="0.35">
      <c r="A1" s="164" t="s">
        <v>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65">
        <v>46164</v>
      </c>
      <c r="N1" s="15" t="s">
        <v>802</v>
      </c>
      <c r="O1" s="165" t="s">
        <v>803</v>
      </c>
      <c r="P1" s="16" t="s">
        <v>10</v>
      </c>
      <c r="Q1" s="5" t="s">
        <v>804</v>
      </c>
      <c r="S1" s="18" t="str">
        <f>IFERROR(IF(SUM(S3:S375)=0, "-", L2+Q2), "-")</f>
        <v>-</v>
      </c>
    </row>
    <row r="2" spans="1:19" s="22" customFormat="1" ht="28.2" thickBot="1" x14ac:dyDescent="0.35">
      <c r="A2" s="158" t="s">
        <v>3</v>
      </c>
      <c r="B2" s="159" t="s">
        <v>4</v>
      </c>
      <c r="C2" s="160" t="s">
        <v>5</v>
      </c>
      <c r="D2" s="159" t="s">
        <v>6</v>
      </c>
      <c r="E2" s="159" t="s">
        <v>284</v>
      </c>
      <c r="F2" s="159" t="s">
        <v>10</v>
      </c>
      <c r="G2" s="159" t="s">
        <v>8</v>
      </c>
      <c r="H2" s="159" t="s">
        <v>849</v>
      </c>
      <c r="I2" s="161" t="s">
        <v>0</v>
      </c>
      <c r="J2" s="159" t="s">
        <v>7</v>
      </c>
      <c r="K2" s="162" t="s">
        <v>1</v>
      </c>
      <c r="L2" s="163">
        <f>SUM(K2:K375)</f>
        <v>0</v>
      </c>
      <c r="M2" s="14"/>
      <c r="N2" s="19"/>
      <c r="O2" s="166"/>
      <c r="P2" s="20" t="str">
        <f>IF(SUM(P3:P375)=0, "-", SUM(P3:P375))</f>
        <v>-</v>
      </c>
      <c r="Q2" s="20" t="str">
        <f>IF(SUM(Q3:Q375)=0, "-", SUM(Q3:Q375))</f>
        <v>-</v>
      </c>
      <c r="R2" s="9"/>
      <c r="S2" s="21" t="s">
        <v>805</v>
      </c>
    </row>
    <row r="3" spans="1:19" x14ac:dyDescent="0.3">
      <c r="A3" s="150">
        <v>100009363</v>
      </c>
      <c r="B3" s="151">
        <v>1453</v>
      </c>
      <c r="C3" s="152">
        <v>33984014534</v>
      </c>
      <c r="D3" s="153" t="s">
        <v>26</v>
      </c>
      <c r="E3" s="154">
        <v>90</v>
      </c>
      <c r="F3" s="155">
        <v>0.20429999999999998</v>
      </c>
      <c r="G3" s="154">
        <v>25</v>
      </c>
      <c r="H3" s="105" t="s">
        <v>852</v>
      </c>
      <c r="I3" s="156">
        <v>22.679747999999996</v>
      </c>
      <c r="J3" s="154"/>
      <c r="K3" s="157">
        <f t="shared" ref="K3:K65" si="0">J3*I3</f>
        <v>0</v>
      </c>
      <c r="L3" s="29"/>
      <c r="M3" s="104"/>
      <c r="N3" s="30" t="str">
        <f t="shared" ref="N3" si="1">IFERROR(IF($N$2*F3=0, "-", $N$2*F3), "-")</f>
        <v>-</v>
      </c>
      <c r="O3" s="30" t="str">
        <f>IFERROR(IF(N3&gt;0,I3+N3,"-"),"-")</f>
        <v>-</v>
      </c>
      <c r="P3" s="31" t="str">
        <f t="shared" ref="P3:P65" si="2">IF(J3&gt;0,J3*F3, "-")</f>
        <v>-</v>
      </c>
      <c r="Q3" s="32" t="str">
        <f t="shared" ref="Q3" si="3">IFERROR(IF($N$2&gt;0, $N$2*P3, "-"), "-")</f>
        <v>-</v>
      </c>
      <c r="S3" s="32" t="str">
        <f t="shared" ref="S3:S62" si="4">IFERROR(IF(Q3+K3=0, "-", IF(Q3&gt;0, Q3+K3, "-")), "-")</f>
        <v>-</v>
      </c>
    </row>
    <row r="4" spans="1:19" x14ac:dyDescent="0.3">
      <c r="A4" s="134">
        <v>100009580</v>
      </c>
      <c r="B4" s="23">
        <v>2820</v>
      </c>
      <c r="C4" s="38">
        <v>33984028203</v>
      </c>
      <c r="D4" s="39" t="s">
        <v>34</v>
      </c>
      <c r="E4" s="26">
        <v>100</v>
      </c>
      <c r="F4" s="27">
        <v>0.13275190694425001</v>
      </c>
      <c r="G4" s="26">
        <v>42</v>
      </c>
      <c r="H4" s="105" t="s">
        <v>852</v>
      </c>
      <c r="I4" s="28">
        <v>6.5519271999999988</v>
      </c>
      <c r="J4" s="26"/>
      <c r="K4" s="135">
        <f t="shared" si="0"/>
        <v>0</v>
      </c>
      <c r="L4" s="29"/>
      <c r="M4" s="104"/>
      <c r="N4" s="30" t="str">
        <f t="shared" ref="N4:N66" si="5">IFERROR(IF($N$2*F4=0, "-", $N$2*F4), "-")</f>
        <v>-</v>
      </c>
      <c r="O4" s="30" t="str">
        <f t="shared" ref="O4:O62" si="6">IFERROR(IF(N4&gt;0,I4+N4,"-"),"-")</f>
        <v>-</v>
      </c>
      <c r="P4" s="31" t="str">
        <f t="shared" si="2"/>
        <v>-</v>
      </c>
      <c r="Q4" s="32" t="str">
        <f t="shared" ref="Q4:Q66" si="7">IFERROR(IF($N$2&gt;0, $N$2*P4, "-"), "-")</f>
        <v>-</v>
      </c>
      <c r="S4" s="32" t="str">
        <f t="shared" si="4"/>
        <v>-</v>
      </c>
    </row>
    <row r="5" spans="1:19" x14ac:dyDescent="0.3">
      <c r="A5" s="134">
        <v>100009622</v>
      </c>
      <c r="B5" s="23">
        <v>3340</v>
      </c>
      <c r="C5" s="38">
        <v>33984033405</v>
      </c>
      <c r="D5" s="39" t="s">
        <v>38</v>
      </c>
      <c r="E5" s="26">
        <v>100</v>
      </c>
      <c r="F5" s="27">
        <v>0.23331975046534001</v>
      </c>
      <c r="G5" s="26">
        <v>25</v>
      </c>
      <c r="H5" s="105" t="s">
        <v>852</v>
      </c>
      <c r="I5" s="28">
        <v>5.4809390999999987</v>
      </c>
      <c r="J5" s="26"/>
      <c r="K5" s="135">
        <f t="shared" si="0"/>
        <v>0</v>
      </c>
      <c r="L5" s="29"/>
      <c r="M5" s="104"/>
      <c r="N5" s="30" t="str">
        <f t="shared" si="5"/>
        <v>-</v>
      </c>
      <c r="O5" s="30" t="str">
        <f t="shared" si="6"/>
        <v>-</v>
      </c>
      <c r="P5" s="31" t="str">
        <f t="shared" si="2"/>
        <v>-</v>
      </c>
      <c r="Q5" s="32" t="str">
        <f t="shared" si="7"/>
        <v>-</v>
      </c>
      <c r="S5" s="32" t="str">
        <f t="shared" si="4"/>
        <v>-</v>
      </c>
    </row>
    <row r="6" spans="1:19" x14ac:dyDescent="0.3">
      <c r="A6" s="134">
        <v>100009616</v>
      </c>
      <c r="B6" s="23">
        <v>3316</v>
      </c>
      <c r="C6" s="38">
        <v>33984033160</v>
      </c>
      <c r="D6" s="39" t="s">
        <v>41</v>
      </c>
      <c r="E6" s="26">
        <v>50</v>
      </c>
      <c r="F6" s="27">
        <v>0.12485</v>
      </c>
      <c r="G6" s="26">
        <v>42</v>
      </c>
      <c r="H6" s="105" t="s">
        <v>852</v>
      </c>
      <c r="I6" s="28">
        <v>6.7409250999999992</v>
      </c>
      <c r="J6" s="26"/>
      <c r="K6" s="135">
        <f t="shared" si="0"/>
        <v>0</v>
      </c>
      <c r="L6" s="29"/>
      <c r="M6" s="104"/>
      <c r="N6" s="30" t="str">
        <f t="shared" si="5"/>
        <v>-</v>
      </c>
      <c r="O6" s="30" t="str">
        <f t="shared" si="6"/>
        <v>-</v>
      </c>
      <c r="P6" s="31" t="str">
        <f t="shared" si="2"/>
        <v>-</v>
      </c>
      <c r="Q6" s="32" t="str">
        <f t="shared" si="7"/>
        <v>-</v>
      </c>
      <c r="S6" s="32" t="str">
        <f t="shared" si="4"/>
        <v>-</v>
      </c>
    </row>
    <row r="7" spans="1:19" x14ac:dyDescent="0.3">
      <c r="A7" s="134">
        <v>100009617</v>
      </c>
      <c r="B7" s="23">
        <v>3317</v>
      </c>
      <c r="C7" s="38">
        <v>33984033177</v>
      </c>
      <c r="D7" s="39" t="s">
        <v>41</v>
      </c>
      <c r="E7" s="26">
        <v>100</v>
      </c>
      <c r="F7" s="27">
        <v>0.23331975046534001</v>
      </c>
      <c r="G7" s="26">
        <v>25</v>
      </c>
      <c r="H7" s="105" t="s">
        <v>852</v>
      </c>
      <c r="I7" s="28">
        <v>10.079887999999999</v>
      </c>
      <c r="J7" s="26"/>
      <c r="K7" s="135">
        <f t="shared" si="0"/>
        <v>0</v>
      </c>
      <c r="L7" s="29"/>
      <c r="M7" s="104"/>
      <c r="N7" s="30" t="str">
        <f t="shared" si="5"/>
        <v>-</v>
      </c>
      <c r="O7" s="30" t="str">
        <f t="shared" si="6"/>
        <v>-</v>
      </c>
      <c r="P7" s="31" t="str">
        <f t="shared" si="2"/>
        <v>-</v>
      </c>
      <c r="Q7" s="32" t="str">
        <f t="shared" si="7"/>
        <v>-</v>
      </c>
      <c r="S7" s="32" t="str">
        <f t="shared" si="4"/>
        <v>-</v>
      </c>
    </row>
    <row r="8" spans="1:19" x14ac:dyDescent="0.3">
      <c r="A8" s="134">
        <v>100009807</v>
      </c>
      <c r="B8" s="23">
        <v>32048</v>
      </c>
      <c r="C8" s="38">
        <v>33984320482</v>
      </c>
      <c r="D8" s="45" t="s">
        <v>42</v>
      </c>
      <c r="E8" s="26" t="s">
        <v>273</v>
      </c>
      <c r="F8" s="27">
        <v>0.15890000000000001</v>
      </c>
      <c r="G8" s="26">
        <v>49</v>
      </c>
      <c r="H8" s="105" t="s">
        <v>852</v>
      </c>
      <c r="I8" s="28">
        <v>7.5599159999999994</v>
      </c>
      <c r="J8" s="26"/>
      <c r="K8" s="135">
        <f t="shared" si="0"/>
        <v>0</v>
      </c>
      <c r="L8" s="29"/>
      <c r="M8" s="104"/>
      <c r="N8" s="30" t="str">
        <f t="shared" si="5"/>
        <v>-</v>
      </c>
      <c r="O8" s="30" t="str">
        <f t="shared" si="6"/>
        <v>-</v>
      </c>
      <c r="P8" s="31" t="str">
        <f t="shared" si="2"/>
        <v>-</v>
      </c>
      <c r="Q8" s="32" t="str">
        <f t="shared" si="7"/>
        <v>-</v>
      </c>
      <c r="S8" s="32" t="str">
        <f t="shared" si="4"/>
        <v>-</v>
      </c>
    </row>
    <row r="9" spans="1:19" x14ac:dyDescent="0.3">
      <c r="A9" s="134">
        <v>100009782</v>
      </c>
      <c r="B9" s="23">
        <v>19377</v>
      </c>
      <c r="C9" s="38">
        <v>33984193772</v>
      </c>
      <c r="D9" s="39" t="s">
        <v>43</v>
      </c>
      <c r="E9" s="26">
        <v>100</v>
      </c>
      <c r="F9" s="27">
        <v>0.14755000000000001</v>
      </c>
      <c r="G9" s="26">
        <v>36</v>
      </c>
      <c r="H9" s="105" t="s">
        <v>852</v>
      </c>
      <c r="I9" s="28">
        <v>11.717869799999999</v>
      </c>
      <c r="J9" s="26"/>
      <c r="K9" s="135">
        <f t="shared" si="0"/>
        <v>0</v>
      </c>
      <c r="L9" s="29"/>
      <c r="M9" s="104"/>
      <c r="N9" s="30" t="str">
        <f t="shared" si="5"/>
        <v>-</v>
      </c>
      <c r="O9" s="30" t="str">
        <f t="shared" si="6"/>
        <v>-</v>
      </c>
      <c r="P9" s="31" t="str">
        <f t="shared" si="2"/>
        <v>-</v>
      </c>
      <c r="Q9" s="32" t="str">
        <f t="shared" si="7"/>
        <v>-</v>
      </c>
      <c r="S9" s="32" t="str">
        <f t="shared" si="4"/>
        <v>-</v>
      </c>
    </row>
    <row r="10" spans="1:19" x14ac:dyDescent="0.3">
      <c r="A10" s="134">
        <v>100009613</v>
      </c>
      <c r="B10" s="23">
        <v>3312</v>
      </c>
      <c r="C10" s="38">
        <v>33984033122</v>
      </c>
      <c r="D10" s="39" t="s">
        <v>44</v>
      </c>
      <c r="E10" s="26">
        <v>60</v>
      </c>
      <c r="F10" s="27">
        <v>0.12485</v>
      </c>
      <c r="G10" s="26">
        <v>42</v>
      </c>
      <c r="H10" s="105" t="s">
        <v>852</v>
      </c>
      <c r="I10" s="28">
        <v>8.9459005999999981</v>
      </c>
      <c r="J10" s="26"/>
      <c r="K10" s="135">
        <f t="shared" si="0"/>
        <v>0</v>
      </c>
      <c r="L10" s="29"/>
      <c r="M10" s="104"/>
      <c r="N10" s="30" t="str">
        <f t="shared" si="5"/>
        <v>-</v>
      </c>
      <c r="O10" s="30" t="str">
        <f t="shared" si="6"/>
        <v>-</v>
      </c>
      <c r="P10" s="31" t="str">
        <f t="shared" si="2"/>
        <v>-</v>
      </c>
      <c r="Q10" s="32" t="str">
        <f t="shared" si="7"/>
        <v>-</v>
      </c>
      <c r="S10" s="32" t="str">
        <f t="shared" si="4"/>
        <v>-</v>
      </c>
    </row>
    <row r="11" spans="1:19" x14ac:dyDescent="0.3">
      <c r="A11" s="134">
        <v>100009614</v>
      </c>
      <c r="B11" s="23">
        <v>3313</v>
      </c>
      <c r="C11" s="38">
        <v>33984033139</v>
      </c>
      <c r="D11" s="39" t="s">
        <v>44</v>
      </c>
      <c r="E11" s="26">
        <v>120</v>
      </c>
      <c r="F11" s="27">
        <v>0.21416817341920003</v>
      </c>
      <c r="G11" s="26">
        <v>25</v>
      </c>
      <c r="H11" s="105" t="s">
        <v>852</v>
      </c>
      <c r="I11" s="28">
        <v>15.749824999999998</v>
      </c>
      <c r="J11" s="26"/>
      <c r="K11" s="135">
        <f t="shared" si="0"/>
        <v>0</v>
      </c>
      <c r="L11" s="29"/>
      <c r="M11" s="104"/>
      <c r="N11" s="30" t="str">
        <f t="shared" si="5"/>
        <v>-</v>
      </c>
      <c r="O11" s="30" t="str">
        <f t="shared" si="6"/>
        <v>-</v>
      </c>
      <c r="P11" s="31" t="str">
        <f t="shared" si="2"/>
        <v>-</v>
      </c>
      <c r="Q11" s="32" t="str">
        <f t="shared" si="7"/>
        <v>-</v>
      </c>
      <c r="S11" s="32" t="str">
        <f t="shared" si="4"/>
        <v>-</v>
      </c>
    </row>
    <row r="12" spans="1:19" x14ac:dyDescent="0.3">
      <c r="A12" s="134">
        <v>100009823</v>
      </c>
      <c r="B12" s="23">
        <v>35872</v>
      </c>
      <c r="C12" s="38">
        <v>33984358720</v>
      </c>
      <c r="D12" s="39" t="s">
        <v>46</v>
      </c>
      <c r="E12" s="26">
        <v>120</v>
      </c>
      <c r="F12" s="27">
        <v>0.18160000000000001</v>
      </c>
      <c r="G12" s="26">
        <v>30</v>
      </c>
      <c r="H12" s="105" t="s">
        <v>852</v>
      </c>
      <c r="I12" s="28">
        <v>13.040855099999998</v>
      </c>
      <c r="J12" s="26"/>
      <c r="K12" s="135">
        <f t="shared" si="0"/>
        <v>0</v>
      </c>
      <c r="L12" s="29"/>
      <c r="M12" s="104"/>
      <c r="N12" s="30" t="str">
        <f t="shared" si="5"/>
        <v>-</v>
      </c>
      <c r="O12" s="30" t="str">
        <f t="shared" si="6"/>
        <v>-</v>
      </c>
      <c r="P12" s="31" t="str">
        <f t="shared" si="2"/>
        <v>-</v>
      </c>
      <c r="Q12" s="32" t="str">
        <f t="shared" si="7"/>
        <v>-</v>
      </c>
      <c r="S12" s="32" t="str">
        <f t="shared" si="4"/>
        <v>-</v>
      </c>
    </row>
    <row r="13" spans="1:19" x14ac:dyDescent="0.3">
      <c r="A13" s="134">
        <v>100009634</v>
      </c>
      <c r="B13" s="23">
        <v>3521</v>
      </c>
      <c r="C13" s="38">
        <v>33984035218</v>
      </c>
      <c r="D13" s="45" t="s">
        <v>51</v>
      </c>
      <c r="E13" s="26">
        <v>100</v>
      </c>
      <c r="F13" s="27">
        <v>0.23835000000000001</v>
      </c>
      <c r="G13" s="26">
        <v>25</v>
      </c>
      <c r="H13" s="105" t="s">
        <v>852</v>
      </c>
      <c r="I13" s="28">
        <v>12.221864199999997</v>
      </c>
      <c r="J13" s="26"/>
      <c r="K13" s="135">
        <f t="shared" si="0"/>
        <v>0</v>
      </c>
      <c r="L13" s="29"/>
      <c r="M13" s="104"/>
      <c r="N13" s="30" t="str">
        <f t="shared" si="5"/>
        <v>-</v>
      </c>
      <c r="O13" s="30" t="str">
        <f t="shared" si="6"/>
        <v>-</v>
      </c>
      <c r="P13" s="31" t="str">
        <f t="shared" si="2"/>
        <v>-</v>
      </c>
      <c r="Q13" s="32" t="str">
        <f t="shared" si="7"/>
        <v>-</v>
      </c>
      <c r="S13" s="32" t="str">
        <f t="shared" si="4"/>
        <v>-</v>
      </c>
    </row>
    <row r="14" spans="1:19" x14ac:dyDescent="0.3">
      <c r="A14" s="134">
        <v>100009637</v>
      </c>
      <c r="B14" s="23">
        <v>3541</v>
      </c>
      <c r="C14" s="38">
        <v>33984035416</v>
      </c>
      <c r="D14" s="45" t="s">
        <v>52</v>
      </c>
      <c r="E14" s="26">
        <v>100</v>
      </c>
      <c r="F14" s="27">
        <v>0.29510000000000003</v>
      </c>
      <c r="G14" s="26">
        <v>23</v>
      </c>
      <c r="H14" s="105" t="s">
        <v>852</v>
      </c>
      <c r="I14" s="28">
        <v>12.221864199999997</v>
      </c>
      <c r="J14" s="26"/>
      <c r="K14" s="135">
        <f t="shared" si="0"/>
        <v>0</v>
      </c>
      <c r="L14" s="29"/>
      <c r="M14" s="104"/>
      <c r="N14" s="30" t="str">
        <f t="shared" si="5"/>
        <v>-</v>
      </c>
      <c r="O14" s="30" t="str">
        <f t="shared" si="6"/>
        <v>-</v>
      </c>
      <c r="P14" s="31" t="str">
        <f t="shared" si="2"/>
        <v>-</v>
      </c>
      <c r="Q14" s="32" t="str">
        <f t="shared" si="7"/>
        <v>-</v>
      </c>
      <c r="S14" s="32" t="str">
        <f t="shared" si="4"/>
        <v>-</v>
      </c>
    </row>
    <row r="15" spans="1:19" x14ac:dyDescent="0.3">
      <c r="A15" s="134">
        <v>100009644</v>
      </c>
      <c r="B15" s="23">
        <v>3603</v>
      </c>
      <c r="C15" s="38">
        <v>33984036031</v>
      </c>
      <c r="D15" s="45" t="s">
        <v>56</v>
      </c>
      <c r="E15" s="26">
        <v>50</v>
      </c>
      <c r="F15" s="27">
        <v>0.16145557411209721</v>
      </c>
      <c r="G15" s="26">
        <v>36</v>
      </c>
      <c r="H15" s="105" t="s">
        <v>852</v>
      </c>
      <c r="I15" s="28">
        <v>14.489838999999996</v>
      </c>
      <c r="J15" s="26"/>
      <c r="K15" s="135">
        <f t="shared" si="0"/>
        <v>0</v>
      </c>
      <c r="L15" s="29"/>
      <c r="M15" s="104"/>
      <c r="N15" s="30" t="str">
        <f t="shared" si="5"/>
        <v>-</v>
      </c>
      <c r="O15" s="30" t="str">
        <f t="shared" si="6"/>
        <v>-</v>
      </c>
      <c r="P15" s="31" t="str">
        <f t="shared" si="2"/>
        <v>-</v>
      </c>
      <c r="Q15" s="32" t="str">
        <f t="shared" si="7"/>
        <v>-</v>
      </c>
      <c r="S15" s="32" t="str">
        <f t="shared" si="4"/>
        <v>-</v>
      </c>
    </row>
    <row r="16" spans="1:19" x14ac:dyDescent="0.3">
      <c r="A16" s="134">
        <v>100009452</v>
      </c>
      <c r="B16" s="23">
        <v>1950</v>
      </c>
      <c r="C16" s="38">
        <v>33984019508</v>
      </c>
      <c r="D16" s="39" t="s">
        <v>67</v>
      </c>
      <c r="E16" s="26">
        <v>30</v>
      </c>
      <c r="F16" s="27">
        <v>0.26145874193174995</v>
      </c>
      <c r="G16" s="26">
        <v>42</v>
      </c>
      <c r="H16" s="105" t="s">
        <v>852</v>
      </c>
      <c r="I16" s="28">
        <v>4.0949544999999992</v>
      </c>
      <c r="J16" s="26"/>
      <c r="K16" s="135">
        <f t="shared" si="0"/>
        <v>0</v>
      </c>
      <c r="L16" s="29"/>
      <c r="M16" s="104"/>
      <c r="N16" s="30" t="str">
        <f t="shared" si="5"/>
        <v>-</v>
      </c>
      <c r="O16" s="30" t="str">
        <f t="shared" si="6"/>
        <v>-</v>
      </c>
      <c r="P16" s="31" t="str">
        <f t="shared" si="2"/>
        <v>-</v>
      </c>
      <c r="Q16" s="32" t="str">
        <f t="shared" si="7"/>
        <v>-</v>
      </c>
      <c r="S16" s="32" t="str">
        <f t="shared" si="4"/>
        <v>-</v>
      </c>
    </row>
    <row r="17" spans="1:19" x14ac:dyDescent="0.3">
      <c r="A17" s="134">
        <v>100009453</v>
      </c>
      <c r="B17" s="23">
        <v>1951</v>
      </c>
      <c r="C17" s="38">
        <v>33984019515</v>
      </c>
      <c r="D17" s="39" t="s">
        <v>67</v>
      </c>
      <c r="E17" s="26">
        <v>60</v>
      </c>
      <c r="F17" s="27">
        <v>0.13399811598143058</v>
      </c>
      <c r="G17" s="26">
        <v>36</v>
      </c>
      <c r="H17" s="105" t="s">
        <v>852</v>
      </c>
      <c r="I17" s="28">
        <v>7.2449194999999982</v>
      </c>
      <c r="J17" s="26"/>
      <c r="K17" s="135">
        <f t="shared" si="0"/>
        <v>0</v>
      </c>
      <c r="L17" s="29"/>
      <c r="M17" s="104"/>
      <c r="N17" s="30" t="str">
        <f t="shared" si="5"/>
        <v>-</v>
      </c>
      <c r="O17" s="30" t="str">
        <f t="shared" si="6"/>
        <v>-</v>
      </c>
      <c r="P17" s="31" t="str">
        <f t="shared" si="2"/>
        <v>-</v>
      </c>
      <c r="Q17" s="32" t="str">
        <f t="shared" si="7"/>
        <v>-</v>
      </c>
      <c r="S17" s="32" t="str">
        <f t="shared" si="4"/>
        <v>-</v>
      </c>
    </row>
    <row r="18" spans="1:19" x14ac:dyDescent="0.3">
      <c r="A18" s="134">
        <v>100009455</v>
      </c>
      <c r="B18" s="23">
        <v>1958</v>
      </c>
      <c r="C18" s="38">
        <v>33984019584</v>
      </c>
      <c r="D18" s="39" t="s">
        <v>68</v>
      </c>
      <c r="E18" s="26">
        <v>30</v>
      </c>
      <c r="F18" s="27">
        <v>0.10214999999999999</v>
      </c>
      <c r="G18" s="26">
        <v>42</v>
      </c>
      <c r="H18" s="105" t="s">
        <v>852</v>
      </c>
      <c r="I18" s="28">
        <v>9.9538893999999996</v>
      </c>
      <c r="J18" s="26"/>
      <c r="K18" s="135">
        <f t="shared" si="0"/>
        <v>0</v>
      </c>
      <c r="L18" s="29"/>
      <c r="M18" s="104"/>
      <c r="N18" s="30" t="str">
        <f t="shared" si="5"/>
        <v>-</v>
      </c>
      <c r="O18" s="30" t="str">
        <f t="shared" si="6"/>
        <v>-</v>
      </c>
      <c r="P18" s="31" t="str">
        <f t="shared" si="2"/>
        <v>-</v>
      </c>
      <c r="Q18" s="32" t="str">
        <f t="shared" si="7"/>
        <v>-</v>
      </c>
      <c r="S18" s="32" t="str">
        <f t="shared" si="4"/>
        <v>-</v>
      </c>
    </row>
    <row r="19" spans="1:19" x14ac:dyDescent="0.3">
      <c r="A19" s="134">
        <v>100009602</v>
      </c>
      <c r="B19" s="23">
        <v>3229</v>
      </c>
      <c r="C19" s="38">
        <v>33984032293</v>
      </c>
      <c r="D19" s="39" t="s">
        <v>69</v>
      </c>
      <c r="E19" s="26">
        <v>100</v>
      </c>
      <c r="F19" s="27">
        <v>0.1135</v>
      </c>
      <c r="G19" s="26">
        <v>42</v>
      </c>
      <c r="H19" s="105" t="s">
        <v>852</v>
      </c>
      <c r="I19" s="28">
        <v>8.819901999999999</v>
      </c>
      <c r="J19" s="26"/>
      <c r="K19" s="135">
        <f t="shared" si="0"/>
        <v>0</v>
      </c>
      <c r="L19" s="29"/>
      <c r="M19" s="104"/>
      <c r="N19" s="30" t="str">
        <f t="shared" si="5"/>
        <v>-</v>
      </c>
      <c r="O19" s="30" t="str">
        <f t="shared" si="6"/>
        <v>-</v>
      </c>
      <c r="P19" s="31" t="str">
        <f t="shared" si="2"/>
        <v>-</v>
      </c>
      <c r="Q19" s="32" t="str">
        <f t="shared" si="7"/>
        <v>-</v>
      </c>
      <c r="S19" s="32" t="str">
        <f t="shared" si="4"/>
        <v>-</v>
      </c>
    </row>
    <row r="20" spans="1:19" x14ac:dyDescent="0.3">
      <c r="A20" s="134">
        <v>100009122</v>
      </c>
      <c r="B20" s="23">
        <v>313</v>
      </c>
      <c r="C20" s="38">
        <v>33984003132</v>
      </c>
      <c r="D20" s="39" t="s">
        <v>72</v>
      </c>
      <c r="E20" s="26">
        <v>50</v>
      </c>
      <c r="F20" s="27">
        <v>0.21565000000000001</v>
      </c>
      <c r="G20" s="26">
        <v>30</v>
      </c>
      <c r="H20" s="105" t="s">
        <v>852</v>
      </c>
      <c r="I20" s="28">
        <v>9.2608970999999976</v>
      </c>
      <c r="J20" s="26"/>
      <c r="K20" s="135">
        <f t="shared" si="0"/>
        <v>0</v>
      </c>
      <c r="L20" s="29"/>
      <c r="M20" s="104"/>
      <c r="N20" s="30" t="str">
        <f t="shared" si="5"/>
        <v>-</v>
      </c>
      <c r="O20" s="30" t="str">
        <f t="shared" si="6"/>
        <v>-</v>
      </c>
      <c r="P20" s="31" t="str">
        <f t="shared" si="2"/>
        <v>-</v>
      </c>
      <c r="Q20" s="32" t="str">
        <f t="shared" si="7"/>
        <v>-</v>
      </c>
      <c r="S20" s="32" t="str">
        <f t="shared" si="4"/>
        <v>-</v>
      </c>
    </row>
    <row r="21" spans="1:19" x14ac:dyDescent="0.3">
      <c r="A21" s="134">
        <v>100009123</v>
      </c>
      <c r="B21" s="23">
        <v>314</v>
      </c>
      <c r="C21" s="38">
        <v>33984003149</v>
      </c>
      <c r="D21" s="39" t="s">
        <v>72</v>
      </c>
      <c r="E21" s="26">
        <v>100</v>
      </c>
      <c r="F21" s="27">
        <v>0.30645</v>
      </c>
      <c r="G21" s="26">
        <v>23</v>
      </c>
      <c r="H21" s="105" t="s">
        <v>852</v>
      </c>
      <c r="I21" s="28">
        <v>14.804835499999998</v>
      </c>
      <c r="J21" s="26"/>
      <c r="K21" s="135">
        <f t="shared" si="0"/>
        <v>0</v>
      </c>
      <c r="L21" s="29"/>
      <c r="M21" s="104"/>
      <c r="N21" s="30" t="str">
        <f t="shared" si="5"/>
        <v>-</v>
      </c>
      <c r="O21" s="30" t="str">
        <f t="shared" si="6"/>
        <v>-</v>
      </c>
      <c r="P21" s="31" t="str">
        <f t="shared" si="2"/>
        <v>-</v>
      </c>
      <c r="Q21" s="32" t="str">
        <f t="shared" si="7"/>
        <v>-</v>
      </c>
      <c r="S21" s="32" t="str">
        <f t="shared" si="4"/>
        <v>-</v>
      </c>
    </row>
    <row r="22" spans="1:19" x14ac:dyDescent="0.3">
      <c r="A22" s="134">
        <v>100009874</v>
      </c>
      <c r="B22" s="23">
        <v>52387</v>
      </c>
      <c r="C22" s="38">
        <v>33984523876</v>
      </c>
      <c r="D22" s="39" t="s">
        <v>73</v>
      </c>
      <c r="E22" s="26">
        <v>60</v>
      </c>
      <c r="F22" s="27">
        <v>0.12485</v>
      </c>
      <c r="G22" s="26">
        <v>36</v>
      </c>
      <c r="H22" s="105" t="s">
        <v>852</v>
      </c>
      <c r="I22" s="28">
        <v>14.111843199999997</v>
      </c>
      <c r="J22" s="26"/>
      <c r="K22" s="135">
        <f t="shared" si="0"/>
        <v>0</v>
      </c>
      <c r="L22" s="29"/>
      <c r="M22" s="104"/>
      <c r="N22" s="30" t="str">
        <f t="shared" si="5"/>
        <v>-</v>
      </c>
      <c r="O22" s="30" t="str">
        <f t="shared" si="6"/>
        <v>-</v>
      </c>
      <c r="P22" s="31" t="str">
        <f t="shared" si="2"/>
        <v>-</v>
      </c>
      <c r="Q22" s="32" t="str">
        <f t="shared" si="7"/>
        <v>-</v>
      </c>
      <c r="S22" s="32" t="str">
        <f t="shared" si="4"/>
        <v>-</v>
      </c>
    </row>
    <row r="23" spans="1:19" x14ac:dyDescent="0.3">
      <c r="A23" s="134">
        <v>100009875</v>
      </c>
      <c r="B23" s="23">
        <v>52392</v>
      </c>
      <c r="C23" s="38">
        <v>33984523920</v>
      </c>
      <c r="D23" s="39" t="s">
        <v>73</v>
      </c>
      <c r="E23" s="26">
        <v>120</v>
      </c>
      <c r="F23" s="27">
        <v>0.16989302218350003</v>
      </c>
      <c r="G23" s="26">
        <v>25</v>
      </c>
      <c r="H23" s="105" t="s">
        <v>852</v>
      </c>
      <c r="I23" s="28">
        <v>20.789768999999996</v>
      </c>
      <c r="J23" s="26"/>
      <c r="K23" s="135">
        <f t="shared" si="0"/>
        <v>0</v>
      </c>
      <c r="L23" s="29"/>
      <c r="M23" s="104"/>
      <c r="N23" s="30" t="str">
        <f t="shared" si="5"/>
        <v>-</v>
      </c>
      <c r="O23" s="30" t="str">
        <f t="shared" si="6"/>
        <v>-</v>
      </c>
      <c r="P23" s="31" t="str">
        <f t="shared" si="2"/>
        <v>-</v>
      </c>
      <c r="Q23" s="32" t="str">
        <f t="shared" si="7"/>
        <v>-</v>
      </c>
      <c r="S23" s="32" t="str">
        <f t="shared" si="4"/>
        <v>-</v>
      </c>
    </row>
    <row r="24" spans="1:19" x14ac:dyDescent="0.3">
      <c r="A24" s="134">
        <v>100009186</v>
      </c>
      <c r="B24" s="23">
        <v>850</v>
      </c>
      <c r="C24" s="38">
        <v>33984008502</v>
      </c>
      <c r="D24" s="39" t="s">
        <v>75</v>
      </c>
      <c r="E24" s="26">
        <v>100</v>
      </c>
      <c r="F24" s="27">
        <v>0.30645</v>
      </c>
      <c r="G24" s="26">
        <v>23</v>
      </c>
      <c r="H24" s="105" t="s">
        <v>852</v>
      </c>
      <c r="I24" s="28">
        <v>12.221864199999997</v>
      </c>
      <c r="J24" s="26"/>
      <c r="K24" s="135">
        <f t="shared" si="0"/>
        <v>0</v>
      </c>
      <c r="L24" s="29"/>
      <c r="M24" s="104"/>
      <c r="N24" s="30" t="str">
        <f t="shared" si="5"/>
        <v>-</v>
      </c>
      <c r="O24" s="30" t="str">
        <f t="shared" si="6"/>
        <v>-</v>
      </c>
      <c r="P24" s="31" t="str">
        <f t="shared" si="2"/>
        <v>-</v>
      </c>
      <c r="Q24" s="32" t="str">
        <f t="shared" si="7"/>
        <v>-</v>
      </c>
      <c r="S24" s="32" t="str">
        <f t="shared" si="4"/>
        <v>-</v>
      </c>
    </row>
    <row r="25" spans="1:19" x14ac:dyDescent="0.3">
      <c r="A25" s="134">
        <v>100009449</v>
      </c>
      <c r="B25" s="23">
        <v>1941</v>
      </c>
      <c r="C25" s="38">
        <v>33984019416</v>
      </c>
      <c r="D25" s="39" t="s">
        <v>76</v>
      </c>
      <c r="E25" s="26">
        <v>100</v>
      </c>
      <c r="F25" s="27">
        <v>0.15890000000000001</v>
      </c>
      <c r="G25" s="26">
        <v>36</v>
      </c>
      <c r="H25" s="105" t="s">
        <v>852</v>
      </c>
      <c r="I25" s="28">
        <v>9.6388929000000001</v>
      </c>
      <c r="J25" s="26"/>
      <c r="K25" s="135">
        <f t="shared" si="0"/>
        <v>0</v>
      </c>
      <c r="L25" s="29"/>
      <c r="M25" s="104"/>
      <c r="N25" s="30" t="str">
        <f t="shared" si="5"/>
        <v>-</v>
      </c>
      <c r="O25" s="30" t="str">
        <f t="shared" si="6"/>
        <v>-</v>
      </c>
      <c r="P25" s="31" t="str">
        <f t="shared" si="2"/>
        <v>-</v>
      </c>
      <c r="Q25" s="32" t="str">
        <f t="shared" si="7"/>
        <v>-</v>
      </c>
      <c r="S25" s="32" t="str">
        <f t="shared" si="4"/>
        <v>-</v>
      </c>
    </row>
    <row r="26" spans="1:19" x14ac:dyDescent="0.3">
      <c r="A26" s="134">
        <v>100009451</v>
      </c>
      <c r="B26" s="23">
        <v>1945</v>
      </c>
      <c r="C26" s="38">
        <v>33984019454</v>
      </c>
      <c r="D26" s="39" t="s">
        <v>77</v>
      </c>
      <c r="E26" s="26">
        <v>100</v>
      </c>
      <c r="F26" s="27">
        <v>0.15890000000000001</v>
      </c>
      <c r="G26" s="26">
        <v>36</v>
      </c>
      <c r="H26" s="105" t="s">
        <v>852</v>
      </c>
      <c r="I26" s="28">
        <v>12.221864199999997</v>
      </c>
      <c r="J26" s="26"/>
      <c r="K26" s="135">
        <f t="shared" si="0"/>
        <v>0</v>
      </c>
      <c r="L26" s="29"/>
      <c r="M26" s="104"/>
      <c r="N26" s="30" t="str">
        <f t="shared" si="5"/>
        <v>-</v>
      </c>
      <c r="O26" s="30" t="str">
        <f t="shared" si="6"/>
        <v>-</v>
      </c>
      <c r="P26" s="31" t="str">
        <f t="shared" si="2"/>
        <v>-</v>
      </c>
      <c r="Q26" s="32" t="str">
        <f t="shared" si="7"/>
        <v>-</v>
      </c>
      <c r="S26" s="32" t="str">
        <f t="shared" si="4"/>
        <v>-</v>
      </c>
    </row>
    <row r="27" spans="1:19" x14ac:dyDescent="0.3">
      <c r="A27" s="134">
        <v>100065192</v>
      </c>
      <c r="B27" s="23">
        <v>53595</v>
      </c>
      <c r="C27" s="38">
        <v>33984535954</v>
      </c>
      <c r="D27" s="39" t="s">
        <v>78</v>
      </c>
      <c r="E27" s="26">
        <v>60</v>
      </c>
      <c r="F27" s="27">
        <v>0.13619999999999999</v>
      </c>
      <c r="G27" s="26">
        <v>42</v>
      </c>
      <c r="H27" s="105" t="s">
        <v>852</v>
      </c>
      <c r="I27" s="28">
        <v>11.717869799999999</v>
      </c>
      <c r="J27" s="26"/>
      <c r="K27" s="135">
        <f t="shared" si="0"/>
        <v>0</v>
      </c>
      <c r="L27" s="29"/>
      <c r="M27" s="104"/>
      <c r="N27" s="30" t="str">
        <f t="shared" si="5"/>
        <v>-</v>
      </c>
      <c r="O27" s="30" t="str">
        <f t="shared" si="6"/>
        <v>-</v>
      </c>
      <c r="P27" s="31" t="str">
        <f t="shared" si="2"/>
        <v>-</v>
      </c>
      <c r="Q27" s="32" t="str">
        <f t="shared" si="7"/>
        <v>-</v>
      </c>
      <c r="S27" s="32" t="str">
        <f t="shared" si="4"/>
        <v>-</v>
      </c>
    </row>
    <row r="28" spans="1:19" x14ac:dyDescent="0.3">
      <c r="A28" s="134">
        <v>100009270</v>
      </c>
      <c r="B28" s="23">
        <v>1081</v>
      </c>
      <c r="C28" s="38">
        <v>33984010819</v>
      </c>
      <c r="D28" s="39" t="s">
        <v>79</v>
      </c>
      <c r="E28" s="26">
        <v>250</v>
      </c>
      <c r="F28" s="27">
        <v>0.19295000000000001</v>
      </c>
      <c r="G28" s="26">
        <v>36</v>
      </c>
      <c r="H28" s="105" t="s">
        <v>852</v>
      </c>
      <c r="I28" s="28">
        <v>9.9538893999999996</v>
      </c>
      <c r="J28" s="26"/>
      <c r="K28" s="135">
        <f t="shared" si="0"/>
        <v>0</v>
      </c>
      <c r="L28" s="29"/>
      <c r="M28" s="104"/>
      <c r="N28" s="30" t="str">
        <f t="shared" si="5"/>
        <v>-</v>
      </c>
      <c r="O28" s="30" t="str">
        <f t="shared" si="6"/>
        <v>-</v>
      </c>
      <c r="P28" s="31" t="str">
        <f t="shared" si="2"/>
        <v>-</v>
      </c>
      <c r="Q28" s="32" t="str">
        <f t="shared" si="7"/>
        <v>-</v>
      </c>
      <c r="S28" s="32" t="str">
        <f t="shared" si="4"/>
        <v>-</v>
      </c>
    </row>
    <row r="29" spans="1:19" x14ac:dyDescent="0.3">
      <c r="A29" s="134">
        <v>100009362</v>
      </c>
      <c r="B29" s="23">
        <v>1450</v>
      </c>
      <c r="C29" s="38">
        <v>33984014503</v>
      </c>
      <c r="D29" s="39" t="s">
        <v>82</v>
      </c>
      <c r="E29" s="26">
        <v>100</v>
      </c>
      <c r="F29" s="27">
        <v>0.24711712317600001</v>
      </c>
      <c r="G29" s="26">
        <v>25</v>
      </c>
      <c r="H29" s="105" t="s">
        <v>852</v>
      </c>
      <c r="I29" s="28">
        <v>11.339873999999998</v>
      </c>
      <c r="J29" s="26"/>
      <c r="K29" s="135">
        <f t="shared" si="0"/>
        <v>0</v>
      </c>
      <c r="L29" s="29"/>
      <c r="M29" s="104"/>
      <c r="N29" s="30" t="str">
        <f t="shared" si="5"/>
        <v>-</v>
      </c>
      <c r="O29" s="30" t="str">
        <f t="shared" si="6"/>
        <v>-</v>
      </c>
      <c r="P29" s="31" t="str">
        <f t="shared" si="2"/>
        <v>-</v>
      </c>
      <c r="Q29" s="32" t="str">
        <f t="shared" si="7"/>
        <v>-</v>
      </c>
      <c r="S29" s="32" t="str">
        <f t="shared" si="4"/>
        <v>-</v>
      </c>
    </row>
    <row r="30" spans="1:19" x14ac:dyDescent="0.3">
      <c r="A30" s="134">
        <v>100009106</v>
      </c>
      <c r="B30" s="23">
        <v>200</v>
      </c>
      <c r="C30" s="38">
        <v>33984002005</v>
      </c>
      <c r="D30" s="39" t="s">
        <v>87</v>
      </c>
      <c r="E30" s="26">
        <v>100</v>
      </c>
      <c r="F30" s="27">
        <v>0.23835000000000001</v>
      </c>
      <c r="G30" s="26">
        <v>30</v>
      </c>
      <c r="H30" s="105" t="s">
        <v>852</v>
      </c>
      <c r="I30" s="28">
        <v>9.2608970999999976</v>
      </c>
      <c r="J30" s="26"/>
      <c r="K30" s="135">
        <f t="shared" si="0"/>
        <v>0</v>
      </c>
      <c r="L30" s="29"/>
      <c r="M30" s="104"/>
      <c r="N30" s="30" t="str">
        <f t="shared" si="5"/>
        <v>-</v>
      </c>
      <c r="O30" s="30" t="str">
        <f t="shared" si="6"/>
        <v>-</v>
      </c>
      <c r="P30" s="31" t="str">
        <f t="shared" si="2"/>
        <v>-</v>
      </c>
      <c r="Q30" s="32" t="str">
        <f t="shared" si="7"/>
        <v>-</v>
      </c>
      <c r="S30" s="32" t="str">
        <f t="shared" si="4"/>
        <v>-</v>
      </c>
    </row>
    <row r="31" spans="1:19" x14ac:dyDescent="0.3">
      <c r="A31" s="134">
        <v>100009277</v>
      </c>
      <c r="B31" s="23">
        <v>1121</v>
      </c>
      <c r="C31" s="38">
        <v>33984011212</v>
      </c>
      <c r="D31" s="39" t="s">
        <v>88</v>
      </c>
      <c r="E31" s="26">
        <v>100</v>
      </c>
      <c r="F31" s="27">
        <v>0.22700000000000001</v>
      </c>
      <c r="G31" s="26">
        <v>25</v>
      </c>
      <c r="H31" s="105" t="s">
        <v>852</v>
      </c>
      <c r="I31" s="28">
        <v>10.709880999999999</v>
      </c>
      <c r="J31" s="26"/>
      <c r="K31" s="135">
        <f t="shared" si="0"/>
        <v>0</v>
      </c>
      <c r="L31" s="29"/>
      <c r="M31" s="104"/>
      <c r="N31" s="30" t="str">
        <f t="shared" si="5"/>
        <v>-</v>
      </c>
      <c r="O31" s="30" t="str">
        <f t="shared" si="6"/>
        <v>-</v>
      </c>
      <c r="P31" s="31" t="str">
        <f t="shared" si="2"/>
        <v>-</v>
      </c>
      <c r="Q31" s="32" t="str">
        <f t="shared" si="7"/>
        <v>-</v>
      </c>
      <c r="S31" s="32" t="str">
        <f t="shared" si="4"/>
        <v>-</v>
      </c>
    </row>
    <row r="32" spans="1:19" x14ac:dyDescent="0.3">
      <c r="A32" s="134">
        <v>100009283</v>
      </c>
      <c r="B32" s="23">
        <v>1149</v>
      </c>
      <c r="C32" s="38">
        <v>33984011496</v>
      </c>
      <c r="D32" s="39" t="s">
        <v>90</v>
      </c>
      <c r="E32" s="26">
        <v>50</v>
      </c>
      <c r="F32" s="27">
        <v>0.20429999999999998</v>
      </c>
      <c r="G32" s="26">
        <v>25</v>
      </c>
      <c r="H32" s="105" t="s">
        <v>852</v>
      </c>
      <c r="I32" s="28">
        <v>9.2608970999999976</v>
      </c>
      <c r="J32" s="26"/>
      <c r="K32" s="135">
        <f t="shared" si="0"/>
        <v>0</v>
      </c>
      <c r="L32" s="29"/>
      <c r="M32" s="104"/>
      <c r="N32" s="30" t="str">
        <f t="shared" si="5"/>
        <v>-</v>
      </c>
      <c r="O32" s="30" t="str">
        <f t="shared" si="6"/>
        <v>-</v>
      </c>
      <c r="P32" s="31" t="str">
        <f t="shared" si="2"/>
        <v>-</v>
      </c>
      <c r="Q32" s="32" t="str">
        <f t="shared" si="7"/>
        <v>-</v>
      </c>
      <c r="S32" s="32" t="str">
        <f t="shared" si="4"/>
        <v>-</v>
      </c>
    </row>
    <row r="33" spans="1:19" x14ac:dyDescent="0.3">
      <c r="A33" s="134">
        <v>100009284</v>
      </c>
      <c r="B33" s="23">
        <v>1150</v>
      </c>
      <c r="C33" s="38">
        <v>33984011502</v>
      </c>
      <c r="D33" s="39" t="s">
        <v>90</v>
      </c>
      <c r="E33" s="26">
        <v>100</v>
      </c>
      <c r="F33" s="27">
        <v>0.38590000000000002</v>
      </c>
      <c r="G33" s="26">
        <v>20</v>
      </c>
      <c r="H33" s="105" t="s">
        <v>852</v>
      </c>
      <c r="I33" s="28">
        <v>17.009810999999999</v>
      </c>
      <c r="J33" s="26"/>
      <c r="K33" s="135">
        <f t="shared" si="0"/>
        <v>0</v>
      </c>
      <c r="L33" s="29"/>
      <c r="M33" s="104"/>
      <c r="N33" s="30" t="str">
        <f t="shared" si="5"/>
        <v>-</v>
      </c>
      <c r="O33" s="30" t="str">
        <f t="shared" si="6"/>
        <v>-</v>
      </c>
      <c r="P33" s="31" t="str">
        <f t="shared" si="2"/>
        <v>-</v>
      </c>
      <c r="Q33" s="32" t="str">
        <f t="shared" si="7"/>
        <v>-</v>
      </c>
      <c r="S33" s="32" t="str">
        <f t="shared" si="4"/>
        <v>-</v>
      </c>
    </row>
    <row r="34" spans="1:19" x14ac:dyDescent="0.3">
      <c r="A34" s="134">
        <v>100009252</v>
      </c>
      <c r="B34" s="23">
        <v>1038</v>
      </c>
      <c r="C34" s="38">
        <v>33984010383</v>
      </c>
      <c r="D34" s="45" t="s">
        <v>94</v>
      </c>
      <c r="E34" s="26">
        <v>50</v>
      </c>
      <c r="F34" s="27">
        <v>0.17518430317743058</v>
      </c>
      <c r="G34" s="26">
        <v>36</v>
      </c>
      <c r="H34" s="105" t="s">
        <v>852</v>
      </c>
      <c r="I34" s="28">
        <v>6.5519271999999988</v>
      </c>
      <c r="J34" s="26"/>
      <c r="K34" s="135">
        <f t="shared" si="0"/>
        <v>0</v>
      </c>
      <c r="L34" s="29"/>
      <c r="M34" s="104"/>
      <c r="N34" s="30" t="str">
        <f t="shared" si="5"/>
        <v>-</v>
      </c>
      <c r="O34" s="30" t="str">
        <f t="shared" si="6"/>
        <v>-</v>
      </c>
      <c r="P34" s="31" t="str">
        <f t="shared" si="2"/>
        <v>-</v>
      </c>
      <c r="Q34" s="32" t="str">
        <f t="shared" si="7"/>
        <v>-</v>
      </c>
      <c r="S34" s="32" t="str">
        <f t="shared" si="4"/>
        <v>-</v>
      </c>
    </row>
    <row r="35" spans="1:19" x14ac:dyDescent="0.3">
      <c r="A35" s="134">
        <v>100009253</v>
      </c>
      <c r="B35" s="23">
        <v>1039</v>
      </c>
      <c r="C35" s="38">
        <v>33984010390</v>
      </c>
      <c r="D35" s="45" t="s">
        <v>94</v>
      </c>
      <c r="E35" s="26">
        <v>100</v>
      </c>
      <c r="F35" s="27">
        <v>0.29882369514489127</v>
      </c>
      <c r="G35" s="26">
        <v>23</v>
      </c>
      <c r="H35" s="105" t="s">
        <v>852</v>
      </c>
      <c r="I35" s="28">
        <v>11.339873999999998</v>
      </c>
      <c r="J35" s="26"/>
      <c r="K35" s="135">
        <f t="shared" si="0"/>
        <v>0</v>
      </c>
      <c r="L35" s="29"/>
      <c r="M35" s="104"/>
      <c r="N35" s="30" t="str">
        <f t="shared" si="5"/>
        <v>-</v>
      </c>
      <c r="O35" s="30" t="str">
        <f t="shared" si="6"/>
        <v>-</v>
      </c>
      <c r="P35" s="31" t="str">
        <f t="shared" si="2"/>
        <v>-</v>
      </c>
      <c r="Q35" s="32" t="str">
        <f t="shared" si="7"/>
        <v>-</v>
      </c>
      <c r="S35" s="32" t="str">
        <f t="shared" si="4"/>
        <v>-</v>
      </c>
    </row>
    <row r="36" spans="1:19" x14ac:dyDescent="0.3">
      <c r="A36" s="134">
        <v>100009604</v>
      </c>
      <c r="B36" s="23">
        <v>3260</v>
      </c>
      <c r="C36" s="38">
        <v>33984032606</v>
      </c>
      <c r="D36" s="45" t="s">
        <v>99</v>
      </c>
      <c r="E36" s="26">
        <v>100</v>
      </c>
      <c r="F36" s="27">
        <v>0.2728584901735</v>
      </c>
      <c r="G36" s="26">
        <v>23</v>
      </c>
      <c r="H36" s="105" t="s">
        <v>852</v>
      </c>
      <c r="I36" s="28">
        <v>8.1899089999999983</v>
      </c>
      <c r="J36" s="26"/>
      <c r="K36" s="135">
        <f t="shared" si="0"/>
        <v>0</v>
      </c>
      <c r="L36" s="29"/>
      <c r="M36" s="104"/>
      <c r="N36" s="30" t="str">
        <f t="shared" si="5"/>
        <v>-</v>
      </c>
      <c r="O36" s="30" t="str">
        <f t="shared" si="6"/>
        <v>-</v>
      </c>
      <c r="P36" s="31" t="str">
        <f t="shared" si="2"/>
        <v>-</v>
      </c>
      <c r="Q36" s="32" t="str">
        <f t="shared" si="7"/>
        <v>-</v>
      </c>
      <c r="S36" s="32" t="str">
        <f t="shared" si="4"/>
        <v>-</v>
      </c>
    </row>
    <row r="37" spans="1:19" x14ac:dyDescent="0.3">
      <c r="A37" s="134">
        <v>100009606</v>
      </c>
      <c r="B37" s="23">
        <v>3275</v>
      </c>
      <c r="C37" s="38">
        <v>33984032750</v>
      </c>
      <c r="D37" s="45" t="s">
        <v>100</v>
      </c>
      <c r="E37" s="26">
        <v>90</v>
      </c>
      <c r="F37" s="27">
        <v>0.30645</v>
      </c>
      <c r="G37" s="26">
        <v>23</v>
      </c>
      <c r="H37" s="105" t="s">
        <v>852</v>
      </c>
      <c r="I37" s="28">
        <v>9.2608970999999976</v>
      </c>
      <c r="J37" s="26"/>
      <c r="K37" s="135">
        <f t="shared" si="0"/>
        <v>0</v>
      </c>
      <c r="L37" s="29"/>
      <c r="M37" s="104"/>
      <c r="N37" s="30" t="str">
        <f t="shared" si="5"/>
        <v>-</v>
      </c>
      <c r="O37" s="30" t="str">
        <f t="shared" si="6"/>
        <v>-</v>
      </c>
      <c r="P37" s="31" t="str">
        <f t="shared" si="2"/>
        <v>-</v>
      </c>
      <c r="Q37" s="32" t="str">
        <f t="shared" si="7"/>
        <v>-</v>
      </c>
      <c r="S37" s="32" t="str">
        <f t="shared" si="4"/>
        <v>-</v>
      </c>
    </row>
    <row r="38" spans="1:19" x14ac:dyDescent="0.3">
      <c r="A38" s="134">
        <v>100009608</v>
      </c>
      <c r="B38" s="23">
        <v>3281</v>
      </c>
      <c r="C38" s="38">
        <v>33984032811</v>
      </c>
      <c r="D38" s="45" t="s">
        <v>101</v>
      </c>
      <c r="E38" s="26">
        <v>250</v>
      </c>
      <c r="F38" s="27">
        <v>0.69235000000000002</v>
      </c>
      <c r="G38" s="26">
        <v>12</v>
      </c>
      <c r="H38" s="105" t="s">
        <v>852</v>
      </c>
      <c r="I38" s="28">
        <v>28.349684999999997</v>
      </c>
      <c r="J38" s="26"/>
      <c r="K38" s="135">
        <f t="shared" si="0"/>
        <v>0</v>
      </c>
      <c r="L38" s="29"/>
      <c r="M38" s="104"/>
      <c r="N38" s="30" t="str">
        <f t="shared" si="5"/>
        <v>-</v>
      </c>
      <c r="O38" s="30" t="str">
        <f t="shared" si="6"/>
        <v>-</v>
      </c>
      <c r="P38" s="31" t="str">
        <f t="shared" si="2"/>
        <v>-</v>
      </c>
      <c r="Q38" s="32" t="str">
        <f t="shared" si="7"/>
        <v>-</v>
      </c>
      <c r="S38" s="32" t="str">
        <f t="shared" si="4"/>
        <v>-</v>
      </c>
    </row>
    <row r="39" spans="1:19" x14ac:dyDescent="0.3">
      <c r="A39" s="134">
        <v>100009514</v>
      </c>
      <c r="B39" s="23">
        <v>2319</v>
      </c>
      <c r="C39" s="38">
        <v>33984023192</v>
      </c>
      <c r="D39" s="45" t="s">
        <v>102</v>
      </c>
      <c r="E39" s="26">
        <v>100</v>
      </c>
      <c r="F39" s="27">
        <v>0.37454999999999999</v>
      </c>
      <c r="G39" s="26">
        <v>20</v>
      </c>
      <c r="H39" s="105" t="s">
        <v>852</v>
      </c>
      <c r="I39" s="28">
        <v>18.5847935</v>
      </c>
      <c r="J39" s="26"/>
      <c r="K39" s="135">
        <f t="shared" si="0"/>
        <v>0</v>
      </c>
      <c r="L39" s="29"/>
      <c r="M39" s="104"/>
      <c r="N39" s="30" t="str">
        <f t="shared" si="5"/>
        <v>-</v>
      </c>
      <c r="O39" s="30" t="str">
        <f t="shared" si="6"/>
        <v>-</v>
      </c>
      <c r="P39" s="31" t="str">
        <f t="shared" si="2"/>
        <v>-</v>
      </c>
      <c r="Q39" s="32" t="str">
        <f t="shared" si="7"/>
        <v>-</v>
      </c>
      <c r="S39" s="32" t="str">
        <f t="shared" si="4"/>
        <v>-</v>
      </c>
    </row>
    <row r="40" spans="1:19" x14ac:dyDescent="0.3">
      <c r="A40" s="134">
        <v>100009139</v>
      </c>
      <c r="B40" s="23">
        <v>431</v>
      </c>
      <c r="C40" s="38">
        <v>33984004313</v>
      </c>
      <c r="D40" s="39" t="s">
        <v>111</v>
      </c>
      <c r="E40" s="26">
        <v>120</v>
      </c>
      <c r="F40" s="27">
        <v>0.42910858784832506</v>
      </c>
      <c r="G40" s="26">
        <v>20</v>
      </c>
      <c r="H40" s="105" t="s">
        <v>852</v>
      </c>
      <c r="I40" s="28">
        <v>10.331885199999999</v>
      </c>
      <c r="J40" s="26"/>
      <c r="K40" s="135">
        <f t="shared" si="0"/>
        <v>0</v>
      </c>
      <c r="L40" s="29"/>
      <c r="M40" s="104"/>
      <c r="N40" s="30" t="str">
        <f t="shared" si="5"/>
        <v>-</v>
      </c>
      <c r="O40" s="30" t="str">
        <f t="shared" si="6"/>
        <v>-</v>
      </c>
      <c r="P40" s="31" t="str">
        <f t="shared" si="2"/>
        <v>-</v>
      </c>
      <c r="Q40" s="32" t="str">
        <f t="shared" si="7"/>
        <v>-</v>
      </c>
      <c r="S40" s="32" t="str">
        <f t="shared" si="4"/>
        <v>-</v>
      </c>
    </row>
    <row r="41" spans="1:19" x14ac:dyDescent="0.3">
      <c r="A41" s="134">
        <v>100009820</v>
      </c>
      <c r="B41" s="23">
        <v>35831</v>
      </c>
      <c r="C41" s="38">
        <v>33984358317</v>
      </c>
      <c r="D41" s="45" t="s">
        <v>112</v>
      </c>
      <c r="E41" s="26" t="s">
        <v>274</v>
      </c>
      <c r="F41" s="27">
        <v>0.97609999999999997</v>
      </c>
      <c r="G41" s="26">
        <v>12</v>
      </c>
      <c r="H41" s="105" t="s">
        <v>852</v>
      </c>
      <c r="I41" s="28">
        <v>10.079887999999999</v>
      </c>
      <c r="J41" s="26"/>
      <c r="K41" s="135">
        <f t="shared" si="0"/>
        <v>0</v>
      </c>
      <c r="L41" s="29"/>
      <c r="M41" s="104"/>
      <c r="N41" s="30" t="str">
        <f t="shared" si="5"/>
        <v>-</v>
      </c>
      <c r="O41" s="30" t="str">
        <f t="shared" si="6"/>
        <v>-</v>
      </c>
      <c r="P41" s="31" t="str">
        <f t="shared" si="2"/>
        <v>-</v>
      </c>
      <c r="Q41" s="32" t="str">
        <f t="shared" si="7"/>
        <v>-</v>
      </c>
      <c r="S41" s="32" t="str">
        <f t="shared" si="4"/>
        <v>-</v>
      </c>
    </row>
    <row r="42" spans="1:19" x14ac:dyDescent="0.3">
      <c r="A42" s="134">
        <v>100009821</v>
      </c>
      <c r="B42" s="23">
        <v>35832</v>
      </c>
      <c r="C42" s="38">
        <v>33984358324</v>
      </c>
      <c r="D42" s="45" t="s">
        <v>113</v>
      </c>
      <c r="E42" s="26" t="s">
        <v>274</v>
      </c>
      <c r="F42" s="27">
        <v>0.9841782648710834</v>
      </c>
      <c r="G42" s="26">
        <v>12</v>
      </c>
      <c r="H42" s="105" t="s">
        <v>852</v>
      </c>
      <c r="I42" s="28">
        <v>10.079887999999999</v>
      </c>
      <c r="J42" s="26"/>
      <c r="K42" s="135">
        <f t="shared" si="0"/>
        <v>0</v>
      </c>
      <c r="L42" s="29"/>
      <c r="M42" s="104"/>
      <c r="N42" s="30" t="str">
        <f t="shared" si="5"/>
        <v>-</v>
      </c>
      <c r="O42" s="30" t="str">
        <f t="shared" si="6"/>
        <v>-</v>
      </c>
      <c r="P42" s="31" t="str">
        <f t="shared" si="2"/>
        <v>-</v>
      </c>
      <c r="Q42" s="32" t="str">
        <f t="shared" si="7"/>
        <v>-</v>
      </c>
      <c r="S42" s="32" t="str">
        <f t="shared" si="4"/>
        <v>-</v>
      </c>
    </row>
    <row r="43" spans="1:19" x14ac:dyDescent="0.3">
      <c r="A43" s="134">
        <v>100009822</v>
      </c>
      <c r="B43" s="23">
        <v>35833</v>
      </c>
      <c r="C43" s="38">
        <v>33984358331</v>
      </c>
      <c r="D43" s="45" t="s">
        <v>114</v>
      </c>
      <c r="E43" s="26" t="s">
        <v>274</v>
      </c>
      <c r="F43" s="27">
        <v>0.99018458383716668</v>
      </c>
      <c r="G43" s="26">
        <v>12</v>
      </c>
      <c r="H43" s="105" t="s">
        <v>852</v>
      </c>
      <c r="I43" s="28">
        <v>10.079887999999999</v>
      </c>
      <c r="J43" s="26"/>
      <c r="K43" s="135">
        <f t="shared" si="0"/>
        <v>0</v>
      </c>
      <c r="L43" s="29"/>
      <c r="M43" s="104"/>
      <c r="N43" s="30" t="str">
        <f t="shared" si="5"/>
        <v>-</v>
      </c>
      <c r="O43" s="30" t="str">
        <f t="shared" si="6"/>
        <v>-</v>
      </c>
      <c r="P43" s="31" t="str">
        <f t="shared" si="2"/>
        <v>-</v>
      </c>
      <c r="Q43" s="32" t="str">
        <f t="shared" si="7"/>
        <v>-</v>
      </c>
      <c r="S43" s="32" t="str">
        <f t="shared" si="4"/>
        <v>-</v>
      </c>
    </row>
    <row r="44" spans="1:19" x14ac:dyDescent="0.3">
      <c r="A44" s="134">
        <v>100009149</v>
      </c>
      <c r="B44" s="23">
        <v>509</v>
      </c>
      <c r="C44" s="38">
        <v>33984005099</v>
      </c>
      <c r="D44" s="39" t="s">
        <v>115</v>
      </c>
      <c r="E44" s="26">
        <v>100</v>
      </c>
      <c r="F44" s="27">
        <v>0.37380941639847826</v>
      </c>
      <c r="G44" s="26">
        <v>23</v>
      </c>
      <c r="H44" s="105" t="s">
        <v>852</v>
      </c>
      <c r="I44" s="28">
        <v>9.9538893999999996</v>
      </c>
      <c r="J44" s="26"/>
      <c r="K44" s="135">
        <f t="shared" si="0"/>
        <v>0</v>
      </c>
      <c r="L44" s="29"/>
      <c r="M44" s="104"/>
      <c r="N44" s="30" t="str">
        <f t="shared" si="5"/>
        <v>-</v>
      </c>
      <c r="O44" s="30" t="str">
        <f t="shared" si="6"/>
        <v>-</v>
      </c>
      <c r="P44" s="31" t="str">
        <f t="shared" si="2"/>
        <v>-</v>
      </c>
      <c r="Q44" s="32" t="str">
        <f t="shared" si="7"/>
        <v>-</v>
      </c>
      <c r="S44" s="32" t="str">
        <f t="shared" si="4"/>
        <v>-</v>
      </c>
    </row>
    <row r="45" spans="1:19" x14ac:dyDescent="0.3">
      <c r="A45" s="134">
        <v>100009153</v>
      </c>
      <c r="B45" s="23">
        <v>518</v>
      </c>
      <c r="C45" s="38">
        <v>33984005181</v>
      </c>
      <c r="D45" s="39" t="s">
        <v>116</v>
      </c>
      <c r="E45" s="26">
        <v>150</v>
      </c>
      <c r="F45" s="27">
        <v>0.51075000000000004</v>
      </c>
      <c r="G45" s="26">
        <v>20</v>
      </c>
      <c r="H45" s="105" t="s">
        <v>852</v>
      </c>
      <c r="I45" s="28">
        <v>11.969866999999997</v>
      </c>
      <c r="J45" s="26"/>
      <c r="K45" s="135">
        <f t="shared" si="0"/>
        <v>0</v>
      </c>
      <c r="L45" s="29"/>
      <c r="M45" s="104"/>
      <c r="N45" s="30" t="str">
        <f t="shared" si="5"/>
        <v>-</v>
      </c>
      <c r="O45" s="30" t="str">
        <f t="shared" si="6"/>
        <v>-</v>
      </c>
      <c r="P45" s="31" t="str">
        <f t="shared" si="2"/>
        <v>-</v>
      </c>
      <c r="Q45" s="32" t="str">
        <f t="shared" si="7"/>
        <v>-</v>
      </c>
      <c r="S45" s="32" t="str">
        <f t="shared" si="4"/>
        <v>-</v>
      </c>
    </row>
    <row r="46" spans="1:19" x14ac:dyDescent="0.3">
      <c r="A46" s="134">
        <v>100009155</v>
      </c>
      <c r="B46" s="23">
        <v>520</v>
      </c>
      <c r="C46" s="38">
        <v>33984005204</v>
      </c>
      <c r="D46" s="39" t="s">
        <v>117</v>
      </c>
      <c r="E46" s="26">
        <v>100</v>
      </c>
      <c r="F46" s="27">
        <v>0.37716698600684784</v>
      </c>
      <c r="G46" s="26">
        <v>23</v>
      </c>
      <c r="H46" s="105" t="s">
        <v>852</v>
      </c>
      <c r="I46" s="28">
        <v>8.1899089999999983</v>
      </c>
      <c r="J46" s="26"/>
      <c r="K46" s="135">
        <f t="shared" si="0"/>
        <v>0</v>
      </c>
      <c r="L46" s="29"/>
      <c r="M46" s="104"/>
      <c r="N46" s="30" t="str">
        <f t="shared" si="5"/>
        <v>-</v>
      </c>
      <c r="O46" s="30" t="str">
        <f t="shared" si="6"/>
        <v>-</v>
      </c>
      <c r="P46" s="31" t="str">
        <f t="shared" si="2"/>
        <v>-</v>
      </c>
      <c r="Q46" s="32" t="str">
        <f t="shared" si="7"/>
        <v>-</v>
      </c>
      <c r="S46" s="32" t="str">
        <f t="shared" si="4"/>
        <v>-</v>
      </c>
    </row>
    <row r="47" spans="1:19" x14ac:dyDescent="0.3">
      <c r="A47" s="134">
        <v>100009190</v>
      </c>
      <c r="B47" s="23">
        <v>871</v>
      </c>
      <c r="C47" s="38">
        <v>33984008717</v>
      </c>
      <c r="D47" s="39" t="s">
        <v>118</v>
      </c>
      <c r="E47" s="26">
        <v>60</v>
      </c>
      <c r="F47" s="27">
        <v>0.18160000000000001</v>
      </c>
      <c r="G47" s="26">
        <v>25</v>
      </c>
      <c r="H47" s="105" t="s">
        <v>852</v>
      </c>
      <c r="I47" s="28">
        <v>6.1739313999999998</v>
      </c>
      <c r="J47" s="26"/>
      <c r="K47" s="135">
        <f t="shared" si="0"/>
        <v>0</v>
      </c>
      <c r="L47" s="29"/>
      <c r="M47" s="104"/>
      <c r="N47" s="30" t="str">
        <f t="shared" si="5"/>
        <v>-</v>
      </c>
      <c r="O47" s="30" t="str">
        <f t="shared" si="6"/>
        <v>-</v>
      </c>
      <c r="P47" s="31" t="str">
        <f t="shared" si="2"/>
        <v>-</v>
      </c>
      <c r="Q47" s="32" t="str">
        <f t="shared" si="7"/>
        <v>-</v>
      </c>
      <c r="S47" s="32" t="str">
        <f t="shared" si="4"/>
        <v>-</v>
      </c>
    </row>
    <row r="48" spans="1:19" x14ac:dyDescent="0.3">
      <c r="A48" s="134">
        <v>100009169</v>
      </c>
      <c r="B48" s="23">
        <v>640</v>
      </c>
      <c r="C48" s="38">
        <v>33984006409</v>
      </c>
      <c r="D48" s="39" t="s">
        <v>120</v>
      </c>
      <c r="E48" s="26">
        <v>100</v>
      </c>
      <c r="F48" s="27">
        <v>0.15890000000000001</v>
      </c>
      <c r="G48" s="26">
        <v>42</v>
      </c>
      <c r="H48" s="105" t="s">
        <v>852</v>
      </c>
      <c r="I48" s="28">
        <v>6.9299229999999987</v>
      </c>
      <c r="J48" s="26"/>
      <c r="K48" s="135">
        <f t="shared" si="0"/>
        <v>0</v>
      </c>
      <c r="L48" s="29"/>
      <c r="M48" s="104"/>
      <c r="N48" s="30" t="str">
        <f t="shared" si="5"/>
        <v>-</v>
      </c>
      <c r="O48" s="30" t="str">
        <f t="shared" si="6"/>
        <v>-</v>
      </c>
      <c r="P48" s="31" t="str">
        <f t="shared" si="2"/>
        <v>-</v>
      </c>
      <c r="Q48" s="32" t="str">
        <f t="shared" si="7"/>
        <v>-</v>
      </c>
      <c r="S48" s="32" t="str">
        <f t="shared" si="4"/>
        <v>-</v>
      </c>
    </row>
    <row r="49" spans="1:19" x14ac:dyDescent="0.3">
      <c r="A49" s="134">
        <v>100009170</v>
      </c>
      <c r="B49" s="23">
        <v>680</v>
      </c>
      <c r="C49" s="38">
        <v>33984006805</v>
      </c>
      <c r="D49" s="39" t="s">
        <v>121</v>
      </c>
      <c r="E49" s="26">
        <v>100</v>
      </c>
      <c r="F49" s="27">
        <v>0.18160000000000001</v>
      </c>
      <c r="G49" s="26">
        <v>36</v>
      </c>
      <c r="H49" s="105" t="s">
        <v>852</v>
      </c>
      <c r="I49" s="28">
        <v>7.5599159999999994</v>
      </c>
      <c r="J49" s="26"/>
      <c r="K49" s="135">
        <f t="shared" si="0"/>
        <v>0</v>
      </c>
      <c r="L49" s="29"/>
      <c r="M49" s="104"/>
      <c r="N49" s="30" t="str">
        <f t="shared" si="5"/>
        <v>-</v>
      </c>
      <c r="O49" s="30" t="str">
        <f t="shared" si="6"/>
        <v>-</v>
      </c>
      <c r="P49" s="31" t="str">
        <f t="shared" si="2"/>
        <v>-</v>
      </c>
      <c r="Q49" s="32" t="str">
        <f t="shared" si="7"/>
        <v>-</v>
      </c>
      <c r="S49" s="32" t="str">
        <f t="shared" si="4"/>
        <v>-</v>
      </c>
    </row>
    <row r="50" spans="1:19" x14ac:dyDescent="0.3">
      <c r="A50" s="134">
        <v>100009318</v>
      </c>
      <c r="B50" s="23">
        <v>1249</v>
      </c>
      <c r="C50" s="38">
        <v>33984012493</v>
      </c>
      <c r="D50" s="39" t="s">
        <v>122</v>
      </c>
      <c r="E50" s="26">
        <v>90</v>
      </c>
      <c r="F50" s="27">
        <v>0.21565000000000001</v>
      </c>
      <c r="G50" s="26">
        <v>25</v>
      </c>
      <c r="H50" s="105" t="s">
        <v>852</v>
      </c>
      <c r="I50" s="28">
        <v>8.5679047999999991</v>
      </c>
      <c r="J50" s="26"/>
      <c r="K50" s="135">
        <f t="shared" si="0"/>
        <v>0</v>
      </c>
      <c r="L50" s="29"/>
      <c r="M50" s="104"/>
      <c r="N50" s="30" t="str">
        <f t="shared" si="5"/>
        <v>-</v>
      </c>
      <c r="O50" s="30" t="str">
        <f t="shared" si="6"/>
        <v>-</v>
      </c>
      <c r="P50" s="31" t="str">
        <f t="shared" si="2"/>
        <v>-</v>
      </c>
      <c r="Q50" s="32" t="str">
        <f t="shared" si="7"/>
        <v>-</v>
      </c>
      <c r="S50" s="32" t="str">
        <f t="shared" si="4"/>
        <v>-</v>
      </c>
    </row>
    <row r="51" spans="1:19" x14ac:dyDescent="0.3">
      <c r="A51" s="134">
        <v>100009370</v>
      </c>
      <c r="B51" s="23">
        <v>1500</v>
      </c>
      <c r="C51" s="38">
        <v>33984015005</v>
      </c>
      <c r="D51" s="39" t="s">
        <v>124</v>
      </c>
      <c r="E51" s="26">
        <v>250</v>
      </c>
      <c r="F51" s="27">
        <v>0.26420939086234002</v>
      </c>
      <c r="G51" s="26">
        <v>25</v>
      </c>
      <c r="H51" s="105" t="s">
        <v>852</v>
      </c>
      <c r="I51" s="28">
        <v>11.339873999999998</v>
      </c>
      <c r="J51" s="26"/>
      <c r="K51" s="135">
        <f t="shared" si="0"/>
        <v>0</v>
      </c>
      <c r="L51" s="29"/>
      <c r="M51" s="104"/>
      <c r="N51" s="30" t="str">
        <f t="shared" si="5"/>
        <v>-</v>
      </c>
      <c r="O51" s="30" t="str">
        <f t="shared" si="6"/>
        <v>-</v>
      </c>
      <c r="P51" s="31" t="str">
        <f t="shared" si="2"/>
        <v>-</v>
      </c>
      <c r="Q51" s="32" t="str">
        <f t="shared" si="7"/>
        <v>-</v>
      </c>
      <c r="S51" s="32" t="str">
        <f t="shared" si="4"/>
        <v>-</v>
      </c>
    </row>
    <row r="52" spans="1:19" x14ac:dyDescent="0.3">
      <c r="A52" s="136">
        <v>100009171</v>
      </c>
      <c r="B52" s="47">
        <v>700</v>
      </c>
      <c r="C52" s="48">
        <v>33984007000</v>
      </c>
      <c r="D52" s="49" t="s">
        <v>125</v>
      </c>
      <c r="E52" s="50">
        <v>100</v>
      </c>
      <c r="F52" s="51">
        <v>0.32031214063845648</v>
      </c>
      <c r="G52" s="50">
        <v>23</v>
      </c>
      <c r="H52" s="105" t="s">
        <v>852</v>
      </c>
      <c r="I52" s="52">
        <v>10.331885199999999</v>
      </c>
      <c r="J52" s="50"/>
      <c r="K52" s="137">
        <f t="shared" si="0"/>
        <v>0</v>
      </c>
      <c r="L52" s="29"/>
      <c r="M52" s="104"/>
      <c r="N52" s="30" t="str">
        <f t="shared" si="5"/>
        <v>-</v>
      </c>
      <c r="O52" s="30" t="str">
        <f t="shared" si="6"/>
        <v>-</v>
      </c>
      <c r="P52" s="31" t="str">
        <f t="shared" si="2"/>
        <v>-</v>
      </c>
      <c r="Q52" s="32" t="str">
        <f t="shared" si="7"/>
        <v>-</v>
      </c>
      <c r="S52" s="32" t="str">
        <f t="shared" si="4"/>
        <v>-</v>
      </c>
    </row>
    <row r="53" spans="1:19" x14ac:dyDescent="0.3">
      <c r="A53" s="134">
        <v>100009398</v>
      </c>
      <c r="B53" s="23">
        <v>1720</v>
      </c>
      <c r="C53" s="38">
        <v>33984017207</v>
      </c>
      <c r="D53" s="39" t="s">
        <v>126</v>
      </c>
      <c r="E53" s="26">
        <v>100</v>
      </c>
      <c r="F53" s="27">
        <v>0.18160000000000001</v>
      </c>
      <c r="G53" s="26">
        <v>36</v>
      </c>
      <c r="H53" s="105" t="s">
        <v>852</v>
      </c>
      <c r="I53" s="28">
        <v>6.9299229999999987</v>
      </c>
      <c r="J53" s="26"/>
      <c r="K53" s="135">
        <f t="shared" si="0"/>
        <v>0</v>
      </c>
      <c r="L53" s="29"/>
      <c r="M53" s="104"/>
      <c r="N53" s="30" t="str">
        <f t="shared" si="5"/>
        <v>-</v>
      </c>
      <c r="O53" s="30" t="str">
        <f t="shared" si="6"/>
        <v>-</v>
      </c>
      <c r="P53" s="31" t="str">
        <f t="shared" si="2"/>
        <v>-</v>
      </c>
      <c r="Q53" s="32" t="str">
        <f t="shared" si="7"/>
        <v>-</v>
      </c>
      <c r="S53" s="32" t="str">
        <f t="shared" si="4"/>
        <v>-</v>
      </c>
    </row>
    <row r="54" spans="1:19" x14ac:dyDescent="0.3">
      <c r="A54" s="134">
        <v>100009399</v>
      </c>
      <c r="B54" s="23">
        <v>1721</v>
      </c>
      <c r="C54" s="38">
        <v>33984017214</v>
      </c>
      <c r="D54" s="39" t="s">
        <v>126</v>
      </c>
      <c r="E54" s="26">
        <v>250</v>
      </c>
      <c r="F54" s="27">
        <v>0.32915</v>
      </c>
      <c r="G54" s="26">
        <v>23</v>
      </c>
      <c r="H54" s="105" t="s">
        <v>852</v>
      </c>
      <c r="I54" s="28">
        <v>13.040855099999998</v>
      </c>
      <c r="J54" s="26"/>
      <c r="K54" s="135">
        <f t="shared" si="0"/>
        <v>0</v>
      </c>
      <c r="L54" s="29"/>
      <c r="M54" s="104"/>
      <c r="N54" s="30" t="str">
        <f t="shared" si="5"/>
        <v>-</v>
      </c>
      <c r="O54" s="30" t="str">
        <f t="shared" si="6"/>
        <v>-</v>
      </c>
      <c r="P54" s="31" t="str">
        <f t="shared" si="2"/>
        <v>-</v>
      </c>
      <c r="Q54" s="32" t="str">
        <f t="shared" si="7"/>
        <v>-</v>
      </c>
      <c r="S54" s="32" t="str">
        <f t="shared" si="4"/>
        <v>-</v>
      </c>
    </row>
    <row r="55" spans="1:19" x14ac:dyDescent="0.3">
      <c r="A55" s="136">
        <v>100009396</v>
      </c>
      <c r="B55" s="47">
        <v>1711</v>
      </c>
      <c r="C55" s="48">
        <v>33984017115</v>
      </c>
      <c r="D55" s="49" t="s">
        <v>127</v>
      </c>
      <c r="E55" s="50">
        <v>120</v>
      </c>
      <c r="F55" s="51">
        <v>0.5675</v>
      </c>
      <c r="G55" s="50">
        <v>10</v>
      </c>
      <c r="H55" s="105" t="s">
        <v>852</v>
      </c>
      <c r="I55" s="52">
        <v>12.3478628</v>
      </c>
      <c r="J55" s="50"/>
      <c r="K55" s="137">
        <f t="shared" si="0"/>
        <v>0</v>
      </c>
      <c r="L55" s="29"/>
      <c r="M55" s="104"/>
      <c r="N55" s="30" t="str">
        <f t="shared" si="5"/>
        <v>-</v>
      </c>
      <c r="O55" s="30" t="str">
        <f t="shared" si="6"/>
        <v>-</v>
      </c>
      <c r="P55" s="31" t="str">
        <f t="shared" si="2"/>
        <v>-</v>
      </c>
      <c r="Q55" s="32" t="str">
        <f t="shared" si="7"/>
        <v>-</v>
      </c>
      <c r="S55" s="32" t="str">
        <f t="shared" si="4"/>
        <v>-</v>
      </c>
    </row>
    <row r="56" spans="1:19" x14ac:dyDescent="0.3">
      <c r="A56" s="134">
        <v>100009543</v>
      </c>
      <c r="B56" s="23">
        <v>2551</v>
      </c>
      <c r="C56" s="38">
        <v>33984025516</v>
      </c>
      <c r="D56" s="39" t="s">
        <v>132</v>
      </c>
      <c r="E56" s="26">
        <v>100</v>
      </c>
      <c r="F56" s="27">
        <v>0.15890000000000001</v>
      </c>
      <c r="G56" s="26">
        <v>42</v>
      </c>
      <c r="H56" s="105" t="s">
        <v>852</v>
      </c>
      <c r="I56" s="28">
        <v>6.047932799999999</v>
      </c>
      <c r="J56" s="26"/>
      <c r="K56" s="135">
        <f t="shared" si="0"/>
        <v>0</v>
      </c>
      <c r="L56" s="29"/>
      <c r="M56" s="104"/>
      <c r="N56" s="30" t="str">
        <f t="shared" si="5"/>
        <v>-</v>
      </c>
      <c r="O56" s="30" t="str">
        <f t="shared" si="6"/>
        <v>-</v>
      </c>
      <c r="P56" s="31" t="str">
        <f t="shared" si="2"/>
        <v>-</v>
      </c>
      <c r="Q56" s="32" t="str">
        <f t="shared" si="7"/>
        <v>-</v>
      </c>
      <c r="S56" s="32" t="str">
        <f t="shared" si="4"/>
        <v>-</v>
      </c>
    </row>
    <row r="57" spans="1:19" x14ac:dyDescent="0.3">
      <c r="A57" s="134">
        <v>100009544</v>
      </c>
      <c r="B57" s="23">
        <v>2557</v>
      </c>
      <c r="C57" s="38">
        <v>33984025578</v>
      </c>
      <c r="D57" s="39" t="s">
        <v>133</v>
      </c>
      <c r="E57" s="26">
        <v>100</v>
      </c>
      <c r="F57" s="27">
        <v>0.18490881959870833</v>
      </c>
      <c r="G57" s="26">
        <v>36</v>
      </c>
      <c r="H57" s="105" t="s">
        <v>852</v>
      </c>
      <c r="I57" s="28">
        <v>8.9459005999999981</v>
      </c>
      <c r="J57" s="26"/>
      <c r="K57" s="135">
        <f t="shared" si="0"/>
        <v>0</v>
      </c>
      <c r="L57" s="29"/>
      <c r="M57" s="104"/>
      <c r="N57" s="30" t="str">
        <f t="shared" si="5"/>
        <v>-</v>
      </c>
      <c r="O57" s="30" t="str">
        <f t="shared" si="6"/>
        <v>-</v>
      </c>
      <c r="P57" s="31" t="str">
        <f t="shared" si="2"/>
        <v>-</v>
      </c>
      <c r="Q57" s="32" t="str">
        <f t="shared" si="7"/>
        <v>-</v>
      </c>
      <c r="S57" s="32" t="str">
        <f t="shared" si="4"/>
        <v>-</v>
      </c>
    </row>
    <row r="58" spans="1:19" x14ac:dyDescent="0.3">
      <c r="A58" s="134">
        <v>100009545</v>
      </c>
      <c r="B58" s="23">
        <v>2558</v>
      </c>
      <c r="C58" s="38">
        <v>33984025585</v>
      </c>
      <c r="D58" s="39" t="s">
        <v>133</v>
      </c>
      <c r="E58" s="26">
        <v>250</v>
      </c>
      <c r="F58" s="27">
        <v>0.32915</v>
      </c>
      <c r="G58" s="26">
        <v>23</v>
      </c>
      <c r="H58" s="105" t="s">
        <v>852</v>
      </c>
      <c r="I58" s="28">
        <v>19.781780199999996</v>
      </c>
      <c r="J58" s="26"/>
      <c r="K58" s="135">
        <f t="shared" si="0"/>
        <v>0</v>
      </c>
      <c r="L58" s="29"/>
      <c r="M58" s="104"/>
      <c r="N58" s="30" t="str">
        <f t="shared" si="5"/>
        <v>-</v>
      </c>
      <c r="O58" s="30" t="str">
        <f t="shared" si="6"/>
        <v>-</v>
      </c>
      <c r="P58" s="31" t="str">
        <f t="shared" si="2"/>
        <v>-</v>
      </c>
      <c r="Q58" s="32" t="str">
        <f t="shared" si="7"/>
        <v>-</v>
      </c>
      <c r="S58" s="32" t="str">
        <f t="shared" si="4"/>
        <v>-</v>
      </c>
    </row>
    <row r="59" spans="1:19" x14ac:dyDescent="0.3">
      <c r="A59" s="134">
        <v>100009179</v>
      </c>
      <c r="B59" s="23">
        <v>800</v>
      </c>
      <c r="C59" s="38">
        <v>33984008007</v>
      </c>
      <c r="D59" s="39" t="s">
        <v>135</v>
      </c>
      <c r="E59" s="26">
        <v>100</v>
      </c>
      <c r="F59" s="27">
        <v>0.18160000000000001</v>
      </c>
      <c r="G59" s="26">
        <v>36</v>
      </c>
      <c r="H59" s="105" t="s">
        <v>852</v>
      </c>
      <c r="I59" s="28">
        <v>7.5599159999999994</v>
      </c>
      <c r="J59" s="26"/>
      <c r="K59" s="135">
        <f t="shared" si="0"/>
        <v>0</v>
      </c>
      <c r="L59" s="29"/>
      <c r="M59" s="104"/>
      <c r="N59" s="30" t="str">
        <f t="shared" si="5"/>
        <v>-</v>
      </c>
      <c r="O59" s="30" t="str">
        <f t="shared" si="6"/>
        <v>-</v>
      </c>
      <c r="P59" s="31" t="str">
        <f t="shared" si="2"/>
        <v>-</v>
      </c>
      <c r="Q59" s="32" t="str">
        <f t="shared" si="7"/>
        <v>-</v>
      </c>
      <c r="S59" s="32" t="str">
        <f t="shared" si="4"/>
        <v>-</v>
      </c>
    </row>
    <row r="60" spans="1:19" x14ac:dyDescent="0.3">
      <c r="A60" s="134">
        <v>100009657</v>
      </c>
      <c r="B60" s="23">
        <v>3720</v>
      </c>
      <c r="C60" s="38">
        <v>33984037205</v>
      </c>
      <c r="D60" s="39" t="s">
        <v>136</v>
      </c>
      <c r="E60" s="26">
        <v>100</v>
      </c>
      <c r="F60" s="27">
        <v>0.18160000000000001</v>
      </c>
      <c r="G60" s="26">
        <v>36</v>
      </c>
      <c r="H60" s="105" t="s">
        <v>852</v>
      </c>
      <c r="I60" s="28">
        <v>6.9299229999999987</v>
      </c>
      <c r="J60" s="26"/>
      <c r="K60" s="135">
        <f t="shared" si="0"/>
        <v>0</v>
      </c>
      <c r="L60" s="29"/>
      <c r="M60" s="104"/>
      <c r="N60" s="30" t="str">
        <f t="shared" si="5"/>
        <v>-</v>
      </c>
      <c r="O60" s="30" t="str">
        <f t="shared" si="6"/>
        <v>-</v>
      </c>
      <c r="P60" s="31" t="str">
        <f t="shared" si="2"/>
        <v>-</v>
      </c>
      <c r="Q60" s="32" t="str">
        <f t="shared" si="7"/>
        <v>-</v>
      </c>
      <c r="S60" s="32" t="str">
        <f t="shared" si="4"/>
        <v>-</v>
      </c>
    </row>
    <row r="61" spans="1:19" x14ac:dyDescent="0.3">
      <c r="A61" s="134">
        <v>100009652</v>
      </c>
      <c r="B61" s="23">
        <v>3670</v>
      </c>
      <c r="C61" s="38">
        <v>33984036703</v>
      </c>
      <c r="D61" s="39" t="s">
        <v>137</v>
      </c>
      <c r="E61" s="26">
        <v>100</v>
      </c>
      <c r="F61" s="27">
        <v>0.20429999999999998</v>
      </c>
      <c r="G61" s="26">
        <v>30</v>
      </c>
      <c r="H61" s="105" t="s">
        <v>852</v>
      </c>
      <c r="I61" s="28">
        <v>8.1899089999999983</v>
      </c>
      <c r="J61" s="26"/>
      <c r="K61" s="135">
        <f t="shared" si="0"/>
        <v>0</v>
      </c>
      <c r="L61" s="29"/>
      <c r="M61" s="104"/>
      <c r="N61" s="30" t="str">
        <f t="shared" si="5"/>
        <v>-</v>
      </c>
      <c r="O61" s="30" t="str">
        <f t="shared" si="6"/>
        <v>-</v>
      </c>
      <c r="P61" s="31" t="str">
        <f t="shared" si="2"/>
        <v>-</v>
      </c>
      <c r="Q61" s="32" t="str">
        <f t="shared" si="7"/>
        <v>-</v>
      </c>
      <c r="S61" s="32" t="str">
        <f t="shared" si="4"/>
        <v>-</v>
      </c>
    </row>
    <row r="62" spans="1:19" x14ac:dyDescent="0.3">
      <c r="A62" s="134">
        <v>100009658</v>
      </c>
      <c r="B62" s="23">
        <v>3725</v>
      </c>
      <c r="C62" s="38">
        <v>33984037250</v>
      </c>
      <c r="D62" s="39" t="s">
        <v>138</v>
      </c>
      <c r="E62" s="26">
        <v>100</v>
      </c>
      <c r="F62" s="27">
        <v>0.14096462879583335</v>
      </c>
      <c r="G62" s="26">
        <v>42</v>
      </c>
      <c r="H62" s="105" t="s">
        <v>852</v>
      </c>
      <c r="I62" s="28">
        <v>7.5599159999999994</v>
      </c>
      <c r="J62" s="26"/>
      <c r="K62" s="135">
        <f t="shared" si="0"/>
        <v>0</v>
      </c>
      <c r="L62" s="29"/>
      <c r="M62" s="104"/>
      <c r="N62" s="30" t="str">
        <f t="shared" si="5"/>
        <v>-</v>
      </c>
      <c r="O62" s="30" t="str">
        <f t="shared" si="6"/>
        <v>-</v>
      </c>
      <c r="P62" s="31" t="str">
        <f t="shared" si="2"/>
        <v>-</v>
      </c>
      <c r="Q62" s="32" t="str">
        <f t="shared" si="7"/>
        <v>-</v>
      </c>
      <c r="S62" s="32" t="str">
        <f t="shared" si="4"/>
        <v>-</v>
      </c>
    </row>
    <row r="63" spans="1:19" x14ac:dyDescent="0.3">
      <c r="A63" s="134">
        <v>100009243</v>
      </c>
      <c r="B63" s="23">
        <v>1016</v>
      </c>
      <c r="C63" s="38">
        <v>33984010161</v>
      </c>
      <c r="D63" s="45" t="s">
        <v>147</v>
      </c>
      <c r="E63" s="26">
        <v>120</v>
      </c>
      <c r="F63" s="27">
        <v>0.47670000000000001</v>
      </c>
      <c r="G63" s="26">
        <v>20</v>
      </c>
      <c r="H63" s="105" t="s">
        <v>852</v>
      </c>
      <c r="I63" s="28">
        <v>12.221864199999997</v>
      </c>
      <c r="J63" s="26"/>
      <c r="K63" s="135">
        <f t="shared" si="0"/>
        <v>0</v>
      </c>
      <c r="L63" s="29"/>
      <c r="M63" s="104"/>
      <c r="N63" s="30" t="str">
        <f t="shared" si="5"/>
        <v>-</v>
      </c>
      <c r="O63" s="30" t="str">
        <f t="shared" ref="O63:O123" si="8">IFERROR(IF(N63&gt;0,I63+N63,"-"),"-")</f>
        <v>-</v>
      </c>
      <c r="P63" s="31" t="str">
        <f t="shared" si="2"/>
        <v>-</v>
      </c>
      <c r="Q63" s="32" t="str">
        <f t="shared" si="7"/>
        <v>-</v>
      </c>
      <c r="S63" s="32" t="str">
        <f t="shared" ref="S63:S122" si="9">IFERROR(IF(Q63+K63=0, "-", IF(Q63&gt;0, Q63+K63, "-")), "-")</f>
        <v>-</v>
      </c>
    </row>
    <row r="64" spans="1:19" x14ac:dyDescent="0.3">
      <c r="A64" s="134">
        <v>100009499</v>
      </c>
      <c r="B64" s="23">
        <v>2272</v>
      </c>
      <c r="C64" s="38">
        <v>33984022720</v>
      </c>
      <c r="D64" s="39" t="s">
        <v>150</v>
      </c>
      <c r="E64" s="26">
        <v>120</v>
      </c>
      <c r="F64" s="27">
        <v>0.40859999999999996</v>
      </c>
      <c r="G64" s="26">
        <v>23</v>
      </c>
      <c r="H64" s="105" t="s">
        <v>852</v>
      </c>
      <c r="I64" s="28">
        <v>11.024877499999999</v>
      </c>
      <c r="J64" s="26"/>
      <c r="K64" s="135">
        <f t="shared" si="0"/>
        <v>0</v>
      </c>
      <c r="L64" s="29"/>
      <c r="M64" s="104"/>
      <c r="N64" s="30" t="str">
        <f t="shared" si="5"/>
        <v>-</v>
      </c>
      <c r="O64" s="30" t="str">
        <f t="shared" si="8"/>
        <v>-</v>
      </c>
      <c r="P64" s="31" t="str">
        <f t="shared" si="2"/>
        <v>-</v>
      </c>
      <c r="Q64" s="32" t="str">
        <f t="shared" si="7"/>
        <v>-</v>
      </c>
      <c r="S64" s="32" t="str">
        <f t="shared" si="9"/>
        <v>-</v>
      </c>
    </row>
    <row r="65" spans="1:19" x14ac:dyDescent="0.3">
      <c r="A65" s="134">
        <v>100009685</v>
      </c>
      <c r="B65" s="23">
        <v>4104</v>
      </c>
      <c r="C65" s="38">
        <v>33984041042</v>
      </c>
      <c r="D65" s="39" t="s">
        <v>154</v>
      </c>
      <c r="E65" s="26">
        <v>60</v>
      </c>
      <c r="F65" s="27">
        <v>0.17024999999999998</v>
      </c>
      <c r="G65" s="26">
        <v>30</v>
      </c>
      <c r="H65" s="105" t="s">
        <v>852</v>
      </c>
      <c r="I65" s="28">
        <v>12.221864199999997</v>
      </c>
      <c r="J65" s="26"/>
      <c r="K65" s="135">
        <f t="shared" si="0"/>
        <v>0</v>
      </c>
      <c r="L65" s="29"/>
      <c r="M65" s="104"/>
      <c r="N65" s="30" t="str">
        <f t="shared" si="5"/>
        <v>-</v>
      </c>
      <c r="O65" s="30" t="str">
        <f t="shared" si="8"/>
        <v>-</v>
      </c>
      <c r="P65" s="31" t="str">
        <f t="shared" si="2"/>
        <v>-</v>
      </c>
      <c r="Q65" s="32" t="str">
        <f t="shared" si="7"/>
        <v>-</v>
      </c>
      <c r="S65" s="32" t="str">
        <f t="shared" si="9"/>
        <v>-</v>
      </c>
    </row>
    <row r="66" spans="1:19" x14ac:dyDescent="0.3">
      <c r="A66" s="134">
        <v>100092038</v>
      </c>
      <c r="B66" s="23">
        <v>59597</v>
      </c>
      <c r="C66" s="54">
        <v>33984595972</v>
      </c>
      <c r="D66" s="39" t="s">
        <v>160</v>
      </c>
      <c r="E66" s="26">
        <v>30</v>
      </c>
      <c r="F66" s="27">
        <v>0.17024999999999998</v>
      </c>
      <c r="G66" s="26">
        <v>36</v>
      </c>
      <c r="H66" s="105" t="s">
        <v>852</v>
      </c>
      <c r="I66" s="28">
        <v>20.789768999999996</v>
      </c>
      <c r="J66" s="26"/>
      <c r="K66" s="135">
        <f t="shared" ref="K66:K129" si="10">J66*I66</f>
        <v>0</v>
      </c>
      <c r="L66" s="29"/>
      <c r="M66" s="104"/>
      <c r="N66" s="30" t="str">
        <f t="shared" si="5"/>
        <v>-</v>
      </c>
      <c r="O66" s="30" t="str">
        <f t="shared" si="8"/>
        <v>-</v>
      </c>
      <c r="P66" s="31" t="str">
        <f t="shared" ref="P66:P129" si="11">IF(J66&gt;0,J66*F66, "-")</f>
        <v>-</v>
      </c>
      <c r="Q66" s="32" t="str">
        <f t="shared" si="7"/>
        <v>-</v>
      </c>
      <c r="S66" s="32" t="str">
        <f t="shared" si="9"/>
        <v>-</v>
      </c>
    </row>
    <row r="67" spans="1:19" x14ac:dyDescent="0.3">
      <c r="A67" s="134">
        <v>100009224</v>
      </c>
      <c r="B67" s="23">
        <v>959</v>
      </c>
      <c r="C67" s="38">
        <v>33984009592</v>
      </c>
      <c r="D67" s="39" t="s">
        <v>182</v>
      </c>
      <c r="E67" s="26">
        <v>30</v>
      </c>
      <c r="F67" s="27">
        <v>0.12485</v>
      </c>
      <c r="G67" s="26">
        <v>42</v>
      </c>
      <c r="H67" s="105" t="s">
        <v>852</v>
      </c>
      <c r="I67" s="28">
        <v>16.379817999999997</v>
      </c>
      <c r="J67" s="26"/>
      <c r="K67" s="135">
        <f t="shared" si="10"/>
        <v>0</v>
      </c>
      <c r="L67" s="29"/>
      <c r="M67" s="104"/>
      <c r="N67" s="30" t="str">
        <f t="shared" ref="N67:N130" si="12">IFERROR(IF($N$2*F67=0, "-", $N$2*F67), "-")</f>
        <v>-</v>
      </c>
      <c r="O67" s="30" t="str">
        <f t="shared" si="8"/>
        <v>-</v>
      </c>
      <c r="P67" s="31" t="str">
        <f t="shared" si="11"/>
        <v>-</v>
      </c>
      <c r="Q67" s="32" t="str">
        <f t="shared" ref="Q67:Q130" si="13">IFERROR(IF($N$2&gt;0, $N$2*P67, "-"), "-")</f>
        <v>-</v>
      </c>
      <c r="S67" s="32" t="str">
        <f t="shared" si="9"/>
        <v>-</v>
      </c>
    </row>
    <row r="68" spans="1:19" x14ac:dyDescent="0.3">
      <c r="A68" s="134">
        <v>100009457</v>
      </c>
      <c r="B68" s="23">
        <v>2027</v>
      </c>
      <c r="C68" s="38">
        <v>33984020276</v>
      </c>
      <c r="D68" s="39" t="s">
        <v>189</v>
      </c>
      <c r="E68" s="26">
        <v>60</v>
      </c>
      <c r="F68" s="27">
        <v>0.30645</v>
      </c>
      <c r="G68" s="26">
        <v>23</v>
      </c>
      <c r="H68" s="105" t="s">
        <v>852</v>
      </c>
      <c r="I68" s="28">
        <v>14.300841099999998</v>
      </c>
      <c r="J68" s="26"/>
      <c r="K68" s="135">
        <f t="shared" si="10"/>
        <v>0</v>
      </c>
      <c r="L68" s="29"/>
      <c r="M68" s="104"/>
      <c r="N68" s="30" t="str">
        <f t="shared" si="12"/>
        <v>-</v>
      </c>
      <c r="O68" s="30" t="str">
        <f t="shared" si="8"/>
        <v>-</v>
      </c>
      <c r="P68" s="31" t="str">
        <f t="shared" si="11"/>
        <v>-</v>
      </c>
      <c r="Q68" s="32" t="str">
        <f t="shared" si="13"/>
        <v>-</v>
      </c>
      <c r="S68" s="32" t="str">
        <f t="shared" si="9"/>
        <v>-</v>
      </c>
    </row>
    <row r="69" spans="1:19" x14ac:dyDescent="0.3">
      <c r="A69" s="134">
        <v>100009458</v>
      </c>
      <c r="B69" s="23">
        <v>2028</v>
      </c>
      <c r="C69" s="38">
        <v>33984020283</v>
      </c>
      <c r="D69" s="39" t="s">
        <v>189</v>
      </c>
      <c r="E69" s="26">
        <v>120</v>
      </c>
      <c r="F69" s="27">
        <v>0.5675</v>
      </c>
      <c r="G69" s="26">
        <v>16</v>
      </c>
      <c r="H69" s="105" t="s">
        <v>852</v>
      </c>
      <c r="I69" s="28">
        <v>25.199719999999999</v>
      </c>
      <c r="J69" s="26"/>
      <c r="K69" s="135">
        <f t="shared" si="10"/>
        <v>0</v>
      </c>
      <c r="L69" s="29"/>
      <c r="M69" s="104"/>
      <c r="N69" s="30" t="str">
        <f t="shared" si="12"/>
        <v>-</v>
      </c>
      <c r="O69" s="30" t="str">
        <f t="shared" si="8"/>
        <v>-</v>
      </c>
      <c r="P69" s="31" t="str">
        <f t="shared" si="11"/>
        <v>-</v>
      </c>
      <c r="Q69" s="32" t="str">
        <f t="shared" si="13"/>
        <v>-</v>
      </c>
      <c r="S69" s="32" t="str">
        <f t="shared" si="9"/>
        <v>-</v>
      </c>
    </row>
    <row r="70" spans="1:19" x14ac:dyDescent="0.3">
      <c r="A70" s="134">
        <v>100009263</v>
      </c>
      <c r="B70" s="23">
        <v>1057</v>
      </c>
      <c r="C70" s="38">
        <v>33984010574</v>
      </c>
      <c r="D70" s="39" t="s">
        <v>191</v>
      </c>
      <c r="E70" s="26">
        <v>60</v>
      </c>
      <c r="F70" s="27">
        <v>0.30645</v>
      </c>
      <c r="G70" s="26">
        <v>23</v>
      </c>
      <c r="H70" s="105" t="s">
        <v>852</v>
      </c>
      <c r="I70" s="28">
        <v>10.835879599999998</v>
      </c>
      <c r="J70" s="26"/>
      <c r="K70" s="135">
        <f t="shared" si="10"/>
        <v>0</v>
      </c>
      <c r="L70" s="29"/>
      <c r="M70" s="104"/>
      <c r="N70" s="30" t="str">
        <f t="shared" si="12"/>
        <v>-</v>
      </c>
      <c r="O70" s="30" t="str">
        <f t="shared" si="8"/>
        <v>-</v>
      </c>
      <c r="P70" s="31" t="str">
        <f t="shared" si="11"/>
        <v>-</v>
      </c>
      <c r="Q70" s="32" t="str">
        <f t="shared" si="13"/>
        <v>-</v>
      </c>
      <c r="S70" s="32" t="str">
        <f t="shared" si="9"/>
        <v>-</v>
      </c>
    </row>
    <row r="71" spans="1:19" x14ac:dyDescent="0.3">
      <c r="A71" s="134">
        <v>100009469</v>
      </c>
      <c r="B71" s="23">
        <v>2057</v>
      </c>
      <c r="C71" s="38">
        <v>33984020573</v>
      </c>
      <c r="D71" s="39" t="s">
        <v>195</v>
      </c>
      <c r="E71" s="26">
        <v>50</v>
      </c>
      <c r="F71" s="27">
        <v>0.29510000000000003</v>
      </c>
      <c r="G71" s="26">
        <v>23</v>
      </c>
      <c r="H71" s="105" t="s">
        <v>852</v>
      </c>
      <c r="I71" s="28">
        <v>16.379817999999997</v>
      </c>
      <c r="J71" s="26"/>
      <c r="K71" s="135">
        <f t="shared" si="10"/>
        <v>0</v>
      </c>
      <c r="L71" s="29"/>
      <c r="M71" s="104"/>
      <c r="N71" s="30" t="str">
        <f t="shared" si="12"/>
        <v>-</v>
      </c>
      <c r="O71" s="30" t="str">
        <f t="shared" si="8"/>
        <v>-</v>
      </c>
      <c r="P71" s="31" t="str">
        <f t="shared" si="11"/>
        <v>-</v>
      </c>
      <c r="Q71" s="32" t="str">
        <f t="shared" si="13"/>
        <v>-</v>
      </c>
      <c r="S71" s="32" t="str">
        <f t="shared" si="9"/>
        <v>-</v>
      </c>
    </row>
    <row r="72" spans="1:19" x14ac:dyDescent="0.3">
      <c r="A72" s="134">
        <v>100009470</v>
      </c>
      <c r="B72" s="23">
        <v>2058</v>
      </c>
      <c r="C72" s="38">
        <v>33984020580</v>
      </c>
      <c r="D72" s="39" t="s">
        <v>195</v>
      </c>
      <c r="E72" s="26">
        <v>100</v>
      </c>
      <c r="F72" s="27">
        <v>0.53344999999999998</v>
      </c>
      <c r="G72" s="26">
        <v>16</v>
      </c>
      <c r="H72" s="105" t="s">
        <v>852</v>
      </c>
      <c r="I72" s="28">
        <v>28.349684999999997</v>
      </c>
      <c r="J72" s="26"/>
      <c r="K72" s="135">
        <f t="shared" si="10"/>
        <v>0</v>
      </c>
      <c r="L72" s="29"/>
      <c r="M72" s="104"/>
      <c r="N72" s="30" t="str">
        <f t="shared" si="12"/>
        <v>-</v>
      </c>
      <c r="O72" s="30" t="str">
        <f t="shared" si="8"/>
        <v>-</v>
      </c>
      <c r="P72" s="31" t="str">
        <f t="shared" si="11"/>
        <v>-</v>
      </c>
      <c r="Q72" s="32" t="str">
        <f t="shared" si="13"/>
        <v>-</v>
      </c>
      <c r="S72" s="32" t="str">
        <f t="shared" si="9"/>
        <v>-</v>
      </c>
    </row>
    <row r="73" spans="1:19" x14ac:dyDescent="0.3">
      <c r="A73" s="134">
        <v>100009425</v>
      </c>
      <c r="B73" s="23">
        <v>1788</v>
      </c>
      <c r="C73" s="38">
        <v>33984017887</v>
      </c>
      <c r="D73" s="39" t="s">
        <v>196</v>
      </c>
      <c r="E73" s="26">
        <v>120</v>
      </c>
      <c r="F73" s="27">
        <v>0.52210000000000001</v>
      </c>
      <c r="G73" s="26">
        <v>12</v>
      </c>
      <c r="H73" s="105" t="s">
        <v>852</v>
      </c>
      <c r="I73" s="28">
        <v>11.339873999999998</v>
      </c>
      <c r="J73" s="26"/>
      <c r="K73" s="135">
        <f t="shared" si="10"/>
        <v>0</v>
      </c>
      <c r="L73" s="29"/>
      <c r="M73" s="104"/>
      <c r="N73" s="30" t="str">
        <f t="shared" si="12"/>
        <v>-</v>
      </c>
      <c r="O73" s="30" t="str">
        <f t="shared" si="8"/>
        <v>-</v>
      </c>
      <c r="P73" s="31" t="str">
        <f t="shared" si="11"/>
        <v>-</v>
      </c>
      <c r="Q73" s="32" t="str">
        <f t="shared" si="13"/>
        <v>-</v>
      </c>
      <c r="S73" s="32" t="str">
        <f t="shared" si="9"/>
        <v>-</v>
      </c>
    </row>
    <row r="74" spans="1:19" x14ac:dyDescent="0.3">
      <c r="A74" s="134">
        <v>100009333</v>
      </c>
      <c r="B74" s="23">
        <v>1316</v>
      </c>
      <c r="C74" s="38">
        <v>33984013162</v>
      </c>
      <c r="D74" s="45" t="s">
        <v>202</v>
      </c>
      <c r="E74" s="26">
        <v>60</v>
      </c>
      <c r="F74" s="27">
        <v>0.30645</v>
      </c>
      <c r="G74" s="26">
        <v>23</v>
      </c>
      <c r="H74" s="105" t="s">
        <v>852</v>
      </c>
      <c r="I74" s="28">
        <v>19.0887879</v>
      </c>
      <c r="J74" s="26"/>
      <c r="K74" s="135">
        <f t="shared" si="10"/>
        <v>0</v>
      </c>
      <c r="L74" s="29"/>
      <c r="M74" s="104"/>
      <c r="N74" s="30" t="str">
        <f t="shared" si="12"/>
        <v>-</v>
      </c>
      <c r="O74" s="30" t="str">
        <f t="shared" si="8"/>
        <v>-</v>
      </c>
      <c r="P74" s="31" t="str">
        <f t="shared" si="11"/>
        <v>-</v>
      </c>
      <c r="Q74" s="32" t="str">
        <f t="shared" si="13"/>
        <v>-</v>
      </c>
      <c r="S74" s="32" t="str">
        <f t="shared" si="9"/>
        <v>-</v>
      </c>
    </row>
    <row r="75" spans="1:19" x14ac:dyDescent="0.3">
      <c r="A75" s="134">
        <v>100009334</v>
      </c>
      <c r="B75" s="23">
        <v>1317</v>
      </c>
      <c r="C75" s="38">
        <v>33984013179</v>
      </c>
      <c r="D75" s="45" t="s">
        <v>202</v>
      </c>
      <c r="E75" s="26">
        <v>120</v>
      </c>
      <c r="F75" s="27">
        <v>0.51765889031972512</v>
      </c>
      <c r="G75" s="26">
        <v>20</v>
      </c>
      <c r="H75" s="105" t="s">
        <v>852</v>
      </c>
      <c r="I75" s="28">
        <v>36.539593999999994</v>
      </c>
      <c r="J75" s="26"/>
      <c r="K75" s="135">
        <f t="shared" si="10"/>
        <v>0</v>
      </c>
      <c r="L75" s="29"/>
      <c r="M75" s="104"/>
      <c r="N75" s="30" t="str">
        <f t="shared" si="12"/>
        <v>-</v>
      </c>
      <c r="O75" s="30" t="str">
        <f t="shared" si="8"/>
        <v>-</v>
      </c>
      <c r="P75" s="31" t="str">
        <f t="shared" si="11"/>
        <v>-</v>
      </c>
      <c r="Q75" s="32" t="str">
        <f t="shared" si="13"/>
        <v>-</v>
      </c>
      <c r="S75" s="32" t="str">
        <f t="shared" si="9"/>
        <v>-</v>
      </c>
    </row>
    <row r="76" spans="1:19" x14ac:dyDescent="0.3">
      <c r="A76" s="134">
        <v>100009444</v>
      </c>
      <c r="B76" s="23">
        <v>1935</v>
      </c>
      <c r="C76" s="38">
        <v>33984019355</v>
      </c>
      <c r="D76" s="39" t="s">
        <v>204</v>
      </c>
      <c r="E76" s="26">
        <v>120</v>
      </c>
      <c r="F76" s="27">
        <v>0.13619999999999999</v>
      </c>
      <c r="G76" s="26">
        <v>36</v>
      </c>
      <c r="H76" s="105" t="s">
        <v>852</v>
      </c>
      <c r="I76" s="28">
        <v>6.9299229999999987</v>
      </c>
      <c r="J76" s="26"/>
      <c r="K76" s="135">
        <f t="shared" si="10"/>
        <v>0</v>
      </c>
      <c r="L76" s="29"/>
      <c r="M76" s="104"/>
      <c r="N76" s="30" t="str">
        <f t="shared" si="12"/>
        <v>-</v>
      </c>
      <c r="O76" s="30" t="str">
        <f t="shared" si="8"/>
        <v>-</v>
      </c>
      <c r="P76" s="31" t="str">
        <f t="shared" si="11"/>
        <v>-</v>
      </c>
      <c r="Q76" s="32" t="str">
        <f t="shared" si="13"/>
        <v>-</v>
      </c>
      <c r="S76" s="32" t="str">
        <f t="shared" si="9"/>
        <v>-</v>
      </c>
    </row>
    <row r="77" spans="1:19" x14ac:dyDescent="0.3">
      <c r="A77" s="134">
        <v>100009445</v>
      </c>
      <c r="B77" s="23">
        <v>1936</v>
      </c>
      <c r="C77" s="38">
        <v>33984019362</v>
      </c>
      <c r="D77" s="39" t="s">
        <v>205</v>
      </c>
      <c r="E77" s="26">
        <v>60</v>
      </c>
      <c r="F77" s="27">
        <v>0.12485</v>
      </c>
      <c r="G77" s="26">
        <v>36</v>
      </c>
      <c r="H77" s="105" t="s">
        <v>852</v>
      </c>
      <c r="I77" s="28">
        <v>6.9299229999999987</v>
      </c>
      <c r="J77" s="26"/>
      <c r="K77" s="135">
        <f t="shared" si="10"/>
        <v>0</v>
      </c>
      <c r="L77" s="29"/>
      <c r="M77" s="104"/>
      <c r="N77" s="30" t="str">
        <f t="shared" si="12"/>
        <v>-</v>
      </c>
      <c r="O77" s="30" t="str">
        <f t="shared" si="8"/>
        <v>-</v>
      </c>
      <c r="P77" s="31" t="str">
        <f t="shared" si="11"/>
        <v>-</v>
      </c>
      <c r="Q77" s="32" t="str">
        <f t="shared" si="13"/>
        <v>-</v>
      </c>
      <c r="S77" s="32" t="str">
        <f t="shared" si="9"/>
        <v>-</v>
      </c>
    </row>
    <row r="78" spans="1:19" x14ac:dyDescent="0.3">
      <c r="A78" s="134">
        <v>100009454</v>
      </c>
      <c r="B78" s="23">
        <v>1956</v>
      </c>
      <c r="C78" s="38">
        <v>33984019560</v>
      </c>
      <c r="D78" s="39" t="s">
        <v>207</v>
      </c>
      <c r="E78" s="26">
        <v>60</v>
      </c>
      <c r="F78" s="27">
        <v>0.12485</v>
      </c>
      <c r="G78" s="26">
        <v>42</v>
      </c>
      <c r="H78" s="105" t="s">
        <v>852</v>
      </c>
      <c r="I78" s="28">
        <v>12.221864199999997</v>
      </c>
      <c r="J78" s="26"/>
      <c r="K78" s="135">
        <f t="shared" si="10"/>
        <v>0</v>
      </c>
      <c r="L78" s="29"/>
      <c r="M78" s="104"/>
      <c r="N78" s="30" t="str">
        <f t="shared" si="12"/>
        <v>-</v>
      </c>
      <c r="O78" s="30" t="str">
        <f t="shared" si="8"/>
        <v>-</v>
      </c>
      <c r="P78" s="31" t="str">
        <f t="shared" si="11"/>
        <v>-</v>
      </c>
      <c r="Q78" s="32" t="str">
        <f t="shared" si="13"/>
        <v>-</v>
      </c>
      <c r="S78" s="32" t="str">
        <f t="shared" si="9"/>
        <v>-</v>
      </c>
    </row>
    <row r="79" spans="1:19" x14ac:dyDescent="0.3">
      <c r="A79" s="134">
        <v>100009843</v>
      </c>
      <c r="B79" s="23">
        <v>50497</v>
      </c>
      <c r="C79" s="38">
        <v>33984504974</v>
      </c>
      <c r="D79" s="39" t="s">
        <v>210</v>
      </c>
      <c r="E79" s="26">
        <v>30</v>
      </c>
      <c r="F79" s="27">
        <v>0.14343661721384721</v>
      </c>
      <c r="G79" s="26">
        <v>36</v>
      </c>
      <c r="H79" s="105" t="s">
        <v>852</v>
      </c>
      <c r="I79" s="28">
        <v>17.639803999999998</v>
      </c>
      <c r="J79" s="26"/>
      <c r="K79" s="135">
        <f t="shared" si="10"/>
        <v>0</v>
      </c>
      <c r="L79" s="29"/>
      <c r="M79" s="104"/>
      <c r="N79" s="30" t="str">
        <f t="shared" si="12"/>
        <v>-</v>
      </c>
      <c r="O79" s="30" t="str">
        <f t="shared" si="8"/>
        <v>-</v>
      </c>
      <c r="P79" s="31" t="str">
        <f t="shared" si="11"/>
        <v>-</v>
      </c>
      <c r="Q79" s="32" t="str">
        <f t="shared" si="13"/>
        <v>-</v>
      </c>
      <c r="S79" s="32" t="str">
        <f t="shared" si="9"/>
        <v>-</v>
      </c>
    </row>
    <row r="80" spans="1:19" x14ac:dyDescent="0.3">
      <c r="A80" s="134">
        <v>100009511</v>
      </c>
      <c r="B80" s="23">
        <v>2315</v>
      </c>
      <c r="C80" s="38">
        <v>33984023154</v>
      </c>
      <c r="D80" s="39" t="s">
        <v>216</v>
      </c>
      <c r="E80" s="26">
        <v>200</v>
      </c>
      <c r="F80" s="27">
        <v>0.38590000000000002</v>
      </c>
      <c r="G80" s="26">
        <v>20</v>
      </c>
      <c r="H80" s="105" t="s">
        <v>852</v>
      </c>
      <c r="I80" s="28">
        <v>13.607848799999999</v>
      </c>
      <c r="J80" s="26"/>
      <c r="K80" s="135">
        <f t="shared" si="10"/>
        <v>0</v>
      </c>
      <c r="L80" s="29"/>
      <c r="M80" s="104"/>
      <c r="N80" s="30" t="str">
        <f t="shared" si="12"/>
        <v>-</v>
      </c>
      <c r="O80" s="30" t="str">
        <f t="shared" si="8"/>
        <v>-</v>
      </c>
      <c r="P80" s="31" t="str">
        <f t="shared" si="11"/>
        <v>-</v>
      </c>
      <c r="Q80" s="32" t="str">
        <f t="shared" si="13"/>
        <v>-</v>
      </c>
      <c r="S80" s="32" t="str">
        <f t="shared" si="9"/>
        <v>-</v>
      </c>
    </row>
    <row r="81" spans="1:19" x14ac:dyDescent="0.3">
      <c r="A81" s="134">
        <v>100009353</v>
      </c>
      <c r="B81" s="23">
        <v>1417</v>
      </c>
      <c r="C81" s="38">
        <v>33984014176</v>
      </c>
      <c r="D81" s="39" t="s">
        <v>224</v>
      </c>
      <c r="E81" s="26">
        <v>30</v>
      </c>
      <c r="F81" s="27">
        <v>0.23835000000000001</v>
      </c>
      <c r="G81" s="26">
        <v>25</v>
      </c>
      <c r="H81" s="105" t="s">
        <v>852</v>
      </c>
      <c r="I81" s="28">
        <v>15.119831999999999</v>
      </c>
      <c r="J81" s="26"/>
      <c r="K81" s="135">
        <f t="shared" si="10"/>
        <v>0</v>
      </c>
      <c r="L81" s="29"/>
      <c r="M81" s="104"/>
      <c r="N81" s="30" t="str">
        <f t="shared" si="12"/>
        <v>-</v>
      </c>
      <c r="O81" s="30" t="str">
        <f t="shared" si="8"/>
        <v>-</v>
      </c>
      <c r="P81" s="31" t="str">
        <f t="shared" si="11"/>
        <v>-</v>
      </c>
      <c r="Q81" s="32" t="str">
        <f t="shared" si="13"/>
        <v>-</v>
      </c>
      <c r="S81" s="32" t="str">
        <f t="shared" si="9"/>
        <v>-</v>
      </c>
    </row>
    <row r="82" spans="1:19" x14ac:dyDescent="0.3">
      <c r="A82" s="134">
        <v>100009405</v>
      </c>
      <c r="B82" s="23">
        <v>1735</v>
      </c>
      <c r="C82" s="38">
        <v>33984017351</v>
      </c>
      <c r="D82" s="39" t="s">
        <v>229</v>
      </c>
      <c r="E82" s="26">
        <v>60</v>
      </c>
      <c r="F82" s="27">
        <v>0.26105</v>
      </c>
      <c r="G82" s="26">
        <v>25</v>
      </c>
      <c r="H82" s="105" t="s">
        <v>852</v>
      </c>
      <c r="I82" s="28">
        <v>9.9538893999999996</v>
      </c>
      <c r="J82" s="26"/>
      <c r="K82" s="135">
        <f t="shared" si="10"/>
        <v>0</v>
      </c>
      <c r="L82" s="29"/>
      <c r="M82" s="104"/>
      <c r="N82" s="30" t="str">
        <f t="shared" si="12"/>
        <v>-</v>
      </c>
      <c r="O82" s="30" t="str">
        <f t="shared" si="8"/>
        <v>-</v>
      </c>
      <c r="P82" s="31" t="str">
        <f t="shared" si="11"/>
        <v>-</v>
      </c>
      <c r="Q82" s="32" t="str">
        <f t="shared" si="13"/>
        <v>-</v>
      </c>
      <c r="S82" s="32" t="str">
        <f t="shared" si="9"/>
        <v>-</v>
      </c>
    </row>
    <row r="83" spans="1:19" x14ac:dyDescent="0.3">
      <c r="A83" s="134">
        <v>100009406</v>
      </c>
      <c r="B83" s="23">
        <v>1736</v>
      </c>
      <c r="C83" s="38">
        <v>33984017368</v>
      </c>
      <c r="D83" s="39" t="s">
        <v>229</v>
      </c>
      <c r="E83" s="26">
        <v>120</v>
      </c>
      <c r="F83" s="27">
        <v>0.44265000000000004</v>
      </c>
      <c r="G83" s="26">
        <v>20</v>
      </c>
      <c r="H83" s="105" t="s">
        <v>852</v>
      </c>
      <c r="I83" s="28">
        <v>17.009810999999999</v>
      </c>
      <c r="J83" s="26"/>
      <c r="K83" s="135">
        <f t="shared" si="10"/>
        <v>0</v>
      </c>
      <c r="L83" s="29"/>
      <c r="M83" s="104"/>
      <c r="N83" s="30" t="str">
        <f t="shared" si="12"/>
        <v>-</v>
      </c>
      <c r="O83" s="30" t="str">
        <f t="shared" si="8"/>
        <v>-</v>
      </c>
      <c r="P83" s="31" t="str">
        <f t="shared" si="11"/>
        <v>-</v>
      </c>
      <c r="Q83" s="32" t="str">
        <f t="shared" si="13"/>
        <v>-</v>
      </c>
      <c r="S83" s="32" t="str">
        <f t="shared" si="9"/>
        <v>-</v>
      </c>
    </row>
    <row r="84" spans="1:19" x14ac:dyDescent="0.3">
      <c r="A84" s="134">
        <v>100009865</v>
      </c>
      <c r="B84" s="23" t="s">
        <v>815</v>
      </c>
      <c r="C84" s="38">
        <v>33984512993</v>
      </c>
      <c r="D84" s="25" t="s">
        <v>816</v>
      </c>
      <c r="E84" s="26">
        <v>90</v>
      </c>
      <c r="F84" s="27">
        <v>0</v>
      </c>
      <c r="G84" s="26"/>
      <c r="H84" s="105" t="s">
        <v>852</v>
      </c>
      <c r="I84" s="28">
        <v>13.859845999999997</v>
      </c>
      <c r="J84" s="26"/>
      <c r="K84" s="135">
        <f t="shared" si="10"/>
        <v>0</v>
      </c>
      <c r="N84" s="30" t="str">
        <f t="shared" si="12"/>
        <v>-</v>
      </c>
      <c r="O84" s="30" t="str">
        <f t="shared" si="8"/>
        <v>-</v>
      </c>
      <c r="P84" s="31" t="str">
        <f t="shared" si="11"/>
        <v>-</v>
      </c>
      <c r="Q84" s="32" t="str">
        <f t="shared" si="13"/>
        <v>-</v>
      </c>
      <c r="S84" s="32" t="str">
        <f t="shared" si="9"/>
        <v>-</v>
      </c>
    </row>
    <row r="85" spans="1:19" x14ac:dyDescent="0.3">
      <c r="A85" s="134">
        <v>100009371</v>
      </c>
      <c r="B85" s="23">
        <v>1540</v>
      </c>
      <c r="C85" s="38">
        <v>33984015401</v>
      </c>
      <c r="D85" s="25" t="s">
        <v>818</v>
      </c>
      <c r="E85" s="26">
        <v>100</v>
      </c>
      <c r="F85" s="27">
        <v>0</v>
      </c>
      <c r="G85" s="26"/>
      <c r="H85" s="105" t="s">
        <v>852</v>
      </c>
      <c r="I85" s="28">
        <v>8.819901999999999</v>
      </c>
      <c r="J85" s="26"/>
      <c r="K85" s="135">
        <f t="shared" si="10"/>
        <v>0</v>
      </c>
      <c r="N85" s="30" t="str">
        <f t="shared" si="12"/>
        <v>-</v>
      </c>
      <c r="O85" s="30" t="str">
        <f t="shared" si="8"/>
        <v>-</v>
      </c>
      <c r="P85" s="31" t="str">
        <f t="shared" si="11"/>
        <v>-</v>
      </c>
      <c r="Q85" s="32" t="str">
        <f t="shared" si="13"/>
        <v>-</v>
      </c>
      <c r="S85" s="32" t="str">
        <f t="shared" si="9"/>
        <v>-</v>
      </c>
    </row>
    <row r="86" spans="1:19" x14ac:dyDescent="0.3">
      <c r="A86" s="134">
        <v>100009191</v>
      </c>
      <c r="B86" s="23">
        <v>872</v>
      </c>
      <c r="C86" s="38">
        <v>33984008724</v>
      </c>
      <c r="D86" s="25" t="s">
        <v>822</v>
      </c>
      <c r="E86" s="26">
        <v>120</v>
      </c>
      <c r="F86" s="27">
        <v>0.33</v>
      </c>
      <c r="G86" s="26"/>
      <c r="H86" s="105" t="s">
        <v>852</v>
      </c>
      <c r="I86" s="28">
        <v>9.2608970999999976</v>
      </c>
      <c r="J86" s="26"/>
      <c r="K86" s="135">
        <f t="shared" si="10"/>
        <v>0</v>
      </c>
      <c r="N86" s="30" t="str">
        <f t="shared" si="12"/>
        <v>-</v>
      </c>
      <c r="O86" s="30" t="str">
        <f t="shared" si="8"/>
        <v>-</v>
      </c>
      <c r="P86" s="31" t="str">
        <f t="shared" si="11"/>
        <v>-</v>
      </c>
      <c r="Q86" s="32" t="str">
        <f t="shared" si="13"/>
        <v>-</v>
      </c>
      <c r="S86" s="32" t="str">
        <f t="shared" si="9"/>
        <v>-</v>
      </c>
    </row>
    <row r="87" spans="1:19" x14ac:dyDescent="0.3">
      <c r="A87" s="134">
        <v>100009227</v>
      </c>
      <c r="B87" s="23">
        <v>962</v>
      </c>
      <c r="C87" s="38">
        <v>33984009622</v>
      </c>
      <c r="D87" s="39" t="s">
        <v>19</v>
      </c>
      <c r="E87" s="26">
        <v>90</v>
      </c>
      <c r="F87" s="27">
        <v>0.27239999999999998</v>
      </c>
      <c r="G87" s="26">
        <v>23</v>
      </c>
      <c r="H87" s="105" t="s">
        <v>851</v>
      </c>
      <c r="I87" s="28">
        <v>17.639803999999998</v>
      </c>
      <c r="J87" s="26"/>
      <c r="K87" s="135">
        <f t="shared" si="10"/>
        <v>0</v>
      </c>
      <c r="L87" s="29"/>
      <c r="M87" s="104"/>
      <c r="N87" s="30" t="str">
        <f t="shared" si="12"/>
        <v>-</v>
      </c>
      <c r="O87" s="30" t="str">
        <f t="shared" si="8"/>
        <v>-</v>
      </c>
      <c r="P87" s="31" t="str">
        <f t="shared" si="11"/>
        <v>-</v>
      </c>
      <c r="Q87" s="32" t="str">
        <f t="shared" si="13"/>
        <v>-</v>
      </c>
      <c r="S87" s="32" t="str">
        <f t="shared" si="9"/>
        <v>-</v>
      </c>
    </row>
    <row r="88" spans="1:19" x14ac:dyDescent="0.3">
      <c r="A88" s="134">
        <v>100009312</v>
      </c>
      <c r="B88" s="23">
        <v>1210</v>
      </c>
      <c r="C88" s="38">
        <v>33984012103</v>
      </c>
      <c r="D88" s="39" t="s">
        <v>21</v>
      </c>
      <c r="E88" s="26">
        <v>50</v>
      </c>
      <c r="F88" s="27">
        <v>0.21565000000000001</v>
      </c>
      <c r="G88" s="26">
        <v>25</v>
      </c>
      <c r="H88" s="105" t="s">
        <v>851</v>
      </c>
      <c r="I88" s="28">
        <v>9.9538893999999996</v>
      </c>
      <c r="J88" s="26"/>
      <c r="K88" s="135">
        <f t="shared" si="10"/>
        <v>0</v>
      </c>
      <c r="L88" s="29"/>
      <c r="M88" s="104"/>
      <c r="N88" s="30" t="str">
        <f t="shared" si="12"/>
        <v>-</v>
      </c>
      <c r="O88" s="30" t="str">
        <f t="shared" si="8"/>
        <v>-</v>
      </c>
      <c r="P88" s="31" t="str">
        <f t="shared" si="11"/>
        <v>-</v>
      </c>
      <c r="Q88" s="32" t="str">
        <f t="shared" si="13"/>
        <v>-</v>
      </c>
      <c r="S88" s="32" t="str">
        <f t="shared" si="9"/>
        <v>-</v>
      </c>
    </row>
    <row r="89" spans="1:19" x14ac:dyDescent="0.3">
      <c r="A89" s="134">
        <v>100009313</v>
      </c>
      <c r="B89" s="23">
        <v>1211</v>
      </c>
      <c r="C89" s="38">
        <v>33984012110</v>
      </c>
      <c r="D89" s="39" t="s">
        <v>21</v>
      </c>
      <c r="E89" s="26">
        <v>100</v>
      </c>
      <c r="F89" s="27">
        <v>0.26105</v>
      </c>
      <c r="G89" s="26">
        <v>23</v>
      </c>
      <c r="H89" s="105" t="s">
        <v>851</v>
      </c>
      <c r="I89" s="28">
        <v>15.749824999999998</v>
      </c>
      <c r="J89" s="26"/>
      <c r="K89" s="135">
        <f t="shared" si="10"/>
        <v>0</v>
      </c>
      <c r="L89" s="29"/>
      <c r="M89" s="104"/>
      <c r="N89" s="30" t="str">
        <f t="shared" si="12"/>
        <v>-</v>
      </c>
      <c r="O89" s="30" t="str">
        <f t="shared" si="8"/>
        <v>-</v>
      </c>
      <c r="P89" s="31" t="str">
        <f t="shared" si="11"/>
        <v>-</v>
      </c>
      <c r="Q89" s="32" t="str">
        <f t="shared" si="13"/>
        <v>-</v>
      </c>
      <c r="S89" s="32" t="str">
        <f t="shared" si="9"/>
        <v>-</v>
      </c>
    </row>
    <row r="90" spans="1:19" x14ac:dyDescent="0.3">
      <c r="A90" s="138">
        <v>100009320</v>
      </c>
      <c r="B90" s="40">
        <v>1254</v>
      </c>
      <c r="C90" s="41">
        <v>33984012547</v>
      </c>
      <c r="D90" s="42" t="s">
        <v>23</v>
      </c>
      <c r="E90" s="40">
        <v>60</v>
      </c>
      <c r="F90" s="43">
        <v>0.29770450527543485</v>
      </c>
      <c r="G90" s="40">
        <v>23</v>
      </c>
      <c r="H90" s="105" t="s">
        <v>851</v>
      </c>
      <c r="I90" s="44">
        <v>9.9538893999999996</v>
      </c>
      <c r="J90" s="40"/>
      <c r="K90" s="139">
        <f t="shared" si="10"/>
        <v>0</v>
      </c>
      <c r="L90" s="29"/>
      <c r="M90" s="104"/>
      <c r="N90" s="30" t="str">
        <f t="shared" si="12"/>
        <v>-</v>
      </c>
      <c r="O90" s="30" t="str">
        <f t="shared" si="8"/>
        <v>-</v>
      </c>
      <c r="P90" s="31" t="str">
        <f t="shared" si="11"/>
        <v>-</v>
      </c>
      <c r="Q90" s="32" t="str">
        <f t="shared" si="13"/>
        <v>-</v>
      </c>
      <c r="S90" s="32" t="str">
        <f t="shared" si="9"/>
        <v>-</v>
      </c>
    </row>
    <row r="91" spans="1:19" x14ac:dyDescent="0.3">
      <c r="A91" s="134">
        <v>100009342</v>
      </c>
      <c r="B91" s="23">
        <v>1350</v>
      </c>
      <c r="C91" s="38">
        <v>33984013506</v>
      </c>
      <c r="D91" s="39" t="s">
        <v>24</v>
      </c>
      <c r="E91" s="26">
        <v>30</v>
      </c>
      <c r="F91" s="27">
        <v>0.10214999999999999</v>
      </c>
      <c r="G91" s="26">
        <v>42</v>
      </c>
      <c r="H91" s="105" t="s">
        <v>851</v>
      </c>
      <c r="I91" s="28">
        <v>15.119831999999999</v>
      </c>
      <c r="J91" s="26"/>
      <c r="K91" s="135">
        <f t="shared" si="10"/>
        <v>0</v>
      </c>
      <c r="L91" s="29"/>
      <c r="M91" s="104"/>
      <c r="N91" s="30" t="str">
        <f t="shared" si="12"/>
        <v>-</v>
      </c>
      <c r="O91" s="30" t="str">
        <f t="shared" si="8"/>
        <v>-</v>
      </c>
      <c r="P91" s="31" t="str">
        <f t="shared" si="11"/>
        <v>-</v>
      </c>
      <c r="Q91" s="32" t="str">
        <f t="shared" si="13"/>
        <v>-</v>
      </c>
      <c r="S91" s="32" t="str">
        <f t="shared" si="9"/>
        <v>-</v>
      </c>
    </row>
    <row r="92" spans="1:19" x14ac:dyDescent="0.3">
      <c r="A92" s="134">
        <v>100009343</v>
      </c>
      <c r="B92" s="23">
        <v>1351</v>
      </c>
      <c r="C92" s="38">
        <v>33984013513</v>
      </c>
      <c r="D92" s="39" t="s">
        <v>24</v>
      </c>
      <c r="E92" s="26">
        <v>60</v>
      </c>
      <c r="F92" s="27">
        <v>0.19295000000000001</v>
      </c>
      <c r="G92" s="26">
        <v>25</v>
      </c>
      <c r="H92" s="105" t="s">
        <v>851</v>
      </c>
      <c r="I92" s="28">
        <v>27.341696199999998</v>
      </c>
      <c r="J92" s="26"/>
      <c r="K92" s="135">
        <f t="shared" si="10"/>
        <v>0</v>
      </c>
      <c r="L92" s="29"/>
      <c r="M92" s="104"/>
      <c r="N92" s="30" t="str">
        <f t="shared" si="12"/>
        <v>-</v>
      </c>
      <c r="O92" s="30" t="str">
        <f t="shared" si="8"/>
        <v>-</v>
      </c>
      <c r="P92" s="31" t="str">
        <f t="shared" si="11"/>
        <v>-</v>
      </c>
      <c r="Q92" s="32" t="str">
        <f t="shared" si="13"/>
        <v>-</v>
      </c>
      <c r="S92" s="32" t="str">
        <f t="shared" si="9"/>
        <v>-</v>
      </c>
    </row>
    <row r="93" spans="1:19" x14ac:dyDescent="0.3">
      <c r="A93" s="134">
        <v>100009347</v>
      </c>
      <c r="B93" s="23">
        <v>1370</v>
      </c>
      <c r="C93" s="38">
        <v>33984013704</v>
      </c>
      <c r="D93" s="39" t="s">
        <v>25</v>
      </c>
      <c r="E93" s="26">
        <v>100</v>
      </c>
      <c r="F93" s="27">
        <v>0.24970000000000001</v>
      </c>
      <c r="G93" s="26">
        <v>23</v>
      </c>
      <c r="H93" s="105" t="s">
        <v>851</v>
      </c>
      <c r="I93" s="28">
        <v>9.2608970999999976</v>
      </c>
      <c r="J93" s="26"/>
      <c r="K93" s="135">
        <f t="shared" si="10"/>
        <v>0</v>
      </c>
      <c r="L93" s="29"/>
      <c r="M93" s="104"/>
      <c r="N93" s="30" t="str">
        <f t="shared" si="12"/>
        <v>-</v>
      </c>
      <c r="O93" s="30" t="str">
        <f t="shared" si="8"/>
        <v>-</v>
      </c>
      <c r="P93" s="31" t="str">
        <f t="shared" si="11"/>
        <v>-</v>
      </c>
      <c r="Q93" s="32" t="str">
        <f t="shared" si="13"/>
        <v>-</v>
      </c>
      <c r="S93" s="32" t="str">
        <f t="shared" si="9"/>
        <v>-</v>
      </c>
    </row>
    <row r="94" spans="1:19" x14ac:dyDescent="0.3">
      <c r="A94" s="134">
        <v>100009392</v>
      </c>
      <c r="B94" s="23">
        <v>1701</v>
      </c>
      <c r="C94" s="38">
        <v>33984017016</v>
      </c>
      <c r="D94" s="39" t="s">
        <v>28</v>
      </c>
      <c r="E94" s="26">
        <v>100</v>
      </c>
      <c r="F94" s="27">
        <v>0.41994999999999999</v>
      </c>
      <c r="G94" s="26">
        <v>20</v>
      </c>
      <c r="H94" s="105" t="s">
        <v>851</v>
      </c>
      <c r="I94" s="28">
        <v>9.9538893999999996</v>
      </c>
      <c r="J94" s="26"/>
      <c r="K94" s="135">
        <f t="shared" si="10"/>
        <v>0</v>
      </c>
      <c r="L94" s="29"/>
      <c r="M94" s="104"/>
      <c r="N94" s="30" t="str">
        <f t="shared" si="12"/>
        <v>-</v>
      </c>
      <c r="O94" s="30" t="str">
        <f t="shared" si="8"/>
        <v>-</v>
      </c>
      <c r="P94" s="31" t="str">
        <f t="shared" si="11"/>
        <v>-</v>
      </c>
      <c r="Q94" s="32" t="str">
        <f t="shared" si="13"/>
        <v>-</v>
      </c>
      <c r="S94" s="32" t="str">
        <f t="shared" si="9"/>
        <v>-</v>
      </c>
    </row>
    <row r="95" spans="1:19" x14ac:dyDescent="0.3">
      <c r="A95" s="134">
        <v>100009562</v>
      </c>
      <c r="B95" s="23">
        <v>2701</v>
      </c>
      <c r="C95" s="38">
        <v>33984027015</v>
      </c>
      <c r="D95" s="39" t="s">
        <v>30</v>
      </c>
      <c r="E95" s="26">
        <v>100</v>
      </c>
      <c r="F95" s="27">
        <v>0.22700000000000001</v>
      </c>
      <c r="G95" s="26">
        <v>25</v>
      </c>
      <c r="H95" s="105" t="s">
        <v>851</v>
      </c>
      <c r="I95" s="28">
        <v>8.9459005999999981</v>
      </c>
      <c r="J95" s="26"/>
      <c r="K95" s="135">
        <f t="shared" si="10"/>
        <v>0</v>
      </c>
      <c r="L95" s="29"/>
      <c r="M95" s="104"/>
      <c r="N95" s="30" t="str">
        <f t="shared" si="12"/>
        <v>-</v>
      </c>
      <c r="O95" s="30" t="str">
        <f t="shared" si="8"/>
        <v>-</v>
      </c>
      <c r="P95" s="31" t="str">
        <f t="shared" si="11"/>
        <v>-</v>
      </c>
      <c r="Q95" s="32" t="str">
        <f t="shared" si="13"/>
        <v>-</v>
      </c>
      <c r="S95" s="32" t="str">
        <f t="shared" si="9"/>
        <v>-</v>
      </c>
    </row>
    <row r="96" spans="1:19" x14ac:dyDescent="0.3">
      <c r="A96" s="134">
        <v>100009563</v>
      </c>
      <c r="B96" s="23">
        <v>2702</v>
      </c>
      <c r="C96" s="38">
        <v>33984027022</v>
      </c>
      <c r="D96" s="39" t="s">
        <v>30</v>
      </c>
      <c r="E96" s="26">
        <v>250</v>
      </c>
      <c r="F96" s="27">
        <v>0.52544565383646868</v>
      </c>
      <c r="G96" s="26">
        <v>16</v>
      </c>
      <c r="H96" s="105" t="s">
        <v>851</v>
      </c>
      <c r="I96" s="28">
        <v>19.0887879</v>
      </c>
      <c r="J96" s="26"/>
      <c r="K96" s="135">
        <f t="shared" si="10"/>
        <v>0</v>
      </c>
      <c r="L96" s="29"/>
      <c r="M96" s="104"/>
      <c r="N96" s="30" t="str">
        <f t="shared" si="12"/>
        <v>-</v>
      </c>
      <c r="O96" s="30" t="str">
        <f t="shared" si="8"/>
        <v>-</v>
      </c>
      <c r="P96" s="31" t="str">
        <f t="shared" si="11"/>
        <v>-</v>
      </c>
      <c r="Q96" s="32" t="str">
        <f t="shared" si="13"/>
        <v>-</v>
      </c>
      <c r="S96" s="32" t="str">
        <f t="shared" si="9"/>
        <v>-</v>
      </c>
    </row>
    <row r="97" spans="1:19" x14ac:dyDescent="0.3">
      <c r="A97" s="134">
        <v>100009564</v>
      </c>
      <c r="B97" s="23">
        <v>2706</v>
      </c>
      <c r="C97" s="38">
        <v>33984027060</v>
      </c>
      <c r="D97" s="39" t="s">
        <v>31</v>
      </c>
      <c r="E97" s="26">
        <v>60</v>
      </c>
      <c r="F97" s="27">
        <v>0.12485</v>
      </c>
      <c r="G97" s="26">
        <v>36</v>
      </c>
      <c r="H97" s="105" t="s">
        <v>851</v>
      </c>
      <c r="I97" s="28">
        <v>22.679747999999996</v>
      </c>
      <c r="J97" s="26"/>
      <c r="K97" s="135">
        <f t="shared" si="10"/>
        <v>0</v>
      </c>
      <c r="L97" s="29"/>
      <c r="M97" s="104"/>
      <c r="N97" s="30" t="str">
        <f t="shared" si="12"/>
        <v>-</v>
      </c>
      <c r="O97" s="30" t="str">
        <f t="shared" si="8"/>
        <v>-</v>
      </c>
      <c r="P97" s="31" t="str">
        <f t="shared" si="11"/>
        <v>-</v>
      </c>
      <c r="Q97" s="32" t="str">
        <f t="shared" si="13"/>
        <v>-</v>
      </c>
      <c r="S97" s="32" t="str">
        <f t="shared" si="9"/>
        <v>-</v>
      </c>
    </row>
    <row r="98" spans="1:19" x14ac:dyDescent="0.3">
      <c r="A98" s="134">
        <v>100009567</v>
      </c>
      <c r="B98" s="23">
        <v>2761</v>
      </c>
      <c r="C98" s="38">
        <v>33984027619</v>
      </c>
      <c r="D98" s="39" t="s">
        <v>32</v>
      </c>
      <c r="E98" s="26">
        <v>100</v>
      </c>
      <c r="F98" s="27">
        <v>0.26105</v>
      </c>
      <c r="G98" s="26">
        <v>23</v>
      </c>
      <c r="H98" s="105" t="s">
        <v>851</v>
      </c>
      <c r="I98" s="28">
        <v>17.009810999999999</v>
      </c>
      <c r="J98" s="26"/>
      <c r="K98" s="135">
        <f t="shared" si="10"/>
        <v>0</v>
      </c>
      <c r="L98" s="29"/>
      <c r="M98" s="104"/>
      <c r="N98" s="30" t="str">
        <f t="shared" si="12"/>
        <v>-</v>
      </c>
      <c r="O98" s="30" t="str">
        <f t="shared" si="8"/>
        <v>-</v>
      </c>
      <c r="P98" s="31" t="str">
        <f t="shared" si="11"/>
        <v>-</v>
      </c>
      <c r="Q98" s="32" t="str">
        <f t="shared" si="13"/>
        <v>-</v>
      </c>
      <c r="S98" s="32" t="str">
        <f t="shared" si="9"/>
        <v>-</v>
      </c>
    </row>
    <row r="99" spans="1:19" ht="20.399999999999999" x14ac:dyDescent="0.3">
      <c r="A99" s="134">
        <v>100072240</v>
      </c>
      <c r="B99" s="23">
        <v>54956</v>
      </c>
      <c r="C99" s="38">
        <v>33984549562</v>
      </c>
      <c r="D99" s="45" t="s">
        <v>37</v>
      </c>
      <c r="E99" s="26">
        <v>100</v>
      </c>
      <c r="F99" s="27">
        <v>0.18423464093924999</v>
      </c>
      <c r="G99" s="26">
        <v>42</v>
      </c>
      <c r="H99" s="105" t="s">
        <v>851</v>
      </c>
      <c r="I99" s="28">
        <v>6.7409250999999992</v>
      </c>
      <c r="J99" s="26"/>
      <c r="K99" s="135">
        <f t="shared" si="10"/>
        <v>0</v>
      </c>
      <c r="L99" s="29"/>
      <c r="M99" s="104"/>
      <c r="N99" s="30" t="str">
        <f t="shared" si="12"/>
        <v>-</v>
      </c>
      <c r="O99" s="30" t="str">
        <f t="shared" si="8"/>
        <v>-</v>
      </c>
      <c r="P99" s="31" t="str">
        <f t="shared" si="11"/>
        <v>-</v>
      </c>
      <c r="Q99" s="32" t="str">
        <f t="shared" si="13"/>
        <v>-</v>
      </c>
      <c r="S99" s="32" t="str">
        <f t="shared" si="9"/>
        <v>-</v>
      </c>
    </row>
    <row r="100" spans="1:19" x14ac:dyDescent="0.3">
      <c r="A100" s="134">
        <v>100009623</v>
      </c>
      <c r="B100" s="23">
        <v>3341</v>
      </c>
      <c r="C100" s="38">
        <v>33984033412</v>
      </c>
      <c r="D100" s="39" t="s">
        <v>38</v>
      </c>
      <c r="E100" s="26">
        <v>250</v>
      </c>
      <c r="F100" s="27">
        <v>0.492432350662175</v>
      </c>
      <c r="G100" s="26">
        <v>20</v>
      </c>
      <c r="H100" s="105" t="s">
        <v>851</v>
      </c>
      <c r="I100" s="28">
        <v>9.9538893999999996</v>
      </c>
      <c r="J100" s="26"/>
      <c r="K100" s="135">
        <f t="shared" si="10"/>
        <v>0</v>
      </c>
      <c r="L100" s="29"/>
      <c r="M100" s="104"/>
      <c r="N100" s="30" t="str">
        <f t="shared" si="12"/>
        <v>-</v>
      </c>
      <c r="O100" s="30" t="str">
        <f t="shared" si="8"/>
        <v>-</v>
      </c>
      <c r="P100" s="31" t="str">
        <f t="shared" si="11"/>
        <v>-</v>
      </c>
      <c r="Q100" s="32" t="str">
        <f t="shared" si="13"/>
        <v>-</v>
      </c>
      <c r="S100" s="32" t="str">
        <f t="shared" si="9"/>
        <v>-</v>
      </c>
    </row>
    <row r="101" spans="1:19" x14ac:dyDescent="0.3">
      <c r="A101" s="134">
        <v>100009615</v>
      </c>
      <c r="B101" s="23">
        <v>3314</v>
      </c>
      <c r="C101" s="38">
        <v>33984033146</v>
      </c>
      <c r="D101" s="39" t="s">
        <v>44</v>
      </c>
      <c r="E101" s="26">
        <v>240</v>
      </c>
      <c r="F101" s="27">
        <v>0.492432350662175</v>
      </c>
      <c r="G101" s="26">
        <v>20</v>
      </c>
      <c r="H101" s="105" t="s">
        <v>851</v>
      </c>
      <c r="I101" s="28">
        <v>25.199719999999999</v>
      </c>
      <c r="J101" s="26"/>
      <c r="K101" s="135">
        <f t="shared" si="10"/>
        <v>0</v>
      </c>
      <c r="L101" s="29"/>
      <c r="M101" s="104"/>
      <c r="N101" s="30" t="str">
        <f t="shared" si="12"/>
        <v>-</v>
      </c>
      <c r="O101" s="30" t="str">
        <f t="shared" si="8"/>
        <v>-</v>
      </c>
      <c r="P101" s="31" t="str">
        <f t="shared" si="11"/>
        <v>-</v>
      </c>
      <c r="Q101" s="32" t="str">
        <f t="shared" si="13"/>
        <v>-</v>
      </c>
      <c r="S101" s="32" t="str">
        <f t="shared" si="9"/>
        <v>-</v>
      </c>
    </row>
    <row r="102" spans="1:19" x14ac:dyDescent="0.3">
      <c r="A102" s="134">
        <v>100009630</v>
      </c>
      <c r="B102" s="23">
        <v>3461</v>
      </c>
      <c r="C102" s="38">
        <v>33984034617</v>
      </c>
      <c r="D102" s="45" t="s">
        <v>48</v>
      </c>
      <c r="E102" s="26">
        <v>100</v>
      </c>
      <c r="F102" s="27">
        <v>0.19295000000000001</v>
      </c>
      <c r="G102" s="26">
        <v>36</v>
      </c>
      <c r="H102" s="105" t="s">
        <v>851</v>
      </c>
      <c r="I102" s="28">
        <v>6.047932799999999</v>
      </c>
      <c r="J102" s="26"/>
      <c r="K102" s="135">
        <f t="shared" si="10"/>
        <v>0</v>
      </c>
      <c r="L102" s="29"/>
      <c r="M102" s="104"/>
      <c r="N102" s="30" t="str">
        <f t="shared" si="12"/>
        <v>-</v>
      </c>
      <c r="O102" s="30" t="str">
        <f t="shared" si="8"/>
        <v>-</v>
      </c>
      <c r="P102" s="31" t="str">
        <f t="shared" si="11"/>
        <v>-</v>
      </c>
      <c r="Q102" s="32" t="str">
        <f t="shared" si="13"/>
        <v>-</v>
      </c>
      <c r="S102" s="32" t="str">
        <f t="shared" si="9"/>
        <v>-</v>
      </c>
    </row>
    <row r="103" spans="1:19" x14ac:dyDescent="0.3">
      <c r="A103" s="134">
        <v>100009379</v>
      </c>
      <c r="B103" s="23">
        <v>1600</v>
      </c>
      <c r="C103" s="38">
        <v>33984016002</v>
      </c>
      <c r="D103" s="45" t="s">
        <v>55</v>
      </c>
      <c r="E103" s="26" t="s">
        <v>273</v>
      </c>
      <c r="F103" s="27">
        <v>0.13217403952185716</v>
      </c>
      <c r="G103" s="26">
        <v>49</v>
      </c>
      <c r="H103" s="105" t="s">
        <v>851</v>
      </c>
      <c r="I103" s="28">
        <v>9.9538893999999996</v>
      </c>
      <c r="J103" s="26"/>
      <c r="K103" s="135">
        <f t="shared" si="10"/>
        <v>0</v>
      </c>
      <c r="L103" s="29"/>
      <c r="M103" s="104"/>
      <c r="N103" s="30" t="str">
        <f t="shared" si="12"/>
        <v>-</v>
      </c>
      <c r="O103" s="30" t="str">
        <f t="shared" si="8"/>
        <v>-</v>
      </c>
      <c r="P103" s="31" t="str">
        <f t="shared" si="11"/>
        <v>-</v>
      </c>
      <c r="Q103" s="32" t="str">
        <f t="shared" si="13"/>
        <v>-</v>
      </c>
      <c r="S103" s="32" t="str">
        <f t="shared" si="9"/>
        <v>-</v>
      </c>
    </row>
    <row r="104" spans="1:19" x14ac:dyDescent="0.3">
      <c r="A104" s="134">
        <v>100009585</v>
      </c>
      <c r="B104" s="23">
        <v>2980</v>
      </c>
      <c r="C104" s="38">
        <v>33984029804</v>
      </c>
      <c r="D104" s="39" t="s">
        <v>58</v>
      </c>
      <c r="E104" s="26">
        <v>100</v>
      </c>
      <c r="F104" s="27">
        <v>0.31780000000000003</v>
      </c>
      <c r="G104" s="26">
        <v>23</v>
      </c>
      <c r="H104" s="105" t="s">
        <v>851</v>
      </c>
      <c r="I104" s="28">
        <v>14.300841099999998</v>
      </c>
      <c r="J104" s="26"/>
      <c r="K104" s="135">
        <f t="shared" si="10"/>
        <v>0</v>
      </c>
      <c r="L104" s="29"/>
      <c r="M104" s="104"/>
      <c r="N104" s="30" t="str">
        <f t="shared" si="12"/>
        <v>-</v>
      </c>
      <c r="O104" s="30" t="str">
        <f t="shared" si="8"/>
        <v>-</v>
      </c>
      <c r="P104" s="31" t="str">
        <f t="shared" si="11"/>
        <v>-</v>
      </c>
      <c r="Q104" s="32" t="str">
        <f t="shared" si="13"/>
        <v>-</v>
      </c>
      <c r="S104" s="32" t="str">
        <f t="shared" si="9"/>
        <v>-</v>
      </c>
    </row>
    <row r="105" spans="1:19" x14ac:dyDescent="0.3">
      <c r="A105" s="134">
        <v>100009589</v>
      </c>
      <c r="B105" s="23">
        <v>3050</v>
      </c>
      <c r="C105" s="38">
        <v>33984030503</v>
      </c>
      <c r="D105" s="39" t="s">
        <v>59</v>
      </c>
      <c r="E105" s="26">
        <v>100</v>
      </c>
      <c r="F105" s="27">
        <v>0.14755000000000001</v>
      </c>
      <c r="G105" s="26">
        <v>36</v>
      </c>
      <c r="H105" s="105" t="s">
        <v>851</v>
      </c>
      <c r="I105" s="28">
        <v>8.819901999999999</v>
      </c>
      <c r="J105" s="26"/>
      <c r="K105" s="135">
        <f t="shared" si="10"/>
        <v>0</v>
      </c>
      <c r="L105" s="29"/>
      <c r="M105" s="104"/>
      <c r="N105" s="30" t="str">
        <f t="shared" si="12"/>
        <v>-</v>
      </c>
      <c r="O105" s="30" t="str">
        <f t="shared" si="8"/>
        <v>-</v>
      </c>
      <c r="P105" s="31" t="str">
        <f t="shared" si="11"/>
        <v>-</v>
      </c>
      <c r="Q105" s="32" t="str">
        <f t="shared" si="13"/>
        <v>-</v>
      </c>
      <c r="S105" s="32" t="str">
        <f t="shared" si="9"/>
        <v>-</v>
      </c>
    </row>
    <row r="106" spans="1:19" x14ac:dyDescent="0.3">
      <c r="A106" s="134">
        <v>100009590</v>
      </c>
      <c r="B106" s="23">
        <v>3082</v>
      </c>
      <c r="C106" s="38">
        <v>33984030824</v>
      </c>
      <c r="D106" s="39" t="s">
        <v>60</v>
      </c>
      <c r="E106" s="26">
        <v>100</v>
      </c>
      <c r="F106" s="27">
        <v>0.15890000000000001</v>
      </c>
      <c r="G106" s="26">
        <v>42</v>
      </c>
      <c r="H106" s="105" t="s">
        <v>851</v>
      </c>
      <c r="I106" s="28">
        <v>5.3549404999999997</v>
      </c>
      <c r="J106" s="26"/>
      <c r="K106" s="135">
        <f t="shared" si="10"/>
        <v>0</v>
      </c>
      <c r="L106" s="29"/>
      <c r="M106" s="104"/>
      <c r="N106" s="30" t="str">
        <f t="shared" si="12"/>
        <v>-</v>
      </c>
      <c r="O106" s="30" t="str">
        <f t="shared" si="8"/>
        <v>-</v>
      </c>
      <c r="P106" s="31" t="str">
        <f t="shared" si="11"/>
        <v>-</v>
      </c>
      <c r="Q106" s="32" t="str">
        <f t="shared" si="13"/>
        <v>-</v>
      </c>
      <c r="S106" s="32" t="str">
        <f t="shared" si="9"/>
        <v>-</v>
      </c>
    </row>
    <row r="107" spans="1:19" x14ac:dyDescent="0.3">
      <c r="A107" s="134">
        <v>100009591</v>
      </c>
      <c r="B107" s="23">
        <v>3100</v>
      </c>
      <c r="C107" s="38">
        <v>33984031005</v>
      </c>
      <c r="D107" s="39" t="s">
        <v>61</v>
      </c>
      <c r="E107" s="26">
        <v>100</v>
      </c>
      <c r="F107" s="27">
        <v>0.14755000000000001</v>
      </c>
      <c r="G107" s="26">
        <v>42</v>
      </c>
      <c r="H107" s="105" t="s">
        <v>851</v>
      </c>
      <c r="I107" s="28">
        <v>6.5519271999999988</v>
      </c>
      <c r="J107" s="26"/>
      <c r="K107" s="135">
        <f t="shared" si="10"/>
        <v>0</v>
      </c>
      <c r="L107" s="29"/>
      <c r="M107" s="104"/>
      <c r="N107" s="30" t="str">
        <f t="shared" si="12"/>
        <v>-</v>
      </c>
      <c r="O107" s="30" t="str">
        <f t="shared" si="8"/>
        <v>-</v>
      </c>
      <c r="P107" s="31" t="str">
        <f t="shared" si="11"/>
        <v>-</v>
      </c>
      <c r="Q107" s="32" t="str">
        <f t="shared" si="13"/>
        <v>-</v>
      </c>
      <c r="S107" s="32" t="str">
        <f t="shared" si="9"/>
        <v>-</v>
      </c>
    </row>
    <row r="108" spans="1:19" x14ac:dyDescent="0.3">
      <c r="A108" s="134">
        <v>100009594</v>
      </c>
      <c r="B108" s="23">
        <v>3120</v>
      </c>
      <c r="C108" s="38">
        <v>33984031203</v>
      </c>
      <c r="D108" s="39" t="s">
        <v>62</v>
      </c>
      <c r="E108" s="26">
        <v>100</v>
      </c>
      <c r="F108" s="27">
        <v>0.15890000000000001</v>
      </c>
      <c r="G108" s="26">
        <v>42</v>
      </c>
      <c r="H108" s="105" t="s">
        <v>851</v>
      </c>
      <c r="I108" s="28">
        <v>6.047932799999999</v>
      </c>
      <c r="J108" s="26"/>
      <c r="K108" s="135">
        <f t="shared" si="10"/>
        <v>0</v>
      </c>
      <c r="L108" s="29"/>
      <c r="M108" s="104"/>
      <c r="N108" s="30" t="str">
        <f t="shared" si="12"/>
        <v>-</v>
      </c>
      <c r="O108" s="30" t="str">
        <f t="shared" si="8"/>
        <v>-</v>
      </c>
      <c r="P108" s="31" t="str">
        <f t="shared" si="11"/>
        <v>-</v>
      </c>
      <c r="Q108" s="32" t="str">
        <f t="shared" si="13"/>
        <v>-</v>
      </c>
      <c r="S108" s="32" t="str">
        <f t="shared" si="9"/>
        <v>-</v>
      </c>
    </row>
    <row r="109" spans="1:19" x14ac:dyDescent="0.3">
      <c r="A109" s="134">
        <v>100009592</v>
      </c>
      <c r="B109" s="23">
        <v>3110</v>
      </c>
      <c r="C109" s="38">
        <v>33984031104</v>
      </c>
      <c r="D109" s="39" t="s">
        <v>63</v>
      </c>
      <c r="E109" s="26">
        <v>100</v>
      </c>
      <c r="F109" s="27">
        <v>0.12485</v>
      </c>
      <c r="G109" s="26">
        <v>42</v>
      </c>
      <c r="H109" s="105" t="s">
        <v>851</v>
      </c>
      <c r="I109" s="28">
        <v>7.8749124999999989</v>
      </c>
      <c r="J109" s="26"/>
      <c r="K109" s="135">
        <f t="shared" si="10"/>
        <v>0</v>
      </c>
      <c r="L109" s="29"/>
      <c r="M109" s="104"/>
      <c r="N109" s="30" t="str">
        <f t="shared" si="12"/>
        <v>-</v>
      </c>
      <c r="O109" s="30" t="str">
        <f t="shared" si="8"/>
        <v>-</v>
      </c>
      <c r="P109" s="31" t="str">
        <f t="shared" si="11"/>
        <v>-</v>
      </c>
      <c r="Q109" s="32" t="str">
        <f t="shared" si="13"/>
        <v>-</v>
      </c>
      <c r="S109" s="32" t="str">
        <f t="shared" si="9"/>
        <v>-</v>
      </c>
    </row>
    <row r="110" spans="1:19" x14ac:dyDescent="0.3">
      <c r="A110" s="134">
        <v>100009597</v>
      </c>
      <c r="B110" s="23">
        <v>3180</v>
      </c>
      <c r="C110" s="38">
        <v>33984031807</v>
      </c>
      <c r="D110" s="39" t="s">
        <v>64</v>
      </c>
      <c r="E110" s="26">
        <v>100</v>
      </c>
      <c r="F110" s="27">
        <v>0.15248695497566667</v>
      </c>
      <c r="G110" s="26">
        <v>42</v>
      </c>
      <c r="H110" s="105" t="s">
        <v>851</v>
      </c>
      <c r="I110" s="28">
        <v>5.4809390999999987</v>
      </c>
      <c r="J110" s="26"/>
      <c r="K110" s="135">
        <f t="shared" si="10"/>
        <v>0</v>
      </c>
      <c r="L110" s="29"/>
      <c r="M110" s="104"/>
      <c r="N110" s="30" t="str">
        <f t="shared" si="12"/>
        <v>-</v>
      </c>
      <c r="O110" s="30" t="str">
        <f t="shared" si="8"/>
        <v>-</v>
      </c>
      <c r="P110" s="31" t="str">
        <f t="shared" si="11"/>
        <v>-</v>
      </c>
      <c r="Q110" s="32" t="str">
        <f t="shared" si="13"/>
        <v>-</v>
      </c>
      <c r="S110" s="32" t="str">
        <f t="shared" si="9"/>
        <v>-</v>
      </c>
    </row>
    <row r="111" spans="1:19" x14ac:dyDescent="0.3">
      <c r="A111" s="134">
        <v>100009601</v>
      </c>
      <c r="B111" s="23">
        <v>3220</v>
      </c>
      <c r="C111" s="38">
        <v>33984032200</v>
      </c>
      <c r="D111" s="39" t="s">
        <v>65</v>
      </c>
      <c r="E111" s="26">
        <v>100</v>
      </c>
      <c r="F111" s="27">
        <v>0.19295000000000001</v>
      </c>
      <c r="G111" s="26">
        <v>36</v>
      </c>
      <c r="H111" s="105" t="s">
        <v>851</v>
      </c>
      <c r="I111" s="28">
        <v>7.5599159999999994</v>
      </c>
      <c r="J111" s="26"/>
      <c r="K111" s="135">
        <f t="shared" si="10"/>
        <v>0</v>
      </c>
      <c r="L111" s="29"/>
      <c r="M111" s="104"/>
      <c r="N111" s="30" t="str">
        <f t="shared" si="12"/>
        <v>-</v>
      </c>
      <c r="O111" s="30" t="str">
        <f t="shared" si="8"/>
        <v>-</v>
      </c>
      <c r="P111" s="31" t="str">
        <f t="shared" si="11"/>
        <v>-</v>
      </c>
      <c r="Q111" s="32" t="str">
        <f t="shared" si="13"/>
        <v>-</v>
      </c>
      <c r="S111" s="32" t="str">
        <f t="shared" si="9"/>
        <v>-</v>
      </c>
    </row>
    <row r="112" spans="1:19" x14ac:dyDescent="0.3">
      <c r="A112" s="134">
        <v>100009456</v>
      </c>
      <c r="B112" s="23">
        <v>1959</v>
      </c>
      <c r="C112" s="38">
        <v>33984019591</v>
      </c>
      <c r="D112" s="39" t="s">
        <v>68</v>
      </c>
      <c r="E112" s="26">
        <v>60</v>
      </c>
      <c r="F112" s="27">
        <v>0.12485</v>
      </c>
      <c r="G112" s="26">
        <v>36</v>
      </c>
      <c r="H112" s="105" t="s">
        <v>851</v>
      </c>
      <c r="I112" s="28">
        <v>17.639803999999998</v>
      </c>
      <c r="J112" s="26"/>
      <c r="K112" s="135">
        <f t="shared" si="10"/>
        <v>0</v>
      </c>
      <c r="L112" s="29"/>
      <c r="M112" s="104"/>
      <c r="N112" s="30" t="str">
        <f t="shared" si="12"/>
        <v>-</v>
      </c>
      <c r="O112" s="30" t="str">
        <f t="shared" si="8"/>
        <v>-</v>
      </c>
      <c r="P112" s="31" t="str">
        <f t="shared" si="11"/>
        <v>-</v>
      </c>
      <c r="Q112" s="32" t="str">
        <f t="shared" si="13"/>
        <v>-</v>
      </c>
      <c r="S112" s="32" t="str">
        <f t="shared" si="9"/>
        <v>-</v>
      </c>
    </row>
    <row r="113" spans="1:19" x14ac:dyDescent="0.3">
      <c r="A113" s="134">
        <v>100009184</v>
      </c>
      <c r="B113" s="23">
        <v>830</v>
      </c>
      <c r="C113" s="38">
        <v>33984008304</v>
      </c>
      <c r="D113" s="39" t="s">
        <v>74</v>
      </c>
      <c r="E113" s="26">
        <v>100</v>
      </c>
      <c r="F113" s="27">
        <v>0.332835875277675</v>
      </c>
      <c r="G113" s="26">
        <v>20</v>
      </c>
      <c r="H113" s="105" t="s">
        <v>851</v>
      </c>
      <c r="I113" s="28">
        <v>11.339873999999998</v>
      </c>
      <c r="J113" s="26"/>
      <c r="K113" s="135">
        <f t="shared" si="10"/>
        <v>0</v>
      </c>
      <c r="L113" s="29"/>
      <c r="M113" s="104"/>
      <c r="N113" s="30" t="str">
        <f t="shared" si="12"/>
        <v>-</v>
      </c>
      <c r="O113" s="30" t="str">
        <f t="shared" si="8"/>
        <v>-</v>
      </c>
      <c r="P113" s="31" t="str">
        <f t="shared" si="11"/>
        <v>-</v>
      </c>
      <c r="Q113" s="32" t="str">
        <f t="shared" si="13"/>
        <v>-</v>
      </c>
      <c r="S113" s="32" t="str">
        <f t="shared" si="9"/>
        <v>-</v>
      </c>
    </row>
    <row r="114" spans="1:19" x14ac:dyDescent="0.3">
      <c r="A114" s="134">
        <v>100065249</v>
      </c>
      <c r="B114" s="23">
        <v>53596</v>
      </c>
      <c r="C114" s="38">
        <v>33984535961</v>
      </c>
      <c r="D114" s="39" t="s">
        <v>78</v>
      </c>
      <c r="E114" s="26">
        <v>120</v>
      </c>
      <c r="F114" s="27">
        <v>0.17024999999999998</v>
      </c>
      <c r="G114" s="26">
        <v>36</v>
      </c>
      <c r="H114" s="105" t="s">
        <v>851</v>
      </c>
      <c r="I114" s="28">
        <v>20.789768999999996</v>
      </c>
      <c r="J114" s="26"/>
      <c r="K114" s="135">
        <f t="shared" si="10"/>
        <v>0</v>
      </c>
      <c r="L114" s="29"/>
      <c r="M114" s="104"/>
      <c r="N114" s="30" t="str">
        <f t="shared" si="12"/>
        <v>-</v>
      </c>
      <c r="O114" s="30" t="str">
        <f t="shared" si="8"/>
        <v>-</v>
      </c>
      <c r="P114" s="31" t="str">
        <f t="shared" si="11"/>
        <v>-</v>
      </c>
      <c r="Q114" s="32" t="str">
        <f t="shared" si="13"/>
        <v>-</v>
      </c>
      <c r="S114" s="32" t="str">
        <f t="shared" si="9"/>
        <v>-</v>
      </c>
    </row>
    <row r="115" spans="1:19" x14ac:dyDescent="0.3">
      <c r="A115" s="134">
        <v>100009274</v>
      </c>
      <c r="B115" s="23">
        <v>1101</v>
      </c>
      <c r="C115" s="38">
        <v>33984011014</v>
      </c>
      <c r="D115" s="39" t="s">
        <v>80</v>
      </c>
      <c r="E115" s="26">
        <v>250</v>
      </c>
      <c r="F115" s="27">
        <v>0.28375</v>
      </c>
      <c r="G115" s="26">
        <v>25</v>
      </c>
      <c r="H115" s="105" t="s">
        <v>851</v>
      </c>
      <c r="I115" s="28">
        <v>10.331885199999999</v>
      </c>
      <c r="J115" s="26"/>
      <c r="K115" s="135">
        <f t="shared" si="10"/>
        <v>0</v>
      </c>
      <c r="L115" s="29"/>
      <c r="M115" s="104"/>
      <c r="N115" s="30" t="str">
        <f t="shared" si="12"/>
        <v>-</v>
      </c>
      <c r="O115" s="30" t="str">
        <f t="shared" si="8"/>
        <v>-</v>
      </c>
      <c r="P115" s="31" t="str">
        <f t="shared" si="11"/>
        <v>-</v>
      </c>
      <c r="Q115" s="32" t="str">
        <f t="shared" si="13"/>
        <v>-</v>
      </c>
      <c r="S115" s="32" t="str">
        <f t="shared" si="9"/>
        <v>-</v>
      </c>
    </row>
    <row r="116" spans="1:19" x14ac:dyDescent="0.3">
      <c r="A116" s="134">
        <v>100009437</v>
      </c>
      <c r="B116" s="23">
        <v>1860</v>
      </c>
      <c r="C116" s="38">
        <v>33984018600</v>
      </c>
      <c r="D116" s="39" t="s">
        <v>83</v>
      </c>
      <c r="E116" s="26">
        <v>100</v>
      </c>
      <c r="F116" s="27">
        <v>0.15890000000000001</v>
      </c>
      <c r="G116" s="26">
        <v>42</v>
      </c>
      <c r="H116" s="105" t="s">
        <v>851</v>
      </c>
      <c r="I116" s="28">
        <v>5.4809390999999987</v>
      </c>
      <c r="J116" s="26"/>
      <c r="K116" s="135">
        <f t="shared" si="10"/>
        <v>0</v>
      </c>
      <c r="L116" s="29"/>
      <c r="M116" s="104"/>
      <c r="N116" s="30" t="str">
        <f t="shared" si="12"/>
        <v>-</v>
      </c>
      <c r="O116" s="30" t="str">
        <f t="shared" si="8"/>
        <v>-</v>
      </c>
      <c r="P116" s="31" t="str">
        <f t="shared" si="11"/>
        <v>-</v>
      </c>
      <c r="Q116" s="32" t="str">
        <f t="shared" si="13"/>
        <v>-</v>
      </c>
      <c r="S116" s="32" t="str">
        <f t="shared" si="9"/>
        <v>-</v>
      </c>
    </row>
    <row r="117" spans="1:19" x14ac:dyDescent="0.3">
      <c r="A117" s="134">
        <v>100009435</v>
      </c>
      <c r="B117" s="23">
        <v>1851</v>
      </c>
      <c r="C117" s="38">
        <v>33984018518</v>
      </c>
      <c r="D117" s="39" t="s">
        <v>84</v>
      </c>
      <c r="E117" s="26">
        <v>100</v>
      </c>
      <c r="F117" s="27">
        <v>0.22700000000000001</v>
      </c>
      <c r="G117" s="26">
        <v>23</v>
      </c>
      <c r="H117" s="105" t="s">
        <v>851</v>
      </c>
      <c r="I117" s="28">
        <v>10.331885199999999</v>
      </c>
      <c r="J117" s="26"/>
      <c r="K117" s="135">
        <f t="shared" si="10"/>
        <v>0</v>
      </c>
      <c r="L117" s="29"/>
      <c r="M117" s="104"/>
      <c r="N117" s="30" t="str">
        <f t="shared" si="12"/>
        <v>-</v>
      </c>
      <c r="O117" s="30" t="str">
        <f t="shared" si="8"/>
        <v>-</v>
      </c>
      <c r="P117" s="31" t="str">
        <f t="shared" si="11"/>
        <v>-</v>
      </c>
      <c r="Q117" s="32" t="str">
        <f t="shared" si="13"/>
        <v>-</v>
      </c>
      <c r="S117" s="32" t="str">
        <f t="shared" si="9"/>
        <v>-</v>
      </c>
    </row>
    <row r="118" spans="1:19" x14ac:dyDescent="0.3">
      <c r="A118" s="134">
        <v>100009441</v>
      </c>
      <c r="B118" s="23">
        <v>1911</v>
      </c>
      <c r="C118" s="38">
        <v>33984019119</v>
      </c>
      <c r="D118" s="45" t="s">
        <v>85</v>
      </c>
      <c r="E118" s="26">
        <v>100</v>
      </c>
      <c r="F118" s="27">
        <v>0.23835000000000001</v>
      </c>
      <c r="G118" s="26">
        <v>23</v>
      </c>
      <c r="H118" s="105" t="s">
        <v>851</v>
      </c>
      <c r="I118" s="28">
        <v>17.009810999999999</v>
      </c>
      <c r="J118" s="26"/>
      <c r="K118" s="135">
        <f t="shared" si="10"/>
        <v>0</v>
      </c>
      <c r="L118" s="29"/>
      <c r="M118" s="104"/>
      <c r="N118" s="30" t="str">
        <f t="shared" si="12"/>
        <v>-</v>
      </c>
      <c r="O118" s="30" t="str">
        <f t="shared" si="8"/>
        <v>-</v>
      </c>
      <c r="P118" s="31" t="str">
        <f t="shared" si="11"/>
        <v>-</v>
      </c>
      <c r="Q118" s="32" t="str">
        <f t="shared" si="13"/>
        <v>-</v>
      </c>
      <c r="S118" s="32" t="str">
        <f t="shared" si="9"/>
        <v>-</v>
      </c>
    </row>
    <row r="119" spans="1:19" x14ac:dyDescent="0.3">
      <c r="A119" s="134">
        <v>100009107</v>
      </c>
      <c r="B119" s="23">
        <v>201</v>
      </c>
      <c r="C119" s="38">
        <v>33984002012</v>
      </c>
      <c r="D119" s="39" t="s">
        <v>87</v>
      </c>
      <c r="E119" s="26">
        <v>250</v>
      </c>
      <c r="F119" s="27">
        <v>0.44265000000000004</v>
      </c>
      <c r="G119" s="26">
        <v>20</v>
      </c>
      <c r="H119" s="105" t="s">
        <v>851</v>
      </c>
      <c r="I119" s="28">
        <v>20.159775999999997</v>
      </c>
      <c r="J119" s="26"/>
      <c r="K119" s="135">
        <f t="shared" si="10"/>
        <v>0</v>
      </c>
      <c r="L119" s="29"/>
      <c r="M119" s="104"/>
      <c r="N119" s="30" t="str">
        <f t="shared" si="12"/>
        <v>-</v>
      </c>
      <c r="O119" s="30" t="str">
        <f t="shared" si="8"/>
        <v>-</v>
      </c>
      <c r="P119" s="31" t="str">
        <f t="shared" si="11"/>
        <v>-</v>
      </c>
      <c r="Q119" s="32" t="str">
        <f t="shared" si="13"/>
        <v>-</v>
      </c>
      <c r="S119" s="32" t="str">
        <f t="shared" si="9"/>
        <v>-</v>
      </c>
    </row>
    <row r="120" spans="1:19" x14ac:dyDescent="0.3">
      <c r="A120" s="134">
        <v>100009288</v>
      </c>
      <c r="B120" s="23">
        <v>1161</v>
      </c>
      <c r="C120" s="38">
        <v>33984011618</v>
      </c>
      <c r="D120" s="39" t="s">
        <v>89</v>
      </c>
      <c r="E120" s="26">
        <v>100</v>
      </c>
      <c r="F120" s="27">
        <v>0.30645</v>
      </c>
      <c r="G120" s="26">
        <v>23</v>
      </c>
      <c r="H120" s="105" t="s">
        <v>851</v>
      </c>
      <c r="I120" s="28">
        <v>15.4978278</v>
      </c>
      <c r="J120" s="26"/>
      <c r="K120" s="135">
        <f t="shared" si="10"/>
        <v>0</v>
      </c>
      <c r="L120" s="29"/>
      <c r="M120" s="104"/>
      <c r="N120" s="30" t="str">
        <f t="shared" si="12"/>
        <v>-</v>
      </c>
      <c r="O120" s="30" t="str">
        <f t="shared" si="8"/>
        <v>-</v>
      </c>
      <c r="P120" s="31" t="str">
        <f t="shared" si="11"/>
        <v>-</v>
      </c>
      <c r="Q120" s="32" t="str">
        <f t="shared" si="13"/>
        <v>-</v>
      </c>
      <c r="S120" s="32" t="str">
        <f t="shared" si="9"/>
        <v>-</v>
      </c>
    </row>
    <row r="121" spans="1:19" x14ac:dyDescent="0.3">
      <c r="A121" s="134">
        <v>100009257</v>
      </c>
      <c r="B121" s="23">
        <v>1049</v>
      </c>
      <c r="C121" s="38">
        <v>33984010499</v>
      </c>
      <c r="D121" s="45" t="s">
        <v>94</v>
      </c>
      <c r="E121" s="26">
        <v>250</v>
      </c>
      <c r="F121" s="27">
        <v>0.52415858548659378</v>
      </c>
      <c r="G121" s="26">
        <v>16</v>
      </c>
      <c r="H121" s="105" t="s">
        <v>851</v>
      </c>
      <c r="I121" s="28">
        <v>27.341696199999998</v>
      </c>
      <c r="J121" s="26"/>
      <c r="K121" s="135">
        <f t="shared" si="10"/>
        <v>0</v>
      </c>
      <c r="L121" s="29"/>
      <c r="M121" s="104"/>
      <c r="N121" s="30" t="str">
        <f t="shared" si="12"/>
        <v>-</v>
      </c>
      <c r="O121" s="30" t="str">
        <f t="shared" si="8"/>
        <v>-</v>
      </c>
      <c r="P121" s="31" t="str">
        <f t="shared" si="11"/>
        <v>-</v>
      </c>
      <c r="Q121" s="32" t="str">
        <f t="shared" si="13"/>
        <v>-</v>
      </c>
      <c r="S121" s="32" t="str">
        <f t="shared" si="9"/>
        <v>-</v>
      </c>
    </row>
    <row r="122" spans="1:19" x14ac:dyDescent="0.3">
      <c r="A122" s="136">
        <v>100009260</v>
      </c>
      <c r="B122" s="47">
        <v>1052</v>
      </c>
      <c r="C122" s="48">
        <v>33984010529</v>
      </c>
      <c r="D122" s="49" t="s">
        <v>96</v>
      </c>
      <c r="E122" s="50">
        <v>90</v>
      </c>
      <c r="F122" s="51">
        <v>0.43130000000000002</v>
      </c>
      <c r="G122" s="50">
        <v>20</v>
      </c>
      <c r="H122" s="105" t="s">
        <v>851</v>
      </c>
      <c r="I122" s="52">
        <v>13.859845999999997</v>
      </c>
      <c r="J122" s="50"/>
      <c r="K122" s="137">
        <f t="shared" si="10"/>
        <v>0</v>
      </c>
      <c r="L122" s="29"/>
      <c r="M122" s="104"/>
      <c r="N122" s="30" t="str">
        <f t="shared" si="12"/>
        <v>-</v>
      </c>
      <c r="O122" s="30" t="str">
        <f t="shared" si="8"/>
        <v>-</v>
      </c>
      <c r="P122" s="31" t="str">
        <f t="shared" si="11"/>
        <v>-</v>
      </c>
      <c r="Q122" s="32" t="str">
        <f t="shared" si="13"/>
        <v>-</v>
      </c>
      <c r="S122" s="32" t="str">
        <f t="shared" si="9"/>
        <v>-</v>
      </c>
    </row>
    <row r="123" spans="1:19" x14ac:dyDescent="0.3">
      <c r="A123" s="134">
        <v>100009605</v>
      </c>
      <c r="B123" s="23">
        <v>3261</v>
      </c>
      <c r="C123" s="38">
        <v>33984032613</v>
      </c>
      <c r="D123" s="45" t="s">
        <v>99</v>
      </c>
      <c r="E123" s="26">
        <v>250</v>
      </c>
      <c r="F123" s="27">
        <v>0.33495953805496875</v>
      </c>
      <c r="G123" s="26">
        <v>12</v>
      </c>
      <c r="H123" s="105" t="s">
        <v>851</v>
      </c>
      <c r="I123" s="28">
        <v>19.0887879</v>
      </c>
      <c r="J123" s="26"/>
      <c r="K123" s="135">
        <f t="shared" si="10"/>
        <v>0</v>
      </c>
      <c r="L123" s="29"/>
      <c r="M123" s="104"/>
      <c r="N123" s="30" t="str">
        <f t="shared" si="12"/>
        <v>-</v>
      </c>
      <c r="O123" s="30" t="str">
        <f t="shared" si="8"/>
        <v>-</v>
      </c>
      <c r="P123" s="31" t="str">
        <f t="shared" si="11"/>
        <v>-</v>
      </c>
      <c r="Q123" s="32" t="str">
        <f t="shared" si="13"/>
        <v>-</v>
      </c>
      <c r="S123" s="32" t="str">
        <f t="shared" ref="S123:S175" si="14">IFERROR(IF(Q123+K123=0, "-", IF(Q123&gt;0, Q123+K123, "-")), "-")</f>
        <v>-</v>
      </c>
    </row>
    <row r="124" spans="1:19" x14ac:dyDescent="0.3">
      <c r="A124" s="134">
        <v>100009607</v>
      </c>
      <c r="B124" s="23">
        <v>3280</v>
      </c>
      <c r="C124" s="38">
        <v>33984032804</v>
      </c>
      <c r="D124" s="45" t="s">
        <v>101</v>
      </c>
      <c r="E124" s="26">
        <v>100</v>
      </c>
      <c r="F124" s="27">
        <v>0.332835875277675</v>
      </c>
      <c r="G124" s="26">
        <v>20</v>
      </c>
      <c r="H124" s="105" t="s">
        <v>851</v>
      </c>
      <c r="I124" s="28">
        <v>12.914856499999997</v>
      </c>
      <c r="J124" s="26"/>
      <c r="K124" s="135">
        <f t="shared" si="10"/>
        <v>0</v>
      </c>
      <c r="L124" s="29"/>
      <c r="M124" s="104"/>
      <c r="N124" s="30" t="str">
        <f t="shared" si="12"/>
        <v>-</v>
      </c>
      <c r="O124" s="30" t="str">
        <f t="shared" ref="O124:O182" si="15">IFERROR(IF(N124&gt;0,I124+N124,"-"),"-")</f>
        <v>-</v>
      </c>
      <c r="P124" s="31" t="str">
        <f t="shared" si="11"/>
        <v>-</v>
      </c>
      <c r="Q124" s="32" t="str">
        <f t="shared" si="13"/>
        <v>-</v>
      </c>
      <c r="S124" s="32" t="str">
        <f t="shared" si="14"/>
        <v>-</v>
      </c>
    </row>
    <row r="125" spans="1:19" x14ac:dyDescent="0.3">
      <c r="A125" s="134">
        <v>100009513</v>
      </c>
      <c r="B125" s="23">
        <v>2318</v>
      </c>
      <c r="C125" s="38">
        <v>33984023185</v>
      </c>
      <c r="D125" s="45" t="s">
        <v>102</v>
      </c>
      <c r="E125" s="26">
        <v>50</v>
      </c>
      <c r="F125" s="27">
        <v>0.20429999999999998</v>
      </c>
      <c r="G125" s="26">
        <v>30</v>
      </c>
      <c r="H125" s="105" t="s">
        <v>851</v>
      </c>
      <c r="I125" s="28">
        <v>10.709880999999999</v>
      </c>
      <c r="J125" s="26"/>
      <c r="K125" s="135">
        <f t="shared" si="10"/>
        <v>0</v>
      </c>
      <c r="L125" s="29"/>
      <c r="M125" s="104"/>
      <c r="N125" s="30" t="str">
        <f t="shared" si="12"/>
        <v>-</v>
      </c>
      <c r="O125" s="30" t="str">
        <f t="shared" si="15"/>
        <v>-</v>
      </c>
      <c r="P125" s="31" t="str">
        <f t="shared" si="11"/>
        <v>-</v>
      </c>
      <c r="Q125" s="32" t="str">
        <f t="shared" si="13"/>
        <v>-</v>
      </c>
      <c r="S125" s="32" t="str">
        <f t="shared" si="14"/>
        <v>-</v>
      </c>
    </row>
    <row r="126" spans="1:19" x14ac:dyDescent="0.3">
      <c r="A126" s="134">
        <v>100009523</v>
      </c>
      <c r="B126" s="23">
        <v>2380</v>
      </c>
      <c r="C126" s="38">
        <v>33984023802</v>
      </c>
      <c r="D126" s="45" t="s">
        <v>103</v>
      </c>
      <c r="E126" s="26">
        <v>100</v>
      </c>
      <c r="F126" s="27">
        <v>0.28375</v>
      </c>
      <c r="G126" s="26">
        <v>25</v>
      </c>
      <c r="H126" s="105" t="s">
        <v>851</v>
      </c>
      <c r="I126" s="28">
        <v>6.9299229999999987</v>
      </c>
      <c r="J126" s="26"/>
      <c r="K126" s="135">
        <f t="shared" si="10"/>
        <v>0</v>
      </c>
      <c r="L126" s="29"/>
      <c r="M126" s="104"/>
      <c r="N126" s="30" t="str">
        <f t="shared" si="12"/>
        <v>-</v>
      </c>
      <c r="O126" s="30" t="str">
        <f t="shared" si="15"/>
        <v>-</v>
      </c>
      <c r="P126" s="31" t="str">
        <f t="shared" si="11"/>
        <v>-</v>
      </c>
      <c r="Q126" s="32" t="str">
        <f t="shared" si="13"/>
        <v>-</v>
      </c>
      <c r="S126" s="32" t="str">
        <f t="shared" si="14"/>
        <v>-</v>
      </c>
    </row>
    <row r="127" spans="1:19" x14ac:dyDescent="0.3">
      <c r="A127" s="134">
        <v>100009525</v>
      </c>
      <c r="B127" s="23">
        <v>2400</v>
      </c>
      <c r="C127" s="38">
        <v>33984024007</v>
      </c>
      <c r="D127" s="45" t="s">
        <v>104</v>
      </c>
      <c r="E127" s="26">
        <v>100</v>
      </c>
      <c r="F127" s="27">
        <v>0.32915</v>
      </c>
      <c r="G127" s="26">
        <v>23</v>
      </c>
      <c r="H127" s="105" t="s">
        <v>851</v>
      </c>
      <c r="I127" s="28">
        <v>9.9538893999999996</v>
      </c>
      <c r="J127" s="26"/>
      <c r="K127" s="135">
        <f t="shared" si="10"/>
        <v>0</v>
      </c>
      <c r="L127" s="29"/>
      <c r="M127" s="104"/>
      <c r="N127" s="30" t="str">
        <f t="shared" si="12"/>
        <v>-</v>
      </c>
      <c r="O127" s="30" t="str">
        <f t="shared" si="15"/>
        <v>-</v>
      </c>
      <c r="P127" s="31" t="str">
        <f t="shared" si="11"/>
        <v>-</v>
      </c>
      <c r="Q127" s="32" t="str">
        <f t="shared" si="13"/>
        <v>-</v>
      </c>
      <c r="S127" s="32" t="str">
        <f t="shared" si="14"/>
        <v>-</v>
      </c>
    </row>
    <row r="128" spans="1:19" x14ac:dyDescent="0.3">
      <c r="A128" s="134">
        <v>100009527</v>
      </c>
      <c r="B128" s="23">
        <v>2420</v>
      </c>
      <c r="C128" s="38">
        <v>33984024205</v>
      </c>
      <c r="D128" s="45" t="s">
        <v>105</v>
      </c>
      <c r="E128" s="26">
        <v>90</v>
      </c>
      <c r="F128" s="27">
        <v>0.41520824966967501</v>
      </c>
      <c r="G128" s="26">
        <v>20</v>
      </c>
      <c r="H128" s="105" t="s">
        <v>851</v>
      </c>
      <c r="I128" s="28">
        <v>12.221864199999997</v>
      </c>
      <c r="J128" s="26"/>
      <c r="K128" s="135">
        <f t="shared" si="10"/>
        <v>0</v>
      </c>
      <c r="L128" s="29"/>
      <c r="M128" s="104"/>
      <c r="N128" s="30" t="str">
        <f t="shared" si="12"/>
        <v>-</v>
      </c>
      <c r="O128" s="30" t="str">
        <f t="shared" si="15"/>
        <v>-</v>
      </c>
      <c r="P128" s="31" t="str">
        <f t="shared" si="11"/>
        <v>-</v>
      </c>
      <c r="Q128" s="32" t="str">
        <f t="shared" si="13"/>
        <v>-</v>
      </c>
      <c r="S128" s="32" t="str">
        <f t="shared" si="14"/>
        <v>-</v>
      </c>
    </row>
    <row r="129" spans="1:19" x14ac:dyDescent="0.3">
      <c r="A129" s="134">
        <v>100009824</v>
      </c>
      <c r="B129" s="23">
        <v>36204</v>
      </c>
      <c r="C129" s="38">
        <v>33984362048</v>
      </c>
      <c r="D129" s="45" t="s">
        <v>106</v>
      </c>
      <c r="E129" s="26">
        <v>30</v>
      </c>
      <c r="F129" s="27">
        <v>0.12485</v>
      </c>
      <c r="G129" s="26">
        <v>36</v>
      </c>
      <c r="H129" s="105" t="s">
        <v>851</v>
      </c>
      <c r="I129" s="28">
        <v>17.639803999999998</v>
      </c>
      <c r="J129" s="26"/>
      <c r="K129" s="135">
        <f t="shared" si="10"/>
        <v>0</v>
      </c>
      <c r="L129" s="29"/>
      <c r="M129" s="104"/>
      <c r="N129" s="30" t="str">
        <f t="shared" si="12"/>
        <v>-</v>
      </c>
      <c r="O129" s="30" t="str">
        <f t="shared" si="15"/>
        <v>-</v>
      </c>
      <c r="P129" s="31" t="str">
        <f t="shared" si="11"/>
        <v>-</v>
      </c>
      <c r="Q129" s="32" t="str">
        <f t="shared" si="13"/>
        <v>-</v>
      </c>
      <c r="S129" s="32" t="str">
        <f t="shared" si="14"/>
        <v>-</v>
      </c>
    </row>
    <row r="130" spans="1:19" x14ac:dyDescent="0.3">
      <c r="A130" s="134">
        <v>100009386</v>
      </c>
      <c r="B130" s="23">
        <v>1677</v>
      </c>
      <c r="C130" s="38">
        <v>33984016774</v>
      </c>
      <c r="D130" s="45" t="s">
        <v>108</v>
      </c>
      <c r="E130" s="26">
        <v>30</v>
      </c>
      <c r="F130" s="27">
        <v>0.19563438918100001</v>
      </c>
      <c r="G130" s="26">
        <v>25</v>
      </c>
      <c r="H130" s="105" t="s">
        <v>851</v>
      </c>
      <c r="I130" s="28">
        <v>18.269796999999997</v>
      </c>
      <c r="J130" s="26"/>
      <c r="K130" s="135">
        <f t="shared" ref="K130:K193" si="16">J130*I130</f>
        <v>0</v>
      </c>
      <c r="L130" s="29"/>
      <c r="M130" s="104"/>
      <c r="N130" s="30" t="str">
        <f t="shared" si="12"/>
        <v>-</v>
      </c>
      <c r="O130" s="30" t="str">
        <f t="shared" si="15"/>
        <v>-</v>
      </c>
      <c r="P130" s="31" t="str">
        <f t="shared" ref="P130:P193" si="17">IF(J130&gt;0,J130*F130, "-")</f>
        <v>-</v>
      </c>
      <c r="Q130" s="32" t="str">
        <f t="shared" si="13"/>
        <v>-</v>
      </c>
      <c r="S130" s="32" t="str">
        <f t="shared" si="14"/>
        <v>-</v>
      </c>
    </row>
    <row r="131" spans="1:19" x14ac:dyDescent="0.3">
      <c r="A131" s="134">
        <v>100009140</v>
      </c>
      <c r="B131" s="23">
        <v>432</v>
      </c>
      <c r="C131" s="38">
        <v>33984004320</v>
      </c>
      <c r="D131" s="39" t="s">
        <v>111</v>
      </c>
      <c r="E131" s="26">
        <v>240</v>
      </c>
      <c r="F131" s="27">
        <v>0.77180000000000004</v>
      </c>
      <c r="G131" s="26">
        <v>12</v>
      </c>
      <c r="H131" s="105" t="s">
        <v>851</v>
      </c>
      <c r="I131" s="28">
        <v>18.5847935</v>
      </c>
      <c r="J131" s="26"/>
      <c r="K131" s="135">
        <f t="shared" si="16"/>
        <v>0</v>
      </c>
      <c r="L131" s="29"/>
      <c r="M131" s="104"/>
      <c r="N131" s="30" t="str">
        <f t="shared" ref="N131:N194" si="18">IFERROR(IF($N$2*F131=0, "-", $N$2*F131), "-")</f>
        <v>-</v>
      </c>
      <c r="O131" s="30" t="str">
        <f t="shared" si="15"/>
        <v>-</v>
      </c>
      <c r="P131" s="31" t="str">
        <f t="shared" si="17"/>
        <v>-</v>
      </c>
      <c r="Q131" s="32" t="str">
        <f t="shared" ref="Q131:Q194" si="19">IFERROR(IF($N$2&gt;0, $N$2*P131, "-"), "-")</f>
        <v>-</v>
      </c>
      <c r="S131" s="32" t="str">
        <f t="shared" si="14"/>
        <v>-</v>
      </c>
    </row>
    <row r="132" spans="1:19" x14ac:dyDescent="0.3">
      <c r="A132" s="134">
        <v>100009319</v>
      </c>
      <c r="B132" s="23">
        <v>1250</v>
      </c>
      <c r="C132" s="38">
        <v>33984012509</v>
      </c>
      <c r="D132" s="39" t="s">
        <v>122</v>
      </c>
      <c r="E132" s="26">
        <v>180</v>
      </c>
      <c r="F132" s="27">
        <v>0.36320000000000002</v>
      </c>
      <c r="G132" s="26">
        <v>20</v>
      </c>
      <c r="H132" s="105" t="s">
        <v>851</v>
      </c>
      <c r="I132" s="28">
        <v>14.804835499999998</v>
      </c>
      <c r="J132" s="26"/>
      <c r="K132" s="135">
        <f t="shared" si="16"/>
        <v>0</v>
      </c>
      <c r="L132" s="29"/>
      <c r="M132" s="104"/>
      <c r="N132" s="30" t="str">
        <f t="shared" si="18"/>
        <v>-</v>
      </c>
      <c r="O132" s="30" t="str">
        <f t="shared" si="15"/>
        <v>-</v>
      </c>
      <c r="P132" s="31" t="str">
        <f t="shared" si="17"/>
        <v>-</v>
      </c>
      <c r="Q132" s="32" t="str">
        <f t="shared" si="19"/>
        <v>-</v>
      </c>
      <c r="S132" s="32" t="str">
        <f t="shared" si="14"/>
        <v>-</v>
      </c>
    </row>
    <row r="133" spans="1:19" x14ac:dyDescent="0.3">
      <c r="A133" s="136">
        <v>100009172</v>
      </c>
      <c r="B133" s="47">
        <v>701</v>
      </c>
      <c r="C133" s="48">
        <v>33984007017</v>
      </c>
      <c r="D133" s="49" t="s">
        <v>125</v>
      </c>
      <c r="E133" s="50">
        <v>250</v>
      </c>
      <c r="F133" s="51">
        <v>0.55633529423346872</v>
      </c>
      <c r="G133" s="50">
        <v>12</v>
      </c>
      <c r="H133" s="105" t="s">
        <v>851</v>
      </c>
      <c r="I133" s="52">
        <v>20.159775999999997</v>
      </c>
      <c r="J133" s="50"/>
      <c r="K133" s="137">
        <f t="shared" si="16"/>
        <v>0</v>
      </c>
      <c r="L133" s="29"/>
      <c r="M133" s="104"/>
      <c r="N133" s="30" t="str">
        <f t="shared" si="18"/>
        <v>-</v>
      </c>
      <c r="O133" s="30" t="str">
        <f t="shared" si="15"/>
        <v>-</v>
      </c>
      <c r="P133" s="31" t="str">
        <f t="shared" si="17"/>
        <v>-</v>
      </c>
      <c r="Q133" s="32" t="str">
        <f t="shared" si="19"/>
        <v>-</v>
      </c>
      <c r="S133" s="32" t="str">
        <f t="shared" si="14"/>
        <v>-</v>
      </c>
    </row>
    <row r="134" spans="1:19" x14ac:dyDescent="0.3">
      <c r="A134" s="134">
        <v>100009173</v>
      </c>
      <c r="B134" s="23">
        <v>720</v>
      </c>
      <c r="C134" s="38">
        <v>33984007208</v>
      </c>
      <c r="D134" s="39" t="s">
        <v>128</v>
      </c>
      <c r="E134" s="26">
        <v>100</v>
      </c>
      <c r="F134" s="27">
        <v>0.15702233868474999</v>
      </c>
      <c r="G134" s="26">
        <v>42</v>
      </c>
      <c r="H134" s="105" t="s">
        <v>851</v>
      </c>
      <c r="I134" s="28">
        <v>6.7409250999999992</v>
      </c>
      <c r="J134" s="26"/>
      <c r="K134" s="135">
        <f t="shared" si="16"/>
        <v>0</v>
      </c>
      <c r="L134" s="29"/>
      <c r="M134" s="104"/>
      <c r="N134" s="30" t="str">
        <f t="shared" si="18"/>
        <v>-</v>
      </c>
      <c r="O134" s="30" t="str">
        <f t="shared" si="15"/>
        <v>-</v>
      </c>
      <c r="P134" s="31" t="str">
        <f t="shared" si="17"/>
        <v>-</v>
      </c>
      <c r="Q134" s="32" t="str">
        <f t="shared" si="19"/>
        <v>-</v>
      </c>
      <c r="S134" s="32" t="str">
        <f t="shared" si="14"/>
        <v>-</v>
      </c>
    </row>
    <row r="135" spans="1:19" x14ac:dyDescent="0.3">
      <c r="A135" s="134">
        <v>100009495</v>
      </c>
      <c r="B135" s="23">
        <v>2260</v>
      </c>
      <c r="C135" s="38">
        <v>33984022607</v>
      </c>
      <c r="D135" s="39" t="s">
        <v>130</v>
      </c>
      <c r="E135" s="26">
        <v>100</v>
      </c>
      <c r="F135" s="27">
        <v>0.30645</v>
      </c>
      <c r="G135" s="26">
        <v>23</v>
      </c>
      <c r="H135" s="105" t="s">
        <v>851</v>
      </c>
      <c r="I135" s="28">
        <v>7.5599159999999994</v>
      </c>
      <c r="J135" s="26"/>
      <c r="K135" s="135">
        <f t="shared" si="16"/>
        <v>0</v>
      </c>
      <c r="L135" s="29"/>
      <c r="M135" s="104"/>
      <c r="N135" s="30" t="str">
        <f t="shared" si="18"/>
        <v>-</v>
      </c>
      <c r="O135" s="30" t="str">
        <f t="shared" si="15"/>
        <v>-</v>
      </c>
      <c r="P135" s="31" t="str">
        <f t="shared" si="17"/>
        <v>-</v>
      </c>
      <c r="Q135" s="32" t="str">
        <f t="shared" si="19"/>
        <v>-</v>
      </c>
      <c r="S135" s="32" t="str">
        <f t="shared" si="14"/>
        <v>-</v>
      </c>
    </row>
    <row r="136" spans="1:19" x14ac:dyDescent="0.3">
      <c r="A136" s="134">
        <v>100009496</v>
      </c>
      <c r="B136" s="23">
        <v>2261</v>
      </c>
      <c r="C136" s="38">
        <v>33984022614</v>
      </c>
      <c r="D136" s="39" t="s">
        <v>130</v>
      </c>
      <c r="E136" s="26">
        <v>250</v>
      </c>
      <c r="F136" s="27">
        <v>0.6129</v>
      </c>
      <c r="G136" s="26">
        <v>12</v>
      </c>
      <c r="H136" s="105" t="s">
        <v>851</v>
      </c>
      <c r="I136" s="28">
        <v>13.859845999999997</v>
      </c>
      <c r="J136" s="26"/>
      <c r="K136" s="135">
        <f t="shared" si="16"/>
        <v>0</v>
      </c>
      <c r="L136" s="29"/>
      <c r="M136" s="104"/>
      <c r="N136" s="30" t="str">
        <f t="shared" si="18"/>
        <v>-</v>
      </c>
      <c r="O136" s="30" t="str">
        <f t="shared" si="15"/>
        <v>-</v>
      </c>
      <c r="P136" s="31" t="str">
        <f t="shared" si="17"/>
        <v>-</v>
      </c>
      <c r="Q136" s="32" t="str">
        <f t="shared" si="19"/>
        <v>-</v>
      </c>
      <c r="S136" s="32" t="str">
        <f t="shared" si="14"/>
        <v>-</v>
      </c>
    </row>
    <row r="137" spans="1:19" x14ac:dyDescent="0.3">
      <c r="A137" s="134">
        <v>100009541</v>
      </c>
      <c r="B137" s="23">
        <v>2541</v>
      </c>
      <c r="C137" s="38">
        <v>33984025417</v>
      </c>
      <c r="D137" s="39" t="s">
        <v>131</v>
      </c>
      <c r="E137" s="26">
        <v>100</v>
      </c>
      <c r="F137" s="27">
        <v>0.26105</v>
      </c>
      <c r="G137" s="26">
        <v>25</v>
      </c>
      <c r="H137" s="105" t="s">
        <v>851</v>
      </c>
      <c r="I137" s="28">
        <v>9.9538893999999996</v>
      </c>
      <c r="J137" s="26"/>
      <c r="K137" s="135">
        <f t="shared" si="16"/>
        <v>0</v>
      </c>
      <c r="L137" s="29"/>
      <c r="M137" s="104"/>
      <c r="N137" s="30" t="str">
        <f t="shared" si="18"/>
        <v>-</v>
      </c>
      <c r="O137" s="30" t="str">
        <f t="shared" si="15"/>
        <v>-</v>
      </c>
      <c r="P137" s="31" t="str">
        <f t="shared" si="17"/>
        <v>-</v>
      </c>
      <c r="Q137" s="32" t="str">
        <f t="shared" si="19"/>
        <v>-</v>
      </c>
      <c r="S137" s="32" t="str">
        <f t="shared" si="14"/>
        <v>-</v>
      </c>
    </row>
    <row r="138" spans="1:19" x14ac:dyDescent="0.3">
      <c r="A138" s="134">
        <v>100009180</v>
      </c>
      <c r="B138" s="23">
        <v>801</v>
      </c>
      <c r="C138" s="38">
        <v>33984008014</v>
      </c>
      <c r="D138" s="39" t="s">
        <v>135</v>
      </c>
      <c r="E138" s="26">
        <v>250</v>
      </c>
      <c r="F138" s="27">
        <v>0.45400000000000001</v>
      </c>
      <c r="G138" s="26">
        <v>20</v>
      </c>
      <c r="H138" s="105" t="s">
        <v>851</v>
      </c>
      <c r="I138" s="28">
        <v>15.119831999999999</v>
      </c>
      <c r="J138" s="26"/>
      <c r="K138" s="135">
        <f t="shared" si="16"/>
        <v>0</v>
      </c>
      <c r="L138" s="29"/>
      <c r="M138" s="104"/>
      <c r="N138" s="30" t="str">
        <f t="shared" si="18"/>
        <v>-</v>
      </c>
      <c r="O138" s="30" t="str">
        <f t="shared" si="15"/>
        <v>-</v>
      </c>
      <c r="P138" s="31" t="str">
        <f t="shared" si="17"/>
        <v>-</v>
      </c>
      <c r="Q138" s="32" t="str">
        <f t="shared" si="19"/>
        <v>-</v>
      </c>
      <c r="S138" s="32" t="str">
        <f t="shared" si="14"/>
        <v>-</v>
      </c>
    </row>
    <row r="139" spans="1:19" x14ac:dyDescent="0.3">
      <c r="A139" s="134">
        <v>100009298</v>
      </c>
      <c r="B139" s="23">
        <v>1182</v>
      </c>
      <c r="C139" s="38">
        <v>33984011823</v>
      </c>
      <c r="D139" s="39" t="s">
        <v>143</v>
      </c>
      <c r="E139" s="26">
        <v>90</v>
      </c>
      <c r="F139" s="27">
        <v>0.43130000000000002</v>
      </c>
      <c r="G139" s="26">
        <v>20</v>
      </c>
      <c r="H139" s="105" t="s">
        <v>851</v>
      </c>
      <c r="I139" s="28">
        <v>19.529782999999998</v>
      </c>
      <c r="J139" s="26"/>
      <c r="K139" s="135">
        <f t="shared" si="16"/>
        <v>0</v>
      </c>
      <c r="L139" s="29"/>
      <c r="M139" s="104"/>
      <c r="N139" s="30" t="str">
        <f t="shared" si="18"/>
        <v>-</v>
      </c>
      <c r="O139" s="30" t="str">
        <f t="shared" si="15"/>
        <v>-</v>
      </c>
      <c r="P139" s="31" t="str">
        <f t="shared" si="17"/>
        <v>-</v>
      </c>
      <c r="Q139" s="32" t="str">
        <f t="shared" si="19"/>
        <v>-</v>
      </c>
      <c r="S139" s="32" t="str">
        <f t="shared" si="14"/>
        <v>-</v>
      </c>
    </row>
    <row r="140" spans="1:19" x14ac:dyDescent="0.3">
      <c r="A140" s="134">
        <v>100009294</v>
      </c>
      <c r="B140" s="23">
        <v>1174</v>
      </c>
      <c r="C140" s="38">
        <v>33984011748</v>
      </c>
      <c r="D140" s="39" t="s">
        <v>144</v>
      </c>
      <c r="E140" s="26">
        <v>90</v>
      </c>
      <c r="F140" s="27">
        <v>0.32915</v>
      </c>
      <c r="G140" s="26">
        <v>23</v>
      </c>
      <c r="H140" s="105" t="s">
        <v>851</v>
      </c>
      <c r="I140" s="28">
        <v>19.529782999999998</v>
      </c>
      <c r="J140" s="26"/>
      <c r="K140" s="135">
        <f t="shared" si="16"/>
        <v>0</v>
      </c>
      <c r="L140" s="29"/>
      <c r="M140" s="104"/>
      <c r="N140" s="30" t="str">
        <f t="shared" si="18"/>
        <v>-</v>
      </c>
      <c r="O140" s="30" t="str">
        <f t="shared" si="15"/>
        <v>-</v>
      </c>
      <c r="P140" s="31" t="str">
        <f t="shared" si="17"/>
        <v>-</v>
      </c>
      <c r="Q140" s="32" t="str">
        <f t="shared" si="19"/>
        <v>-</v>
      </c>
      <c r="S140" s="32" t="str">
        <f t="shared" si="14"/>
        <v>-</v>
      </c>
    </row>
    <row r="141" spans="1:19" x14ac:dyDescent="0.3">
      <c r="A141" s="134">
        <v>100009803</v>
      </c>
      <c r="B141" s="23">
        <v>31405</v>
      </c>
      <c r="C141" s="38">
        <v>33984314054</v>
      </c>
      <c r="D141" s="39" t="s">
        <v>153</v>
      </c>
      <c r="E141" s="26">
        <v>60</v>
      </c>
      <c r="F141" s="27">
        <v>0.26480032311341306</v>
      </c>
      <c r="G141" s="26">
        <v>23</v>
      </c>
      <c r="H141" s="105" t="s">
        <v>851</v>
      </c>
      <c r="I141" s="28">
        <v>22.679747999999996</v>
      </c>
      <c r="J141" s="26"/>
      <c r="K141" s="135">
        <f t="shared" si="16"/>
        <v>0</v>
      </c>
      <c r="L141" s="29"/>
      <c r="M141" s="104"/>
      <c r="N141" s="30" t="str">
        <f t="shared" si="18"/>
        <v>-</v>
      </c>
      <c r="O141" s="30" t="str">
        <f t="shared" si="15"/>
        <v>-</v>
      </c>
      <c r="P141" s="31" t="str">
        <f t="shared" si="17"/>
        <v>-</v>
      </c>
      <c r="Q141" s="32" t="str">
        <f t="shared" si="19"/>
        <v>-</v>
      </c>
      <c r="S141" s="32" t="str">
        <f t="shared" si="14"/>
        <v>-</v>
      </c>
    </row>
    <row r="142" spans="1:19" x14ac:dyDescent="0.3">
      <c r="A142" s="134">
        <v>100076540</v>
      </c>
      <c r="B142" s="23">
        <v>54707</v>
      </c>
      <c r="C142" s="54">
        <v>33984547070</v>
      </c>
      <c r="D142" s="39" t="s">
        <v>160</v>
      </c>
      <c r="E142" s="26">
        <v>60</v>
      </c>
      <c r="F142" s="27">
        <v>0.29377335085896877</v>
      </c>
      <c r="G142" s="26">
        <v>25</v>
      </c>
      <c r="H142" s="105" t="s">
        <v>851</v>
      </c>
      <c r="I142" s="28">
        <v>37.799579999999992</v>
      </c>
      <c r="J142" s="26"/>
      <c r="K142" s="135">
        <f t="shared" si="16"/>
        <v>0</v>
      </c>
      <c r="L142" s="29"/>
      <c r="M142" s="104"/>
      <c r="N142" s="30" t="str">
        <f t="shared" si="18"/>
        <v>-</v>
      </c>
      <c r="O142" s="30" t="str">
        <f t="shared" si="15"/>
        <v>-</v>
      </c>
      <c r="P142" s="31" t="str">
        <f t="shared" si="17"/>
        <v>-</v>
      </c>
      <c r="Q142" s="32" t="str">
        <f t="shared" si="19"/>
        <v>-</v>
      </c>
      <c r="S142" s="32" t="str">
        <f t="shared" si="14"/>
        <v>-</v>
      </c>
    </row>
    <row r="143" spans="1:19" x14ac:dyDescent="0.3">
      <c r="A143" s="134">
        <v>100009672</v>
      </c>
      <c r="B143" s="23">
        <v>3915</v>
      </c>
      <c r="C143" s="38">
        <v>33984039155</v>
      </c>
      <c r="D143" s="39" t="s">
        <v>161</v>
      </c>
      <c r="E143" s="26">
        <v>120</v>
      </c>
      <c r="F143" s="27">
        <v>0.20429999999999998</v>
      </c>
      <c r="G143" s="26">
        <v>25</v>
      </c>
      <c r="H143" s="105" t="s">
        <v>851</v>
      </c>
      <c r="I143" s="28">
        <v>21.419761999999999</v>
      </c>
      <c r="J143" s="26"/>
      <c r="K143" s="135">
        <f t="shared" si="16"/>
        <v>0</v>
      </c>
      <c r="L143" s="29"/>
      <c r="M143" s="104"/>
      <c r="N143" s="30" t="str">
        <f t="shared" si="18"/>
        <v>-</v>
      </c>
      <c r="O143" s="30" t="str">
        <f t="shared" si="15"/>
        <v>-</v>
      </c>
      <c r="P143" s="31" t="str">
        <f t="shared" si="17"/>
        <v>-</v>
      </c>
      <c r="Q143" s="32" t="str">
        <f t="shared" si="19"/>
        <v>-</v>
      </c>
      <c r="S143" s="32" t="str">
        <f t="shared" si="14"/>
        <v>-</v>
      </c>
    </row>
    <row r="144" spans="1:19" x14ac:dyDescent="0.3">
      <c r="A144" s="134">
        <v>100009703</v>
      </c>
      <c r="B144" s="23">
        <v>4138</v>
      </c>
      <c r="C144" s="38">
        <v>33984041387</v>
      </c>
      <c r="D144" s="39" t="s">
        <v>163</v>
      </c>
      <c r="E144" s="26">
        <v>60</v>
      </c>
      <c r="F144" s="27">
        <v>0.1767573867161667</v>
      </c>
      <c r="G144" s="26">
        <v>30</v>
      </c>
      <c r="H144" s="105" t="s">
        <v>851</v>
      </c>
      <c r="I144" s="28">
        <v>17.639803999999998</v>
      </c>
      <c r="J144" s="26"/>
      <c r="K144" s="135">
        <f t="shared" si="16"/>
        <v>0</v>
      </c>
      <c r="L144" s="29"/>
      <c r="M144" s="104"/>
      <c r="N144" s="30" t="str">
        <f t="shared" si="18"/>
        <v>-</v>
      </c>
      <c r="O144" s="30" t="str">
        <f t="shared" si="15"/>
        <v>-</v>
      </c>
      <c r="P144" s="31" t="str">
        <f t="shared" si="17"/>
        <v>-</v>
      </c>
      <c r="Q144" s="32" t="str">
        <f t="shared" si="19"/>
        <v>-</v>
      </c>
      <c r="S144" s="32" t="str">
        <f t="shared" si="14"/>
        <v>-</v>
      </c>
    </row>
    <row r="145" spans="1:19" x14ac:dyDescent="0.3">
      <c r="A145" s="134">
        <v>100009679</v>
      </c>
      <c r="B145" s="23">
        <v>3972</v>
      </c>
      <c r="C145" s="38">
        <v>33984039728</v>
      </c>
      <c r="D145" s="39" t="s">
        <v>164</v>
      </c>
      <c r="E145" s="26">
        <v>100</v>
      </c>
      <c r="F145" s="27">
        <v>0.24970000000000001</v>
      </c>
      <c r="G145" s="26">
        <v>23</v>
      </c>
      <c r="H145" s="105" t="s">
        <v>851</v>
      </c>
      <c r="I145" s="28">
        <v>15.749824999999998</v>
      </c>
      <c r="J145" s="26"/>
      <c r="K145" s="135">
        <f t="shared" si="16"/>
        <v>0</v>
      </c>
      <c r="L145" s="29"/>
      <c r="M145" s="104"/>
      <c r="N145" s="30" t="str">
        <f t="shared" si="18"/>
        <v>-</v>
      </c>
      <c r="O145" s="30" t="str">
        <f t="shared" si="15"/>
        <v>-</v>
      </c>
      <c r="P145" s="31" t="str">
        <f t="shared" si="17"/>
        <v>-</v>
      </c>
      <c r="Q145" s="32" t="str">
        <f t="shared" si="19"/>
        <v>-</v>
      </c>
      <c r="S145" s="32" t="str">
        <f t="shared" si="14"/>
        <v>-</v>
      </c>
    </row>
    <row r="146" spans="1:19" x14ac:dyDescent="0.3">
      <c r="A146" s="134">
        <v>100009459</v>
      </c>
      <c r="B146" s="23">
        <v>2029</v>
      </c>
      <c r="C146" s="38">
        <v>33984020290</v>
      </c>
      <c r="D146" s="39" t="s">
        <v>165</v>
      </c>
      <c r="E146" s="26">
        <v>60</v>
      </c>
      <c r="F146" s="27">
        <v>0.13275190694425001</v>
      </c>
      <c r="G146" s="26">
        <v>42</v>
      </c>
      <c r="H146" s="105" t="s">
        <v>851</v>
      </c>
      <c r="I146" s="28">
        <v>10.709880999999999</v>
      </c>
      <c r="J146" s="26"/>
      <c r="K146" s="135">
        <f t="shared" si="16"/>
        <v>0</v>
      </c>
      <c r="L146" s="29"/>
      <c r="M146" s="104"/>
      <c r="N146" s="30" t="str">
        <f t="shared" si="18"/>
        <v>-</v>
      </c>
      <c r="O146" s="30" t="str">
        <f t="shared" si="15"/>
        <v>-</v>
      </c>
      <c r="P146" s="31" t="str">
        <f t="shared" si="17"/>
        <v>-</v>
      </c>
      <c r="Q146" s="32" t="str">
        <f t="shared" si="19"/>
        <v>-</v>
      </c>
      <c r="S146" s="32" t="str">
        <f t="shared" si="14"/>
        <v>-</v>
      </c>
    </row>
    <row r="147" spans="1:19" x14ac:dyDescent="0.3">
      <c r="A147" s="134">
        <v>100009715</v>
      </c>
      <c r="B147" s="23">
        <v>4161</v>
      </c>
      <c r="C147" s="38">
        <v>33984041615</v>
      </c>
      <c r="D147" s="39" t="s">
        <v>169</v>
      </c>
      <c r="E147" s="26">
        <v>60</v>
      </c>
      <c r="F147" s="27">
        <v>0.16525957612395004</v>
      </c>
      <c r="G147" s="26">
        <v>25</v>
      </c>
      <c r="H147" s="105" t="s">
        <v>851</v>
      </c>
      <c r="I147" s="28">
        <v>11.339873999999998</v>
      </c>
      <c r="J147" s="26"/>
      <c r="K147" s="135">
        <f t="shared" si="16"/>
        <v>0</v>
      </c>
      <c r="L147" s="29"/>
      <c r="M147" s="104"/>
      <c r="N147" s="30" t="str">
        <f t="shared" si="18"/>
        <v>-</v>
      </c>
      <c r="O147" s="30" t="str">
        <f t="shared" si="15"/>
        <v>-</v>
      </c>
      <c r="P147" s="31" t="str">
        <f t="shared" si="17"/>
        <v>-</v>
      </c>
      <c r="Q147" s="32" t="str">
        <f t="shared" si="19"/>
        <v>-</v>
      </c>
      <c r="S147" s="32" t="str">
        <f t="shared" si="14"/>
        <v>-</v>
      </c>
    </row>
    <row r="148" spans="1:19" x14ac:dyDescent="0.3">
      <c r="A148" s="134">
        <v>100009215</v>
      </c>
      <c r="B148" s="23">
        <v>947</v>
      </c>
      <c r="C148" s="38">
        <v>33984009479</v>
      </c>
      <c r="D148" s="39" t="s">
        <v>180</v>
      </c>
      <c r="E148" s="26">
        <v>30</v>
      </c>
      <c r="F148" s="27">
        <v>0.18160000000000001</v>
      </c>
      <c r="G148" s="26">
        <v>42</v>
      </c>
      <c r="H148" s="105" t="s">
        <v>851</v>
      </c>
      <c r="I148" s="28">
        <v>11.339873999999998</v>
      </c>
      <c r="J148" s="26"/>
      <c r="K148" s="135">
        <f t="shared" si="16"/>
        <v>0</v>
      </c>
      <c r="L148" s="29"/>
      <c r="M148" s="104"/>
      <c r="N148" s="30" t="str">
        <f t="shared" si="18"/>
        <v>-</v>
      </c>
      <c r="O148" s="30" t="str">
        <f t="shared" si="15"/>
        <v>-</v>
      </c>
      <c r="P148" s="31" t="str">
        <f t="shared" si="17"/>
        <v>-</v>
      </c>
      <c r="Q148" s="32" t="str">
        <f t="shared" si="19"/>
        <v>-</v>
      </c>
      <c r="S148" s="32" t="str">
        <f t="shared" si="14"/>
        <v>-</v>
      </c>
    </row>
    <row r="149" spans="1:19" x14ac:dyDescent="0.3">
      <c r="A149" s="134">
        <v>100009218</v>
      </c>
      <c r="B149" s="23">
        <v>952</v>
      </c>
      <c r="C149" s="38">
        <v>33984009523</v>
      </c>
      <c r="D149" s="39" t="s">
        <v>180</v>
      </c>
      <c r="E149" s="26">
        <v>60</v>
      </c>
      <c r="F149" s="27">
        <v>0.14755000000000001</v>
      </c>
      <c r="G149" s="26">
        <v>36</v>
      </c>
      <c r="H149" s="105" t="s">
        <v>851</v>
      </c>
      <c r="I149" s="28">
        <v>19.529782999999998</v>
      </c>
      <c r="J149" s="26"/>
      <c r="K149" s="135">
        <f t="shared" si="16"/>
        <v>0</v>
      </c>
      <c r="L149" s="29"/>
      <c r="M149" s="104"/>
      <c r="N149" s="30" t="str">
        <f t="shared" si="18"/>
        <v>-</v>
      </c>
      <c r="O149" s="30" t="str">
        <f t="shared" si="15"/>
        <v>-</v>
      </c>
      <c r="P149" s="31" t="str">
        <f t="shared" si="17"/>
        <v>-</v>
      </c>
      <c r="Q149" s="32" t="str">
        <f t="shared" si="19"/>
        <v>-</v>
      </c>
      <c r="S149" s="32" t="str">
        <f t="shared" si="14"/>
        <v>-</v>
      </c>
    </row>
    <row r="150" spans="1:19" x14ac:dyDescent="0.3">
      <c r="A150" s="140">
        <v>100009198</v>
      </c>
      <c r="B150" s="33">
        <v>914</v>
      </c>
      <c r="C150" s="34">
        <v>33984009141</v>
      </c>
      <c r="D150" s="55" t="s">
        <v>180</v>
      </c>
      <c r="E150" s="33">
        <v>90</v>
      </c>
      <c r="F150" s="36">
        <v>0.1911725522347667</v>
      </c>
      <c r="G150" s="33">
        <v>30</v>
      </c>
      <c r="H150" s="105" t="s">
        <v>851</v>
      </c>
      <c r="I150" s="37">
        <v>26.459705999999997</v>
      </c>
      <c r="J150" s="33"/>
      <c r="K150" s="141">
        <f t="shared" si="16"/>
        <v>0</v>
      </c>
      <c r="L150" s="29"/>
      <c r="M150" s="104"/>
      <c r="N150" s="30" t="str">
        <f t="shared" si="18"/>
        <v>-</v>
      </c>
      <c r="O150" s="30" t="str">
        <f t="shared" si="15"/>
        <v>-</v>
      </c>
      <c r="P150" s="31" t="str">
        <f t="shared" si="17"/>
        <v>-</v>
      </c>
      <c r="Q150" s="32" t="str">
        <f t="shared" si="19"/>
        <v>-</v>
      </c>
      <c r="S150" s="32" t="str">
        <f t="shared" si="14"/>
        <v>-</v>
      </c>
    </row>
    <row r="151" spans="1:19" x14ac:dyDescent="0.3">
      <c r="A151" s="134">
        <v>100009216</v>
      </c>
      <c r="B151" s="23">
        <v>948</v>
      </c>
      <c r="C151" s="38">
        <v>33984009486</v>
      </c>
      <c r="D151" s="39" t="s">
        <v>183</v>
      </c>
      <c r="E151" s="26">
        <v>30</v>
      </c>
      <c r="F151" s="27">
        <v>0.13342608560370836</v>
      </c>
      <c r="G151" s="26">
        <v>36</v>
      </c>
      <c r="H151" s="105" t="s">
        <v>851</v>
      </c>
      <c r="I151" s="28">
        <v>16.379817999999997</v>
      </c>
      <c r="J151" s="26"/>
      <c r="K151" s="135">
        <f t="shared" si="16"/>
        <v>0</v>
      </c>
      <c r="L151" s="29"/>
      <c r="M151" s="104"/>
      <c r="N151" s="30" t="str">
        <f t="shared" si="18"/>
        <v>-</v>
      </c>
      <c r="O151" s="30" t="str">
        <f t="shared" si="15"/>
        <v>-</v>
      </c>
      <c r="P151" s="31" t="str">
        <f t="shared" si="17"/>
        <v>-</v>
      </c>
      <c r="Q151" s="32" t="str">
        <f t="shared" si="19"/>
        <v>-</v>
      </c>
      <c r="S151" s="32" t="str">
        <f t="shared" si="14"/>
        <v>-</v>
      </c>
    </row>
    <row r="152" spans="1:19" x14ac:dyDescent="0.3">
      <c r="A152" s="134">
        <v>100009217</v>
      </c>
      <c r="B152" s="23">
        <v>949</v>
      </c>
      <c r="C152" s="38">
        <v>33984009493</v>
      </c>
      <c r="D152" s="39" t="s">
        <v>183</v>
      </c>
      <c r="E152" s="26">
        <v>60</v>
      </c>
      <c r="F152" s="27">
        <v>0.20243011006834</v>
      </c>
      <c r="G152" s="26">
        <v>25</v>
      </c>
      <c r="H152" s="105" t="s">
        <v>851</v>
      </c>
      <c r="I152" s="28">
        <v>30.239663999999998</v>
      </c>
      <c r="J152" s="26"/>
      <c r="K152" s="135">
        <f t="shared" si="16"/>
        <v>0</v>
      </c>
      <c r="L152" s="29"/>
      <c r="M152" s="104"/>
      <c r="N152" s="30" t="str">
        <f t="shared" si="18"/>
        <v>-</v>
      </c>
      <c r="O152" s="30" t="str">
        <f t="shared" si="15"/>
        <v>-</v>
      </c>
      <c r="P152" s="31" t="str">
        <f t="shared" si="17"/>
        <v>-</v>
      </c>
      <c r="Q152" s="32" t="str">
        <f t="shared" si="19"/>
        <v>-</v>
      </c>
      <c r="S152" s="32" t="str">
        <f t="shared" si="14"/>
        <v>-</v>
      </c>
    </row>
    <row r="153" spans="1:19" x14ac:dyDescent="0.3">
      <c r="A153" s="134">
        <v>100009219</v>
      </c>
      <c r="B153" s="23">
        <v>954</v>
      </c>
      <c r="C153" s="38">
        <v>33984009547</v>
      </c>
      <c r="D153" s="39" t="s">
        <v>184</v>
      </c>
      <c r="E153" s="26">
        <v>30</v>
      </c>
      <c r="F153" s="27">
        <v>0.17947453101034727</v>
      </c>
      <c r="G153" s="26">
        <v>36</v>
      </c>
      <c r="H153" s="105" t="s">
        <v>851</v>
      </c>
      <c r="I153" s="28">
        <v>28.979677999999993</v>
      </c>
      <c r="J153" s="26"/>
      <c r="K153" s="135">
        <f t="shared" si="16"/>
        <v>0</v>
      </c>
      <c r="L153" s="29"/>
      <c r="M153" s="104"/>
      <c r="N153" s="30" t="str">
        <f t="shared" si="18"/>
        <v>-</v>
      </c>
      <c r="O153" s="30" t="str">
        <f t="shared" si="15"/>
        <v>-</v>
      </c>
      <c r="P153" s="31" t="str">
        <f t="shared" si="17"/>
        <v>-</v>
      </c>
      <c r="Q153" s="32" t="str">
        <f t="shared" si="19"/>
        <v>-</v>
      </c>
      <c r="S153" s="32" t="str">
        <f t="shared" si="14"/>
        <v>-</v>
      </c>
    </row>
    <row r="154" spans="1:19" x14ac:dyDescent="0.3">
      <c r="A154" s="134">
        <v>100009230</v>
      </c>
      <c r="B154" s="23">
        <v>975</v>
      </c>
      <c r="C154" s="38">
        <v>33984009752</v>
      </c>
      <c r="D154" s="39" t="s">
        <v>184</v>
      </c>
      <c r="E154" s="26">
        <v>60</v>
      </c>
      <c r="F154" s="27">
        <v>0.20302104231941306</v>
      </c>
      <c r="G154" s="26">
        <v>23</v>
      </c>
      <c r="H154" s="105" t="s">
        <v>851</v>
      </c>
      <c r="I154" s="28">
        <v>51.659425999999989</v>
      </c>
      <c r="J154" s="26"/>
      <c r="K154" s="135">
        <f t="shared" si="16"/>
        <v>0</v>
      </c>
      <c r="L154" s="29"/>
      <c r="M154" s="104"/>
      <c r="N154" s="30" t="str">
        <f t="shared" si="18"/>
        <v>-</v>
      </c>
      <c r="O154" s="30" t="str">
        <f t="shared" si="15"/>
        <v>-</v>
      </c>
      <c r="P154" s="31" t="str">
        <f t="shared" si="17"/>
        <v>-</v>
      </c>
      <c r="Q154" s="32" t="str">
        <f t="shared" si="19"/>
        <v>-</v>
      </c>
      <c r="S154" s="32" t="str">
        <f t="shared" si="14"/>
        <v>-</v>
      </c>
    </row>
    <row r="155" spans="1:19" x14ac:dyDescent="0.3">
      <c r="A155" s="134">
        <v>100009229</v>
      </c>
      <c r="B155" s="23">
        <v>970</v>
      </c>
      <c r="C155" s="38">
        <v>33984009707</v>
      </c>
      <c r="D155" s="39" t="s">
        <v>185</v>
      </c>
      <c r="E155" s="26">
        <v>30</v>
      </c>
      <c r="F155" s="27">
        <v>0.22700000000000001</v>
      </c>
      <c r="G155" s="26">
        <v>25</v>
      </c>
      <c r="H155" s="105" t="s">
        <v>851</v>
      </c>
      <c r="I155" s="28">
        <v>32.759635999999993</v>
      </c>
      <c r="J155" s="26"/>
      <c r="K155" s="135">
        <f t="shared" si="16"/>
        <v>0</v>
      </c>
      <c r="L155" s="29"/>
      <c r="M155" s="104"/>
      <c r="N155" s="30" t="str">
        <f t="shared" si="18"/>
        <v>-</v>
      </c>
      <c r="O155" s="30" t="str">
        <f t="shared" si="15"/>
        <v>-</v>
      </c>
      <c r="P155" s="31" t="str">
        <f t="shared" si="17"/>
        <v>-</v>
      </c>
      <c r="Q155" s="32" t="str">
        <f t="shared" si="19"/>
        <v>-</v>
      </c>
      <c r="S155" s="32" t="str">
        <f t="shared" si="14"/>
        <v>-</v>
      </c>
    </row>
    <row r="156" spans="1:19" x14ac:dyDescent="0.3">
      <c r="A156" s="134">
        <v>100009555</v>
      </c>
      <c r="B156" s="23">
        <v>2641</v>
      </c>
      <c r="C156" s="38">
        <v>33984026414</v>
      </c>
      <c r="D156" s="39" t="s">
        <v>186</v>
      </c>
      <c r="E156" s="26">
        <v>50</v>
      </c>
      <c r="F156" s="27">
        <v>0.12485</v>
      </c>
      <c r="G156" s="26">
        <v>36</v>
      </c>
      <c r="H156" s="105" t="s">
        <v>851</v>
      </c>
      <c r="I156" s="28">
        <v>28.349684999999997</v>
      </c>
      <c r="J156" s="26"/>
      <c r="K156" s="135">
        <f t="shared" si="16"/>
        <v>0</v>
      </c>
      <c r="L156" s="29"/>
      <c r="M156" s="104"/>
      <c r="N156" s="30" t="str">
        <f t="shared" si="18"/>
        <v>-</v>
      </c>
      <c r="O156" s="30" t="str">
        <f t="shared" si="15"/>
        <v>-</v>
      </c>
      <c r="P156" s="31" t="str">
        <f t="shared" si="17"/>
        <v>-</v>
      </c>
      <c r="Q156" s="32" t="str">
        <f t="shared" si="19"/>
        <v>-</v>
      </c>
      <c r="S156" s="32" t="str">
        <f t="shared" si="14"/>
        <v>-</v>
      </c>
    </row>
    <row r="157" spans="1:19" x14ac:dyDescent="0.3">
      <c r="A157" s="134">
        <v>100009556</v>
      </c>
      <c r="B157" s="23">
        <v>2642</v>
      </c>
      <c r="C157" s="38">
        <v>33984026421</v>
      </c>
      <c r="D157" s="39" t="s">
        <v>187</v>
      </c>
      <c r="E157" s="26">
        <v>30</v>
      </c>
      <c r="F157" s="27">
        <v>0.14755000000000001</v>
      </c>
      <c r="G157" s="26">
        <v>36</v>
      </c>
      <c r="H157" s="105" t="s">
        <v>851</v>
      </c>
      <c r="I157" s="28">
        <v>32.759635999999993</v>
      </c>
      <c r="J157" s="26"/>
      <c r="K157" s="135">
        <f t="shared" si="16"/>
        <v>0</v>
      </c>
      <c r="L157" s="29"/>
      <c r="M157" s="104"/>
      <c r="N157" s="30" t="str">
        <f t="shared" si="18"/>
        <v>-</v>
      </c>
      <c r="O157" s="30" t="str">
        <f t="shared" si="15"/>
        <v>-</v>
      </c>
      <c r="P157" s="31" t="str">
        <f t="shared" si="17"/>
        <v>-</v>
      </c>
      <c r="Q157" s="32" t="str">
        <f t="shared" si="19"/>
        <v>-</v>
      </c>
      <c r="S157" s="32" t="str">
        <f t="shared" si="14"/>
        <v>-</v>
      </c>
    </row>
    <row r="158" spans="1:19" x14ac:dyDescent="0.3">
      <c r="A158" s="134">
        <v>100009256</v>
      </c>
      <c r="B158" s="23">
        <v>1043</v>
      </c>
      <c r="C158" s="38">
        <v>33984010437</v>
      </c>
      <c r="D158" s="39" t="s">
        <v>190</v>
      </c>
      <c r="E158" s="26">
        <v>180</v>
      </c>
      <c r="F158" s="27">
        <v>0.36372551567467504</v>
      </c>
      <c r="G158" s="26">
        <v>20</v>
      </c>
      <c r="H158" s="105" t="s">
        <v>851</v>
      </c>
      <c r="I158" s="28">
        <v>12.59986</v>
      </c>
      <c r="J158" s="26"/>
      <c r="K158" s="135">
        <f t="shared" si="16"/>
        <v>0</v>
      </c>
      <c r="L158" s="29"/>
      <c r="M158" s="104"/>
      <c r="N158" s="30" t="str">
        <f t="shared" si="18"/>
        <v>-</v>
      </c>
      <c r="O158" s="30" t="str">
        <f t="shared" si="15"/>
        <v>-</v>
      </c>
      <c r="P158" s="31" t="str">
        <f t="shared" si="17"/>
        <v>-</v>
      </c>
      <c r="Q158" s="32" t="str">
        <f t="shared" si="19"/>
        <v>-</v>
      </c>
      <c r="S158" s="32" t="str">
        <f t="shared" si="14"/>
        <v>-</v>
      </c>
    </row>
    <row r="159" spans="1:19" x14ac:dyDescent="0.3">
      <c r="A159" s="134">
        <v>100009267</v>
      </c>
      <c r="B159" s="23">
        <v>1070</v>
      </c>
      <c r="C159" s="38">
        <v>33984010703</v>
      </c>
      <c r="D159" s="39" t="s">
        <v>192</v>
      </c>
      <c r="E159" s="26">
        <v>100</v>
      </c>
      <c r="F159" s="27">
        <v>0.51075000000000004</v>
      </c>
      <c r="G159" s="26">
        <v>12</v>
      </c>
      <c r="H159" s="105" t="s">
        <v>851</v>
      </c>
      <c r="I159" s="28">
        <v>9.9538893999999996</v>
      </c>
      <c r="J159" s="26"/>
      <c r="K159" s="135">
        <f t="shared" si="16"/>
        <v>0</v>
      </c>
      <c r="L159" s="29"/>
      <c r="M159" s="104"/>
      <c r="N159" s="30" t="str">
        <f t="shared" si="18"/>
        <v>-</v>
      </c>
      <c r="O159" s="30" t="str">
        <f t="shared" si="15"/>
        <v>-</v>
      </c>
      <c r="P159" s="31" t="str">
        <f t="shared" si="17"/>
        <v>-</v>
      </c>
      <c r="Q159" s="32" t="str">
        <f t="shared" si="19"/>
        <v>-</v>
      </c>
      <c r="S159" s="32" t="str">
        <f t="shared" si="14"/>
        <v>-</v>
      </c>
    </row>
    <row r="160" spans="1:19" x14ac:dyDescent="0.3">
      <c r="A160" s="134">
        <v>100009467</v>
      </c>
      <c r="B160" s="23">
        <v>2051</v>
      </c>
      <c r="C160" s="38">
        <v>33984020511</v>
      </c>
      <c r="D160" s="39" t="s">
        <v>194</v>
      </c>
      <c r="E160" s="26">
        <v>60</v>
      </c>
      <c r="F160" s="27">
        <v>0.28375</v>
      </c>
      <c r="G160" s="26">
        <v>23</v>
      </c>
      <c r="H160" s="105" t="s">
        <v>851</v>
      </c>
      <c r="I160" s="28">
        <v>17.891801199999996</v>
      </c>
      <c r="J160" s="26"/>
      <c r="K160" s="135">
        <f t="shared" si="16"/>
        <v>0</v>
      </c>
      <c r="L160" s="29"/>
      <c r="M160" s="104"/>
      <c r="N160" s="30" t="str">
        <f t="shared" si="18"/>
        <v>-</v>
      </c>
      <c r="O160" s="30" t="str">
        <f t="shared" si="15"/>
        <v>-</v>
      </c>
      <c r="P160" s="31" t="str">
        <f t="shared" si="17"/>
        <v>-</v>
      </c>
      <c r="Q160" s="32" t="str">
        <f t="shared" si="19"/>
        <v>-</v>
      </c>
      <c r="S160" s="32" t="str">
        <f t="shared" si="14"/>
        <v>-</v>
      </c>
    </row>
    <row r="161" spans="1:19" x14ac:dyDescent="0.3">
      <c r="A161" s="134">
        <v>100009565</v>
      </c>
      <c r="B161" s="23">
        <v>2714</v>
      </c>
      <c r="C161" s="38">
        <v>33984027145</v>
      </c>
      <c r="D161" s="39" t="s">
        <v>197</v>
      </c>
      <c r="E161" s="26">
        <v>60</v>
      </c>
      <c r="F161" s="27">
        <v>0.29510000000000003</v>
      </c>
      <c r="G161" s="26">
        <v>23</v>
      </c>
      <c r="H161" s="105" t="s">
        <v>851</v>
      </c>
      <c r="I161" s="28">
        <v>17.639803999999998</v>
      </c>
      <c r="J161" s="26"/>
      <c r="K161" s="135">
        <f t="shared" si="16"/>
        <v>0</v>
      </c>
      <c r="L161" s="29"/>
      <c r="M161" s="104"/>
      <c r="N161" s="30" t="str">
        <f t="shared" si="18"/>
        <v>-</v>
      </c>
      <c r="O161" s="30" t="str">
        <f t="shared" si="15"/>
        <v>-</v>
      </c>
      <c r="P161" s="31" t="str">
        <f t="shared" si="17"/>
        <v>-</v>
      </c>
      <c r="Q161" s="32" t="str">
        <f t="shared" si="19"/>
        <v>-</v>
      </c>
      <c r="S161" s="32" t="str">
        <f t="shared" si="14"/>
        <v>-</v>
      </c>
    </row>
    <row r="162" spans="1:19" x14ac:dyDescent="0.3">
      <c r="A162" s="134">
        <v>100009211</v>
      </c>
      <c r="B162" s="23">
        <v>941</v>
      </c>
      <c r="C162" s="38">
        <v>33984009417</v>
      </c>
      <c r="D162" s="39" t="s">
        <v>198</v>
      </c>
      <c r="E162" s="26">
        <v>250</v>
      </c>
      <c r="F162" s="27">
        <v>0.44265000000000004</v>
      </c>
      <c r="G162" s="26">
        <v>20</v>
      </c>
      <c r="H162" s="105" t="s">
        <v>851</v>
      </c>
      <c r="I162" s="28">
        <v>12.221864199999997</v>
      </c>
      <c r="J162" s="26"/>
      <c r="K162" s="135">
        <f t="shared" si="16"/>
        <v>0</v>
      </c>
      <c r="L162" s="29"/>
      <c r="M162" s="104"/>
      <c r="N162" s="30" t="str">
        <f t="shared" si="18"/>
        <v>-</v>
      </c>
      <c r="O162" s="30" t="str">
        <f t="shared" si="15"/>
        <v>-</v>
      </c>
      <c r="P162" s="31" t="str">
        <f t="shared" si="17"/>
        <v>-</v>
      </c>
      <c r="Q162" s="32" t="str">
        <f t="shared" si="19"/>
        <v>-</v>
      </c>
      <c r="S162" s="32" t="str">
        <f t="shared" si="14"/>
        <v>-</v>
      </c>
    </row>
    <row r="163" spans="1:19" x14ac:dyDescent="0.3">
      <c r="A163" s="134">
        <v>100009321</v>
      </c>
      <c r="B163" s="23">
        <v>1272</v>
      </c>
      <c r="C163" s="38">
        <v>33984012721</v>
      </c>
      <c r="D163" s="45" t="s">
        <v>201</v>
      </c>
      <c r="E163" s="26">
        <v>180</v>
      </c>
      <c r="F163" s="27">
        <v>0.68099999999999994</v>
      </c>
      <c r="G163" s="26">
        <v>12</v>
      </c>
      <c r="H163" s="105" t="s">
        <v>851</v>
      </c>
      <c r="I163" s="28">
        <v>30.239663999999998</v>
      </c>
      <c r="J163" s="26"/>
      <c r="K163" s="135">
        <f t="shared" si="16"/>
        <v>0</v>
      </c>
      <c r="L163" s="29"/>
      <c r="M163" s="104"/>
      <c r="N163" s="30" t="str">
        <f t="shared" si="18"/>
        <v>-</v>
      </c>
      <c r="O163" s="30" t="str">
        <f t="shared" si="15"/>
        <v>-</v>
      </c>
      <c r="P163" s="31" t="str">
        <f t="shared" si="17"/>
        <v>-</v>
      </c>
      <c r="Q163" s="32" t="str">
        <f t="shared" si="19"/>
        <v>-</v>
      </c>
      <c r="S163" s="32" t="str">
        <f t="shared" si="14"/>
        <v>-</v>
      </c>
    </row>
    <row r="164" spans="1:19" x14ac:dyDescent="0.3">
      <c r="A164" s="134">
        <v>100009332</v>
      </c>
      <c r="B164" s="23">
        <v>1315</v>
      </c>
      <c r="C164" s="38">
        <v>33984013155</v>
      </c>
      <c r="D164" s="39" t="s">
        <v>203</v>
      </c>
      <c r="E164" s="26">
        <v>120</v>
      </c>
      <c r="F164" s="27">
        <v>0.41994999999999999</v>
      </c>
      <c r="G164" s="26">
        <v>20</v>
      </c>
      <c r="H164" s="105" t="s">
        <v>851</v>
      </c>
      <c r="I164" s="28">
        <v>18.269796999999997</v>
      </c>
      <c r="J164" s="26"/>
      <c r="K164" s="135">
        <f t="shared" si="16"/>
        <v>0</v>
      </c>
      <c r="L164" s="29"/>
      <c r="M164" s="104"/>
      <c r="N164" s="30" t="str">
        <f t="shared" si="18"/>
        <v>-</v>
      </c>
      <c r="O164" s="30" t="str">
        <f t="shared" si="15"/>
        <v>-</v>
      </c>
      <c r="P164" s="31" t="str">
        <f t="shared" si="17"/>
        <v>-</v>
      </c>
      <c r="Q164" s="32" t="str">
        <f t="shared" si="19"/>
        <v>-</v>
      </c>
      <c r="S164" s="32" t="str">
        <f t="shared" si="14"/>
        <v>-</v>
      </c>
    </row>
    <row r="165" spans="1:19" x14ac:dyDescent="0.3">
      <c r="A165" s="134">
        <v>100009446</v>
      </c>
      <c r="B165" s="23">
        <v>1937</v>
      </c>
      <c r="C165" s="38">
        <v>33984019379</v>
      </c>
      <c r="D165" s="39" t="s">
        <v>205</v>
      </c>
      <c r="E165" s="26">
        <v>120</v>
      </c>
      <c r="F165" s="27">
        <v>0.15667912045811669</v>
      </c>
      <c r="G165" s="26">
        <v>30</v>
      </c>
      <c r="H165" s="105" t="s">
        <v>851</v>
      </c>
      <c r="I165" s="28">
        <v>11.717869799999999</v>
      </c>
      <c r="J165" s="26"/>
      <c r="K165" s="135">
        <f t="shared" si="16"/>
        <v>0</v>
      </c>
      <c r="L165" s="29"/>
      <c r="M165" s="104"/>
      <c r="N165" s="30" t="str">
        <f t="shared" si="18"/>
        <v>-</v>
      </c>
      <c r="O165" s="30" t="str">
        <f t="shared" si="15"/>
        <v>-</v>
      </c>
      <c r="P165" s="31" t="str">
        <f t="shared" si="17"/>
        <v>-</v>
      </c>
      <c r="Q165" s="32" t="str">
        <f t="shared" si="19"/>
        <v>-</v>
      </c>
      <c r="S165" s="32" t="str">
        <f t="shared" si="14"/>
        <v>-</v>
      </c>
    </row>
    <row r="166" spans="1:19" x14ac:dyDescent="0.3">
      <c r="A166" s="134">
        <v>100009315</v>
      </c>
      <c r="B166" s="23">
        <v>1221</v>
      </c>
      <c r="C166" s="38">
        <v>33984012219</v>
      </c>
      <c r="D166" s="39" t="s">
        <v>218</v>
      </c>
      <c r="E166" s="26">
        <v>250</v>
      </c>
      <c r="F166" s="27">
        <v>0.28375</v>
      </c>
      <c r="G166" s="26">
        <v>23</v>
      </c>
      <c r="H166" s="105" t="s">
        <v>851</v>
      </c>
      <c r="I166" s="28">
        <v>8.5679047999999991</v>
      </c>
      <c r="J166" s="26"/>
      <c r="K166" s="135">
        <f t="shared" si="16"/>
        <v>0</v>
      </c>
      <c r="L166" s="29"/>
      <c r="M166" s="104"/>
      <c r="N166" s="30" t="str">
        <f t="shared" si="18"/>
        <v>-</v>
      </c>
      <c r="O166" s="30" t="str">
        <f t="shared" si="15"/>
        <v>-</v>
      </c>
      <c r="P166" s="31" t="str">
        <f t="shared" si="17"/>
        <v>-</v>
      </c>
      <c r="Q166" s="32" t="str">
        <f t="shared" si="19"/>
        <v>-</v>
      </c>
      <c r="S166" s="32" t="str">
        <f t="shared" si="14"/>
        <v>-</v>
      </c>
    </row>
    <row r="167" spans="1:19" x14ac:dyDescent="0.3">
      <c r="A167" s="134">
        <v>100009518</v>
      </c>
      <c r="B167" s="23">
        <v>2327</v>
      </c>
      <c r="C167" s="38">
        <v>33984023277</v>
      </c>
      <c r="D167" s="39" t="s">
        <v>221</v>
      </c>
      <c r="E167" s="26">
        <v>50</v>
      </c>
      <c r="F167" s="27">
        <v>0.13342608560370836</v>
      </c>
      <c r="G167" s="26">
        <v>36</v>
      </c>
      <c r="H167" s="105" t="s">
        <v>851</v>
      </c>
      <c r="I167" s="28">
        <v>15.749824999999998</v>
      </c>
      <c r="J167" s="26"/>
      <c r="K167" s="135">
        <f t="shared" si="16"/>
        <v>0</v>
      </c>
      <c r="L167" s="29"/>
      <c r="M167" s="104"/>
      <c r="N167" s="30" t="str">
        <f t="shared" si="18"/>
        <v>-</v>
      </c>
      <c r="O167" s="30" t="str">
        <f t="shared" si="15"/>
        <v>-</v>
      </c>
      <c r="P167" s="31" t="str">
        <f t="shared" si="17"/>
        <v>-</v>
      </c>
      <c r="Q167" s="32" t="str">
        <f t="shared" si="19"/>
        <v>-</v>
      </c>
      <c r="S167" s="32" t="str">
        <f t="shared" si="14"/>
        <v>-</v>
      </c>
    </row>
    <row r="168" spans="1:19" x14ac:dyDescent="0.3">
      <c r="A168" s="134">
        <v>100009503</v>
      </c>
      <c r="B168" s="23">
        <v>2295</v>
      </c>
      <c r="C168" s="38">
        <v>33984022959</v>
      </c>
      <c r="D168" s="39" t="s">
        <v>223</v>
      </c>
      <c r="E168" s="26">
        <v>60</v>
      </c>
      <c r="F168" s="27">
        <v>0.20429999999999998</v>
      </c>
      <c r="G168" s="26">
        <v>25</v>
      </c>
      <c r="H168" s="105" t="s">
        <v>851</v>
      </c>
      <c r="I168" s="28">
        <v>25.199719999999999</v>
      </c>
      <c r="J168" s="26"/>
      <c r="K168" s="135">
        <f t="shared" si="16"/>
        <v>0</v>
      </c>
      <c r="L168" s="29"/>
      <c r="M168" s="104"/>
      <c r="N168" s="30" t="str">
        <f t="shared" si="18"/>
        <v>-</v>
      </c>
      <c r="O168" s="30" t="str">
        <f t="shared" si="15"/>
        <v>-</v>
      </c>
      <c r="P168" s="31" t="str">
        <f t="shared" si="17"/>
        <v>-</v>
      </c>
      <c r="Q168" s="32" t="str">
        <f t="shared" si="19"/>
        <v>-</v>
      </c>
      <c r="S168" s="32" t="str">
        <f t="shared" si="14"/>
        <v>-</v>
      </c>
    </row>
    <row r="169" spans="1:19" x14ac:dyDescent="0.3">
      <c r="A169" s="134">
        <v>100009377</v>
      </c>
      <c r="B169" s="23">
        <v>1581</v>
      </c>
      <c r="C169" s="38">
        <v>33984015814</v>
      </c>
      <c r="D169" s="39" t="s">
        <v>225</v>
      </c>
      <c r="E169" s="26">
        <v>100</v>
      </c>
      <c r="F169" s="27">
        <v>0.44265000000000004</v>
      </c>
      <c r="G169" s="26">
        <v>20</v>
      </c>
      <c r="H169" s="105" t="s">
        <v>851</v>
      </c>
      <c r="I169" s="28">
        <v>15.119831999999999</v>
      </c>
      <c r="J169" s="26"/>
      <c r="K169" s="135">
        <f t="shared" si="16"/>
        <v>0</v>
      </c>
      <c r="L169" s="29"/>
      <c r="M169" s="104"/>
      <c r="N169" s="30" t="str">
        <f t="shared" si="18"/>
        <v>-</v>
      </c>
      <c r="O169" s="30" t="str">
        <f t="shared" si="15"/>
        <v>-</v>
      </c>
      <c r="P169" s="31" t="str">
        <f t="shared" si="17"/>
        <v>-</v>
      </c>
      <c r="Q169" s="32" t="str">
        <f t="shared" si="19"/>
        <v>-</v>
      </c>
      <c r="S169" s="32" t="str">
        <f t="shared" si="14"/>
        <v>-</v>
      </c>
    </row>
    <row r="170" spans="1:19" x14ac:dyDescent="0.3">
      <c r="A170" s="134">
        <v>100009489</v>
      </c>
      <c r="B170" s="23">
        <v>2208</v>
      </c>
      <c r="C170" s="38">
        <v>33984022089</v>
      </c>
      <c r="D170" s="39" t="s">
        <v>226</v>
      </c>
      <c r="E170" s="26">
        <v>60</v>
      </c>
      <c r="F170" s="27">
        <v>0.27239999999999998</v>
      </c>
      <c r="G170" s="26">
        <v>23</v>
      </c>
      <c r="H170" s="105" t="s">
        <v>851</v>
      </c>
      <c r="I170" s="28">
        <v>41.579537999999992</v>
      </c>
      <c r="J170" s="26"/>
      <c r="K170" s="135">
        <f t="shared" si="16"/>
        <v>0</v>
      </c>
      <c r="L170" s="29"/>
      <c r="M170" s="104"/>
      <c r="N170" s="30" t="str">
        <f t="shared" si="18"/>
        <v>-</v>
      </c>
      <c r="O170" s="30" t="str">
        <f t="shared" si="15"/>
        <v>-</v>
      </c>
      <c r="P170" s="31" t="str">
        <f t="shared" si="17"/>
        <v>-</v>
      </c>
      <c r="Q170" s="32" t="str">
        <f t="shared" si="19"/>
        <v>-</v>
      </c>
      <c r="S170" s="32" t="str">
        <f t="shared" si="14"/>
        <v>-</v>
      </c>
    </row>
    <row r="171" spans="1:19" x14ac:dyDescent="0.3">
      <c r="A171" s="134">
        <v>100009073</v>
      </c>
      <c r="B171" s="23">
        <v>28</v>
      </c>
      <c r="C171" s="38">
        <v>33984000285</v>
      </c>
      <c r="D171" s="25" t="s">
        <v>808</v>
      </c>
      <c r="E171" s="26">
        <v>120</v>
      </c>
      <c r="F171" s="27">
        <v>0.5675</v>
      </c>
      <c r="G171" s="26"/>
      <c r="H171" s="105" t="s">
        <v>851</v>
      </c>
      <c r="I171" s="28">
        <v>15.749824999999998</v>
      </c>
      <c r="J171" s="26"/>
      <c r="K171" s="135">
        <f t="shared" si="16"/>
        <v>0</v>
      </c>
      <c r="N171" s="30" t="str">
        <f t="shared" si="18"/>
        <v>-</v>
      </c>
      <c r="O171" s="30" t="str">
        <f t="shared" si="15"/>
        <v>-</v>
      </c>
      <c r="P171" s="31" t="str">
        <f t="shared" si="17"/>
        <v>-</v>
      </c>
      <c r="Q171" s="32" t="str">
        <f t="shared" si="19"/>
        <v>-</v>
      </c>
      <c r="S171" s="32" t="str">
        <f t="shared" si="14"/>
        <v>-</v>
      </c>
    </row>
    <row r="172" spans="1:19" x14ac:dyDescent="0.3">
      <c r="A172" s="134">
        <v>100009137</v>
      </c>
      <c r="B172" s="23">
        <v>417</v>
      </c>
      <c r="C172" s="38" t="s">
        <v>854</v>
      </c>
      <c r="D172" s="25" t="s">
        <v>809</v>
      </c>
      <c r="E172" s="26">
        <v>240</v>
      </c>
      <c r="F172" s="27">
        <v>0.87395</v>
      </c>
      <c r="G172" s="26"/>
      <c r="H172" s="105" t="s">
        <v>851</v>
      </c>
      <c r="I172" s="28">
        <v>19.2777858</v>
      </c>
      <c r="J172" s="26"/>
      <c r="K172" s="135">
        <f t="shared" si="16"/>
        <v>0</v>
      </c>
      <c r="N172" s="30" t="str">
        <f t="shared" si="18"/>
        <v>-</v>
      </c>
      <c r="O172" s="30" t="str">
        <f t="shared" si="15"/>
        <v>-</v>
      </c>
      <c r="P172" s="31" t="str">
        <f t="shared" si="17"/>
        <v>-</v>
      </c>
      <c r="Q172" s="32" t="str">
        <f t="shared" si="19"/>
        <v>-</v>
      </c>
      <c r="S172" s="32" t="str">
        <f t="shared" si="14"/>
        <v>-</v>
      </c>
    </row>
    <row r="173" spans="1:19" x14ac:dyDescent="0.3">
      <c r="A173" s="134">
        <v>100009156</v>
      </c>
      <c r="B173" s="23">
        <v>521</v>
      </c>
      <c r="C173" s="38" t="s">
        <v>855</v>
      </c>
      <c r="D173" s="25" t="s">
        <v>811</v>
      </c>
      <c r="E173" s="26">
        <v>250</v>
      </c>
      <c r="F173" s="27">
        <v>0.77180000000000004</v>
      </c>
      <c r="G173" s="26"/>
      <c r="H173" s="105" t="s">
        <v>851</v>
      </c>
      <c r="I173" s="28">
        <v>14.804835499999998</v>
      </c>
      <c r="J173" s="26"/>
      <c r="K173" s="135">
        <f t="shared" si="16"/>
        <v>0</v>
      </c>
      <c r="N173" s="30" t="str">
        <f t="shared" si="18"/>
        <v>-</v>
      </c>
      <c r="O173" s="30" t="str">
        <f t="shared" si="15"/>
        <v>-</v>
      </c>
      <c r="P173" s="31" t="str">
        <f t="shared" si="17"/>
        <v>-</v>
      </c>
      <c r="Q173" s="32" t="str">
        <f t="shared" si="19"/>
        <v>-</v>
      </c>
      <c r="S173" s="32" t="str">
        <f t="shared" si="14"/>
        <v>-</v>
      </c>
    </row>
    <row r="174" spans="1:19" x14ac:dyDescent="0.3">
      <c r="A174" s="134">
        <v>100009310</v>
      </c>
      <c r="B174" s="23">
        <v>1205</v>
      </c>
      <c r="C174" s="38" t="s">
        <v>856</v>
      </c>
      <c r="D174" s="25" t="s">
        <v>812</v>
      </c>
      <c r="E174" s="26">
        <v>120</v>
      </c>
      <c r="F174" s="27">
        <v>0.44000000000000006</v>
      </c>
      <c r="G174" s="26"/>
      <c r="H174" s="105" t="s">
        <v>851</v>
      </c>
      <c r="I174" s="28">
        <v>27.719691999999995</v>
      </c>
      <c r="J174" s="26"/>
      <c r="K174" s="135">
        <f t="shared" si="16"/>
        <v>0</v>
      </c>
      <c r="N174" s="30" t="str">
        <f t="shared" si="18"/>
        <v>-</v>
      </c>
      <c r="O174" s="30" t="str">
        <f t="shared" si="15"/>
        <v>-</v>
      </c>
      <c r="P174" s="31" t="str">
        <f t="shared" si="17"/>
        <v>-</v>
      </c>
      <c r="Q174" s="32" t="str">
        <f t="shared" si="19"/>
        <v>-</v>
      </c>
      <c r="S174" s="32" t="str">
        <f t="shared" si="14"/>
        <v>-</v>
      </c>
    </row>
    <row r="175" spans="1:19" x14ac:dyDescent="0.3">
      <c r="A175" s="134">
        <v>100009390</v>
      </c>
      <c r="B175" s="23">
        <v>1699</v>
      </c>
      <c r="C175" s="38">
        <v>33984016996</v>
      </c>
      <c r="D175" s="25" t="s">
        <v>196</v>
      </c>
      <c r="E175" s="26">
        <v>240</v>
      </c>
      <c r="F175" s="27">
        <v>0.93500000000000005</v>
      </c>
      <c r="G175" s="26"/>
      <c r="H175" s="105" t="s">
        <v>851</v>
      </c>
      <c r="I175" s="28">
        <v>17.1988089</v>
      </c>
      <c r="J175" s="26"/>
      <c r="K175" s="135">
        <f t="shared" si="16"/>
        <v>0</v>
      </c>
      <c r="N175" s="30" t="str">
        <f t="shared" si="18"/>
        <v>-</v>
      </c>
      <c r="O175" s="30" t="str">
        <f t="shared" si="15"/>
        <v>-</v>
      </c>
      <c r="P175" s="31" t="str">
        <f t="shared" si="17"/>
        <v>-</v>
      </c>
      <c r="Q175" s="32" t="str">
        <f t="shared" si="19"/>
        <v>-</v>
      </c>
      <c r="S175" s="32" t="str">
        <f t="shared" si="14"/>
        <v>-</v>
      </c>
    </row>
    <row r="176" spans="1:19" x14ac:dyDescent="0.3">
      <c r="A176" s="140">
        <v>100009653</v>
      </c>
      <c r="B176" s="33">
        <v>3672</v>
      </c>
      <c r="C176" s="34">
        <v>33984036727</v>
      </c>
      <c r="D176" s="35" t="s">
        <v>17</v>
      </c>
      <c r="E176" s="33" t="s">
        <v>271</v>
      </c>
      <c r="F176" s="36">
        <v>0.68858156718312513</v>
      </c>
      <c r="G176" s="33">
        <v>12</v>
      </c>
      <c r="H176" s="105" t="s">
        <v>850</v>
      </c>
      <c r="I176" s="37">
        <v>18.131198539999996</v>
      </c>
      <c r="J176" s="33"/>
      <c r="K176" s="141">
        <f t="shared" si="16"/>
        <v>0</v>
      </c>
      <c r="L176" s="29"/>
      <c r="M176" s="104"/>
      <c r="N176" s="30" t="str">
        <f t="shared" si="18"/>
        <v>-</v>
      </c>
      <c r="O176" s="30" t="str">
        <f t="shared" si="15"/>
        <v>-</v>
      </c>
      <c r="P176" s="31" t="str">
        <f t="shared" si="17"/>
        <v>-</v>
      </c>
      <c r="Q176" s="32" t="str">
        <f t="shared" si="19"/>
        <v>-</v>
      </c>
      <c r="S176" s="32" t="str">
        <f t="shared" ref="S176:S232" si="20">IFERROR(IF(Q176+K176=0, "-", IF(Q176&gt;0, Q176+K176, "-")), "-")</f>
        <v>-</v>
      </c>
    </row>
    <row r="177" spans="1:19" x14ac:dyDescent="0.3">
      <c r="A177" s="140">
        <v>100009654</v>
      </c>
      <c r="B177" s="33">
        <v>3673</v>
      </c>
      <c r="C177" s="34">
        <v>33984036734</v>
      </c>
      <c r="D177" s="35" t="s">
        <v>17</v>
      </c>
      <c r="E177" s="33" t="s">
        <v>272</v>
      </c>
      <c r="F177" s="36">
        <v>1.7006463129681668</v>
      </c>
      <c r="G177" s="33">
        <v>6</v>
      </c>
      <c r="H177" s="105" t="s">
        <v>850</v>
      </c>
      <c r="I177" s="37">
        <v>41.566938139999998</v>
      </c>
      <c r="J177" s="33"/>
      <c r="K177" s="141">
        <f t="shared" si="16"/>
        <v>0</v>
      </c>
      <c r="L177" s="29"/>
      <c r="M177" s="104"/>
      <c r="N177" s="30" t="str">
        <f t="shared" si="18"/>
        <v>-</v>
      </c>
      <c r="O177" s="30" t="str">
        <f t="shared" si="15"/>
        <v>-</v>
      </c>
      <c r="P177" s="31" t="str">
        <f t="shared" si="17"/>
        <v>-</v>
      </c>
      <c r="Q177" s="32" t="str">
        <f t="shared" si="19"/>
        <v>-</v>
      </c>
      <c r="S177" s="32" t="str">
        <f t="shared" si="20"/>
        <v>-</v>
      </c>
    </row>
    <row r="178" spans="1:19" x14ac:dyDescent="0.3">
      <c r="A178" s="134">
        <v>100009164</v>
      </c>
      <c r="B178" s="23">
        <v>571</v>
      </c>
      <c r="C178" s="38">
        <v>33984005716</v>
      </c>
      <c r="D178" s="39" t="s">
        <v>18</v>
      </c>
      <c r="E178" s="26">
        <v>60</v>
      </c>
      <c r="F178" s="27">
        <v>0.24970000000000001</v>
      </c>
      <c r="G178" s="26">
        <v>24</v>
      </c>
      <c r="H178" s="105" t="s">
        <v>850</v>
      </c>
      <c r="I178" s="28">
        <v>22.679747999999996</v>
      </c>
      <c r="J178" s="26"/>
      <c r="K178" s="135">
        <f t="shared" si="16"/>
        <v>0</v>
      </c>
      <c r="L178" s="29"/>
      <c r="M178" s="104"/>
      <c r="N178" s="30" t="str">
        <f t="shared" si="18"/>
        <v>-</v>
      </c>
      <c r="O178" s="30" t="str">
        <f t="shared" si="15"/>
        <v>-</v>
      </c>
      <c r="P178" s="31" t="str">
        <f t="shared" si="17"/>
        <v>-</v>
      </c>
      <c r="Q178" s="32" t="str">
        <f t="shared" si="19"/>
        <v>-</v>
      </c>
      <c r="S178" s="32" t="str">
        <f t="shared" si="20"/>
        <v>-</v>
      </c>
    </row>
    <row r="179" spans="1:19" x14ac:dyDescent="0.3">
      <c r="A179" s="134">
        <v>100009241</v>
      </c>
      <c r="B179" s="23">
        <v>1011</v>
      </c>
      <c r="C179" s="38">
        <v>33984010116</v>
      </c>
      <c r="D179" s="39" t="s">
        <v>20</v>
      </c>
      <c r="E179" s="26">
        <v>100</v>
      </c>
      <c r="F179" s="27">
        <v>0.31780000000000003</v>
      </c>
      <c r="G179" s="26">
        <v>20</v>
      </c>
      <c r="H179" s="105" t="s">
        <v>850</v>
      </c>
      <c r="I179" s="28">
        <v>18.899789999999996</v>
      </c>
      <c r="J179" s="26"/>
      <c r="K179" s="135">
        <f t="shared" si="16"/>
        <v>0</v>
      </c>
      <c r="L179" s="29"/>
      <c r="M179" s="104"/>
      <c r="N179" s="30" t="str">
        <f t="shared" si="18"/>
        <v>-</v>
      </c>
      <c r="O179" s="30" t="str">
        <f t="shared" si="15"/>
        <v>-</v>
      </c>
      <c r="P179" s="31" t="str">
        <f t="shared" si="17"/>
        <v>-</v>
      </c>
      <c r="Q179" s="32" t="str">
        <f t="shared" si="19"/>
        <v>-</v>
      </c>
      <c r="S179" s="32" t="str">
        <f t="shared" si="20"/>
        <v>-</v>
      </c>
    </row>
    <row r="180" spans="1:19" x14ac:dyDescent="0.3">
      <c r="A180" s="134">
        <v>100009338</v>
      </c>
      <c r="B180" s="23">
        <v>1321</v>
      </c>
      <c r="C180" s="38">
        <v>33984013216</v>
      </c>
      <c r="D180" s="39" t="s">
        <v>22</v>
      </c>
      <c r="E180" s="26">
        <v>100</v>
      </c>
      <c r="F180" s="27">
        <v>0.22700000000000001</v>
      </c>
      <c r="G180" s="26">
        <v>25</v>
      </c>
      <c r="H180" s="105" t="s">
        <v>850</v>
      </c>
      <c r="I180" s="28">
        <v>11.339873999999998</v>
      </c>
      <c r="J180" s="26"/>
      <c r="K180" s="135">
        <f t="shared" si="16"/>
        <v>0</v>
      </c>
      <c r="L180" s="29"/>
      <c r="M180" s="104"/>
      <c r="N180" s="30" t="str">
        <f t="shared" si="18"/>
        <v>-</v>
      </c>
      <c r="O180" s="30" t="str">
        <f t="shared" si="15"/>
        <v>-</v>
      </c>
      <c r="P180" s="31" t="str">
        <f t="shared" si="17"/>
        <v>-</v>
      </c>
      <c r="Q180" s="32" t="str">
        <f t="shared" si="19"/>
        <v>-</v>
      </c>
      <c r="S180" s="32" t="str">
        <f t="shared" si="20"/>
        <v>-</v>
      </c>
    </row>
    <row r="181" spans="1:19" x14ac:dyDescent="0.3">
      <c r="A181" s="134">
        <v>100009388</v>
      </c>
      <c r="B181" s="23">
        <v>1681</v>
      </c>
      <c r="C181" s="38">
        <v>33984016811</v>
      </c>
      <c r="D181" s="39" t="s">
        <v>27</v>
      </c>
      <c r="E181" s="26">
        <v>100</v>
      </c>
      <c r="F181" s="27">
        <v>0.26105</v>
      </c>
      <c r="G181" s="26">
        <v>23</v>
      </c>
      <c r="H181" s="105" t="s">
        <v>850</v>
      </c>
      <c r="I181" s="28">
        <v>9.4498949999999979</v>
      </c>
      <c r="J181" s="26"/>
      <c r="K181" s="135">
        <f t="shared" si="16"/>
        <v>0</v>
      </c>
      <c r="L181" s="29"/>
      <c r="M181" s="104"/>
      <c r="N181" s="30" t="str">
        <f t="shared" si="18"/>
        <v>-</v>
      </c>
      <c r="O181" s="30" t="str">
        <f t="shared" si="15"/>
        <v>-</v>
      </c>
      <c r="P181" s="31" t="str">
        <f t="shared" si="17"/>
        <v>-</v>
      </c>
      <c r="Q181" s="32" t="str">
        <f t="shared" si="19"/>
        <v>-</v>
      </c>
      <c r="S181" s="32" t="str">
        <f t="shared" si="20"/>
        <v>-</v>
      </c>
    </row>
    <row r="182" spans="1:19" x14ac:dyDescent="0.3">
      <c r="A182" s="134">
        <v>100009389</v>
      </c>
      <c r="B182" s="23">
        <v>1682</v>
      </c>
      <c r="C182" s="38">
        <v>33984016828</v>
      </c>
      <c r="D182" s="39" t="s">
        <v>27</v>
      </c>
      <c r="E182" s="26">
        <v>250</v>
      </c>
      <c r="F182" s="27">
        <v>0.57617759796070844</v>
      </c>
      <c r="G182" s="26">
        <v>12</v>
      </c>
      <c r="H182" s="105" t="s">
        <v>850</v>
      </c>
      <c r="I182" s="28">
        <v>20.4747725</v>
      </c>
      <c r="J182" s="26"/>
      <c r="K182" s="135">
        <f t="shared" si="16"/>
        <v>0</v>
      </c>
      <c r="L182" s="29"/>
      <c r="M182" s="104"/>
      <c r="N182" s="30" t="str">
        <f t="shared" si="18"/>
        <v>-</v>
      </c>
      <c r="O182" s="30" t="str">
        <f t="shared" si="15"/>
        <v>-</v>
      </c>
      <c r="P182" s="31" t="str">
        <f t="shared" si="17"/>
        <v>-</v>
      </c>
      <c r="Q182" s="32" t="str">
        <f t="shared" si="19"/>
        <v>-</v>
      </c>
      <c r="S182" s="32" t="str">
        <f t="shared" si="20"/>
        <v>-</v>
      </c>
    </row>
    <row r="183" spans="1:19" x14ac:dyDescent="0.3">
      <c r="A183" s="134">
        <v>100009393</v>
      </c>
      <c r="B183" s="23">
        <v>1702</v>
      </c>
      <c r="C183" s="38">
        <v>33984017023</v>
      </c>
      <c r="D183" s="39" t="s">
        <v>28</v>
      </c>
      <c r="E183" s="26">
        <v>250</v>
      </c>
      <c r="F183" s="27">
        <v>0.7791053744576667</v>
      </c>
      <c r="G183" s="26">
        <v>12</v>
      </c>
      <c r="H183" s="105" t="s">
        <v>850</v>
      </c>
      <c r="I183" s="28">
        <v>20.4747725</v>
      </c>
      <c r="J183" s="26"/>
      <c r="K183" s="135">
        <f t="shared" si="16"/>
        <v>0</v>
      </c>
      <c r="L183" s="29"/>
      <c r="M183" s="104"/>
      <c r="N183" s="30" t="str">
        <f t="shared" si="18"/>
        <v>-</v>
      </c>
      <c r="O183" s="30" t="str">
        <f t="shared" ref="O183:O242" si="21">IFERROR(IF(N183&gt;0,I183+N183,"-"),"-")</f>
        <v>-</v>
      </c>
      <c r="P183" s="31" t="str">
        <f t="shared" si="17"/>
        <v>-</v>
      </c>
      <c r="Q183" s="32" t="str">
        <f t="shared" si="19"/>
        <v>-</v>
      </c>
      <c r="S183" s="32" t="str">
        <f t="shared" si="20"/>
        <v>-</v>
      </c>
    </row>
    <row r="184" spans="1:19" x14ac:dyDescent="0.3">
      <c r="A184" s="134">
        <v>100009416</v>
      </c>
      <c r="B184" s="23">
        <v>1754</v>
      </c>
      <c r="C184" s="38">
        <v>33984017542</v>
      </c>
      <c r="D184" s="39" t="s">
        <v>29</v>
      </c>
      <c r="E184" s="26">
        <v>90</v>
      </c>
      <c r="F184" s="27">
        <v>0.23835000000000001</v>
      </c>
      <c r="G184" s="26">
        <v>23</v>
      </c>
      <c r="H184" s="105" t="s">
        <v>850</v>
      </c>
      <c r="I184" s="28">
        <v>15.119831999999999</v>
      </c>
      <c r="J184" s="26"/>
      <c r="K184" s="135">
        <f t="shared" si="16"/>
        <v>0</v>
      </c>
      <c r="L184" s="29"/>
      <c r="M184" s="104"/>
      <c r="N184" s="30" t="str">
        <f t="shared" si="18"/>
        <v>-</v>
      </c>
      <c r="O184" s="30" t="str">
        <f t="shared" si="21"/>
        <v>-</v>
      </c>
      <c r="P184" s="31" t="str">
        <f t="shared" si="17"/>
        <v>-</v>
      </c>
      <c r="Q184" s="32" t="str">
        <f t="shared" si="19"/>
        <v>-</v>
      </c>
      <c r="S184" s="32" t="str">
        <f t="shared" si="20"/>
        <v>-</v>
      </c>
    </row>
    <row r="185" spans="1:19" x14ac:dyDescent="0.3">
      <c r="A185" s="134">
        <v>100009620</v>
      </c>
      <c r="B185" s="23">
        <v>3320</v>
      </c>
      <c r="C185" s="38">
        <v>33984033207</v>
      </c>
      <c r="D185" s="39" t="s">
        <v>35</v>
      </c>
      <c r="E185" s="26">
        <v>100</v>
      </c>
      <c r="F185" s="27">
        <v>0.16525957612395004</v>
      </c>
      <c r="G185" s="26">
        <v>25</v>
      </c>
      <c r="H185" s="105" t="s">
        <v>850</v>
      </c>
      <c r="I185" s="28">
        <v>5.3549404999999997</v>
      </c>
      <c r="J185" s="26"/>
      <c r="K185" s="135">
        <f t="shared" si="16"/>
        <v>0</v>
      </c>
      <c r="L185" s="29"/>
      <c r="M185" s="104"/>
      <c r="N185" s="30" t="str">
        <f t="shared" si="18"/>
        <v>-</v>
      </c>
      <c r="O185" s="30" t="str">
        <f t="shared" si="21"/>
        <v>-</v>
      </c>
      <c r="P185" s="31" t="str">
        <f t="shared" si="17"/>
        <v>-</v>
      </c>
      <c r="Q185" s="32" t="str">
        <f t="shared" si="19"/>
        <v>-</v>
      </c>
      <c r="S185" s="32" t="str">
        <f t="shared" si="20"/>
        <v>-</v>
      </c>
    </row>
    <row r="186" spans="1:19" x14ac:dyDescent="0.3">
      <c r="A186" s="134">
        <v>100009621</v>
      </c>
      <c r="B186" s="23">
        <v>3321</v>
      </c>
      <c r="C186" s="38">
        <v>33984033214</v>
      </c>
      <c r="D186" s="39" t="s">
        <v>35</v>
      </c>
      <c r="E186" s="26">
        <v>250</v>
      </c>
      <c r="F186" s="27">
        <v>0.40859999999999996</v>
      </c>
      <c r="G186" s="26">
        <v>20</v>
      </c>
      <c r="H186" s="105" t="s">
        <v>850</v>
      </c>
      <c r="I186" s="28">
        <v>9.2608970999999976</v>
      </c>
      <c r="J186" s="26"/>
      <c r="K186" s="135">
        <f t="shared" si="16"/>
        <v>0</v>
      </c>
      <c r="L186" s="29"/>
      <c r="M186" s="104"/>
      <c r="N186" s="30" t="str">
        <f t="shared" si="18"/>
        <v>-</v>
      </c>
      <c r="O186" s="30" t="str">
        <f t="shared" si="21"/>
        <v>-</v>
      </c>
      <c r="P186" s="31" t="str">
        <f t="shared" si="17"/>
        <v>-</v>
      </c>
      <c r="Q186" s="32" t="str">
        <f t="shared" si="19"/>
        <v>-</v>
      </c>
      <c r="S186" s="32" t="str">
        <f t="shared" si="20"/>
        <v>-</v>
      </c>
    </row>
    <row r="187" spans="1:19" x14ac:dyDescent="0.3">
      <c r="A187" s="134">
        <v>100009619</v>
      </c>
      <c r="B187" s="23">
        <v>3319</v>
      </c>
      <c r="C187" s="38">
        <v>33984033191</v>
      </c>
      <c r="D187" s="39" t="s">
        <v>36</v>
      </c>
      <c r="E187" s="26">
        <v>120</v>
      </c>
      <c r="F187" s="27">
        <v>0.20429999999999998</v>
      </c>
      <c r="G187" s="26">
        <v>30</v>
      </c>
      <c r="H187" s="105" t="s">
        <v>850</v>
      </c>
      <c r="I187" s="28">
        <v>9.9538893999999996</v>
      </c>
      <c r="J187" s="26"/>
      <c r="K187" s="135">
        <f t="shared" si="16"/>
        <v>0</v>
      </c>
      <c r="L187" s="29"/>
      <c r="M187" s="104"/>
      <c r="N187" s="30" t="str">
        <f t="shared" si="18"/>
        <v>-</v>
      </c>
      <c r="O187" s="30" t="str">
        <f t="shared" si="21"/>
        <v>-</v>
      </c>
      <c r="P187" s="31" t="str">
        <f t="shared" si="17"/>
        <v>-</v>
      </c>
      <c r="Q187" s="32" t="str">
        <f t="shared" si="19"/>
        <v>-</v>
      </c>
      <c r="S187" s="32" t="str">
        <f t="shared" si="20"/>
        <v>-</v>
      </c>
    </row>
    <row r="188" spans="1:19" x14ac:dyDescent="0.3">
      <c r="A188" s="134">
        <v>100009611</v>
      </c>
      <c r="B188" s="23">
        <v>3310</v>
      </c>
      <c r="C188" s="38">
        <v>33984033108</v>
      </c>
      <c r="D188" s="39" t="s">
        <v>39</v>
      </c>
      <c r="E188" s="26">
        <v>90</v>
      </c>
      <c r="F188" s="27">
        <v>0.14341618755750002</v>
      </c>
      <c r="G188" s="26">
        <v>42</v>
      </c>
      <c r="H188" s="105" t="s">
        <v>850</v>
      </c>
      <c r="I188" s="28">
        <v>6.047932799999999</v>
      </c>
      <c r="J188" s="26"/>
      <c r="K188" s="135">
        <f t="shared" si="16"/>
        <v>0</v>
      </c>
      <c r="L188" s="29"/>
      <c r="M188" s="104"/>
      <c r="N188" s="30" t="str">
        <f t="shared" si="18"/>
        <v>-</v>
      </c>
      <c r="O188" s="30" t="str">
        <f t="shared" si="21"/>
        <v>-</v>
      </c>
      <c r="P188" s="31" t="str">
        <f t="shared" si="17"/>
        <v>-</v>
      </c>
      <c r="Q188" s="32" t="str">
        <f t="shared" si="19"/>
        <v>-</v>
      </c>
      <c r="S188" s="32" t="str">
        <f t="shared" si="20"/>
        <v>-</v>
      </c>
    </row>
    <row r="189" spans="1:19" x14ac:dyDescent="0.3">
      <c r="A189" s="134">
        <v>100009612</v>
      </c>
      <c r="B189" s="23">
        <v>3311</v>
      </c>
      <c r="C189" s="38">
        <v>33984033115</v>
      </c>
      <c r="D189" s="39" t="s">
        <v>39</v>
      </c>
      <c r="E189" s="26">
        <v>180</v>
      </c>
      <c r="F189" s="27">
        <v>0.18733994870402781</v>
      </c>
      <c r="G189" s="26">
        <v>36</v>
      </c>
      <c r="H189" s="105" t="s">
        <v>850</v>
      </c>
      <c r="I189" s="28">
        <v>9.2608970999999976</v>
      </c>
      <c r="J189" s="26"/>
      <c r="K189" s="135">
        <f t="shared" si="16"/>
        <v>0</v>
      </c>
      <c r="L189" s="29"/>
      <c r="M189" s="104"/>
      <c r="N189" s="30" t="str">
        <f t="shared" si="18"/>
        <v>-</v>
      </c>
      <c r="O189" s="30" t="str">
        <f t="shared" si="21"/>
        <v>-</v>
      </c>
      <c r="P189" s="31" t="str">
        <f t="shared" si="17"/>
        <v>-</v>
      </c>
      <c r="Q189" s="32" t="str">
        <f t="shared" si="19"/>
        <v>-</v>
      </c>
      <c r="S189" s="32" t="str">
        <f t="shared" si="20"/>
        <v>-</v>
      </c>
    </row>
    <row r="190" spans="1:19" x14ac:dyDescent="0.3">
      <c r="A190" s="134">
        <v>100190591</v>
      </c>
      <c r="B190" s="23">
        <v>30333</v>
      </c>
      <c r="C190" s="38">
        <v>33984303331</v>
      </c>
      <c r="D190" s="39" t="s">
        <v>40</v>
      </c>
      <c r="E190" s="26">
        <v>120</v>
      </c>
      <c r="F190" s="27">
        <v>0.19906657144733333</v>
      </c>
      <c r="G190" s="26">
        <v>30</v>
      </c>
      <c r="H190" s="105" t="s">
        <v>850</v>
      </c>
      <c r="I190" s="28">
        <v>19.529782999999998</v>
      </c>
      <c r="J190" s="26"/>
      <c r="K190" s="135">
        <f t="shared" si="16"/>
        <v>0</v>
      </c>
      <c r="L190" s="29"/>
      <c r="M190" s="104"/>
      <c r="N190" s="30" t="str">
        <f t="shared" si="18"/>
        <v>-</v>
      </c>
      <c r="O190" s="30" t="str">
        <f t="shared" si="21"/>
        <v>-</v>
      </c>
      <c r="P190" s="31" t="str">
        <f t="shared" si="17"/>
        <v>-</v>
      </c>
      <c r="Q190" s="32" t="str">
        <f t="shared" si="19"/>
        <v>-</v>
      </c>
      <c r="S190" s="32" t="str">
        <f t="shared" si="20"/>
        <v>-</v>
      </c>
    </row>
    <row r="191" spans="1:19" x14ac:dyDescent="0.3">
      <c r="A191" s="134">
        <v>100190596</v>
      </c>
      <c r="B191" s="23">
        <v>30335</v>
      </c>
      <c r="C191" s="38">
        <v>33984303355</v>
      </c>
      <c r="D191" s="39" t="s">
        <v>45</v>
      </c>
      <c r="E191" s="26">
        <v>100</v>
      </c>
      <c r="F191" s="27">
        <v>0.1627426424619722</v>
      </c>
      <c r="G191" s="26">
        <v>36</v>
      </c>
      <c r="H191" s="105" t="s">
        <v>850</v>
      </c>
      <c r="I191" s="28">
        <v>34.649614999999997</v>
      </c>
      <c r="J191" s="26"/>
      <c r="K191" s="135">
        <f t="shared" si="16"/>
        <v>0</v>
      </c>
      <c r="L191" s="29"/>
      <c r="M191" s="104"/>
      <c r="N191" s="30" t="str">
        <f t="shared" si="18"/>
        <v>-</v>
      </c>
      <c r="O191" s="30" t="str">
        <f t="shared" si="21"/>
        <v>-</v>
      </c>
      <c r="P191" s="31" t="str">
        <f t="shared" si="17"/>
        <v>-</v>
      </c>
      <c r="Q191" s="32" t="str">
        <f t="shared" si="19"/>
        <v>-</v>
      </c>
      <c r="S191" s="32" t="str">
        <f t="shared" si="20"/>
        <v>-</v>
      </c>
    </row>
    <row r="192" spans="1:19" x14ac:dyDescent="0.3">
      <c r="A192" s="140">
        <v>100009631</v>
      </c>
      <c r="B192" s="33">
        <v>3481</v>
      </c>
      <c r="C192" s="34">
        <v>33984034815</v>
      </c>
      <c r="D192" s="46" t="s">
        <v>49</v>
      </c>
      <c r="E192" s="33">
        <v>100</v>
      </c>
      <c r="F192" s="36">
        <v>0.16431572600070835</v>
      </c>
      <c r="G192" s="33">
        <v>36</v>
      </c>
      <c r="H192" s="105" t="s">
        <v>850</v>
      </c>
      <c r="I192" s="37">
        <v>9.2608970999999976</v>
      </c>
      <c r="J192" s="33"/>
      <c r="K192" s="141">
        <f t="shared" si="16"/>
        <v>0</v>
      </c>
      <c r="L192" s="29"/>
      <c r="M192" s="104"/>
      <c r="N192" s="30" t="str">
        <f t="shared" si="18"/>
        <v>-</v>
      </c>
      <c r="O192" s="30" t="str">
        <f t="shared" si="21"/>
        <v>-</v>
      </c>
      <c r="P192" s="31" t="str">
        <f t="shared" si="17"/>
        <v>-</v>
      </c>
      <c r="Q192" s="32" t="str">
        <f t="shared" si="19"/>
        <v>-</v>
      </c>
      <c r="S192" s="32" t="str">
        <f t="shared" si="20"/>
        <v>-</v>
      </c>
    </row>
    <row r="193" spans="1:19" x14ac:dyDescent="0.3">
      <c r="A193" s="134">
        <v>100009632</v>
      </c>
      <c r="B193" s="23">
        <v>3501</v>
      </c>
      <c r="C193" s="38">
        <v>33984035010</v>
      </c>
      <c r="D193" s="45" t="s">
        <v>50</v>
      </c>
      <c r="E193" s="26">
        <v>100</v>
      </c>
      <c r="F193" s="27">
        <v>0.23835000000000001</v>
      </c>
      <c r="G193" s="26">
        <v>25</v>
      </c>
      <c r="H193" s="105" t="s">
        <v>850</v>
      </c>
      <c r="I193" s="28">
        <v>9.2608970999999976</v>
      </c>
      <c r="J193" s="26"/>
      <c r="K193" s="135">
        <f t="shared" si="16"/>
        <v>0</v>
      </c>
      <c r="L193" s="29"/>
      <c r="M193" s="104"/>
      <c r="N193" s="30" t="str">
        <f t="shared" si="18"/>
        <v>-</v>
      </c>
      <c r="O193" s="30" t="str">
        <f t="shared" si="21"/>
        <v>-</v>
      </c>
      <c r="P193" s="31" t="str">
        <f t="shared" si="17"/>
        <v>-</v>
      </c>
      <c r="Q193" s="32" t="str">
        <f t="shared" si="19"/>
        <v>-</v>
      </c>
      <c r="S193" s="32" t="str">
        <f t="shared" si="20"/>
        <v>-</v>
      </c>
    </row>
    <row r="194" spans="1:19" x14ac:dyDescent="0.3">
      <c r="A194" s="134">
        <v>100009635</v>
      </c>
      <c r="B194" s="23">
        <v>3522</v>
      </c>
      <c r="C194" s="38">
        <v>33984035225</v>
      </c>
      <c r="D194" s="45" t="s">
        <v>51</v>
      </c>
      <c r="E194" s="26">
        <v>250</v>
      </c>
      <c r="F194" s="27">
        <v>0.52544565383646868</v>
      </c>
      <c r="G194" s="26">
        <v>12</v>
      </c>
      <c r="H194" s="105" t="s">
        <v>850</v>
      </c>
      <c r="I194" s="28">
        <v>25.829712999999995</v>
      </c>
      <c r="J194" s="26"/>
      <c r="K194" s="135">
        <f t="shared" ref="K194:K257" si="22">J194*I194</f>
        <v>0</v>
      </c>
      <c r="L194" s="29"/>
      <c r="M194" s="104"/>
      <c r="N194" s="30" t="str">
        <f t="shared" si="18"/>
        <v>-</v>
      </c>
      <c r="O194" s="30" t="str">
        <f t="shared" si="21"/>
        <v>-</v>
      </c>
      <c r="P194" s="31" t="str">
        <f t="shared" ref="P194:P257" si="23">IF(J194&gt;0,J194*F194, "-")</f>
        <v>-</v>
      </c>
      <c r="Q194" s="32" t="str">
        <f t="shared" si="19"/>
        <v>-</v>
      </c>
      <c r="S194" s="32" t="str">
        <f t="shared" si="20"/>
        <v>-</v>
      </c>
    </row>
    <row r="195" spans="1:19" x14ac:dyDescent="0.3">
      <c r="A195" s="140">
        <v>100009636</v>
      </c>
      <c r="B195" s="33">
        <v>3540</v>
      </c>
      <c r="C195" s="34">
        <v>33984035409</v>
      </c>
      <c r="D195" s="46" t="s">
        <v>52</v>
      </c>
      <c r="E195" s="33">
        <v>50</v>
      </c>
      <c r="F195" s="36">
        <v>0.20232714460034998</v>
      </c>
      <c r="G195" s="33">
        <v>30</v>
      </c>
      <c r="H195" s="105" t="s">
        <v>850</v>
      </c>
      <c r="I195" s="37">
        <v>6.9299229999999987</v>
      </c>
      <c r="J195" s="33"/>
      <c r="K195" s="141">
        <f t="shared" si="22"/>
        <v>0</v>
      </c>
      <c r="L195" s="29"/>
      <c r="M195" s="104"/>
      <c r="N195" s="30" t="str">
        <f t="shared" ref="N195:N258" si="24">IFERROR(IF($N$2*F195=0, "-", $N$2*F195), "-")</f>
        <v>-</v>
      </c>
      <c r="O195" s="30" t="str">
        <f t="shared" si="21"/>
        <v>-</v>
      </c>
      <c r="P195" s="31" t="str">
        <f t="shared" si="23"/>
        <v>-</v>
      </c>
      <c r="Q195" s="32" t="str">
        <f t="shared" ref="Q195:Q258" si="25">IFERROR(IF($N$2&gt;0, $N$2*P195, "-"), "-")</f>
        <v>-</v>
      </c>
      <c r="S195" s="32" t="str">
        <f t="shared" si="20"/>
        <v>-</v>
      </c>
    </row>
    <row r="196" spans="1:19" x14ac:dyDescent="0.3">
      <c r="A196" s="134">
        <v>100009638</v>
      </c>
      <c r="B196" s="23">
        <v>3542</v>
      </c>
      <c r="C196" s="38">
        <v>33984035423</v>
      </c>
      <c r="D196" s="45" t="s">
        <v>52</v>
      </c>
      <c r="E196" s="26">
        <v>250</v>
      </c>
      <c r="F196" s="27">
        <v>0.72461948097962514</v>
      </c>
      <c r="G196" s="26">
        <v>12</v>
      </c>
      <c r="H196" s="105" t="s">
        <v>850</v>
      </c>
      <c r="I196" s="28">
        <v>24.569726999999997</v>
      </c>
      <c r="J196" s="26"/>
      <c r="K196" s="135">
        <f t="shared" si="22"/>
        <v>0</v>
      </c>
      <c r="L196" s="29"/>
      <c r="M196" s="104"/>
      <c r="N196" s="30" t="str">
        <f t="shared" si="24"/>
        <v>-</v>
      </c>
      <c r="O196" s="30" t="str">
        <f t="shared" si="21"/>
        <v>-</v>
      </c>
      <c r="P196" s="31" t="str">
        <f t="shared" si="23"/>
        <v>-</v>
      </c>
      <c r="Q196" s="32" t="str">
        <f t="shared" si="25"/>
        <v>-</v>
      </c>
      <c r="S196" s="32" t="str">
        <f t="shared" si="20"/>
        <v>-</v>
      </c>
    </row>
    <row r="197" spans="1:19" x14ac:dyDescent="0.3">
      <c r="A197" s="134">
        <v>100009640</v>
      </c>
      <c r="B197" s="23">
        <v>3561</v>
      </c>
      <c r="C197" s="38">
        <v>33984035614</v>
      </c>
      <c r="D197" s="45" t="s">
        <v>54</v>
      </c>
      <c r="E197" s="26">
        <v>100</v>
      </c>
      <c r="F197" s="27">
        <v>0.45400000000000001</v>
      </c>
      <c r="G197" s="26">
        <v>20</v>
      </c>
      <c r="H197" s="105" t="s">
        <v>850</v>
      </c>
      <c r="I197" s="28">
        <v>22.679747999999996</v>
      </c>
      <c r="J197" s="26"/>
      <c r="K197" s="135">
        <f t="shared" si="22"/>
        <v>0</v>
      </c>
      <c r="L197" s="29"/>
      <c r="M197" s="104"/>
      <c r="N197" s="30" t="str">
        <f t="shared" si="24"/>
        <v>-</v>
      </c>
      <c r="O197" s="30" t="str">
        <f t="shared" si="21"/>
        <v>-</v>
      </c>
      <c r="P197" s="31" t="str">
        <f t="shared" si="23"/>
        <v>-</v>
      </c>
      <c r="Q197" s="32" t="str">
        <f t="shared" si="25"/>
        <v>-</v>
      </c>
      <c r="S197" s="32" t="str">
        <f t="shared" si="20"/>
        <v>-</v>
      </c>
    </row>
    <row r="198" spans="1:19" x14ac:dyDescent="0.3">
      <c r="A198" s="134">
        <v>100009603</v>
      </c>
      <c r="B198" s="23">
        <v>3230</v>
      </c>
      <c r="C198" s="38">
        <v>33984032309</v>
      </c>
      <c r="D198" s="39" t="s">
        <v>69</v>
      </c>
      <c r="E198" s="26">
        <v>250</v>
      </c>
      <c r="F198" s="27">
        <v>0.15301812604069445</v>
      </c>
      <c r="G198" s="26">
        <v>36</v>
      </c>
      <c r="H198" s="105" t="s">
        <v>850</v>
      </c>
      <c r="I198" s="28">
        <v>20.159775999999997</v>
      </c>
      <c r="J198" s="26"/>
      <c r="K198" s="135">
        <f t="shared" si="22"/>
        <v>0</v>
      </c>
      <c r="L198" s="29"/>
      <c r="M198" s="104"/>
      <c r="N198" s="30" t="str">
        <f t="shared" si="24"/>
        <v>-</v>
      </c>
      <c r="O198" s="30" t="str">
        <f t="shared" si="21"/>
        <v>-</v>
      </c>
      <c r="P198" s="31" t="str">
        <f t="shared" si="23"/>
        <v>-</v>
      </c>
      <c r="Q198" s="32" t="str">
        <f t="shared" si="25"/>
        <v>-</v>
      </c>
      <c r="S198" s="32" t="str">
        <f t="shared" si="20"/>
        <v>-</v>
      </c>
    </row>
    <row r="199" spans="1:19" x14ac:dyDescent="0.3">
      <c r="A199" s="134">
        <v>100009378</v>
      </c>
      <c r="B199" s="23">
        <v>1595</v>
      </c>
      <c r="C199" s="38">
        <v>33984015951</v>
      </c>
      <c r="D199" s="39" t="s">
        <v>70</v>
      </c>
      <c r="E199" s="26" t="s">
        <v>273</v>
      </c>
      <c r="F199" s="27">
        <v>0.16211807868221431</v>
      </c>
      <c r="G199" s="26">
        <v>49</v>
      </c>
      <c r="H199" s="105" t="s">
        <v>850</v>
      </c>
      <c r="I199" s="28">
        <v>9.2608970999999976</v>
      </c>
      <c r="J199" s="26"/>
      <c r="K199" s="135">
        <f t="shared" si="22"/>
        <v>0</v>
      </c>
      <c r="L199" s="29"/>
      <c r="M199" s="104"/>
      <c r="N199" s="30" t="str">
        <f t="shared" si="24"/>
        <v>-</v>
      </c>
      <c r="O199" s="30" t="str">
        <f t="shared" si="21"/>
        <v>-</v>
      </c>
      <c r="P199" s="31" t="str">
        <f t="shared" si="23"/>
        <v>-</v>
      </c>
      <c r="Q199" s="32" t="str">
        <f t="shared" si="25"/>
        <v>-</v>
      </c>
      <c r="S199" s="32" t="str">
        <f t="shared" si="20"/>
        <v>-</v>
      </c>
    </row>
    <row r="200" spans="1:19" x14ac:dyDescent="0.3">
      <c r="A200" s="134">
        <v>100009411</v>
      </c>
      <c r="B200" s="23">
        <v>1745</v>
      </c>
      <c r="C200" s="38">
        <v>33984017450</v>
      </c>
      <c r="D200" s="39" t="s">
        <v>71</v>
      </c>
      <c r="E200" s="26">
        <v>30</v>
      </c>
      <c r="F200" s="27">
        <v>0.10214999999999999</v>
      </c>
      <c r="G200" s="26">
        <v>42</v>
      </c>
      <c r="H200" s="105" t="s">
        <v>850</v>
      </c>
      <c r="I200" s="28">
        <v>8.819901999999999</v>
      </c>
      <c r="J200" s="26"/>
      <c r="K200" s="135">
        <f t="shared" si="22"/>
        <v>0</v>
      </c>
      <c r="L200" s="29"/>
      <c r="M200" s="104"/>
      <c r="N200" s="30" t="str">
        <f t="shared" si="24"/>
        <v>-</v>
      </c>
      <c r="O200" s="30" t="str">
        <f t="shared" si="21"/>
        <v>-</v>
      </c>
      <c r="P200" s="31" t="str">
        <f t="shared" si="23"/>
        <v>-</v>
      </c>
      <c r="Q200" s="32" t="str">
        <f t="shared" si="25"/>
        <v>-</v>
      </c>
      <c r="S200" s="32" t="str">
        <f t="shared" si="20"/>
        <v>-</v>
      </c>
    </row>
    <row r="201" spans="1:19" x14ac:dyDescent="0.3">
      <c r="A201" s="134">
        <v>100009272</v>
      </c>
      <c r="B201" s="23">
        <v>1092</v>
      </c>
      <c r="C201" s="38">
        <v>33984010925</v>
      </c>
      <c r="D201" s="39" t="s">
        <v>81</v>
      </c>
      <c r="E201" s="26">
        <v>250</v>
      </c>
      <c r="F201" s="27">
        <v>0.18671071528853336</v>
      </c>
      <c r="G201" s="26">
        <v>25</v>
      </c>
      <c r="H201" s="105" t="s">
        <v>850</v>
      </c>
      <c r="I201" s="28">
        <v>14.489838999999996</v>
      </c>
      <c r="J201" s="26"/>
      <c r="K201" s="135">
        <f t="shared" si="22"/>
        <v>0</v>
      </c>
      <c r="L201" s="29"/>
      <c r="M201" s="104"/>
      <c r="N201" s="30" t="str">
        <f t="shared" si="24"/>
        <v>-</v>
      </c>
      <c r="O201" s="30" t="str">
        <f t="shared" si="21"/>
        <v>-</v>
      </c>
      <c r="P201" s="31" t="str">
        <f t="shared" si="23"/>
        <v>-</v>
      </c>
      <c r="Q201" s="32" t="str">
        <f t="shared" si="25"/>
        <v>-</v>
      </c>
      <c r="S201" s="32" t="str">
        <f t="shared" si="20"/>
        <v>-</v>
      </c>
    </row>
    <row r="202" spans="1:19" x14ac:dyDescent="0.3">
      <c r="A202" s="134">
        <v>100009442</v>
      </c>
      <c r="B202" s="23">
        <v>1912</v>
      </c>
      <c r="C202" s="38">
        <v>33984019126</v>
      </c>
      <c r="D202" s="45" t="s">
        <v>85</v>
      </c>
      <c r="E202" s="26">
        <v>250</v>
      </c>
      <c r="F202" s="27">
        <v>0.49455601343946876</v>
      </c>
      <c r="G202" s="26">
        <v>12</v>
      </c>
      <c r="H202" s="105" t="s">
        <v>850</v>
      </c>
      <c r="I202" s="28">
        <v>37.169587</v>
      </c>
      <c r="J202" s="26"/>
      <c r="K202" s="135">
        <f t="shared" si="22"/>
        <v>0</v>
      </c>
      <c r="L202" s="29"/>
      <c r="M202" s="104"/>
      <c r="N202" s="30" t="str">
        <f t="shared" si="24"/>
        <v>-</v>
      </c>
      <c r="O202" s="30" t="str">
        <f t="shared" si="21"/>
        <v>-</v>
      </c>
      <c r="P202" s="31" t="str">
        <f t="shared" si="23"/>
        <v>-</v>
      </c>
      <c r="Q202" s="32" t="str">
        <f t="shared" si="25"/>
        <v>-</v>
      </c>
      <c r="S202" s="32" t="str">
        <f t="shared" si="20"/>
        <v>-</v>
      </c>
    </row>
    <row r="203" spans="1:19" x14ac:dyDescent="0.3">
      <c r="A203" s="134">
        <v>100009484</v>
      </c>
      <c r="B203" s="23">
        <v>2171</v>
      </c>
      <c r="C203" s="38">
        <v>33984021716</v>
      </c>
      <c r="D203" s="39" t="s">
        <v>86</v>
      </c>
      <c r="E203" s="26">
        <v>100</v>
      </c>
      <c r="F203" s="27">
        <v>0.27239999999999998</v>
      </c>
      <c r="G203" s="26">
        <v>23</v>
      </c>
      <c r="H203" s="105" t="s">
        <v>850</v>
      </c>
      <c r="I203" s="28">
        <v>13.859845999999997</v>
      </c>
      <c r="J203" s="26"/>
      <c r="K203" s="135">
        <f t="shared" si="22"/>
        <v>0</v>
      </c>
      <c r="L203" s="29"/>
      <c r="M203" s="104"/>
      <c r="N203" s="30" t="str">
        <f t="shared" si="24"/>
        <v>-</v>
      </c>
      <c r="O203" s="30" t="str">
        <f t="shared" si="21"/>
        <v>-</v>
      </c>
      <c r="P203" s="31" t="str">
        <f t="shared" si="23"/>
        <v>-</v>
      </c>
      <c r="Q203" s="32" t="str">
        <f t="shared" si="25"/>
        <v>-</v>
      </c>
      <c r="S203" s="32" t="str">
        <f t="shared" si="20"/>
        <v>-</v>
      </c>
    </row>
    <row r="204" spans="1:19" x14ac:dyDescent="0.3">
      <c r="A204" s="134">
        <v>100009278</v>
      </c>
      <c r="B204" s="23">
        <v>1122</v>
      </c>
      <c r="C204" s="38">
        <v>33984011229</v>
      </c>
      <c r="D204" s="39" t="s">
        <v>88</v>
      </c>
      <c r="E204" s="26">
        <v>250</v>
      </c>
      <c r="F204" s="27">
        <v>0.49940000000000001</v>
      </c>
      <c r="G204" s="26">
        <v>16</v>
      </c>
      <c r="H204" s="105" t="s">
        <v>850</v>
      </c>
      <c r="I204" s="28">
        <v>23.057743799999997</v>
      </c>
      <c r="J204" s="26"/>
      <c r="K204" s="135">
        <f t="shared" si="22"/>
        <v>0</v>
      </c>
      <c r="L204" s="29"/>
      <c r="M204" s="104"/>
      <c r="N204" s="30" t="str">
        <f t="shared" si="24"/>
        <v>-</v>
      </c>
      <c r="O204" s="30" t="str">
        <f t="shared" si="21"/>
        <v>-</v>
      </c>
      <c r="P204" s="31" t="str">
        <f t="shared" si="23"/>
        <v>-</v>
      </c>
      <c r="Q204" s="32" t="str">
        <f t="shared" si="25"/>
        <v>-</v>
      </c>
      <c r="S204" s="32" t="str">
        <f t="shared" si="20"/>
        <v>-</v>
      </c>
    </row>
    <row r="205" spans="1:19" x14ac:dyDescent="0.3">
      <c r="A205" s="134">
        <v>100009289</v>
      </c>
      <c r="B205" s="23">
        <v>1162</v>
      </c>
      <c r="C205" s="38">
        <v>33984011625</v>
      </c>
      <c r="D205" s="39" t="s">
        <v>89</v>
      </c>
      <c r="E205" s="26">
        <v>250</v>
      </c>
      <c r="F205" s="27">
        <v>0.59237320802996873</v>
      </c>
      <c r="G205" s="26">
        <v>12</v>
      </c>
      <c r="H205" s="105" t="s">
        <v>850</v>
      </c>
      <c r="I205" s="28">
        <v>35.909600999999995</v>
      </c>
      <c r="J205" s="26"/>
      <c r="K205" s="135">
        <f t="shared" si="22"/>
        <v>0</v>
      </c>
      <c r="L205" s="29"/>
      <c r="M205" s="104"/>
      <c r="N205" s="30" t="str">
        <f t="shared" si="24"/>
        <v>-</v>
      </c>
      <c r="O205" s="30" t="str">
        <f t="shared" si="21"/>
        <v>-</v>
      </c>
      <c r="P205" s="31" t="str">
        <f t="shared" si="23"/>
        <v>-</v>
      </c>
      <c r="Q205" s="32" t="str">
        <f t="shared" si="25"/>
        <v>-</v>
      </c>
      <c r="S205" s="32" t="str">
        <f t="shared" si="20"/>
        <v>-</v>
      </c>
    </row>
    <row r="206" spans="1:19" x14ac:dyDescent="0.3">
      <c r="A206" s="134">
        <v>100009285</v>
      </c>
      <c r="B206" s="23">
        <v>1151</v>
      </c>
      <c r="C206" s="38">
        <v>33984011519</v>
      </c>
      <c r="D206" s="39" t="s">
        <v>90</v>
      </c>
      <c r="E206" s="26">
        <v>250</v>
      </c>
      <c r="F206" s="27">
        <v>0.68858156718312513</v>
      </c>
      <c r="G206" s="26">
        <v>12</v>
      </c>
      <c r="H206" s="105" t="s">
        <v>850</v>
      </c>
      <c r="I206" s="28">
        <v>37.169587</v>
      </c>
      <c r="J206" s="26"/>
      <c r="K206" s="135">
        <f t="shared" si="22"/>
        <v>0</v>
      </c>
      <c r="L206" s="29"/>
      <c r="M206" s="104"/>
      <c r="N206" s="30" t="str">
        <f t="shared" si="24"/>
        <v>-</v>
      </c>
      <c r="O206" s="30" t="str">
        <f t="shared" si="21"/>
        <v>-</v>
      </c>
      <c r="P206" s="31" t="str">
        <f t="shared" si="23"/>
        <v>-</v>
      </c>
      <c r="Q206" s="32" t="str">
        <f t="shared" si="25"/>
        <v>-</v>
      </c>
      <c r="S206" s="32" t="str">
        <f t="shared" si="20"/>
        <v>-</v>
      </c>
    </row>
    <row r="207" spans="1:19" x14ac:dyDescent="0.3">
      <c r="A207" s="134">
        <v>100009414</v>
      </c>
      <c r="B207" s="23">
        <v>1751</v>
      </c>
      <c r="C207" s="38">
        <v>33984017511</v>
      </c>
      <c r="D207" s="39" t="s">
        <v>91</v>
      </c>
      <c r="E207" s="26">
        <v>100</v>
      </c>
      <c r="F207" s="27">
        <v>0.26105</v>
      </c>
      <c r="G207" s="26">
        <v>25</v>
      </c>
      <c r="H207" s="105" t="s">
        <v>850</v>
      </c>
      <c r="I207" s="28">
        <v>15.749824999999998</v>
      </c>
      <c r="J207" s="26"/>
      <c r="K207" s="135">
        <f t="shared" si="22"/>
        <v>0</v>
      </c>
      <c r="L207" s="29"/>
      <c r="M207" s="104"/>
      <c r="N207" s="30" t="str">
        <f t="shared" si="24"/>
        <v>-</v>
      </c>
      <c r="O207" s="30" t="str">
        <f t="shared" si="21"/>
        <v>-</v>
      </c>
      <c r="P207" s="31" t="str">
        <f t="shared" si="23"/>
        <v>-</v>
      </c>
      <c r="Q207" s="32" t="str">
        <f t="shared" si="25"/>
        <v>-</v>
      </c>
      <c r="S207" s="32" t="str">
        <f t="shared" si="20"/>
        <v>-</v>
      </c>
    </row>
    <row r="208" spans="1:19" x14ac:dyDescent="0.3">
      <c r="A208" s="134">
        <v>100009570</v>
      </c>
      <c r="B208" s="23">
        <v>2772</v>
      </c>
      <c r="C208" s="38">
        <v>33984027725</v>
      </c>
      <c r="D208" s="39" t="s">
        <v>92</v>
      </c>
      <c r="E208" s="26">
        <v>90</v>
      </c>
      <c r="F208" s="27">
        <v>0.40859999999999996</v>
      </c>
      <c r="G208" s="26">
        <v>20</v>
      </c>
      <c r="H208" s="105" t="s">
        <v>850</v>
      </c>
      <c r="I208" s="28">
        <v>17.009810999999999</v>
      </c>
      <c r="J208" s="26"/>
      <c r="K208" s="135">
        <f t="shared" si="22"/>
        <v>0</v>
      </c>
      <c r="L208" s="29"/>
      <c r="M208" s="104"/>
      <c r="N208" s="30" t="str">
        <f t="shared" si="24"/>
        <v>-</v>
      </c>
      <c r="O208" s="30" t="str">
        <f t="shared" si="21"/>
        <v>-</v>
      </c>
      <c r="P208" s="31" t="str">
        <f t="shared" si="23"/>
        <v>-</v>
      </c>
      <c r="Q208" s="32" t="str">
        <f t="shared" si="25"/>
        <v>-</v>
      </c>
      <c r="S208" s="32" t="str">
        <f t="shared" si="20"/>
        <v>-</v>
      </c>
    </row>
    <row r="209" spans="1:19" x14ac:dyDescent="0.3">
      <c r="A209" s="136">
        <v>100009259</v>
      </c>
      <c r="B209" s="47">
        <v>1051</v>
      </c>
      <c r="C209" s="48">
        <v>33984010512</v>
      </c>
      <c r="D209" s="49" t="s">
        <v>95</v>
      </c>
      <c r="E209" s="50">
        <v>60</v>
      </c>
      <c r="F209" s="51">
        <v>0.30621930180226004</v>
      </c>
      <c r="G209" s="50">
        <v>25</v>
      </c>
      <c r="H209" s="105" t="s">
        <v>850</v>
      </c>
      <c r="I209" s="52">
        <v>9.9538893999999996</v>
      </c>
      <c r="J209" s="50"/>
      <c r="K209" s="137">
        <f t="shared" si="22"/>
        <v>0</v>
      </c>
      <c r="L209" s="29"/>
      <c r="M209" s="104"/>
      <c r="N209" s="30" t="str">
        <f t="shared" si="24"/>
        <v>-</v>
      </c>
      <c r="O209" s="30" t="str">
        <f t="shared" si="21"/>
        <v>-</v>
      </c>
      <c r="P209" s="31" t="str">
        <f t="shared" si="23"/>
        <v>-</v>
      </c>
      <c r="Q209" s="32" t="str">
        <f t="shared" si="25"/>
        <v>-</v>
      </c>
      <c r="S209" s="32" t="str">
        <f t="shared" si="20"/>
        <v>-</v>
      </c>
    </row>
    <row r="210" spans="1:19" x14ac:dyDescent="0.3">
      <c r="A210" s="136">
        <v>100009261</v>
      </c>
      <c r="B210" s="47">
        <v>1053</v>
      </c>
      <c r="C210" s="48">
        <v>33984010536</v>
      </c>
      <c r="D210" s="49" t="s">
        <v>96</v>
      </c>
      <c r="E210" s="50">
        <v>180</v>
      </c>
      <c r="F210" s="51">
        <v>0.6670231723227189</v>
      </c>
      <c r="G210" s="50">
        <v>16</v>
      </c>
      <c r="H210" s="105" t="s">
        <v>850</v>
      </c>
      <c r="I210" s="52">
        <v>25.199719999999999</v>
      </c>
      <c r="J210" s="50"/>
      <c r="K210" s="137">
        <f t="shared" si="22"/>
        <v>0</v>
      </c>
      <c r="L210" s="29"/>
      <c r="M210" s="104"/>
      <c r="N210" s="30" t="str">
        <f t="shared" si="24"/>
        <v>-</v>
      </c>
      <c r="O210" s="30" t="str">
        <f t="shared" si="21"/>
        <v>-</v>
      </c>
      <c r="P210" s="31" t="str">
        <f t="shared" si="23"/>
        <v>-</v>
      </c>
      <c r="Q210" s="32" t="str">
        <f t="shared" si="25"/>
        <v>-</v>
      </c>
      <c r="S210" s="32" t="str">
        <f t="shared" si="20"/>
        <v>-</v>
      </c>
    </row>
    <row r="211" spans="1:19" x14ac:dyDescent="0.3">
      <c r="A211" s="134">
        <v>100188953</v>
      </c>
      <c r="B211" s="23">
        <v>30058</v>
      </c>
      <c r="C211" s="23">
        <v>33984006928</v>
      </c>
      <c r="D211" s="45" t="s">
        <v>97</v>
      </c>
      <c r="E211" s="26">
        <v>90</v>
      </c>
      <c r="F211" s="27">
        <v>0.29731278882112505</v>
      </c>
      <c r="G211" s="26">
        <v>20</v>
      </c>
      <c r="H211" s="105" t="s">
        <v>850</v>
      </c>
      <c r="I211" s="28">
        <v>11.150876099999998</v>
      </c>
      <c r="J211" s="26"/>
      <c r="K211" s="135">
        <f t="shared" si="22"/>
        <v>0</v>
      </c>
      <c r="L211" s="29"/>
      <c r="M211" s="104"/>
      <c r="N211" s="30" t="str">
        <f t="shared" si="24"/>
        <v>-</v>
      </c>
      <c r="O211" s="30" t="str">
        <f t="shared" si="21"/>
        <v>-</v>
      </c>
      <c r="P211" s="31" t="str">
        <f t="shared" si="23"/>
        <v>-</v>
      </c>
      <c r="Q211" s="32" t="str">
        <f t="shared" si="25"/>
        <v>-</v>
      </c>
      <c r="S211" s="32" t="str">
        <f t="shared" si="20"/>
        <v>-</v>
      </c>
    </row>
    <row r="212" spans="1:19" x14ac:dyDescent="0.3">
      <c r="A212" s="134">
        <v>100188954</v>
      </c>
      <c r="B212" s="23">
        <v>30059</v>
      </c>
      <c r="C212" s="38">
        <v>33984006935</v>
      </c>
      <c r="D212" s="45" t="s">
        <v>98</v>
      </c>
      <c r="E212" s="26">
        <v>50</v>
      </c>
      <c r="F212" s="27">
        <v>0.26105</v>
      </c>
      <c r="G212" s="26">
        <v>24</v>
      </c>
      <c r="H212" s="105" t="s">
        <v>850</v>
      </c>
      <c r="I212" s="28">
        <v>11.969866999999997</v>
      </c>
      <c r="J212" s="26"/>
      <c r="K212" s="135">
        <f t="shared" si="22"/>
        <v>0</v>
      </c>
      <c r="L212" s="29"/>
      <c r="M212" s="104"/>
      <c r="N212" s="30" t="str">
        <f t="shared" si="24"/>
        <v>-</v>
      </c>
      <c r="O212" s="30" t="str">
        <f t="shared" si="21"/>
        <v>-</v>
      </c>
      <c r="P212" s="31" t="str">
        <f t="shared" si="23"/>
        <v>-</v>
      </c>
      <c r="Q212" s="32" t="str">
        <f t="shared" si="25"/>
        <v>-</v>
      </c>
      <c r="S212" s="32" t="str">
        <f t="shared" si="20"/>
        <v>-</v>
      </c>
    </row>
    <row r="213" spans="1:19" x14ac:dyDescent="0.3">
      <c r="A213" s="134">
        <v>100188955</v>
      </c>
      <c r="B213" s="23">
        <v>30060</v>
      </c>
      <c r="C213" s="38">
        <v>33984006942</v>
      </c>
      <c r="D213" s="45" t="s">
        <v>98</v>
      </c>
      <c r="E213" s="26">
        <v>100</v>
      </c>
      <c r="F213" s="27">
        <v>0.45626573003068754</v>
      </c>
      <c r="G213" s="26">
        <v>20</v>
      </c>
      <c r="H213" s="105" t="s">
        <v>850</v>
      </c>
      <c r="I213" s="28">
        <v>23.309740999999999</v>
      </c>
      <c r="J213" s="26"/>
      <c r="K213" s="135">
        <f t="shared" si="22"/>
        <v>0</v>
      </c>
      <c r="L213" s="29"/>
      <c r="M213" s="104"/>
      <c r="N213" s="30" t="str">
        <f t="shared" si="24"/>
        <v>-</v>
      </c>
      <c r="O213" s="30" t="str">
        <f t="shared" si="21"/>
        <v>-</v>
      </c>
      <c r="P213" s="31" t="str">
        <f t="shared" si="23"/>
        <v>-</v>
      </c>
      <c r="Q213" s="32" t="str">
        <f t="shared" si="25"/>
        <v>-</v>
      </c>
      <c r="S213" s="32" t="str">
        <f t="shared" si="20"/>
        <v>-</v>
      </c>
    </row>
    <row r="214" spans="1:19" x14ac:dyDescent="0.3">
      <c r="A214" s="134">
        <v>100009524</v>
      </c>
      <c r="B214" s="23">
        <v>2381</v>
      </c>
      <c r="C214" s="38">
        <v>33984023819</v>
      </c>
      <c r="D214" s="45" t="s">
        <v>103</v>
      </c>
      <c r="E214" s="26">
        <v>250</v>
      </c>
      <c r="F214" s="27">
        <v>0.60266975482896878</v>
      </c>
      <c r="G214" s="26">
        <v>16</v>
      </c>
      <c r="H214" s="105" t="s">
        <v>850</v>
      </c>
      <c r="I214" s="28">
        <v>15.119831999999999</v>
      </c>
      <c r="J214" s="26"/>
      <c r="K214" s="135">
        <f t="shared" si="22"/>
        <v>0</v>
      </c>
      <c r="L214" s="29"/>
      <c r="M214" s="104"/>
      <c r="N214" s="30" t="str">
        <f t="shared" si="24"/>
        <v>-</v>
      </c>
      <c r="O214" s="30" t="str">
        <f t="shared" si="21"/>
        <v>-</v>
      </c>
      <c r="P214" s="31" t="str">
        <f t="shared" si="23"/>
        <v>-</v>
      </c>
      <c r="Q214" s="32" t="str">
        <f t="shared" si="25"/>
        <v>-</v>
      </c>
      <c r="S214" s="32" t="str">
        <f t="shared" si="20"/>
        <v>-</v>
      </c>
    </row>
    <row r="215" spans="1:19" x14ac:dyDescent="0.3">
      <c r="A215" s="134">
        <v>100009526</v>
      </c>
      <c r="B215" s="23">
        <v>2401</v>
      </c>
      <c r="C215" s="38">
        <v>33984024014</v>
      </c>
      <c r="D215" s="45" t="s">
        <v>104</v>
      </c>
      <c r="E215" s="26">
        <v>250</v>
      </c>
      <c r="F215" s="27">
        <v>0.7782473288910835</v>
      </c>
      <c r="G215" s="26">
        <v>12</v>
      </c>
      <c r="H215" s="105" t="s">
        <v>850</v>
      </c>
      <c r="I215" s="28">
        <v>22.679747999999996</v>
      </c>
      <c r="J215" s="26"/>
      <c r="K215" s="135">
        <f t="shared" si="22"/>
        <v>0</v>
      </c>
      <c r="L215" s="29"/>
      <c r="M215" s="104"/>
      <c r="N215" s="30" t="str">
        <f t="shared" si="24"/>
        <v>-</v>
      </c>
      <c r="O215" s="30" t="str">
        <f t="shared" si="21"/>
        <v>-</v>
      </c>
      <c r="P215" s="31" t="str">
        <f t="shared" si="23"/>
        <v>-</v>
      </c>
      <c r="Q215" s="32" t="str">
        <f t="shared" si="25"/>
        <v>-</v>
      </c>
      <c r="S215" s="32" t="str">
        <f t="shared" si="20"/>
        <v>-</v>
      </c>
    </row>
    <row r="216" spans="1:19" x14ac:dyDescent="0.3">
      <c r="A216" s="134">
        <v>100009385</v>
      </c>
      <c r="B216" s="23">
        <v>1675</v>
      </c>
      <c r="C216" s="38">
        <v>33984016750</v>
      </c>
      <c r="D216" s="45" t="s">
        <v>107</v>
      </c>
      <c r="E216" s="26">
        <v>60</v>
      </c>
      <c r="F216" s="27">
        <v>0.17024999999999998</v>
      </c>
      <c r="G216" s="26">
        <v>30</v>
      </c>
      <c r="H216" s="105" t="s">
        <v>850</v>
      </c>
      <c r="I216" s="28">
        <v>19.781780199999996</v>
      </c>
      <c r="J216" s="26"/>
      <c r="K216" s="135">
        <f t="shared" si="22"/>
        <v>0</v>
      </c>
      <c r="L216" s="29"/>
      <c r="M216" s="104"/>
      <c r="N216" s="30" t="str">
        <f t="shared" si="24"/>
        <v>-</v>
      </c>
      <c r="O216" s="30" t="str">
        <f t="shared" si="21"/>
        <v>-</v>
      </c>
      <c r="P216" s="31" t="str">
        <f t="shared" si="23"/>
        <v>-</v>
      </c>
      <c r="Q216" s="32" t="str">
        <f t="shared" si="25"/>
        <v>-</v>
      </c>
      <c r="S216" s="32" t="str">
        <f t="shared" si="20"/>
        <v>-</v>
      </c>
    </row>
    <row r="217" spans="1:19" x14ac:dyDescent="0.3">
      <c r="A217" s="134">
        <v>100200031</v>
      </c>
      <c r="B217" s="23" t="s">
        <v>9</v>
      </c>
      <c r="C217" s="38">
        <v>810122620112</v>
      </c>
      <c r="D217" s="39" t="s">
        <v>109</v>
      </c>
      <c r="E217" s="26">
        <v>60</v>
      </c>
      <c r="F217" s="27">
        <v>0.26599412564083336</v>
      </c>
      <c r="G217" s="26" t="s">
        <v>212</v>
      </c>
      <c r="H217" s="105" t="s">
        <v>850</v>
      </c>
      <c r="I217" s="28">
        <v>11.957267139999999</v>
      </c>
      <c r="J217" s="26"/>
      <c r="K217" s="135">
        <f t="shared" si="22"/>
        <v>0</v>
      </c>
      <c r="L217" s="29"/>
      <c r="M217" s="104"/>
      <c r="N217" s="30" t="str">
        <f t="shared" si="24"/>
        <v>-</v>
      </c>
      <c r="O217" s="30" t="str">
        <f t="shared" si="21"/>
        <v>-</v>
      </c>
      <c r="P217" s="31" t="str">
        <f t="shared" si="23"/>
        <v>-</v>
      </c>
      <c r="Q217" s="32" t="str">
        <f t="shared" si="25"/>
        <v>-</v>
      </c>
      <c r="S217" s="32" t="str">
        <f t="shared" si="20"/>
        <v>-</v>
      </c>
    </row>
    <row r="218" spans="1:19" x14ac:dyDescent="0.3">
      <c r="A218" s="134">
        <v>100009134</v>
      </c>
      <c r="B218" s="23">
        <v>410</v>
      </c>
      <c r="C218" s="38">
        <v>33984004108</v>
      </c>
      <c r="D218" s="39" t="s">
        <v>110</v>
      </c>
      <c r="E218" s="26">
        <v>120</v>
      </c>
      <c r="F218" s="27">
        <v>0.70369999999999999</v>
      </c>
      <c r="G218" s="26">
        <v>16</v>
      </c>
      <c r="H218" s="105" t="s">
        <v>850</v>
      </c>
      <c r="I218" s="28">
        <v>10.835879599999998</v>
      </c>
      <c r="J218" s="26"/>
      <c r="K218" s="135">
        <f t="shared" si="22"/>
        <v>0</v>
      </c>
      <c r="L218" s="29"/>
      <c r="M218" s="104"/>
      <c r="N218" s="30" t="str">
        <f t="shared" si="24"/>
        <v>-</v>
      </c>
      <c r="O218" s="30" t="str">
        <f t="shared" si="21"/>
        <v>-</v>
      </c>
      <c r="P218" s="31" t="str">
        <f t="shared" si="23"/>
        <v>-</v>
      </c>
      <c r="Q218" s="32" t="str">
        <f t="shared" si="25"/>
        <v>-</v>
      </c>
      <c r="S218" s="32" t="str">
        <f t="shared" si="20"/>
        <v>-</v>
      </c>
    </row>
    <row r="219" spans="1:19" x14ac:dyDescent="0.3">
      <c r="A219" s="134">
        <v>100009150</v>
      </c>
      <c r="B219" s="23">
        <v>510</v>
      </c>
      <c r="C219" s="38">
        <v>33984005105</v>
      </c>
      <c r="D219" s="39" t="s">
        <v>115</v>
      </c>
      <c r="E219" s="26">
        <v>250</v>
      </c>
      <c r="F219" s="27">
        <v>0.77180000000000004</v>
      </c>
      <c r="G219" s="26">
        <v>12</v>
      </c>
      <c r="H219" s="105" t="s">
        <v>850</v>
      </c>
      <c r="I219" s="28">
        <v>20.159775999999997</v>
      </c>
      <c r="J219" s="26"/>
      <c r="K219" s="135">
        <f t="shared" si="22"/>
        <v>0</v>
      </c>
      <c r="L219" s="29"/>
      <c r="M219" s="104"/>
      <c r="N219" s="30" t="str">
        <f t="shared" si="24"/>
        <v>-</v>
      </c>
      <c r="O219" s="30" t="str">
        <f t="shared" si="21"/>
        <v>-</v>
      </c>
      <c r="P219" s="31" t="str">
        <f t="shared" si="23"/>
        <v>-</v>
      </c>
      <c r="Q219" s="32" t="str">
        <f t="shared" si="25"/>
        <v>-</v>
      </c>
      <c r="S219" s="32" t="str">
        <f t="shared" si="20"/>
        <v>-</v>
      </c>
    </row>
    <row r="220" spans="1:19" x14ac:dyDescent="0.3">
      <c r="A220" s="134">
        <v>100009154</v>
      </c>
      <c r="B220" s="23">
        <v>519</v>
      </c>
      <c r="C220" s="38">
        <v>33984005198</v>
      </c>
      <c r="D220" s="39" t="s">
        <v>116</v>
      </c>
      <c r="E220" s="26">
        <v>300</v>
      </c>
      <c r="F220" s="27">
        <v>0.90800000000000003</v>
      </c>
      <c r="G220" s="26">
        <v>12</v>
      </c>
      <c r="H220" s="105" t="s">
        <v>850</v>
      </c>
      <c r="I220" s="28">
        <v>22.049754999999998</v>
      </c>
      <c r="J220" s="26"/>
      <c r="K220" s="135">
        <f t="shared" si="22"/>
        <v>0</v>
      </c>
      <c r="L220" s="29"/>
      <c r="M220" s="104"/>
      <c r="N220" s="30" t="str">
        <f t="shared" si="24"/>
        <v>-</v>
      </c>
      <c r="O220" s="30" t="str">
        <f t="shared" si="21"/>
        <v>-</v>
      </c>
      <c r="P220" s="31" t="str">
        <f t="shared" si="23"/>
        <v>-</v>
      </c>
      <c r="Q220" s="32" t="str">
        <f t="shared" si="25"/>
        <v>-</v>
      </c>
      <c r="S220" s="32" t="str">
        <f t="shared" si="20"/>
        <v>-</v>
      </c>
    </row>
    <row r="221" spans="1:19" x14ac:dyDescent="0.3">
      <c r="A221" s="134">
        <v>100009194</v>
      </c>
      <c r="B221" s="23">
        <v>876</v>
      </c>
      <c r="C221" s="38">
        <v>33984008762</v>
      </c>
      <c r="D221" s="39" t="s">
        <v>119</v>
      </c>
      <c r="E221" s="26">
        <v>100</v>
      </c>
      <c r="F221" s="27">
        <v>0.20429999999999998</v>
      </c>
      <c r="G221" s="26">
        <v>25</v>
      </c>
      <c r="H221" s="105" t="s">
        <v>850</v>
      </c>
      <c r="I221" s="28">
        <v>9.9538893999999996</v>
      </c>
      <c r="J221" s="26"/>
      <c r="K221" s="135">
        <f t="shared" si="22"/>
        <v>0</v>
      </c>
      <c r="L221" s="29"/>
      <c r="M221" s="104"/>
      <c r="N221" s="30" t="str">
        <f t="shared" si="24"/>
        <v>-</v>
      </c>
      <c r="O221" s="30" t="str">
        <f t="shared" si="21"/>
        <v>-</v>
      </c>
      <c r="P221" s="31" t="str">
        <f t="shared" si="23"/>
        <v>-</v>
      </c>
      <c r="Q221" s="32" t="str">
        <f t="shared" si="25"/>
        <v>-</v>
      </c>
      <c r="S221" s="32" t="str">
        <f t="shared" si="20"/>
        <v>-</v>
      </c>
    </row>
    <row r="222" spans="1:19" x14ac:dyDescent="0.3">
      <c r="A222" s="134">
        <v>100184033</v>
      </c>
      <c r="B222" s="23">
        <v>30323</v>
      </c>
      <c r="C222" s="38">
        <v>33984005341</v>
      </c>
      <c r="D222" s="39" t="s">
        <v>123</v>
      </c>
      <c r="E222" s="26">
        <v>30</v>
      </c>
      <c r="F222" s="27">
        <v>0.13342608560370836</v>
      </c>
      <c r="G222" s="26">
        <v>36</v>
      </c>
      <c r="H222" s="105" t="s">
        <v>850</v>
      </c>
      <c r="I222" s="28">
        <v>8.6939033999999999</v>
      </c>
      <c r="J222" s="26"/>
      <c r="K222" s="135">
        <f t="shared" si="22"/>
        <v>0</v>
      </c>
      <c r="L222" s="29"/>
      <c r="M222" s="104"/>
      <c r="N222" s="30" t="str">
        <f t="shared" si="24"/>
        <v>-</v>
      </c>
      <c r="O222" s="30" t="str">
        <f t="shared" si="21"/>
        <v>-</v>
      </c>
      <c r="P222" s="31" t="str">
        <f t="shared" si="23"/>
        <v>-</v>
      </c>
      <c r="Q222" s="32" t="str">
        <f t="shared" si="25"/>
        <v>-</v>
      </c>
      <c r="S222" s="32" t="str">
        <f t="shared" si="20"/>
        <v>-</v>
      </c>
    </row>
    <row r="223" spans="1:19" x14ac:dyDescent="0.3">
      <c r="A223" s="134">
        <v>100009175</v>
      </c>
      <c r="B223" s="23">
        <v>760</v>
      </c>
      <c r="C223" s="38">
        <v>33984007604</v>
      </c>
      <c r="D223" s="39" t="s">
        <v>129</v>
      </c>
      <c r="E223" s="26">
        <v>100</v>
      </c>
      <c r="F223" s="27">
        <v>0.20429999999999998</v>
      </c>
      <c r="G223" s="26">
        <v>36</v>
      </c>
      <c r="H223" s="105" t="s">
        <v>850</v>
      </c>
      <c r="I223" s="28">
        <v>8.6939033999999999</v>
      </c>
      <c r="J223" s="26"/>
      <c r="K223" s="135">
        <f t="shared" si="22"/>
        <v>0</v>
      </c>
      <c r="L223" s="29"/>
      <c r="M223" s="104"/>
      <c r="N223" s="30" t="str">
        <f t="shared" si="24"/>
        <v>-</v>
      </c>
      <c r="O223" s="30" t="str">
        <f t="shared" si="21"/>
        <v>-</v>
      </c>
      <c r="P223" s="31" t="str">
        <f t="shared" si="23"/>
        <v>-</v>
      </c>
      <c r="Q223" s="32" t="str">
        <f t="shared" si="25"/>
        <v>-</v>
      </c>
      <c r="S223" s="32" t="str">
        <f t="shared" si="20"/>
        <v>-</v>
      </c>
    </row>
    <row r="224" spans="1:19" x14ac:dyDescent="0.3">
      <c r="A224" s="134">
        <v>100009548</v>
      </c>
      <c r="B224" s="23">
        <v>2571</v>
      </c>
      <c r="C224" s="38">
        <v>33984025714</v>
      </c>
      <c r="D224" s="39" t="s">
        <v>134</v>
      </c>
      <c r="E224" s="26">
        <v>100</v>
      </c>
      <c r="F224" s="27">
        <v>0.23391068271641302</v>
      </c>
      <c r="G224" s="26">
        <v>23</v>
      </c>
      <c r="H224" s="105" t="s">
        <v>850</v>
      </c>
      <c r="I224" s="28">
        <v>10.709880999999999</v>
      </c>
      <c r="J224" s="26"/>
      <c r="K224" s="135">
        <f t="shared" si="22"/>
        <v>0</v>
      </c>
      <c r="L224" s="29"/>
      <c r="M224" s="104"/>
      <c r="N224" s="30" t="str">
        <f t="shared" si="24"/>
        <v>-</v>
      </c>
      <c r="O224" s="30" t="str">
        <f t="shared" si="21"/>
        <v>-</v>
      </c>
      <c r="P224" s="31" t="str">
        <f t="shared" si="23"/>
        <v>-</v>
      </c>
      <c r="Q224" s="32" t="str">
        <f t="shared" si="25"/>
        <v>-</v>
      </c>
      <c r="S224" s="32" t="str">
        <f t="shared" si="20"/>
        <v>-</v>
      </c>
    </row>
    <row r="225" spans="1:19" x14ac:dyDescent="0.3">
      <c r="A225" s="134">
        <v>100200039</v>
      </c>
      <c r="B225" s="23" t="s">
        <v>9</v>
      </c>
      <c r="C225" s="24">
        <v>810122620167</v>
      </c>
      <c r="D225" s="53" t="s">
        <v>139</v>
      </c>
      <c r="E225" s="26">
        <v>60</v>
      </c>
      <c r="F225" s="27">
        <v>0.22700000000000001</v>
      </c>
      <c r="G225" s="26" t="s">
        <v>212</v>
      </c>
      <c r="H225" s="105" t="s">
        <v>850</v>
      </c>
      <c r="I225" s="28">
        <v>18.887190139999998</v>
      </c>
      <c r="J225" s="26"/>
      <c r="K225" s="135">
        <f t="shared" si="22"/>
        <v>0</v>
      </c>
      <c r="L225" s="29"/>
      <c r="M225" s="104"/>
      <c r="N225" s="30" t="str">
        <f t="shared" si="24"/>
        <v>-</v>
      </c>
      <c r="O225" s="30" t="str">
        <f t="shared" si="21"/>
        <v>-</v>
      </c>
      <c r="P225" s="31" t="str">
        <f t="shared" si="23"/>
        <v>-</v>
      </c>
      <c r="Q225" s="32" t="str">
        <f t="shared" si="25"/>
        <v>-</v>
      </c>
      <c r="S225" s="32" t="str">
        <f t="shared" si="20"/>
        <v>-</v>
      </c>
    </row>
    <row r="226" spans="1:19" x14ac:dyDescent="0.3">
      <c r="A226" s="134">
        <v>100200038</v>
      </c>
      <c r="B226" s="23" t="s">
        <v>9</v>
      </c>
      <c r="C226" s="24">
        <v>810122620150</v>
      </c>
      <c r="D226" s="53" t="s">
        <v>140</v>
      </c>
      <c r="E226" s="26">
        <v>60</v>
      </c>
      <c r="F226" s="27">
        <v>0.22700000000000001</v>
      </c>
      <c r="G226" s="26" t="s">
        <v>212</v>
      </c>
      <c r="H226" s="105" t="s">
        <v>850</v>
      </c>
      <c r="I226" s="28">
        <v>18.887190139999998</v>
      </c>
      <c r="J226" s="26"/>
      <c r="K226" s="135">
        <f t="shared" si="22"/>
        <v>0</v>
      </c>
      <c r="L226" s="29"/>
      <c r="M226" s="104"/>
      <c r="N226" s="30" t="str">
        <f t="shared" si="24"/>
        <v>-</v>
      </c>
      <c r="O226" s="30" t="str">
        <f t="shared" si="21"/>
        <v>-</v>
      </c>
      <c r="P226" s="31" t="str">
        <f t="shared" si="23"/>
        <v>-</v>
      </c>
      <c r="Q226" s="32" t="str">
        <f t="shared" si="25"/>
        <v>-</v>
      </c>
      <c r="S226" s="32" t="str">
        <f t="shared" si="20"/>
        <v>-</v>
      </c>
    </row>
    <row r="227" spans="1:19" x14ac:dyDescent="0.3">
      <c r="A227" s="134">
        <v>100200040</v>
      </c>
      <c r="B227" s="23" t="s">
        <v>9</v>
      </c>
      <c r="C227" s="24">
        <v>810122620174</v>
      </c>
      <c r="D227" s="53" t="s">
        <v>141</v>
      </c>
      <c r="E227" s="26">
        <v>60</v>
      </c>
      <c r="F227" s="27">
        <v>0.14758383745233336</v>
      </c>
      <c r="G227" s="26" t="s">
        <v>212</v>
      </c>
      <c r="H227" s="105" t="s">
        <v>850</v>
      </c>
      <c r="I227" s="28">
        <v>18.887190139999998</v>
      </c>
      <c r="J227" s="26"/>
      <c r="K227" s="135">
        <f t="shared" si="22"/>
        <v>0</v>
      </c>
      <c r="L227" s="29"/>
      <c r="M227" s="104"/>
      <c r="N227" s="30" t="str">
        <f t="shared" si="24"/>
        <v>-</v>
      </c>
      <c r="O227" s="30" t="str">
        <f t="shared" si="21"/>
        <v>-</v>
      </c>
      <c r="P227" s="31" t="str">
        <f t="shared" si="23"/>
        <v>-</v>
      </c>
      <c r="Q227" s="32" t="str">
        <f t="shared" si="25"/>
        <v>-</v>
      </c>
      <c r="S227" s="32" t="str">
        <f t="shared" si="20"/>
        <v>-</v>
      </c>
    </row>
    <row r="228" spans="1:19" x14ac:dyDescent="0.3">
      <c r="A228" s="134">
        <v>100200037</v>
      </c>
      <c r="B228" s="23" t="s">
        <v>9</v>
      </c>
      <c r="C228" s="24">
        <v>810122620143</v>
      </c>
      <c r="D228" s="53" t="s">
        <v>142</v>
      </c>
      <c r="E228" s="26">
        <v>60</v>
      </c>
      <c r="F228" s="27">
        <v>0.22700000000000001</v>
      </c>
      <c r="G228" s="26" t="s">
        <v>212</v>
      </c>
      <c r="H228" s="105" t="s">
        <v>850</v>
      </c>
      <c r="I228" s="28">
        <v>18.887190139999998</v>
      </c>
      <c r="J228" s="26"/>
      <c r="K228" s="135">
        <f t="shared" si="22"/>
        <v>0</v>
      </c>
      <c r="L228" s="29"/>
      <c r="M228" s="104"/>
      <c r="N228" s="30" t="str">
        <f t="shared" si="24"/>
        <v>-</v>
      </c>
      <c r="O228" s="30" t="str">
        <f t="shared" si="21"/>
        <v>-</v>
      </c>
      <c r="P228" s="31" t="str">
        <f t="shared" si="23"/>
        <v>-</v>
      </c>
      <c r="Q228" s="32" t="str">
        <f t="shared" si="25"/>
        <v>-</v>
      </c>
      <c r="S228" s="32" t="str">
        <f t="shared" si="20"/>
        <v>-</v>
      </c>
    </row>
    <row r="229" spans="1:19" x14ac:dyDescent="0.3">
      <c r="A229" s="134">
        <v>100009297</v>
      </c>
      <c r="B229" s="23">
        <v>1181</v>
      </c>
      <c r="C229" s="38">
        <v>33984011816</v>
      </c>
      <c r="D229" s="39" t="s">
        <v>143</v>
      </c>
      <c r="E229" s="26">
        <v>60</v>
      </c>
      <c r="F229" s="27">
        <v>0.28375</v>
      </c>
      <c r="G229" s="26">
        <v>25</v>
      </c>
      <c r="H229" s="105" t="s">
        <v>850</v>
      </c>
      <c r="I229" s="28">
        <v>13.859845999999997</v>
      </c>
      <c r="J229" s="26"/>
      <c r="K229" s="135">
        <f t="shared" si="22"/>
        <v>0</v>
      </c>
      <c r="L229" s="29"/>
      <c r="M229" s="104"/>
      <c r="N229" s="30" t="str">
        <f t="shared" si="24"/>
        <v>-</v>
      </c>
      <c r="O229" s="30" t="str">
        <f t="shared" si="21"/>
        <v>-</v>
      </c>
      <c r="P229" s="31" t="str">
        <f t="shared" si="23"/>
        <v>-</v>
      </c>
      <c r="Q229" s="32" t="str">
        <f t="shared" si="25"/>
        <v>-</v>
      </c>
      <c r="S229" s="32" t="str">
        <f t="shared" si="20"/>
        <v>-</v>
      </c>
    </row>
    <row r="230" spans="1:19" x14ac:dyDescent="0.3">
      <c r="A230" s="134">
        <v>100009299</v>
      </c>
      <c r="B230" s="23">
        <v>1183</v>
      </c>
      <c r="C230" s="38">
        <v>33984011830</v>
      </c>
      <c r="D230" s="39" t="s">
        <v>143</v>
      </c>
      <c r="E230" s="26">
        <v>180</v>
      </c>
      <c r="F230" s="27">
        <v>0.68099999999999994</v>
      </c>
      <c r="G230" s="26">
        <v>12</v>
      </c>
      <c r="H230" s="105" t="s">
        <v>850</v>
      </c>
      <c r="I230" s="28">
        <v>36.539593999999994</v>
      </c>
      <c r="J230" s="26"/>
      <c r="K230" s="135">
        <f t="shared" si="22"/>
        <v>0</v>
      </c>
      <c r="L230" s="29"/>
      <c r="M230" s="104"/>
      <c r="N230" s="30" t="str">
        <f t="shared" si="24"/>
        <v>-</v>
      </c>
      <c r="O230" s="30" t="str">
        <f t="shared" si="21"/>
        <v>-</v>
      </c>
      <c r="P230" s="31" t="str">
        <f t="shared" si="23"/>
        <v>-</v>
      </c>
      <c r="Q230" s="32" t="str">
        <f t="shared" si="25"/>
        <v>-</v>
      </c>
      <c r="S230" s="32" t="str">
        <f t="shared" si="20"/>
        <v>-</v>
      </c>
    </row>
    <row r="231" spans="1:19" x14ac:dyDescent="0.3">
      <c r="A231" s="134">
        <v>100009286</v>
      </c>
      <c r="B231" s="23">
        <v>1153</v>
      </c>
      <c r="C231" s="38">
        <v>33984011533</v>
      </c>
      <c r="D231" s="39" t="s">
        <v>144</v>
      </c>
      <c r="E231" s="26">
        <v>180</v>
      </c>
      <c r="F231" s="27">
        <v>0.68099999999999994</v>
      </c>
      <c r="G231" s="26">
        <v>12</v>
      </c>
      <c r="H231" s="105" t="s">
        <v>850</v>
      </c>
      <c r="I231" s="28">
        <v>36.539593999999994</v>
      </c>
      <c r="J231" s="26"/>
      <c r="K231" s="135">
        <f t="shared" si="22"/>
        <v>0</v>
      </c>
      <c r="L231" s="29"/>
      <c r="M231" s="104"/>
      <c r="N231" s="30" t="str">
        <f t="shared" si="24"/>
        <v>-</v>
      </c>
      <c r="O231" s="30" t="str">
        <f t="shared" si="21"/>
        <v>-</v>
      </c>
      <c r="P231" s="31" t="str">
        <f t="shared" si="23"/>
        <v>-</v>
      </c>
      <c r="Q231" s="32" t="str">
        <f t="shared" si="25"/>
        <v>-</v>
      </c>
      <c r="S231" s="32" t="str">
        <f t="shared" si="20"/>
        <v>-</v>
      </c>
    </row>
    <row r="232" spans="1:19" x14ac:dyDescent="0.3">
      <c r="A232" s="134">
        <v>100009290</v>
      </c>
      <c r="B232" s="23">
        <v>1166</v>
      </c>
      <c r="C232" s="38">
        <v>33984011663</v>
      </c>
      <c r="D232" s="39" t="s">
        <v>145</v>
      </c>
      <c r="E232" s="26">
        <v>60</v>
      </c>
      <c r="F232" s="27">
        <v>0.23331975046534001</v>
      </c>
      <c r="G232" s="26">
        <v>25</v>
      </c>
      <c r="H232" s="105" t="s">
        <v>850</v>
      </c>
      <c r="I232" s="28">
        <v>9.9538893999999996</v>
      </c>
      <c r="J232" s="26"/>
      <c r="K232" s="135">
        <f t="shared" si="22"/>
        <v>0</v>
      </c>
      <c r="L232" s="29"/>
      <c r="M232" s="104"/>
      <c r="N232" s="30" t="str">
        <f t="shared" si="24"/>
        <v>-</v>
      </c>
      <c r="O232" s="30" t="str">
        <f t="shared" si="21"/>
        <v>-</v>
      </c>
      <c r="P232" s="31" t="str">
        <f t="shared" si="23"/>
        <v>-</v>
      </c>
      <c r="Q232" s="32" t="str">
        <f t="shared" si="25"/>
        <v>-</v>
      </c>
      <c r="S232" s="32" t="str">
        <f t="shared" si="20"/>
        <v>-</v>
      </c>
    </row>
    <row r="233" spans="1:19" x14ac:dyDescent="0.3">
      <c r="A233" s="134">
        <v>100009311</v>
      </c>
      <c r="B233" s="23">
        <v>1206</v>
      </c>
      <c r="C233" s="38">
        <v>33984012066</v>
      </c>
      <c r="D233" s="39" t="s">
        <v>148</v>
      </c>
      <c r="E233" s="26">
        <v>120</v>
      </c>
      <c r="F233" s="27">
        <v>0.5233219910591751</v>
      </c>
      <c r="G233" s="26">
        <v>20</v>
      </c>
      <c r="H233" s="105" t="s">
        <v>850</v>
      </c>
      <c r="I233" s="28">
        <v>28.349684999999997</v>
      </c>
      <c r="J233" s="26"/>
      <c r="K233" s="135">
        <f t="shared" si="22"/>
        <v>0</v>
      </c>
      <c r="L233" s="29"/>
      <c r="M233" s="104"/>
      <c r="N233" s="30" t="str">
        <f t="shared" si="24"/>
        <v>-</v>
      </c>
      <c r="O233" s="30" t="str">
        <f t="shared" si="21"/>
        <v>-</v>
      </c>
      <c r="P233" s="31" t="str">
        <f t="shared" si="23"/>
        <v>-</v>
      </c>
      <c r="Q233" s="32" t="str">
        <f t="shared" si="25"/>
        <v>-</v>
      </c>
      <c r="S233" s="32" t="str">
        <f t="shared" ref="S233:S287" si="26">IFERROR(IF(Q233+K233=0, "-", IF(Q233&gt;0, Q233+K233, "-")), "-")</f>
        <v>-</v>
      </c>
    </row>
    <row r="234" spans="1:19" x14ac:dyDescent="0.3">
      <c r="A234" s="134">
        <v>100009397</v>
      </c>
      <c r="B234" s="23">
        <v>1714</v>
      </c>
      <c r="C234" s="38">
        <v>33984017146</v>
      </c>
      <c r="D234" s="39" t="s">
        <v>148</v>
      </c>
      <c r="E234" s="26">
        <v>180</v>
      </c>
      <c r="F234" s="27">
        <v>0.77180000000000004</v>
      </c>
      <c r="G234" s="26">
        <v>12</v>
      </c>
      <c r="H234" s="105" t="s">
        <v>850</v>
      </c>
      <c r="I234" s="28">
        <v>39.689558999999996</v>
      </c>
      <c r="J234" s="26"/>
      <c r="K234" s="135">
        <f t="shared" si="22"/>
        <v>0</v>
      </c>
      <c r="L234" s="29"/>
      <c r="M234" s="104"/>
      <c r="N234" s="30" t="str">
        <f t="shared" si="24"/>
        <v>-</v>
      </c>
      <c r="O234" s="30" t="str">
        <f t="shared" si="21"/>
        <v>-</v>
      </c>
      <c r="P234" s="31" t="str">
        <f t="shared" si="23"/>
        <v>-</v>
      </c>
      <c r="Q234" s="32" t="str">
        <f t="shared" si="25"/>
        <v>-</v>
      </c>
      <c r="S234" s="32" t="str">
        <f t="shared" si="26"/>
        <v>-</v>
      </c>
    </row>
    <row r="235" spans="1:19" x14ac:dyDescent="0.3">
      <c r="A235" s="134">
        <v>100009475</v>
      </c>
      <c r="B235" s="23">
        <v>2067</v>
      </c>
      <c r="C235" s="38">
        <v>33984020672</v>
      </c>
      <c r="D235" s="45" t="s">
        <v>149</v>
      </c>
      <c r="E235" s="26">
        <v>90</v>
      </c>
      <c r="F235" s="27">
        <v>0.32915</v>
      </c>
      <c r="G235" s="26">
        <v>23</v>
      </c>
      <c r="H235" s="105" t="s">
        <v>850</v>
      </c>
      <c r="I235" s="28">
        <v>35.909600999999995</v>
      </c>
      <c r="J235" s="26"/>
      <c r="K235" s="135">
        <f t="shared" si="22"/>
        <v>0</v>
      </c>
      <c r="L235" s="29"/>
      <c r="M235" s="104"/>
      <c r="N235" s="30" t="str">
        <f t="shared" si="24"/>
        <v>-</v>
      </c>
      <c r="O235" s="30" t="str">
        <f t="shared" si="21"/>
        <v>-</v>
      </c>
      <c r="P235" s="31" t="str">
        <f t="shared" si="23"/>
        <v>-</v>
      </c>
      <c r="Q235" s="32" t="str">
        <f t="shared" si="25"/>
        <v>-</v>
      </c>
      <c r="S235" s="32" t="str">
        <f t="shared" si="26"/>
        <v>-</v>
      </c>
    </row>
    <row r="236" spans="1:19" x14ac:dyDescent="0.3">
      <c r="A236" s="134">
        <v>100009579</v>
      </c>
      <c r="B236" s="23">
        <v>2812</v>
      </c>
      <c r="C236" s="38">
        <v>33984028128</v>
      </c>
      <c r="D236" s="39" t="s">
        <v>151</v>
      </c>
      <c r="E236" s="26">
        <v>90</v>
      </c>
      <c r="F236" s="27">
        <v>0.27239999999999998</v>
      </c>
      <c r="G236" s="26">
        <v>23</v>
      </c>
      <c r="H236" s="105" t="s">
        <v>850</v>
      </c>
      <c r="I236" s="28">
        <v>17.639803999999998</v>
      </c>
      <c r="J236" s="26"/>
      <c r="K236" s="135">
        <f t="shared" si="22"/>
        <v>0</v>
      </c>
      <c r="L236" s="29"/>
      <c r="M236" s="104"/>
      <c r="N236" s="30" t="str">
        <f t="shared" si="24"/>
        <v>-</v>
      </c>
      <c r="O236" s="30" t="str">
        <f t="shared" si="21"/>
        <v>-</v>
      </c>
      <c r="P236" s="31" t="str">
        <f t="shared" si="23"/>
        <v>-</v>
      </c>
      <c r="Q236" s="32" t="str">
        <f t="shared" si="25"/>
        <v>-</v>
      </c>
      <c r="S236" s="32" t="str">
        <f t="shared" si="26"/>
        <v>-</v>
      </c>
    </row>
    <row r="237" spans="1:19" x14ac:dyDescent="0.3">
      <c r="A237" s="134">
        <v>100009510</v>
      </c>
      <c r="B237" s="23">
        <v>2313</v>
      </c>
      <c r="C237" s="38">
        <v>33984023130</v>
      </c>
      <c r="D237" s="39" t="s">
        <v>152</v>
      </c>
      <c r="E237" s="26">
        <v>60</v>
      </c>
      <c r="F237" s="27">
        <v>0.15401917920170832</v>
      </c>
      <c r="G237" s="26">
        <v>36</v>
      </c>
      <c r="H237" s="105" t="s">
        <v>850</v>
      </c>
      <c r="I237" s="28">
        <v>18.899789999999996</v>
      </c>
      <c r="J237" s="26"/>
      <c r="K237" s="135">
        <f t="shared" si="22"/>
        <v>0</v>
      </c>
      <c r="L237" s="29"/>
      <c r="M237" s="104"/>
      <c r="N237" s="30" t="str">
        <f t="shared" si="24"/>
        <v>-</v>
      </c>
      <c r="O237" s="30" t="str">
        <f t="shared" si="21"/>
        <v>-</v>
      </c>
      <c r="P237" s="31" t="str">
        <f t="shared" si="23"/>
        <v>-</v>
      </c>
      <c r="Q237" s="32" t="str">
        <f t="shared" si="25"/>
        <v>-</v>
      </c>
      <c r="S237" s="32" t="str">
        <f t="shared" si="26"/>
        <v>-</v>
      </c>
    </row>
    <row r="238" spans="1:19" x14ac:dyDescent="0.3">
      <c r="A238" s="134">
        <v>100009690</v>
      </c>
      <c r="B238" s="23">
        <v>4114</v>
      </c>
      <c r="C238" s="38">
        <v>33984041141</v>
      </c>
      <c r="D238" s="39" t="s">
        <v>155</v>
      </c>
      <c r="E238" s="26">
        <v>60</v>
      </c>
      <c r="F238" s="27">
        <v>0.16525957612395004</v>
      </c>
      <c r="G238" s="26">
        <v>30</v>
      </c>
      <c r="H238" s="105" t="s">
        <v>850</v>
      </c>
      <c r="I238" s="28">
        <v>12.914856499999997</v>
      </c>
      <c r="J238" s="26"/>
      <c r="K238" s="135">
        <f t="shared" si="22"/>
        <v>0</v>
      </c>
      <c r="L238" s="29"/>
      <c r="M238" s="104"/>
      <c r="N238" s="30" t="str">
        <f t="shared" si="24"/>
        <v>-</v>
      </c>
      <c r="O238" s="30" t="str">
        <f t="shared" si="21"/>
        <v>-</v>
      </c>
      <c r="P238" s="31" t="str">
        <f t="shared" si="23"/>
        <v>-</v>
      </c>
      <c r="Q238" s="32" t="str">
        <f t="shared" si="25"/>
        <v>-</v>
      </c>
      <c r="S238" s="32" t="str">
        <f t="shared" si="26"/>
        <v>-</v>
      </c>
    </row>
    <row r="239" spans="1:19" x14ac:dyDescent="0.3">
      <c r="A239" s="134">
        <v>100009195</v>
      </c>
      <c r="B239" s="23">
        <v>877</v>
      </c>
      <c r="C239" s="38">
        <v>33984008779</v>
      </c>
      <c r="D239" s="39" t="s">
        <v>156</v>
      </c>
      <c r="E239" s="26">
        <v>100</v>
      </c>
      <c r="F239" s="27">
        <v>0.22700000000000001</v>
      </c>
      <c r="G239" s="26">
        <v>23</v>
      </c>
      <c r="H239" s="105" t="s">
        <v>850</v>
      </c>
      <c r="I239" s="28">
        <v>9.2608970999999976</v>
      </c>
      <c r="J239" s="26"/>
      <c r="K239" s="135">
        <f t="shared" si="22"/>
        <v>0</v>
      </c>
      <c r="L239" s="29"/>
      <c r="M239" s="104"/>
      <c r="N239" s="30" t="str">
        <f t="shared" si="24"/>
        <v>-</v>
      </c>
      <c r="O239" s="30" t="str">
        <f t="shared" si="21"/>
        <v>-</v>
      </c>
      <c r="P239" s="31" t="str">
        <f t="shared" si="23"/>
        <v>-</v>
      </c>
      <c r="Q239" s="32" t="str">
        <f t="shared" si="25"/>
        <v>-</v>
      </c>
      <c r="S239" s="32" t="str">
        <f t="shared" si="26"/>
        <v>-</v>
      </c>
    </row>
    <row r="240" spans="1:19" x14ac:dyDescent="0.3">
      <c r="A240" s="134">
        <v>100009663</v>
      </c>
      <c r="B240" s="23">
        <v>3818</v>
      </c>
      <c r="C240" s="38">
        <v>33984038189</v>
      </c>
      <c r="D240" s="39" t="s">
        <v>157</v>
      </c>
      <c r="E240" s="26">
        <v>100</v>
      </c>
      <c r="F240" s="27">
        <v>0.28203584710304347</v>
      </c>
      <c r="G240" s="26">
        <v>23</v>
      </c>
      <c r="H240" s="105" t="s">
        <v>850</v>
      </c>
      <c r="I240" s="28">
        <v>15.119831999999999</v>
      </c>
      <c r="J240" s="26"/>
      <c r="K240" s="135">
        <f t="shared" si="22"/>
        <v>0</v>
      </c>
      <c r="L240" s="29"/>
      <c r="M240" s="104"/>
      <c r="N240" s="30" t="str">
        <f t="shared" si="24"/>
        <v>-</v>
      </c>
      <c r="O240" s="30" t="str">
        <f t="shared" si="21"/>
        <v>-</v>
      </c>
      <c r="P240" s="31" t="str">
        <f t="shared" si="23"/>
        <v>-</v>
      </c>
      <c r="Q240" s="32" t="str">
        <f t="shared" si="25"/>
        <v>-</v>
      </c>
      <c r="S240" s="32" t="str">
        <f t="shared" si="26"/>
        <v>-</v>
      </c>
    </row>
    <row r="241" spans="1:19" x14ac:dyDescent="0.3">
      <c r="A241" s="134">
        <v>100009220</v>
      </c>
      <c r="B241" s="23">
        <v>955</v>
      </c>
      <c r="C241" s="38">
        <v>33984009554</v>
      </c>
      <c r="D241" s="39" t="s">
        <v>158</v>
      </c>
      <c r="E241" s="26">
        <v>60</v>
      </c>
      <c r="F241" s="27">
        <v>0.20129748992045002</v>
      </c>
      <c r="G241" s="26">
        <v>25</v>
      </c>
      <c r="H241" s="105" t="s">
        <v>850</v>
      </c>
      <c r="I241" s="28">
        <v>9.9538893999999996</v>
      </c>
      <c r="J241" s="26"/>
      <c r="K241" s="135">
        <f t="shared" si="22"/>
        <v>0</v>
      </c>
      <c r="L241" s="29"/>
      <c r="M241" s="104"/>
      <c r="N241" s="30" t="str">
        <f t="shared" si="24"/>
        <v>-</v>
      </c>
      <c r="O241" s="30" t="str">
        <f t="shared" si="21"/>
        <v>-</v>
      </c>
      <c r="P241" s="31" t="str">
        <f t="shared" si="23"/>
        <v>-</v>
      </c>
      <c r="Q241" s="32" t="str">
        <f t="shared" si="25"/>
        <v>-</v>
      </c>
      <c r="S241" s="32" t="str">
        <f t="shared" si="26"/>
        <v>-</v>
      </c>
    </row>
    <row r="242" spans="1:19" x14ac:dyDescent="0.3">
      <c r="A242" s="134">
        <v>100185238</v>
      </c>
      <c r="B242" s="23">
        <v>30020</v>
      </c>
      <c r="C242" s="54">
        <v>33984005518</v>
      </c>
      <c r="D242" s="39" t="s">
        <v>159</v>
      </c>
      <c r="E242" s="26">
        <v>90</v>
      </c>
      <c r="F242" s="27">
        <v>0.30645</v>
      </c>
      <c r="G242" s="26">
        <v>16</v>
      </c>
      <c r="H242" s="105" t="s">
        <v>850</v>
      </c>
      <c r="I242" s="28">
        <v>33.389628999999999</v>
      </c>
      <c r="J242" s="26"/>
      <c r="K242" s="135">
        <f t="shared" si="22"/>
        <v>0</v>
      </c>
      <c r="L242" s="29"/>
      <c r="M242" s="104"/>
      <c r="N242" s="30" t="str">
        <f t="shared" si="24"/>
        <v>-</v>
      </c>
      <c r="O242" s="30" t="str">
        <f t="shared" si="21"/>
        <v>-</v>
      </c>
      <c r="P242" s="31" t="str">
        <f t="shared" si="23"/>
        <v>-</v>
      </c>
      <c r="Q242" s="32" t="str">
        <f t="shared" si="25"/>
        <v>-</v>
      </c>
      <c r="S242" s="32" t="str">
        <f t="shared" si="26"/>
        <v>-</v>
      </c>
    </row>
    <row r="243" spans="1:19" x14ac:dyDescent="0.3">
      <c r="A243" s="134">
        <v>100155811</v>
      </c>
      <c r="B243" s="23">
        <v>54708</v>
      </c>
      <c r="C243" s="54">
        <v>33984547087</v>
      </c>
      <c r="D243" s="39" t="s">
        <v>160</v>
      </c>
      <c r="E243" s="26">
        <v>90</v>
      </c>
      <c r="F243" s="27">
        <v>0.37099745185146871</v>
      </c>
      <c r="G243" s="26">
        <v>20</v>
      </c>
      <c r="H243" s="105" t="s">
        <v>850</v>
      </c>
      <c r="I243" s="28">
        <v>51.659425999999989</v>
      </c>
      <c r="J243" s="26"/>
      <c r="K243" s="135">
        <f t="shared" si="22"/>
        <v>0</v>
      </c>
      <c r="L243" s="29"/>
      <c r="M243" s="104"/>
      <c r="N243" s="30" t="str">
        <f t="shared" si="24"/>
        <v>-</v>
      </c>
      <c r="O243" s="30" t="str">
        <f t="shared" ref="O243:O300" si="27">IFERROR(IF(N243&gt;0,I243+N243,"-"),"-")</f>
        <v>-</v>
      </c>
      <c r="P243" s="31" t="str">
        <f t="shared" si="23"/>
        <v>-</v>
      </c>
      <c r="Q243" s="32" t="str">
        <f t="shared" si="25"/>
        <v>-</v>
      </c>
      <c r="S243" s="32" t="str">
        <f t="shared" si="26"/>
        <v>-</v>
      </c>
    </row>
    <row r="244" spans="1:19" x14ac:dyDescent="0.3">
      <c r="A244" s="134">
        <v>100009700</v>
      </c>
      <c r="B244" s="23">
        <v>4132</v>
      </c>
      <c r="C244" s="38">
        <v>33984041325</v>
      </c>
      <c r="D244" s="39" t="s">
        <v>162</v>
      </c>
      <c r="E244" s="26">
        <v>180</v>
      </c>
      <c r="F244" s="27">
        <v>0.32588570618835005</v>
      </c>
      <c r="G244" s="26">
        <v>20</v>
      </c>
      <c r="H244" s="105" t="s">
        <v>850</v>
      </c>
      <c r="I244" s="28">
        <v>29.609670999999995</v>
      </c>
      <c r="J244" s="26"/>
      <c r="K244" s="135">
        <f t="shared" si="22"/>
        <v>0</v>
      </c>
      <c r="L244" s="29"/>
      <c r="M244" s="104"/>
      <c r="N244" s="30" t="str">
        <f t="shared" si="24"/>
        <v>-</v>
      </c>
      <c r="O244" s="30" t="str">
        <f t="shared" si="27"/>
        <v>-</v>
      </c>
      <c r="P244" s="31" t="str">
        <f t="shared" si="23"/>
        <v>-</v>
      </c>
      <c r="Q244" s="32" t="str">
        <f t="shared" si="25"/>
        <v>-</v>
      </c>
      <c r="S244" s="32" t="str">
        <f t="shared" si="26"/>
        <v>-</v>
      </c>
    </row>
    <row r="245" spans="1:19" x14ac:dyDescent="0.3">
      <c r="A245" s="134">
        <v>100009680</v>
      </c>
      <c r="B245" s="23">
        <v>3973</v>
      </c>
      <c r="C245" s="38">
        <v>33984039735</v>
      </c>
      <c r="D245" s="39" t="s">
        <v>164</v>
      </c>
      <c r="E245" s="26">
        <v>250</v>
      </c>
      <c r="F245" s="27">
        <v>0.4672058110046251</v>
      </c>
      <c r="G245" s="26">
        <v>12</v>
      </c>
      <c r="H245" s="105" t="s">
        <v>850</v>
      </c>
      <c r="I245" s="28">
        <v>34.019621999999998</v>
      </c>
      <c r="J245" s="26"/>
      <c r="K245" s="135">
        <f t="shared" si="22"/>
        <v>0</v>
      </c>
      <c r="L245" s="29"/>
      <c r="M245" s="104"/>
      <c r="N245" s="30" t="str">
        <f t="shared" si="24"/>
        <v>-</v>
      </c>
      <c r="O245" s="30" t="str">
        <f t="shared" si="27"/>
        <v>-</v>
      </c>
      <c r="P245" s="31" t="str">
        <f t="shared" si="23"/>
        <v>-</v>
      </c>
      <c r="Q245" s="32" t="str">
        <f t="shared" si="25"/>
        <v>-</v>
      </c>
      <c r="S245" s="32" t="str">
        <f t="shared" si="26"/>
        <v>-</v>
      </c>
    </row>
    <row r="246" spans="1:19" x14ac:dyDescent="0.3">
      <c r="A246" s="140">
        <v>100190512</v>
      </c>
      <c r="B246" s="33">
        <v>30318</v>
      </c>
      <c r="C246" s="34">
        <v>33984303188</v>
      </c>
      <c r="D246" s="55" t="s">
        <v>166</v>
      </c>
      <c r="E246" s="33">
        <v>60</v>
      </c>
      <c r="F246" s="36">
        <v>6.0513551999999998E-2</v>
      </c>
      <c r="G246" s="33">
        <v>25</v>
      </c>
      <c r="H246" s="105" t="s">
        <v>850</v>
      </c>
      <c r="I246" s="37">
        <v>22.049754999999998</v>
      </c>
      <c r="J246" s="33"/>
      <c r="K246" s="141">
        <f t="shared" si="22"/>
        <v>0</v>
      </c>
      <c r="L246" s="29"/>
      <c r="M246" s="104"/>
      <c r="N246" s="30" t="str">
        <f t="shared" si="24"/>
        <v>-</v>
      </c>
      <c r="O246" s="30" t="str">
        <f t="shared" si="27"/>
        <v>-</v>
      </c>
      <c r="P246" s="31" t="str">
        <f t="shared" si="23"/>
        <v>-</v>
      </c>
      <c r="Q246" s="32" t="str">
        <f t="shared" si="25"/>
        <v>-</v>
      </c>
      <c r="S246" s="32" t="str">
        <f t="shared" si="26"/>
        <v>-</v>
      </c>
    </row>
    <row r="247" spans="1:19" x14ac:dyDescent="0.3">
      <c r="A247" s="134">
        <v>100009806</v>
      </c>
      <c r="B247" s="23">
        <v>31549</v>
      </c>
      <c r="C247" s="38">
        <v>33984315495</v>
      </c>
      <c r="D247" s="39" t="s">
        <v>168</v>
      </c>
      <c r="E247" s="26">
        <v>90</v>
      </c>
      <c r="F247" s="27">
        <v>0.26771021677400003</v>
      </c>
      <c r="G247" s="26">
        <v>16</v>
      </c>
      <c r="H247" s="105" t="s">
        <v>850</v>
      </c>
      <c r="I247" s="28">
        <v>21.419761999999999</v>
      </c>
      <c r="J247" s="26"/>
      <c r="K247" s="135">
        <f t="shared" si="22"/>
        <v>0</v>
      </c>
      <c r="L247" s="29"/>
      <c r="M247" s="104"/>
      <c r="N247" s="30" t="str">
        <f t="shared" si="24"/>
        <v>-</v>
      </c>
      <c r="O247" s="30" t="str">
        <f t="shared" si="27"/>
        <v>-</v>
      </c>
      <c r="P247" s="31" t="str">
        <f t="shared" si="23"/>
        <v>-</v>
      </c>
      <c r="Q247" s="32" t="str">
        <f t="shared" si="25"/>
        <v>-</v>
      </c>
      <c r="S247" s="32" t="str">
        <f t="shared" si="26"/>
        <v>-</v>
      </c>
    </row>
    <row r="248" spans="1:19" x14ac:dyDescent="0.3">
      <c r="A248" s="134">
        <v>100009674</v>
      </c>
      <c r="B248" s="23">
        <v>3947</v>
      </c>
      <c r="C248" s="38">
        <v>33984039476</v>
      </c>
      <c r="D248" s="39" t="s">
        <v>170</v>
      </c>
      <c r="E248" s="26">
        <v>100</v>
      </c>
      <c r="F248" s="27">
        <v>0.24970000000000001</v>
      </c>
      <c r="G248" s="26">
        <v>23</v>
      </c>
      <c r="H248" s="105" t="s">
        <v>850</v>
      </c>
      <c r="I248" s="28">
        <v>12.914856499999997</v>
      </c>
      <c r="J248" s="26"/>
      <c r="K248" s="135">
        <f t="shared" si="22"/>
        <v>0</v>
      </c>
      <c r="L248" s="29"/>
      <c r="M248" s="104"/>
      <c r="N248" s="30" t="str">
        <f t="shared" si="24"/>
        <v>-</v>
      </c>
      <c r="O248" s="30" t="str">
        <f t="shared" si="27"/>
        <v>-</v>
      </c>
      <c r="P248" s="31" t="str">
        <f t="shared" si="23"/>
        <v>-</v>
      </c>
      <c r="Q248" s="32" t="str">
        <f t="shared" si="25"/>
        <v>-</v>
      </c>
      <c r="S248" s="32" t="str">
        <f t="shared" si="26"/>
        <v>-</v>
      </c>
    </row>
    <row r="249" spans="1:19" x14ac:dyDescent="0.3">
      <c r="A249" s="134">
        <v>100009251</v>
      </c>
      <c r="B249" s="23">
        <v>1035</v>
      </c>
      <c r="C249" s="38">
        <v>33984010352</v>
      </c>
      <c r="D249" s="39" t="s">
        <v>171</v>
      </c>
      <c r="E249" s="26">
        <v>120</v>
      </c>
      <c r="F249" s="27">
        <v>0.32915</v>
      </c>
      <c r="G249" s="26">
        <v>20</v>
      </c>
      <c r="H249" s="105" t="s">
        <v>850</v>
      </c>
      <c r="I249" s="28">
        <v>28.979677999999993</v>
      </c>
      <c r="J249" s="26"/>
      <c r="K249" s="135">
        <f t="shared" si="22"/>
        <v>0</v>
      </c>
      <c r="L249" s="29"/>
      <c r="M249" s="104"/>
      <c r="N249" s="30" t="str">
        <f t="shared" si="24"/>
        <v>-</v>
      </c>
      <c r="O249" s="30" t="str">
        <f t="shared" si="27"/>
        <v>-</v>
      </c>
      <c r="P249" s="31" t="str">
        <f t="shared" si="23"/>
        <v>-</v>
      </c>
      <c r="Q249" s="32" t="str">
        <f t="shared" si="25"/>
        <v>-</v>
      </c>
      <c r="S249" s="32" t="str">
        <f t="shared" si="26"/>
        <v>-</v>
      </c>
    </row>
    <row r="250" spans="1:19" x14ac:dyDescent="0.3">
      <c r="A250" s="134">
        <v>100009345</v>
      </c>
      <c r="B250" s="23">
        <v>1356</v>
      </c>
      <c r="C250" s="38">
        <v>33984013568</v>
      </c>
      <c r="D250" s="39" t="s">
        <v>174</v>
      </c>
      <c r="E250" s="26">
        <v>60</v>
      </c>
      <c r="F250" s="27">
        <v>0.16525957612395004</v>
      </c>
      <c r="G250" s="26">
        <v>25</v>
      </c>
      <c r="H250" s="105" t="s">
        <v>850</v>
      </c>
      <c r="I250" s="28">
        <v>17.639803999999998</v>
      </c>
      <c r="J250" s="26"/>
      <c r="K250" s="135">
        <f t="shared" si="22"/>
        <v>0</v>
      </c>
      <c r="L250" s="29"/>
      <c r="M250" s="104"/>
      <c r="N250" s="30" t="str">
        <f t="shared" si="24"/>
        <v>-</v>
      </c>
      <c r="O250" s="30" t="str">
        <f t="shared" si="27"/>
        <v>-</v>
      </c>
      <c r="P250" s="31" t="str">
        <f t="shared" si="23"/>
        <v>-</v>
      </c>
      <c r="Q250" s="32" t="str">
        <f t="shared" si="25"/>
        <v>-</v>
      </c>
      <c r="S250" s="32" t="str">
        <f t="shared" si="26"/>
        <v>-</v>
      </c>
    </row>
    <row r="251" spans="1:19" x14ac:dyDescent="0.3">
      <c r="A251" s="134">
        <v>100009506</v>
      </c>
      <c r="B251" s="23">
        <v>2306</v>
      </c>
      <c r="C251" s="38">
        <v>33984023062</v>
      </c>
      <c r="D251" s="39" t="s">
        <v>175</v>
      </c>
      <c r="E251" s="26">
        <v>30</v>
      </c>
      <c r="F251" s="27">
        <v>0.12870683498750002</v>
      </c>
      <c r="G251" s="26">
        <v>42</v>
      </c>
      <c r="H251" s="105" t="s">
        <v>850</v>
      </c>
      <c r="I251" s="28">
        <v>42.209530999999998</v>
      </c>
      <c r="J251" s="26"/>
      <c r="K251" s="135">
        <f t="shared" si="22"/>
        <v>0</v>
      </c>
      <c r="L251" s="29"/>
      <c r="M251" s="104"/>
      <c r="N251" s="30" t="str">
        <f t="shared" si="24"/>
        <v>-</v>
      </c>
      <c r="O251" s="30" t="str">
        <f t="shared" si="27"/>
        <v>-</v>
      </c>
      <c r="P251" s="31" t="str">
        <f t="shared" si="23"/>
        <v>-</v>
      </c>
      <c r="Q251" s="32" t="str">
        <f t="shared" si="25"/>
        <v>-</v>
      </c>
      <c r="S251" s="32" t="str">
        <f t="shared" si="26"/>
        <v>-</v>
      </c>
    </row>
    <row r="252" spans="1:19" x14ac:dyDescent="0.3">
      <c r="A252" s="134">
        <v>100009520</v>
      </c>
      <c r="B252" s="23">
        <v>2336</v>
      </c>
      <c r="C252" s="38">
        <v>33984023369</v>
      </c>
      <c r="D252" s="39" t="s">
        <v>176</v>
      </c>
      <c r="E252" s="26">
        <v>30</v>
      </c>
      <c r="F252" s="27">
        <v>0.14755000000000001</v>
      </c>
      <c r="G252" s="26">
        <v>36</v>
      </c>
      <c r="H252" s="105" t="s">
        <v>850</v>
      </c>
      <c r="I252" s="28">
        <v>19.0887879</v>
      </c>
      <c r="J252" s="26"/>
      <c r="K252" s="135">
        <f t="shared" si="22"/>
        <v>0</v>
      </c>
      <c r="L252" s="29"/>
      <c r="M252" s="104"/>
      <c r="N252" s="30" t="str">
        <f t="shared" si="24"/>
        <v>-</v>
      </c>
      <c r="O252" s="30" t="str">
        <f t="shared" si="27"/>
        <v>-</v>
      </c>
      <c r="P252" s="31" t="str">
        <f t="shared" si="23"/>
        <v>-</v>
      </c>
      <c r="Q252" s="32" t="str">
        <f t="shared" si="25"/>
        <v>-</v>
      </c>
      <c r="S252" s="32" t="str">
        <f t="shared" si="26"/>
        <v>-</v>
      </c>
    </row>
    <row r="253" spans="1:19" x14ac:dyDescent="0.3">
      <c r="A253" s="134">
        <v>100009535</v>
      </c>
      <c r="B253" s="23">
        <v>2484</v>
      </c>
      <c r="C253" s="38">
        <v>33984024847</v>
      </c>
      <c r="D253" s="39" t="s">
        <v>176</v>
      </c>
      <c r="E253" s="26">
        <v>60</v>
      </c>
      <c r="F253" s="27">
        <v>0.331727877306913</v>
      </c>
      <c r="G253" s="26">
        <v>23</v>
      </c>
      <c r="H253" s="105" t="s">
        <v>850</v>
      </c>
      <c r="I253" s="28">
        <v>34.019621999999998</v>
      </c>
      <c r="J253" s="26"/>
      <c r="K253" s="135">
        <f t="shared" si="22"/>
        <v>0</v>
      </c>
      <c r="L253" s="29"/>
      <c r="M253" s="104"/>
      <c r="N253" s="30" t="str">
        <f t="shared" si="24"/>
        <v>-</v>
      </c>
      <c r="O253" s="30" t="str">
        <f t="shared" si="27"/>
        <v>-</v>
      </c>
      <c r="P253" s="31" t="str">
        <f t="shared" si="23"/>
        <v>-</v>
      </c>
      <c r="Q253" s="32" t="str">
        <f t="shared" si="25"/>
        <v>-</v>
      </c>
      <c r="S253" s="32" t="str">
        <f t="shared" si="26"/>
        <v>-</v>
      </c>
    </row>
    <row r="254" spans="1:19" x14ac:dyDescent="0.3">
      <c r="A254" s="134">
        <v>100009802</v>
      </c>
      <c r="B254" s="23">
        <v>31045</v>
      </c>
      <c r="C254" s="38">
        <v>33984310452</v>
      </c>
      <c r="D254" s="39" t="s">
        <v>177</v>
      </c>
      <c r="E254" s="26">
        <v>30</v>
      </c>
      <c r="F254" s="27">
        <v>0.20129748992045002</v>
      </c>
      <c r="G254" s="26">
        <v>25</v>
      </c>
      <c r="H254" s="105" t="s">
        <v>850</v>
      </c>
      <c r="I254" s="28">
        <v>28.979677999999993</v>
      </c>
      <c r="J254" s="26"/>
      <c r="K254" s="135">
        <f t="shared" si="22"/>
        <v>0</v>
      </c>
      <c r="L254" s="29"/>
      <c r="M254" s="104"/>
      <c r="N254" s="30" t="str">
        <f t="shared" si="24"/>
        <v>-</v>
      </c>
      <c r="O254" s="30" t="str">
        <f t="shared" si="27"/>
        <v>-</v>
      </c>
      <c r="P254" s="31" t="str">
        <f t="shared" si="23"/>
        <v>-</v>
      </c>
      <c r="Q254" s="32" t="str">
        <f t="shared" si="25"/>
        <v>-</v>
      </c>
      <c r="S254" s="32" t="str">
        <f t="shared" si="26"/>
        <v>-</v>
      </c>
    </row>
    <row r="255" spans="1:19" x14ac:dyDescent="0.3">
      <c r="A255" s="140">
        <v>100009223</v>
      </c>
      <c r="B255" s="33">
        <v>958</v>
      </c>
      <c r="C255" s="34">
        <v>33984009585</v>
      </c>
      <c r="D255" s="55" t="s">
        <v>178</v>
      </c>
      <c r="E255" s="33">
        <v>120</v>
      </c>
      <c r="F255" s="36">
        <v>0.21674231011895001</v>
      </c>
      <c r="G255" s="33">
        <v>36</v>
      </c>
      <c r="H255" s="105" t="s">
        <v>850</v>
      </c>
      <c r="I255" s="37">
        <v>21.419761999999999</v>
      </c>
      <c r="J255" s="33"/>
      <c r="K255" s="141">
        <f t="shared" si="22"/>
        <v>0</v>
      </c>
      <c r="L255" s="29"/>
      <c r="M255" s="104"/>
      <c r="N255" s="30" t="str">
        <f t="shared" si="24"/>
        <v>-</v>
      </c>
      <c r="O255" s="30" t="str">
        <f t="shared" si="27"/>
        <v>-</v>
      </c>
      <c r="P255" s="31" t="str">
        <f t="shared" si="23"/>
        <v>-</v>
      </c>
      <c r="Q255" s="32" t="str">
        <f t="shared" si="25"/>
        <v>-</v>
      </c>
      <c r="S255" s="32" t="str">
        <f t="shared" si="26"/>
        <v>-</v>
      </c>
    </row>
    <row r="256" spans="1:19" x14ac:dyDescent="0.3">
      <c r="A256" s="140">
        <v>100009209</v>
      </c>
      <c r="B256" s="33">
        <v>938</v>
      </c>
      <c r="C256" s="34">
        <v>33984009387</v>
      </c>
      <c r="D256" s="55" t="s">
        <v>179</v>
      </c>
      <c r="E256" s="33">
        <v>180</v>
      </c>
      <c r="F256" s="36">
        <v>0.37016085742405008</v>
      </c>
      <c r="G256" s="33">
        <v>20</v>
      </c>
      <c r="H256" s="105" t="s">
        <v>850</v>
      </c>
      <c r="I256" s="37">
        <v>30.239663999999998</v>
      </c>
      <c r="J256" s="33"/>
      <c r="K256" s="141">
        <f t="shared" si="22"/>
        <v>0</v>
      </c>
      <c r="L256" s="29"/>
      <c r="M256" s="104"/>
      <c r="N256" s="30" t="str">
        <f t="shared" si="24"/>
        <v>-</v>
      </c>
      <c r="O256" s="30" t="str">
        <f t="shared" si="27"/>
        <v>-</v>
      </c>
      <c r="P256" s="31" t="str">
        <f t="shared" si="23"/>
        <v>-</v>
      </c>
      <c r="Q256" s="32" t="str">
        <f t="shared" si="25"/>
        <v>-</v>
      </c>
      <c r="S256" s="32" t="str">
        <f t="shared" si="26"/>
        <v>-</v>
      </c>
    </row>
    <row r="257" spans="1:19" x14ac:dyDescent="0.3">
      <c r="A257" s="134">
        <v>100009200</v>
      </c>
      <c r="B257" s="23">
        <v>919</v>
      </c>
      <c r="C257" s="38">
        <v>33984009196</v>
      </c>
      <c r="D257" s="39" t="s">
        <v>181</v>
      </c>
      <c r="E257" s="26">
        <v>60</v>
      </c>
      <c r="F257" s="27">
        <v>0.20429999999999998</v>
      </c>
      <c r="G257" s="26">
        <v>25</v>
      </c>
      <c r="H257" s="105" t="s">
        <v>850</v>
      </c>
      <c r="I257" s="28">
        <v>21.419761999999999</v>
      </c>
      <c r="J257" s="26"/>
      <c r="K257" s="135">
        <f t="shared" si="22"/>
        <v>0</v>
      </c>
      <c r="L257" s="29"/>
      <c r="M257" s="104"/>
      <c r="N257" s="30" t="str">
        <f t="shared" si="24"/>
        <v>-</v>
      </c>
      <c r="O257" s="30" t="str">
        <f t="shared" si="27"/>
        <v>-</v>
      </c>
      <c r="P257" s="31" t="str">
        <f t="shared" si="23"/>
        <v>-</v>
      </c>
      <c r="Q257" s="32" t="str">
        <f t="shared" si="25"/>
        <v>-</v>
      </c>
      <c r="S257" s="32" t="str">
        <f t="shared" si="26"/>
        <v>-</v>
      </c>
    </row>
    <row r="258" spans="1:19" x14ac:dyDescent="0.3">
      <c r="A258" s="134">
        <v>100009228</v>
      </c>
      <c r="B258" s="23">
        <v>968</v>
      </c>
      <c r="C258" s="38">
        <v>33984009684</v>
      </c>
      <c r="D258" s="39" t="s">
        <v>182</v>
      </c>
      <c r="E258" s="26">
        <v>60</v>
      </c>
      <c r="F258" s="27">
        <v>0.18160000000000001</v>
      </c>
      <c r="G258" s="26">
        <v>36</v>
      </c>
      <c r="H258" s="105" t="s">
        <v>850</v>
      </c>
      <c r="I258" s="28">
        <v>30.239663999999998</v>
      </c>
      <c r="J258" s="26"/>
      <c r="K258" s="135">
        <f t="shared" ref="K258:K321" si="28">J258*I258</f>
        <v>0</v>
      </c>
      <c r="L258" s="29"/>
      <c r="M258" s="104"/>
      <c r="N258" s="30" t="str">
        <f t="shared" si="24"/>
        <v>-</v>
      </c>
      <c r="O258" s="30" t="str">
        <f t="shared" si="27"/>
        <v>-</v>
      </c>
      <c r="P258" s="31" t="str">
        <f t="shared" ref="P258:P321" si="29">IF(J258&gt;0,J258*F258, "-")</f>
        <v>-</v>
      </c>
      <c r="Q258" s="32" t="str">
        <f t="shared" si="25"/>
        <v>-</v>
      </c>
      <c r="S258" s="32" t="str">
        <f t="shared" si="26"/>
        <v>-</v>
      </c>
    </row>
    <row r="259" spans="1:19" x14ac:dyDescent="0.3">
      <c r="A259" s="134">
        <v>100009819</v>
      </c>
      <c r="B259" s="23">
        <v>34845</v>
      </c>
      <c r="C259" s="38">
        <v>33984348455</v>
      </c>
      <c r="D259" s="39" t="s">
        <v>188</v>
      </c>
      <c r="E259" s="26">
        <v>50</v>
      </c>
      <c r="F259" s="27">
        <v>0.17332520444983332</v>
      </c>
      <c r="G259" s="26">
        <v>36</v>
      </c>
      <c r="H259" s="105" t="s">
        <v>850</v>
      </c>
      <c r="I259" s="28">
        <v>20.159775999999997</v>
      </c>
      <c r="J259" s="26"/>
      <c r="K259" s="135">
        <f t="shared" si="28"/>
        <v>0</v>
      </c>
      <c r="L259" s="29"/>
      <c r="M259" s="104"/>
      <c r="N259" s="30" t="str">
        <f t="shared" ref="N259:N322" si="30">IFERROR(IF($N$2*F259=0, "-", $N$2*F259), "-")</f>
        <v>-</v>
      </c>
      <c r="O259" s="30" t="str">
        <f t="shared" si="27"/>
        <v>-</v>
      </c>
      <c r="P259" s="31" t="str">
        <f t="shared" si="29"/>
        <v>-</v>
      </c>
      <c r="Q259" s="32" t="str">
        <f t="shared" ref="Q259:Q322" si="31">IFERROR(IF($N$2&gt;0, $N$2*P259, "-"), "-")</f>
        <v>-</v>
      </c>
      <c r="S259" s="32" t="str">
        <f t="shared" si="26"/>
        <v>-</v>
      </c>
    </row>
    <row r="260" spans="1:19" x14ac:dyDescent="0.3">
      <c r="A260" s="134">
        <v>100009560</v>
      </c>
      <c r="B260" s="23">
        <v>2676</v>
      </c>
      <c r="C260" s="38">
        <v>33984026766</v>
      </c>
      <c r="D260" s="39" t="s">
        <v>193</v>
      </c>
      <c r="E260" s="26">
        <v>60</v>
      </c>
      <c r="F260" s="27">
        <v>0.30645</v>
      </c>
      <c r="G260" s="26">
        <v>23</v>
      </c>
      <c r="H260" s="105" t="s">
        <v>850</v>
      </c>
      <c r="I260" s="28">
        <v>17.891801199999996</v>
      </c>
      <c r="J260" s="26"/>
      <c r="K260" s="135">
        <f t="shared" si="28"/>
        <v>0</v>
      </c>
      <c r="L260" s="29"/>
      <c r="M260" s="104"/>
      <c r="N260" s="30" t="str">
        <f t="shared" si="30"/>
        <v>-</v>
      </c>
      <c r="O260" s="30" t="str">
        <f t="shared" si="27"/>
        <v>-</v>
      </c>
      <c r="P260" s="31" t="str">
        <f t="shared" si="29"/>
        <v>-</v>
      </c>
      <c r="Q260" s="32" t="str">
        <f t="shared" si="31"/>
        <v>-</v>
      </c>
      <c r="S260" s="32" t="str">
        <f t="shared" si="26"/>
        <v>-</v>
      </c>
    </row>
    <row r="261" spans="1:19" x14ac:dyDescent="0.3">
      <c r="A261" s="134">
        <v>100009468</v>
      </c>
      <c r="B261" s="23">
        <v>2053</v>
      </c>
      <c r="C261" s="38">
        <v>33984020535</v>
      </c>
      <c r="D261" s="39" t="s">
        <v>194</v>
      </c>
      <c r="E261" s="26">
        <v>120</v>
      </c>
      <c r="F261" s="27">
        <v>0.5675</v>
      </c>
      <c r="G261" s="26">
        <v>16</v>
      </c>
      <c r="H261" s="105" t="s">
        <v>850</v>
      </c>
      <c r="I261" s="28">
        <v>32.129643000000002</v>
      </c>
      <c r="J261" s="26"/>
      <c r="K261" s="135">
        <f t="shared" si="28"/>
        <v>0</v>
      </c>
      <c r="L261" s="29"/>
      <c r="M261" s="104"/>
      <c r="N261" s="30" t="str">
        <f t="shared" si="30"/>
        <v>-</v>
      </c>
      <c r="O261" s="30" t="str">
        <f t="shared" si="27"/>
        <v>-</v>
      </c>
      <c r="P261" s="31" t="str">
        <f t="shared" si="29"/>
        <v>-</v>
      </c>
      <c r="Q261" s="32" t="str">
        <f t="shared" si="31"/>
        <v>-</v>
      </c>
      <c r="S261" s="32" t="str">
        <f t="shared" si="26"/>
        <v>-</v>
      </c>
    </row>
    <row r="262" spans="1:19" x14ac:dyDescent="0.3">
      <c r="A262" s="134">
        <v>100009210</v>
      </c>
      <c r="B262" s="23">
        <v>940</v>
      </c>
      <c r="C262" s="38">
        <v>33984009400</v>
      </c>
      <c r="D262" s="39" t="s">
        <v>198</v>
      </c>
      <c r="E262" s="26">
        <v>100</v>
      </c>
      <c r="F262" s="27">
        <v>0.20429999999999998</v>
      </c>
      <c r="G262" s="26">
        <v>30</v>
      </c>
      <c r="H262" s="105" t="s">
        <v>850</v>
      </c>
      <c r="I262" s="28">
        <v>6.047932799999999</v>
      </c>
      <c r="J262" s="26"/>
      <c r="K262" s="135">
        <f t="shared" si="28"/>
        <v>0</v>
      </c>
      <c r="L262" s="29"/>
      <c r="M262" s="104"/>
      <c r="N262" s="30" t="str">
        <f t="shared" si="30"/>
        <v>-</v>
      </c>
      <c r="O262" s="30" t="str">
        <f t="shared" si="27"/>
        <v>-</v>
      </c>
      <c r="P262" s="31" t="str">
        <f t="shared" si="29"/>
        <v>-</v>
      </c>
      <c r="Q262" s="32" t="str">
        <f t="shared" si="31"/>
        <v>-</v>
      </c>
      <c r="S262" s="32" t="str">
        <f t="shared" si="26"/>
        <v>-</v>
      </c>
    </row>
    <row r="263" spans="1:19" x14ac:dyDescent="0.3">
      <c r="A263" s="134">
        <v>100009323</v>
      </c>
      <c r="B263" s="23">
        <v>1287</v>
      </c>
      <c r="C263" s="38">
        <v>33984012875</v>
      </c>
      <c r="D263" s="39" t="s">
        <v>199</v>
      </c>
      <c r="E263" s="26">
        <v>75</v>
      </c>
      <c r="F263" s="27">
        <v>0.31780000000000003</v>
      </c>
      <c r="G263" s="26">
        <v>23</v>
      </c>
      <c r="H263" s="105" t="s">
        <v>850</v>
      </c>
      <c r="I263" s="28">
        <v>22.679747999999996</v>
      </c>
      <c r="J263" s="26"/>
      <c r="K263" s="135">
        <f t="shared" si="28"/>
        <v>0</v>
      </c>
      <c r="L263" s="29"/>
      <c r="M263" s="104"/>
      <c r="N263" s="30" t="str">
        <f t="shared" si="30"/>
        <v>-</v>
      </c>
      <c r="O263" s="30" t="str">
        <f t="shared" si="27"/>
        <v>-</v>
      </c>
      <c r="P263" s="31" t="str">
        <f t="shared" si="29"/>
        <v>-</v>
      </c>
      <c r="Q263" s="32" t="str">
        <f t="shared" si="31"/>
        <v>-</v>
      </c>
      <c r="S263" s="32" t="str">
        <f t="shared" si="26"/>
        <v>-</v>
      </c>
    </row>
    <row r="264" spans="1:19" x14ac:dyDescent="0.3">
      <c r="A264" s="134">
        <v>100009324</v>
      </c>
      <c r="B264" s="23">
        <v>1288</v>
      </c>
      <c r="C264" s="38">
        <v>33984012882</v>
      </c>
      <c r="D264" s="39" t="s">
        <v>199</v>
      </c>
      <c r="E264" s="26">
        <v>150</v>
      </c>
      <c r="F264" s="27">
        <v>0.57628485365653126</v>
      </c>
      <c r="G264" s="26">
        <v>12</v>
      </c>
      <c r="H264" s="105" t="s">
        <v>850</v>
      </c>
      <c r="I264" s="28">
        <v>41.579537999999992</v>
      </c>
      <c r="J264" s="26"/>
      <c r="K264" s="135">
        <f t="shared" si="28"/>
        <v>0</v>
      </c>
      <c r="L264" s="29"/>
      <c r="M264" s="104"/>
      <c r="N264" s="30" t="str">
        <f t="shared" si="30"/>
        <v>-</v>
      </c>
      <c r="O264" s="30" t="str">
        <f t="shared" si="27"/>
        <v>-</v>
      </c>
      <c r="P264" s="31" t="str">
        <f t="shared" si="29"/>
        <v>-</v>
      </c>
      <c r="Q264" s="32" t="str">
        <f t="shared" si="31"/>
        <v>-</v>
      </c>
      <c r="S264" s="32" t="str">
        <f t="shared" si="26"/>
        <v>-</v>
      </c>
    </row>
    <row r="265" spans="1:19" x14ac:dyDescent="0.3">
      <c r="A265" s="134">
        <v>100009335</v>
      </c>
      <c r="B265" s="23">
        <v>1318</v>
      </c>
      <c r="C265" s="38">
        <v>33984013186</v>
      </c>
      <c r="D265" s="45" t="s">
        <v>200</v>
      </c>
      <c r="E265" s="26">
        <v>60</v>
      </c>
      <c r="F265" s="27">
        <v>0.331727877306913</v>
      </c>
      <c r="G265" s="26">
        <v>23</v>
      </c>
      <c r="H265" s="105" t="s">
        <v>850</v>
      </c>
      <c r="I265" s="28">
        <v>27.719691999999995</v>
      </c>
      <c r="J265" s="26"/>
      <c r="K265" s="135">
        <f t="shared" si="28"/>
        <v>0</v>
      </c>
      <c r="L265" s="29"/>
      <c r="M265" s="104"/>
      <c r="N265" s="30" t="str">
        <f t="shared" si="30"/>
        <v>-</v>
      </c>
      <c r="O265" s="30" t="str">
        <f t="shared" si="27"/>
        <v>-</v>
      </c>
      <c r="P265" s="31" t="str">
        <f t="shared" si="29"/>
        <v>-</v>
      </c>
      <c r="Q265" s="32" t="str">
        <f t="shared" si="31"/>
        <v>-</v>
      </c>
      <c r="S265" s="32" t="str">
        <f t="shared" si="26"/>
        <v>-</v>
      </c>
    </row>
    <row r="266" spans="1:19" x14ac:dyDescent="0.3">
      <c r="A266" s="134">
        <v>100009336</v>
      </c>
      <c r="B266" s="23">
        <v>1319</v>
      </c>
      <c r="C266" s="38">
        <v>33984013193</v>
      </c>
      <c r="D266" s="45" t="s">
        <v>200</v>
      </c>
      <c r="E266" s="26">
        <v>120</v>
      </c>
      <c r="F266" s="27">
        <v>0.62425000000000008</v>
      </c>
      <c r="G266" s="26">
        <v>12</v>
      </c>
      <c r="H266" s="105" t="s">
        <v>850</v>
      </c>
      <c r="I266" s="28">
        <v>49.139453999999994</v>
      </c>
      <c r="J266" s="26"/>
      <c r="K266" s="135">
        <f t="shared" si="28"/>
        <v>0</v>
      </c>
      <c r="L266" s="29"/>
      <c r="M266" s="104"/>
      <c r="N266" s="30" t="str">
        <f t="shared" si="30"/>
        <v>-</v>
      </c>
      <c r="O266" s="30" t="str">
        <f t="shared" si="27"/>
        <v>-</v>
      </c>
      <c r="P266" s="31" t="str">
        <f t="shared" si="29"/>
        <v>-</v>
      </c>
      <c r="Q266" s="32" t="str">
        <f t="shared" si="31"/>
        <v>-</v>
      </c>
      <c r="S266" s="32" t="str">
        <f t="shared" si="26"/>
        <v>-</v>
      </c>
    </row>
    <row r="267" spans="1:19" x14ac:dyDescent="0.3">
      <c r="A267" s="134">
        <v>100009404</v>
      </c>
      <c r="B267" s="23">
        <v>1734</v>
      </c>
      <c r="C267" s="38">
        <v>33984017344</v>
      </c>
      <c r="D267" s="39" t="s">
        <v>208</v>
      </c>
      <c r="E267" s="26">
        <v>120</v>
      </c>
      <c r="F267" s="27">
        <v>0.46534999999999999</v>
      </c>
      <c r="G267" s="26">
        <v>20</v>
      </c>
      <c r="H267" s="105" t="s">
        <v>850</v>
      </c>
      <c r="I267" s="28">
        <v>12.914856499999997</v>
      </c>
      <c r="J267" s="26"/>
      <c r="K267" s="135">
        <f t="shared" si="28"/>
        <v>0</v>
      </c>
      <c r="L267" s="29"/>
      <c r="M267" s="104"/>
      <c r="N267" s="30" t="str">
        <f t="shared" si="30"/>
        <v>-</v>
      </c>
      <c r="O267" s="30" t="str">
        <f t="shared" si="27"/>
        <v>-</v>
      </c>
      <c r="P267" s="31" t="str">
        <f t="shared" si="29"/>
        <v>-</v>
      </c>
      <c r="Q267" s="32" t="str">
        <f t="shared" si="31"/>
        <v>-</v>
      </c>
      <c r="S267" s="32" t="str">
        <f t="shared" si="26"/>
        <v>-</v>
      </c>
    </row>
    <row r="268" spans="1:19" x14ac:dyDescent="0.3">
      <c r="A268" s="140">
        <v>100188061</v>
      </c>
      <c r="B268" s="33">
        <v>30049</v>
      </c>
      <c r="C268" s="34">
        <v>33984006553</v>
      </c>
      <c r="D268" s="55" t="s">
        <v>209</v>
      </c>
      <c r="E268" s="33">
        <v>30</v>
      </c>
      <c r="F268" s="36">
        <v>0.12827781220420836</v>
      </c>
      <c r="G268" s="33">
        <v>36</v>
      </c>
      <c r="H268" s="105" t="s">
        <v>850</v>
      </c>
      <c r="I268" s="37">
        <v>10.079887999999999</v>
      </c>
      <c r="J268" s="33"/>
      <c r="K268" s="141">
        <f t="shared" si="28"/>
        <v>0</v>
      </c>
      <c r="L268" s="29"/>
      <c r="M268" s="104"/>
      <c r="N268" s="30" t="str">
        <f t="shared" si="30"/>
        <v>-</v>
      </c>
      <c r="O268" s="30" t="str">
        <f t="shared" si="27"/>
        <v>-</v>
      </c>
      <c r="P268" s="31" t="str">
        <f t="shared" si="29"/>
        <v>-</v>
      </c>
      <c r="Q268" s="32" t="str">
        <f t="shared" si="31"/>
        <v>-</v>
      </c>
      <c r="S268" s="32" t="str">
        <f t="shared" si="26"/>
        <v>-</v>
      </c>
    </row>
    <row r="269" spans="1:19" x14ac:dyDescent="0.3">
      <c r="A269" s="134">
        <v>100188062</v>
      </c>
      <c r="B269" s="23">
        <v>30050</v>
      </c>
      <c r="C269" s="38">
        <v>33984006560</v>
      </c>
      <c r="D269" s="39" t="s">
        <v>209</v>
      </c>
      <c r="E269" s="26">
        <v>60</v>
      </c>
      <c r="F269" s="27">
        <v>0.19614921652094999</v>
      </c>
      <c r="G269" s="26">
        <v>30</v>
      </c>
      <c r="H269" s="105" t="s">
        <v>850</v>
      </c>
      <c r="I269" s="28">
        <v>17.3878068</v>
      </c>
      <c r="J269" s="26"/>
      <c r="K269" s="135">
        <f t="shared" si="28"/>
        <v>0</v>
      </c>
      <c r="L269" s="29"/>
      <c r="M269" s="104"/>
      <c r="N269" s="30" t="str">
        <f t="shared" si="30"/>
        <v>-</v>
      </c>
      <c r="O269" s="30" t="str">
        <f t="shared" si="27"/>
        <v>-</v>
      </c>
      <c r="P269" s="31" t="str">
        <f t="shared" si="29"/>
        <v>-</v>
      </c>
      <c r="Q269" s="32" t="str">
        <f t="shared" si="31"/>
        <v>-</v>
      </c>
      <c r="S269" s="32" t="str">
        <f t="shared" si="26"/>
        <v>-</v>
      </c>
    </row>
    <row r="270" spans="1:19" x14ac:dyDescent="0.3">
      <c r="A270" s="134">
        <v>100155818</v>
      </c>
      <c r="B270" s="23">
        <v>50500</v>
      </c>
      <c r="C270" s="38">
        <v>33984505001</v>
      </c>
      <c r="D270" s="39" t="s">
        <v>210</v>
      </c>
      <c r="E270" s="26">
        <v>60</v>
      </c>
      <c r="F270" s="27">
        <v>0.21159403671945001</v>
      </c>
      <c r="G270" s="26">
        <v>30</v>
      </c>
      <c r="H270" s="105" t="s">
        <v>850</v>
      </c>
      <c r="I270" s="28">
        <v>33.389628999999999</v>
      </c>
      <c r="J270" s="26"/>
      <c r="K270" s="135">
        <f t="shared" si="28"/>
        <v>0</v>
      </c>
      <c r="L270" s="29"/>
      <c r="M270" s="104"/>
      <c r="N270" s="30" t="str">
        <f t="shared" si="30"/>
        <v>-</v>
      </c>
      <c r="O270" s="30" t="str">
        <f t="shared" si="27"/>
        <v>-</v>
      </c>
      <c r="P270" s="31" t="str">
        <f t="shared" si="29"/>
        <v>-</v>
      </c>
      <c r="Q270" s="32" t="str">
        <f t="shared" si="31"/>
        <v>-</v>
      </c>
      <c r="S270" s="32" t="str">
        <f t="shared" si="26"/>
        <v>-</v>
      </c>
    </row>
    <row r="271" spans="1:19" x14ac:dyDescent="0.3">
      <c r="A271" s="134">
        <v>100190514</v>
      </c>
      <c r="B271" s="23">
        <v>30320</v>
      </c>
      <c r="C271" s="38">
        <v>33984303201</v>
      </c>
      <c r="D271" s="39" t="s">
        <v>211</v>
      </c>
      <c r="E271" s="26">
        <v>60</v>
      </c>
      <c r="F271" s="27">
        <v>0.20429999999999998</v>
      </c>
      <c r="G271" s="26">
        <v>25</v>
      </c>
      <c r="H271" s="105" t="s">
        <v>850</v>
      </c>
      <c r="I271" s="28">
        <v>15.371829199999999</v>
      </c>
      <c r="J271" s="26"/>
      <c r="K271" s="135">
        <f t="shared" si="28"/>
        <v>0</v>
      </c>
      <c r="L271" s="29"/>
      <c r="M271" s="104"/>
      <c r="N271" s="30" t="str">
        <f t="shared" si="30"/>
        <v>-</v>
      </c>
      <c r="O271" s="30" t="str">
        <f t="shared" si="27"/>
        <v>-</v>
      </c>
      <c r="P271" s="31" t="str">
        <f t="shared" si="29"/>
        <v>-</v>
      </c>
      <c r="Q271" s="32" t="str">
        <f t="shared" si="31"/>
        <v>-</v>
      </c>
      <c r="S271" s="32" t="str">
        <f t="shared" si="26"/>
        <v>-</v>
      </c>
    </row>
    <row r="272" spans="1:19" x14ac:dyDescent="0.3">
      <c r="A272" s="134">
        <v>100194435</v>
      </c>
      <c r="B272" s="57">
        <v>30396</v>
      </c>
      <c r="C272" s="23">
        <v>33984303966</v>
      </c>
      <c r="D272" s="39" t="s">
        <v>215</v>
      </c>
      <c r="E272" s="26">
        <v>30</v>
      </c>
      <c r="F272" s="27">
        <v>2.0171184000000002E-2</v>
      </c>
      <c r="G272" s="26" t="s">
        <v>9</v>
      </c>
      <c r="H272" s="105" t="s">
        <v>850</v>
      </c>
      <c r="I272" s="28">
        <v>33.389628999999999</v>
      </c>
      <c r="J272" s="26"/>
      <c r="K272" s="135">
        <f t="shared" si="28"/>
        <v>0</v>
      </c>
      <c r="L272" s="29"/>
      <c r="M272" s="104"/>
      <c r="N272" s="30" t="str">
        <f t="shared" si="30"/>
        <v>-</v>
      </c>
      <c r="O272" s="30" t="str">
        <f t="shared" si="27"/>
        <v>-</v>
      </c>
      <c r="P272" s="31" t="str">
        <f t="shared" si="29"/>
        <v>-</v>
      </c>
      <c r="Q272" s="32" t="str">
        <f t="shared" si="31"/>
        <v>-</v>
      </c>
      <c r="S272" s="32" t="str">
        <f t="shared" si="26"/>
        <v>-</v>
      </c>
    </row>
    <row r="273" spans="1:19" x14ac:dyDescent="0.3">
      <c r="A273" s="134">
        <v>100009128</v>
      </c>
      <c r="B273" s="23">
        <v>400</v>
      </c>
      <c r="C273" s="38">
        <v>33984004009</v>
      </c>
      <c r="D273" s="39" t="s">
        <v>217</v>
      </c>
      <c r="E273" s="26">
        <v>250</v>
      </c>
      <c r="F273" s="27">
        <v>0.38174447257292504</v>
      </c>
      <c r="G273" s="26">
        <v>20</v>
      </c>
      <c r="H273" s="105" t="s">
        <v>850</v>
      </c>
      <c r="I273" s="28">
        <v>12.221864199999997</v>
      </c>
      <c r="J273" s="26"/>
      <c r="K273" s="135">
        <f t="shared" si="28"/>
        <v>0</v>
      </c>
      <c r="L273" s="29"/>
      <c r="M273" s="104"/>
      <c r="N273" s="30" t="str">
        <f t="shared" si="30"/>
        <v>-</v>
      </c>
      <c r="O273" s="30" t="str">
        <f t="shared" si="27"/>
        <v>-</v>
      </c>
      <c r="P273" s="31" t="str">
        <f t="shared" si="29"/>
        <v>-</v>
      </c>
      <c r="Q273" s="32" t="str">
        <f t="shared" si="31"/>
        <v>-</v>
      </c>
      <c r="S273" s="32" t="str">
        <f t="shared" si="26"/>
        <v>-</v>
      </c>
    </row>
    <row r="274" spans="1:19" x14ac:dyDescent="0.3">
      <c r="A274" s="134">
        <v>100009316</v>
      </c>
      <c r="B274" s="23">
        <v>1240</v>
      </c>
      <c r="C274" s="38">
        <v>33984012400</v>
      </c>
      <c r="D274" s="39" t="s">
        <v>219</v>
      </c>
      <c r="E274" s="26">
        <v>100</v>
      </c>
      <c r="F274" s="27">
        <v>0.23331975046534001</v>
      </c>
      <c r="G274" s="26">
        <v>25</v>
      </c>
      <c r="H274" s="105" t="s">
        <v>850</v>
      </c>
      <c r="I274" s="28">
        <v>6.9299229999999987</v>
      </c>
      <c r="J274" s="26"/>
      <c r="K274" s="135">
        <f t="shared" si="28"/>
        <v>0</v>
      </c>
      <c r="L274" s="29"/>
      <c r="M274" s="104"/>
      <c r="N274" s="30" t="str">
        <f t="shared" si="30"/>
        <v>-</v>
      </c>
      <c r="O274" s="30" t="str">
        <f t="shared" si="27"/>
        <v>-</v>
      </c>
      <c r="P274" s="31" t="str">
        <f t="shared" si="29"/>
        <v>-</v>
      </c>
      <c r="Q274" s="32" t="str">
        <f t="shared" si="31"/>
        <v>-</v>
      </c>
      <c r="S274" s="32" t="str">
        <f t="shared" si="26"/>
        <v>-</v>
      </c>
    </row>
    <row r="275" spans="1:19" x14ac:dyDescent="0.3">
      <c r="A275" s="134">
        <v>100009529</v>
      </c>
      <c r="B275" s="23">
        <v>2431</v>
      </c>
      <c r="C275" s="38">
        <v>33984024311</v>
      </c>
      <c r="D275" s="39" t="s">
        <v>220</v>
      </c>
      <c r="E275" s="26">
        <v>60</v>
      </c>
      <c r="F275" s="27">
        <v>0.15555140342775003</v>
      </c>
      <c r="G275" s="26">
        <v>42</v>
      </c>
      <c r="H275" s="105" t="s">
        <v>850</v>
      </c>
      <c r="I275" s="28">
        <v>15.119831999999999</v>
      </c>
      <c r="J275" s="26"/>
      <c r="K275" s="135">
        <f t="shared" si="28"/>
        <v>0</v>
      </c>
      <c r="L275" s="29"/>
      <c r="M275" s="104"/>
      <c r="N275" s="30" t="str">
        <f t="shared" si="30"/>
        <v>-</v>
      </c>
      <c r="O275" s="30" t="str">
        <f t="shared" si="27"/>
        <v>-</v>
      </c>
      <c r="P275" s="31" t="str">
        <f t="shared" si="29"/>
        <v>-</v>
      </c>
      <c r="Q275" s="32" t="str">
        <f t="shared" si="31"/>
        <v>-</v>
      </c>
      <c r="S275" s="32" t="str">
        <f t="shared" si="26"/>
        <v>-</v>
      </c>
    </row>
    <row r="276" spans="1:19" x14ac:dyDescent="0.3">
      <c r="A276" s="134">
        <v>100009352</v>
      </c>
      <c r="B276" s="23">
        <v>1411</v>
      </c>
      <c r="C276" s="38">
        <v>33984014114</v>
      </c>
      <c r="D276" s="39" t="s">
        <v>222</v>
      </c>
      <c r="E276" s="26">
        <v>120</v>
      </c>
      <c r="F276" s="27">
        <v>0.36372551567467504</v>
      </c>
      <c r="G276" s="26">
        <v>20</v>
      </c>
      <c r="H276" s="105" t="s">
        <v>850</v>
      </c>
      <c r="I276" s="28">
        <v>15.119831999999999</v>
      </c>
      <c r="J276" s="26"/>
      <c r="K276" s="135">
        <f t="shared" si="28"/>
        <v>0</v>
      </c>
      <c r="L276" s="29"/>
      <c r="M276" s="104"/>
      <c r="N276" s="30" t="str">
        <f t="shared" si="30"/>
        <v>-</v>
      </c>
      <c r="O276" s="30" t="str">
        <f t="shared" si="27"/>
        <v>-</v>
      </c>
      <c r="P276" s="31" t="str">
        <f t="shared" si="29"/>
        <v>-</v>
      </c>
      <c r="Q276" s="32" t="str">
        <f t="shared" si="31"/>
        <v>-</v>
      </c>
      <c r="S276" s="32" t="str">
        <f t="shared" si="26"/>
        <v>-</v>
      </c>
    </row>
    <row r="277" spans="1:19" x14ac:dyDescent="0.3">
      <c r="A277" s="134">
        <v>100009494</v>
      </c>
      <c r="B277" s="23">
        <v>2251</v>
      </c>
      <c r="C277" s="38">
        <v>33984022515</v>
      </c>
      <c r="D277" s="39" t="s">
        <v>227</v>
      </c>
      <c r="E277" s="26">
        <v>100</v>
      </c>
      <c r="F277" s="27">
        <v>0.20129748992045002</v>
      </c>
      <c r="G277" s="26">
        <v>30</v>
      </c>
      <c r="H277" s="105" t="s">
        <v>850</v>
      </c>
      <c r="I277" s="28">
        <v>25.199719999999999</v>
      </c>
      <c r="J277" s="26"/>
      <c r="K277" s="135">
        <f t="shared" si="28"/>
        <v>0</v>
      </c>
      <c r="L277" s="29"/>
      <c r="M277" s="104"/>
      <c r="N277" s="30" t="str">
        <f t="shared" si="30"/>
        <v>-</v>
      </c>
      <c r="O277" s="30" t="str">
        <f t="shared" si="27"/>
        <v>-</v>
      </c>
      <c r="P277" s="31" t="str">
        <f t="shared" si="29"/>
        <v>-</v>
      </c>
      <c r="Q277" s="32" t="str">
        <f t="shared" si="31"/>
        <v>-</v>
      </c>
      <c r="S277" s="32" t="str">
        <f t="shared" si="26"/>
        <v>-</v>
      </c>
    </row>
    <row r="278" spans="1:19" x14ac:dyDescent="0.3">
      <c r="A278" s="134">
        <v>100009516</v>
      </c>
      <c r="B278" s="23">
        <v>2324</v>
      </c>
      <c r="C278" s="38">
        <v>33984023246</v>
      </c>
      <c r="D278" s="39" t="s">
        <v>228</v>
      </c>
      <c r="E278" s="26">
        <v>60</v>
      </c>
      <c r="F278" s="27">
        <v>0.22899520080976002</v>
      </c>
      <c r="G278" s="26">
        <v>25</v>
      </c>
      <c r="H278" s="105" t="s">
        <v>850</v>
      </c>
      <c r="I278" s="28">
        <v>11.339873999999998</v>
      </c>
      <c r="J278" s="26"/>
      <c r="K278" s="135">
        <f t="shared" si="28"/>
        <v>0</v>
      </c>
      <c r="L278" s="29"/>
      <c r="M278" s="104"/>
      <c r="N278" s="30" t="str">
        <f t="shared" si="30"/>
        <v>-</v>
      </c>
      <c r="O278" s="30" t="str">
        <f t="shared" si="27"/>
        <v>-</v>
      </c>
      <c r="P278" s="31" t="str">
        <f t="shared" si="29"/>
        <v>-</v>
      </c>
      <c r="Q278" s="32" t="str">
        <f t="shared" si="31"/>
        <v>-</v>
      </c>
      <c r="S278" s="32" t="str">
        <f t="shared" si="26"/>
        <v>-</v>
      </c>
    </row>
    <row r="279" spans="1:19" x14ac:dyDescent="0.3">
      <c r="A279" s="134">
        <v>100009517</v>
      </c>
      <c r="B279" s="23">
        <v>2325</v>
      </c>
      <c r="C279" s="38">
        <v>33984023253</v>
      </c>
      <c r="D279" s="39" t="s">
        <v>228</v>
      </c>
      <c r="E279" s="26">
        <v>120</v>
      </c>
      <c r="F279" s="27">
        <v>0.329232083898025</v>
      </c>
      <c r="G279" s="26">
        <v>20</v>
      </c>
      <c r="H279" s="105" t="s">
        <v>850</v>
      </c>
      <c r="I279" s="28">
        <v>20.789768999999996</v>
      </c>
      <c r="J279" s="26"/>
      <c r="K279" s="135">
        <f t="shared" si="28"/>
        <v>0</v>
      </c>
      <c r="L279" s="29"/>
      <c r="M279" s="104"/>
      <c r="N279" s="30" t="str">
        <f t="shared" si="30"/>
        <v>-</v>
      </c>
      <c r="O279" s="30" t="str">
        <f t="shared" si="27"/>
        <v>-</v>
      </c>
      <c r="P279" s="31" t="str">
        <f t="shared" si="29"/>
        <v>-</v>
      </c>
      <c r="Q279" s="32" t="str">
        <f t="shared" si="31"/>
        <v>-</v>
      </c>
      <c r="S279" s="32" t="str">
        <f t="shared" si="26"/>
        <v>-</v>
      </c>
    </row>
    <row r="280" spans="1:19" x14ac:dyDescent="0.3">
      <c r="A280" s="134">
        <v>100189883</v>
      </c>
      <c r="B280" s="23">
        <v>30093</v>
      </c>
      <c r="C280" s="38">
        <v>33984300934</v>
      </c>
      <c r="D280" s="25" t="s">
        <v>253</v>
      </c>
      <c r="E280" s="26" t="s">
        <v>271</v>
      </c>
      <c r="F280" s="27">
        <v>0.53957917200000005</v>
      </c>
      <c r="G280" s="26">
        <v>12</v>
      </c>
      <c r="H280" s="105" t="s">
        <v>850</v>
      </c>
      <c r="I280" s="28">
        <v>18.887190139999998</v>
      </c>
      <c r="J280" s="26"/>
      <c r="K280" s="135">
        <f t="shared" si="28"/>
        <v>0</v>
      </c>
      <c r="L280" s="29"/>
      <c r="M280" s="104"/>
      <c r="N280" s="30" t="str">
        <f t="shared" si="30"/>
        <v>-</v>
      </c>
      <c r="O280" s="30" t="str">
        <f t="shared" si="27"/>
        <v>-</v>
      </c>
      <c r="P280" s="31" t="str">
        <f t="shared" si="29"/>
        <v>-</v>
      </c>
      <c r="Q280" s="32" t="str">
        <f t="shared" si="31"/>
        <v>-</v>
      </c>
      <c r="S280" s="32" t="str">
        <f t="shared" si="26"/>
        <v>-</v>
      </c>
    </row>
    <row r="281" spans="1:19" x14ac:dyDescent="0.3">
      <c r="A281" s="134">
        <v>100189885</v>
      </c>
      <c r="B281" s="23">
        <v>30094</v>
      </c>
      <c r="C281" s="38">
        <v>33984300941</v>
      </c>
      <c r="D281" s="25" t="s">
        <v>253</v>
      </c>
      <c r="E281" s="26" t="s">
        <v>272</v>
      </c>
      <c r="F281" s="27">
        <v>1.376683308</v>
      </c>
      <c r="G281" s="26">
        <v>6</v>
      </c>
      <c r="H281" s="105" t="s">
        <v>850</v>
      </c>
      <c r="I281" s="28">
        <v>43.834912939999995</v>
      </c>
      <c r="J281" s="26"/>
      <c r="K281" s="135">
        <f t="shared" si="28"/>
        <v>0</v>
      </c>
      <c r="L281" s="29"/>
      <c r="M281" s="104"/>
      <c r="N281" s="30" t="str">
        <f t="shared" si="30"/>
        <v>-</v>
      </c>
      <c r="O281" s="30" t="str">
        <f t="shared" si="27"/>
        <v>-</v>
      </c>
      <c r="P281" s="31" t="str">
        <f t="shared" si="29"/>
        <v>-</v>
      </c>
      <c r="Q281" s="32" t="str">
        <f t="shared" si="31"/>
        <v>-</v>
      </c>
      <c r="S281" s="32" t="str">
        <f t="shared" si="26"/>
        <v>-</v>
      </c>
    </row>
    <row r="282" spans="1:19" x14ac:dyDescent="0.3">
      <c r="A282" s="134">
        <v>100009650</v>
      </c>
      <c r="B282" s="23">
        <v>3667</v>
      </c>
      <c r="C282" s="38">
        <v>33984036673</v>
      </c>
      <c r="D282" s="25" t="s">
        <v>254</v>
      </c>
      <c r="E282" s="26" t="s">
        <v>282</v>
      </c>
      <c r="F282" s="27">
        <v>0.56373593724525006</v>
      </c>
      <c r="G282" s="26">
        <v>12</v>
      </c>
      <c r="H282" s="105" t="s">
        <v>850</v>
      </c>
      <c r="I282" s="28">
        <v>18.131198539999996</v>
      </c>
      <c r="J282" s="26"/>
      <c r="K282" s="135">
        <f t="shared" si="28"/>
        <v>0</v>
      </c>
      <c r="L282" s="29"/>
      <c r="M282" s="104"/>
      <c r="N282" s="30" t="str">
        <f t="shared" si="30"/>
        <v>-</v>
      </c>
      <c r="O282" s="30" t="str">
        <f t="shared" si="27"/>
        <v>-</v>
      </c>
      <c r="P282" s="31" t="str">
        <f t="shared" si="29"/>
        <v>-</v>
      </c>
      <c r="Q282" s="32" t="str">
        <f t="shared" si="31"/>
        <v>-</v>
      </c>
      <c r="S282" s="32" t="str">
        <f t="shared" si="26"/>
        <v>-</v>
      </c>
    </row>
    <row r="283" spans="1:19" x14ac:dyDescent="0.3">
      <c r="A283" s="134">
        <v>100009593</v>
      </c>
      <c r="B283" s="23">
        <v>3111</v>
      </c>
      <c r="C283" s="38">
        <v>33984031111</v>
      </c>
      <c r="D283" s="39" t="s">
        <v>63</v>
      </c>
      <c r="E283" s="26">
        <v>250</v>
      </c>
      <c r="F283" s="27">
        <v>0.20129748992045002</v>
      </c>
      <c r="G283" s="26">
        <v>30</v>
      </c>
      <c r="H283" s="105" t="s">
        <v>850</v>
      </c>
      <c r="I283" s="28">
        <v>17.639803999999998</v>
      </c>
      <c r="J283" s="26"/>
      <c r="K283" s="135">
        <f t="shared" si="28"/>
        <v>0</v>
      </c>
      <c r="L283" s="29"/>
      <c r="M283" s="104"/>
      <c r="N283" s="30" t="str">
        <f t="shared" si="30"/>
        <v>-</v>
      </c>
      <c r="O283" s="30" t="str">
        <f t="shared" si="27"/>
        <v>-</v>
      </c>
      <c r="P283" s="31" t="str">
        <f t="shared" si="29"/>
        <v>-</v>
      </c>
      <c r="Q283" s="32" t="str">
        <f t="shared" si="31"/>
        <v>-</v>
      </c>
      <c r="S283" s="32" t="str">
        <f t="shared" si="26"/>
        <v>-</v>
      </c>
    </row>
    <row r="284" spans="1:19" x14ac:dyDescent="0.3">
      <c r="A284" s="134">
        <v>100009528</v>
      </c>
      <c r="B284" s="23">
        <v>2421</v>
      </c>
      <c r="C284" s="38">
        <v>33984024212</v>
      </c>
      <c r="D284" s="45" t="s">
        <v>105</v>
      </c>
      <c r="E284" s="26">
        <v>180</v>
      </c>
      <c r="F284" s="27">
        <v>0.68858156718312513</v>
      </c>
      <c r="G284" s="26">
        <v>12</v>
      </c>
      <c r="H284" s="105" t="s">
        <v>850</v>
      </c>
      <c r="I284" s="28">
        <v>22.679747999999996</v>
      </c>
      <c r="J284" s="26"/>
      <c r="K284" s="135">
        <f t="shared" si="28"/>
        <v>0</v>
      </c>
      <c r="L284" s="29"/>
      <c r="M284" s="104"/>
      <c r="N284" s="30" t="str">
        <f t="shared" si="30"/>
        <v>-</v>
      </c>
      <c r="O284" s="30" t="str">
        <f t="shared" si="27"/>
        <v>-</v>
      </c>
      <c r="P284" s="31" t="str">
        <f t="shared" si="29"/>
        <v>-</v>
      </c>
      <c r="Q284" s="32" t="str">
        <f t="shared" si="31"/>
        <v>-</v>
      </c>
      <c r="S284" s="32" t="str">
        <f t="shared" si="26"/>
        <v>-</v>
      </c>
    </row>
    <row r="285" spans="1:19" x14ac:dyDescent="0.3">
      <c r="A285" s="134">
        <v>100079133</v>
      </c>
      <c r="B285" s="23">
        <v>57600</v>
      </c>
      <c r="C285" s="38">
        <v>33984576001</v>
      </c>
      <c r="D285" s="39" t="s">
        <v>260</v>
      </c>
      <c r="E285" s="26">
        <v>120</v>
      </c>
      <c r="F285" s="27">
        <v>0.42130037319241664</v>
      </c>
      <c r="G285" s="26">
        <v>12</v>
      </c>
      <c r="H285" s="105" t="s">
        <v>850</v>
      </c>
      <c r="I285" s="28">
        <v>13.859845999999997</v>
      </c>
      <c r="J285" s="26"/>
      <c r="K285" s="135">
        <f t="shared" si="28"/>
        <v>0</v>
      </c>
      <c r="L285" s="29"/>
      <c r="M285" s="104"/>
      <c r="N285" s="30" t="str">
        <f t="shared" si="30"/>
        <v>-</v>
      </c>
      <c r="O285" s="30" t="str">
        <f t="shared" si="27"/>
        <v>-</v>
      </c>
      <c r="P285" s="31" t="str">
        <f t="shared" si="29"/>
        <v>-</v>
      </c>
      <c r="Q285" s="32" t="str">
        <f t="shared" si="31"/>
        <v>-</v>
      </c>
      <c r="S285" s="32" t="str">
        <f t="shared" si="26"/>
        <v>-</v>
      </c>
    </row>
    <row r="286" spans="1:19" x14ac:dyDescent="0.3">
      <c r="A286" s="134">
        <v>100009497</v>
      </c>
      <c r="B286" s="23">
        <v>2267</v>
      </c>
      <c r="C286" s="38">
        <v>33984022676</v>
      </c>
      <c r="D286" s="39" t="s">
        <v>261</v>
      </c>
      <c r="E286" s="26">
        <v>90</v>
      </c>
      <c r="F286" s="27">
        <v>0.23331975046534001</v>
      </c>
      <c r="G286" s="26">
        <v>25</v>
      </c>
      <c r="H286" s="105" t="s">
        <v>850</v>
      </c>
      <c r="I286" s="28">
        <v>10.709880999999999</v>
      </c>
      <c r="J286" s="26"/>
      <c r="K286" s="135">
        <f t="shared" si="28"/>
        <v>0</v>
      </c>
      <c r="L286" s="29"/>
      <c r="M286" s="104"/>
      <c r="N286" s="30" t="str">
        <f t="shared" si="30"/>
        <v>-</v>
      </c>
      <c r="O286" s="30" t="str">
        <f t="shared" si="27"/>
        <v>-</v>
      </c>
      <c r="P286" s="31" t="str">
        <f t="shared" si="29"/>
        <v>-</v>
      </c>
      <c r="Q286" s="32" t="str">
        <f t="shared" si="31"/>
        <v>-</v>
      </c>
      <c r="S286" s="32" t="str">
        <f t="shared" si="26"/>
        <v>-</v>
      </c>
    </row>
    <row r="287" spans="1:19" x14ac:dyDescent="0.3">
      <c r="A287" s="134">
        <v>100009904</v>
      </c>
      <c r="B287" s="23">
        <v>52550</v>
      </c>
      <c r="C287" s="38">
        <v>33984525504</v>
      </c>
      <c r="D287" s="39" t="s">
        <v>263</v>
      </c>
      <c r="E287" s="26">
        <v>60</v>
      </c>
      <c r="F287" s="27">
        <v>0.22692582</v>
      </c>
      <c r="G287" s="26">
        <v>24</v>
      </c>
      <c r="H287" s="105" t="s">
        <v>850</v>
      </c>
      <c r="I287" s="28">
        <v>8.1899089999999983</v>
      </c>
      <c r="J287" s="26"/>
      <c r="K287" s="135">
        <f t="shared" si="28"/>
        <v>0</v>
      </c>
      <c r="L287" s="29"/>
      <c r="M287" s="104"/>
      <c r="N287" s="30" t="str">
        <f t="shared" si="30"/>
        <v>-</v>
      </c>
      <c r="O287" s="30" t="str">
        <f t="shared" si="27"/>
        <v>-</v>
      </c>
      <c r="P287" s="31" t="str">
        <f t="shared" si="29"/>
        <v>-</v>
      </c>
      <c r="Q287" s="32" t="str">
        <f t="shared" si="31"/>
        <v>-</v>
      </c>
      <c r="S287" s="32" t="str">
        <f t="shared" si="26"/>
        <v>-</v>
      </c>
    </row>
    <row r="288" spans="1:19" x14ac:dyDescent="0.3">
      <c r="A288" s="134">
        <v>100009905</v>
      </c>
      <c r="B288" s="23">
        <v>52551</v>
      </c>
      <c r="C288" s="38">
        <v>33984525511</v>
      </c>
      <c r="D288" s="39" t="s">
        <v>263</v>
      </c>
      <c r="E288" s="26">
        <v>120</v>
      </c>
      <c r="F288" s="27">
        <v>0.60835430670758328</v>
      </c>
      <c r="G288" s="26">
        <v>12</v>
      </c>
      <c r="H288" s="105" t="s">
        <v>850</v>
      </c>
      <c r="I288" s="28">
        <v>13.859845999999997</v>
      </c>
      <c r="J288" s="26"/>
      <c r="K288" s="135">
        <f t="shared" si="28"/>
        <v>0</v>
      </c>
      <c r="L288" s="29"/>
      <c r="M288" s="104"/>
      <c r="N288" s="30" t="str">
        <f t="shared" si="30"/>
        <v>-</v>
      </c>
      <c r="O288" s="30" t="str">
        <f t="shared" si="27"/>
        <v>-</v>
      </c>
      <c r="P288" s="31" t="str">
        <f t="shared" si="29"/>
        <v>-</v>
      </c>
      <c r="Q288" s="32" t="str">
        <f t="shared" si="31"/>
        <v>-</v>
      </c>
      <c r="S288" s="32" t="str">
        <f t="shared" ref="S288:S333" si="32">IFERROR(IF(Q288+K288=0, "-", IF(Q288&gt;0, Q288+K288, "-")), "-")</f>
        <v>-</v>
      </c>
    </row>
    <row r="289" spans="1:19" x14ac:dyDescent="0.3">
      <c r="A289" s="134">
        <v>100190513</v>
      </c>
      <c r="B289" s="23">
        <v>30319</v>
      </c>
      <c r="C289" s="38">
        <v>33984303195</v>
      </c>
      <c r="D289" s="39" t="s">
        <v>211</v>
      </c>
      <c r="E289" s="26">
        <v>30</v>
      </c>
      <c r="F289" s="27">
        <v>0.13042292612066667</v>
      </c>
      <c r="G289" s="26">
        <v>36</v>
      </c>
      <c r="H289" s="105" t="s">
        <v>850</v>
      </c>
      <c r="I289" s="28">
        <v>8.6939033999999999</v>
      </c>
      <c r="J289" s="26"/>
      <c r="K289" s="135">
        <f t="shared" si="28"/>
        <v>0</v>
      </c>
      <c r="L289" s="29"/>
      <c r="M289" s="104"/>
      <c r="N289" s="30" t="str">
        <f t="shared" si="30"/>
        <v>-</v>
      </c>
      <c r="O289" s="30" t="str">
        <f t="shared" si="27"/>
        <v>-</v>
      </c>
      <c r="P289" s="31" t="str">
        <f t="shared" si="29"/>
        <v>-</v>
      </c>
      <c r="Q289" s="32" t="str">
        <f t="shared" si="31"/>
        <v>-</v>
      </c>
      <c r="S289" s="32" t="str">
        <f t="shared" si="32"/>
        <v>-</v>
      </c>
    </row>
    <row r="290" spans="1:19" x14ac:dyDescent="0.3">
      <c r="A290" s="134">
        <v>100009381</v>
      </c>
      <c r="B290" s="23">
        <v>1660</v>
      </c>
      <c r="C290" s="38">
        <v>33984016606</v>
      </c>
      <c r="D290" s="39" t="s">
        <v>268</v>
      </c>
      <c r="E290" s="26">
        <v>100</v>
      </c>
      <c r="F290" s="27">
        <v>7.9283410352300007E-2</v>
      </c>
      <c r="G290" s="26" t="s">
        <v>9</v>
      </c>
      <c r="H290" s="105" t="s">
        <v>850</v>
      </c>
      <c r="I290" s="28">
        <v>10.079887999999999</v>
      </c>
      <c r="J290" s="26"/>
      <c r="K290" s="135">
        <f t="shared" si="28"/>
        <v>0</v>
      </c>
      <c r="L290" s="29"/>
      <c r="M290" s="104"/>
      <c r="N290" s="30" t="str">
        <f t="shared" si="30"/>
        <v>-</v>
      </c>
      <c r="O290" s="30" t="str">
        <f t="shared" si="27"/>
        <v>-</v>
      </c>
      <c r="P290" s="31" t="str">
        <f t="shared" si="29"/>
        <v>-</v>
      </c>
      <c r="Q290" s="32" t="str">
        <f t="shared" si="31"/>
        <v>-</v>
      </c>
      <c r="S290" s="32" t="str">
        <f t="shared" si="32"/>
        <v>-</v>
      </c>
    </row>
    <row r="291" spans="1:19" x14ac:dyDescent="0.3">
      <c r="A291" s="134">
        <v>100009461</v>
      </c>
      <c r="B291" s="23">
        <v>2031</v>
      </c>
      <c r="C291" s="38" t="s">
        <v>853</v>
      </c>
      <c r="D291" s="25" t="s">
        <v>807</v>
      </c>
      <c r="E291" s="26">
        <v>90</v>
      </c>
      <c r="F291" s="27">
        <v>0.24970000000000001</v>
      </c>
      <c r="G291" s="26"/>
      <c r="H291" s="105" t="s">
        <v>850</v>
      </c>
      <c r="I291" s="28">
        <v>15.119831999999999</v>
      </c>
      <c r="J291" s="26"/>
      <c r="K291" s="135">
        <f t="shared" si="28"/>
        <v>0</v>
      </c>
      <c r="N291" s="30" t="str">
        <f t="shared" si="30"/>
        <v>-</v>
      </c>
      <c r="O291" s="30" t="str">
        <f t="shared" si="27"/>
        <v>-</v>
      </c>
      <c r="P291" s="31" t="str">
        <f t="shared" si="29"/>
        <v>-</v>
      </c>
      <c r="Q291" s="32" t="str">
        <f t="shared" si="31"/>
        <v>-</v>
      </c>
      <c r="S291" s="32" t="str">
        <f t="shared" si="32"/>
        <v>-</v>
      </c>
    </row>
    <row r="292" spans="1:19" x14ac:dyDescent="0.3">
      <c r="A292" s="134">
        <v>100009152</v>
      </c>
      <c r="B292" s="23">
        <v>516</v>
      </c>
      <c r="C292" s="38">
        <v>33984005167</v>
      </c>
      <c r="D292" s="25" t="s">
        <v>810</v>
      </c>
      <c r="E292" s="26">
        <v>250</v>
      </c>
      <c r="F292" s="27">
        <v>0.77180000000000004</v>
      </c>
      <c r="G292" s="26"/>
      <c r="H292" s="105" t="s">
        <v>850</v>
      </c>
      <c r="I292" s="28">
        <v>14.111843199999997</v>
      </c>
      <c r="J292" s="26"/>
      <c r="K292" s="135">
        <f t="shared" si="28"/>
        <v>0</v>
      </c>
      <c r="N292" s="30" t="str">
        <f t="shared" si="30"/>
        <v>-</v>
      </c>
      <c r="O292" s="30" t="str">
        <f t="shared" si="27"/>
        <v>-</v>
      </c>
      <c r="P292" s="31" t="str">
        <f t="shared" si="29"/>
        <v>-</v>
      </c>
      <c r="Q292" s="32" t="str">
        <f t="shared" si="31"/>
        <v>-</v>
      </c>
      <c r="S292" s="32" t="str">
        <f t="shared" si="32"/>
        <v>-</v>
      </c>
    </row>
    <row r="293" spans="1:19" x14ac:dyDescent="0.3">
      <c r="A293" s="134">
        <v>100186239</v>
      </c>
      <c r="B293" s="23">
        <v>10048</v>
      </c>
      <c r="C293" s="38" t="s">
        <v>857</v>
      </c>
      <c r="D293" s="25" t="s">
        <v>813</v>
      </c>
      <c r="E293" s="26">
        <v>30</v>
      </c>
      <c r="F293" s="27">
        <v>0.12485</v>
      </c>
      <c r="G293" s="26"/>
      <c r="H293" s="105" t="s">
        <v>850</v>
      </c>
      <c r="I293" s="28">
        <v>16.6948145</v>
      </c>
      <c r="J293" s="26"/>
      <c r="K293" s="135">
        <f t="shared" si="28"/>
        <v>0</v>
      </c>
      <c r="N293" s="30" t="str">
        <f t="shared" si="30"/>
        <v>-</v>
      </c>
      <c r="O293" s="30" t="str">
        <f t="shared" si="27"/>
        <v>-</v>
      </c>
      <c r="P293" s="31" t="str">
        <f t="shared" si="29"/>
        <v>-</v>
      </c>
      <c r="Q293" s="32" t="str">
        <f t="shared" si="31"/>
        <v>-</v>
      </c>
      <c r="S293" s="32" t="str">
        <f t="shared" si="32"/>
        <v>-</v>
      </c>
    </row>
    <row r="294" spans="1:19" x14ac:dyDescent="0.3">
      <c r="A294" s="134">
        <v>100009519</v>
      </c>
      <c r="B294" s="23">
        <v>2335</v>
      </c>
      <c r="C294" s="38" t="s">
        <v>858</v>
      </c>
      <c r="D294" s="25" t="s">
        <v>814</v>
      </c>
      <c r="E294" s="26">
        <v>60</v>
      </c>
      <c r="F294" s="27">
        <f>0.19*1.135</f>
        <v>0.21565000000000001</v>
      </c>
      <c r="G294" s="26"/>
      <c r="H294" s="105" t="s">
        <v>850</v>
      </c>
      <c r="I294" s="28">
        <v>18.899789999999996</v>
      </c>
      <c r="J294" s="26"/>
      <c r="K294" s="135">
        <f t="shared" si="28"/>
        <v>0</v>
      </c>
      <c r="N294" s="30" t="str">
        <f t="shared" si="30"/>
        <v>-</v>
      </c>
      <c r="O294" s="30" t="str">
        <f t="shared" si="27"/>
        <v>-</v>
      </c>
      <c r="P294" s="31" t="str">
        <f t="shared" si="29"/>
        <v>-</v>
      </c>
      <c r="Q294" s="32" t="str">
        <f t="shared" si="31"/>
        <v>-</v>
      </c>
      <c r="S294" s="32" t="str">
        <f t="shared" si="32"/>
        <v>-</v>
      </c>
    </row>
    <row r="295" spans="1:19" x14ac:dyDescent="0.3">
      <c r="A295" s="134">
        <v>100009127</v>
      </c>
      <c r="B295" s="23">
        <v>380</v>
      </c>
      <c r="C295" s="38" t="s">
        <v>859</v>
      </c>
      <c r="D295" s="25" t="s">
        <v>817</v>
      </c>
      <c r="E295" s="26" t="s">
        <v>275</v>
      </c>
      <c r="F295" s="27">
        <f>0.47*1.135</f>
        <v>0.53344999999999998</v>
      </c>
      <c r="G295" s="26"/>
      <c r="H295" s="105" t="s">
        <v>850</v>
      </c>
      <c r="I295" s="28">
        <v>11.339873999999998</v>
      </c>
      <c r="J295" s="26"/>
      <c r="K295" s="135">
        <f t="shared" si="28"/>
        <v>0</v>
      </c>
      <c r="N295" s="30" t="str">
        <f t="shared" si="30"/>
        <v>-</v>
      </c>
      <c r="O295" s="30" t="str">
        <f t="shared" si="27"/>
        <v>-</v>
      </c>
      <c r="P295" s="31" t="str">
        <f t="shared" si="29"/>
        <v>-</v>
      </c>
      <c r="Q295" s="32" t="str">
        <f t="shared" si="31"/>
        <v>-</v>
      </c>
      <c r="S295" s="32" t="str">
        <f t="shared" si="32"/>
        <v>-</v>
      </c>
    </row>
    <row r="296" spans="1:19" x14ac:dyDescent="0.3">
      <c r="A296" s="134">
        <v>100009490</v>
      </c>
      <c r="B296" s="23">
        <v>2210</v>
      </c>
      <c r="C296" s="38" t="s">
        <v>860</v>
      </c>
      <c r="D296" s="25" t="s">
        <v>819</v>
      </c>
      <c r="E296" s="26">
        <v>100</v>
      </c>
      <c r="F296" s="27">
        <v>0</v>
      </c>
      <c r="G296" s="26"/>
      <c r="H296" s="105" t="s">
        <v>850</v>
      </c>
      <c r="I296" s="28">
        <v>12.914856499999997</v>
      </c>
      <c r="J296" s="26"/>
      <c r="K296" s="135">
        <f t="shared" si="28"/>
        <v>0</v>
      </c>
      <c r="N296" s="30" t="str">
        <f t="shared" si="30"/>
        <v>-</v>
      </c>
      <c r="O296" s="30" t="str">
        <f t="shared" si="27"/>
        <v>-</v>
      </c>
      <c r="P296" s="31" t="str">
        <f t="shared" si="29"/>
        <v>-</v>
      </c>
      <c r="Q296" s="32" t="str">
        <f t="shared" si="31"/>
        <v>-</v>
      </c>
      <c r="S296" s="32" t="str">
        <f t="shared" si="32"/>
        <v>-</v>
      </c>
    </row>
    <row r="297" spans="1:19" x14ac:dyDescent="0.3">
      <c r="A297" s="134">
        <v>100184385</v>
      </c>
      <c r="B297" s="23">
        <v>30002</v>
      </c>
      <c r="C297" s="38">
        <v>33984005389</v>
      </c>
      <c r="D297" s="25" t="s">
        <v>250</v>
      </c>
      <c r="E297" s="26">
        <v>60</v>
      </c>
      <c r="F297" s="27">
        <v>0</v>
      </c>
      <c r="G297" s="26"/>
      <c r="H297" s="105" t="s">
        <v>850</v>
      </c>
      <c r="I297" s="28">
        <v>53.549405</v>
      </c>
      <c r="J297" s="26"/>
      <c r="K297" s="135">
        <f t="shared" si="28"/>
        <v>0</v>
      </c>
      <c r="N297" s="30" t="str">
        <f t="shared" si="30"/>
        <v>-</v>
      </c>
      <c r="O297" s="30" t="str">
        <f t="shared" si="27"/>
        <v>-</v>
      </c>
      <c r="P297" s="31" t="str">
        <f t="shared" si="29"/>
        <v>-</v>
      </c>
      <c r="Q297" s="32" t="str">
        <f t="shared" si="31"/>
        <v>-</v>
      </c>
      <c r="S297" s="32" t="str">
        <f t="shared" si="32"/>
        <v>-</v>
      </c>
    </row>
    <row r="298" spans="1:19" x14ac:dyDescent="0.3">
      <c r="A298" s="134">
        <v>100200048</v>
      </c>
      <c r="B298" s="23" t="s">
        <v>9</v>
      </c>
      <c r="C298" s="24">
        <v>810122620259</v>
      </c>
      <c r="D298" s="25" t="s">
        <v>11</v>
      </c>
      <c r="E298" s="26">
        <v>60</v>
      </c>
      <c r="F298" s="27">
        <v>0.22008868782862501</v>
      </c>
      <c r="G298" s="26" t="s">
        <v>212</v>
      </c>
      <c r="H298" s="105" t="s">
        <v>850</v>
      </c>
      <c r="I298" s="28">
        <v>22.679747999999996</v>
      </c>
      <c r="J298" s="26"/>
      <c r="K298" s="135">
        <f t="shared" si="28"/>
        <v>0</v>
      </c>
      <c r="L298" s="29"/>
      <c r="M298" s="104"/>
      <c r="N298" s="30" t="str">
        <f t="shared" si="30"/>
        <v>-</v>
      </c>
      <c r="O298" s="30" t="str">
        <f t="shared" si="27"/>
        <v>-</v>
      </c>
      <c r="P298" s="31" t="str">
        <f t="shared" si="29"/>
        <v>-</v>
      </c>
      <c r="Q298" s="32" t="str">
        <f t="shared" si="31"/>
        <v>-</v>
      </c>
      <c r="S298" s="32" t="str">
        <f t="shared" si="32"/>
        <v>-</v>
      </c>
    </row>
    <row r="299" spans="1:19" x14ac:dyDescent="0.3">
      <c r="A299" s="134">
        <v>100200049</v>
      </c>
      <c r="B299" s="23" t="s">
        <v>9</v>
      </c>
      <c r="C299" s="24">
        <v>810122620266</v>
      </c>
      <c r="D299" s="25" t="s">
        <v>12</v>
      </c>
      <c r="E299" s="26">
        <v>30</v>
      </c>
      <c r="F299" s="27">
        <v>0.17032204496679168</v>
      </c>
      <c r="G299" s="26" t="s">
        <v>212</v>
      </c>
      <c r="H299" s="105" t="s">
        <v>850</v>
      </c>
      <c r="I299" s="28">
        <v>31.499649999999995</v>
      </c>
      <c r="J299" s="26"/>
      <c r="K299" s="135">
        <f t="shared" si="28"/>
        <v>0</v>
      </c>
      <c r="L299" s="29"/>
      <c r="M299" s="104"/>
      <c r="N299" s="30" t="str">
        <f t="shared" si="30"/>
        <v>-</v>
      </c>
      <c r="O299" s="30" t="str">
        <f t="shared" si="27"/>
        <v>-</v>
      </c>
      <c r="P299" s="31" t="str">
        <f t="shared" si="29"/>
        <v>-</v>
      </c>
      <c r="Q299" s="32" t="str">
        <f t="shared" si="31"/>
        <v>-</v>
      </c>
      <c r="S299" s="32" t="str">
        <f t="shared" si="32"/>
        <v>-</v>
      </c>
    </row>
    <row r="300" spans="1:19" x14ac:dyDescent="0.3">
      <c r="A300" s="134">
        <v>100200050</v>
      </c>
      <c r="B300" s="23" t="s">
        <v>9</v>
      </c>
      <c r="C300" s="24">
        <v>810122620273</v>
      </c>
      <c r="D300" s="25" t="s">
        <v>13</v>
      </c>
      <c r="E300" s="26">
        <v>30</v>
      </c>
      <c r="F300" s="27">
        <v>0.15230308806854168</v>
      </c>
      <c r="G300" s="26" t="s">
        <v>212</v>
      </c>
      <c r="H300" s="105" t="s">
        <v>850</v>
      </c>
      <c r="I300" s="28">
        <v>26.459705999999997</v>
      </c>
      <c r="J300" s="26"/>
      <c r="K300" s="135">
        <f t="shared" si="28"/>
        <v>0</v>
      </c>
      <c r="L300" s="29"/>
      <c r="M300" s="104"/>
      <c r="N300" s="30" t="str">
        <f t="shared" si="30"/>
        <v>-</v>
      </c>
      <c r="O300" s="30" t="str">
        <f t="shared" si="27"/>
        <v>-</v>
      </c>
      <c r="P300" s="31" t="str">
        <f t="shared" si="29"/>
        <v>-</v>
      </c>
      <c r="Q300" s="32" t="str">
        <f t="shared" si="31"/>
        <v>-</v>
      </c>
      <c r="S300" s="32" t="str">
        <f t="shared" si="32"/>
        <v>-</v>
      </c>
    </row>
    <row r="301" spans="1:19" x14ac:dyDescent="0.3">
      <c r="A301" s="134">
        <v>100200051</v>
      </c>
      <c r="B301" s="23" t="s">
        <v>9</v>
      </c>
      <c r="C301" s="24">
        <v>810122620280</v>
      </c>
      <c r="D301" s="25" t="s">
        <v>14</v>
      </c>
      <c r="E301" s="26">
        <v>30</v>
      </c>
      <c r="F301" s="27">
        <v>0.15273211085183333</v>
      </c>
      <c r="G301" s="26" t="s">
        <v>212</v>
      </c>
      <c r="H301" s="105" t="s">
        <v>850</v>
      </c>
      <c r="I301" s="28">
        <v>26.447106139999995</v>
      </c>
      <c r="J301" s="26"/>
      <c r="K301" s="135">
        <f t="shared" si="28"/>
        <v>0</v>
      </c>
      <c r="L301" s="29"/>
      <c r="M301" s="104"/>
      <c r="N301" s="30" t="str">
        <f t="shared" si="30"/>
        <v>-</v>
      </c>
      <c r="O301" s="30" t="str">
        <f t="shared" ref="O301:O353" si="33">IFERROR(IF(N301&gt;0,I301+N301,"-"),"-")</f>
        <v>-</v>
      </c>
      <c r="P301" s="31" t="str">
        <f t="shared" si="29"/>
        <v>-</v>
      </c>
      <c r="Q301" s="32" t="str">
        <f t="shared" si="31"/>
        <v>-</v>
      </c>
      <c r="S301" s="32" t="str">
        <f t="shared" si="32"/>
        <v>-</v>
      </c>
    </row>
    <row r="302" spans="1:19" x14ac:dyDescent="0.3">
      <c r="A302" s="134">
        <v>100200052</v>
      </c>
      <c r="B302" s="23" t="s">
        <v>9</v>
      </c>
      <c r="C302" s="24">
        <v>810122620297</v>
      </c>
      <c r="D302" s="25" t="s">
        <v>15</v>
      </c>
      <c r="E302" s="26">
        <v>30</v>
      </c>
      <c r="F302" s="27">
        <v>0.15745136146804167</v>
      </c>
      <c r="G302" s="26" t="s">
        <v>212</v>
      </c>
      <c r="H302" s="105" t="s">
        <v>850</v>
      </c>
      <c r="I302" s="28">
        <v>21.419761999999999</v>
      </c>
      <c r="J302" s="26"/>
      <c r="K302" s="135">
        <f t="shared" si="28"/>
        <v>0</v>
      </c>
      <c r="L302" s="29"/>
      <c r="M302" s="104"/>
      <c r="N302" s="30" t="str">
        <f t="shared" si="30"/>
        <v>-</v>
      </c>
      <c r="O302" s="30" t="str">
        <f t="shared" si="33"/>
        <v>-</v>
      </c>
      <c r="P302" s="31" t="str">
        <f t="shared" si="29"/>
        <v>-</v>
      </c>
      <c r="Q302" s="32" t="str">
        <f t="shared" si="31"/>
        <v>-</v>
      </c>
      <c r="S302" s="32" t="str">
        <f t="shared" si="32"/>
        <v>-</v>
      </c>
    </row>
    <row r="303" spans="1:19" x14ac:dyDescent="0.3">
      <c r="A303" s="134">
        <v>100200053</v>
      </c>
      <c r="B303" s="23" t="s">
        <v>9</v>
      </c>
      <c r="C303" s="24">
        <v>810122620303</v>
      </c>
      <c r="D303" s="25" t="s">
        <v>16</v>
      </c>
      <c r="E303" s="26">
        <v>30</v>
      </c>
      <c r="F303" s="27">
        <v>0.15144504250195831</v>
      </c>
      <c r="G303" s="26" t="s">
        <v>212</v>
      </c>
      <c r="H303" s="105" t="s">
        <v>850</v>
      </c>
      <c r="I303" s="28">
        <v>24.569726999999997</v>
      </c>
      <c r="J303" s="26"/>
      <c r="K303" s="135">
        <f t="shared" si="28"/>
        <v>0</v>
      </c>
      <c r="L303" s="29"/>
      <c r="M303" s="104"/>
      <c r="N303" s="30" t="str">
        <f t="shared" si="30"/>
        <v>-</v>
      </c>
      <c r="O303" s="30" t="str">
        <f t="shared" si="33"/>
        <v>-</v>
      </c>
      <c r="P303" s="31" t="str">
        <f t="shared" si="29"/>
        <v>-</v>
      </c>
      <c r="Q303" s="32" t="str">
        <f t="shared" si="31"/>
        <v>-</v>
      </c>
      <c r="S303" s="32" t="str">
        <f t="shared" si="32"/>
        <v>-</v>
      </c>
    </row>
    <row r="304" spans="1:19" x14ac:dyDescent="0.3">
      <c r="A304" s="134">
        <v>100200033</v>
      </c>
      <c r="B304" s="23" t="s">
        <v>9</v>
      </c>
      <c r="C304" s="24">
        <v>810122620136</v>
      </c>
      <c r="D304" s="39" t="s">
        <v>33</v>
      </c>
      <c r="E304" s="26">
        <v>60</v>
      </c>
      <c r="F304" s="27">
        <v>0.26599412564083336</v>
      </c>
      <c r="G304" s="26" t="s">
        <v>212</v>
      </c>
      <c r="H304" s="105" t="s">
        <v>850</v>
      </c>
      <c r="I304" s="28">
        <v>12.587260139999998</v>
      </c>
      <c r="J304" s="26"/>
      <c r="K304" s="135">
        <f t="shared" si="28"/>
        <v>0</v>
      </c>
      <c r="L304" s="29"/>
      <c r="M304" s="104"/>
      <c r="N304" s="30" t="str">
        <f t="shared" si="30"/>
        <v>-</v>
      </c>
      <c r="O304" s="30" t="str">
        <f t="shared" si="33"/>
        <v>-</v>
      </c>
      <c r="P304" s="31" t="str">
        <f t="shared" si="29"/>
        <v>-</v>
      </c>
      <c r="Q304" s="32" t="str">
        <f t="shared" si="31"/>
        <v>-</v>
      </c>
      <c r="S304" s="32" t="str">
        <f t="shared" si="32"/>
        <v>-</v>
      </c>
    </row>
    <row r="305" spans="1:19" x14ac:dyDescent="0.3">
      <c r="A305" s="134">
        <v>100009625</v>
      </c>
      <c r="B305" s="23">
        <v>3351</v>
      </c>
      <c r="C305" s="38">
        <v>33984033511</v>
      </c>
      <c r="D305" s="39" t="s">
        <v>47</v>
      </c>
      <c r="E305" s="26">
        <v>100</v>
      </c>
      <c r="F305" s="27">
        <v>0.23391068271641302</v>
      </c>
      <c r="G305" s="26">
        <v>23</v>
      </c>
      <c r="H305" s="105" t="s">
        <v>850</v>
      </c>
      <c r="I305" s="28">
        <v>15.119831999999999</v>
      </c>
      <c r="J305" s="26"/>
      <c r="K305" s="135">
        <f t="shared" si="28"/>
        <v>0</v>
      </c>
      <c r="L305" s="29"/>
      <c r="M305" s="104"/>
      <c r="N305" s="30" t="str">
        <f t="shared" si="30"/>
        <v>-</v>
      </c>
      <c r="O305" s="30" t="str">
        <f t="shared" si="33"/>
        <v>-</v>
      </c>
      <c r="P305" s="31" t="str">
        <f t="shared" si="29"/>
        <v>-</v>
      </c>
      <c r="Q305" s="32" t="str">
        <f t="shared" si="31"/>
        <v>-</v>
      </c>
      <c r="S305" s="32" t="str">
        <f t="shared" si="32"/>
        <v>-</v>
      </c>
    </row>
    <row r="306" spans="1:19" x14ac:dyDescent="0.3">
      <c r="A306" s="134">
        <v>100009639</v>
      </c>
      <c r="B306" s="23">
        <v>3547</v>
      </c>
      <c r="C306" s="38">
        <v>33984035478</v>
      </c>
      <c r="D306" s="45" t="s">
        <v>53</v>
      </c>
      <c r="E306" s="26">
        <v>100</v>
      </c>
      <c r="F306" s="27">
        <v>0.331727877306913</v>
      </c>
      <c r="G306" s="26">
        <v>23</v>
      </c>
      <c r="H306" s="105" t="s">
        <v>850</v>
      </c>
      <c r="I306" s="28">
        <v>19.781780199999996</v>
      </c>
      <c r="J306" s="26"/>
      <c r="K306" s="135">
        <f t="shared" si="28"/>
        <v>0</v>
      </c>
      <c r="L306" s="29"/>
      <c r="M306" s="104"/>
      <c r="N306" s="30" t="str">
        <f t="shared" si="30"/>
        <v>-</v>
      </c>
      <c r="O306" s="30" t="str">
        <f t="shared" si="33"/>
        <v>-</v>
      </c>
      <c r="P306" s="31" t="str">
        <f t="shared" si="29"/>
        <v>-</v>
      </c>
      <c r="Q306" s="32" t="str">
        <f t="shared" si="31"/>
        <v>-</v>
      </c>
      <c r="S306" s="32" t="str">
        <f t="shared" si="32"/>
        <v>-</v>
      </c>
    </row>
    <row r="307" spans="1:19" x14ac:dyDescent="0.3">
      <c r="A307" s="134">
        <v>100200030</v>
      </c>
      <c r="B307" s="23" t="s">
        <v>9</v>
      </c>
      <c r="C307" s="24">
        <v>810122620105</v>
      </c>
      <c r="D307" s="39" t="s">
        <v>57</v>
      </c>
      <c r="E307" s="26">
        <v>60</v>
      </c>
      <c r="F307" s="27">
        <v>0.26599412564083336</v>
      </c>
      <c r="G307" s="26" t="s">
        <v>212</v>
      </c>
      <c r="H307" s="105" t="s">
        <v>850</v>
      </c>
      <c r="I307" s="28">
        <v>12.587260139999998</v>
      </c>
      <c r="J307" s="26"/>
      <c r="K307" s="135">
        <f t="shared" si="28"/>
        <v>0</v>
      </c>
      <c r="L307" s="29"/>
      <c r="M307" s="104"/>
      <c r="N307" s="30" t="str">
        <f t="shared" si="30"/>
        <v>-</v>
      </c>
      <c r="O307" s="30" t="str">
        <f t="shared" si="33"/>
        <v>-</v>
      </c>
      <c r="P307" s="31" t="str">
        <f t="shared" si="29"/>
        <v>-</v>
      </c>
      <c r="Q307" s="32" t="str">
        <f t="shared" si="31"/>
        <v>-</v>
      </c>
      <c r="S307" s="32" t="str">
        <f t="shared" si="32"/>
        <v>-</v>
      </c>
    </row>
    <row r="308" spans="1:19" x14ac:dyDescent="0.3">
      <c r="A308" s="134">
        <v>100009599</v>
      </c>
      <c r="B308" s="23">
        <v>3210</v>
      </c>
      <c r="C308" s="38">
        <v>33984032101</v>
      </c>
      <c r="D308" s="39" t="s">
        <v>66</v>
      </c>
      <c r="E308" s="26">
        <v>100</v>
      </c>
      <c r="F308" s="27">
        <v>0.1374302982477639</v>
      </c>
      <c r="G308" s="26">
        <v>36</v>
      </c>
      <c r="H308" s="105" t="s">
        <v>850</v>
      </c>
      <c r="I308" s="28">
        <v>8.819901999999999</v>
      </c>
      <c r="J308" s="26"/>
      <c r="K308" s="135">
        <f t="shared" si="28"/>
        <v>0</v>
      </c>
      <c r="L308" s="29"/>
      <c r="M308" s="104"/>
      <c r="N308" s="30" t="str">
        <f t="shared" si="30"/>
        <v>-</v>
      </c>
      <c r="O308" s="30" t="str">
        <f t="shared" si="33"/>
        <v>-</v>
      </c>
      <c r="P308" s="31" t="str">
        <f t="shared" si="29"/>
        <v>-</v>
      </c>
      <c r="Q308" s="32" t="str">
        <f t="shared" si="31"/>
        <v>-</v>
      </c>
      <c r="S308" s="32" t="str">
        <f t="shared" si="32"/>
        <v>-</v>
      </c>
    </row>
    <row r="309" spans="1:19" x14ac:dyDescent="0.3">
      <c r="A309" s="134">
        <v>100009600</v>
      </c>
      <c r="B309" s="23">
        <v>3211</v>
      </c>
      <c r="C309" s="38">
        <v>33984032118</v>
      </c>
      <c r="D309" s="39" t="s">
        <v>66</v>
      </c>
      <c r="E309" s="26">
        <v>250</v>
      </c>
      <c r="F309" s="27">
        <v>0.19254542514130002</v>
      </c>
      <c r="G309" s="26">
        <v>25</v>
      </c>
      <c r="H309" s="105" t="s">
        <v>850</v>
      </c>
      <c r="I309" s="28">
        <v>18.269796999999997</v>
      </c>
      <c r="J309" s="26"/>
      <c r="K309" s="135">
        <f t="shared" si="28"/>
        <v>0</v>
      </c>
      <c r="L309" s="29"/>
      <c r="M309" s="104"/>
      <c r="N309" s="30" t="str">
        <f t="shared" si="30"/>
        <v>-</v>
      </c>
      <c r="O309" s="30" t="str">
        <f t="shared" si="33"/>
        <v>-</v>
      </c>
      <c r="P309" s="31" t="str">
        <f t="shared" si="29"/>
        <v>-</v>
      </c>
      <c r="Q309" s="32" t="str">
        <f t="shared" si="31"/>
        <v>-</v>
      </c>
      <c r="S309" s="32" t="str">
        <f t="shared" si="32"/>
        <v>-</v>
      </c>
    </row>
    <row r="310" spans="1:19" x14ac:dyDescent="0.3">
      <c r="A310" s="134">
        <v>100009436</v>
      </c>
      <c r="B310" s="23">
        <v>1852</v>
      </c>
      <c r="C310" s="38">
        <v>33984018525</v>
      </c>
      <c r="D310" s="39" t="s">
        <v>84</v>
      </c>
      <c r="E310" s="26">
        <v>250</v>
      </c>
      <c r="F310" s="27">
        <v>0.49455601343946876</v>
      </c>
      <c r="G310" s="26">
        <v>16</v>
      </c>
      <c r="H310" s="105" t="s">
        <v>850</v>
      </c>
      <c r="I310" s="28">
        <v>20.4747725</v>
      </c>
      <c r="J310" s="26"/>
      <c r="K310" s="135">
        <f t="shared" si="28"/>
        <v>0</v>
      </c>
      <c r="L310" s="29"/>
      <c r="M310" s="104"/>
      <c r="N310" s="30" t="str">
        <f t="shared" si="30"/>
        <v>-</v>
      </c>
      <c r="O310" s="30" t="str">
        <f t="shared" si="33"/>
        <v>-</v>
      </c>
      <c r="P310" s="31" t="str">
        <f t="shared" si="29"/>
        <v>-</v>
      </c>
      <c r="Q310" s="32" t="str">
        <f t="shared" si="31"/>
        <v>-</v>
      </c>
      <c r="S310" s="32" t="str">
        <f t="shared" si="32"/>
        <v>-</v>
      </c>
    </row>
    <row r="311" spans="1:19" x14ac:dyDescent="0.3">
      <c r="A311" s="134">
        <v>100200032</v>
      </c>
      <c r="B311" s="23" t="s">
        <v>9</v>
      </c>
      <c r="C311" s="38">
        <v>810122620129</v>
      </c>
      <c r="D311" s="45" t="s">
        <v>93</v>
      </c>
      <c r="E311" s="26">
        <v>60</v>
      </c>
      <c r="F311" s="27">
        <v>0.26599412564083336</v>
      </c>
      <c r="G311" s="26" t="s">
        <v>212</v>
      </c>
      <c r="H311" s="105" t="s">
        <v>850</v>
      </c>
      <c r="I311" s="28">
        <v>15.73722514</v>
      </c>
      <c r="J311" s="26"/>
      <c r="K311" s="135">
        <f t="shared" si="28"/>
        <v>0</v>
      </c>
      <c r="L311" s="29"/>
      <c r="M311" s="104"/>
      <c r="N311" s="30" t="str">
        <f t="shared" si="30"/>
        <v>-</v>
      </c>
      <c r="O311" s="30" t="str">
        <f t="shared" si="33"/>
        <v>-</v>
      </c>
      <c r="P311" s="31" t="str">
        <f t="shared" si="29"/>
        <v>-</v>
      </c>
      <c r="Q311" s="32" t="str">
        <f t="shared" si="31"/>
        <v>-</v>
      </c>
      <c r="S311" s="32" t="str">
        <f t="shared" si="32"/>
        <v>-</v>
      </c>
    </row>
    <row r="312" spans="1:19" x14ac:dyDescent="0.3">
      <c r="A312" s="134">
        <v>100009291</v>
      </c>
      <c r="B312" s="23">
        <v>1167</v>
      </c>
      <c r="C312" s="38">
        <v>33984011670</v>
      </c>
      <c r="D312" s="39" t="s">
        <v>145</v>
      </c>
      <c r="E312" s="26">
        <v>120</v>
      </c>
      <c r="F312" s="27">
        <v>0.33927121702705004</v>
      </c>
      <c r="G312" s="26">
        <v>20</v>
      </c>
      <c r="H312" s="105" t="s">
        <v>850</v>
      </c>
      <c r="I312" s="28">
        <v>17.639803999999998</v>
      </c>
      <c r="J312" s="26"/>
      <c r="K312" s="135">
        <f t="shared" si="28"/>
        <v>0</v>
      </c>
      <c r="L312" s="29"/>
      <c r="M312" s="104"/>
      <c r="N312" s="30" t="str">
        <f t="shared" si="30"/>
        <v>-</v>
      </c>
      <c r="O312" s="30" t="str">
        <f t="shared" si="33"/>
        <v>-</v>
      </c>
      <c r="P312" s="31" t="str">
        <f t="shared" si="29"/>
        <v>-</v>
      </c>
      <c r="Q312" s="32" t="str">
        <f t="shared" si="31"/>
        <v>-</v>
      </c>
      <c r="S312" s="32" t="str">
        <f t="shared" si="32"/>
        <v>-</v>
      </c>
    </row>
    <row r="313" spans="1:19" x14ac:dyDescent="0.3">
      <c r="A313" s="136">
        <v>100009304</v>
      </c>
      <c r="B313" s="47">
        <v>1189</v>
      </c>
      <c r="C313" s="48">
        <v>33984011892</v>
      </c>
      <c r="D313" s="49" t="s">
        <v>146</v>
      </c>
      <c r="E313" s="50">
        <v>180</v>
      </c>
      <c r="F313" s="51">
        <v>0.6087833294908751</v>
      </c>
      <c r="G313" s="50">
        <v>16</v>
      </c>
      <c r="H313" s="105" t="s">
        <v>850</v>
      </c>
      <c r="I313" s="52">
        <v>39.059565999999997</v>
      </c>
      <c r="J313" s="50"/>
      <c r="K313" s="137">
        <f t="shared" si="28"/>
        <v>0</v>
      </c>
      <c r="L313" s="29"/>
      <c r="M313" s="104"/>
      <c r="N313" s="30" t="str">
        <f t="shared" si="30"/>
        <v>-</v>
      </c>
      <c r="O313" s="30" t="str">
        <f t="shared" si="33"/>
        <v>-</v>
      </c>
      <c r="P313" s="31" t="str">
        <f t="shared" si="29"/>
        <v>-</v>
      </c>
      <c r="Q313" s="32" t="str">
        <f t="shared" si="31"/>
        <v>-</v>
      </c>
      <c r="S313" s="32" t="str">
        <f t="shared" si="32"/>
        <v>-</v>
      </c>
    </row>
    <row r="314" spans="1:19" x14ac:dyDescent="0.3">
      <c r="A314" s="134">
        <v>100185293</v>
      </c>
      <c r="B314" s="23">
        <v>30023</v>
      </c>
      <c r="C314" s="38">
        <v>33984005532</v>
      </c>
      <c r="D314" s="39" t="s">
        <v>167</v>
      </c>
      <c r="E314" s="26">
        <v>30</v>
      </c>
      <c r="F314" s="27">
        <v>0.12312953880470834</v>
      </c>
      <c r="G314" s="26">
        <v>36</v>
      </c>
      <c r="H314" s="105" t="s">
        <v>850</v>
      </c>
      <c r="I314" s="28">
        <v>20.159775999999997</v>
      </c>
      <c r="J314" s="26"/>
      <c r="K314" s="135">
        <f t="shared" si="28"/>
        <v>0</v>
      </c>
      <c r="L314" s="29"/>
      <c r="M314" s="104"/>
      <c r="N314" s="30" t="str">
        <f t="shared" si="30"/>
        <v>-</v>
      </c>
      <c r="O314" s="30" t="str">
        <f t="shared" si="33"/>
        <v>-</v>
      </c>
      <c r="P314" s="31" t="str">
        <f t="shared" si="29"/>
        <v>-</v>
      </c>
      <c r="Q314" s="32" t="str">
        <f t="shared" si="31"/>
        <v>-</v>
      </c>
      <c r="S314" s="32" t="str">
        <f t="shared" si="32"/>
        <v>-</v>
      </c>
    </row>
    <row r="315" spans="1:19" x14ac:dyDescent="0.3">
      <c r="A315" s="134">
        <v>100009124</v>
      </c>
      <c r="B315" s="23">
        <v>315</v>
      </c>
      <c r="C315" s="38">
        <v>33984003156</v>
      </c>
      <c r="D315" s="39" t="s">
        <v>172</v>
      </c>
      <c r="E315" s="26">
        <v>60</v>
      </c>
      <c r="F315" s="27">
        <v>0.18139083277571671</v>
      </c>
      <c r="G315" s="26">
        <v>36</v>
      </c>
      <c r="H315" s="105" t="s">
        <v>850</v>
      </c>
      <c r="I315" s="28">
        <v>11.339873999999998</v>
      </c>
      <c r="J315" s="26"/>
      <c r="K315" s="135">
        <f t="shared" si="28"/>
        <v>0</v>
      </c>
      <c r="L315" s="29"/>
      <c r="M315" s="104"/>
      <c r="N315" s="30" t="str">
        <f t="shared" si="30"/>
        <v>-</v>
      </c>
      <c r="O315" s="30" t="str">
        <f t="shared" si="33"/>
        <v>-</v>
      </c>
      <c r="P315" s="31" t="str">
        <f t="shared" si="29"/>
        <v>-</v>
      </c>
      <c r="Q315" s="32" t="str">
        <f t="shared" si="31"/>
        <v>-</v>
      </c>
      <c r="S315" s="32" t="str">
        <f t="shared" si="32"/>
        <v>-</v>
      </c>
    </row>
    <row r="316" spans="1:19" x14ac:dyDescent="0.3">
      <c r="A316" s="134">
        <v>100009125</v>
      </c>
      <c r="B316" s="23">
        <v>316</v>
      </c>
      <c r="C316" s="38">
        <v>33984003163</v>
      </c>
      <c r="D316" s="39" t="s">
        <v>173</v>
      </c>
      <c r="E316" s="26">
        <v>60</v>
      </c>
      <c r="F316" s="27">
        <v>0.20129748992045002</v>
      </c>
      <c r="G316" s="26">
        <v>36</v>
      </c>
      <c r="H316" s="105" t="s">
        <v>850</v>
      </c>
      <c r="I316" s="28">
        <v>16.379817999999997</v>
      </c>
      <c r="J316" s="26"/>
      <c r="K316" s="135">
        <f t="shared" si="28"/>
        <v>0</v>
      </c>
      <c r="L316" s="29"/>
      <c r="M316" s="104"/>
      <c r="N316" s="30" t="str">
        <f t="shared" si="30"/>
        <v>-</v>
      </c>
      <c r="O316" s="30" t="str">
        <f t="shared" si="33"/>
        <v>-</v>
      </c>
      <c r="P316" s="31" t="str">
        <f t="shared" si="29"/>
        <v>-</v>
      </c>
      <c r="Q316" s="32" t="str">
        <f t="shared" si="31"/>
        <v>-</v>
      </c>
      <c r="S316" s="32" t="str">
        <f t="shared" si="32"/>
        <v>-</v>
      </c>
    </row>
    <row r="317" spans="1:19" x14ac:dyDescent="0.3">
      <c r="A317" s="134">
        <v>100009841</v>
      </c>
      <c r="B317" s="23">
        <v>50380</v>
      </c>
      <c r="C317" s="38">
        <v>33984503809</v>
      </c>
      <c r="D317" s="39" t="s">
        <v>206</v>
      </c>
      <c r="E317" s="26" t="s">
        <v>273</v>
      </c>
      <c r="F317" s="27">
        <v>0.17146902424457144</v>
      </c>
      <c r="G317" s="26">
        <v>49</v>
      </c>
      <c r="H317" s="105" t="s">
        <v>850</v>
      </c>
      <c r="I317" s="28">
        <v>12.221864199999997</v>
      </c>
      <c r="J317" s="26"/>
      <c r="K317" s="135">
        <f t="shared" si="28"/>
        <v>0</v>
      </c>
      <c r="L317" s="29"/>
      <c r="M317" s="104"/>
      <c r="N317" s="30" t="str">
        <f t="shared" si="30"/>
        <v>-</v>
      </c>
      <c r="O317" s="30" t="str">
        <f t="shared" si="33"/>
        <v>-</v>
      </c>
      <c r="P317" s="31" t="str">
        <f t="shared" si="29"/>
        <v>-</v>
      </c>
      <c r="Q317" s="32" t="str">
        <f t="shared" si="31"/>
        <v>-</v>
      </c>
      <c r="S317" s="32" t="str">
        <f t="shared" si="32"/>
        <v>-</v>
      </c>
    </row>
    <row r="318" spans="1:19" x14ac:dyDescent="0.3">
      <c r="A318" s="134">
        <v>100009844</v>
      </c>
      <c r="B318" s="23">
        <v>50498</v>
      </c>
      <c r="C318" s="38">
        <v>33984504981</v>
      </c>
      <c r="D318" s="39" t="s">
        <v>210</v>
      </c>
      <c r="E318" s="26">
        <v>90</v>
      </c>
      <c r="F318" s="27">
        <v>0.24382222820032001</v>
      </c>
      <c r="G318" s="26">
        <v>25</v>
      </c>
      <c r="H318" s="105" t="s">
        <v>850</v>
      </c>
      <c r="I318" s="28">
        <v>45.989488999999999</v>
      </c>
      <c r="J318" s="26"/>
      <c r="K318" s="135">
        <f t="shared" si="28"/>
        <v>0</v>
      </c>
      <c r="L318" s="29"/>
      <c r="M318" s="104"/>
      <c r="N318" s="30" t="str">
        <f t="shared" si="30"/>
        <v>-</v>
      </c>
      <c r="O318" s="30" t="str">
        <f t="shared" si="33"/>
        <v>-</v>
      </c>
      <c r="P318" s="31" t="str">
        <f t="shared" si="29"/>
        <v>-</v>
      </c>
      <c r="Q318" s="32" t="str">
        <f t="shared" si="31"/>
        <v>-</v>
      </c>
      <c r="S318" s="32" t="str">
        <f t="shared" si="32"/>
        <v>-</v>
      </c>
    </row>
    <row r="319" spans="1:19" x14ac:dyDescent="0.3">
      <c r="A319" s="140">
        <v>100200006</v>
      </c>
      <c r="B319" s="33" t="s">
        <v>212</v>
      </c>
      <c r="C319" s="56">
        <v>810122620020</v>
      </c>
      <c r="D319" s="55" t="s">
        <v>213</v>
      </c>
      <c r="E319" s="33">
        <v>30</v>
      </c>
      <c r="F319" s="36">
        <v>6.8643645326666669E-2</v>
      </c>
      <c r="G319" s="33" t="s">
        <v>212</v>
      </c>
      <c r="H319" s="105" t="s">
        <v>850</v>
      </c>
      <c r="I319" s="37">
        <v>15.73722514</v>
      </c>
      <c r="J319" s="33"/>
      <c r="K319" s="141">
        <f t="shared" si="28"/>
        <v>0</v>
      </c>
      <c r="L319" s="29"/>
      <c r="M319" s="104"/>
      <c r="N319" s="30" t="str">
        <f t="shared" si="30"/>
        <v>-</v>
      </c>
      <c r="O319" s="30" t="str">
        <f t="shared" si="33"/>
        <v>-</v>
      </c>
      <c r="P319" s="31" t="str">
        <f t="shared" si="29"/>
        <v>-</v>
      </c>
      <c r="Q319" s="32" t="str">
        <f t="shared" si="31"/>
        <v>-</v>
      </c>
      <c r="S319" s="32" t="str">
        <f t="shared" si="32"/>
        <v>-</v>
      </c>
    </row>
    <row r="320" spans="1:19" x14ac:dyDescent="0.3">
      <c r="A320" s="134">
        <v>100194432</v>
      </c>
      <c r="B320" s="57">
        <v>30395</v>
      </c>
      <c r="C320" s="23">
        <v>33984303959</v>
      </c>
      <c r="D320" s="39" t="s">
        <v>214</v>
      </c>
      <c r="E320" s="26">
        <v>30</v>
      </c>
      <c r="F320" s="27">
        <v>3.0256775999999999E-2</v>
      </c>
      <c r="G320" s="26" t="s">
        <v>9</v>
      </c>
      <c r="H320" s="105" t="s">
        <v>850</v>
      </c>
      <c r="I320" s="28">
        <v>26.459705999999997</v>
      </c>
      <c r="J320" s="26"/>
      <c r="K320" s="135">
        <f t="shared" si="28"/>
        <v>0</v>
      </c>
      <c r="L320" s="29"/>
      <c r="M320" s="104"/>
      <c r="N320" s="30" t="str">
        <f t="shared" si="30"/>
        <v>-</v>
      </c>
      <c r="O320" s="30" t="str">
        <f t="shared" si="33"/>
        <v>-</v>
      </c>
      <c r="P320" s="31" t="str">
        <f t="shared" si="29"/>
        <v>-</v>
      </c>
      <c r="Q320" s="32" t="str">
        <f t="shared" si="31"/>
        <v>-</v>
      </c>
      <c r="S320" s="32" t="str">
        <f t="shared" si="32"/>
        <v>-</v>
      </c>
    </row>
    <row r="321" spans="1:19" x14ac:dyDescent="0.3">
      <c r="A321" s="140">
        <v>100009279</v>
      </c>
      <c r="B321" s="33">
        <v>1130</v>
      </c>
      <c r="C321" s="34">
        <v>76630501033</v>
      </c>
      <c r="D321" s="35" t="s">
        <v>230</v>
      </c>
      <c r="E321" s="33">
        <v>100</v>
      </c>
      <c r="F321" s="36">
        <v>9.3097943974291664E-2</v>
      </c>
      <c r="G321" s="33">
        <v>0</v>
      </c>
      <c r="H321" s="105" t="s">
        <v>850</v>
      </c>
      <c r="I321" s="37">
        <v>4.2209530999999991</v>
      </c>
      <c r="J321" s="33"/>
      <c r="K321" s="141">
        <f t="shared" si="28"/>
        <v>0</v>
      </c>
      <c r="L321" s="29"/>
      <c r="M321" s="104"/>
      <c r="N321" s="30" t="str">
        <f t="shared" si="30"/>
        <v>-</v>
      </c>
      <c r="O321" s="30" t="str">
        <f t="shared" si="33"/>
        <v>-</v>
      </c>
      <c r="P321" s="31" t="str">
        <f t="shared" si="29"/>
        <v>-</v>
      </c>
      <c r="Q321" s="32" t="str">
        <f t="shared" si="31"/>
        <v>-</v>
      </c>
      <c r="S321" s="32" t="str">
        <f t="shared" si="32"/>
        <v>-</v>
      </c>
    </row>
    <row r="322" spans="1:19" x14ac:dyDescent="0.3">
      <c r="A322" s="134">
        <v>100009281</v>
      </c>
      <c r="B322" s="23">
        <v>1133</v>
      </c>
      <c r="C322" s="38">
        <v>76630501040</v>
      </c>
      <c r="D322" s="25" t="s">
        <v>230</v>
      </c>
      <c r="E322" s="26">
        <v>250</v>
      </c>
      <c r="F322" s="27">
        <v>0.19477634361441667</v>
      </c>
      <c r="G322" s="26">
        <v>0</v>
      </c>
      <c r="H322" s="105" t="s">
        <v>850</v>
      </c>
      <c r="I322" s="28">
        <v>7.3709180999999981</v>
      </c>
      <c r="J322" s="26"/>
      <c r="K322" s="135">
        <f t="shared" ref="K322:K375" si="34">J322*I322</f>
        <v>0</v>
      </c>
      <c r="L322" s="29"/>
      <c r="M322" s="104"/>
      <c r="N322" s="30" t="str">
        <f t="shared" si="30"/>
        <v>-</v>
      </c>
      <c r="O322" s="30" t="str">
        <f t="shared" si="33"/>
        <v>-</v>
      </c>
      <c r="P322" s="31" t="str">
        <f t="shared" ref="P322:P353" si="35">IF(J322&gt;0,J322*F322, "-")</f>
        <v>-</v>
      </c>
      <c r="Q322" s="32" t="str">
        <f t="shared" si="31"/>
        <v>-</v>
      </c>
      <c r="S322" s="32" t="str">
        <f t="shared" si="32"/>
        <v>-</v>
      </c>
    </row>
    <row r="323" spans="1:19" x14ac:dyDescent="0.3">
      <c r="A323" s="134">
        <v>100009282</v>
      </c>
      <c r="B323" s="23">
        <v>1136</v>
      </c>
      <c r="C323" s="38">
        <v>76630501057</v>
      </c>
      <c r="D323" s="25" t="s">
        <v>230</v>
      </c>
      <c r="E323" s="26">
        <v>600</v>
      </c>
      <c r="F323" s="27">
        <v>0.45476415028916672</v>
      </c>
      <c r="G323" s="26">
        <v>0</v>
      </c>
      <c r="H323" s="105" t="s">
        <v>850</v>
      </c>
      <c r="I323" s="28">
        <v>14.048843899999998</v>
      </c>
      <c r="J323" s="26"/>
      <c r="K323" s="135">
        <f t="shared" si="34"/>
        <v>0</v>
      </c>
      <c r="L323" s="29"/>
      <c r="M323" s="104"/>
      <c r="N323" s="30" t="str">
        <f t="shared" ref="N323:N353" si="36">IFERROR(IF($N$2*F323=0, "-", $N$2*F323), "-")</f>
        <v>-</v>
      </c>
      <c r="O323" s="30" t="str">
        <f t="shared" si="33"/>
        <v>-</v>
      </c>
      <c r="P323" s="31" t="str">
        <f t="shared" si="35"/>
        <v>-</v>
      </c>
      <c r="Q323" s="32" t="str">
        <f t="shared" ref="Q323:Q353" si="37">IFERROR(IF($N$2&gt;0, $N$2*P323, "-"), "-")</f>
        <v>-</v>
      </c>
      <c r="S323" s="32" t="str">
        <f t="shared" si="32"/>
        <v>-</v>
      </c>
    </row>
    <row r="324" spans="1:19" x14ac:dyDescent="0.3">
      <c r="A324" s="134">
        <v>100010000</v>
      </c>
      <c r="B324" s="23">
        <v>80990</v>
      </c>
      <c r="C324" s="38">
        <v>76630503037</v>
      </c>
      <c r="D324" s="25" t="s">
        <v>231</v>
      </c>
      <c r="E324" s="26">
        <v>100</v>
      </c>
      <c r="F324" s="27">
        <v>9.2454409799354167E-2</v>
      </c>
      <c r="G324" s="26">
        <v>0</v>
      </c>
      <c r="H324" s="105" t="s">
        <v>850</v>
      </c>
      <c r="I324" s="28">
        <v>4.2209530999999991</v>
      </c>
      <c r="J324" s="26"/>
      <c r="K324" s="135">
        <f t="shared" si="34"/>
        <v>0</v>
      </c>
      <c r="L324" s="29"/>
      <c r="M324" s="104"/>
      <c r="N324" s="30" t="str">
        <f t="shared" si="36"/>
        <v>-</v>
      </c>
      <c r="O324" s="30" t="str">
        <f t="shared" si="33"/>
        <v>-</v>
      </c>
      <c r="P324" s="31" t="str">
        <f t="shared" si="35"/>
        <v>-</v>
      </c>
      <c r="Q324" s="32" t="str">
        <f t="shared" si="37"/>
        <v>-</v>
      </c>
      <c r="S324" s="32" t="str">
        <f t="shared" si="32"/>
        <v>-</v>
      </c>
    </row>
    <row r="325" spans="1:19" x14ac:dyDescent="0.3">
      <c r="A325" s="134">
        <v>100009236</v>
      </c>
      <c r="B325" s="23">
        <v>993</v>
      </c>
      <c r="C325" s="38">
        <v>76630503044</v>
      </c>
      <c r="D325" s="25" t="s">
        <v>231</v>
      </c>
      <c r="E325" s="26">
        <v>250</v>
      </c>
      <c r="F325" s="27">
        <v>0.19949559423062502</v>
      </c>
      <c r="G325" s="26">
        <v>0</v>
      </c>
      <c r="H325" s="105" t="s">
        <v>850</v>
      </c>
      <c r="I325" s="28">
        <v>8.0639103999999993</v>
      </c>
      <c r="J325" s="26"/>
      <c r="K325" s="135">
        <f t="shared" si="34"/>
        <v>0</v>
      </c>
      <c r="L325" s="29"/>
      <c r="M325" s="104"/>
      <c r="N325" s="30" t="str">
        <f t="shared" si="36"/>
        <v>-</v>
      </c>
      <c r="O325" s="30" t="str">
        <f t="shared" si="33"/>
        <v>-</v>
      </c>
      <c r="P325" s="31" t="str">
        <f t="shared" si="35"/>
        <v>-</v>
      </c>
      <c r="Q325" s="32" t="str">
        <f t="shared" si="37"/>
        <v>-</v>
      </c>
      <c r="S325" s="32" t="str">
        <f t="shared" si="32"/>
        <v>-</v>
      </c>
    </row>
    <row r="326" spans="1:19" x14ac:dyDescent="0.3">
      <c r="A326" s="134">
        <v>100009237</v>
      </c>
      <c r="B326" s="23">
        <v>996</v>
      </c>
      <c r="C326" s="38">
        <v>76630503051</v>
      </c>
      <c r="D326" s="25" t="s">
        <v>231</v>
      </c>
      <c r="E326" s="26">
        <v>600</v>
      </c>
      <c r="F326" s="27">
        <v>0.4277357149417918</v>
      </c>
      <c r="G326" s="26">
        <v>0</v>
      </c>
      <c r="H326" s="105" t="s">
        <v>850</v>
      </c>
      <c r="I326" s="28">
        <v>14.741836199999996</v>
      </c>
      <c r="J326" s="26"/>
      <c r="K326" s="135">
        <f t="shared" si="34"/>
        <v>0</v>
      </c>
      <c r="L326" s="29"/>
      <c r="M326" s="104"/>
      <c r="N326" s="30" t="str">
        <f t="shared" si="36"/>
        <v>-</v>
      </c>
      <c r="O326" s="30" t="str">
        <f t="shared" si="33"/>
        <v>-</v>
      </c>
      <c r="P326" s="31" t="str">
        <f t="shared" si="35"/>
        <v>-</v>
      </c>
      <c r="Q326" s="32" t="str">
        <f t="shared" si="37"/>
        <v>-</v>
      </c>
      <c r="S326" s="32" t="str">
        <f t="shared" si="32"/>
        <v>-</v>
      </c>
    </row>
    <row r="327" spans="1:19" x14ac:dyDescent="0.3">
      <c r="A327" s="140">
        <v>100009231</v>
      </c>
      <c r="B327" s="33">
        <v>980</v>
      </c>
      <c r="C327" s="34">
        <v>76630502030</v>
      </c>
      <c r="D327" s="35" t="s">
        <v>232</v>
      </c>
      <c r="E327" s="33">
        <v>90</v>
      </c>
      <c r="F327" s="36">
        <v>0.1126184806140625</v>
      </c>
      <c r="G327" s="33">
        <v>0</v>
      </c>
      <c r="H327" s="105" t="s">
        <v>850</v>
      </c>
      <c r="I327" s="37">
        <v>5.6069377000000005</v>
      </c>
      <c r="J327" s="33"/>
      <c r="K327" s="141">
        <f t="shared" si="34"/>
        <v>0</v>
      </c>
      <c r="L327" s="29"/>
      <c r="M327" s="104"/>
      <c r="N327" s="30" t="str">
        <f t="shared" si="36"/>
        <v>-</v>
      </c>
      <c r="O327" s="30" t="str">
        <f t="shared" si="33"/>
        <v>-</v>
      </c>
      <c r="P327" s="31" t="str">
        <f t="shared" si="35"/>
        <v>-</v>
      </c>
      <c r="Q327" s="32" t="str">
        <f t="shared" si="37"/>
        <v>-</v>
      </c>
      <c r="S327" s="32" t="str">
        <f t="shared" si="32"/>
        <v>-</v>
      </c>
    </row>
    <row r="328" spans="1:19" x14ac:dyDescent="0.3">
      <c r="A328" s="134">
        <v>100009232</v>
      </c>
      <c r="B328" s="23">
        <v>982</v>
      </c>
      <c r="C328" s="38">
        <v>76630502047</v>
      </c>
      <c r="D328" s="25" t="s">
        <v>232</v>
      </c>
      <c r="E328" s="26">
        <v>180</v>
      </c>
      <c r="F328" s="27">
        <v>0.22566598401141666</v>
      </c>
      <c r="G328" s="26">
        <v>0</v>
      </c>
      <c r="H328" s="105" t="s">
        <v>850</v>
      </c>
      <c r="I328" s="28">
        <v>8.819901999999999</v>
      </c>
      <c r="J328" s="26"/>
      <c r="K328" s="135">
        <f t="shared" si="34"/>
        <v>0</v>
      </c>
      <c r="L328" s="29"/>
      <c r="M328" s="104"/>
      <c r="N328" s="30" t="str">
        <f t="shared" si="36"/>
        <v>-</v>
      </c>
      <c r="O328" s="30" t="str">
        <f t="shared" si="33"/>
        <v>-</v>
      </c>
      <c r="P328" s="31" t="str">
        <f t="shared" si="35"/>
        <v>-</v>
      </c>
      <c r="Q328" s="32" t="str">
        <f t="shared" si="37"/>
        <v>-</v>
      </c>
      <c r="S328" s="32" t="str">
        <f t="shared" si="32"/>
        <v>-</v>
      </c>
    </row>
    <row r="329" spans="1:19" x14ac:dyDescent="0.3">
      <c r="A329" s="134">
        <v>100009233</v>
      </c>
      <c r="B329" s="23">
        <v>984</v>
      </c>
      <c r="C329" s="38">
        <v>76630502054</v>
      </c>
      <c r="D329" s="25" t="s">
        <v>232</v>
      </c>
      <c r="E329" s="26">
        <v>360</v>
      </c>
      <c r="F329" s="27">
        <v>0.42044232762583339</v>
      </c>
      <c r="G329" s="26">
        <v>0</v>
      </c>
      <c r="H329" s="105" t="s">
        <v>850</v>
      </c>
      <c r="I329" s="28">
        <v>14.741836199999996</v>
      </c>
      <c r="J329" s="26"/>
      <c r="K329" s="135">
        <f t="shared" si="34"/>
        <v>0</v>
      </c>
      <c r="L329" s="29"/>
      <c r="M329" s="104"/>
      <c r="N329" s="30" t="str">
        <f t="shared" si="36"/>
        <v>-</v>
      </c>
      <c r="O329" s="30" t="str">
        <f t="shared" si="33"/>
        <v>-</v>
      </c>
      <c r="P329" s="31" t="str">
        <f t="shared" si="35"/>
        <v>-</v>
      </c>
      <c r="Q329" s="32" t="str">
        <f t="shared" si="37"/>
        <v>-</v>
      </c>
      <c r="S329" s="32" t="str">
        <f t="shared" si="32"/>
        <v>-</v>
      </c>
    </row>
    <row r="330" spans="1:19" x14ac:dyDescent="0.3">
      <c r="A330" s="134">
        <v>100190609</v>
      </c>
      <c r="B330" s="23">
        <v>30322</v>
      </c>
      <c r="C330" s="38">
        <v>76630303224</v>
      </c>
      <c r="D330" s="58" t="s">
        <v>233</v>
      </c>
      <c r="E330" s="26">
        <v>60</v>
      </c>
      <c r="F330" s="27">
        <v>0.16002549816779169</v>
      </c>
      <c r="G330" s="26">
        <v>0</v>
      </c>
      <c r="H330" s="105" t="s">
        <v>850</v>
      </c>
      <c r="I330" s="28">
        <v>7.3709180999999981</v>
      </c>
      <c r="J330" s="26"/>
      <c r="K330" s="135">
        <f t="shared" si="34"/>
        <v>0</v>
      </c>
      <c r="L330" s="29"/>
      <c r="M330" s="104"/>
      <c r="N330" s="30" t="str">
        <f t="shared" si="36"/>
        <v>-</v>
      </c>
      <c r="O330" s="30" t="str">
        <f t="shared" si="33"/>
        <v>-</v>
      </c>
      <c r="P330" s="31" t="str">
        <f t="shared" si="35"/>
        <v>-</v>
      </c>
      <c r="Q330" s="32" t="str">
        <f t="shared" si="37"/>
        <v>-</v>
      </c>
      <c r="S330" s="32" t="str">
        <f t="shared" si="32"/>
        <v>-</v>
      </c>
    </row>
    <row r="331" spans="1:19" x14ac:dyDescent="0.3">
      <c r="A331" s="134">
        <v>100189476</v>
      </c>
      <c r="B331" s="23">
        <v>30084</v>
      </c>
      <c r="C331" s="38">
        <v>76630300841</v>
      </c>
      <c r="D331" s="25" t="s">
        <v>234</v>
      </c>
      <c r="E331" s="26">
        <v>30</v>
      </c>
      <c r="F331" s="27">
        <v>2.0171184000000002E-2</v>
      </c>
      <c r="G331" s="26">
        <v>0</v>
      </c>
      <c r="H331" s="105" t="s">
        <v>850</v>
      </c>
      <c r="I331" s="28">
        <v>24.179131339999998</v>
      </c>
      <c r="J331" s="26"/>
      <c r="K331" s="135">
        <f t="shared" si="34"/>
        <v>0</v>
      </c>
      <c r="L331" s="29"/>
      <c r="M331" s="104"/>
      <c r="N331" s="30" t="str">
        <f t="shared" si="36"/>
        <v>-</v>
      </c>
      <c r="O331" s="30" t="str">
        <f t="shared" si="33"/>
        <v>-</v>
      </c>
      <c r="P331" s="31" t="str">
        <f t="shared" si="35"/>
        <v>-</v>
      </c>
      <c r="Q331" s="32" t="str">
        <f t="shared" si="37"/>
        <v>-</v>
      </c>
      <c r="S331" s="32" t="str">
        <f t="shared" si="32"/>
        <v>-</v>
      </c>
    </row>
    <row r="332" spans="1:19" x14ac:dyDescent="0.3">
      <c r="A332" s="140">
        <v>100189479</v>
      </c>
      <c r="B332" s="33">
        <v>30085</v>
      </c>
      <c r="C332" s="34">
        <v>76630300858</v>
      </c>
      <c r="D332" s="35" t="s">
        <v>234</v>
      </c>
      <c r="E332" s="33">
        <v>60</v>
      </c>
      <c r="F332" s="36">
        <v>4.5385163999999999E-2</v>
      </c>
      <c r="G332" s="33">
        <v>0</v>
      </c>
      <c r="H332" s="105" t="s">
        <v>850</v>
      </c>
      <c r="I332" s="37">
        <v>46.102887739999993</v>
      </c>
      <c r="J332" s="33"/>
      <c r="K332" s="141">
        <f t="shared" si="34"/>
        <v>0</v>
      </c>
      <c r="L332" s="29"/>
      <c r="M332" s="104"/>
      <c r="N332" s="30" t="str">
        <f t="shared" si="36"/>
        <v>-</v>
      </c>
      <c r="O332" s="30" t="str">
        <f t="shared" si="33"/>
        <v>-</v>
      </c>
      <c r="P332" s="31" t="str">
        <f t="shared" si="35"/>
        <v>-</v>
      </c>
      <c r="Q332" s="32" t="str">
        <f t="shared" si="37"/>
        <v>-</v>
      </c>
      <c r="S332" s="32" t="str">
        <f t="shared" si="32"/>
        <v>-</v>
      </c>
    </row>
    <row r="333" spans="1:19" x14ac:dyDescent="0.3">
      <c r="A333" s="138">
        <v>100009723</v>
      </c>
      <c r="B333" s="40">
        <v>5002</v>
      </c>
      <c r="C333" s="41">
        <v>76630111034</v>
      </c>
      <c r="D333" s="59" t="s">
        <v>235</v>
      </c>
      <c r="E333" s="40">
        <v>100</v>
      </c>
      <c r="F333" s="43">
        <v>0.48822792738591669</v>
      </c>
      <c r="G333" s="40">
        <v>0</v>
      </c>
      <c r="H333" s="105" t="s">
        <v>850</v>
      </c>
      <c r="I333" s="44">
        <v>11.780869099999999</v>
      </c>
      <c r="J333" s="40"/>
      <c r="K333" s="139">
        <f t="shared" si="34"/>
        <v>0</v>
      </c>
      <c r="L333" s="29"/>
      <c r="M333" s="104"/>
      <c r="N333" s="30" t="str">
        <f t="shared" si="36"/>
        <v>-</v>
      </c>
      <c r="O333" s="30" t="str">
        <f t="shared" si="33"/>
        <v>-</v>
      </c>
      <c r="P333" s="31" t="str">
        <f t="shared" si="35"/>
        <v>-</v>
      </c>
      <c r="Q333" s="32" t="str">
        <f t="shared" si="37"/>
        <v>-</v>
      </c>
      <c r="S333" s="32" t="str">
        <f t="shared" si="32"/>
        <v>-</v>
      </c>
    </row>
    <row r="334" spans="1:19" x14ac:dyDescent="0.3">
      <c r="A334" s="134">
        <v>100009583</v>
      </c>
      <c r="B334" s="23">
        <v>2941</v>
      </c>
      <c r="C334" s="38">
        <v>76630029414</v>
      </c>
      <c r="D334" s="25" t="s">
        <v>236</v>
      </c>
      <c r="E334" s="26">
        <v>200</v>
      </c>
      <c r="F334" s="27">
        <v>0.19627792335593755</v>
      </c>
      <c r="G334" s="26">
        <v>0</v>
      </c>
      <c r="H334" s="105" t="s">
        <v>850</v>
      </c>
      <c r="I334" s="28">
        <v>6.6779257999999988</v>
      </c>
      <c r="J334" s="26"/>
      <c r="K334" s="135">
        <f t="shared" si="34"/>
        <v>0</v>
      </c>
      <c r="L334" s="29"/>
      <c r="M334" s="104"/>
      <c r="N334" s="30" t="str">
        <f t="shared" si="36"/>
        <v>-</v>
      </c>
      <c r="O334" s="30" t="str">
        <f t="shared" si="33"/>
        <v>-</v>
      </c>
      <c r="P334" s="31" t="str">
        <f t="shared" si="35"/>
        <v>-</v>
      </c>
      <c r="Q334" s="32" t="str">
        <f t="shared" si="37"/>
        <v>-</v>
      </c>
      <c r="S334" s="32" t="str">
        <f t="shared" ref="S334:S357" si="38">IFERROR(IF(Q334+K334=0, "-", IF(Q334&gt;0, Q334+K334, "-")), "-")</f>
        <v>-</v>
      </c>
    </row>
    <row r="335" spans="1:19" x14ac:dyDescent="0.3">
      <c r="A335" s="134">
        <v>100009829</v>
      </c>
      <c r="B335" s="23">
        <v>36293</v>
      </c>
      <c r="C335" s="38">
        <v>76630025423</v>
      </c>
      <c r="D335" s="25" t="s">
        <v>237</v>
      </c>
      <c r="E335" s="26">
        <v>120</v>
      </c>
      <c r="F335" s="27">
        <v>0.14929992858550001</v>
      </c>
      <c r="G335" s="26">
        <v>0</v>
      </c>
      <c r="H335" s="105" t="s">
        <v>850</v>
      </c>
      <c r="I335" s="28">
        <v>26.447106139999995</v>
      </c>
      <c r="J335" s="26"/>
      <c r="K335" s="135">
        <f t="shared" si="34"/>
        <v>0</v>
      </c>
      <c r="L335" s="29"/>
      <c r="M335" s="104"/>
      <c r="N335" s="30" t="str">
        <f t="shared" si="36"/>
        <v>-</v>
      </c>
      <c r="O335" s="30" t="str">
        <f t="shared" si="33"/>
        <v>-</v>
      </c>
      <c r="P335" s="31" t="str">
        <f t="shared" si="35"/>
        <v>-</v>
      </c>
      <c r="Q335" s="32" t="str">
        <f t="shared" si="37"/>
        <v>-</v>
      </c>
      <c r="S335" s="32" t="str">
        <f t="shared" si="38"/>
        <v>-</v>
      </c>
    </row>
    <row r="336" spans="1:19" x14ac:dyDescent="0.3">
      <c r="A336" s="134">
        <v>100009486</v>
      </c>
      <c r="B336" s="23">
        <v>2183</v>
      </c>
      <c r="C336" s="38">
        <v>76630021838</v>
      </c>
      <c r="D336" s="25" t="s">
        <v>238</v>
      </c>
      <c r="E336" s="26">
        <v>250</v>
      </c>
      <c r="F336" s="27">
        <v>0.21965966504533335</v>
      </c>
      <c r="G336" s="26">
        <v>0</v>
      </c>
      <c r="H336" s="105" t="s">
        <v>850</v>
      </c>
      <c r="I336" s="28">
        <v>9.5758935999999988</v>
      </c>
      <c r="J336" s="26"/>
      <c r="K336" s="135">
        <f t="shared" si="34"/>
        <v>0</v>
      </c>
      <c r="L336" s="29"/>
      <c r="M336" s="104"/>
      <c r="N336" s="30" t="str">
        <f t="shared" si="36"/>
        <v>-</v>
      </c>
      <c r="O336" s="30" t="str">
        <f t="shared" si="33"/>
        <v>-</v>
      </c>
      <c r="P336" s="31" t="str">
        <f t="shared" si="35"/>
        <v>-</v>
      </c>
      <c r="Q336" s="32" t="str">
        <f t="shared" si="37"/>
        <v>-</v>
      </c>
      <c r="S336" s="32" t="str">
        <f t="shared" si="38"/>
        <v>-</v>
      </c>
    </row>
    <row r="337" spans="1:19" x14ac:dyDescent="0.3">
      <c r="A337" s="134">
        <v>100009768</v>
      </c>
      <c r="B337" s="23">
        <v>16986</v>
      </c>
      <c r="C337" s="38">
        <v>76630169868</v>
      </c>
      <c r="D337" s="25" t="s">
        <v>239</v>
      </c>
      <c r="E337" s="26">
        <v>120</v>
      </c>
      <c r="F337" s="27">
        <v>0.17024999999999998</v>
      </c>
      <c r="G337" s="26">
        <v>0</v>
      </c>
      <c r="H337" s="105" t="s">
        <v>850</v>
      </c>
      <c r="I337" s="28">
        <v>14.351240539999999</v>
      </c>
      <c r="J337" s="26"/>
      <c r="K337" s="135">
        <f t="shared" si="34"/>
        <v>0</v>
      </c>
      <c r="L337" s="29"/>
      <c r="M337" s="104"/>
      <c r="N337" s="30" t="str">
        <f t="shared" si="36"/>
        <v>-</v>
      </c>
      <c r="O337" s="30" t="str">
        <f t="shared" si="33"/>
        <v>-</v>
      </c>
      <c r="P337" s="31" t="str">
        <f t="shared" si="35"/>
        <v>-</v>
      </c>
      <c r="Q337" s="32" t="str">
        <f t="shared" si="37"/>
        <v>-</v>
      </c>
      <c r="S337" s="32" t="str">
        <f t="shared" si="38"/>
        <v>-</v>
      </c>
    </row>
    <row r="338" spans="1:19" x14ac:dyDescent="0.3">
      <c r="A338" s="134">
        <v>100009749</v>
      </c>
      <c r="B338" s="23">
        <v>16960</v>
      </c>
      <c r="C338" s="38">
        <v>76630169608</v>
      </c>
      <c r="D338" s="25" t="s">
        <v>240</v>
      </c>
      <c r="E338" s="26">
        <v>60</v>
      </c>
      <c r="F338" s="27">
        <v>0.10618313886468751</v>
      </c>
      <c r="G338" s="26">
        <v>0</v>
      </c>
      <c r="H338" s="105" t="s">
        <v>850</v>
      </c>
      <c r="I338" s="28">
        <v>8.6813035399999983</v>
      </c>
      <c r="J338" s="26"/>
      <c r="K338" s="135">
        <f t="shared" si="34"/>
        <v>0</v>
      </c>
      <c r="L338" s="29"/>
      <c r="M338" s="104"/>
      <c r="N338" s="30" t="str">
        <f t="shared" si="36"/>
        <v>-</v>
      </c>
      <c r="O338" s="30" t="str">
        <f t="shared" si="33"/>
        <v>-</v>
      </c>
      <c r="P338" s="31" t="str">
        <f t="shared" si="35"/>
        <v>-</v>
      </c>
      <c r="Q338" s="32" t="str">
        <f t="shared" si="37"/>
        <v>-</v>
      </c>
      <c r="S338" s="32" t="str">
        <f t="shared" si="38"/>
        <v>-</v>
      </c>
    </row>
    <row r="339" spans="1:19" x14ac:dyDescent="0.3">
      <c r="A339" s="134">
        <v>100009750</v>
      </c>
      <c r="B339" s="23">
        <v>16961</v>
      </c>
      <c r="C339" s="38">
        <v>76630169615</v>
      </c>
      <c r="D339" s="25" t="s">
        <v>240</v>
      </c>
      <c r="E339" s="26">
        <v>120</v>
      </c>
      <c r="F339" s="27">
        <v>0.19295000000000001</v>
      </c>
      <c r="G339" s="26">
        <v>0</v>
      </c>
      <c r="H339" s="105" t="s">
        <v>850</v>
      </c>
      <c r="I339" s="28">
        <v>15.107232139999997</v>
      </c>
      <c r="J339" s="26"/>
      <c r="K339" s="135">
        <f t="shared" si="34"/>
        <v>0</v>
      </c>
      <c r="L339" s="29"/>
      <c r="M339" s="104"/>
      <c r="N339" s="30" t="str">
        <f t="shared" si="36"/>
        <v>-</v>
      </c>
      <c r="O339" s="30" t="str">
        <f t="shared" si="33"/>
        <v>-</v>
      </c>
      <c r="P339" s="31" t="str">
        <f t="shared" si="35"/>
        <v>-</v>
      </c>
      <c r="Q339" s="32" t="str">
        <f t="shared" si="37"/>
        <v>-</v>
      </c>
      <c r="S339" s="32" t="str">
        <f t="shared" si="38"/>
        <v>-</v>
      </c>
    </row>
    <row r="340" spans="1:19" x14ac:dyDescent="0.3">
      <c r="A340" s="134">
        <v>100009751</v>
      </c>
      <c r="B340" s="23">
        <v>16962</v>
      </c>
      <c r="C340" s="38">
        <v>76630169622</v>
      </c>
      <c r="D340" s="25" t="s">
        <v>240</v>
      </c>
      <c r="E340" s="26">
        <v>240</v>
      </c>
      <c r="F340" s="27">
        <v>0.32915</v>
      </c>
      <c r="G340" s="26">
        <v>0</v>
      </c>
      <c r="H340" s="105" t="s">
        <v>850</v>
      </c>
      <c r="I340" s="28">
        <v>27.959089339999998</v>
      </c>
      <c r="J340" s="26"/>
      <c r="K340" s="135">
        <f t="shared" si="34"/>
        <v>0</v>
      </c>
      <c r="L340" s="29"/>
      <c r="M340" s="104"/>
      <c r="N340" s="30" t="str">
        <f t="shared" si="36"/>
        <v>-</v>
      </c>
      <c r="O340" s="30" t="str">
        <f t="shared" si="33"/>
        <v>-</v>
      </c>
      <c r="P340" s="31" t="str">
        <f t="shared" si="35"/>
        <v>-</v>
      </c>
      <c r="Q340" s="32" t="str">
        <f t="shared" si="37"/>
        <v>-</v>
      </c>
      <c r="S340" s="32" t="str">
        <f t="shared" si="38"/>
        <v>-</v>
      </c>
    </row>
    <row r="341" spans="1:19" x14ac:dyDescent="0.3">
      <c r="A341" s="134">
        <v>100009760</v>
      </c>
      <c r="B341" s="23">
        <v>16975</v>
      </c>
      <c r="C341" s="38">
        <v>76630169752</v>
      </c>
      <c r="D341" s="25" t="s">
        <v>241</v>
      </c>
      <c r="E341" s="26">
        <v>90</v>
      </c>
      <c r="F341" s="27">
        <v>0.20429999999999998</v>
      </c>
      <c r="G341" s="26">
        <v>0</v>
      </c>
      <c r="H341" s="105" t="s">
        <v>850</v>
      </c>
      <c r="I341" s="28">
        <v>22.667148139999995</v>
      </c>
      <c r="J341" s="26"/>
      <c r="K341" s="135">
        <f t="shared" si="34"/>
        <v>0</v>
      </c>
      <c r="L341" s="29"/>
      <c r="M341" s="104"/>
      <c r="N341" s="30" t="str">
        <f t="shared" si="36"/>
        <v>-</v>
      </c>
      <c r="O341" s="30" t="str">
        <f t="shared" si="33"/>
        <v>-</v>
      </c>
      <c r="P341" s="31" t="str">
        <f t="shared" si="35"/>
        <v>-</v>
      </c>
      <c r="Q341" s="32" t="str">
        <f t="shared" si="37"/>
        <v>-</v>
      </c>
      <c r="S341" s="32" t="str">
        <f t="shared" si="38"/>
        <v>-</v>
      </c>
    </row>
    <row r="342" spans="1:19" x14ac:dyDescent="0.3">
      <c r="A342" s="134">
        <v>100009754</v>
      </c>
      <c r="B342" s="23">
        <v>16965</v>
      </c>
      <c r="C342" s="38">
        <v>76630169653</v>
      </c>
      <c r="D342" s="25" t="s">
        <v>242</v>
      </c>
      <c r="E342" s="26">
        <v>60</v>
      </c>
      <c r="F342" s="27">
        <v>0.10682667303962501</v>
      </c>
      <c r="G342" s="26">
        <v>0</v>
      </c>
      <c r="H342" s="105" t="s">
        <v>850</v>
      </c>
      <c r="I342" s="28">
        <v>9.8908900999999982</v>
      </c>
      <c r="J342" s="26"/>
      <c r="K342" s="135">
        <f t="shared" si="34"/>
        <v>0</v>
      </c>
      <c r="L342" s="29"/>
      <c r="M342" s="104"/>
      <c r="N342" s="30" t="str">
        <f t="shared" si="36"/>
        <v>-</v>
      </c>
      <c r="O342" s="30" t="str">
        <f t="shared" si="33"/>
        <v>-</v>
      </c>
      <c r="P342" s="31" t="str">
        <f t="shared" si="35"/>
        <v>-</v>
      </c>
      <c r="Q342" s="32" t="str">
        <f t="shared" si="37"/>
        <v>-</v>
      </c>
      <c r="S342" s="32" t="str">
        <f t="shared" si="38"/>
        <v>-</v>
      </c>
    </row>
    <row r="343" spans="1:19" x14ac:dyDescent="0.3">
      <c r="A343" s="134">
        <v>100009755</v>
      </c>
      <c r="B343" s="23">
        <v>16966</v>
      </c>
      <c r="C343" s="38">
        <v>76630169660</v>
      </c>
      <c r="D343" s="25" t="s">
        <v>242</v>
      </c>
      <c r="E343" s="26">
        <v>120</v>
      </c>
      <c r="F343" s="27">
        <v>0.18705393351516672</v>
      </c>
      <c r="G343" s="26">
        <v>0</v>
      </c>
      <c r="H343" s="105" t="s">
        <v>850</v>
      </c>
      <c r="I343" s="28">
        <v>16.619215339999997</v>
      </c>
      <c r="J343" s="26"/>
      <c r="K343" s="135">
        <f t="shared" si="34"/>
        <v>0</v>
      </c>
      <c r="L343" s="29"/>
      <c r="M343" s="104"/>
      <c r="N343" s="30" t="str">
        <f t="shared" si="36"/>
        <v>-</v>
      </c>
      <c r="O343" s="30" t="str">
        <f t="shared" si="33"/>
        <v>-</v>
      </c>
      <c r="P343" s="31" t="str">
        <f t="shared" si="35"/>
        <v>-</v>
      </c>
      <c r="Q343" s="32" t="str">
        <f t="shared" si="37"/>
        <v>-</v>
      </c>
      <c r="S343" s="32" t="str">
        <f t="shared" si="38"/>
        <v>-</v>
      </c>
    </row>
    <row r="344" spans="1:19" x14ac:dyDescent="0.3">
      <c r="A344" s="134">
        <v>100009756</v>
      </c>
      <c r="B344" s="23">
        <v>16967</v>
      </c>
      <c r="C344" s="38">
        <v>76630169677</v>
      </c>
      <c r="D344" s="25" t="s">
        <v>242</v>
      </c>
      <c r="E344" s="26">
        <v>240</v>
      </c>
      <c r="F344" s="27">
        <v>0.36037913796500004</v>
      </c>
      <c r="G344" s="26">
        <v>0</v>
      </c>
      <c r="H344" s="105" t="s">
        <v>850</v>
      </c>
      <c r="I344" s="28">
        <v>31.739047339999999</v>
      </c>
      <c r="J344" s="26"/>
      <c r="K344" s="135">
        <f t="shared" si="34"/>
        <v>0</v>
      </c>
      <c r="L344" s="29"/>
      <c r="M344" s="104"/>
      <c r="N344" s="30" t="str">
        <f t="shared" si="36"/>
        <v>-</v>
      </c>
      <c r="O344" s="30" t="str">
        <f t="shared" si="33"/>
        <v>-</v>
      </c>
      <c r="P344" s="31" t="str">
        <f t="shared" si="35"/>
        <v>-</v>
      </c>
      <c r="Q344" s="32" t="str">
        <f t="shared" si="37"/>
        <v>-</v>
      </c>
      <c r="S344" s="32" t="str">
        <f t="shared" si="38"/>
        <v>-</v>
      </c>
    </row>
    <row r="345" spans="1:19" x14ac:dyDescent="0.3">
      <c r="A345" s="134">
        <v>100009771</v>
      </c>
      <c r="B345" s="23">
        <v>16991</v>
      </c>
      <c r="C345" s="38">
        <v>76630169912</v>
      </c>
      <c r="D345" s="25" t="s">
        <v>243</v>
      </c>
      <c r="E345" s="26">
        <v>225</v>
      </c>
      <c r="F345" s="27">
        <v>0.28375</v>
      </c>
      <c r="G345" s="26">
        <v>0</v>
      </c>
      <c r="H345" s="105" t="s">
        <v>850</v>
      </c>
      <c r="I345" s="28">
        <v>19.189586779999999</v>
      </c>
      <c r="J345" s="26"/>
      <c r="K345" s="135">
        <f t="shared" si="34"/>
        <v>0</v>
      </c>
      <c r="L345" s="29"/>
      <c r="M345" s="104"/>
      <c r="N345" s="30" t="str">
        <f t="shared" si="36"/>
        <v>-</v>
      </c>
      <c r="O345" s="30" t="str">
        <f t="shared" si="33"/>
        <v>-</v>
      </c>
      <c r="P345" s="31" t="str">
        <f t="shared" si="35"/>
        <v>-</v>
      </c>
      <c r="Q345" s="32" t="str">
        <f t="shared" si="37"/>
        <v>-</v>
      </c>
      <c r="S345" s="32" t="str">
        <f t="shared" si="38"/>
        <v>-</v>
      </c>
    </row>
    <row r="346" spans="1:19" x14ac:dyDescent="0.3">
      <c r="A346" s="134">
        <v>100009758</v>
      </c>
      <c r="B346" s="23">
        <v>16971</v>
      </c>
      <c r="C346" s="38">
        <v>76630169714</v>
      </c>
      <c r="D346" s="25" t="s">
        <v>244</v>
      </c>
      <c r="E346" s="26">
        <v>90</v>
      </c>
      <c r="F346" s="27">
        <v>0.15981098677614583</v>
      </c>
      <c r="G346" s="26">
        <v>0</v>
      </c>
      <c r="H346" s="105" t="s">
        <v>850</v>
      </c>
      <c r="I346" s="28">
        <v>10.34448506</v>
      </c>
      <c r="J346" s="26"/>
      <c r="K346" s="135">
        <f t="shared" si="34"/>
        <v>0</v>
      </c>
      <c r="L346" s="29"/>
      <c r="M346" s="104"/>
      <c r="N346" s="30" t="str">
        <f t="shared" si="36"/>
        <v>-</v>
      </c>
      <c r="O346" s="30" t="str">
        <f t="shared" si="33"/>
        <v>-</v>
      </c>
      <c r="P346" s="31" t="str">
        <f t="shared" si="35"/>
        <v>-</v>
      </c>
      <c r="Q346" s="32" t="str">
        <f t="shared" si="37"/>
        <v>-</v>
      </c>
      <c r="S346" s="32" t="str">
        <f t="shared" si="38"/>
        <v>-</v>
      </c>
    </row>
    <row r="347" spans="1:19" x14ac:dyDescent="0.3">
      <c r="A347" s="134">
        <v>100009759</v>
      </c>
      <c r="B347" s="23">
        <v>16974</v>
      </c>
      <c r="C347" s="38">
        <v>76630169745</v>
      </c>
      <c r="D347" s="25" t="s">
        <v>244</v>
      </c>
      <c r="E347" s="26">
        <v>225</v>
      </c>
      <c r="F347" s="27">
        <v>0.34858101142447917</v>
      </c>
      <c r="G347" s="26">
        <v>0</v>
      </c>
      <c r="H347" s="105" t="s">
        <v>850</v>
      </c>
      <c r="I347" s="28">
        <v>20.399173339999997</v>
      </c>
      <c r="J347" s="26"/>
      <c r="K347" s="135">
        <f t="shared" si="34"/>
        <v>0</v>
      </c>
      <c r="L347" s="29"/>
      <c r="M347" s="104"/>
      <c r="N347" s="30" t="str">
        <f t="shared" si="36"/>
        <v>-</v>
      </c>
      <c r="O347" s="30" t="str">
        <f t="shared" si="33"/>
        <v>-</v>
      </c>
      <c r="P347" s="31" t="str">
        <f t="shared" si="35"/>
        <v>-</v>
      </c>
      <c r="Q347" s="32" t="str">
        <f t="shared" si="37"/>
        <v>-</v>
      </c>
      <c r="S347" s="32" t="str">
        <f t="shared" si="38"/>
        <v>-</v>
      </c>
    </row>
    <row r="348" spans="1:19" x14ac:dyDescent="0.3">
      <c r="A348" s="134">
        <v>100009748</v>
      </c>
      <c r="B348" s="23">
        <v>16956</v>
      </c>
      <c r="C348" s="38">
        <v>76630169561</v>
      </c>
      <c r="D348" s="25" t="s">
        <v>244</v>
      </c>
      <c r="E348" s="26">
        <v>450</v>
      </c>
      <c r="F348" s="27">
        <v>0.6722787014180418</v>
      </c>
      <c r="G348" s="26">
        <v>0</v>
      </c>
      <c r="H348" s="105" t="s">
        <v>850</v>
      </c>
      <c r="I348" s="28">
        <v>37.786980139999997</v>
      </c>
      <c r="J348" s="26"/>
      <c r="K348" s="135">
        <f t="shared" si="34"/>
        <v>0</v>
      </c>
      <c r="L348" s="29"/>
      <c r="M348" s="104"/>
      <c r="N348" s="30" t="str">
        <f t="shared" si="36"/>
        <v>-</v>
      </c>
      <c r="O348" s="30" t="str">
        <f t="shared" si="33"/>
        <v>-</v>
      </c>
      <c r="P348" s="31" t="str">
        <f t="shared" si="35"/>
        <v>-</v>
      </c>
      <c r="Q348" s="32" t="str">
        <f t="shared" si="37"/>
        <v>-</v>
      </c>
      <c r="S348" s="32" t="str">
        <f t="shared" si="38"/>
        <v>-</v>
      </c>
    </row>
    <row r="349" spans="1:19" x14ac:dyDescent="0.3">
      <c r="A349" s="134">
        <v>100009765</v>
      </c>
      <c r="B349" s="23">
        <v>16983</v>
      </c>
      <c r="C349" s="38">
        <v>76630169837</v>
      </c>
      <c r="D349" s="25" t="s">
        <v>245</v>
      </c>
      <c r="E349" s="26">
        <v>45</v>
      </c>
      <c r="F349" s="27">
        <v>0.14329360961941667</v>
      </c>
      <c r="G349" s="26">
        <v>0</v>
      </c>
      <c r="H349" s="105" t="s">
        <v>850</v>
      </c>
      <c r="I349" s="28">
        <v>10.34448506</v>
      </c>
      <c r="J349" s="26"/>
      <c r="K349" s="135">
        <f t="shared" si="34"/>
        <v>0</v>
      </c>
      <c r="L349" s="29"/>
      <c r="M349" s="104"/>
      <c r="N349" s="30" t="str">
        <f t="shared" si="36"/>
        <v>-</v>
      </c>
      <c r="O349" s="30" t="str">
        <f t="shared" si="33"/>
        <v>-</v>
      </c>
      <c r="P349" s="31" t="str">
        <f t="shared" si="35"/>
        <v>-</v>
      </c>
      <c r="Q349" s="32" t="str">
        <f t="shared" si="37"/>
        <v>-</v>
      </c>
      <c r="S349" s="32" t="str">
        <f t="shared" si="38"/>
        <v>-</v>
      </c>
    </row>
    <row r="350" spans="1:19" x14ac:dyDescent="0.3">
      <c r="A350" s="134">
        <v>100009763</v>
      </c>
      <c r="B350" s="23">
        <v>16981</v>
      </c>
      <c r="C350" s="38">
        <v>76630169813</v>
      </c>
      <c r="D350" s="25" t="s">
        <v>245</v>
      </c>
      <c r="E350" s="26">
        <v>90</v>
      </c>
      <c r="F350" s="27">
        <v>0.27779225218135417</v>
      </c>
      <c r="G350" s="26">
        <v>0</v>
      </c>
      <c r="H350" s="105" t="s">
        <v>850</v>
      </c>
      <c r="I350" s="28">
        <v>18.357996019999998</v>
      </c>
      <c r="J350" s="26"/>
      <c r="K350" s="135">
        <f t="shared" si="34"/>
        <v>0</v>
      </c>
      <c r="L350" s="29"/>
      <c r="M350" s="104"/>
      <c r="N350" s="30" t="str">
        <f t="shared" si="36"/>
        <v>-</v>
      </c>
      <c r="O350" s="30" t="str">
        <f t="shared" si="33"/>
        <v>-</v>
      </c>
      <c r="P350" s="31" t="str">
        <f t="shared" si="35"/>
        <v>-</v>
      </c>
      <c r="Q350" s="32" t="str">
        <f t="shared" si="37"/>
        <v>-</v>
      </c>
      <c r="S350" s="32" t="str">
        <f t="shared" si="38"/>
        <v>-</v>
      </c>
    </row>
    <row r="351" spans="1:19" x14ac:dyDescent="0.3">
      <c r="A351" s="134">
        <v>100009764</v>
      </c>
      <c r="B351" s="23">
        <v>16982</v>
      </c>
      <c r="C351" s="38">
        <v>76630169820</v>
      </c>
      <c r="D351" s="25" t="s">
        <v>245</v>
      </c>
      <c r="E351" s="26">
        <v>120</v>
      </c>
      <c r="F351" s="27">
        <v>0.32915</v>
      </c>
      <c r="G351" s="26">
        <v>0</v>
      </c>
      <c r="H351" s="105" t="s">
        <v>850</v>
      </c>
      <c r="I351" s="28">
        <v>24.481527979999996</v>
      </c>
      <c r="J351" s="26"/>
      <c r="K351" s="135">
        <f t="shared" si="34"/>
        <v>0</v>
      </c>
      <c r="L351" s="29"/>
      <c r="M351" s="104"/>
      <c r="N351" s="30" t="str">
        <f t="shared" si="36"/>
        <v>-</v>
      </c>
      <c r="O351" s="30" t="str">
        <f t="shared" si="33"/>
        <v>-</v>
      </c>
      <c r="P351" s="31" t="str">
        <f t="shared" si="35"/>
        <v>-</v>
      </c>
      <c r="Q351" s="32" t="str">
        <f t="shared" si="37"/>
        <v>-</v>
      </c>
      <c r="S351" s="32" t="str">
        <f t="shared" si="38"/>
        <v>-</v>
      </c>
    </row>
    <row r="352" spans="1:19" x14ac:dyDescent="0.3">
      <c r="A352" s="134">
        <v>100009766</v>
      </c>
      <c r="B352" s="23">
        <v>16984</v>
      </c>
      <c r="C352" s="38">
        <v>76630169844</v>
      </c>
      <c r="D352" s="25" t="s">
        <v>245</v>
      </c>
      <c r="E352" s="26">
        <v>180</v>
      </c>
      <c r="F352" s="27">
        <v>0.50581786150087504</v>
      </c>
      <c r="G352" s="26">
        <v>0</v>
      </c>
      <c r="H352" s="105" t="s">
        <v>850</v>
      </c>
      <c r="I352" s="28">
        <v>33.251030540000002</v>
      </c>
      <c r="J352" s="26"/>
      <c r="K352" s="135">
        <f t="shared" si="34"/>
        <v>0</v>
      </c>
      <c r="L352" s="29"/>
      <c r="M352" s="104"/>
      <c r="N352" s="30" t="str">
        <f t="shared" si="36"/>
        <v>-</v>
      </c>
      <c r="O352" s="30" t="str">
        <f t="shared" si="33"/>
        <v>-</v>
      </c>
      <c r="P352" s="31" t="str">
        <f t="shared" si="35"/>
        <v>-</v>
      </c>
      <c r="Q352" s="32" t="str">
        <f t="shared" si="37"/>
        <v>-</v>
      </c>
      <c r="S352" s="32" t="str">
        <f t="shared" si="38"/>
        <v>-</v>
      </c>
    </row>
    <row r="353" spans="1:19" ht="20.399999999999999" x14ac:dyDescent="0.3">
      <c r="A353" s="140">
        <v>100009812</v>
      </c>
      <c r="B353" s="33">
        <v>34710</v>
      </c>
      <c r="C353" s="34">
        <v>76630347105</v>
      </c>
      <c r="D353" s="60" t="s">
        <v>246</v>
      </c>
      <c r="E353" s="33">
        <v>60</v>
      </c>
      <c r="F353" s="36">
        <v>0.19348927526454165</v>
      </c>
      <c r="G353" s="33">
        <v>0</v>
      </c>
      <c r="H353" s="105" t="s">
        <v>850</v>
      </c>
      <c r="I353" s="37">
        <v>14.880434659999999</v>
      </c>
      <c r="J353" s="33"/>
      <c r="K353" s="141">
        <f t="shared" si="34"/>
        <v>0</v>
      </c>
      <c r="L353" s="29"/>
      <c r="M353" s="104"/>
      <c r="N353" s="30" t="str">
        <f t="shared" si="36"/>
        <v>-</v>
      </c>
      <c r="O353" s="30" t="str">
        <f t="shared" si="33"/>
        <v>-</v>
      </c>
      <c r="P353" s="31" t="str">
        <f t="shared" si="35"/>
        <v>-</v>
      </c>
      <c r="Q353" s="32" t="str">
        <f t="shared" si="37"/>
        <v>-</v>
      </c>
      <c r="S353" s="32" t="str">
        <f t="shared" si="38"/>
        <v>-</v>
      </c>
    </row>
    <row r="354" spans="1:19" x14ac:dyDescent="0.3">
      <c r="A354" s="134">
        <v>100009836</v>
      </c>
      <c r="B354" s="23">
        <v>50124</v>
      </c>
      <c r="C354" s="38">
        <v>318858501243</v>
      </c>
      <c r="D354" s="25" t="s">
        <v>247</v>
      </c>
      <c r="E354" s="26" t="s">
        <v>276</v>
      </c>
      <c r="F354" s="27">
        <v>0.3187639279857083</v>
      </c>
      <c r="G354" s="26">
        <v>0</v>
      </c>
      <c r="H354" s="105" t="s">
        <v>850</v>
      </c>
      <c r="I354" s="28">
        <v>7.5473161399999995</v>
      </c>
      <c r="J354" s="26"/>
      <c r="K354" s="135">
        <f t="shared" si="34"/>
        <v>0</v>
      </c>
      <c r="L354" s="29"/>
      <c r="M354" s="104"/>
      <c r="N354" s="30" t="str">
        <f t="shared" ref="N354:N357" si="39">IFERROR(IF($N$2*F354=0, "-", $N$2*F354), "-")</f>
        <v>-</v>
      </c>
      <c r="O354" s="30" t="str">
        <f t="shared" ref="O354:O357" si="40">IFERROR(IF(N354&gt;0,I354+N354,"-"),"-")</f>
        <v>-</v>
      </c>
      <c r="P354" s="31" t="str">
        <f t="shared" ref="P354:P357" si="41">IF(J354&gt;0,J354*F354, "-")</f>
        <v>-</v>
      </c>
      <c r="Q354" s="32" t="str">
        <f t="shared" ref="Q354:Q357" si="42">IFERROR(IF($N$2&gt;0, $N$2*P354, "-"), "-")</f>
        <v>-</v>
      </c>
      <c r="S354" s="32" t="str">
        <f t="shared" si="38"/>
        <v>-</v>
      </c>
    </row>
    <row r="355" spans="1:19" x14ac:dyDescent="0.3">
      <c r="A355" s="134">
        <v>100009838</v>
      </c>
      <c r="B355" s="23">
        <v>50148</v>
      </c>
      <c r="C355" s="38">
        <v>318858501489</v>
      </c>
      <c r="D355" s="25" t="s">
        <v>247</v>
      </c>
      <c r="E355" s="26" t="s">
        <v>277</v>
      </c>
      <c r="F355" s="27">
        <v>0.60835430670758328</v>
      </c>
      <c r="G355" s="26">
        <v>0</v>
      </c>
      <c r="H355" s="105" t="s">
        <v>850</v>
      </c>
      <c r="I355" s="28">
        <v>13.595248939999998</v>
      </c>
      <c r="J355" s="26"/>
      <c r="K355" s="135">
        <f t="shared" si="34"/>
        <v>0</v>
      </c>
      <c r="L355" s="29"/>
      <c r="M355" s="104"/>
      <c r="N355" s="30" t="str">
        <f t="shared" si="39"/>
        <v>-</v>
      </c>
      <c r="O355" s="30" t="str">
        <f t="shared" si="40"/>
        <v>-</v>
      </c>
      <c r="P355" s="31" t="str">
        <f t="shared" si="41"/>
        <v>-</v>
      </c>
      <c r="Q355" s="32" t="str">
        <f t="shared" si="42"/>
        <v>-</v>
      </c>
      <c r="S355" s="32" t="str">
        <f t="shared" si="38"/>
        <v>-</v>
      </c>
    </row>
    <row r="356" spans="1:19" x14ac:dyDescent="0.3">
      <c r="A356" s="134">
        <v>100009837</v>
      </c>
      <c r="B356" s="23">
        <v>50132</v>
      </c>
      <c r="C356" s="38">
        <v>318858501328</v>
      </c>
      <c r="D356" s="25" t="s">
        <v>247</v>
      </c>
      <c r="E356" s="26" t="s">
        <v>278</v>
      </c>
      <c r="F356" s="27">
        <v>1.1051626897593336</v>
      </c>
      <c r="G356" s="26">
        <v>0</v>
      </c>
      <c r="H356" s="105" t="s">
        <v>850</v>
      </c>
      <c r="I356" s="28">
        <v>21.911156539999997</v>
      </c>
      <c r="J356" s="26"/>
      <c r="K356" s="135">
        <f t="shared" si="34"/>
        <v>0</v>
      </c>
      <c r="L356" s="29"/>
      <c r="M356" s="104"/>
      <c r="N356" s="30" t="str">
        <f t="shared" si="39"/>
        <v>-</v>
      </c>
      <c r="O356" s="30" t="str">
        <f t="shared" si="40"/>
        <v>-</v>
      </c>
      <c r="P356" s="31" t="str">
        <f t="shared" si="41"/>
        <v>-</v>
      </c>
      <c r="Q356" s="32" t="str">
        <f t="shared" si="42"/>
        <v>-</v>
      </c>
      <c r="S356" s="32" t="str">
        <f t="shared" si="38"/>
        <v>-</v>
      </c>
    </row>
    <row r="357" spans="1:19" x14ac:dyDescent="0.3">
      <c r="A357" s="134">
        <v>100009920</v>
      </c>
      <c r="B357" s="23">
        <v>53312</v>
      </c>
      <c r="C357" s="38">
        <v>318858533183</v>
      </c>
      <c r="D357" s="25" t="s">
        <v>248</v>
      </c>
      <c r="E357" s="26" t="s">
        <v>279</v>
      </c>
      <c r="F357" s="27">
        <v>6.4353417493750009E-2</v>
      </c>
      <c r="G357" s="26">
        <v>0</v>
      </c>
      <c r="H357" s="105" t="s">
        <v>850</v>
      </c>
      <c r="I357" s="28">
        <v>8.8325018599999989</v>
      </c>
      <c r="J357" s="26"/>
      <c r="K357" s="135">
        <f t="shared" si="34"/>
        <v>0</v>
      </c>
      <c r="L357" s="29"/>
      <c r="M357" s="104"/>
      <c r="N357" s="30" t="str">
        <f t="shared" si="39"/>
        <v>-</v>
      </c>
      <c r="O357" s="30" t="str">
        <f t="shared" si="40"/>
        <v>-</v>
      </c>
      <c r="P357" s="31" t="str">
        <f t="shared" si="41"/>
        <v>-</v>
      </c>
      <c r="Q357" s="32" t="str">
        <f t="shared" si="42"/>
        <v>-</v>
      </c>
      <c r="S357" s="32" t="str">
        <f t="shared" si="38"/>
        <v>-</v>
      </c>
    </row>
    <row r="358" spans="1:19" x14ac:dyDescent="0.3">
      <c r="A358" s="140">
        <v>100009741</v>
      </c>
      <c r="B358" s="33">
        <v>12056</v>
      </c>
      <c r="C358" s="34">
        <v>318858120567</v>
      </c>
      <c r="D358" s="35" t="s">
        <v>249</v>
      </c>
      <c r="E358" s="33" t="s">
        <v>280</v>
      </c>
      <c r="F358" s="36">
        <v>0.19735048031416669</v>
      </c>
      <c r="G358" s="33">
        <v>0</v>
      </c>
      <c r="H358" s="105" t="s">
        <v>850</v>
      </c>
      <c r="I358" s="37">
        <v>15.863223739999997</v>
      </c>
      <c r="J358" s="33"/>
      <c r="K358" s="141">
        <f t="shared" si="34"/>
        <v>0</v>
      </c>
      <c r="L358" s="29"/>
      <c r="M358" s="104"/>
      <c r="N358" s="30" t="str">
        <f t="shared" ref="N358:N375" si="43">IFERROR(IF($N$2*F358=0, "-", $N$2*F358), "-")</f>
        <v>-</v>
      </c>
      <c r="O358" s="30" t="str">
        <f t="shared" ref="O358:O375" si="44">IFERROR(IF(N358&gt;0,I358+N358,"-"),"-")</f>
        <v>-</v>
      </c>
      <c r="P358" s="31" t="str">
        <f t="shared" ref="P358:P375" si="45">IF(J358&gt;0,J358*F358, "-")</f>
        <v>-</v>
      </c>
      <c r="Q358" s="32" t="str">
        <f t="shared" ref="Q358:Q375" si="46">IFERROR(IF($N$2&gt;0, $N$2*P358, "-"), "-")</f>
        <v>-</v>
      </c>
      <c r="S358" s="32" t="str">
        <f t="shared" ref="S358:S375" si="47">IFERROR(IF(Q358+K358=0, "-", IF(Q358&gt;0, Q358+K358, "-")), "-")</f>
        <v>-</v>
      </c>
    </row>
    <row r="359" spans="1:19" x14ac:dyDescent="0.3">
      <c r="A359" s="134">
        <v>100081992</v>
      </c>
      <c r="B359" s="23">
        <v>58880</v>
      </c>
      <c r="C359" s="38">
        <v>76630588805</v>
      </c>
      <c r="D359" s="25" t="s">
        <v>252</v>
      </c>
      <c r="E359" s="26" t="s">
        <v>281</v>
      </c>
      <c r="F359" s="27">
        <v>0.23196861600000002</v>
      </c>
      <c r="G359" s="26">
        <v>0</v>
      </c>
      <c r="H359" s="105" t="s">
        <v>850</v>
      </c>
      <c r="I359" s="28">
        <v>12.839257339999998</v>
      </c>
      <c r="J359" s="26"/>
      <c r="K359" s="135">
        <f t="shared" si="34"/>
        <v>0</v>
      </c>
      <c r="L359" s="29"/>
      <c r="M359" s="104"/>
      <c r="N359" s="30" t="str">
        <f t="shared" si="43"/>
        <v>-</v>
      </c>
      <c r="O359" s="30" t="str">
        <f t="shared" si="44"/>
        <v>-</v>
      </c>
      <c r="P359" s="31" t="str">
        <f t="shared" si="45"/>
        <v>-</v>
      </c>
      <c r="Q359" s="32" t="str">
        <f t="shared" si="46"/>
        <v>-</v>
      </c>
      <c r="S359" s="32" t="str">
        <f t="shared" si="47"/>
        <v>-</v>
      </c>
    </row>
    <row r="360" spans="1:19" x14ac:dyDescent="0.3">
      <c r="A360" s="134">
        <v>100009651</v>
      </c>
      <c r="B360" s="23">
        <v>3668</v>
      </c>
      <c r="C360" s="38">
        <v>33984036680</v>
      </c>
      <c r="D360" s="25" t="s">
        <v>254</v>
      </c>
      <c r="E360" s="26" t="s">
        <v>283</v>
      </c>
      <c r="F360" s="27">
        <v>1.3986142735308336</v>
      </c>
      <c r="G360" s="26">
        <v>6</v>
      </c>
      <c r="H360" s="105" t="s">
        <v>850</v>
      </c>
      <c r="I360" s="28">
        <v>41.566938139999998</v>
      </c>
      <c r="J360" s="26"/>
      <c r="K360" s="135">
        <f t="shared" si="34"/>
        <v>0</v>
      </c>
      <c r="L360" s="29"/>
      <c r="M360" s="104"/>
      <c r="N360" s="30" t="str">
        <f t="shared" si="43"/>
        <v>-</v>
      </c>
      <c r="O360" s="30" t="str">
        <f t="shared" si="44"/>
        <v>-</v>
      </c>
      <c r="P360" s="31" t="str">
        <f t="shared" si="45"/>
        <v>-</v>
      </c>
      <c r="Q360" s="32" t="str">
        <f t="shared" si="46"/>
        <v>-</v>
      </c>
      <c r="S360" s="32" t="str">
        <f t="shared" si="47"/>
        <v>-</v>
      </c>
    </row>
    <row r="361" spans="1:19" x14ac:dyDescent="0.3">
      <c r="A361" s="134">
        <v>100009801</v>
      </c>
      <c r="B361" s="23">
        <v>30721</v>
      </c>
      <c r="C361" s="38">
        <v>33984307216</v>
      </c>
      <c r="D361" s="39" t="s">
        <v>255</v>
      </c>
      <c r="E361" s="26" t="s">
        <v>274</v>
      </c>
      <c r="F361" s="27">
        <v>0.75196968341446879</v>
      </c>
      <c r="G361" s="26">
        <v>0</v>
      </c>
      <c r="H361" s="105" t="s">
        <v>850</v>
      </c>
      <c r="I361" s="28">
        <v>22.679747999999996</v>
      </c>
      <c r="J361" s="26"/>
      <c r="K361" s="135">
        <f t="shared" si="34"/>
        <v>0</v>
      </c>
      <c r="L361" s="29"/>
      <c r="M361" s="104"/>
      <c r="N361" s="30" t="str">
        <f t="shared" si="43"/>
        <v>-</v>
      </c>
      <c r="O361" s="30" t="str">
        <f t="shared" si="44"/>
        <v>-</v>
      </c>
      <c r="P361" s="31" t="str">
        <f t="shared" si="45"/>
        <v>-</v>
      </c>
      <c r="Q361" s="32" t="str">
        <f t="shared" si="46"/>
        <v>-</v>
      </c>
      <c r="S361" s="32" t="str">
        <f t="shared" si="47"/>
        <v>-</v>
      </c>
    </row>
    <row r="362" spans="1:19" x14ac:dyDescent="0.3">
      <c r="A362" s="134">
        <v>100009641</v>
      </c>
      <c r="B362" s="23">
        <v>3566</v>
      </c>
      <c r="C362" s="38">
        <v>33984035669</v>
      </c>
      <c r="D362" s="45" t="s">
        <v>256</v>
      </c>
      <c r="E362" s="26">
        <v>100</v>
      </c>
      <c r="F362" s="27">
        <v>0.44094961666717497</v>
      </c>
      <c r="G362" s="26">
        <v>20</v>
      </c>
      <c r="H362" s="105" t="s">
        <v>850</v>
      </c>
      <c r="I362" s="28">
        <v>37.799579999999992</v>
      </c>
      <c r="J362" s="26"/>
      <c r="K362" s="135">
        <f t="shared" si="34"/>
        <v>0</v>
      </c>
      <c r="L362" s="29"/>
      <c r="M362" s="104"/>
      <c r="N362" s="30" t="str">
        <f t="shared" si="43"/>
        <v>-</v>
      </c>
      <c r="O362" s="30" t="str">
        <f t="shared" si="44"/>
        <v>-</v>
      </c>
      <c r="P362" s="31" t="str">
        <f t="shared" si="45"/>
        <v>-</v>
      </c>
      <c r="Q362" s="32" t="str">
        <f t="shared" si="46"/>
        <v>-</v>
      </c>
      <c r="S362" s="32" t="str">
        <f t="shared" si="47"/>
        <v>-</v>
      </c>
    </row>
    <row r="363" spans="1:19" x14ac:dyDescent="0.3">
      <c r="A363" s="134">
        <v>100188944</v>
      </c>
      <c r="B363" s="23">
        <v>30061</v>
      </c>
      <c r="C363" s="38">
        <v>33984006836</v>
      </c>
      <c r="D363" s="45" t="s">
        <v>257</v>
      </c>
      <c r="E363" s="26">
        <v>60</v>
      </c>
      <c r="F363" s="27">
        <v>0.46430990721740623</v>
      </c>
      <c r="G363" s="26">
        <v>16</v>
      </c>
      <c r="H363" s="105" t="s">
        <v>850</v>
      </c>
      <c r="I363" s="28">
        <v>20.159775999999997</v>
      </c>
      <c r="J363" s="26"/>
      <c r="K363" s="135">
        <f t="shared" si="34"/>
        <v>0</v>
      </c>
      <c r="L363" s="29"/>
      <c r="M363" s="104"/>
      <c r="N363" s="30" t="str">
        <f t="shared" si="43"/>
        <v>-</v>
      </c>
      <c r="O363" s="30" t="str">
        <f t="shared" si="44"/>
        <v>-</v>
      </c>
      <c r="P363" s="31" t="str">
        <f t="shared" si="45"/>
        <v>-</v>
      </c>
      <c r="Q363" s="32" t="str">
        <f t="shared" si="46"/>
        <v>-</v>
      </c>
      <c r="S363" s="32" t="str">
        <f t="shared" si="47"/>
        <v>-</v>
      </c>
    </row>
    <row r="364" spans="1:19" x14ac:dyDescent="0.3">
      <c r="A364" s="134">
        <v>100192460</v>
      </c>
      <c r="B364" s="23">
        <v>30376</v>
      </c>
      <c r="C364" s="38">
        <v>33984303768</v>
      </c>
      <c r="D364" s="45" t="s">
        <v>258</v>
      </c>
      <c r="E364" s="26">
        <v>120</v>
      </c>
      <c r="F364" s="27">
        <v>0.332824536</v>
      </c>
      <c r="G364" s="26">
        <v>12</v>
      </c>
      <c r="H364" s="105" t="s">
        <v>850</v>
      </c>
      <c r="I364" s="28">
        <v>11.339873999999998</v>
      </c>
      <c r="J364" s="26"/>
      <c r="K364" s="135">
        <f t="shared" si="34"/>
        <v>0</v>
      </c>
      <c r="L364" s="29"/>
      <c r="M364" s="104"/>
      <c r="N364" s="30" t="str">
        <f t="shared" si="43"/>
        <v>-</v>
      </c>
      <c r="O364" s="30" t="str">
        <f t="shared" si="44"/>
        <v>-</v>
      </c>
      <c r="P364" s="31" t="str">
        <f t="shared" si="45"/>
        <v>-</v>
      </c>
      <c r="Q364" s="32" t="str">
        <f t="shared" si="46"/>
        <v>-</v>
      </c>
      <c r="S364" s="32" t="str">
        <f t="shared" si="47"/>
        <v>-</v>
      </c>
    </row>
    <row r="365" spans="1:19" x14ac:dyDescent="0.3">
      <c r="A365" s="134">
        <v>100092173</v>
      </c>
      <c r="B365" s="23">
        <v>59598</v>
      </c>
      <c r="C365" s="38">
        <v>33984595989</v>
      </c>
      <c r="D365" s="45" t="s">
        <v>259</v>
      </c>
      <c r="E365" s="26">
        <v>90</v>
      </c>
      <c r="F365" s="27">
        <v>0.36123718353158335</v>
      </c>
      <c r="G365" s="26">
        <v>12</v>
      </c>
      <c r="H365" s="105" t="s">
        <v>850</v>
      </c>
      <c r="I365" s="28">
        <v>8.9459005999999981</v>
      </c>
      <c r="J365" s="26"/>
      <c r="K365" s="135">
        <f t="shared" si="34"/>
        <v>0</v>
      </c>
      <c r="L365" s="29"/>
      <c r="M365" s="104"/>
      <c r="N365" s="30" t="str">
        <f t="shared" si="43"/>
        <v>-</v>
      </c>
      <c r="O365" s="30" t="str">
        <f t="shared" si="44"/>
        <v>-</v>
      </c>
      <c r="P365" s="31" t="str">
        <f t="shared" si="45"/>
        <v>-</v>
      </c>
      <c r="Q365" s="32" t="str">
        <f t="shared" si="46"/>
        <v>-</v>
      </c>
      <c r="S365" s="32" t="str">
        <f t="shared" si="47"/>
        <v>-</v>
      </c>
    </row>
    <row r="366" spans="1:19" x14ac:dyDescent="0.3">
      <c r="A366" s="136">
        <v>100009264</v>
      </c>
      <c r="B366" s="47">
        <v>1063</v>
      </c>
      <c r="C366" s="48">
        <v>33984010635</v>
      </c>
      <c r="D366" s="49" t="s">
        <v>262</v>
      </c>
      <c r="E366" s="50">
        <v>60</v>
      </c>
      <c r="F366" s="51">
        <v>0.34269593802758702</v>
      </c>
      <c r="G366" s="50">
        <v>23</v>
      </c>
      <c r="H366" s="105" t="s">
        <v>850</v>
      </c>
      <c r="I366" s="52">
        <v>16.379817999999997</v>
      </c>
      <c r="J366" s="50"/>
      <c r="K366" s="137">
        <f t="shared" si="34"/>
        <v>0</v>
      </c>
      <c r="L366" s="29"/>
      <c r="M366" s="104"/>
      <c r="N366" s="30" t="str">
        <f t="shared" si="43"/>
        <v>-</v>
      </c>
      <c r="O366" s="30" t="str">
        <f t="shared" si="44"/>
        <v>-</v>
      </c>
      <c r="P366" s="31" t="str">
        <f t="shared" si="45"/>
        <v>-</v>
      </c>
      <c r="Q366" s="32" t="str">
        <f t="shared" si="46"/>
        <v>-</v>
      </c>
      <c r="S366" s="32" t="str">
        <f t="shared" si="47"/>
        <v>-</v>
      </c>
    </row>
    <row r="367" spans="1:19" x14ac:dyDescent="0.3">
      <c r="A367" s="134">
        <v>100009410</v>
      </c>
      <c r="B367" s="23">
        <v>1744</v>
      </c>
      <c r="C367" s="38">
        <v>33984017443</v>
      </c>
      <c r="D367" s="39" t="s">
        <v>148</v>
      </c>
      <c r="E367" s="26">
        <v>60</v>
      </c>
      <c r="F367" s="27">
        <v>0.34493431776650002</v>
      </c>
      <c r="G367" s="26">
        <v>23</v>
      </c>
      <c r="H367" s="105" t="s">
        <v>850</v>
      </c>
      <c r="I367" s="28">
        <v>16.379817999999997</v>
      </c>
      <c r="J367" s="26"/>
      <c r="K367" s="135">
        <f t="shared" si="34"/>
        <v>0</v>
      </c>
      <c r="L367" s="29"/>
      <c r="M367" s="104"/>
      <c r="N367" s="30" t="str">
        <f t="shared" si="43"/>
        <v>-</v>
      </c>
      <c r="O367" s="30" t="str">
        <f t="shared" si="44"/>
        <v>-</v>
      </c>
      <c r="P367" s="31" t="str">
        <f t="shared" si="45"/>
        <v>-</v>
      </c>
      <c r="Q367" s="32" t="str">
        <f t="shared" si="46"/>
        <v>-</v>
      </c>
      <c r="S367" s="32" t="str">
        <f t="shared" si="47"/>
        <v>-</v>
      </c>
    </row>
    <row r="368" spans="1:19" x14ac:dyDescent="0.3">
      <c r="A368" s="134">
        <v>100200004</v>
      </c>
      <c r="B368" s="23" t="s">
        <v>212</v>
      </c>
      <c r="C368" s="24">
        <v>810122620006</v>
      </c>
      <c r="D368" s="39" t="s">
        <v>264</v>
      </c>
      <c r="E368" s="26">
        <v>30</v>
      </c>
      <c r="F368" s="27">
        <v>6.8643645326666669E-2</v>
      </c>
      <c r="G368" s="26" t="s">
        <v>212</v>
      </c>
      <c r="H368" s="105" t="s">
        <v>850</v>
      </c>
      <c r="I368" s="28">
        <v>15.73722514</v>
      </c>
      <c r="J368" s="26"/>
      <c r="K368" s="135">
        <f t="shared" si="34"/>
        <v>0</v>
      </c>
      <c r="L368" s="29"/>
      <c r="M368" s="104"/>
      <c r="N368" s="30" t="str">
        <f t="shared" si="43"/>
        <v>-</v>
      </c>
      <c r="O368" s="30" t="str">
        <f t="shared" si="44"/>
        <v>-</v>
      </c>
      <c r="P368" s="31" t="str">
        <f t="shared" si="45"/>
        <v>-</v>
      </c>
      <c r="Q368" s="32" t="str">
        <f t="shared" si="46"/>
        <v>-</v>
      </c>
      <c r="S368" s="32" t="str">
        <f t="shared" si="47"/>
        <v>-</v>
      </c>
    </row>
    <row r="369" spans="1:19" x14ac:dyDescent="0.3">
      <c r="A369" s="134">
        <v>100200008</v>
      </c>
      <c r="B369" s="23" t="s">
        <v>212</v>
      </c>
      <c r="C369" s="24">
        <v>810122620044</v>
      </c>
      <c r="D369" s="39" t="s">
        <v>267</v>
      </c>
      <c r="E369" s="26">
        <v>30</v>
      </c>
      <c r="F369" s="27">
        <v>6.8643645326666669E-2</v>
      </c>
      <c r="G369" s="26" t="s">
        <v>212</v>
      </c>
      <c r="H369" s="105" t="s">
        <v>850</v>
      </c>
      <c r="I369" s="28">
        <v>15.73722514</v>
      </c>
      <c r="J369" s="26"/>
      <c r="K369" s="135">
        <f t="shared" si="34"/>
        <v>0</v>
      </c>
      <c r="L369" s="29"/>
      <c r="M369" s="104"/>
      <c r="N369" s="30" t="str">
        <f t="shared" si="43"/>
        <v>-</v>
      </c>
      <c r="O369" s="30" t="str">
        <f t="shared" si="44"/>
        <v>-</v>
      </c>
      <c r="P369" s="31" t="str">
        <f t="shared" si="45"/>
        <v>-</v>
      </c>
      <c r="Q369" s="32" t="str">
        <f t="shared" si="46"/>
        <v>-</v>
      </c>
      <c r="S369" s="32" t="str">
        <f t="shared" si="47"/>
        <v>-</v>
      </c>
    </row>
    <row r="370" spans="1:19" x14ac:dyDescent="0.3">
      <c r="A370" s="134">
        <v>100189473</v>
      </c>
      <c r="B370" s="23">
        <v>30083</v>
      </c>
      <c r="C370" s="38">
        <v>76630300834</v>
      </c>
      <c r="D370" s="25" t="s">
        <v>269</v>
      </c>
      <c r="E370" s="26">
        <v>30</v>
      </c>
      <c r="F370" s="27">
        <v>3.0256775999999999E-2</v>
      </c>
      <c r="G370" s="26">
        <v>0</v>
      </c>
      <c r="H370" s="105" t="s">
        <v>850</v>
      </c>
      <c r="I370" s="28">
        <v>31.739047339999999</v>
      </c>
      <c r="J370" s="26"/>
      <c r="K370" s="135">
        <f t="shared" si="34"/>
        <v>0</v>
      </c>
      <c r="L370" s="29"/>
      <c r="M370" s="104"/>
      <c r="N370" s="30" t="str">
        <f t="shared" si="43"/>
        <v>-</v>
      </c>
      <c r="O370" s="30" t="str">
        <f t="shared" si="44"/>
        <v>-</v>
      </c>
      <c r="P370" s="31" t="str">
        <f t="shared" si="45"/>
        <v>-</v>
      </c>
      <c r="Q370" s="32" t="str">
        <f t="shared" si="46"/>
        <v>-</v>
      </c>
      <c r="S370" s="32" t="str">
        <f t="shared" si="47"/>
        <v>-</v>
      </c>
    </row>
    <row r="371" spans="1:19" x14ac:dyDescent="0.3">
      <c r="A371" s="134">
        <v>100189463</v>
      </c>
      <c r="B371" s="23">
        <v>30080</v>
      </c>
      <c r="C371" s="38">
        <v>76630300803</v>
      </c>
      <c r="D371" s="25" t="s">
        <v>270</v>
      </c>
      <c r="E371" s="26">
        <v>30</v>
      </c>
      <c r="F371" s="27">
        <v>1.5128388E-2</v>
      </c>
      <c r="G371" s="26">
        <v>0</v>
      </c>
      <c r="H371" s="105" t="s">
        <v>850</v>
      </c>
      <c r="I371" s="28">
        <v>24.179131339999998</v>
      </c>
      <c r="J371" s="26"/>
      <c r="K371" s="135">
        <f t="shared" si="34"/>
        <v>0</v>
      </c>
      <c r="L371" s="29"/>
      <c r="M371" s="104"/>
      <c r="N371" s="30" t="str">
        <f t="shared" si="43"/>
        <v>-</v>
      </c>
      <c r="O371" s="30" t="str">
        <f t="shared" si="44"/>
        <v>-</v>
      </c>
      <c r="P371" s="31" t="str">
        <f t="shared" si="45"/>
        <v>-</v>
      </c>
      <c r="Q371" s="32" t="str">
        <f t="shared" si="46"/>
        <v>-</v>
      </c>
      <c r="S371" s="32" t="str">
        <f t="shared" si="47"/>
        <v>-</v>
      </c>
    </row>
    <row r="372" spans="1:19" x14ac:dyDescent="0.3">
      <c r="A372" s="134">
        <v>100189466</v>
      </c>
      <c r="B372" s="23">
        <v>30081</v>
      </c>
      <c r="C372" s="38">
        <v>76630300810</v>
      </c>
      <c r="D372" s="25" t="s">
        <v>270</v>
      </c>
      <c r="E372" s="26">
        <v>60</v>
      </c>
      <c r="F372" s="27">
        <v>3.0256775999999999E-2</v>
      </c>
      <c r="G372" s="26">
        <v>0</v>
      </c>
      <c r="H372" s="105" t="s">
        <v>850</v>
      </c>
      <c r="I372" s="28">
        <v>46.102887739999993</v>
      </c>
      <c r="J372" s="26"/>
      <c r="K372" s="135">
        <f t="shared" si="34"/>
        <v>0</v>
      </c>
      <c r="L372" s="29"/>
      <c r="M372" s="104"/>
      <c r="N372" s="30" t="str">
        <f t="shared" si="43"/>
        <v>-</v>
      </c>
      <c r="O372" s="30" t="str">
        <f t="shared" si="44"/>
        <v>-</v>
      </c>
      <c r="P372" s="31" t="str">
        <f t="shared" si="45"/>
        <v>-</v>
      </c>
      <c r="Q372" s="32" t="str">
        <f t="shared" si="46"/>
        <v>-</v>
      </c>
      <c r="S372" s="32" t="str">
        <f t="shared" si="47"/>
        <v>-</v>
      </c>
    </row>
    <row r="373" spans="1:19" x14ac:dyDescent="0.3">
      <c r="A373" s="134">
        <v>100188949</v>
      </c>
      <c r="B373" s="23">
        <v>30062</v>
      </c>
      <c r="C373" s="38">
        <v>33984006850</v>
      </c>
      <c r="D373" s="25" t="s">
        <v>806</v>
      </c>
      <c r="E373" s="26">
        <v>90</v>
      </c>
      <c r="F373" s="27">
        <v>0</v>
      </c>
      <c r="G373" s="26"/>
      <c r="H373" s="105" t="s">
        <v>850</v>
      </c>
      <c r="I373" s="28">
        <v>26.459705999999997</v>
      </c>
      <c r="J373" s="26"/>
      <c r="K373" s="135">
        <f t="shared" si="34"/>
        <v>0</v>
      </c>
      <c r="N373" s="30" t="str">
        <f t="shared" si="43"/>
        <v>-</v>
      </c>
      <c r="O373" s="30" t="str">
        <f t="shared" si="44"/>
        <v>-</v>
      </c>
      <c r="P373" s="31" t="str">
        <f t="shared" si="45"/>
        <v>-</v>
      </c>
      <c r="Q373" s="32" t="str">
        <f t="shared" si="46"/>
        <v>-</v>
      </c>
      <c r="S373" s="32" t="str">
        <f t="shared" si="47"/>
        <v>-</v>
      </c>
    </row>
    <row r="374" spans="1:19" x14ac:dyDescent="0.3">
      <c r="A374" s="134"/>
      <c r="B374" s="23">
        <v>1556</v>
      </c>
      <c r="C374" s="38">
        <v>33984015562</v>
      </c>
      <c r="D374" s="25" t="s">
        <v>862</v>
      </c>
      <c r="E374" s="26"/>
      <c r="F374" s="27">
        <v>0.30645</v>
      </c>
      <c r="G374" s="26"/>
      <c r="H374" s="105" t="s">
        <v>850</v>
      </c>
      <c r="I374" s="28">
        <v>15.399999999999999</v>
      </c>
      <c r="J374" s="26"/>
      <c r="K374" s="135">
        <f t="shared" ref="K374" si="48">J374*I374</f>
        <v>0</v>
      </c>
      <c r="N374" s="30" t="str">
        <f t="shared" ref="N374" si="49">IFERROR(IF($N$2*F374=0, "-", $N$2*F374), "-")</f>
        <v>-</v>
      </c>
      <c r="O374" s="30" t="str">
        <f t="shared" ref="O374" si="50">IFERROR(IF(N374&gt;0,I374+N374,"-"),"-")</f>
        <v>-</v>
      </c>
      <c r="P374" s="31" t="str">
        <f t="shared" ref="P374" si="51">IF(J374&gt;0,J374*F374, "-")</f>
        <v>-</v>
      </c>
      <c r="Q374" s="32" t="str">
        <f t="shared" ref="Q374" si="52">IFERROR(IF($N$2&gt;0, $N$2*P374, "-"), "-")</f>
        <v>-</v>
      </c>
      <c r="S374" s="32" t="str">
        <f t="shared" ref="S374" si="53">IFERROR(IF(Q374+K374=0, "-", IF(Q374&gt;0, Q374+K374, "-")), "-")</f>
        <v>-</v>
      </c>
    </row>
    <row r="375" spans="1:19" ht="15" thickBot="1" x14ac:dyDescent="0.35">
      <c r="A375" s="142">
        <v>100009739</v>
      </c>
      <c r="B375" s="143">
        <v>11812</v>
      </c>
      <c r="C375" s="144" t="s">
        <v>861</v>
      </c>
      <c r="D375" s="145" t="s">
        <v>820</v>
      </c>
      <c r="E375" s="146" t="s">
        <v>821</v>
      </c>
      <c r="F375" s="147">
        <v>0</v>
      </c>
      <c r="G375" s="146"/>
      <c r="H375" s="112" t="s">
        <v>850</v>
      </c>
      <c r="I375" s="148">
        <v>9.5884934599999987</v>
      </c>
      <c r="J375" s="146"/>
      <c r="K375" s="149">
        <f t="shared" si="34"/>
        <v>0</v>
      </c>
      <c r="N375" s="30" t="str">
        <f t="shared" si="43"/>
        <v>-</v>
      </c>
      <c r="O375" s="30" t="str">
        <f t="shared" si="44"/>
        <v>-</v>
      </c>
      <c r="P375" s="31" t="str">
        <f t="shared" si="45"/>
        <v>-</v>
      </c>
      <c r="Q375" s="32" t="str">
        <f t="shared" si="46"/>
        <v>-</v>
      </c>
      <c r="S375" s="32" t="str">
        <f t="shared" si="47"/>
        <v>-</v>
      </c>
    </row>
    <row r="376" spans="1:19" x14ac:dyDescent="0.3">
      <c r="N376" s="30"/>
      <c r="O376" s="30"/>
      <c r="P376" s="31"/>
      <c r="Q376" s="32"/>
      <c r="S376" s="32"/>
    </row>
    <row r="377" spans="1:19" x14ac:dyDescent="0.3">
      <c r="N377" s="30"/>
      <c r="O377" s="30"/>
      <c r="P377" s="31"/>
      <c r="Q377" s="32"/>
      <c r="S377" s="32"/>
    </row>
    <row r="378" spans="1:19" x14ac:dyDescent="0.3">
      <c r="N378" s="30"/>
      <c r="O378" s="30"/>
      <c r="P378" s="31"/>
      <c r="Q378" s="32"/>
      <c r="S378" s="32"/>
    </row>
    <row r="379" spans="1:19" x14ac:dyDescent="0.3">
      <c r="N379" s="30"/>
      <c r="O379" s="30"/>
      <c r="P379" s="31"/>
      <c r="Q379" s="32"/>
      <c r="S379" s="32"/>
    </row>
    <row r="380" spans="1:19" x14ac:dyDescent="0.3">
      <c r="N380" s="30"/>
      <c r="O380" s="30"/>
      <c r="P380" s="31"/>
      <c r="Q380" s="32"/>
      <c r="S380" s="32"/>
    </row>
    <row r="381" spans="1:19" x14ac:dyDescent="0.3">
      <c r="N381" s="30"/>
      <c r="O381" s="30"/>
      <c r="P381" s="31"/>
      <c r="Q381" s="32"/>
      <c r="S381" s="32"/>
    </row>
    <row r="382" spans="1:19" x14ac:dyDescent="0.3">
      <c r="N382" s="30"/>
      <c r="O382" s="30"/>
      <c r="P382" s="31"/>
      <c r="Q382" s="32"/>
      <c r="S382" s="32"/>
    </row>
    <row r="383" spans="1:19" x14ac:dyDescent="0.3">
      <c r="N383" s="30"/>
      <c r="O383" s="30"/>
      <c r="P383" s="31"/>
      <c r="Q383" s="32"/>
      <c r="S383" s="32"/>
    </row>
    <row r="384" spans="1:19" x14ac:dyDescent="0.3">
      <c r="N384" s="30"/>
      <c r="O384" s="30"/>
      <c r="P384" s="31"/>
      <c r="Q384" s="32"/>
      <c r="S384" s="32"/>
    </row>
    <row r="385" spans="14:19" x14ac:dyDescent="0.3">
      <c r="N385" s="30"/>
      <c r="O385" s="30"/>
      <c r="P385" s="31"/>
      <c r="Q385" s="32"/>
      <c r="S385" s="32"/>
    </row>
    <row r="386" spans="14:19" x14ac:dyDescent="0.3">
      <c r="N386" s="30"/>
      <c r="O386" s="30"/>
      <c r="P386" s="31"/>
      <c r="Q386" s="32"/>
      <c r="S386" s="32"/>
    </row>
    <row r="387" spans="14:19" x14ac:dyDescent="0.3">
      <c r="N387" s="30"/>
      <c r="O387" s="30"/>
      <c r="P387" s="31"/>
      <c r="Q387" s="32"/>
      <c r="S387" s="32"/>
    </row>
    <row r="388" spans="14:19" x14ac:dyDescent="0.3">
      <c r="N388" s="30"/>
      <c r="O388" s="30"/>
      <c r="P388" s="31"/>
      <c r="Q388" s="32"/>
      <c r="S388" s="32"/>
    </row>
    <row r="389" spans="14:19" x14ac:dyDescent="0.3">
      <c r="N389" s="30"/>
      <c r="O389" s="30"/>
      <c r="P389" s="31"/>
      <c r="Q389" s="32"/>
      <c r="S389" s="32"/>
    </row>
    <row r="390" spans="14:19" x14ac:dyDescent="0.3">
      <c r="N390" s="30"/>
      <c r="O390" s="30"/>
      <c r="P390" s="31"/>
      <c r="Q390" s="32"/>
      <c r="S390" s="32"/>
    </row>
    <row r="391" spans="14:19" x14ac:dyDescent="0.3">
      <c r="N391" s="30"/>
      <c r="O391" s="30"/>
      <c r="P391" s="31"/>
      <c r="Q391" s="32"/>
      <c r="S391" s="32"/>
    </row>
    <row r="392" spans="14:19" x14ac:dyDescent="0.3">
      <c r="N392" s="30"/>
      <c r="O392" s="30"/>
      <c r="P392" s="31"/>
      <c r="Q392" s="32"/>
      <c r="S392" s="32"/>
    </row>
    <row r="393" spans="14:19" x14ac:dyDescent="0.3">
      <c r="N393" s="30"/>
      <c r="O393" s="30"/>
      <c r="P393" s="31"/>
      <c r="Q393" s="32"/>
      <c r="S393" s="32"/>
    </row>
    <row r="394" spans="14:19" x14ac:dyDescent="0.3">
      <c r="N394" s="30"/>
      <c r="O394" s="30"/>
      <c r="P394" s="31"/>
      <c r="Q394" s="32"/>
      <c r="S394" s="32"/>
    </row>
    <row r="395" spans="14:19" x14ac:dyDescent="0.3">
      <c r="N395" s="30"/>
      <c r="O395" s="30"/>
      <c r="P395" s="31"/>
      <c r="Q395" s="32"/>
      <c r="S395" s="32"/>
    </row>
    <row r="396" spans="14:19" x14ac:dyDescent="0.3">
      <c r="N396" s="30"/>
      <c r="O396" s="30"/>
      <c r="P396" s="31"/>
      <c r="Q396" s="32"/>
      <c r="S396" s="32"/>
    </row>
    <row r="397" spans="14:19" x14ac:dyDescent="0.3">
      <c r="N397" s="30"/>
      <c r="O397" s="30"/>
      <c r="P397" s="31"/>
      <c r="Q397" s="32"/>
      <c r="S397" s="32"/>
    </row>
    <row r="398" spans="14:19" x14ac:dyDescent="0.3">
      <c r="N398" s="30"/>
      <c r="O398" s="30"/>
      <c r="P398" s="31"/>
      <c r="Q398" s="32"/>
      <c r="S398" s="32"/>
    </row>
    <row r="399" spans="14:19" x14ac:dyDescent="0.3">
      <c r="N399" s="30"/>
      <c r="O399" s="30"/>
      <c r="P399" s="31"/>
      <c r="Q399" s="32"/>
      <c r="S399" s="32"/>
    </row>
    <row r="400" spans="14:19" x14ac:dyDescent="0.3">
      <c r="N400" s="30"/>
      <c r="O400" s="30"/>
      <c r="P400" s="31"/>
      <c r="Q400" s="32"/>
      <c r="S400" s="32"/>
    </row>
    <row r="401" spans="14:19" x14ac:dyDescent="0.3">
      <c r="N401" s="30"/>
      <c r="O401" s="30"/>
      <c r="P401" s="31"/>
      <c r="Q401" s="32"/>
      <c r="S401" s="32"/>
    </row>
    <row r="402" spans="14:19" x14ac:dyDescent="0.3">
      <c r="N402" s="30"/>
      <c r="O402" s="30"/>
      <c r="P402" s="31"/>
      <c r="Q402" s="32"/>
      <c r="S402" s="32"/>
    </row>
    <row r="403" spans="14:19" x14ac:dyDescent="0.3">
      <c r="N403" s="30"/>
      <c r="O403" s="30"/>
      <c r="P403" s="31"/>
      <c r="Q403" s="32"/>
      <c r="S403" s="32"/>
    </row>
    <row r="404" spans="14:19" x14ac:dyDescent="0.3">
      <c r="N404" s="30"/>
      <c r="O404" s="30"/>
      <c r="P404" s="31"/>
      <c r="Q404" s="32"/>
      <c r="S404" s="32"/>
    </row>
    <row r="405" spans="14:19" x14ac:dyDescent="0.3">
      <c r="N405" s="30"/>
      <c r="O405" s="30"/>
      <c r="P405" s="31"/>
      <c r="Q405" s="32"/>
      <c r="S405" s="32"/>
    </row>
    <row r="406" spans="14:19" x14ac:dyDescent="0.3">
      <c r="N406" s="30"/>
      <c r="O406" s="30"/>
      <c r="P406" s="31"/>
      <c r="Q406" s="32"/>
      <c r="S406" s="32"/>
    </row>
    <row r="407" spans="14:19" x14ac:dyDescent="0.3">
      <c r="N407" s="30"/>
      <c r="O407" s="30"/>
      <c r="P407" s="31"/>
      <c r="Q407" s="32"/>
      <c r="S407" s="32"/>
    </row>
    <row r="408" spans="14:19" x14ac:dyDescent="0.3">
      <c r="N408" s="30"/>
      <c r="O408" s="30"/>
      <c r="P408" s="31"/>
      <c r="Q408" s="32"/>
      <c r="S408" s="32"/>
    </row>
    <row r="409" spans="14:19" x14ac:dyDescent="0.3">
      <c r="N409" s="30"/>
      <c r="O409" s="30"/>
      <c r="P409" s="31"/>
      <c r="Q409" s="32"/>
      <c r="S409" s="32"/>
    </row>
    <row r="410" spans="14:19" x14ac:dyDescent="0.3">
      <c r="N410" s="30"/>
      <c r="O410" s="30"/>
      <c r="P410" s="31"/>
      <c r="Q410" s="32"/>
      <c r="S410" s="32"/>
    </row>
    <row r="411" spans="14:19" x14ac:dyDescent="0.3">
      <c r="N411" s="30"/>
      <c r="O411" s="30"/>
      <c r="P411" s="31"/>
      <c r="Q411" s="32"/>
      <c r="S411" s="32"/>
    </row>
    <row r="412" spans="14:19" x14ac:dyDescent="0.3">
      <c r="N412" s="30"/>
      <c r="O412" s="30"/>
      <c r="P412" s="31"/>
      <c r="Q412" s="32"/>
      <c r="S412" s="32"/>
    </row>
    <row r="413" spans="14:19" x14ac:dyDescent="0.3">
      <c r="N413" s="30"/>
      <c r="O413" s="30"/>
      <c r="P413" s="31"/>
      <c r="Q413" s="32"/>
      <c r="S413" s="32"/>
    </row>
    <row r="414" spans="14:19" x14ac:dyDescent="0.3">
      <c r="N414" s="30"/>
      <c r="O414" s="30"/>
      <c r="P414" s="31"/>
      <c r="Q414" s="32"/>
      <c r="S414" s="32"/>
    </row>
    <row r="415" spans="14:19" x14ac:dyDescent="0.3">
      <c r="N415" s="30"/>
      <c r="O415" s="30"/>
      <c r="P415" s="31"/>
      <c r="Q415" s="32"/>
      <c r="S415" s="32"/>
    </row>
    <row r="416" spans="14:19" x14ac:dyDescent="0.3">
      <c r="N416" s="30"/>
      <c r="O416" s="30"/>
      <c r="P416" s="31"/>
      <c r="Q416" s="32"/>
      <c r="S416" s="32"/>
    </row>
    <row r="417" spans="14:19" x14ac:dyDescent="0.3">
      <c r="N417" s="30"/>
      <c r="O417" s="30"/>
      <c r="P417" s="31"/>
      <c r="Q417" s="32"/>
      <c r="S417" s="32"/>
    </row>
    <row r="418" spans="14:19" x14ac:dyDescent="0.3">
      <c r="N418" s="30"/>
      <c r="O418" s="30"/>
      <c r="P418" s="31"/>
      <c r="Q418" s="32"/>
      <c r="S418" s="32"/>
    </row>
    <row r="419" spans="14:19" x14ac:dyDescent="0.3">
      <c r="N419" s="30"/>
      <c r="O419" s="30"/>
      <c r="P419" s="31"/>
      <c r="Q419" s="32"/>
      <c r="S419" s="32"/>
    </row>
    <row r="420" spans="14:19" x14ac:dyDescent="0.3">
      <c r="N420" s="30"/>
      <c r="O420" s="30"/>
      <c r="P420" s="31"/>
      <c r="Q420" s="32"/>
      <c r="S420" s="32"/>
    </row>
    <row r="421" spans="14:19" x14ac:dyDescent="0.3">
      <c r="N421" s="30"/>
      <c r="O421" s="30"/>
      <c r="P421" s="31"/>
      <c r="Q421" s="32"/>
      <c r="S421" s="32"/>
    </row>
    <row r="422" spans="14:19" x14ac:dyDescent="0.3">
      <c r="N422" s="30"/>
      <c r="O422" s="30"/>
      <c r="P422" s="31"/>
      <c r="Q422" s="32"/>
      <c r="S422" s="32"/>
    </row>
    <row r="423" spans="14:19" x14ac:dyDescent="0.3">
      <c r="N423" s="30"/>
      <c r="O423" s="30"/>
      <c r="P423" s="31"/>
      <c r="Q423" s="32"/>
      <c r="S423" s="32"/>
    </row>
    <row r="424" spans="14:19" x14ac:dyDescent="0.3">
      <c r="N424" s="30"/>
      <c r="O424" s="30"/>
      <c r="P424" s="31"/>
      <c r="Q424" s="32"/>
      <c r="S424" s="32"/>
    </row>
    <row r="425" spans="14:19" x14ac:dyDescent="0.3">
      <c r="N425" s="30"/>
      <c r="O425" s="30"/>
      <c r="P425" s="31"/>
      <c r="Q425" s="32"/>
      <c r="S425" s="32"/>
    </row>
    <row r="426" spans="14:19" x14ac:dyDescent="0.3">
      <c r="N426" s="30"/>
      <c r="O426" s="30"/>
      <c r="P426" s="31"/>
      <c r="Q426" s="32"/>
      <c r="S426" s="32"/>
    </row>
    <row r="427" spans="14:19" x14ac:dyDescent="0.3">
      <c r="N427" s="30"/>
      <c r="O427" s="30"/>
      <c r="P427" s="31"/>
      <c r="Q427" s="32"/>
      <c r="S427" s="32"/>
    </row>
    <row r="428" spans="14:19" x14ac:dyDescent="0.3">
      <c r="N428" s="30"/>
      <c r="O428" s="30"/>
      <c r="P428" s="31"/>
      <c r="Q428" s="32"/>
      <c r="S428" s="32"/>
    </row>
    <row r="429" spans="14:19" x14ac:dyDescent="0.3">
      <c r="N429" s="30"/>
      <c r="O429" s="30"/>
      <c r="P429" s="31"/>
      <c r="Q429" s="32"/>
      <c r="S429" s="32"/>
    </row>
    <row r="430" spans="14:19" x14ac:dyDescent="0.3">
      <c r="N430" s="30"/>
      <c r="O430" s="30"/>
      <c r="P430" s="31"/>
      <c r="Q430" s="32"/>
      <c r="S430" s="32"/>
    </row>
    <row r="431" spans="14:19" x14ac:dyDescent="0.3">
      <c r="N431" s="30"/>
      <c r="O431" s="30"/>
      <c r="P431" s="31"/>
      <c r="Q431" s="32"/>
      <c r="S431" s="32"/>
    </row>
    <row r="432" spans="14:19" x14ac:dyDescent="0.3">
      <c r="N432" s="30"/>
      <c r="O432" s="30"/>
      <c r="P432" s="31"/>
      <c r="Q432" s="32"/>
      <c r="S432" s="32"/>
    </row>
    <row r="433" spans="14:19" x14ac:dyDescent="0.3">
      <c r="N433" s="30"/>
      <c r="O433" s="30"/>
      <c r="P433" s="31"/>
      <c r="Q433" s="32"/>
      <c r="S433" s="32"/>
    </row>
    <row r="434" spans="14:19" x14ac:dyDescent="0.3">
      <c r="N434" s="30"/>
      <c r="O434" s="30"/>
      <c r="P434" s="31"/>
      <c r="Q434" s="32"/>
      <c r="S434" s="32"/>
    </row>
    <row r="435" spans="14:19" x14ac:dyDescent="0.3">
      <c r="N435" s="30"/>
      <c r="O435" s="30"/>
      <c r="P435" s="31"/>
      <c r="Q435" s="32"/>
      <c r="S435" s="32"/>
    </row>
    <row r="436" spans="14:19" x14ac:dyDescent="0.3">
      <c r="N436" s="30"/>
      <c r="O436" s="30"/>
      <c r="P436" s="31"/>
      <c r="Q436" s="32"/>
      <c r="S436" s="32"/>
    </row>
    <row r="437" spans="14:19" x14ac:dyDescent="0.3">
      <c r="N437" s="30"/>
      <c r="O437" s="30"/>
      <c r="P437" s="31"/>
      <c r="Q437" s="32"/>
      <c r="S437" s="32"/>
    </row>
    <row r="438" spans="14:19" x14ac:dyDescent="0.3">
      <c r="N438" s="30"/>
      <c r="O438" s="30"/>
      <c r="P438" s="31"/>
      <c r="Q438" s="32"/>
      <c r="S438" s="32"/>
    </row>
    <row r="439" spans="14:19" x14ac:dyDescent="0.3">
      <c r="N439" s="30"/>
      <c r="O439" s="30"/>
      <c r="P439" s="31"/>
      <c r="Q439" s="32"/>
      <c r="S439" s="32"/>
    </row>
    <row r="440" spans="14:19" x14ac:dyDescent="0.3">
      <c r="N440" s="30"/>
      <c r="O440" s="30"/>
      <c r="P440" s="31"/>
      <c r="Q440" s="32"/>
      <c r="S440" s="32"/>
    </row>
    <row r="441" spans="14:19" x14ac:dyDescent="0.3">
      <c r="N441" s="30"/>
      <c r="O441" s="30"/>
      <c r="P441" s="31"/>
      <c r="Q441" s="32"/>
      <c r="S441" s="32"/>
    </row>
    <row r="442" spans="14:19" x14ac:dyDescent="0.3">
      <c r="N442" s="30"/>
      <c r="O442" s="30"/>
      <c r="P442" s="31"/>
      <c r="Q442" s="32"/>
      <c r="S442" s="32"/>
    </row>
    <row r="443" spans="14:19" x14ac:dyDescent="0.3">
      <c r="N443" s="30"/>
      <c r="O443" s="30"/>
      <c r="P443" s="31"/>
      <c r="Q443" s="32"/>
      <c r="S443" s="32"/>
    </row>
    <row r="444" spans="14:19" x14ac:dyDescent="0.3">
      <c r="N444" s="30"/>
      <c r="O444" s="30"/>
      <c r="P444" s="31"/>
      <c r="Q444" s="32"/>
      <c r="S444" s="32"/>
    </row>
    <row r="445" spans="14:19" x14ac:dyDescent="0.3">
      <c r="N445" s="30"/>
      <c r="O445" s="30"/>
      <c r="P445" s="31"/>
      <c r="Q445" s="32"/>
      <c r="S445" s="32"/>
    </row>
    <row r="446" spans="14:19" x14ac:dyDescent="0.3">
      <c r="N446" s="30"/>
      <c r="O446" s="30"/>
      <c r="P446" s="31"/>
      <c r="Q446" s="32"/>
      <c r="S446" s="32"/>
    </row>
    <row r="447" spans="14:19" x14ac:dyDescent="0.3">
      <c r="N447" s="30"/>
      <c r="O447" s="30"/>
      <c r="P447" s="31"/>
      <c r="Q447" s="32"/>
      <c r="S447" s="32"/>
    </row>
    <row r="448" spans="14:19" x14ac:dyDescent="0.3">
      <c r="N448" s="30"/>
      <c r="O448" s="30"/>
      <c r="P448" s="31"/>
      <c r="Q448" s="32"/>
      <c r="S448" s="32"/>
    </row>
    <row r="449" spans="14:19" x14ac:dyDescent="0.3">
      <c r="N449" s="30"/>
      <c r="O449" s="30"/>
      <c r="P449" s="31"/>
      <c r="Q449" s="32"/>
      <c r="S449" s="32"/>
    </row>
    <row r="450" spans="14:19" x14ac:dyDescent="0.3">
      <c r="N450" s="30"/>
      <c r="O450" s="30"/>
      <c r="P450" s="31"/>
      <c r="Q450" s="32"/>
      <c r="S450" s="32"/>
    </row>
    <row r="451" spans="14:19" x14ac:dyDescent="0.3">
      <c r="N451" s="30"/>
      <c r="O451" s="30"/>
      <c r="P451" s="31"/>
      <c r="Q451" s="32"/>
      <c r="S451" s="32"/>
    </row>
    <row r="452" spans="14:19" x14ac:dyDescent="0.3">
      <c r="N452" s="30"/>
      <c r="O452" s="30"/>
      <c r="P452" s="31"/>
      <c r="Q452" s="32"/>
      <c r="S452" s="32"/>
    </row>
    <row r="453" spans="14:19" x14ac:dyDescent="0.3">
      <c r="N453" s="30"/>
      <c r="O453" s="30"/>
      <c r="P453" s="31"/>
      <c r="Q453" s="32"/>
      <c r="S453" s="32"/>
    </row>
    <row r="454" spans="14:19" x14ac:dyDescent="0.3">
      <c r="N454" s="30"/>
      <c r="O454" s="30"/>
      <c r="P454" s="31"/>
      <c r="Q454" s="32"/>
      <c r="S454" s="32"/>
    </row>
    <row r="455" spans="14:19" x14ac:dyDescent="0.3">
      <c r="N455" s="30"/>
      <c r="O455" s="30"/>
      <c r="P455" s="31"/>
      <c r="Q455" s="32"/>
      <c r="S455" s="32"/>
    </row>
    <row r="456" spans="14:19" x14ac:dyDescent="0.3">
      <c r="N456" s="30"/>
      <c r="O456" s="30"/>
      <c r="P456" s="31"/>
      <c r="Q456" s="32"/>
      <c r="S456" s="32"/>
    </row>
    <row r="457" spans="14:19" x14ac:dyDescent="0.3">
      <c r="N457" s="30"/>
      <c r="O457" s="30"/>
      <c r="P457" s="31"/>
      <c r="Q457" s="32"/>
      <c r="S457" s="32"/>
    </row>
    <row r="458" spans="14:19" x14ac:dyDescent="0.3">
      <c r="N458" s="30"/>
      <c r="O458" s="30"/>
      <c r="P458" s="31"/>
      <c r="Q458" s="32"/>
      <c r="S458" s="32"/>
    </row>
    <row r="459" spans="14:19" x14ac:dyDescent="0.3">
      <c r="N459" s="30"/>
      <c r="O459" s="30"/>
      <c r="P459" s="31"/>
      <c r="Q459" s="32"/>
      <c r="S459" s="32"/>
    </row>
    <row r="460" spans="14:19" x14ac:dyDescent="0.3">
      <c r="N460" s="30"/>
      <c r="O460" s="30"/>
      <c r="P460" s="31"/>
      <c r="Q460" s="32"/>
      <c r="S460" s="32"/>
    </row>
    <row r="461" spans="14:19" x14ac:dyDescent="0.3">
      <c r="N461" s="30"/>
      <c r="O461" s="30"/>
      <c r="P461" s="31"/>
      <c r="Q461" s="32"/>
      <c r="S461" s="32"/>
    </row>
    <row r="462" spans="14:19" x14ac:dyDescent="0.3">
      <c r="N462" s="30"/>
      <c r="O462" s="30"/>
      <c r="P462" s="31"/>
      <c r="Q462" s="32"/>
      <c r="S462" s="32"/>
    </row>
    <row r="463" spans="14:19" x14ac:dyDescent="0.3">
      <c r="N463" s="30"/>
      <c r="O463" s="30"/>
      <c r="P463" s="31"/>
      <c r="Q463" s="32"/>
      <c r="S463" s="32"/>
    </row>
    <row r="464" spans="14:19" x14ac:dyDescent="0.3">
      <c r="N464" s="30"/>
      <c r="O464" s="30"/>
      <c r="P464" s="31"/>
      <c r="Q464" s="32"/>
      <c r="S464" s="32"/>
    </row>
    <row r="465" spans="14:19" x14ac:dyDescent="0.3">
      <c r="N465" s="30"/>
      <c r="O465" s="30"/>
      <c r="P465" s="31"/>
      <c r="Q465" s="32"/>
      <c r="S465" s="32"/>
    </row>
    <row r="466" spans="14:19" x14ac:dyDescent="0.3">
      <c r="N466" s="30"/>
      <c r="O466" s="30"/>
      <c r="P466" s="31"/>
      <c r="Q466" s="32"/>
      <c r="S466" s="32"/>
    </row>
    <row r="467" spans="14:19" x14ac:dyDescent="0.3">
      <c r="N467" s="30"/>
      <c r="O467" s="30"/>
      <c r="P467" s="31"/>
      <c r="Q467" s="32"/>
      <c r="S467" s="32"/>
    </row>
    <row r="468" spans="14:19" x14ac:dyDescent="0.3">
      <c r="N468" s="30"/>
      <c r="O468" s="30"/>
      <c r="P468" s="31"/>
      <c r="Q468" s="32"/>
      <c r="S468" s="32"/>
    </row>
    <row r="469" spans="14:19" x14ac:dyDescent="0.3">
      <c r="N469" s="30"/>
      <c r="O469" s="30"/>
      <c r="P469" s="31"/>
      <c r="Q469" s="32"/>
      <c r="S469" s="32"/>
    </row>
    <row r="470" spans="14:19" x14ac:dyDescent="0.3">
      <c r="N470" s="30"/>
      <c r="O470" s="30"/>
      <c r="P470" s="31"/>
      <c r="Q470" s="32"/>
      <c r="S470" s="32"/>
    </row>
    <row r="471" spans="14:19" x14ac:dyDescent="0.3">
      <c r="N471" s="30"/>
      <c r="O471" s="30"/>
      <c r="P471" s="31"/>
      <c r="Q471" s="32"/>
      <c r="S471" s="32"/>
    </row>
    <row r="472" spans="14:19" x14ac:dyDescent="0.3">
      <c r="N472" s="30"/>
      <c r="O472" s="30"/>
      <c r="P472" s="31"/>
      <c r="Q472" s="32"/>
      <c r="S472" s="32"/>
    </row>
    <row r="473" spans="14:19" x14ac:dyDescent="0.3">
      <c r="N473" s="30"/>
      <c r="O473" s="30"/>
      <c r="P473" s="31"/>
      <c r="Q473" s="32"/>
      <c r="S473" s="32"/>
    </row>
    <row r="474" spans="14:19" x14ac:dyDescent="0.3">
      <c r="N474" s="30"/>
      <c r="O474" s="30"/>
      <c r="P474" s="31"/>
      <c r="Q474" s="32"/>
      <c r="S474" s="32"/>
    </row>
    <row r="475" spans="14:19" x14ac:dyDescent="0.3">
      <c r="N475" s="30"/>
      <c r="O475" s="30"/>
      <c r="P475" s="31"/>
      <c r="Q475" s="32"/>
      <c r="S475" s="32"/>
    </row>
    <row r="476" spans="14:19" x14ac:dyDescent="0.3">
      <c r="N476" s="30"/>
      <c r="O476" s="30"/>
      <c r="P476" s="31"/>
      <c r="Q476" s="32"/>
      <c r="S476" s="32"/>
    </row>
    <row r="477" spans="14:19" x14ac:dyDescent="0.3">
      <c r="N477" s="30"/>
      <c r="O477" s="30"/>
      <c r="P477" s="31"/>
      <c r="Q477" s="32"/>
      <c r="S477" s="32"/>
    </row>
    <row r="478" spans="14:19" x14ac:dyDescent="0.3">
      <c r="N478" s="30"/>
      <c r="O478" s="30"/>
      <c r="P478" s="31"/>
      <c r="Q478" s="32"/>
      <c r="S478" s="32"/>
    </row>
    <row r="479" spans="14:19" x14ac:dyDescent="0.3">
      <c r="N479" s="30"/>
      <c r="O479" s="30"/>
      <c r="P479" s="31"/>
      <c r="Q479" s="32"/>
      <c r="S479" s="32"/>
    </row>
    <row r="480" spans="14:19" x14ac:dyDescent="0.3">
      <c r="N480" s="30"/>
      <c r="O480" s="30"/>
      <c r="P480" s="31"/>
      <c r="Q480" s="32"/>
      <c r="S480" s="32"/>
    </row>
    <row r="481" spans="14:19" x14ac:dyDescent="0.3">
      <c r="N481" s="30"/>
      <c r="O481" s="30"/>
      <c r="P481" s="31"/>
      <c r="Q481" s="32"/>
      <c r="S481" s="32"/>
    </row>
    <row r="482" spans="14:19" x14ac:dyDescent="0.3">
      <c r="N482" s="30"/>
      <c r="O482" s="30"/>
      <c r="P482" s="31"/>
      <c r="Q482" s="32"/>
      <c r="S482" s="32"/>
    </row>
    <row r="483" spans="14:19" x14ac:dyDescent="0.3">
      <c r="N483" s="30"/>
      <c r="O483" s="30"/>
      <c r="P483" s="31"/>
      <c r="Q483" s="32"/>
      <c r="S483" s="32"/>
    </row>
    <row r="484" spans="14:19" x14ac:dyDescent="0.3">
      <c r="N484" s="30"/>
      <c r="O484" s="30"/>
      <c r="P484" s="31"/>
      <c r="Q484" s="32"/>
      <c r="S484" s="32"/>
    </row>
    <row r="485" spans="14:19" x14ac:dyDescent="0.3">
      <c r="N485" s="30"/>
      <c r="O485" s="30"/>
      <c r="P485" s="31"/>
      <c r="Q485" s="32"/>
      <c r="S485" s="32"/>
    </row>
    <row r="486" spans="14:19" x14ac:dyDescent="0.3">
      <c r="N486" s="30"/>
      <c r="O486" s="30"/>
      <c r="P486" s="31"/>
      <c r="Q486" s="32"/>
      <c r="S486" s="32"/>
    </row>
    <row r="487" spans="14:19" x14ac:dyDescent="0.3">
      <c r="N487" s="30"/>
      <c r="O487" s="30"/>
      <c r="P487" s="31"/>
      <c r="Q487" s="32"/>
      <c r="S487" s="32"/>
    </row>
    <row r="488" spans="14:19" x14ac:dyDescent="0.3">
      <c r="N488" s="30"/>
      <c r="O488" s="30"/>
      <c r="P488" s="31"/>
      <c r="Q488" s="32"/>
      <c r="S488" s="32"/>
    </row>
    <row r="489" spans="14:19" x14ac:dyDescent="0.3">
      <c r="N489" s="30"/>
      <c r="O489" s="30"/>
      <c r="P489" s="31"/>
      <c r="Q489" s="32"/>
      <c r="S489" s="32"/>
    </row>
    <row r="490" spans="14:19" x14ac:dyDescent="0.3">
      <c r="N490" s="30"/>
      <c r="O490" s="30"/>
      <c r="P490" s="31"/>
      <c r="Q490" s="32"/>
      <c r="S490" s="32"/>
    </row>
    <row r="491" spans="14:19" x14ac:dyDescent="0.3">
      <c r="N491" s="30"/>
      <c r="O491" s="30"/>
      <c r="P491" s="31"/>
      <c r="Q491" s="32"/>
      <c r="S491" s="32"/>
    </row>
    <row r="492" spans="14:19" x14ac:dyDescent="0.3">
      <c r="N492" s="30"/>
      <c r="O492" s="30"/>
      <c r="P492" s="31"/>
      <c r="Q492" s="32"/>
      <c r="S492" s="32"/>
    </row>
    <row r="493" spans="14:19" x14ac:dyDescent="0.3">
      <c r="N493" s="30"/>
      <c r="O493" s="30"/>
      <c r="P493" s="31"/>
      <c r="Q493" s="32"/>
      <c r="S493" s="32"/>
    </row>
    <row r="494" spans="14:19" x14ac:dyDescent="0.3">
      <c r="N494" s="30"/>
      <c r="O494" s="30"/>
      <c r="P494" s="31"/>
      <c r="Q494" s="32"/>
      <c r="S494" s="32"/>
    </row>
    <row r="495" spans="14:19" x14ac:dyDescent="0.3">
      <c r="N495" s="30"/>
      <c r="O495" s="30"/>
      <c r="P495" s="31"/>
      <c r="Q495" s="32"/>
      <c r="S495" s="32"/>
    </row>
    <row r="496" spans="14:19" x14ac:dyDescent="0.3">
      <c r="N496" s="30"/>
      <c r="O496" s="30"/>
      <c r="P496" s="31"/>
      <c r="Q496" s="32"/>
      <c r="S496" s="32"/>
    </row>
    <row r="497" spans="14:19" x14ac:dyDescent="0.3">
      <c r="N497" s="30"/>
      <c r="O497" s="30"/>
      <c r="P497" s="31"/>
      <c r="Q497" s="32"/>
      <c r="S497" s="32"/>
    </row>
    <row r="498" spans="14:19" x14ac:dyDescent="0.3">
      <c r="N498" s="30"/>
      <c r="O498" s="30"/>
      <c r="P498" s="31"/>
      <c r="Q498" s="32"/>
      <c r="S498" s="32"/>
    </row>
    <row r="499" spans="14:19" x14ac:dyDescent="0.3">
      <c r="N499" s="30"/>
      <c r="O499" s="30"/>
      <c r="P499" s="31"/>
      <c r="Q499" s="32"/>
      <c r="S499" s="32"/>
    </row>
    <row r="500" spans="14:19" x14ac:dyDescent="0.3">
      <c r="N500" s="30"/>
      <c r="O500" s="30"/>
      <c r="P500" s="31"/>
      <c r="Q500" s="32"/>
      <c r="S500" s="32"/>
    </row>
    <row r="501" spans="14:19" x14ac:dyDescent="0.3">
      <c r="N501" s="30"/>
      <c r="O501" s="30"/>
      <c r="P501" s="31"/>
      <c r="Q501" s="32"/>
      <c r="S501" s="32"/>
    </row>
    <row r="502" spans="14:19" x14ac:dyDescent="0.3">
      <c r="N502" s="30"/>
      <c r="O502" s="30"/>
      <c r="P502" s="31"/>
      <c r="Q502" s="32"/>
      <c r="S502" s="32"/>
    </row>
    <row r="503" spans="14:19" x14ac:dyDescent="0.3">
      <c r="N503" s="30"/>
      <c r="O503" s="30"/>
      <c r="P503" s="31"/>
      <c r="Q503" s="32"/>
      <c r="S503" s="32"/>
    </row>
    <row r="504" spans="14:19" x14ac:dyDescent="0.3">
      <c r="N504" s="30"/>
      <c r="O504" s="30"/>
      <c r="P504" s="31"/>
      <c r="Q504" s="32"/>
      <c r="S504" s="32"/>
    </row>
    <row r="505" spans="14:19" x14ac:dyDescent="0.3">
      <c r="N505" s="30"/>
      <c r="O505" s="30"/>
      <c r="P505" s="31"/>
      <c r="Q505" s="32"/>
      <c r="S505" s="32"/>
    </row>
    <row r="506" spans="14:19" x14ac:dyDescent="0.3">
      <c r="N506" s="30"/>
      <c r="O506" s="30"/>
      <c r="P506" s="31"/>
      <c r="Q506" s="32"/>
      <c r="S506" s="32"/>
    </row>
    <row r="507" spans="14:19" x14ac:dyDescent="0.3">
      <c r="N507" s="30"/>
      <c r="O507" s="30"/>
      <c r="P507" s="31"/>
      <c r="Q507" s="32"/>
      <c r="S507" s="32"/>
    </row>
    <row r="508" spans="14:19" x14ac:dyDescent="0.3">
      <c r="N508" s="30"/>
      <c r="O508" s="30"/>
      <c r="P508" s="31"/>
      <c r="Q508" s="32"/>
      <c r="S508" s="32"/>
    </row>
    <row r="509" spans="14:19" x14ac:dyDescent="0.3">
      <c r="N509" s="30"/>
      <c r="O509" s="30"/>
      <c r="P509" s="31"/>
      <c r="Q509" s="32"/>
      <c r="S509" s="32"/>
    </row>
    <row r="510" spans="14:19" x14ac:dyDescent="0.3">
      <c r="N510" s="30"/>
      <c r="O510" s="30"/>
      <c r="P510" s="31"/>
      <c r="Q510" s="32"/>
      <c r="S510" s="32"/>
    </row>
    <row r="511" spans="14:19" x14ac:dyDescent="0.3">
      <c r="N511" s="30"/>
      <c r="O511" s="30"/>
      <c r="P511" s="31"/>
      <c r="Q511" s="32"/>
      <c r="S511" s="32"/>
    </row>
    <row r="512" spans="14:19" x14ac:dyDescent="0.3">
      <c r="N512" s="30"/>
      <c r="O512" s="30"/>
      <c r="P512" s="31"/>
      <c r="Q512" s="32"/>
      <c r="S512" s="32"/>
    </row>
    <row r="513" spans="14:19" x14ac:dyDescent="0.3">
      <c r="N513" s="30"/>
      <c r="O513" s="30"/>
      <c r="P513" s="31"/>
      <c r="Q513" s="32"/>
      <c r="S513" s="32"/>
    </row>
    <row r="514" spans="14:19" x14ac:dyDescent="0.3">
      <c r="N514" s="30"/>
      <c r="O514" s="30"/>
      <c r="P514" s="31"/>
      <c r="Q514" s="32"/>
      <c r="S514" s="32"/>
    </row>
    <row r="515" spans="14:19" x14ac:dyDescent="0.3">
      <c r="N515" s="30"/>
      <c r="O515" s="30"/>
      <c r="P515" s="31"/>
      <c r="Q515" s="32"/>
      <c r="S515" s="32"/>
    </row>
    <row r="516" spans="14:19" x14ac:dyDescent="0.3">
      <c r="N516" s="30"/>
      <c r="O516" s="30"/>
      <c r="P516" s="31"/>
      <c r="Q516" s="32"/>
      <c r="S516" s="32"/>
    </row>
    <row r="517" spans="14:19" x14ac:dyDescent="0.3">
      <c r="N517" s="30"/>
      <c r="O517" s="30"/>
      <c r="P517" s="31"/>
      <c r="Q517" s="32"/>
      <c r="S517" s="32"/>
    </row>
    <row r="518" spans="14:19" x14ac:dyDescent="0.3">
      <c r="N518" s="30"/>
      <c r="O518" s="30"/>
      <c r="P518" s="31"/>
      <c r="Q518" s="32"/>
      <c r="S518" s="32"/>
    </row>
    <row r="519" spans="14:19" x14ac:dyDescent="0.3">
      <c r="N519" s="30"/>
      <c r="O519" s="30"/>
      <c r="P519" s="31"/>
      <c r="Q519" s="32"/>
      <c r="S519" s="32"/>
    </row>
    <row r="520" spans="14:19" x14ac:dyDescent="0.3">
      <c r="N520" s="30"/>
      <c r="O520" s="30"/>
      <c r="P520" s="31"/>
      <c r="Q520" s="32"/>
      <c r="S520" s="32"/>
    </row>
    <row r="521" spans="14:19" x14ac:dyDescent="0.3">
      <c r="N521" s="30"/>
      <c r="O521" s="30"/>
      <c r="P521" s="31"/>
      <c r="Q521" s="32"/>
      <c r="S521" s="32"/>
    </row>
    <row r="522" spans="14:19" x14ac:dyDescent="0.3">
      <c r="N522" s="30"/>
      <c r="O522" s="30"/>
      <c r="P522" s="31"/>
      <c r="Q522" s="32"/>
      <c r="S522" s="32"/>
    </row>
    <row r="523" spans="14:19" x14ac:dyDescent="0.3">
      <c r="N523" s="30"/>
      <c r="O523" s="30"/>
      <c r="P523" s="31"/>
      <c r="Q523" s="32"/>
      <c r="S523" s="32"/>
    </row>
    <row r="524" spans="14:19" x14ac:dyDescent="0.3">
      <c r="N524" s="30"/>
      <c r="O524" s="30"/>
      <c r="P524" s="31"/>
      <c r="Q524" s="32"/>
      <c r="S524" s="32"/>
    </row>
    <row r="525" spans="14:19" x14ac:dyDescent="0.3">
      <c r="N525" s="30"/>
      <c r="O525" s="30"/>
      <c r="P525" s="31"/>
      <c r="Q525" s="32"/>
      <c r="S525" s="32"/>
    </row>
    <row r="526" spans="14:19" x14ac:dyDescent="0.3">
      <c r="N526" s="30"/>
      <c r="O526" s="30"/>
      <c r="P526" s="31"/>
      <c r="Q526" s="32"/>
      <c r="S526" s="32"/>
    </row>
    <row r="527" spans="14:19" x14ac:dyDescent="0.3">
      <c r="N527" s="30"/>
      <c r="O527" s="30"/>
      <c r="P527" s="31"/>
      <c r="Q527" s="32"/>
      <c r="S527" s="32"/>
    </row>
    <row r="528" spans="14:19" x14ac:dyDescent="0.3">
      <c r="N528" s="30"/>
      <c r="O528" s="30"/>
      <c r="P528" s="31"/>
      <c r="Q528" s="32"/>
      <c r="S528" s="32"/>
    </row>
    <row r="529" spans="14:19" x14ac:dyDescent="0.3">
      <c r="N529" s="30"/>
      <c r="O529" s="30"/>
      <c r="P529" s="31"/>
      <c r="Q529" s="32"/>
      <c r="S529" s="32"/>
    </row>
    <row r="530" spans="14:19" x14ac:dyDescent="0.3">
      <c r="N530" s="30"/>
      <c r="O530" s="30"/>
      <c r="P530" s="31"/>
      <c r="Q530" s="32"/>
      <c r="S530" s="32"/>
    </row>
    <row r="531" spans="14:19" x14ac:dyDescent="0.3">
      <c r="N531" s="30"/>
      <c r="O531" s="30"/>
      <c r="P531" s="31"/>
      <c r="Q531" s="32"/>
      <c r="S531" s="32"/>
    </row>
    <row r="532" spans="14:19" x14ac:dyDescent="0.3">
      <c r="N532" s="30"/>
      <c r="O532" s="30"/>
      <c r="P532" s="31"/>
      <c r="Q532" s="32"/>
      <c r="S532" s="32"/>
    </row>
    <row r="533" spans="14:19" x14ac:dyDescent="0.3">
      <c r="N533" s="30"/>
      <c r="O533" s="30"/>
      <c r="P533" s="31"/>
      <c r="Q533" s="32"/>
      <c r="S533" s="32"/>
    </row>
    <row r="534" spans="14:19" x14ac:dyDescent="0.3">
      <c r="N534" s="30"/>
      <c r="O534" s="30"/>
      <c r="P534" s="31"/>
      <c r="Q534" s="32"/>
      <c r="S534" s="32"/>
    </row>
    <row r="535" spans="14:19" x14ac:dyDescent="0.3">
      <c r="N535" s="30"/>
      <c r="O535" s="30"/>
      <c r="P535" s="31"/>
      <c r="Q535" s="32"/>
      <c r="S535" s="32"/>
    </row>
    <row r="536" spans="14:19" x14ac:dyDescent="0.3">
      <c r="N536" s="30"/>
      <c r="O536" s="30"/>
      <c r="P536" s="31"/>
      <c r="Q536" s="32"/>
      <c r="S536" s="32"/>
    </row>
    <row r="537" spans="14:19" x14ac:dyDescent="0.3">
      <c r="N537" s="30"/>
      <c r="O537" s="30"/>
      <c r="P537" s="31"/>
      <c r="Q537" s="32"/>
      <c r="S537" s="32"/>
    </row>
    <row r="538" spans="14:19" x14ac:dyDescent="0.3">
      <c r="N538" s="30"/>
      <c r="O538" s="30"/>
      <c r="P538" s="31"/>
      <c r="Q538" s="32"/>
      <c r="S538" s="32"/>
    </row>
    <row r="539" spans="14:19" x14ac:dyDescent="0.3">
      <c r="N539" s="30"/>
      <c r="O539" s="30"/>
      <c r="P539" s="31"/>
      <c r="Q539" s="32"/>
      <c r="S539" s="32"/>
    </row>
    <row r="540" spans="14:19" x14ac:dyDescent="0.3">
      <c r="N540" s="30"/>
      <c r="O540" s="30"/>
      <c r="P540" s="31"/>
      <c r="Q540" s="32"/>
      <c r="S540" s="32"/>
    </row>
    <row r="541" spans="14:19" x14ac:dyDescent="0.3">
      <c r="N541" s="30"/>
      <c r="O541" s="30"/>
      <c r="P541" s="31"/>
      <c r="Q541" s="32"/>
      <c r="S541" s="32"/>
    </row>
    <row r="542" spans="14:19" x14ac:dyDescent="0.3">
      <c r="N542" s="30"/>
      <c r="O542" s="30"/>
      <c r="P542" s="31"/>
      <c r="Q542" s="32"/>
      <c r="S542" s="32"/>
    </row>
    <row r="543" spans="14:19" x14ac:dyDescent="0.3">
      <c r="N543" s="30"/>
      <c r="O543" s="30"/>
      <c r="P543" s="31"/>
      <c r="Q543" s="32"/>
      <c r="S543" s="32"/>
    </row>
    <row r="544" spans="14:19" x14ac:dyDescent="0.3">
      <c r="N544" s="30"/>
      <c r="O544" s="30"/>
      <c r="P544" s="31"/>
      <c r="Q544" s="32"/>
      <c r="S544" s="32"/>
    </row>
    <row r="545" spans="14:19" x14ac:dyDescent="0.3">
      <c r="N545" s="30"/>
      <c r="O545" s="30"/>
      <c r="P545" s="31"/>
      <c r="Q545" s="32"/>
      <c r="S545" s="32"/>
    </row>
    <row r="546" spans="14:19" x14ac:dyDescent="0.3">
      <c r="N546" s="30"/>
      <c r="O546" s="30"/>
      <c r="P546" s="31"/>
      <c r="Q546" s="32"/>
      <c r="S546" s="32"/>
    </row>
    <row r="547" spans="14:19" x14ac:dyDescent="0.3">
      <c r="N547" s="30"/>
      <c r="O547" s="30"/>
      <c r="P547" s="31"/>
      <c r="Q547" s="32"/>
      <c r="S547" s="32"/>
    </row>
    <row r="548" spans="14:19" x14ac:dyDescent="0.3">
      <c r="N548" s="30"/>
      <c r="O548" s="30"/>
      <c r="P548" s="31"/>
      <c r="Q548" s="32"/>
      <c r="S548" s="32"/>
    </row>
    <row r="549" spans="14:19" x14ac:dyDescent="0.3">
      <c r="N549" s="30"/>
      <c r="O549" s="30"/>
      <c r="P549" s="31"/>
      <c r="Q549" s="32"/>
      <c r="S549" s="32"/>
    </row>
    <row r="550" spans="14:19" x14ac:dyDescent="0.3">
      <c r="N550" s="30"/>
      <c r="O550" s="30"/>
      <c r="P550" s="31"/>
      <c r="Q550" s="32"/>
      <c r="S550" s="32"/>
    </row>
    <row r="551" spans="14:19" x14ac:dyDescent="0.3">
      <c r="N551" s="30"/>
      <c r="O551" s="30"/>
      <c r="P551" s="31"/>
      <c r="Q551" s="32"/>
      <c r="S551" s="32"/>
    </row>
    <row r="552" spans="14:19" x14ac:dyDescent="0.3">
      <c r="N552" s="30"/>
      <c r="O552" s="30"/>
      <c r="P552" s="31"/>
      <c r="Q552" s="32"/>
      <c r="S552" s="32"/>
    </row>
    <row r="553" spans="14:19" x14ac:dyDescent="0.3">
      <c r="N553" s="30"/>
      <c r="O553" s="30"/>
      <c r="P553" s="31"/>
      <c r="Q553" s="32"/>
      <c r="S553" s="32"/>
    </row>
    <row r="554" spans="14:19" x14ac:dyDescent="0.3">
      <c r="N554" s="30"/>
      <c r="O554" s="30"/>
      <c r="P554" s="31"/>
      <c r="Q554" s="32"/>
      <c r="S554" s="32"/>
    </row>
    <row r="555" spans="14:19" x14ac:dyDescent="0.3">
      <c r="N555" s="30"/>
      <c r="O555" s="30"/>
      <c r="P555" s="31"/>
      <c r="Q555" s="32"/>
      <c r="S555" s="32"/>
    </row>
    <row r="556" spans="14:19" x14ac:dyDescent="0.3">
      <c r="N556" s="30"/>
      <c r="O556" s="30"/>
      <c r="P556" s="31"/>
      <c r="Q556" s="32"/>
      <c r="S556" s="32"/>
    </row>
    <row r="557" spans="14:19" x14ac:dyDescent="0.3">
      <c r="N557" s="30"/>
      <c r="O557" s="30"/>
      <c r="P557" s="31"/>
      <c r="Q557" s="32"/>
      <c r="S557" s="32"/>
    </row>
    <row r="558" spans="14:19" x14ac:dyDescent="0.3">
      <c r="N558" s="30"/>
      <c r="O558" s="30"/>
      <c r="P558" s="31"/>
      <c r="Q558" s="32"/>
      <c r="S558" s="32"/>
    </row>
    <row r="559" spans="14:19" x14ac:dyDescent="0.3">
      <c r="N559" s="30"/>
      <c r="O559" s="30"/>
      <c r="P559" s="31"/>
      <c r="Q559" s="32"/>
      <c r="S559" s="32"/>
    </row>
    <row r="560" spans="14:19" x14ac:dyDescent="0.3">
      <c r="N560" s="30"/>
      <c r="O560" s="30"/>
      <c r="P560" s="31"/>
      <c r="Q560" s="32"/>
      <c r="S560" s="32"/>
    </row>
    <row r="561" spans="14:19" x14ac:dyDescent="0.3">
      <c r="N561" s="30"/>
      <c r="O561" s="30"/>
      <c r="P561" s="31"/>
      <c r="Q561" s="32"/>
      <c r="S561" s="32"/>
    </row>
    <row r="562" spans="14:19" x14ac:dyDescent="0.3">
      <c r="N562" s="30"/>
      <c r="O562" s="30"/>
      <c r="P562" s="31"/>
      <c r="Q562" s="32"/>
      <c r="S562" s="32"/>
    </row>
    <row r="563" spans="14:19" x14ac:dyDescent="0.3">
      <c r="N563" s="30"/>
      <c r="O563" s="30"/>
      <c r="P563" s="31"/>
      <c r="Q563" s="32"/>
      <c r="S563" s="32"/>
    </row>
    <row r="564" spans="14:19" x14ac:dyDescent="0.3">
      <c r="N564" s="30"/>
      <c r="O564" s="30"/>
      <c r="P564" s="31"/>
      <c r="Q564" s="32"/>
      <c r="S564" s="32"/>
    </row>
    <row r="565" spans="14:19" x14ac:dyDescent="0.3">
      <c r="N565" s="30"/>
      <c r="O565" s="30"/>
      <c r="P565" s="31"/>
      <c r="Q565" s="32"/>
      <c r="S565" s="32"/>
    </row>
    <row r="566" spans="14:19" x14ac:dyDescent="0.3">
      <c r="N566" s="30"/>
      <c r="O566" s="30"/>
      <c r="P566" s="31"/>
      <c r="Q566" s="32"/>
      <c r="S566" s="32"/>
    </row>
    <row r="567" spans="14:19" x14ac:dyDescent="0.3">
      <c r="N567" s="30"/>
      <c r="O567" s="30"/>
      <c r="P567" s="31"/>
      <c r="Q567" s="32"/>
      <c r="S567" s="32"/>
    </row>
    <row r="568" spans="14:19" x14ac:dyDescent="0.3">
      <c r="N568" s="30"/>
      <c r="O568" s="30"/>
      <c r="P568" s="31"/>
      <c r="Q568" s="32"/>
      <c r="S568" s="32"/>
    </row>
    <row r="569" spans="14:19" x14ac:dyDescent="0.3">
      <c r="N569" s="30"/>
      <c r="O569" s="30"/>
      <c r="P569" s="31"/>
      <c r="Q569" s="32"/>
      <c r="S569" s="32"/>
    </row>
    <row r="570" spans="14:19" x14ac:dyDescent="0.3">
      <c r="N570" s="30"/>
      <c r="O570" s="30"/>
      <c r="P570" s="31"/>
      <c r="Q570" s="32"/>
      <c r="S570" s="32"/>
    </row>
    <row r="571" spans="14:19" x14ac:dyDescent="0.3">
      <c r="N571" s="30"/>
      <c r="O571" s="30"/>
      <c r="P571" s="31"/>
      <c r="Q571" s="32"/>
      <c r="S571" s="32"/>
    </row>
    <row r="572" spans="14:19" x14ac:dyDescent="0.3">
      <c r="N572" s="30"/>
      <c r="O572" s="30"/>
      <c r="P572" s="31"/>
      <c r="Q572" s="32"/>
      <c r="S572" s="32"/>
    </row>
    <row r="573" spans="14:19" x14ac:dyDescent="0.3">
      <c r="N573" s="30"/>
      <c r="O573" s="30"/>
      <c r="P573" s="31"/>
      <c r="Q573" s="32"/>
      <c r="S573" s="32"/>
    </row>
    <row r="574" spans="14:19" x14ac:dyDescent="0.3">
      <c r="N574" s="30"/>
      <c r="O574" s="30"/>
      <c r="P574" s="31"/>
      <c r="Q574" s="32"/>
      <c r="S574" s="32"/>
    </row>
    <row r="575" spans="14:19" x14ac:dyDescent="0.3">
      <c r="N575" s="30"/>
      <c r="O575" s="30"/>
      <c r="P575" s="31"/>
      <c r="Q575" s="32"/>
      <c r="S575" s="32"/>
    </row>
    <row r="576" spans="14:19" x14ac:dyDescent="0.3">
      <c r="N576" s="30"/>
      <c r="O576" s="30"/>
      <c r="P576" s="31"/>
      <c r="Q576" s="32"/>
      <c r="S576" s="32"/>
    </row>
    <row r="577" spans="14:19" x14ac:dyDescent="0.3">
      <c r="N577" s="30"/>
      <c r="O577" s="30"/>
      <c r="P577" s="31"/>
      <c r="Q577" s="32"/>
      <c r="S577" s="32"/>
    </row>
    <row r="578" spans="14:19" x14ac:dyDescent="0.3">
      <c r="N578" s="30"/>
      <c r="O578" s="30"/>
      <c r="P578" s="31"/>
      <c r="Q578" s="32"/>
      <c r="S578" s="32"/>
    </row>
    <row r="579" spans="14:19" x14ac:dyDescent="0.3">
      <c r="N579" s="30"/>
      <c r="O579" s="30"/>
      <c r="P579" s="31"/>
      <c r="Q579" s="32"/>
      <c r="S579" s="32"/>
    </row>
    <row r="580" spans="14:19" x14ac:dyDescent="0.3">
      <c r="N580" s="30"/>
      <c r="O580" s="30"/>
      <c r="P580" s="31"/>
      <c r="Q580" s="32"/>
      <c r="S580" s="32"/>
    </row>
    <row r="581" spans="14:19" x14ac:dyDescent="0.3">
      <c r="N581" s="30"/>
      <c r="O581" s="30"/>
      <c r="P581" s="31"/>
      <c r="Q581" s="32"/>
      <c r="S581" s="32"/>
    </row>
    <row r="582" spans="14:19" x14ac:dyDescent="0.3">
      <c r="N582" s="30"/>
      <c r="O582" s="30"/>
      <c r="P582" s="31"/>
      <c r="Q582" s="32"/>
      <c r="S582" s="32"/>
    </row>
    <row r="583" spans="14:19" x14ac:dyDescent="0.3">
      <c r="N583" s="30"/>
      <c r="O583" s="30"/>
      <c r="P583" s="31"/>
      <c r="Q583" s="32"/>
      <c r="S583" s="32"/>
    </row>
    <row r="584" spans="14:19" x14ac:dyDescent="0.3">
      <c r="N584" s="30"/>
      <c r="O584" s="30"/>
      <c r="P584" s="31"/>
      <c r="Q584" s="32"/>
      <c r="S584" s="32"/>
    </row>
    <row r="585" spans="14:19" x14ac:dyDescent="0.3">
      <c r="N585" s="30"/>
      <c r="O585" s="30"/>
      <c r="P585" s="31"/>
      <c r="Q585" s="32"/>
      <c r="S585" s="32"/>
    </row>
    <row r="586" spans="14:19" x14ac:dyDescent="0.3">
      <c r="N586" s="30"/>
      <c r="O586" s="30"/>
      <c r="P586" s="31"/>
      <c r="Q586" s="32"/>
      <c r="S586" s="32"/>
    </row>
    <row r="587" spans="14:19" x14ac:dyDescent="0.3">
      <c r="N587" s="30"/>
      <c r="O587" s="30"/>
      <c r="P587" s="31"/>
      <c r="Q587" s="32"/>
      <c r="S587" s="32"/>
    </row>
    <row r="588" spans="14:19" x14ac:dyDescent="0.3">
      <c r="N588" s="30"/>
      <c r="O588" s="30"/>
      <c r="P588" s="31"/>
      <c r="Q588" s="32"/>
      <c r="S588" s="32"/>
    </row>
    <row r="589" spans="14:19" x14ac:dyDescent="0.3">
      <c r="N589" s="30"/>
      <c r="O589" s="30"/>
      <c r="P589" s="31"/>
      <c r="Q589" s="32"/>
      <c r="S589" s="32"/>
    </row>
    <row r="590" spans="14:19" x14ac:dyDescent="0.3">
      <c r="N590" s="30"/>
      <c r="O590" s="30"/>
      <c r="P590" s="31"/>
      <c r="Q590" s="32"/>
      <c r="S590" s="32"/>
    </row>
    <row r="591" spans="14:19" x14ac:dyDescent="0.3">
      <c r="N591" s="30"/>
      <c r="O591" s="30"/>
      <c r="P591" s="31"/>
      <c r="Q591" s="32"/>
      <c r="S591" s="32"/>
    </row>
    <row r="592" spans="14:19" x14ac:dyDescent="0.3">
      <c r="N592" s="30"/>
      <c r="O592" s="30"/>
      <c r="P592" s="31"/>
      <c r="Q592" s="32"/>
      <c r="S592" s="32"/>
    </row>
    <row r="593" spans="14:19" x14ac:dyDescent="0.3">
      <c r="N593" s="30"/>
      <c r="O593" s="30"/>
      <c r="P593" s="31"/>
      <c r="Q593" s="32"/>
      <c r="S593" s="32"/>
    </row>
    <row r="594" spans="14:19" x14ac:dyDescent="0.3">
      <c r="N594" s="30"/>
      <c r="O594" s="30"/>
      <c r="P594" s="31"/>
      <c r="Q594" s="32"/>
      <c r="S594" s="32"/>
    </row>
    <row r="595" spans="14:19" x14ac:dyDescent="0.3">
      <c r="N595" s="30"/>
      <c r="O595" s="30"/>
      <c r="P595" s="31"/>
      <c r="Q595" s="32"/>
      <c r="S595" s="32"/>
    </row>
    <row r="596" spans="14:19" x14ac:dyDescent="0.3">
      <c r="N596" s="30"/>
      <c r="O596" s="30"/>
      <c r="P596" s="31"/>
      <c r="Q596" s="32"/>
      <c r="S596" s="32"/>
    </row>
    <row r="597" spans="14:19" x14ac:dyDescent="0.3">
      <c r="N597" s="30"/>
      <c r="O597" s="30"/>
      <c r="P597" s="31"/>
      <c r="Q597" s="32"/>
      <c r="S597" s="32"/>
    </row>
    <row r="598" spans="14:19" x14ac:dyDescent="0.3">
      <c r="N598" s="30"/>
      <c r="O598" s="30"/>
      <c r="P598" s="31"/>
      <c r="Q598" s="32"/>
      <c r="S598" s="32"/>
    </row>
    <row r="599" spans="14:19" x14ac:dyDescent="0.3">
      <c r="N599" s="30"/>
      <c r="O599" s="30"/>
      <c r="P599" s="31"/>
      <c r="Q599" s="32"/>
      <c r="S599" s="32"/>
    </row>
    <row r="600" spans="14:19" x14ac:dyDescent="0.3">
      <c r="N600" s="30"/>
      <c r="O600" s="30"/>
      <c r="P600" s="31"/>
      <c r="Q600" s="32"/>
      <c r="S600" s="32"/>
    </row>
    <row r="601" spans="14:19" x14ac:dyDescent="0.3">
      <c r="N601" s="30"/>
      <c r="O601" s="30"/>
      <c r="P601" s="31"/>
      <c r="Q601" s="32"/>
      <c r="S601" s="32"/>
    </row>
    <row r="602" spans="14:19" x14ac:dyDescent="0.3">
      <c r="N602" s="30"/>
      <c r="O602" s="30"/>
      <c r="P602" s="31"/>
      <c r="Q602" s="32"/>
      <c r="S602" s="32"/>
    </row>
    <row r="603" spans="14:19" x14ac:dyDescent="0.3">
      <c r="N603" s="30"/>
      <c r="O603" s="30"/>
      <c r="P603" s="31"/>
      <c r="Q603" s="32"/>
      <c r="S603" s="32"/>
    </row>
    <row r="604" spans="14:19" x14ac:dyDescent="0.3">
      <c r="N604" s="30"/>
      <c r="O604" s="30"/>
      <c r="P604" s="31"/>
      <c r="Q604" s="32"/>
      <c r="S604" s="32"/>
    </row>
    <row r="605" spans="14:19" x14ac:dyDescent="0.3">
      <c r="N605" s="30"/>
      <c r="O605" s="30"/>
      <c r="P605" s="31"/>
      <c r="Q605" s="32"/>
      <c r="S605" s="32"/>
    </row>
    <row r="606" spans="14:19" x14ac:dyDescent="0.3">
      <c r="N606" s="30"/>
      <c r="O606" s="30"/>
      <c r="P606" s="31"/>
      <c r="Q606" s="32"/>
      <c r="S606" s="32"/>
    </row>
    <row r="607" spans="14:19" x14ac:dyDescent="0.3">
      <c r="N607" s="30"/>
      <c r="O607" s="30"/>
      <c r="P607" s="31"/>
      <c r="Q607" s="32"/>
      <c r="S607" s="32"/>
    </row>
    <row r="608" spans="14:19" x14ac:dyDescent="0.3">
      <c r="N608" s="30"/>
      <c r="O608" s="30"/>
      <c r="P608" s="31"/>
      <c r="Q608" s="32"/>
      <c r="S608" s="32"/>
    </row>
    <row r="609" spans="14:19" x14ac:dyDescent="0.3">
      <c r="N609" s="30"/>
      <c r="O609" s="30"/>
      <c r="P609" s="31"/>
      <c r="Q609" s="32"/>
      <c r="S609" s="32"/>
    </row>
    <row r="610" spans="14:19" x14ac:dyDescent="0.3">
      <c r="N610" s="30"/>
      <c r="O610" s="30"/>
      <c r="P610" s="31"/>
      <c r="Q610" s="32"/>
      <c r="S610" s="32"/>
    </row>
    <row r="611" spans="14:19" x14ac:dyDescent="0.3">
      <c r="N611" s="30"/>
      <c r="O611" s="30"/>
      <c r="P611" s="31"/>
      <c r="Q611" s="32"/>
      <c r="S611" s="32"/>
    </row>
    <row r="612" spans="14:19" x14ac:dyDescent="0.3">
      <c r="N612" s="30"/>
      <c r="O612" s="30"/>
      <c r="P612" s="31"/>
      <c r="Q612" s="32"/>
      <c r="S612" s="32"/>
    </row>
    <row r="613" spans="14:19" x14ac:dyDescent="0.3">
      <c r="N613" s="30"/>
      <c r="O613" s="30"/>
      <c r="P613" s="31"/>
      <c r="Q613" s="32"/>
      <c r="S613" s="32"/>
    </row>
    <row r="614" spans="14:19" x14ac:dyDescent="0.3">
      <c r="N614" s="30"/>
      <c r="O614" s="30"/>
      <c r="P614" s="31"/>
      <c r="Q614" s="32"/>
      <c r="S614" s="32"/>
    </row>
    <row r="615" spans="14:19" x14ac:dyDescent="0.3">
      <c r="N615" s="30"/>
      <c r="O615" s="30"/>
      <c r="P615" s="31"/>
      <c r="Q615" s="32"/>
      <c r="S615" s="32"/>
    </row>
    <row r="616" spans="14:19" x14ac:dyDescent="0.3">
      <c r="N616" s="30"/>
      <c r="O616" s="30"/>
      <c r="P616" s="31"/>
      <c r="Q616" s="32"/>
      <c r="S616" s="32"/>
    </row>
    <row r="617" spans="14:19" x14ac:dyDescent="0.3">
      <c r="N617" s="30"/>
      <c r="O617" s="30"/>
      <c r="P617" s="31"/>
      <c r="Q617" s="32"/>
      <c r="S617" s="32"/>
    </row>
    <row r="618" spans="14:19" x14ac:dyDescent="0.3">
      <c r="N618" s="30"/>
      <c r="O618" s="30"/>
      <c r="P618" s="31"/>
      <c r="Q618" s="32"/>
      <c r="S618" s="32"/>
    </row>
    <row r="619" spans="14:19" x14ac:dyDescent="0.3">
      <c r="N619" s="30"/>
      <c r="O619" s="30"/>
      <c r="P619" s="31"/>
      <c r="Q619" s="32"/>
      <c r="S619" s="32"/>
    </row>
    <row r="620" spans="14:19" x14ac:dyDescent="0.3">
      <c r="N620" s="30"/>
      <c r="O620" s="30"/>
      <c r="P620" s="31"/>
      <c r="Q620" s="32"/>
      <c r="S620" s="32"/>
    </row>
    <row r="621" spans="14:19" x14ac:dyDescent="0.3">
      <c r="N621" s="30"/>
      <c r="O621" s="30"/>
      <c r="P621" s="31"/>
      <c r="Q621" s="32"/>
      <c r="S621" s="32"/>
    </row>
    <row r="622" spans="14:19" x14ac:dyDescent="0.3">
      <c r="N622" s="30"/>
      <c r="O622" s="30"/>
      <c r="P622" s="31"/>
      <c r="Q622" s="32"/>
      <c r="S622" s="32"/>
    </row>
    <row r="623" spans="14:19" x14ac:dyDescent="0.3">
      <c r="N623" s="30"/>
      <c r="O623" s="30"/>
      <c r="P623" s="31"/>
      <c r="Q623" s="32"/>
      <c r="S623" s="32"/>
    </row>
    <row r="624" spans="14:19" x14ac:dyDescent="0.3">
      <c r="N624" s="30"/>
      <c r="O624" s="30"/>
      <c r="P624" s="31"/>
      <c r="Q624" s="32"/>
      <c r="S624" s="32"/>
    </row>
    <row r="625" spans="14:19" x14ac:dyDescent="0.3">
      <c r="N625" s="30"/>
      <c r="O625" s="30"/>
      <c r="P625" s="31"/>
      <c r="Q625" s="32"/>
      <c r="S625" s="32"/>
    </row>
    <row r="626" spans="14:19" x14ac:dyDescent="0.3">
      <c r="N626" s="30"/>
      <c r="O626" s="30"/>
      <c r="P626" s="31"/>
      <c r="Q626" s="32"/>
      <c r="S626" s="32"/>
    </row>
    <row r="627" spans="14:19" x14ac:dyDescent="0.3">
      <c r="N627" s="30"/>
      <c r="O627" s="30"/>
      <c r="P627" s="31"/>
      <c r="Q627" s="32"/>
      <c r="S627" s="32"/>
    </row>
    <row r="628" spans="14:19" x14ac:dyDescent="0.3">
      <c r="N628" s="30"/>
      <c r="O628" s="30"/>
      <c r="P628" s="31"/>
      <c r="Q628" s="32"/>
      <c r="S628" s="32"/>
    </row>
    <row r="629" spans="14:19" x14ac:dyDescent="0.3">
      <c r="N629" s="30"/>
      <c r="O629" s="30"/>
      <c r="P629" s="31"/>
      <c r="Q629" s="32"/>
      <c r="S629" s="32"/>
    </row>
    <row r="630" spans="14:19" x14ac:dyDescent="0.3">
      <c r="N630" s="30"/>
      <c r="O630" s="30"/>
      <c r="P630" s="31"/>
      <c r="Q630" s="32"/>
      <c r="S630" s="32"/>
    </row>
    <row r="631" spans="14:19" x14ac:dyDescent="0.3">
      <c r="N631" s="30"/>
      <c r="O631" s="30"/>
      <c r="P631" s="31"/>
      <c r="Q631" s="32"/>
      <c r="S631" s="32"/>
    </row>
    <row r="632" spans="14:19" x14ac:dyDescent="0.3">
      <c r="N632" s="30"/>
      <c r="O632" s="30"/>
      <c r="P632" s="31"/>
      <c r="Q632" s="32"/>
      <c r="S632" s="32"/>
    </row>
    <row r="633" spans="14:19" x14ac:dyDescent="0.3">
      <c r="N633" s="30"/>
      <c r="O633" s="30"/>
      <c r="P633" s="31"/>
      <c r="Q633" s="32"/>
      <c r="S633" s="32"/>
    </row>
    <row r="634" spans="14:19" x14ac:dyDescent="0.3">
      <c r="N634" s="30"/>
      <c r="O634" s="30"/>
      <c r="P634" s="31"/>
      <c r="Q634" s="32"/>
      <c r="S634" s="32"/>
    </row>
    <row r="635" spans="14:19" x14ac:dyDescent="0.3">
      <c r="N635" s="30"/>
      <c r="O635" s="30"/>
      <c r="P635" s="31"/>
      <c r="Q635" s="32"/>
      <c r="S635" s="32"/>
    </row>
    <row r="636" spans="14:19" x14ac:dyDescent="0.3">
      <c r="N636" s="30"/>
      <c r="O636" s="30"/>
      <c r="P636" s="31"/>
      <c r="Q636" s="32"/>
      <c r="S636" s="32"/>
    </row>
    <row r="637" spans="14:19" x14ac:dyDescent="0.3">
      <c r="N637" s="30"/>
      <c r="O637" s="30"/>
      <c r="P637" s="31"/>
      <c r="Q637" s="32"/>
      <c r="S637" s="32"/>
    </row>
    <row r="638" spans="14:19" x14ac:dyDescent="0.3">
      <c r="N638" s="30"/>
      <c r="O638" s="30"/>
      <c r="P638" s="31"/>
      <c r="Q638" s="32"/>
      <c r="S638" s="32"/>
    </row>
    <row r="639" spans="14:19" x14ac:dyDescent="0.3">
      <c r="N639" s="30"/>
      <c r="O639" s="30"/>
      <c r="P639" s="31"/>
      <c r="Q639" s="32"/>
      <c r="S639" s="32"/>
    </row>
    <row r="640" spans="14:19" x14ac:dyDescent="0.3">
      <c r="N640" s="30"/>
      <c r="O640" s="30"/>
      <c r="P640" s="31"/>
      <c r="Q640" s="32"/>
      <c r="S640" s="32"/>
    </row>
    <row r="641" spans="14:19" x14ac:dyDescent="0.3">
      <c r="N641" s="30"/>
      <c r="O641" s="30"/>
      <c r="P641" s="31"/>
      <c r="Q641" s="32"/>
      <c r="S641" s="32"/>
    </row>
    <row r="642" spans="14:19" x14ac:dyDescent="0.3">
      <c r="N642" s="30"/>
      <c r="O642" s="30"/>
      <c r="P642" s="31"/>
      <c r="Q642" s="32"/>
      <c r="S642" s="32"/>
    </row>
    <row r="643" spans="14:19" x14ac:dyDescent="0.3">
      <c r="N643" s="30"/>
      <c r="O643" s="30"/>
      <c r="P643" s="31"/>
      <c r="Q643" s="32"/>
      <c r="S643" s="32"/>
    </row>
    <row r="644" spans="14:19" x14ac:dyDescent="0.3">
      <c r="N644" s="30"/>
      <c r="O644" s="30"/>
      <c r="P644" s="31"/>
      <c r="Q644" s="32"/>
      <c r="S644" s="32"/>
    </row>
    <row r="645" spans="14:19" x14ac:dyDescent="0.3">
      <c r="N645" s="30"/>
      <c r="O645" s="30"/>
      <c r="P645" s="31"/>
      <c r="Q645" s="32"/>
      <c r="S645" s="32"/>
    </row>
    <row r="646" spans="14:19" x14ac:dyDescent="0.3">
      <c r="N646" s="30"/>
      <c r="O646" s="30"/>
      <c r="P646" s="31"/>
      <c r="Q646" s="32"/>
      <c r="S646" s="32"/>
    </row>
    <row r="647" spans="14:19" x14ac:dyDescent="0.3">
      <c r="N647" s="30"/>
      <c r="O647" s="30"/>
      <c r="P647" s="31"/>
      <c r="Q647" s="32"/>
      <c r="S647" s="32"/>
    </row>
    <row r="648" spans="14:19" x14ac:dyDescent="0.3">
      <c r="N648" s="30"/>
      <c r="O648" s="30"/>
      <c r="P648" s="31"/>
      <c r="Q648" s="32"/>
      <c r="S648" s="32"/>
    </row>
    <row r="649" spans="14:19" x14ac:dyDescent="0.3">
      <c r="N649" s="30"/>
      <c r="O649" s="30"/>
      <c r="P649" s="31"/>
      <c r="Q649" s="32"/>
      <c r="S649" s="32"/>
    </row>
    <row r="650" spans="14:19" x14ac:dyDescent="0.3">
      <c r="N650" s="30"/>
      <c r="O650" s="30"/>
      <c r="P650" s="31"/>
      <c r="Q650" s="32"/>
      <c r="S650" s="32"/>
    </row>
    <row r="651" spans="14:19" x14ac:dyDescent="0.3">
      <c r="N651" s="30"/>
      <c r="O651" s="30"/>
      <c r="P651" s="31"/>
      <c r="Q651" s="32"/>
      <c r="S651" s="32"/>
    </row>
    <row r="652" spans="14:19" x14ac:dyDescent="0.3">
      <c r="N652" s="30"/>
      <c r="O652" s="30"/>
      <c r="P652" s="31"/>
      <c r="Q652" s="32"/>
      <c r="S652" s="32"/>
    </row>
    <row r="653" spans="14:19" x14ac:dyDescent="0.3">
      <c r="N653" s="30"/>
      <c r="O653" s="30"/>
      <c r="P653" s="31"/>
      <c r="Q653" s="32"/>
      <c r="S653" s="32"/>
    </row>
    <row r="654" spans="14:19" x14ac:dyDescent="0.3">
      <c r="N654" s="30"/>
      <c r="O654" s="30"/>
      <c r="P654" s="31"/>
      <c r="Q654" s="32"/>
      <c r="S654" s="32"/>
    </row>
    <row r="655" spans="14:19" x14ac:dyDescent="0.3">
      <c r="N655" s="30"/>
      <c r="O655" s="30"/>
      <c r="P655" s="31"/>
      <c r="Q655" s="32"/>
      <c r="S655" s="32"/>
    </row>
    <row r="656" spans="14:19" x14ac:dyDescent="0.3">
      <c r="N656" s="30"/>
      <c r="O656" s="30"/>
      <c r="P656" s="31"/>
      <c r="Q656" s="32"/>
      <c r="S656" s="32"/>
    </row>
    <row r="657" spans="14:19" x14ac:dyDescent="0.3">
      <c r="N657" s="30"/>
      <c r="O657" s="30"/>
      <c r="P657" s="31"/>
      <c r="Q657" s="32"/>
      <c r="S657" s="32"/>
    </row>
    <row r="658" spans="14:19" x14ac:dyDescent="0.3">
      <c r="N658" s="30"/>
      <c r="O658" s="30"/>
      <c r="P658" s="31"/>
      <c r="Q658" s="32"/>
      <c r="S658" s="32"/>
    </row>
    <row r="659" spans="14:19" x14ac:dyDescent="0.3">
      <c r="N659" s="30"/>
      <c r="O659" s="30"/>
      <c r="P659" s="31"/>
      <c r="Q659" s="32"/>
      <c r="S659" s="32"/>
    </row>
    <row r="660" spans="14:19" x14ac:dyDescent="0.3">
      <c r="N660" s="30"/>
      <c r="O660" s="30"/>
      <c r="P660" s="31"/>
      <c r="Q660" s="32"/>
      <c r="S660" s="32"/>
    </row>
    <row r="661" spans="14:19" x14ac:dyDescent="0.3">
      <c r="N661" s="30"/>
      <c r="O661" s="30"/>
      <c r="P661" s="31"/>
      <c r="Q661" s="32"/>
      <c r="S661" s="32"/>
    </row>
    <row r="662" spans="14:19" x14ac:dyDescent="0.3">
      <c r="N662" s="30"/>
      <c r="O662" s="30"/>
      <c r="P662" s="31"/>
      <c r="Q662" s="32"/>
      <c r="S662" s="32"/>
    </row>
    <row r="663" spans="14:19" x14ac:dyDescent="0.3">
      <c r="N663" s="30"/>
      <c r="O663" s="30"/>
      <c r="P663" s="31"/>
      <c r="Q663" s="32"/>
      <c r="S663" s="32"/>
    </row>
    <row r="664" spans="14:19" x14ac:dyDescent="0.3">
      <c r="N664" s="30"/>
      <c r="O664" s="30"/>
      <c r="P664" s="31"/>
      <c r="Q664" s="32"/>
      <c r="S664" s="32"/>
    </row>
    <row r="665" spans="14:19" x14ac:dyDescent="0.3">
      <c r="N665" s="30"/>
      <c r="O665" s="30"/>
      <c r="P665" s="31"/>
      <c r="Q665" s="32"/>
      <c r="S665" s="32"/>
    </row>
    <row r="666" spans="14:19" x14ac:dyDescent="0.3">
      <c r="N666" s="30"/>
      <c r="O666" s="30"/>
      <c r="P666" s="31"/>
      <c r="Q666" s="32"/>
      <c r="S666" s="32"/>
    </row>
  </sheetData>
  <sheetProtection algorithmName="SHA-512" hashValue="2u8ehVqLk+zHUE4Et/ukfoXjEAPhIrfOHtvS8eH3bGG1ItzGM/cyhtppn/e4qF3xHaLMsm5y3xxwMw6TyKjvhg==" saltValue="FBgpJYVMx0UUa1FKZpFB7w==" spinCount="100000" sheet="1" formatCells="0" formatColumns="0" formatRows="0" insertColumns="0" insertRows="0" insertHyperlinks="0" deleteColumns="0" deleteRows="0" sort="0" autoFilter="0" pivotTables="0"/>
  <protectedRanges>
    <protectedRange sqref="N2" name="Тариф"/>
    <protectedRange sqref="J3:J375" name="Кількість"/>
  </protectedRanges>
  <autoFilter ref="A2:M357" xr:uid="{00000000-0001-0000-0000-000000000000}">
    <sortState xmlns:xlrd2="http://schemas.microsoft.com/office/spreadsheetml/2017/richdata2" ref="A3:M374">
      <sortCondition ref="H2:H357"/>
    </sortState>
  </autoFilter>
  <mergeCells count="2">
    <mergeCell ref="A1:K1"/>
    <mergeCell ref="O1:O2"/>
  </mergeCells>
  <conditionalFormatting sqref="C3:C116 B117:C117 C118:C197 C218:C274 B277:C278 C279:C375">
    <cfRule type="expression" dxfId="83" priority="6">
      <formula>COUNTIF(#REF!,B3)&gt;1</formula>
    </cfRule>
  </conditionalFormatting>
  <conditionalFormatting sqref="C200">
    <cfRule type="expression" dxfId="82" priority="9">
      <formula>COUNTIF(#REF!,C200)&gt;1</formula>
    </cfRule>
  </conditionalFormatting>
  <conditionalFormatting sqref="C207">
    <cfRule type="expression" dxfId="81" priority="12">
      <formula>COUNTIF(#REF!,C207)&gt;1</formula>
    </cfRule>
  </conditionalFormatting>
  <conditionalFormatting sqref="C210:C211">
    <cfRule type="expression" dxfId="80" priority="13">
      <formula>COUNTIF(#REF!,C210)&gt;1</formula>
    </cfRule>
  </conditionalFormatting>
  <conditionalFormatting sqref="C333:C375">
    <cfRule type="expression" dxfId="79" priority="20">
      <formula>COUNTIF(#REF!,C333)&gt;1</formula>
    </cfRule>
  </conditionalFormatting>
  <conditionalFormatting sqref="H3:H375">
    <cfRule type="containsText" dxfId="78" priority="4934" operator="containsText" text="В">
      <formula>NOT(ISERROR(SEARCH("В",H3)))</formula>
    </cfRule>
    <cfRule type="containsText" dxfId="77" priority="4935" operator="containsText" text="А">
      <formula>NOT(ISERROR(SEARCH("А",H3)))</formula>
    </cfRule>
    <cfRule type="containsText" dxfId="76" priority="4936" operator="containsText" text="С">
      <formula>NOT(ISERROR(SEARCH("С",H3)))</formula>
    </cfRule>
    <cfRule type="colorScale" priority="4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expression" dxfId="75" priority="5">
      <formula>"&gt;0"</formula>
    </cfRule>
  </conditionalFormatting>
  <dataValidations disablePrompts="1" count="1">
    <dataValidation type="custom" allowBlank="1" showInputMessage="1" showErrorMessage="1" error="Order quantity must be a multiple of Sales per Unit Case (See Column F)." prompt="Order quantity must be a multiple of Sales per Unit Case (See Column F)." sqref="J334:J337 J139:J177 J114:J137 J279:J294 J339:J351 J9:J30 J64:J112 J182:J275 J32:J62" xr:uid="{2DD8D60D-9009-4D51-91EF-9A90FB3448EC}">
      <formula1>MOD(J9,G9)=0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4F2A-7355-4A40-AE8E-CB210870F173}">
  <dimension ref="A1:W680"/>
  <sheetViews>
    <sheetView topLeftCell="D1" zoomScale="80" zoomScaleNormal="80" workbookViewId="0">
      <pane ySplit="2" topLeftCell="A3" activePane="bottomLeft" state="frozen"/>
      <selection pane="bottomLeft" activeCell="P7" sqref="P7"/>
    </sheetView>
  </sheetViews>
  <sheetFormatPr defaultColWidth="8.88671875" defaultRowHeight="14.4" x14ac:dyDescent="0.3"/>
  <cols>
    <col min="1" max="1" width="11.109375" style="93" bestFit="1" customWidth="1"/>
    <col min="2" max="2" width="6" style="93" customWidth="1"/>
    <col min="3" max="3" width="22.21875" style="103" bestFit="1" customWidth="1"/>
    <col min="4" max="4" width="49.88671875" style="67" customWidth="1"/>
    <col min="5" max="5" width="28.44140625" style="67" customWidth="1"/>
    <col min="6" max="7" width="10" style="67" customWidth="1"/>
    <col min="8" max="8" width="8.6640625" style="67" customWidth="1"/>
    <col min="9" max="9" width="11.21875" style="67" bestFit="1" customWidth="1"/>
    <col min="10" max="10" width="8.5546875" style="94" customWidth="1"/>
    <col min="11" max="11" width="11" style="1" customWidth="1"/>
    <col min="12" max="12" width="10.77734375" style="1" customWidth="1"/>
    <col min="13" max="13" width="9.33203125" style="95" customWidth="1"/>
    <col min="14" max="14" width="13.44140625" style="1" bestFit="1" customWidth="1"/>
    <col min="15" max="15" width="13.44140625" style="1" customWidth="1"/>
    <col min="16" max="16" width="13.44140625" style="67" bestFit="1" customWidth="1"/>
    <col min="17" max="17" width="8.88671875" style="67"/>
    <col min="18" max="18" width="10.44140625" style="6" customWidth="1"/>
    <col min="19" max="19" width="12.109375" style="6" bestFit="1" customWidth="1"/>
    <col min="20" max="21" width="13.88671875" style="6" customWidth="1"/>
    <col min="22" max="22" width="5.5546875" style="6" customWidth="1"/>
    <col min="23" max="23" width="13.88671875" style="6" customWidth="1"/>
    <col min="24" max="16384" width="8.88671875" style="67"/>
  </cols>
  <sheetData>
    <row r="1" spans="1:23" ht="85.2" customHeight="1" thickBot="1" x14ac:dyDescent="0.35">
      <c r="A1" s="167" t="s">
        <v>2</v>
      </c>
      <c r="B1" s="167"/>
      <c r="C1" s="167"/>
      <c r="D1" s="167"/>
      <c r="E1" s="168" t="s">
        <v>285</v>
      </c>
      <c r="F1" s="167"/>
      <c r="G1" s="167"/>
      <c r="H1" s="167"/>
      <c r="I1" s="167"/>
      <c r="J1" s="167"/>
      <c r="K1" s="167"/>
      <c r="L1" s="169"/>
      <c r="M1" s="169"/>
      <c r="N1" s="169"/>
      <c r="O1" s="169"/>
      <c r="P1" s="66">
        <v>46129</v>
      </c>
      <c r="R1" s="3" t="s">
        <v>802</v>
      </c>
      <c r="S1" s="170" t="s">
        <v>803</v>
      </c>
      <c r="T1" s="4" t="s">
        <v>10</v>
      </c>
      <c r="U1" s="5" t="s">
        <v>804</v>
      </c>
      <c r="W1" s="7" t="str">
        <f>IFERROR(IF(SUM(W3:W463)=0, "-", P2+U2), "-")</f>
        <v>-</v>
      </c>
    </row>
    <row r="2" spans="1:23" s="69" customFormat="1" ht="42" thickBot="1" x14ac:dyDescent="0.35">
      <c r="A2" s="126" t="s">
        <v>3</v>
      </c>
      <c r="B2" s="127" t="s">
        <v>4</v>
      </c>
      <c r="C2" s="128" t="s">
        <v>5</v>
      </c>
      <c r="D2" s="127" t="s">
        <v>6</v>
      </c>
      <c r="E2" s="127" t="s">
        <v>286</v>
      </c>
      <c r="F2" s="127" t="s">
        <v>284</v>
      </c>
      <c r="G2" s="127" t="s">
        <v>287</v>
      </c>
      <c r="H2" s="127" t="s">
        <v>8</v>
      </c>
      <c r="I2" s="127" t="s">
        <v>849</v>
      </c>
      <c r="J2" s="129" t="s">
        <v>10</v>
      </c>
      <c r="K2" s="127" t="s">
        <v>288</v>
      </c>
      <c r="L2" s="127" t="s">
        <v>289</v>
      </c>
      <c r="M2" s="130" t="s">
        <v>7</v>
      </c>
      <c r="N2" s="131" t="s">
        <v>1</v>
      </c>
      <c r="O2" s="132" t="s">
        <v>290</v>
      </c>
      <c r="P2" s="133">
        <f>SUM(O3:O463)</f>
        <v>0</v>
      </c>
      <c r="Q2" s="67"/>
      <c r="R2" s="68"/>
      <c r="S2" s="171"/>
      <c r="T2" s="8" t="str">
        <f>IF(SUM(T3:T463)=0, "-", SUM(T3:T463))</f>
        <v>-</v>
      </c>
      <c r="U2" s="8" t="str">
        <f>IF(SUM(U3:U463)=0, "-", SUM(U3:U463))</f>
        <v>-</v>
      </c>
      <c r="V2" s="9"/>
      <c r="W2" s="10" t="s">
        <v>805</v>
      </c>
    </row>
    <row r="3" spans="1:23" x14ac:dyDescent="0.3">
      <c r="A3" s="117">
        <v>100009363</v>
      </c>
      <c r="B3" s="118">
        <v>1453</v>
      </c>
      <c r="C3" s="119">
        <v>33984014534</v>
      </c>
      <c r="D3" s="120" t="s">
        <v>26</v>
      </c>
      <c r="E3" s="120" t="s">
        <v>317</v>
      </c>
      <c r="F3" s="121">
        <v>90</v>
      </c>
      <c r="G3" s="121" t="s">
        <v>300</v>
      </c>
      <c r="H3" s="121">
        <v>25</v>
      </c>
      <c r="I3" s="105" t="s">
        <v>852</v>
      </c>
      <c r="J3" s="122">
        <v>0.20429999999999998</v>
      </c>
      <c r="K3" s="123">
        <v>22.679999999999996</v>
      </c>
      <c r="L3" s="123">
        <v>21.419999999999998</v>
      </c>
      <c r="M3" s="124"/>
      <c r="N3" s="123">
        <f t="shared" ref="N3:N66" si="0">M3*K3</f>
        <v>0</v>
      </c>
      <c r="O3" s="125">
        <f t="shared" ref="O3:O66" si="1">IF(M3&gt;143,M3*L3,M3*K3)</f>
        <v>0</v>
      </c>
      <c r="Q3" s="76"/>
      <c r="R3" s="11" t="str">
        <f>IFERROR(IF($R$2*J3=0, "-", $R$2*J3), "-")</f>
        <v>-</v>
      </c>
      <c r="S3" s="30" t="str">
        <f>IFERROR(IF(R3&gt;0,M3+R3,"-"),"-")</f>
        <v>-</v>
      </c>
      <c r="T3" s="12" t="str">
        <f>IF(M3&gt;0,M3*J3, "-")</f>
        <v>-</v>
      </c>
      <c r="U3" s="13" t="str">
        <f>IFERROR(IF($R$2&gt;0, $R$2*T3, "-"), "-")</f>
        <v>-</v>
      </c>
      <c r="W3" s="13" t="str">
        <f t="shared" ref="W3:W66" si="2">IFERROR(IF(U3+O3=0, "-", IF(U3&gt;0, U3+O3, "-")), "-")</f>
        <v>-</v>
      </c>
    </row>
    <row r="4" spans="1:23" x14ac:dyDescent="0.3">
      <c r="A4" s="70">
        <v>100009580</v>
      </c>
      <c r="B4" s="71">
        <v>2820</v>
      </c>
      <c r="C4" s="96">
        <v>33984028203</v>
      </c>
      <c r="D4" s="72" t="s">
        <v>34</v>
      </c>
      <c r="E4" s="72" t="s">
        <v>328</v>
      </c>
      <c r="F4" s="73">
        <v>100</v>
      </c>
      <c r="G4" s="73" t="s">
        <v>305</v>
      </c>
      <c r="H4" s="73">
        <v>42</v>
      </c>
      <c r="I4" s="105" t="s">
        <v>852</v>
      </c>
      <c r="J4" s="74">
        <v>0.13275190694425001</v>
      </c>
      <c r="K4" s="2">
        <v>6.5520000000000005</v>
      </c>
      <c r="L4" s="2">
        <v>6.1879999999999997</v>
      </c>
      <c r="M4" s="75"/>
      <c r="N4" s="2">
        <f t="shared" si="0"/>
        <v>0</v>
      </c>
      <c r="O4" s="106">
        <f t="shared" si="1"/>
        <v>0</v>
      </c>
      <c r="Q4" s="76"/>
      <c r="R4" s="11" t="str">
        <f t="shared" ref="R4:R67" si="3">IFERROR(IF($R$2*J4=0, "-", $R$2*J4), "-")</f>
        <v>-</v>
      </c>
      <c r="S4" s="30" t="str">
        <f t="shared" ref="S4:S67" si="4">IFERROR(IF(R4&gt;0,M4+R4,"-"),"-")</f>
        <v>-</v>
      </c>
      <c r="T4" s="12" t="str">
        <f t="shared" ref="T4:T67" si="5">IF(M4&gt;0,M4*J4, "-")</f>
        <v>-</v>
      </c>
      <c r="U4" s="13" t="str">
        <f t="shared" ref="U4:U67" si="6">IFERROR(IF($R$2&gt;0, $R$2*T4, "-"), "-")</f>
        <v>-</v>
      </c>
      <c r="W4" s="13" t="str">
        <f t="shared" si="2"/>
        <v>-</v>
      </c>
    </row>
    <row r="5" spans="1:23" x14ac:dyDescent="0.3">
      <c r="A5" s="70">
        <v>100009622</v>
      </c>
      <c r="B5" s="71">
        <v>3340</v>
      </c>
      <c r="C5" s="96">
        <v>33984033405</v>
      </c>
      <c r="D5" s="72" t="s">
        <v>38</v>
      </c>
      <c r="E5" s="72" t="s">
        <v>334</v>
      </c>
      <c r="F5" s="73">
        <v>100</v>
      </c>
      <c r="G5" s="73" t="s">
        <v>330</v>
      </c>
      <c r="H5" s="73">
        <v>25</v>
      </c>
      <c r="I5" s="105" t="s">
        <v>852</v>
      </c>
      <c r="J5" s="74">
        <v>0.23331975046534001</v>
      </c>
      <c r="K5" s="2">
        <v>5.480999999999999</v>
      </c>
      <c r="L5" s="2">
        <v>5.176499999999999</v>
      </c>
      <c r="M5" s="75"/>
      <c r="N5" s="2">
        <f t="shared" si="0"/>
        <v>0</v>
      </c>
      <c r="O5" s="106">
        <f t="shared" si="1"/>
        <v>0</v>
      </c>
      <c r="Q5" s="76"/>
      <c r="R5" s="11" t="str">
        <f t="shared" si="3"/>
        <v>-</v>
      </c>
      <c r="S5" s="30" t="str">
        <f t="shared" si="4"/>
        <v>-</v>
      </c>
      <c r="T5" s="12" t="str">
        <f t="shared" si="5"/>
        <v>-</v>
      </c>
      <c r="U5" s="13" t="str">
        <f t="shared" si="6"/>
        <v>-</v>
      </c>
      <c r="W5" s="13" t="str">
        <f t="shared" si="2"/>
        <v>-</v>
      </c>
    </row>
    <row r="6" spans="1:23" x14ac:dyDescent="0.3">
      <c r="A6" s="70">
        <v>100009616</v>
      </c>
      <c r="B6" s="71">
        <v>3316</v>
      </c>
      <c r="C6" s="96">
        <v>33984033160</v>
      </c>
      <c r="D6" s="72" t="s">
        <v>41</v>
      </c>
      <c r="E6" s="72" t="s">
        <v>339</v>
      </c>
      <c r="F6" s="73">
        <v>50</v>
      </c>
      <c r="G6" s="73" t="s">
        <v>300</v>
      </c>
      <c r="H6" s="73">
        <v>42</v>
      </c>
      <c r="I6" s="105" t="s">
        <v>852</v>
      </c>
      <c r="J6" s="74">
        <v>0.12485</v>
      </c>
      <c r="K6" s="2">
        <v>6.7409999999999988</v>
      </c>
      <c r="L6" s="2">
        <v>6.3664999999999985</v>
      </c>
      <c r="M6" s="75"/>
      <c r="N6" s="2">
        <f t="shared" si="0"/>
        <v>0</v>
      </c>
      <c r="O6" s="106">
        <f t="shared" si="1"/>
        <v>0</v>
      </c>
      <c r="Q6" s="76"/>
      <c r="R6" s="11" t="str">
        <f t="shared" si="3"/>
        <v>-</v>
      </c>
      <c r="S6" s="30" t="str">
        <f t="shared" si="4"/>
        <v>-</v>
      </c>
      <c r="T6" s="12" t="str">
        <f t="shared" si="5"/>
        <v>-</v>
      </c>
      <c r="U6" s="13" t="str">
        <f t="shared" si="6"/>
        <v>-</v>
      </c>
      <c r="W6" s="13" t="str">
        <f t="shared" si="2"/>
        <v>-</v>
      </c>
    </row>
    <row r="7" spans="1:23" x14ac:dyDescent="0.3">
      <c r="A7" s="70">
        <v>100009617</v>
      </c>
      <c r="B7" s="71">
        <v>3317</v>
      </c>
      <c r="C7" s="96">
        <v>33984033177</v>
      </c>
      <c r="D7" s="72" t="s">
        <v>41</v>
      </c>
      <c r="E7" s="72" t="s">
        <v>340</v>
      </c>
      <c r="F7" s="73">
        <v>100</v>
      </c>
      <c r="G7" s="73" t="s">
        <v>300</v>
      </c>
      <c r="H7" s="73">
        <v>25</v>
      </c>
      <c r="I7" s="105" t="s">
        <v>852</v>
      </c>
      <c r="J7" s="74">
        <v>0.23331975046534001</v>
      </c>
      <c r="K7" s="2">
        <v>10.08</v>
      </c>
      <c r="L7" s="2">
        <v>9.52</v>
      </c>
      <c r="M7" s="75"/>
      <c r="N7" s="2">
        <f t="shared" si="0"/>
        <v>0</v>
      </c>
      <c r="O7" s="106">
        <f t="shared" si="1"/>
        <v>0</v>
      </c>
      <c r="Q7" s="76"/>
      <c r="R7" s="11" t="str">
        <f t="shared" si="3"/>
        <v>-</v>
      </c>
      <c r="S7" s="30" t="str">
        <f t="shared" si="4"/>
        <v>-</v>
      </c>
      <c r="T7" s="12" t="str">
        <f t="shared" si="5"/>
        <v>-</v>
      </c>
      <c r="U7" s="13" t="str">
        <f t="shared" si="6"/>
        <v>-</v>
      </c>
      <c r="W7" s="13" t="str">
        <f t="shared" si="2"/>
        <v>-</v>
      </c>
    </row>
    <row r="8" spans="1:23" x14ac:dyDescent="0.3">
      <c r="A8" s="70">
        <v>100009807</v>
      </c>
      <c r="B8" s="71">
        <v>32048</v>
      </c>
      <c r="C8" s="96">
        <v>33984320482</v>
      </c>
      <c r="D8" s="72" t="s">
        <v>42</v>
      </c>
      <c r="E8" s="72" t="s">
        <v>341</v>
      </c>
      <c r="F8" s="73" t="s">
        <v>273</v>
      </c>
      <c r="G8" s="73" t="s">
        <v>307</v>
      </c>
      <c r="H8" s="73">
        <v>49</v>
      </c>
      <c r="I8" s="105" t="s">
        <v>852</v>
      </c>
      <c r="J8" s="74">
        <v>0.15890000000000001</v>
      </c>
      <c r="K8" s="2">
        <v>7.56</v>
      </c>
      <c r="L8" s="2">
        <v>7.1399999999999988</v>
      </c>
      <c r="M8" s="75"/>
      <c r="N8" s="2">
        <f t="shared" si="0"/>
        <v>0</v>
      </c>
      <c r="O8" s="106">
        <f t="shared" si="1"/>
        <v>0</v>
      </c>
      <c r="Q8" s="76"/>
      <c r="R8" s="11" t="str">
        <f t="shared" si="3"/>
        <v>-</v>
      </c>
      <c r="S8" s="30" t="str">
        <f t="shared" si="4"/>
        <v>-</v>
      </c>
      <c r="T8" s="12" t="str">
        <f t="shared" si="5"/>
        <v>-</v>
      </c>
      <c r="U8" s="13" t="str">
        <f t="shared" si="6"/>
        <v>-</v>
      </c>
      <c r="W8" s="13" t="str">
        <f t="shared" si="2"/>
        <v>-</v>
      </c>
    </row>
    <row r="9" spans="1:23" x14ac:dyDescent="0.3">
      <c r="A9" s="70">
        <v>100009782</v>
      </c>
      <c r="B9" s="71">
        <v>19377</v>
      </c>
      <c r="C9" s="96">
        <v>33984193772</v>
      </c>
      <c r="D9" s="72" t="s">
        <v>43</v>
      </c>
      <c r="E9" s="72" t="s">
        <v>342</v>
      </c>
      <c r="F9" s="73">
        <v>100</v>
      </c>
      <c r="G9" s="73" t="s">
        <v>330</v>
      </c>
      <c r="H9" s="73">
        <v>36</v>
      </c>
      <c r="I9" s="105" t="s">
        <v>852</v>
      </c>
      <c r="J9" s="74">
        <v>0.14755000000000001</v>
      </c>
      <c r="K9" s="2">
        <v>11.718</v>
      </c>
      <c r="L9" s="2">
        <v>11.067</v>
      </c>
      <c r="M9" s="75"/>
      <c r="N9" s="2">
        <f t="shared" si="0"/>
        <v>0</v>
      </c>
      <c r="O9" s="106">
        <f t="shared" si="1"/>
        <v>0</v>
      </c>
      <c r="Q9" s="76"/>
      <c r="R9" s="11" t="str">
        <f t="shared" si="3"/>
        <v>-</v>
      </c>
      <c r="S9" s="30" t="str">
        <f t="shared" si="4"/>
        <v>-</v>
      </c>
      <c r="T9" s="12" t="str">
        <f t="shared" si="5"/>
        <v>-</v>
      </c>
      <c r="U9" s="13" t="str">
        <f t="shared" si="6"/>
        <v>-</v>
      </c>
      <c r="W9" s="13" t="str">
        <f t="shared" si="2"/>
        <v>-</v>
      </c>
    </row>
    <row r="10" spans="1:23" x14ac:dyDescent="0.3">
      <c r="A10" s="70">
        <v>100009613</v>
      </c>
      <c r="B10" s="71">
        <v>3312</v>
      </c>
      <c r="C10" s="96">
        <v>33984033122</v>
      </c>
      <c r="D10" s="72" t="s">
        <v>44</v>
      </c>
      <c r="E10" s="72" t="s">
        <v>343</v>
      </c>
      <c r="F10" s="73">
        <v>60</v>
      </c>
      <c r="G10" s="73" t="s">
        <v>300</v>
      </c>
      <c r="H10" s="73">
        <v>42</v>
      </c>
      <c r="I10" s="105" t="s">
        <v>852</v>
      </c>
      <c r="J10" s="74">
        <v>0.12485</v>
      </c>
      <c r="K10" s="2">
        <v>8.9459999999999997</v>
      </c>
      <c r="L10" s="2">
        <v>8.4489999999999981</v>
      </c>
      <c r="M10" s="75"/>
      <c r="N10" s="2">
        <f t="shared" si="0"/>
        <v>0</v>
      </c>
      <c r="O10" s="106">
        <f t="shared" si="1"/>
        <v>0</v>
      </c>
      <c r="Q10" s="76"/>
      <c r="R10" s="11" t="str">
        <f t="shared" si="3"/>
        <v>-</v>
      </c>
      <c r="S10" s="30" t="str">
        <f t="shared" si="4"/>
        <v>-</v>
      </c>
      <c r="T10" s="12" t="str">
        <f t="shared" si="5"/>
        <v>-</v>
      </c>
      <c r="U10" s="13" t="str">
        <f t="shared" si="6"/>
        <v>-</v>
      </c>
      <c r="W10" s="13" t="str">
        <f t="shared" si="2"/>
        <v>-</v>
      </c>
    </row>
    <row r="11" spans="1:23" x14ac:dyDescent="0.3">
      <c r="A11" s="70">
        <v>100009614</v>
      </c>
      <c r="B11" s="71">
        <v>3313</v>
      </c>
      <c r="C11" s="96">
        <v>33984033139</v>
      </c>
      <c r="D11" s="72" t="s">
        <v>44</v>
      </c>
      <c r="E11" s="72" t="s">
        <v>344</v>
      </c>
      <c r="F11" s="73">
        <v>120</v>
      </c>
      <c r="G11" s="73" t="s">
        <v>300</v>
      </c>
      <c r="H11" s="73">
        <v>25</v>
      </c>
      <c r="I11" s="105" t="s">
        <v>852</v>
      </c>
      <c r="J11" s="74">
        <v>0.21416817341920003</v>
      </c>
      <c r="K11" s="2">
        <v>15.749999999999998</v>
      </c>
      <c r="L11" s="2">
        <v>14.874999999999998</v>
      </c>
      <c r="M11" s="75"/>
      <c r="N11" s="2">
        <f t="shared" si="0"/>
        <v>0</v>
      </c>
      <c r="O11" s="106">
        <f t="shared" si="1"/>
        <v>0</v>
      </c>
      <c r="Q11" s="76"/>
      <c r="R11" s="11" t="str">
        <f t="shared" si="3"/>
        <v>-</v>
      </c>
      <c r="S11" s="30" t="str">
        <f t="shared" si="4"/>
        <v>-</v>
      </c>
      <c r="T11" s="12" t="str">
        <f t="shared" si="5"/>
        <v>-</v>
      </c>
      <c r="U11" s="13" t="str">
        <f t="shared" si="6"/>
        <v>-</v>
      </c>
      <c r="W11" s="13" t="str">
        <f t="shared" si="2"/>
        <v>-</v>
      </c>
    </row>
    <row r="12" spans="1:23" x14ac:dyDescent="0.3">
      <c r="A12" s="70">
        <v>100009823</v>
      </c>
      <c r="B12" s="71">
        <v>35872</v>
      </c>
      <c r="C12" s="96">
        <v>33984358720</v>
      </c>
      <c r="D12" s="72" t="s">
        <v>46</v>
      </c>
      <c r="E12" s="72" t="s">
        <v>348</v>
      </c>
      <c r="F12" s="73">
        <v>120</v>
      </c>
      <c r="G12" s="73" t="s">
        <v>330</v>
      </c>
      <c r="H12" s="73">
        <v>30</v>
      </c>
      <c r="I12" s="105" t="s">
        <v>852</v>
      </c>
      <c r="J12" s="74">
        <v>0.18160000000000001</v>
      </c>
      <c r="K12" s="2">
        <v>13.040999999999999</v>
      </c>
      <c r="L12" s="2">
        <v>12.316499999999998</v>
      </c>
      <c r="M12" s="75"/>
      <c r="N12" s="2">
        <f t="shared" si="0"/>
        <v>0</v>
      </c>
      <c r="O12" s="106">
        <f t="shared" si="1"/>
        <v>0</v>
      </c>
      <c r="Q12" s="76"/>
      <c r="R12" s="11" t="str">
        <f t="shared" si="3"/>
        <v>-</v>
      </c>
      <c r="S12" s="30" t="str">
        <f t="shared" si="4"/>
        <v>-</v>
      </c>
      <c r="T12" s="12" t="str">
        <f t="shared" si="5"/>
        <v>-</v>
      </c>
      <c r="U12" s="13" t="str">
        <f t="shared" si="6"/>
        <v>-</v>
      </c>
      <c r="W12" s="13" t="str">
        <f t="shared" si="2"/>
        <v>-</v>
      </c>
    </row>
    <row r="13" spans="1:23" x14ac:dyDescent="0.3">
      <c r="A13" s="70">
        <v>100009634</v>
      </c>
      <c r="B13" s="71">
        <v>3521</v>
      </c>
      <c r="C13" s="96">
        <v>33984035218</v>
      </c>
      <c r="D13" s="72" t="s">
        <v>51</v>
      </c>
      <c r="E13" s="72" t="s">
        <v>355</v>
      </c>
      <c r="F13" s="73">
        <v>100</v>
      </c>
      <c r="G13" s="73" t="s">
        <v>330</v>
      </c>
      <c r="H13" s="73">
        <v>25</v>
      </c>
      <c r="I13" s="105" t="s">
        <v>852</v>
      </c>
      <c r="J13" s="74">
        <v>0.23835000000000001</v>
      </c>
      <c r="K13" s="2">
        <v>12.222</v>
      </c>
      <c r="L13" s="2">
        <v>11.542999999999997</v>
      </c>
      <c r="M13" s="75"/>
      <c r="N13" s="2">
        <f t="shared" si="0"/>
        <v>0</v>
      </c>
      <c r="O13" s="106">
        <f t="shared" si="1"/>
        <v>0</v>
      </c>
      <c r="Q13" s="76"/>
      <c r="R13" s="11" t="str">
        <f t="shared" si="3"/>
        <v>-</v>
      </c>
      <c r="S13" s="30" t="str">
        <f t="shared" si="4"/>
        <v>-</v>
      </c>
      <c r="T13" s="12" t="str">
        <f t="shared" si="5"/>
        <v>-</v>
      </c>
      <c r="U13" s="13" t="str">
        <f t="shared" si="6"/>
        <v>-</v>
      </c>
      <c r="W13" s="13" t="str">
        <f t="shared" si="2"/>
        <v>-</v>
      </c>
    </row>
    <row r="14" spans="1:23" x14ac:dyDescent="0.3">
      <c r="A14" s="70">
        <v>100009637</v>
      </c>
      <c r="B14" s="71">
        <v>3541</v>
      </c>
      <c r="C14" s="96">
        <v>33984035416</v>
      </c>
      <c r="D14" s="72" t="s">
        <v>52</v>
      </c>
      <c r="E14" s="72" t="s">
        <v>357</v>
      </c>
      <c r="F14" s="73">
        <v>100</v>
      </c>
      <c r="G14" s="73" t="s">
        <v>330</v>
      </c>
      <c r="H14" s="73">
        <v>23</v>
      </c>
      <c r="I14" s="105" t="s">
        <v>852</v>
      </c>
      <c r="J14" s="74">
        <v>0.29510000000000003</v>
      </c>
      <c r="K14" s="2">
        <v>12.222</v>
      </c>
      <c r="L14" s="2">
        <v>11.542999999999997</v>
      </c>
      <c r="M14" s="75"/>
      <c r="N14" s="2">
        <f t="shared" si="0"/>
        <v>0</v>
      </c>
      <c r="O14" s="106">
        <f t="shared" si="1"/>
        <v>0</v>
      </c>
      <c r="Q14" s="76"/>
      <c r="R14" s="11" t="str">
        <f t="shared" si="3"/>
        <v>-</v>
      </c>
      <c r="S14" s="30" t="str">
        <f t="shared" si="4"/>
        <v>-</v>
      </c>
      <c r="T14" s="12" t="str">
        <f t="shared" si="5"/>
        <v>-</v>
      </c>
      <c r="U14" s="13" t="str">
        <f t="shared" si="6"/>
        <v>-</v>
      </c>
      <c r="W14" s="13" t="str">
        <f t="shared" si="2"/>
        <v>-</v>
      </c>
    </row>
    <row r="15" spans="1:23" x14ac:dyDescent="0.3">
      <c r="A15" s="70">
        <v>100009644</v>
      </c>
      <c r="B15" s="71">
        <v>3603</v>
      </c>
      <c r="C15" s="96">
        <v>33984036031</v>
      </c>
      <c r="D15" s="72" t="s">
        <v>56</v>
      </c>
      <c r="E15" s="72" t="s">
        <v>366</v>
      </c>
      <c r="F15" s="73">
        <v>50</v>
      </c>
      <c r="G15" s="73" t="s">
        <v>300</v>
      </c>
      <c r="H15" s="73">
        <v>36</v>
      </c>
      <c r="I15" s="105" t="s">
        <v>852</v>
      </c>
      <c r="J15" s="74">
        <v>0.16145557411209721</v>
      </c>
      <c r="K15" s="2">
        <v>14.489999999999998</v>
      </c>
      <c r="L15" s="2">
        <v>13.685</v>
      </c>
      <c r="M15" s="75"/>
      <c r="N15" s="2">
        <f t="shared" si="0"/>
        <v>0</v>
      </c>
      <c r="O15" s="106">
        <f t="shared" si="1"/>
        <v>0</v>
      </c>
      <c r="Q15" s="76"/>
      <c r="R15" s="11" t="str">
        <f t="shared" si="3"/>
        <v>-</v>
      </c>
      <c r="S15" s="30" t="str">
        <f t="shared" si="4"/>
        <v>-</v>
      </c>
      <c r="T15" s="12" t="str">
        <f t="shared" si="5"/>
        <v>-</v>
      </c>
      <c r="U15" s="13" t="str">
        <f t="shared" si="6"/>
        <v>-</v>
      </c>
      <c r="W15" s="13" t="str">
        <f t="shared" si="2"/>
        <v>-</v>
      </c>
    </row>
    <row r="16" spans="1:23" x14ac:dyDescent="0.3">
      <c r="A16" s="70">
        <v>100009452</v>
      </c>
      <c r="B16" s="71">
        <v>1950</v>
      </c>
      <c r="C16" s="96">
        <v>33984019508</v>
      </c>
      <c r="D16" s="72" t="s">
        <v>67</v>
      </c>
      <c r="E16" s="72" t="s">
        <v>380</v>
      </c>
      <c r="F16" s="73">
        <v>30</v>
      </c>
      <c r="G16" s="73" t="s">
        <v>305</v>
      </c>
      <c r="H16" s="73">
        <v>42</v>
      </c>
      <c r="I16" s="105" t="s">
        <v>852</v>
      </c>
      <c r="J16" s="74">
        <v>0.26145874193174995</v>
      </c>
      <c r="K16" s="2">
        <v>4.0949999999999998</v>
      </c>
      <c r="L16" s="2">
        <v>3.8674999999999993</v>
      </c>
      <c r="M16" s="75"/>
      <c r="N16" s="2">
        <f t="shared" si="0"/>
        <v>0</v>
      </c>
      <c r="O16" s="106">
        <f t="shared" si="1"/>
        <v>0</v>
      </c>
      <c r="Q16" s="76"/>
      <c r="R16" s="11" t="str">
        <f t="shared" si="3"/>
        <v>-</v>
      </c>
      <c r="S16" s="30" t="str">
        <f t="shared" si="4"/>
        <v>-</v>
      </c>
      <c r="T16" s="12" t="str">
        <f t="shared" si="5"/>
        <v>-</v>
      </c>
      <c r="U16" s="13" t="str">
        <f t="shared" si="6"/>
        <v>-</v>
      </c>
      <c r="W16" s="13" t="str">
        <f t="shared" si="2"/>
        <v>-</v>
      </c>
    </row>
    <row r="17" spans="1:23" x14ac:dyDescent="0.3">
      <c r="A17" s="70">
        <v>100009453</v>
      </c>
      <c r="B17" s="71">
        <v>1951</v>
      </c>
      <c r="C17" s="96">
        <v>33984019515</v>
      </c>
      <c r="D17" s="72" t="s">
        <v>67</v>
      </c>
      <c r="E17" s="72" t="s">
        <v>381</v>
      </c>
      <c r="F17" s="73">
        <v>60</v>
      </c>
      <c r="G17" s="73" t="s">
        <v>305</v>
      </c>
      <c r="H17" s="73">
        <v>36</v>
      </c>
      <c r="I17" s="105" t="s">
        <v>852</v>
      </c>
      <c r="J17" s="74">
        <v>0.13399811598143058</v>
      </c>
      <c r="K17" s="2">
        <v>7.2449999999999992</v>
      </c>
      <c r="L17" s="2">
        <v>6.8425000000000002</v>
      </c>
      <c r="M17" s="75"/>
      <c r="N17" s="2">
        <f t="shared" si="0"/>
        <v>0</v>
      </c>
      <c r="O17" s="106">
        <f t="shared" si="1"/>
        <v>0</v>
      </c>
      <c r="Q17" s="76"/>
      <c r="R17" s="11" t="str">
        <f t="shared" si="3"/>
        <v>-</v>
      </c>
      <c r="S17" s="30" t="str">
        <f t="shared" si="4"/>
        <v>-</v>
      </c>
      <c r="T17" s="12" t="str">
        <f t="shared" si="5"/>
        <v>-</v>
      </c>
      <c r="U17" s="13" t="str">
        <f t="shared" si="6"/>
        <v>-</v>
      </c>
      <c r="W17" s="13" t="str">
        <f t="shared" si="2"/>
        <v>-</v>
      </c>
    </row>
    <row r="18" spans="1:23" x14ac:dyDescent="0.3">
      <c r="A18" s="70">
        <v>100009455</v>
      </c>
      <c r="B18" s="71">
        <v>1958</v>
      </c>
      <c r="C18" s="96">
        <v>33984019584</v>
      </c>
      <c r="D18" s="72" t="s">
        <v>68</v>
      </c>
      <c r="E18" s="72" t="s">
        <v>382</v>
      </c>
      <c r="F18" s="73">
        <v>30</v>
      </c>
      <c r="G18" s="73" t="s">
        <v>305</v>
      </c>
      <c r="H18" s="73">
        <v>42</v>
      </c>
      <c r="I18" s="105" t="s">
        <v>852</v>
      </c>
      <c r="J18" s="74">
        <v>0.10214999999999999</v>
      </c>
      <c r="K18" s="2">
        <v>9.9540000000000006</v>
      </c>
      <c r="L18" s="2">
        <v>9.4009999999999998</v>
      </c>
      <c r="M18" s="75"/>
      <c r="N18" s="2">
        <f t="shared" si="0"/>
        <v>0</v>
      </c>
      <c r="O18" s="106">
        <f t="shared" si="1"/>
        <v>0</v>
      </c>
      <c r="Q18" s="76"/>
      <c r="R18" s="11" t="str">
        <f t="shared" si="3"/>
        <v>-</v>
      </c>
      <c r="S18" s="30" t="str">
        <f t="shared" si="4"/>
        <v>-</v>
      </c>
      <c r="T18" s="12" t="str">
        <f t="shared" si="5"/>
        <v>-</v>
      </c>
      <c r="U18" s="13" t="str">
        <f t="shared" si="6"/>
        <v>-</v>
      </c>
      <c r="W18" s="13" t="str">
        <f t="shared" si="2"/>
        <v>-</v>
      </c>
    </row>
    <row r="19" spans="1:23" x14ac:dyDescent="0.3">
      <c r="A19" s="70">
        <v>100009602</v>
      </c>
      <c r="B19" s="71">
        <v>3229</v>
      </c>
      <c r="C19" s="96">
        <v>33984032293</v>
      </c>
      <c r="D19" s="72" t="s">
        <v>69</v>
      </c>
      <c r="E19" s="72" t="s">
        <v>384</v>
      </c>
      <c r="F19" s="73">
        <v>100</v>
      </c>
      <c r="G19" s="73" t="s">
        <v>305</v>
      </c>
      <c r="H19" s="73">
        <v>42</v>
      </c>
      <c r="I19" s="105" t="s">
        <v>852</v>
      </c>
      <c r="J19" s="74">
        <v>0.1135</v>
      </c>
      <c r="K19" s="2">
        <v>8.8199999999999985</v>
      </c>
      <c r="L19" s="2">
        <v>8.33</v>
      </c>
      <c r="M19" s="75"/>
      <c r="N19" s="2">
        <f t="shared" si="0"/>
        <v>0</v>
      </c>
      <c r="O19" s="106">
        <f t="shared" si="1"/>
        <v>0</v>
      </c>
      <c r="Q19" s="76"/>
      <c r="R19" s="11" t="str">
        <f t="shared" si="3"/>
        <v>-</v>
      </c>
      <c r="S19" s="30" t="str">
        <f t="shared" si="4"/>
        <v>-</v>
      </c>
      <c r="T19" s="12" t="str">
        <f t="shared" si="5"/>
        <v>-</v>
      </c>
      <c r="U19" s="13" t="str">
        <f t="shared" si="6"/>
        <v>-</v>
      </c>
      <c r="W19" s="13" t="str">
        <f t="shared" si="2"/>
        <v>-</v>
      </c>
    </row>
    <row r="20" spans="1:23" x14ac:dyDescent="0.3">
      <c r="A20" s="70">
        <v>100009122</v>
      </c>
      <c r="B20" s="71">
        <v>313</v>
      </c>
      <c r="C20" s="96">
        <v>33984003132</v>
      </c>
      <c r="D20" s="72" t="s">
        <v>72</v>
      </c>
      <c r="E20" s="72" t="s">
        <v>393</v>
      </c>
      <c r="F20" s="73">
        <v>50</v>
      </c>
      <c r="G20" s="73" t="s">
        <v>300</v>
      </c>
      <c r="H20" s="73">
        <v>30</v>
      </c>
      <c r="I20" s="105" t="s">
        <v>852</v>
      </c>
      <c r="J20" s="74">
        <v>0.21565000000000001</v>
      </c>
      <c r="K20" s="2">
        <v>9.2609999999999992</v>
      </c>
      <c r="L20" s="2">
        <v>8.7464999999999993</v>
      </c>
      <c r="M20" s="75"/>
      <c r="N20" s="2">
        <f t="shared" si="0"/>
        <v>0</v>
      </c>
      <c r="O20" s="106">
        <f t="shared" si="1"/>
        <v>0</v>
      </c>
      <c r="Q20" s="76"/>
      <c r="R20" s="11" t="str">
        <f t="shared" si="3"/>
        <v>-</v>
      </c>
      <c r="S20" s="30" t="str">
        <f t="shared" si="4"/>
        <v>-</v>
      </c>
      <c r="T20" s="12" t="str">
        <f t="shared" si="5"/>
        <v>-</v>
      </c>
      <c r="U20" s="13" t="str">
        <f t="shared" si="6"/>
        <v>-</v>
      </c>
      <c r="W20" s="13" t="str">
        <f t="shared" si="2"/>
        <v>-</v>
      </c>
    </row>
    <row r="21" spans="1:23" x14ac:dyDescent="0.3">
      <c r="A21" s="70">
        <v>100009123</v>
      </c>
      <c r="B21" s="71">
        <v>314</v>
      </c>
      <c r="C21" s="96">
        <v>33984003149</v>
      </c>
      <c r="D21" s="72" t="s">
        <v>72</v>
      </c>
      <c r="E21" s="72" t="s">
        <v>394</v>
      </c>
      <c r="F21" s="73">
        <v>100</v>
      </c>
      <c r="G21" s="73" t="s">
        <v>300</v>
      </c>
      <c r="H21" s="73">
        <v>23</v>
      </c>
      <c r="I21" s="105" t="s">
        <v>852</v>
      </c>
      <c r="J21" s="74">
        <v>0.30645</v>
      </c>
      <c r="K21" s="2">
        <v>14.805</v>
      </c>
      <c r="L21" s="2">
        <v>13.982499999999998</v>
      </c>
      <c r="M21" s="75"/>
      <c r="N21" s="2">
        <f t="shared" si="0"/>
        <v>0</v>
      </c>
      <c r="O21" s="106">
        <f t="shared" si="1"/>
        <v>0</v>
      </c>
      <c r="Q21" s="76"/>
      <c r="R21" s="11" t="str">
        <f t="shared" si="3"/>
        <v>-</v>
      </c>
      <c r="S21" s="30" t="str">
        <f t="shared" si="4"/>
        <v>-</v>
      </c>
      <c r="T21" s="12" t="str">
        <f t="shared" si="5"/>
        <v>-</v>
      </c>
      <c r="U21" s="13" t="str">
        <f t="shared" si="6"/>
        <v>-</v>
      </c>
      <c r="W21" s="13" t="str">
        <f t="shared" si="2"/>
        <v>-</v>
      </c>
    </row>
    <row r="22" spans="1:23" x14ac:dyDescent="0.3">
      <c r="A22" s="70">
        <v>100009874</v>
      </c>
      <c r="B22" s="71">
        <v>52387</v>
      </c>
      <c r="C22" s="96">
        <v>33984523876</v>
      </c>
      <c r="D22" s="72" t="s">
        <v>73</v>
      </c>
      <c r="E22" s="72" t="s">
        <v>395</v>
      </c>
      <c r="F22" s="73">
        <v>60</v>
      </c>
      <c r="G22" s="73" t="s">
        <v>300</v>
      </c>
      <c r="H22" s="73">
        <v>36</v>
      </c>
      <c r="I22" s="105" t="s">
        <v>852</v>
      </c>
      <c r="J22" s="74">
        <v>0.12485</v>
      </c>
      <c r="K22" s="2">
        <v>14.111999999999998</v>
      </c>
      <c r="L22" s="2">
        <v>13.327999999999999</v>
      </c>
      <c r="M22" s="75"/>
      <c r="N22" s="2">
        <f t="shared" si="0"/>
        <v>0</v>
      </c>
      <c r="O22" s="106">
        <f t="shared" si="1"/>
        <v>0</v>
      </c>
      <c r="Q22" s="76"/>
      <c r="R22" s="11" t="str">
        <f t="shared" si="3"/>
        <v>-</v>
      </c>
      <c r="S22" s="30" t="str">
        <f t="shared" si="4"/>
        <v>-</v>
      </c>
      <c r="T22" s="12" t="str">
        <f t="shared" si="5"/>
        <v>-</v>
      </c>
      <c r="U22" s="13" t="str">
        <f t="shared" si="6"/>
        <v>-</v>
      </c>
      <c r="W22" s="13" t="str">
        <f t="shared" si="2"/>
        <v>-</v>
      </c>
    </row>
    <row r="23" spans="1:23" x14ac:dyDescent="0.3">
      <c r="A23" s="70">
        <v>100009875</v>
      </c>
      <c r="B23" s="71">
        <v>52392</v>
      </c>
      <c r="C23" s="96">
        <v>33984523920</v>
      </c>
      <c r="D23" s="72" t="s">
        <v>73</v>
      </c>
      <c r="E23" s="72" t="s">
        <v>396</v>
      </c>
      <c r="F23" s="73">
        <v>120</v>
      </c>
      <c r="G23" s="73" t="s">
        <v>300</v>
      </c>
      <c r="H23" s="73">
        <v>25</v>
      </c>
      <c r="I23" s="105" t="s">
        <v>852</v>
      </c>
      <c r="J23" s="74">
        <v>0.16989302218350003</v>
      </c>
      <c r="K23" s="2">
        <v>20.79</v>
      </c>
      <c r="L23" s="2">
        <v>19.634999999999998</v>
      </c>
      <c r="M23" s="75"/>
      <c r="N23" s="2">
        <f t="shared" si="0"/>
        <v>0</v>
      </c>
      <c r="O23" s="106">
        <f t="shared" si="1"/>
        <v>0</v>
      </c>
      <c r="Q23" s="76"/>
      <c r="R23" s="11" t="str">
        <f t="shared" si="3"/>
        <v>-</v>
      </c>
      <c r="S23" s="30" t="str">
        <f t="shared" si="4"/>
        <v>-</v>
      </c>
      <c r="T23" s="12" t="str">
        <f t="shared" si="5"/>
        <v>-</v>
      </c>
      <c r="U23" s="13" t="str">
        <f t="shared" si="6"/>
        <v>-</v>
      </c>
      <c r="W23" s="13" t="str">
        <f t="shared" si="2"/>
        <v>-</v>
      </c>
    </row>
    <row r="24" spans="1:23" x14ac:dyDescent="0.3">
      <c r="A24" s="70">
        <v>100009186</v>
      </c>
      <c r="B24" s="71">
        <v>850</v>
      </c>
      <c r="C24" s="96">
        <v>33984008502</v>
      </c>
      <c r="D24" s="72" t="s">
        <v>75</v>
      </c>
      <c r="E24" s="72" t="s">
        <v>398</v>
      </c>
      <c r="F24" s="73">
        <v>100</v>
      </c>
      <c r="G24" s="73" t="s">
        <v>300</v>
      </c>
      <c r="H24" s="73">
        <v>23</v>
      </c>
      <c r="I24" s="105" t="s">
        <v>852</v>
      </c>
      <c r="J24" s="74">
        <v>0.30645</v>
      </c>
      <c r="K24" s="2">
        <v>12.222</v>
      </c>
      <c r="L24" s="2">
        <v>11.542999999999997</v>
      </c>
      <c r="M24" s="75"/>
      <c r="N24" s="2">
        <f t="shared" si="0"/>
        <v>0</v>
      </c>
      <c r="O24" s="106">
        <f t="shared" si="1"/>
        <v>0</v>
      </c>
      <c r="Q24" s="76"/>
      <c r="R24" s="11" t="str">
        <f t="shared" si="3"/>
        <v>-</v>
      </c>
      <c r="S24" s="30" t="str">
        <f t="shared" si="4"/>
        <v>-</v>
      </c>
      <c r="T24" s="12" t="str">
        <f t="shared" si="5"/>
        <v>-</v>
      </c>
      <c r="U24" s="13" t="str">
        <f t="shared" si="6"/>
        <v>-</v>
      </c>
      <c r="W24" s="13" t="str">
        <f t="shared" si="2"/>
        <v>-</v>
      </c>
    </row>
    <row r="25" spans="1:23" x14ac:dyDescent="0.3">
      <c r="A25" s="70">
        <v>100009449</v>
      </c>
      <c r="B25" s="71">
        <v>1941</v>
      </c>
      <c r="C25" s="96">
        <v>33984019416</v>
      </c>
      <c r="D25" s="72" t="s">
        <v>76</v>
      </c>
      <c r="E25" s="72" t="s">
        <v>399</v>
      </c>
      <c r="F25" s="73">
        <v>100</v>
      </c>
      <c r="G25" s="73" t="s">
        <v>305</v>
      </c>
      <c r="H25" s="73">
        <v>36</v>
      </c>
      <c r="I25" s="105" t="s">
        <v>852</v>
      </c>
      <c r="J25" s="74">
        <v>0.15890000000000001</v>
      </c>
      <c r="K25" s="2">
        <v>9.6390000000000011</v>
      </c>
      <c r="L25" s="2">
        <v>9.1035000000000004</v>
      </c>
      <c r="M25" s="75"/>
      <c r="N25" s="2">
        <f t="shared" si="0"/>
        <v>0</v>
      </c>
      <c r="O25" s="106">
        <f t="shared" si="1"/>
        <v>0</v>
      </c>
      <c r="Q25" s="76"/>
      <c r="R25" s="11" t="str">
        <f t="shared" si="3"/>
        <v>-</v>
      </c>
      <c r="S25" s="30" t="str">
        <f t="shared" si="4"/>
        <v>-</v>
      </c>
      <c r="T25" s="12" t="str">
        <f t="shared" si="5"/>
        <v>-</v>
      </c>
      <c r="U25" s="13" t="str">
        <f t="shared" si="6"/>
        <v>-</v>
      </c>
      <c r="W25" s="13" t="str">
        <f t="shared" si="2"/>
        <v>-</v>
      </c>
    </row>
    <row r="26" spans="1:23" x14ac:dyDescent="0.3">
      <c r="A26" s="70">
        <v>100009451</v>
      </c>
      <c r="B26" s="71">
        <v>1945</v>
      </c>
      <c r="C26" s="96">
        <v>33984019454</v>
      </c>
      <c r="D26" s="72" t="s">
        <v>77</v>
      </c>
      <c r="E26" s="72" t="s">
        <v>400</v>
      </c>
      <c r="F26" s="73">
        <v>100</v>
      </c>
      <c r="G26" s="73" t="s">
        <v>305</v>
      </c>
      <c r="H26" s="73">
        <v>36</v>
      </c>
      <c r="I26" s="105" t="s">
        <v>852</v>
      </c>
      <c r="J26" s="74">
        <v>0.15890000000000001</v>
      </c>
      <c r="K26" s="2">
        <v>12.222</v>
      </c>
      <c r="L26" s="2">
        <v>11.542999999999997</v>
      </c>
      <c r="M26" s="75"/>
      <c r="N26" s="2">
        <f t="shared" si="0"/>
        <v>0</v>
      </c>
      <c r="O26" s="106">
        <f t="shared" si="1"/>
        <v>0</v>
      </c>
      <c r="Q26" s="76"/>
      <c r="R26" s="11" t="str">
        <f t="shared" si="3"/>
        <v>-</v>
      </c>
      <c r="S26" s="30" t="str">
        <f t="shared" si="4"/>
        <v>-</v>
      </c>
      <c r="T26" s="12" t="str">
        <f t="shared" si="5"/>
        <v>-</v>
      </c>
      <c r="U26" s="13" t="str">
        <f t="shared" si="6"/>
        <v>-</v>
      </c>
      <c r="W26" s="13" t="str">
        <f t="shared" si="2"/>
        <v>-</v>
      </c>
    </row>
    <row r="27" spans="1:23" x14ac:dyDescent="0.3">
      <c r="A27" s="70">
        <v>100065192</v>
      </c>
      <c r="B27" s="71">
        <v>53595</v>
      </c>
      <c r="C27" s="96">
        <v>33984535954</v>
      </c>
      <c r="D27" s="72" t="s">
        <v>78</v>
      </c>
      <c r="E27" s="72" t="s">
        <v>401</v>
      </c>
      <c r="F27" s="73">
        <v>60</v>
      </c>
      <c r="G27" s="73" t="s">
        <v>305</v>
      </c>
      <c r="H27" s="73">
        <v>42</v>
      </c>
      <c r="I27" s="105" t="s">
        <v>852</v>
      </c>
      <c r="J27" s="74">
        <v>0.13619999999999999</v>
      </c>
      <c r="K27" s="2">
        <v>11.718</v>
      </c>
      <c r="L27" s="2">
        <v>11.067</v>
      </c>
      <c r="M27" s="75"/>
      <c r="N27" s="2">
        <f t="shared" si="0"/>
        <v>0</v>
      </c>
      <c r="O27" s="106">
        <f t="shared" si="1"/>
        <v>0</v>
      </c>
      <c r="Q27" s="76"/>
      <c r="R27" s="11" t="str">
        <f t="shared" si="3"/>
        <v>-</v>
      </c>
      <c r="S27" s="30" t="str">
        <f t="shared" si="4"/>
        <v>-</v>
      </c>
      <c r="T27" s="12" t="str">
        <f t="shared" si="5"/>
        <v>-</v>
      </c>
      <c r="U27" s="13" t="str">
        <f t="shared" si="6"/>
        <v>-</v>
      </c>
      <c r="W27" s="13" t="str">
        <f t="shared" si="2"/>
        <v>-</v>
      </c>
    </row>
    <row r="28" spans="1:23" x14ac:dyDescent="0.3">
      <c r="A28" s="70">
        <v>100009270</v>
      </c>
      <c r="B28" s="71">
        <v>1081</v>
      </c>
      <c r="C28" s="96">
        <v>33984010819</v>
      </c>
      <c r="D28" s="72" t="s">
        <v>79</v>
      </c>
      <c r="E28" s="72" t="s">
        <v>403</v>
      </c>
      <c r="F28" s="73">
        <v>250</v>
      </c>
      <c r="G28" s="73" t="s">
        <v>305</v>
      </c>
      <c r="H28" s="73">
        <v>36</v>
      </c>
      <c r="I28" s="105" t="s">
        <v>852</v>
      </c>
      <c r="J28" s="74">
        <v>0.19295000000000001</v>
      </c>
      <c r="K28" s="2">
        <v>9.9540000000000006</v>
      </c>
      <c r="L28" s="2">
        <v>9.4009999999999998</v>
      </c>
      <c r="M28" s="75"/>
      <c r="N28" s="2">
        <f t="shared" si="0"/>
        <v>0</v>
      </c>
      <c r="O28" s="106">
        <f t="shared" si="1"/>
        <v>0</v>
      </c>
      <c r="Q28" s="76"/>
      <c r="R28" s="11" t="str">
        <f t="shared" si="3"/>
        <v>-</v>
      </c>
      <c r="S28" s="30" t="str">
        <f t="shared" si="4"/>
        <v>-</v>
      </c>
      <c r="T28" s="12" t="str">
        <f t="shared" si="5"/>
        <v>-</v>
      </c>
      <c r="U28" s="13" t="str">
        <f t="shared" si="6"/>
        <v>-</v>
      </c>
      <c r="W28" s="13" t="str">
        <f t="shared" si="2"/>
        <v>-</v>
      </c>
    </row>
    <row r="29" spans="1:23" x14ac:dyDescent="0.3">
      <c r="A29" s="70">
        <v>100009362</v>
      </c>
      <c r="B29" s="71">
        <v>1450</v>
      </c>
      <c r="C29" s="96">
        <v>33984014503</v>
      </c>
      <c r="D29" s="72" t="s">
        <v>82</v>
      </c>
      <c r="E29" s="72" t="s">
        <v>406</v>
      </c>
      <c r="F29" s="73">
        <v>100</v>
      </c>
      <c r="G29" s="73" t="s">
        <v>300</v>
      </c>
      <c r="H29" s="73">
        <v>25</v>
      </c>
      <c r="I29" s="105" t="s">
        <v>852</v>
      </c>
      <c r="J29" s="74">
        <v>0.24711712317600001</v>
      </c>
      <c r="K29" s="2">
        <v>11.339999999999998</v>
      </c>
      <c r="L29" s="2">
        <v>10.709999999999999</v>
      </c>
      <c r="M29" s="75"/>
      <c r="N29" s="2">
        <f t="shared" si="0"/>
        <v>0</v>
      </c>
      <c r="O29" s="106">
        <f t="shared" si="1"/>
        <v>0</v>
      </c>
      <c r="Q29" s="76"/>
      <c r="R29" s="11" t="str">
        <f t="shared" si="3"/>
        <v>-</v>
      </c>
      <c r="S29" s="30" t="str">
        <f t="shared" si="4"/>
        <v>-</v>
      </c>
      <c r="T29" s="12" t="str">
        <f t="shared" si="5"/>
        <v>-</v>
      </c>
      <c r="U29" s="13" t="str">
        <f t="shared" si="6"/>
        <v>-</v>
      </c>
      <c r="W29" s="13" t="str">
        <f t="shared" si="2"/>
        <v>-</v>
      </c>
    </row>
    <row r="30" spans="1:23" x14ac:dyDescent="0.3">
      <c r="A30" s="70">
        <v>100009106</v>
      </c>
      <c r="B30" s="71">
        <v>200</v>
      </c>
      <c r="C30" s="96">
        <v>33984002005</v>
      </c>
      <c r="D30" s="72" t="s">
        <v>87</v>
      </c>
      <c r="E30" s="72" t="s">
        <v>413</v>
      </c>
      <c r="F30" s="73">
        <v>100</v>
      </c>
      <c r="G30" s="73" t="s">
        <v>305</v>
      </c>
      <c r="H30" s="73">
        <v>30</v>
      </c>
      <c r="I30" s="105" t="s">
        <v>852</v>
      </c>
      <c r="J30" s="74">
        <v>0.23835000000000001</v>
      </c>
      <c r="K30" s="2">
        <v>9.2609999999999992</v>
      </c>
      <c r="L30" s="2">
        <v>8.7464999999999993</v>
      </c>
      <c r="M30" s="75"/>
      <c r="N30" s="2">
        <f t="shared" si="0"/>
        <v>0</v>
      </c>
      <c r="O30" s="106">
        <f t="shared" si="1"/>
        <v>0</v>
      </c>
      <c r="Q30" s="76"/>
      <c r="R30" s="11" t="str">
        <f t="shared" si="3"/>
        <v>-</v>
      </c>
      <c r="S30" s="30" t="str">
        <f t="shared" si="4"/>
        <v>-</v>
      </c>
      <c r="T30" s="12" t="str">
        <f t="shared" si="5"/>
        <v>-</v>
      </c>
      <c r="U30" s="13" t="str">
        <f t="shared" si="6"/>
        <v>-</v>
      </c>
      <c r="W30" s="13" t="str">
        <f t="shared" si="2"/>
        <v>-</v>
      </c>
    </row>
    <row r="31" spans="1:23" x14ac:dyDescent="0.3">
      <c r="A31" s="70">
        <v>100009277</v>
      </c>
      <c r="B31" s="71">
        <v>1121</v>
      </c>
      <c r="C31" s="96">
        <v>33984011212</v>
      </c>
      <c r="D31" s="72" t="s">
        <v>88</v>
      </c>
      <c r="E31" s="72" t="s">
        <v>415</v>
      </c>
      <c r="F31" s="73">
        <v>100</v>
      </c>
      <c r="G31" s="73" t="s">
        <v>300</v>
      </c>
      <c r="H31" s="73">
        <v>25</v>
      </c>
      <c r="I31" s="105" t="s">
        <v>852</v>
      </c>
      <c r="J31" s="74">
        <v>0.22700000000000001</v>
      </c>
      <c r="K31" s="2">
        <v>10.709999999999999</v>
      </c>
      <c r="L31" s="2">
        <v>10.114999999999998</v>
      </c>
      <c r="M31" s="75"/>
      <c r="N31" s="2">
        <f t="shared" si="0"/>
        <v>0</v>
      </c>
      <c r="O31" s="106">
        <f t="shared" si="1"/>
        <v>0</v>
      </c>
      <c r="Q31" s="76"/>
      <c r="R31" s="11" t="str">
        <f t="shared" si="3"/>
        <v>-</v>
      </c>
      <c r="S31" s="30" t="str">
        <f t="shared" si="4"/>
        <v>-</v>
      </c>
      <c r="T31" s="12" t="str">
        <f t="shared" si="5"/>
        <v>-</v>
      </c>
      <c r="U31" s="13" t="str">
        <f t="shared" si="6"/>
        <v>-</v>
      </c>
      <c r="W31" s="13" t="str">
        <f t="shared" si="2"/>
        <v>-</v>
      </c>
    </row>
    <row r="32" spans="1:23" x14ac:dyDescent="0.3">
      <c r="A32" s="80">
        <v>100009283</v>
      </c>
      <c r="B32" s="81">
        <v>1149</v>
      </c>
      <c r="C32" s="98">
        <v>33984011496</v>
      </c>
      <c r="D32" s="82" t="s">
        <v>90</v>
      </c>
      <c r="E32" s="82" t="s">
        <v>419</v>
      </c>
      <c r="F32" s="83">
        <v>50</v>
      </c>
      <c r="G32" s="83" t="s">
        <v>300</v>
      </c>
      <c r="H32" s="73">
        <v>25</v>
      </c>
      <c r="I32" s="105" t="s">
        <v>852</v>
      </c>
      <c r="J32" s="74">
        <v>0.20429999999999998</v>
      </c>
      <c r="K32" s="2">
        <v>9.2609999999999992</v>
      </c>
      <c r="L32" s="2">
        <v>8.7464999999999993</v>
      </c>
      <c r="M32" s="75"/>
      <c r="N32" s="2">
        <f t="shared" si="0"/>
        <v>0</v>
      </c>
      <c r="O32" s="106">
        <f t="shared" si="1"/>
        <v>0</v>
      </c>
      <c r="Q32" s="76"/>
      <c r="R32" s="11" t="str">
        <f t="shared" si="3"/>
        <v>-</v>
      </c>
      <c r="S32" s="30" t="str">
        <f t="shared" si="4"/>
        <v>-</v>
      </c>
      <c r="T32" s="12" t="str">
        <f t="shared" si="5"/>
        <v>-</v>
      </c>
      <c r="U32" s="13" t="str">
        <f t="shared" si="6"/>
        <v>-</v>
      </c>
      <c r="W32" s="13" t="str">
        <f t="shared" si="2"/>
        <v>-</v>
      </c>
    </row>
    <row r="33" spans="1:23" x14ac:dyDescent="0.3">
      <c r="A33" s="70">
        <v>100009284</v>
      </c>
      <c r="B33" s="71">
        <v>1150</v>
      </c>
      <c r="C33" s="99">
        <v>33984011502</v>
      </c>
      <c r="D33" s="72" t="s">
        <v>90</v>
      </c>
      <c r="E33" s="72" t="s">
        <v>420</v>
      </c>
      <c r="F33" s="73">
        <v>100</v>
      </c>
      <c r="G33" s="73" t="s">
        <v>300</v>
      </c>
      <c r="H33" s="73">
        <v>20</v>
      </c>
      <c r="I33" s="105" t="s">
        <v>852</v>
      </c>
      <c r="J33" s="74">
        <v>0.38590000000000002</v>
      </c>
      <c r="K33" s="2">
        <v>17.009999999999998</v>
      </c>
      <c r="L33" s="2">
        <v>16.064999999999998</v>
      </c>
      <c r="M33" s="75"/>
      <c r="N33" s="2">
        <f t="shared" si="0"/>
        <v>0</v>
      </c>
      <c r="O33" s="106">
        <f t="shared" si="1"/>
        <v>0</v>
      </c>
      <c r="Q33" s="76"/>
      <c r="R33" s="11" t="str">
        <f t="shared" si="3"/>
        <v>-</v>
      </c>
      <c r="S33" s="30" t="str">
        <f t="shared" si="4"/>
        <v>-</v>
      </c>
      <c r="T33" s="12" t="str">
        <f t="shared" si="5"/>
        <v>-</v>
      </c>
      <c r="U33" s="13" t="str">
        <f t="shared" si="6"/>
        <v>-</v>
      </c>
      <c r="W33" s="13" t="str">
        <f t="shared" si="2"/>
        <v>-</v>
      </c>
    </row>
    <row r="34" spans="1:23" x14ac:dyDescent="0.3">
      <c r="A34" s="70">
        <v>100009252</v>
      </c>
      <c r="B34" s="71">
        <v>1038</v>
      </c>
      <c r="C34" s="96">
        <v>33984010383</v>
      </c>
      <c r="D34" s="72" t="s">
        <v>94</v>
      </c>
      <c r="E34" s="72" t="s">
        <v>427</v>
      </c>
      <c r="F34" s="73">
        <v>50</v>
      </c>
      <c r="G34" s="73" t="s">
        <v>300</v>
      </c>
      <c r="H34" s="73">
        <v>36</v>
      </c>
      <c r="I34" s="105" t="s">
        <v>852</v>
      </c>
      <c r="J34" s="74">
        <v>0.17518430317743058</v>
      </c>
      <c r="K34" s="2">
        <v>6.5520000000000005</v>
      </c>
      <c r="L34" s="2">
        <v>6.1879999999999997</v>
      </c>
      <c r="M34" s="75"/>
      <c r="N34" s="2">
        <f t="shared" si="0"/>
        <v>0</v>
      </c>
      <c r="O34" s="106">
        <f t="shared" si="1"/>
        <v>0</v>
      </c>
      <c r="Q34" s="76"/>
      <c r="R34" s="11" t="str">
        <f t="shared" si="3"/>
        <v>-</v>
      </c>
      <c r="S34" s="30" t="str">
        <f t="shared" si="4"/>
        <v>-</v>
      </c>
      <c r="T34" s="12" t="str">
        <f t="shared" si="5"/>
        <v>-</v>
      </c>
      <c r="U34" s="13" t="str">
        <f t="shared" si="6"/>
        <v>-</v>
      </c>
      <c r="W34" s="13" t="str">
        <f t="shared" si="2"/>
        <v>-</v>
      </c>
    </row>
    <row r="35" spans="1:23" x14ac:dyDescent="0.3">
      <c r="A35" s="70">
        <v>100009253</v>
      </c>
      <c r="B35" s="71">
        <v>1039</v>
      </c>
      <c r="C35" s="96">
        <v>33984010390</v>
      </c>
      <c r="D35" s="72" t="s">
        <v>94</v>
      </c>
      <c r="E35" s="72" t="s">
        <v>428</v>
      </c>
      <c r="F35" s="73">
        <v>100</v>
      </c>
      <c r="G35" s="73" t="s">
        <v>300</v>
      </c>
      <c r="H35" s="73">
        <v>23</v>
      </c>
      <c r="I35" s="105" t="s">
        <v>852</v>
      </c>
      <c r="J35" s="74">
        <v>0.29882369514489127</v>
      </c>
      <c r="K35" s="2">
        <v>11.339999999999998</v>
      </c>
      <c r="L35" s="2">
        <v>10.709999999999999</v>
      </c>
      <c r="M35" s="75"/>
      <c r="N35" s="2">
        <f t="shared" si="0"/>
        <v>0</v>
      </c>
      <c r="O35" s="106">
        <f t="shared" si="1"/>
        <v>0</v>
      </c>
      <c r="Q35" s="76"/>
      <c r="R35" s="11" t="str">
        <f t="shared" si="3"/>
        <v>-</v>
      </c>
      <c r="S35" s="30" t="str">
        <f t="shared" si="4"/>
        <v>-</v>
      </c>
      <c r="T35" s="12" t="str">
        <f t="shared" si="5"/>
        <v>-</v>
      </c>
      <c r="U35" s="13" t="str">
        <f t="shared" si="6"/>
        <v>-</v>
      </c>
      <c r="W35" s="13" t="str">
        <f t="shared" si="2"/>
        <v>-</v>
      </c>
    </row>
    <row r="36" spans="1:23" x14ac:dyDescent="0.3">
      <c r="A36" s="70">
        <v>100009604</v>
      </c>
      <c r="B36" s="71">
        <v>3260</v>
      </c>
      <c r="C36" s="96">
        <v>33984032606</v>
      </c>
      <c r="D36" s="72" t="s">
        <v>99</v>
      </c>
      <c r="E36" s="72" t="s">
        <v>444</v>
      </c>
      <c r="F36" s="73">
        <v>100</v>
      </c>
      <c r="G36" s="73" t="s">
        <v>300</v>
      </c>
      <c r="H36" s="73">
        <v>23</v>
      </c>
      <c r="I36" s="105" t="s">
        <v>852</v>
      </c>
      <c r="J36" s="74">
        <v>0.2728584901735</v>
      </c>
      <c r="K36" s="2">
        <v>8.19</v>
      </c>
      <c r="L36" s="2">
        <v>7.7349999999999985</v>
      </c>
      <c r="M36" s="75"/>
      <c r="N36" s="2">
        <f t="shared" si="0"/>
        <v>0</v>
      </c>
      <c r="O36" s="106">
        <f t="shared" si="1"/>
        <v>0</v>
      </c>
      <c r="Q36" s="76"/>
      <c r="R36" s="11" t="str">
        <f t="shared" si="3"/>
        <v>-</v>
      </c>
      <c r="S36" s="30" t="str">
        <f t="shared" si="4"/>
        <v>-</v>
      </c>
      <c r="T36" s="12" t="str">
        <f t="shared" si="5"/>
        <v>-</v>
      </c>
      <c r="U36" s="13" t="str">
        <f t="shared" si="6"/>
        <v>-</v>
      </c>
      <c r="W36" s="13" t="str">
        <f t="shared" si="2"/>
        <v>-</v>
      </c>
    </row>
    <row r="37" spans="1:23" x14ac:dyDescent="0.3">
      <c r="A37" s="70">
        <v>100009606</v>
      </c>
      <c r="B37" s="71">
        <v>3275</v>
      </c>
      <c r="C37" s="96">
        <v>33984032750</v>
      </c>
      <c r="D37" s="72" t="s">
        <v>100</v>
      </c>
      <c r="E37" s="72" t="s">
        <v>446</v>
      </c>
      <c r="F37" s="73">
        <v>90</v>
      </c>
      <c r="G37" s="73" t="s">
        <v>305</v>
      </c>
      <c r="H37" s="73">
        <v>23</v>
      </c>
      <c r="I37" s="105" t="s">
        <v>852</v>
      </c>
      <c r="J37" s="74">
        <v>0.30645</v>
      </c>
      <c r="K37" s="2">
        <v>9.2609999999999992</v>
      </c>
      <c r="L37" s="2">
        <v>8.7464999999999993</v>
      </c>
      <c r="M37" s="75"/>
      <c r="N37" s="2">
        <f t="shared" si="0"/>
        <v>0</v>
      </c>
      <c r="O37" s="106">
        <f t="shared" si="1"/>
        <v>0</v>
      </c>
      <c r="Q37" s="76"/>
      <c r="R37" s="11" t="str">
        <f t="shared" si="3"/>
        <v>-</v>
      </c>
      <c r="S37" s="30" t="str">
        <f t="shared" si="4"/>
        <v>-</v>
      </c>
      <c r="T37" s="12" t="str">
        <f t="shared" si="5"/>
        <v>-</v>
      </c>
      <c r="U37" s="13" t="str">
        <f t="shared" si="6"/>
        <v>-</v>
      </c>
      <c r="W37" s="13" t="str">
        <f t="shared" si="2"/>
        <v>-</v>
      </c>
    </row>
    <row r="38" spans="1:23" x14ac:dyDescent="0.3">
      <c r="A38" s="70">
        <v>100009608</v>
      </c>
      <c r="B38" s="71">
        <v>3281</v>
      </c>
      <c r="C38" s="96">
        <v>33984032811</v>
      </c>
      <c r="D38" s="72" t="s">
        <v>101</v>
      </c>
      <c r="E38" s="72" t="s">
        <v>448</v>
      </c>
      <c r="F38" s="73">
        <v>250</v>
      </c>
      <c r="G38" s="73" t="s">
        <v>300</v>
      </c>
      <c r="H38" s="73">
        <v>12</v>
      </c>
      <c r="I38" s="105" t="s">
        <v>852</v>
      </c>
      <c r="J38" s="74">
        <v>0.69235000000000002</v>
      </c>
      <c r="K38" s="2">
        <v>28.349999999999998</v>
      </c>
      <c r="L38" s="2">
        <v>26.774999999999999</v>
      </c>
      <c r="M38" s="75"/>
      <c r="N38" s="2">
        <f t="shared" si="0"/>
        <v>0</v>
      </c>
      <c r="O38" s="106">
        <f t="shared" si="1"/>
        <v>0</v>
      </c>
      <c r="Q38" s="76"/>
      <c r="R38" s="11" t="str">
        <f t="shared" si="3"/>
        <v>-</v>
      </c>
      <c r="S38" s="30" t="str">
        <f t="shared" si="4"/>
        <v>-</v>
      </c>
      <c r="T38" s="12" t="str">
        <f t="shared" si="5"/>
        <v>-</v>
      </c>
      <c r="U38" s="13" t="str">
        <f t="shared" si="6"/>
        <v>-</v>
      </c>
      <c r="W38" s="13" t="str">
        <f t="shared" si="2"/>
        <v>-</v>
      </c>
    </row>
    <row r="39" spans="1:23" x14ac:dyDescent="0.3">
      <c r="A39" s="70">
        <v>100009514</v>
      </c>
      <c r="B39" s="71">
        <v>2319</v>
      </c>
      <c r="C39" s="96">
        <v>33984023192</v>
      </c>
      <c r="D39" s="72" t="s">
        <v>102</v>
      </c>
      <c r="E39" s="72" t="s">
        <v>452</v>
      </c>
      <c r="F39" s="73">
        <v>100</v>
      </c>
      <c r="G39" s="73" t="s">
        <v>300</v>
      </c>
      <c r="H39" s="73">
        <v>20</v>
      </c>
      <c r="I39" s="105" t="s">
        <v>852</v>
      </c>
      <c r="J39" s="74">
        <v>0.37454999999999999</v>
      </c>
      <c r="K39" s="2">
        <v>18.585000000000001</v>
      </c>
      <c r="L39" s="2">
        <v>17.552499999999998</v>
      </c>
      <c r="M39" s="75"/>
      <c r="N39" s="2">
        <f t="shared" si="0"/>
        <v>0</v>
      </c>
      <c r="O39" s="106">
        <f t="shared" si="1"/>
        <v>0</v>
      </c>
      <c r="Q39" s="76"/>
      <c r="R39" s="11" t="str">
        <f t="shared" si="3"/>
        <v>-</v>
      </c>
      <c r="S39" s="30" t="str">
        <f t="shared" si="4"/>
        <v>-</v>
      </c>
      <c r="T39" s="12" t="str">
        <f t="shared" si="5"/>
        <v>-</v>
      </c>
      <c r="U39" s="13" t="str">
        <f t="shared" si="6"/>
        <v>-</v>
      </c>
      <c r="W39" s="13" t="str">
        <f t="shared" si="2"/>
        <v>-</v>
      </c>
    </row>
    <row r="40" spans="1:23" x14ac:dyDescent="0.3">
      <c r="A40" s="80">
        <v>100009139</v>
      </c>
      <c r="B40" s="81">
        <v>431</v>
      </c>
      <c r="C40" s="98">
        <v>33984004313</v>
      </c>
      <c r="D40" s="82" t="s">
        <v>111</v>
      </c>
      <c r="E40" s="82" t="s">
        <v>473</v>
      </c>
      <c r="F40" s="83">
        <v>120</v>
      </c>
      <c r="G40" s="83" t="s">
        <v>305</v>
      </c>
      <c r="H40" s="73">
        <v>20</v>
      </c>
      <c r="I40" s="105" t="s">
        <v>852</v>
      </c>
      <c r="J40" s="74">
        <v>0.42910858784832506</v>
      </c>
      <c r="K40" s="2">
        <v>10.331999999999999</v>
      </c>
      <c r="L40" s="2">
        <v>9.7579999999999973</v>
      </c>
      <c r="M40" s="75"/>
      <c r="N40" s="2">
        <f t="shared" si="0"/>
        <v>0</v>
      </c>
      <c r="O40" s="106">
        <f t="shared" si="1"/>
        <v>0</v>
      </c>
      <c r="Q40" s="76"/>
      <c r="R40" s="11" t="str">
        <f t="shared" si="3"/>
        <v>-</v>
      </c>
      <c r="S40" s="30" t="str">
        <f t="shared" si="4"/>
        <v>-</v>
      </c>
      <c r="T40" s="12" t="str">
        <f t="shared" si="5"/>
        <v>-</v>
      </c>
      <c r="U40" s="13" t="str">
        <f t="shared" si="6"/>
        <v>-</v>
      </c>
      <c r="W40" s="13" t="str">
        <f t="shared" si="2"/>
        <v>-</v>
      </c>
    </row>
    <row r="41" spans="1:23" x14ac:dyDescent="0.3">
      <c r="A41" s="70">
        <v>100009820</v>
      </c>
      <c r="B41" s="71">
        <v>35831</v>
      </c>
      <c r="C41" s="96">
        <v>33984358317</v>
      </c>
      <c r="D41" s="72" t="s">
        <v>112</v>
      </c>
      <c r="E41" s="72" t="s">
        <v>476</v>
      </c>
      <c r="F41" s="73" t="s">
        <v>274</v>
      </c>
      <c r="G41" s="73" t="s">
        <v>307</v>
      </c>
      <c r="H41" s="73">
        <v>12</v>
      </c>
      <c r="I41" s="105" t="s">
        <v>852</v>
      </c>
      <c r="J41" s="74">
        <v>0.97609999999999997</v>
      </c>
      <c r="K41" s="2">
        <v>10.08</v>
      </c>
      <c r="L41" s="2">
        <v>9.52</v>
      </c>
      <c r="M41" s="75"/>
      <c r="N41" s="2">
        <f t="shared" si="0"/>
        <v>0</v>
      </c>
      <c r="O41" s="106">
        <f t="shared" si="1"/>
        <v>0</v>
      </c>
      <c r="Q41" s="76"/>
      <c r="R41" s="11" t="str">
        <f t="shared" si="3"/>
        <v>-</v>
      </c>
      <c r="S41" s="30" t="str">
        <f t="shared" si="4"/>
        <v>-</v>
      </c>
      <c r="T41" s="12" t="str">
        <f t="shared" si="5"/>
        <v>-</v>
      </c>
      <c r="U41" s="13" t="str">
        <f t="shared" si="6"/>
        <v>-</v>
      </c>
      <c r="W41" s="13" t="str">
        <f t="shared" si="2"/>
        <v>-</v>
      </c>
    </row>
    <row r="42" spans="1:23" x14ac:dyDescent="0.3">
      <c r="A42" s="70">
        <v>100009821</v>
      </c>
      <c r="B42" s="71">
        <v>35832</v>
      </c>
      <c r="C42" s="96">
        <v>33984358324</v>
      </c>
      <c r="D42" s="72" t="s">
        <v>113</v>
      </c>
      <c r="E42" s="72" t="s">
        <v>477</v>
      </c>
      <c r="F42" s="73" t="s">
        <v>274</v>
      </c>
      <c r="G42" s="73" t="s">
        <v>307</v>
      </c>
      <c r="H42" s="73">
        <v>12</v>
      </c>
      <c r="I42" s="105" t="s">
        <v>852</v>
      </c>
      <c r="J42" s="74">
        <v>0.9841782648710834</v>
      </c>
      <c r="K42" s="2">
        <v>10.08</v>
      </c>
      <c r="L42" s="2">
        <v>9.52</v>
      </c>
      <c r="M42" s="75"/>
      <c r="N42" s="2">
        <f t="shared" si="0"/>
        <v>0</v>
      </c>
      <c r="O42" s="106">
        <f t="shared" si="1"/>
        <v>0</v>
      </c>
      <c r="Q42" s="76"/>
      <c r="R42" s="11" t="str">
        <f t="shared" si="3"/>
        <v>-</v>
      </c>
      <c r="S42" s="30" t="str">
        <f t="shared" si="4"/>
        <v>-</v>
      </c>
      <c r="T42" s="12" t="str">
        <f t="shared" si="5"/>
        <v>-</v>
      </c>
      <c r="U42" s="13" t="str">
        <f t="shared" si="6"/>
        <v>-</v>
      </c>
      <c r="W42" s="13" t="str">
        <f t="shared" si="2"/>
        <v>-</v>
      </c>
    </row>
    <row r="43" spans="1:23" x14ac:dyDescent="0.3">
      <c r="A43" s="70">
        <v>100009822</v>
      </c>
      <c r="B43" s="71">
        <v>35833</v>
      </c>
      <c r="C43" s="96">
        <v>33984358331</v>
      </c>
      <c r="D43" s="72" t="s">
        <v>114</v>
      </c>
      <c r="E43" s="72" t="s">
        <v>478</v>
      </c>
      <c r="F43" s="73" t="s">
        <v>274</v>
      </c>
      <c r="G43" s="73" t="s">
        <v>307</v>
      </c>
      <c r="H43" s="73">
        <v>12</v>
      </c>
      <c r="I43" s="105" t="s">
        <v>852</v>
      </c>
      <c r="J43" s="74">
        <v>0.99018458383716668</v>
      </c>
      <c r="K43" s="2">
        <v>10.08</v>
      </c>
      <c r="L43" s="2">
        <v>9.52</v>
      </c>
      <c r="M43" s="75"/>
      <c r="N43" s="2">
        <f t="shared" si="0"/>
        <v>0</v>
      </c>
      <c r="O43" s="106">
        <f t="shared" si="1"/>
        <v>0</v>
      </c>
      <c r="Q43" s="76"/>
      <c r="R43" s="11" t="str">
        <f t="shared" si="3"/>
        <v>-</v>
      </c>
      <c r="S43" s="30" t="str">
        <f t="shared" si="4"/>
        <v>-</v>
      </c>
      <c r="T43" s="12" t="str">
        <f t="shared" si="5"/>
        <v>-</v>
      </c>
      <c r="U43" s="13" t="str">
        <f t="shared" si="6"/>
        <v>-</v>
      </c>
      <c r="W43" s="13" t="str">
        <f t="shared" si="2"/>
        <v>-</v>
      </c>
    </row>
    <row r="44" spans="1:23" x14ac:dyDescent="0.3">
      <c r="A44" s="80">
        <v>100009153</v>
      </c>
      <c r="B44" s="81">
        <v>518</v>
      </c>
      <c r="C44" s="98">
        <v>33984005181</v>
      </c>
      <c r="D44" s="82" t="s">
        <v>116</v>
      </c>
      <c r="E44" s="82" t="s">
        <v>479</v>
      </c>
      <c r="F44" s="83">
        <v>150</v>
      </c>
      <c r="G44" s="83" t="s">
        <v>305</v>
      </c>
      <c r="H44" s="73">
        <v>20</v>
      </c>
      <c r="I44" s="105" t="s">
        <v>852</v>
      </c>
      <c r="J44" s="74">
        <v>0.51075000000000004</v>
      </c>
      <c r="K44" s="2">
        <v>11.97</v>
      </c>
      <c r="L44" s="2">
        <v>11.304999999999998</v>
      </c>
      <c r="M44" s="75"/>
      <c r="N44" s="2">
        <f t="shared" si="0"/>
        <v>0</v>
      </c>
      <c r="O44" s="106">
        <f t="shared" si="1"/>
        <v>0</v>
      </c>
      <c r="Q44" s="76"/>
      <c r="R44" s="11" t="str">
        <f t="shared" si="3"/>
        <v>-</v>
      </c>
      <c r="S44" s="30" t="str">
        <f t="shared" si="4"/>
        <v>-</v>
      </c>
      <c r="T44" s="12" t="str">
        <f t="shared" si="5"/>
        <v>-</v>
      </c>
      <c r="U44" s="13" t="str">
        <f t="shared" si="6"/>
        <v>-</v>
      </c>
      <c r="W44" s="13" t="str">
        <f t="shared" si="2"/>
        <v>-</v>
      </c>
    </row>
    <row r="45" spans="1:23" x14ac:dyDescent="0.3">
      <c r="A45" s="70">
        <v>100009149</v>
      </c>
      <c r="B45" s="71">
        <v>509</v>
      </c>
      <c r="C45" s="96">
        <v>33984005099</v>
      </c>
      <c r="D45" s="72" t="s">
        <v>115</v>
      </c>
      <c r="E45" s="72" t="s">
        <v>483</v>
      </c>
      <c r="F45" s="73">
        <v>100</v>
      </c>
      <c r="G45" s="73" t="s">
        <v>305</v>
      </c>
      <c r="H45" s="73">
        <v>23</v>
      </c>
      <c r="I45" s="105" t="s">
        <v>852</v>
      </c>
      <c r="J45" s="74">
        <v>0.37380941639847826</v>
      </c>
      <c r="K45" s="2">
        <v>9.9540000000000006</v>
      </c>
      <c r="L45" s="2">
        <v>9.4009999999999998</v>
      </c>
      <c r="M45" s="75"/>
      <c r="N45" s="2">
        <f t="shared" si="0"/>
        <v>0</v>
      </c>
      <c r="O45" s="106">
        <f t="shared" si="1"/>
        <v>0</v>
      </c>
      <c r="Q45" s="76"/>
      <c r="R45" s="11" t="str">
        <f t="shared" si="3"/>
        <v>-</v>
      </c>
      <c r="S45" s="30" t="str">
        <f t="shared" si="4"/>
        <v>-</v>
      </c>
      <c r="T45" s="12" t="str">
        <f t="shared" si="5"/>
        <v>-</v>
      </c>
      <c r="U45" s="13" t="str">
        <f t="shared" si="6"/>
        <v>-</v>
      </c>
      <c r="W45" s="13" t="str">
        <f t="shared" si="2"/>
        <v>-</v>
      </c>
    </row>
    <row r="46" spans="1:23" x14ac:dyDescent="0.3">
      <c r="A46" s="70">
        <v>100009155</v>
      </c>
      <c r="B46" s="71">
        <v>520</v>
      </c>
      <c r="C46" s="96">
        <v>33984005204</v>
      </c>
      <c r="D46" s="72" t="s">
        <v>117</v>
      </c>
      <c r="E46" s="72" t="s">
        <v>485</v>
      </c>
      <c r="F46" s="73">
        <v>100</v>
      </c>
      <c r="G46" s="73" t="s">
        <v>305</v>
      </c>
      <c r="H46" s="73">
        <v>23</v>
      </c>
      <c r="I46" s="105" t="s">
        <v>852</v>
      </c>
      <c r="J46" s="74">
        <v>0.37716698600684784</v>
      </c>
      <c r="K46" s="2">
        <v>8.19</v>
      </c>
      <c r="L46" s="2">
        <v>7.7349999999999985</v>
      </c>
      <c r="M46" s="75"/>
      <c r="N46" s="2">
        <f t="shared" si="0"/>
        <v>0</v>
      </c>
      <c r="O46" s="106">
        <f t="shared" si="1"/>
        <v>0</v>
      </c>
      <c r="Q46" s="76"/>
      <c r="R46" s="11" t="str">
        <f t="shared" si="3"/>
        <v>-</v>
      </c>
      <c r="S46" s="30" t="str">
        <f t="shared" si="4"/>
        <v>-</v>
      </c>
      <c r="T46" s="12" t="str">
        <f t="shared" si="5"/>
        <v>-</v>
      </c>
      <c r="U46" s="13" t="str">
        <f t="shared" si="6"/>
        <v>-</v>
      </c>
      <c r="W46" s="13" t="str">
        <f t="shared" si="2"/>
        <v>-</v>
      </c>
    </row>
    <row r="47" spans="1:23" x14ac:dyDescent="0.3">
      <c r="A47" s="70">
        <v>100009190</v>
      </c>
      <c r="B47" s="71">
        <v>871</v>
      </c>
      <c r="C47" s="96">
        <v>33984008717</v>
      </c>
      <c r="D47" s="72" t="s">
        <v>118</v>
      </c>
      <c r="E47" s="72" t="s">
        <v>489</v>
      </c>
      <c r="F47" s="73">
        <v>60</v>
      </c>
      <c r="G47" s="73" t="s">
        <v>300</v>
      </c>
      <c r="H47" s="73">
        <v>25</v>
      </c>
      <c r="I47" s="105" t="s">
        <v>852</v>
      </c>
      <c r="J47" s="74">
        <v>0.18160000000000001</v>
      </c>
      <c r="K47" s="2">
        <v>6.1739999999999995</v>
      </c>
      <c r="L47" s="2">
        <v>5.8309999999999995</v>
      </c>
      <c r="M47" s="75"/>
      <c r="N47" s="2">
        <f t="shared" si="0"/>
        <v>0</v>
      </c>
      <c r="O47" s="106">
        <f t="shared" si="1"/>
        <v>0</v>
      </c>
      <c r="Q47" s="76"/>
      <c r="R47" s="11" t="str">
        <f t="shared" si="3"/>
        <v>-</v>
      </c>
      <c r="S47" s="30" t="str">
        <f t="shared" si="4"/>
        <v>-</v>
      </c>
      <c r="T47" s="12" t="str">
        <f t="shared" si="5"/>
        <v>-</v>
      </c>
      <c r="U47" s="13" t="str">
        <f t="shared" si="6"/>
        <v>-</v>
      </c>
      <c r="W47" s="13" t="str">
        <f t="shared" si="2"/>
        <v>-</v>
      </c>
    </row>
    <row r="48" spans="1:23" x14ac:dyDescent="0.3">
      <c r="A48" s="70">
        <v>100009169</v>
      </c>
      <c r="B48" s="71">
        <v>640</v>
      </c>
      <c r="C48" s="96">
        <v>33984006409</v>
      </c>
      <c r="D48" s="72" t="s">
        <v>120</v>
      </c>
      <c r="E48" s="72" t="s">
        <v>491</v>
      </c>
      <c r="F48" s="73">
        <v>100</v>
      </c>
      <c r="G48" s="73" t="s">
        <v>305</v>
      </c>
      <c r="H48" s="73">
        <v>42</v>
      </c>
      <c r="I48" s="105" t="s">
        <v>852</v>
      </c>
      <c r="J48" s="74">
        <v>0.15890000000000001</v>
      </c>
      <c r="K48" s="2">
        <v>6.93</v>
      </c>
      <c r="L48" s="2">
        <v>6.544999999999999</v>
      </c>
      <c r="M48" s="75"/>
      <c r="N48" s="2">
        <f t="shared" si="0"/>
        <v>0</v>
      </c>
      <c r="O48" s="106">
        <f t="shared" si="1"/>
        <v>0</v>
      </c>
      <c r="Q48" s="76"/>
      <c r="R48" s="11" t="str">
        <f t="shared" si="3"/>
        <v>-</v>
      </c>
      <c r="S48" s="30" t="str">
        <f t="shared" si="4"/>
        <v>-</v>
      </c>
      <c r="T48" s="12" t="str">
        <f t="shared" si="5"/>
        <v>-</v>
      </c>
      <c r="U48" s="13" t="str">
        <f t="shared" si="6"/>
        <v>-</v>
      </c>
      <c r="W48" s="13" t="str">
        <f t="shared" si="2"/>
        <v>-</v>
      </c>
    </row>
    <row r="49" spans="1:23" x14ac:dyDescent="0.3">
      <c r="A49" s="70">
        <v>100009170</v>
      </c>
      <c r="B49" s="71">
        <v>680</v>
      </c>
      <c r="C49" s="96">
        <v>33984006805</v>
      </c>
      <c r="D49" s="72" t="s">
        <v>121</v>
      </c>
      <c r="E49" s="72" t="s">
        <v>492</v>
      </c>
      <c r="F49" s="73">
        <v>100</v>
      </c>
      <c r="G49" s="73" t="s">
        <v>305</v>
      </c>
      <c r="H49" s="73">
        <v>36</v>
      </c>
      <c r="I49" s="105" t="s">
        <v>852</v>
      </c>
      <c r="J49" s="74">
        <v>0.18160000000000001</v>
      </c>
      <c r="K49" s="2">
        <v>7.56</v>
      </c>
      <c r="L49" s="2">
        <v>7.1399999999999988</v>
      </c>
      <c r="M49" s="75"/>
      <c r="N49" s="2">
        <f t="shared" si="0"/>
        <v>0</v>
      </c>
      <c r="O49" s="106">
        <f t="shared" si="1"/>
        <v>0</v>
      </c>
      <c r="Q49" s="76"/>
      <c r="R49" s="11" t="str">
        <f t="shared" si="3"/>
        <v>-</v>
      </c>
      <c r="S49" s="30" t="str">
        <f t="shared" si="4"/>
        <v>-</v>
      </c>
      <c r="T49" s="12" t="str">
        <f t="shared" si="5"/>
        <v>-</v>
      </c>
      <c r="U49" s="13" t="str">
        <f t="shared" si="6"/>
        <v>-</v>
      </c>
      <c r="W49" s="13" t="str">
        <f t="shared" si="2"/>
        <v>-</v>
      </c>
    </row>
    <row r="50" spans="1:23" x14ac:dyDescent="0.3">
      <c r="A50" s="70">
        <v>100009318</v>
      </c>
      <c r="B50" s="71">
        <v>1249</v>
      </c>
      <c r="C50" s="96">
        <v>33984012493</v>
      </c>
      <c r="D50" s="72" t="s">
        <v>122</v>
      </c>
      <c r="E50" s="72" t="s">
        <v>493</v>
      </c>
      <c r="F50" s="73">
        <v>90</v>
      </c>
      <c r="G50" s="73" t="s">
        <v>300</v>
      </c>
      <c r="H50" s="73">
        <v>25</v>
      </c>
      <c r="I50" s="105" t="s">
        <v>852</v>
      </c>
      <c r="J50" s="74">
        <v>0.21565000000000001</v>
      </c>
      <c r="K50" s="2">
        <v>8.5679999999999996</v>
      </c>
      <c r="L50" s="2">
        <v>8.0919999999999987</v>
      </c>
      <c r="M50" s="75"/>
      <c r="N50" s="2">
        <f t="shared" si="0"/>
        <v>0</v>
      </c>
      <c r="O50" s="106">
        <f t="shared" si="1"/>
        <v>0</v>
      </c>
      <c r="Q50" s="76"/>
      <c r="R50" s="11" t="str">
        <f t="shared" si="3"/>
        <v>-</v>
      </c>
      <c r="S50" s="30" t="str">
        <f t="shared" si="4"/>
        <v>-</v>
      </c>
      <c r="T50" s="12" t="str">
        <f t="shared" si="5"/>
        <v>-</v>
      </c>
      <c r="U50" s="13" t="str">
        <f t="shared" si="6"/>
        <v>-</v>
      </c>
      <c r="W50" s="13" t="str">
        <f t="shared" si="2"/>
        <v>-</v>
      </c>
    </row>
    <row r="51" spans="1:23" x14ac:dyDescent="0.3">
      <c r="A51" s="70">
        <v>100009370</v>
      </c>
      <c r="B51" s="71">
        <v>1500</v>
      </c>
      <c r="C51" s="96">
        <v>33984015005</v>
      </c>
      <c r="D51" s="72" t="s">
        <v>124</v>
      </c>
      <c r="E51" s="72" t="s">
        <v>497</v>
      </c>
      <c r="F51" s="73">
        <v>250</v>
      </c>
      <c r="G51" s="73" t="s">
        <v>305</v>
      </c>
      <c r="H51" s="73">
        <v>25</v>
      </c>
      <c r="I51" s="105" t="s">
        <v>852</v>
      </c>
      <c r="J51" s="74">
        <v>0.26420939086234002</v>
      </c>
      <c r="K51" s="2">
        <v>11.339999999999998</v>
      </c>
      <c r="L51" s="2">
        <v>10.709999999999999</v>
      </c>
      <c r="M51" s="75"/>
      <c r="N51" s="2">
        <f t="shared" si="0"/>
        <v>0</v>
      </c>
      <c r="O51" s="106">
        <f t="shared" si="1"/>
        <v>0</v>
      </c>
      <c r="Q51" s="76"/>
      <c r="R51" s="11" t="str">
        <f t="shared" si="3"/>
        <v>-</v>
      </c>
      <c r="S51" s="30" t="str">
        <f t="shared" si="4"/>
        <v>-</v>
      </c>
      <c r="T51" s="12" t="str">
        <f t="shared" si="5"/>
        <v>-</v>
      </c>
      <c r="U51" s="13" t="str">
        <f t="shared" si="6"/>
        <v>-</v>
      </c>
      <c r="W51" s="13" t="str">
        <f t="shared" si="2"/>
        <v>-</v>
      </c>
    </row>
    <row r="52" spans="1:23" x14ac:dyDescent="0.3">
      <c r="A52" s="84">
        <v>100009171</v>
      </c>
      <c r="B52" s="85">
        <v>700</v>
      </c>
      <c r="C52" s="100">
        <v>33984007000</v>
      </c>
      <c r="D52" s="86" t="s">
        <v>125</v>
      </c>
      <c r="E52" s="86" t="s">
        <v>498</v>
      </c>
      <c r="F52" s="73">
        <v>100</v>
      </c>
      <c r="G52" s="73" t="s">
        <v>305</v>
      </c>
      <c r="H52" s="73"/>
      <c r="I52" s="105" t="s">
        <v>852</v>
      </c>
      <c r="J52" s="74">
        <v>0.32031214063845648</v>
      </c>
      <c r="K52" s="2">
        <v>10.331999999999999</v>
      </c>
      <c r="L52" s="2">
        <v>9.7579999999999973</v>
      </c>
      <c r="M52" s="75"/>
      <c r="N52" s="2">
        <f t="shared" si="0"/>
        <v>0</v>
      </c>
      <c r="O52" s="106">
        <f t="shared" si="1"/>
        <v>0</v>
      </c>
      <c r="Q52" s="76"/>
      <c r="R52" s="11" t="str">
        <f t="shared" si="3"/>
        <v>-</v>
      </c>
      <c r="S52" s="30" t="str">
        <f t="shared" si="4"/>
        <v>-</v>
      </c>
      <c r="T52" s="12" t="str">
        <f t="shared" si="5"/>
        <v>-</v>
      </c>
      <c r="U52" s="13" t="str">
        <f t="shared" si="6"/>
        <v>-</v>
      </c>
      <c r="W52" s="13" t="str">
        <f t="shared" si="2"/>
        <v>-</v>
      </c>
    </row>
    <row r="53" spans="1:23" x14ac:dyDescent="0.3">
      <c r="A53" s="70">
        <v>100009399</v>
      </c>
      <c r="B53" s="71">
        <v>1721</v>
      </c>
      <c r="C53" s="96">
        <v>33984017214</v>
      </c>
      <c r="D53" s="72" t="s">
        <v>126</v>
      </c>
      <c r="E53" s="72" t="s">
        <v>500</v>
      </c>
      <c r="F53" s="73">
        <v>250</v>
      </c>
      <c r="G53" s="73" t="s">
        <v>305</v>
      </c>
      <c r="H53" s="73">
        <v>23</v>
      </c>
      <c r="I53" s="105" t="s">
        <v>852</v>
      </c>
      <c r="J53" s="74">
        <v>0.32915</v>
      </c>
      <c r="K53" s="2">
        <v>13.040999999999999</v>
      </c>
      <c r="L53" s="2">
        <v>12.316499999999998</v>
      </c>
      <c r="M53" s="75"/>
      <c r="N53" s="2">
        <f t="shared" si="0"/>
        <v>0</v>
      </c>
      <c r="O53" s="106">
        <f t="shared" si="1"/>
        <v>0</v>
      </c>
      <c r="Q53" s="76"/>
      <c r="R53" s="11" t="str">
        <f t="shared" si="3"/>
        <v>-</v>
      </c>
      <c r="S53" s="30" t="str">
        <f t="shared" si="4"/>
        <v>-</v>
      </c>
      <c r="T53" s="12" t="str">
        <f t="shared" si="5"/>
        <v>-</v>
      </c>
      <c r="U53" s="13" t="str">
        <f t="shared" si="6"/>
        <v>-</v>
      </c>
      <c r="W53" s="13" t="str">
        <f t="shared" si="2"/>
        <v>-</v>
      </c>
    </row>
    <row r="54" spans="1:23" x14ac:dyDescent="0.3">
      <c r="A54" s="84">
        <v>100009395</v>
      </c>
      <c r="B54" s="85">
        <v>1710</v>
      </c>
      <c r="C54" s="100">
        <v>33984017108</v>
      </c>
      <c r="D54" s="86" t="s">
        <v>127</v>
      </c>
      <c r="E54" s="86" t="s">
        <v>501</v>
      </c>
      <c r="F54" s="73">
        <v>60</v>
      </c>
      <c r="G54" s="73" t="s">
        <v>305</v>
      </c>
      <c r="H54" s="73"/>
      <c r="I54" s="105" t="s">
        <v>852</v>
      </c>
      <c r="J54" s="74">
        <v>0.37711102651337503</v>
      </c>
      <c r="K54" s="2">
        <v>6.93</v>
      </c>
      <c r="L54" s="2">
        <v>6.544999999999999</v>
      </c>
      <c r="M54" s="75"/>
      <c r="N54" s="2">
        <f t="shared" si="0"/>
        <v>0</v>
      </c>
      <c r="O54" s="106">
        <f t="shared" si="1"/>
        <v>0</v>
      </c>
      <c r="Q54" s="76"/>
      <c r="R54" s="11" t="str">
        <f t="shared" si="3"/>
        <v>-</v>
      </c>
      <c r="S54" s="30" t="str">
        <f t="shared" si="4"/>
        <v>-</v>
      </c>
      <c r="T54" s="12" t="str">
        <f t="shared" si="5"/>
        <v>-</v>
      </c>
      <c r="U54" s="13" t="str">
        <f t="shared" si="6"/>
        <v>-</v>
      </c>
      <c r="W54" s="13" t="str">
        <f t="shared" si="2"/>
        <v>-</v>
      </c>
    </row>
    <row r="55" spans="1:23" x14ac:dyDescent="0.3">
      <c r="A55" s="84">
        <v>100009396</v>
      </c>
      <c r="B55" s="85">
        <v>1711</v>
      </c>
      <c r="C55" s="100">
        <v>33984017115</v>
      </c>
      <c r="D55" s="86" t="s">
        <v>127</v>
      </c>
      <c r="E55" s="86" t="s">
        <v>502</v>
      </c>
      <c r="F55" s="73">
        <v>120</v>
      </c>
      <c r="G55" s="73" t="s">
        <v>305</v>
      </c>
      <c r="H55" s="73"/>
      <c r="I55" s="105" t="s">
        <v>852</v>
      </c>
      <c r="J55" s="74">
        <v>0.5675</v>
      </c>
      <c r="K55" s="2">
        <v>12.347999999999999</v>
      </c>
      <c r="L55" s="2">
        <v>11.661999999999999</v>
      </c>
      <c r="M55" s="75"/>
      <c r="N55" s="2">
        <f t="shared" si="0"/>
        <v>0</v>
      </c>
      <c r="O55" s="106">
        <f t="shared" si="1"/>
        <v>0</v>
      </c>
      <c r="Q55" s="76"/>
      <c r="R55" s="11" t="str">
        <f t="shared" si="3"/>
        <v>-</v>
      </c>
      <c r="S55" s="30" t="str">
        <f t="shared" si="4"/>
        <v>-</v>
      </c>
      <c r="T55" s="12" t="str">
        <f t="shared" si="5"/>
        <v>-</v>
      </c>
      <c r="U55" s="13" t="str">
        <f t="shared" si="6"/>
        <v>-</v>
      </c>
      <c r="W55" s="13" t="str">
        <f t="shared" si="2"/>
        <v>-</v>
      </c>
    </row>
    <row r="56" spans="1:23" x14ac:dyDescent="0.3">
      <c r="A56" s="70">
        <v>100009543</v>
      </c>
      <c r="B56" s="71">
        <v>2551</v>
      </c>
      <c r="C56" s="96">
        <v>33984025516</v>
      </c>
      <c r="D56" s="72" t="s">
        <v>132</v>
      </c>
      <c r="E56" s="72" t="s">
        <v>509</v>
      </c>
      <c r="F56" s="73">
        <v>100</v>
      </c>
      <c r="G56" s="73" t="s">
        <v>305</v>
      </c>
      <c r="H56" s="73">
        <v>42</v>
      </c>
      <c r="I56" s="105" t="s">
        <v>852</v>
      </c>
      <c r="J56" s="74">
        <v>0.15890000000000001</v>
      </c>
      <c r="K56" s="2">
        <v>6.048</v>
      </c>
      <c r="L56" s="2">
        <v>5.7119999999999997</v>
      </c>
      <c r="M56" s="75"/>
      <c r="N56" s="2">
        <f t="shared" si="0"/>
        <v>0</v>
      </c>
      <c r="O56" s="106">
        <f t="shared" si="1"/>
        <v>0</v>
      </c>
      <c r="Q56" s="76"/>
      <c r="R56" s="11" t="str">
        <f t="shared" si="3"/>
        <v>-</v>
      </c>
      <c r="S56" s="30" t="str">
        <f t="shared" si="4"/>
        <v>-</v>
      </c>
      <c r="T56" s="12" t="str">
        <f t="shared" si="5"/>
        <v>-</v>
      </c>
      <c r="U56" s="13" t="str">
        <f t="shared" si="6"/>
        <v>-</v>
      </c>
      <c r="W56" s="13" t="str">
        <f t="shared" si="2"/>
        <v>-</v>
      </c>
    </row>
    <row r="57" spans="1:23" x14ac:dyDescent="0.3">
      <c r="A57" s="70">
        <v>100009544</v>
      </c>
      <c r="B57" s="71">
        <v>2557</v>
      </c>
      <c r="C57" s="96">
        <v>33984025578</v>
      </c>
      <c r="D57" s="72" t="s">
        <v>133</v>
      </c>
      <c r="E57" s="72" t="s">
        <v>510</v>
      </c>
      <c r="F57" s="73">
        <v>100</v>
      </c>
      <c r="G57" s="73" t="s">
        <v>305</v>
      </c>
      <c r="H57" s="73">
        <v>36</v>
      </c>
      <c r="I57" s="105" t="s">
        <v>852</v>
      </c>
      <c r="J57" s="74">
        <v>0.18490881959870833</v>
      </c>
      <c r="K57" s="2">
        <v>8.9459999999999997</v>
      </c>
      <c r="L57" s="2">
        <v>8.4489999999999981</v>
      </c>
      <c r="M57" s="75"/>
      <c r="N57" s="2">
        <f t="shared" si="0"/>
        <v>0</v>
      </c>
      <c r="O57" s="106">
        <f t="shared" si="1"/>
        <v>0</v>
      </c>
      <c r="Q57" s="76"/>
      <c r="R57" s="11" t="str">
        <f t="shared" si="3"/>
        <v>-</v>
      </c>
      <c r="S57" s="30" t="str">
        <f t="shared" si="4"/>
        <v>-</v>
      </c>
      <c r="T57" s="12" t="str">
        <f t="shared" si="5"/>
        <v>-</v>
      </c>
      <c r="U57" s="13" t="str">
        <f t="shared" si="6"/>
        <v>-</v>
      </c>
      <c r="W57" s="13" t="str">
        <f t="shared" si="2"/>
        <v>-</v>
      </c>
    </row>
    <row r="58" spans="1:23" x14ac:dyDescent="0.3">
      <c r="A58" s="70">
        <v>100009545</v>
      </c>
      <c r="B58" s="71">
        <v>2558</v>
      </c>
      <c r="C58" s="96">
        <v>33984025585</v>
      </c>
      <c r="D58" s="72" t="s">
        <v>133</v>
      </c>
      <c r="E58" s="72" t="s">
        <v>511</v>
      </c>
      <c r="F58" s="73">
        <v>250</v>
      </c>
      <c r="G58" s="73" t="s">
        <v>305</v>
      </c>
      <c r="H58" s="73">
        <v>23</v>
      </c>
      <c r="I58" s="105" t="s">
        <v>852</v>
      </c>
      <c r="J58" s="74">
        <v>0.32915</v>
      </c>
      <c r="K58" s="2">
        <v>19.781999999999996</v>
      </c>
      <c r="L58" s="2">
        <v>18.682999999999996</v>
      </c>
      <c r="M58" s="75"/>
      <c r="N58" s="2">
        <f t="shared" si="0"/>
        <v>0</v>
      </c>
      <c r="O58" s="106">
        <f t="shared" si="1"/>
        <v>0</v>
      </c>
      <c r="Q58" s="76"/>
      <c r="R58" s="11" t="str">
        <f t="shared" si="3"/>
        <v>-</v>
      </c>
      <c r="S58" s="30" t="str">
        <f t="shared" si="4"/>
        <v>-</v>
      </c>
      <c r="T58" s="12" t="str">
        <f t="shared" si="5"/>
        <v>-</v>
      </c>
      <c r="U58" s="13" t="str">
        <f t="shared" si="6"/>
        <v>-</v>
      </c>
      <c r="W58" s="13" t="str">
        <f t="shared" si="2"/>
        <v>-</v>
      </c>
    </row>
    <row r="59" spans="1:23" x14ac:dyDescent="0.3">
      <c r="A59" s="70">
        <v>100009179</v>
      </c>
      <c r="B59" s="71">
        <v>800</v>
      </c>
      <c r="C59" s="96">
        <v>33984008007</v>
      </c>
      <c r="D59" s="72" t="s">
        <v>135</v>
      </c>
      <c r="E59" s="72" t="s">
        <v>513</v>
      </c>
      <c r="F59" s="73">
        <v>100</v>
      </c>
      <c r="G59" s="73" t="s">
        <v>305</v>
      </c>
      <c r="H59" s="73">
        <v>36</v>
      </c>
      <c r="I59" s="105" t="s">
        <v>852</v>
      </c>
      <c r="J59" s="74">
        <v>0.18160000000000001</v>
      </c>
      <c r="K59" s="2">
        <v>7.56</v>
      </c>
      <c r="L59" s="2">
        <v>7.1399999999999988</v>
      </c>
      <c r="M59" s="75"/>
      <c r="N59" s="2">
        <f t="shared" si="0"/>
        <v>0</v>
      </c>
      <c r="O59" s="106">
        <f t="shared" si="1"/>
        <v>0</v>
      </c>
      <c r="Q59" s="76"/>
      <c r="R59" s="11" t="str">
        <f t="shared" si="3"/>
        <v>-</v>
      </c>
      <c r="S59" s="30" t="str">
        <f t="shared" si="4"/>
        <v>-</v>
      </c>
      <c r="T59" s="12" t="str">
        <f t="shared" si="5"/>
        <v>-</v>
      </c>
      <c r="U59" s="13" t="str">
        <f t="shared" si="6"/>
        <v>-</v>
      </c>
      <c r="W59" s="13" t="str">
        <f t="shared" si="2"/>
        <v>-</v>
      </c>
    </row>
    <row r="60" spans="1:23" x14ac:dyDescent="0.3">
      <c r="A60" s="70">
        <v>100009657</v>
      </c>
      <c r="B60" s="71">
        <v>3720</v>
      </c>
      <c r="C60" s="96">
        <v>33984037205</v>
      </c>
      <c r="D60" s="72" t="s">
        <v>136</v>
      </c>
      <c r="E60" s="72" t="s">
        <v>515</v>
      </c>
      <c r="F60" s="73">
        <v>100</v>
      </c>
      <c r="G60" s="73" t="s">
        <v>305</v>
      </c>
      <c r="H60" s="73">
        <v>36</v>
      </c>
      <c r="I60" s="105" t="s">
        <v>852</v>
      </c>
      <c r="J60" s="74">
        <v>0.18160000000000001</v>
      </c>
      <c r="K60" s="2">
        <v>6.93</v>
      </c>
      <c r="L60" s="2">
        <v>6.544999999999999</v>
      </c>
      <c r="M60" s="75"/>
      <c r="N60" s="2">
        <f t="shared" si="0"/>
        <v>0</v>
      </c>
      <c r="O60" s="106">
        <f t="shared" si="1"/>
        <v>0</v>
      </c>
      <c r="Q60" s="76"/>
      <c r="R60" s="11" t="str">
        <f t="shared" si="3"/>
        <v>-</v>
      </c>
      <c r="S60" s="30" t="str">
        <f t="shared" si="4"/>
        <v>-</v>
      </c>
      <c r="T60" s="12" t="str">
        <f t="shared" si="5"/>
        <v>-</v>
      </c>
      <c r="U60" s="13" t="str">
        <f t="shared" si="6"/>
        <v>-</v>
      </c>
      <c r="W60" s="13" t="str">
        <f t="shared" si="2"/>
        <v>-</v>
      </c>
    </row>
    <row r="61" spans="1:23" x14ac:dyDescent="0.3">
      <c r="A61" s="70">
        <v>100009652</v>
      </c>
      <c r="B61" s="71">
        <v>3670</v>
      </c>
      <c r="C61" s="96">
        <v>33984036703</v>
      </c>
      <c r="D61" s="72" t="s">
        <v>137</v>
      </c>
      <c r="E61" s="72" t="s">
        <v>516</v>
      </c>
      <c r="F61" s="73">
        <v>100</v>
      </c>
      <c r="G61" s="73" t="s">
        <v>300</v>
      </c>
      <c r="H61" s="73">
        <v>30</v>
      </c>
      <c r="I61" s="105" t="s">
        <v>852</v>
      </c>
      <c r="J61" s="74">
        <v>0.20429999999999998</v>
      </c>
      <c r="K61" s="2">
        <v>8.19</v>
      </c>
      <c r="L61" s="2">
        <v>7.7349999999999985</v>
      </c>
      <c r="M61" s="75"/>
      <c r="N61" s="2">
        <f t="shared" si="0"/>
        <v>0</v>
      </c>
      <c r="O61" s="106">
        <f t="shared" si="1"/>
        <v>0</v>
      </c>
      <c r="Q61" s="76"/>
      <c r="R61" s="11" t="str">
        <f t="shared" si="3"/>
        <v>-</v>
      </c>
      <c r="S61" s="30" t="str">
        <f t="shared" si="4"/>
        <v>-</v>
      </c>
      <c r="T61" s="12" t="str">
        <f t="shared" si="5"/>
        <v>-</v>
      </c>
      <c r="U61" s="13" t="str">
        <f t="shared" si="6"/>
        <v>-</v>
      </c>
      <c r="W61" s="13" t="str">
        <f t="shared" si="2"/>
        <v>-</v>
      </c>
    </row>
    <row r="62" spans="1:23" x14ac:dyDescent="0.3">
      <c r="A62" s="70">
        <v>100009658</v>
      </c>
      <c r="B62" s="71">
        <v>3725</v>
      </c>
      <c r="C62" s="96">
        <v>33984037250</v>
      </c>
      <c r="D62" s="90" t="s">
        <v>138</v>
      </c>
      <c r="E62" s="90" t="s">
        <v>517</v>
      </c>
      <c r="F62" s="71">
        <v>100</v>
      </c>
      <c r="G62" s="71" t="s">
        <v>305</v>
      </c>
      <c r="H62" s="73">
        <v>42</v>
      </c>
      <c r="I62" s="105" t="s">
        <v>852</v>
      </c>
      <c r="J62" s="74">
        <v>0.14096462879583335</v>
      </c>
      <c r="K62" s="2">
        <v>7.56</v>
      </c>
      <c r="L62" s="2">
        <v>7.1399999999999988</v>
      </c>
      <c r="M62" s="75"/>
      <c r="N62" s="2">
        <f t="shared" si="0"/>
        <v>0</v>
      </c>
      <c r="O62" s="106">
        <f t="shared" si="1"/>
        <v>0</v>
      </c>
      <c r="Q62" s="76"/>
      <c r="R62" s="11" t="str">
        <f t="shared" si="3"/>
        <v>-</v>
      </c>
      <c r="S62" s="30" t="str">
        <f t="shared" si="4"/>
        <v>-</v>
      </c>
      <c r="T62" s="12" t="str">
        <f t="shared" si="5"/>
        <v>-</v>
      </c>
      <c r="U62" s="13" t="str">
        <f t="shared" si="6"/>
        <v>-</v>
      </c>
      <c r="W62" s="13" t="str">
        <f t="shared" si="2"/>
        <v>-</v>
      </c>
    </row>
    <row r="63" spans="1:23" x14ac:dyDescent="0.3">
      <c r="A63" s="70">
        <v>100009243</v>
      </c>
      <c r="B63" s="71">
        <v>1016</v>
      </c>
      <c r="C63" s="96">
        <v>33984010161</v>
      </c>
      <c r="D63" s="72" t="s">
        <v>147</v>
      </c>
      <c r="E63" s="72" t="s">
        <v>529</v>
      </c>
      <c r="F63" s="73">
        <v>120</v>
      </c>
      <c r="G63" s="73" t="s">
        <v>305</v>
      </c>
      <c r="H63" s="73">
        <v>20</v>
      </c>
      <c r="I63" s="105" t="s">
        <v>852</v>
      </c>
      <c r="J63" s="74">
        <v>0.47670000000000001</v>
      </c>
      <c r="K63" s="2">
        <v>12.222</v>
      </c>
      <c r="L63" s="2">
        <v>11.542999999999997</v>
      </c>
      <c r="M63" s="75"/>
      <c r="N63" s="2">
        <f t="shared" si="0"/>
        <v>0</v>
      </c>
      <c r="O63" s="106">
        <f t="shared" si="1"/>
        <v>0</v>
      </c>
      <c r="Q63" s="76"/>
      <c r="R63" s="11" t="str">
        <f t="shared" si="3"/>
        <v>-</v>
      </c>
      <c r="S63" s="30" t="str">
        <f t="shared" si="4"/>
        <v>-</v>
      </c>
      <c r="T63" s="12" t="str">
        <f t="shared" si="5"/>
        <v>-</v>
      </c>
      <c r="U63" s="13" t="str">
        <f t="shared" si="6"/>
        <v>-</v>
      </c>
      <c r="W63" s="13" t="str">
        <f t="shared" si="2"/>
        <v>-</v>
      </c>
    </row>
    <row r="64" spans="1:23" x14ac:dyDescent="0.3">
      <c r="A64" s="70">
        <v>100009499</v>
      </c>
      <c r="B64" s="71">
        <v>2272</v>
      </c>
      <c r="C64" s="96">
        <v>33984022720</v>
      </c>
      <c r="D64" s="72" t="s">
        <v>150</v>
      </c>
      <c r="E64" s="72" t="s">
        <v>531</v>
      </c>
      <c r="F64" s="73">
        <v>120</v>
      </c>
      <c r="G64" s="73" t="s">
        <v>305</v>
      </c>
      <c r="H64" s="73">
        <v>23</v>
      </c>
      <c r="I64" s="105" t="s">
        <v>852</v>
      </c>
      <c r="J64" s="74">
        <v>0.40859999999999996</v>
      </c>
      <c r="K64" s="2">
        <v>11.024999999999999</v>
      </c>
      <c r="L64" s="2">
        <v>10.4125</v>
      </c>
      <c r="M64" s="75"/>
      <c r="N64" s="2">
        <f t="shared" si="0"/>
        <v>0</v>
      </c>
      <c r="O64" s="106">
        <f t="shared" si="1"/>
        <v>0</v>
      </c>
      <c r="Q64" s="76"/>
      <c r="R64" s="11" t="str">
        <f t="shared" si="3"/>
        <v>-</v>
      </c>
      <c r="S64" s="30" t="str">
        <f t="shared" si="4"/>
        <v>-</v>
      </c>
      <c r="T64" s="12" t="str">
        <f t="shared" si="5"/>
        <v>-</v>
      </c>
      <c r="U64" s="13" t="str">
        <f t="shared" si="6"/>
        <v>-</v>
      </c>
      <c r="W64" s="13" t="str">
        <f t="shared" si="2"/>
        <v>-</v>
      </c>
    </row>
    <row r="65" spans="1:23" x14ac:dyDescent="0.3">
      <c r="A65" s="70">
        <v>100009685</v>
      </c>
      <c r="B65" s="71">
        <v>4104</v>
      </c>
      <c r="C65" s="96">
        <v>33984041042</v>
      </c>
      <c r="D65" s="72" t="s">
        <v>154</v>
      </c>
      <c r="E65" s="72" t="s">
        <v>542</v>
      </c>
      <c r="F65" s="73">
        <v>60</v>
      </c>
      <c r="G65" s="73" t="s">
        <v>300</v>
      </c>
      <c r="H65" s="73">
        <v>30</v>
      </c>
      <c r="I65" s="105" t="s">
        <v>852</v>
      </c>
      <c r="J65" s="74">
        <v>0.17024999999999998</v>
      </c>
      <c r="K65" s="2">
        <v>12.222</v>
      </c>
      <c r="L65" s="2">
        <v>11.542999999999997</v>
      </c>
      <c r="M65" s="75"/>
      <c r="N65" s="2">
        <f t="shared" si="0"/>
        <v>0</v>
      </c>
      <c r="O65" s="106">
        <f t="shared" si="1"/>
        <v>0</v>
      </c>
      <c r="Q65" s="76"/>
      <c r="R65" s="11" t="str">
        <f t="shared" si="3"/>
        <v>-</v>
      </c>
      <c r="S65" s="30" t="str">
        <f t="shared" si="4"/>
        <v>-</v>
      </c>
      <c r="T65" s="12" t="str">
        <f t="shared" si="5"/>
        <v>-</v>
      </c>
      <c r="U65" s="13" t="str">
        <f t="shared" si="6"/>
        <v>-</v>
      </c>
      <c r="W65" s="13" t="str">
        <f t="shared" si="2"/>
        <v>-</v>
      </c>
    </row>
    <row r="66" spans="1:23" x14ac:dyDescent="0.3">
      <c r="A66" s="70">
        <v>100092038</v>
      </c>
      <c r="B66" s="71">
        <v>59597</v>
      </c>
      <c r="C66" s="96">
        <v>33984595972</v>
      </c>
      <c r="D66" s="72" t="s">
        <v>160</v>
      </c>
      <c r="E66" s="72" t="s">
        <v>550</v>
      </c>
      <c r="F66" s="73">
        <v>30</v>
      </c>
      <c r="G66" s="73" t="s">
        <v>330</v>
      </c>
      <c r="H66" s="73">
        <v>36</v>
      </c>
      <c r="I66" s="105" t="s">
        <v>852</v>
      </c>
      <c r="J66" s="74">
        <v>0.17024999999999998</v>
      </c>
      <c r="K66" s="2">
        <v>20.79</v>
      </c>
      <c r="L66" s="2">
        <v>19.634999999999998</v>
      </c>
      <c r="M66" s="75"/>
      <c r="N66" s="2">
        <f t="shared" si="0"/>
        <v>0</v>
      </c>
      <c r="O66" s="106">
        <f t="shared" si="1"/>
        <v>0</v>
      </c>
      <c r="Q66" s="76"/>
      <c r="R66" s="11" t="str">
        <f t="shared" si="3"/>
        <v>-</v>
      </c>
      <c r="S66" s="30" t="str">
        <f t="shared" si="4"/>
        <v>-</v>
      </c>
      <c r="T66" s="12" t="str">
        <f t="shared" si="5"/>
        <v>-</v>
      </c>
      <c r="U66" s="13" t="str">
        <f t="shared" si="6"/>
        <v>-</v>
      </c>
      <c r="W66" s="13" t="str">
        <f t="shared" si="2"/>
        <v>-</v>
      </c>
    </row>
    <row r="67" spans="1:23" x14ac:dyDescent="0.3">
      <c r="A67" s="70">
        <v>100009224</v>
      </c>
      <c r="B67" s="71">
        <v>959</v>
      </c>
      <c r="C67" s="96">
        <v>33984009592</v>
      </c>
      <c r="D67" s="90" t="s">
        <v>182</v>
      </c>
      <c r="E67" s="90" t="s">
        <v>590</v>
      </c>
      <c r="F67" s="71">
        <v>30</v>
      </c>
      <c r="G67" s="71" t="s">
        <v>330</v>
      </c>
      <c r="H67" s="73">
        <v>42</v>
      </c>
      <c r="I67" s="105" t="s">
        <v>852</v>
      </c>
      <c r="J67" s="74">
        <v>0.12485</v>
      </c>
      <c r="K67" s="2">
        <v>16.38</v>
      </c>
      <c r="L67" s="2">
        <v>15.469999999999997</v>
      </c>
      <c r="M67" s="75"/>
      <c r="N67" s="2">
        <f t="shared" ref="N67:N130" si="7">M67*K67</f>
        <v>0</v>
      </c>
      <c r="O67" s="106">
        <f t="shared" ref="O67:O130" si="8">IF(M67&gt;143,M67*L67,M67*K67)</f>
        <v>0</v>
      </c>
      <c r="Q67" s="76"/>
      <c r="R67" s="11" t="str">
        <f t="shared" si="3"/>
        <v>-</v>
      </c>
      <c r="S67" s="30" t="str">
        <f t="shared" si="4"/>
        <v>-</v>
      </c>
      <c r="T67" s="12" t="str">
        <f t="shared" si="5"/>
        <v>-</v>
      </c>
      <c r="U67" s="13" t="str">
        <f t="shared" si="6"/>
        <v>-</v>
      </c>
      <c r="W67" s="13" t="str">
        <f t="shared" ref="W67:W129" si="9">IFERROR(IF(U67+O67=0, "-", IF(U67&gt;0, U67+O67, "-")), "-")</f>
        <v>-</v>
      </c>
    </row>
    <row r="68" spans="1:23" x14ac:dyDescent="0.3">
      <c r="A68" s="70">
        <v>100009457</v>
      </c>
      <c r="B68" s="71">
        <v>2027</v>
      </c>
      <c r="C68" s="96">
        <v>33984020276</v>
      </c>
      <c r="D68" s="72" t="s">
        <v>189</v>
      </c>
      <c r="E68" s="72" t="s">
        <v>601</v>
      </c>
      <c r="F68" s="73">
        <v>60</v>
      </c>
      <c r="G68" s="73" t="s">
        <v>330</v>
      </c>
      <c r="H68" s="73">
        <v>23</v>
      </c>
      <c r="I68" s="105" t="s">
        <v>852</v>
      </c>
      <c r="J68" s="74">
        <v>0.30645</v>
      </c>
      <c r="K68" s="2">
        <v>14.300999999999998</v>
      </c>
      <c r="L68" s="2">
        <v>13.506499999999997</v>
      </c>
      <c r="M68" s="75"/>
      <c r="N68" s="2">
        <f t="shared" si="7"/>
        <v>0</v>
      </c>
      <c r="O68" s="106">
        <f t="shared" si="8"/>
        <v>0</v>
      </c>
      <c r="Q68" s="76"/>
      <c r="R68" s="11" t="str">
        <f t="shared" ref="R68:R130" si="10">IFERROR(IF($R$2*J68=0, "-", $R$2*J68), "-")</f>
        <v>-</v>
      </c>
      <c r="S68" s="30" t="str">
        <f t="shared" ref="S68:S130" si="11">IFERROR(IF(R68&gt;0,M68+R68,"-"),"-")</f>
        <v>-</v>
      </c>
      <c r="T68" s="12" t="str">
        <f t="shared" ref="T68:T130" si="12">IF(M68&gt;0,M68*J68, "-")</f>
        <v>-</v>
      </c>
      <c r="U68" s="13" t="str">
        <f t="shared" ref="U68:U130" si="13">IFERROR(IF($R$2&gt;0, $R$2*T68, "-"), "-")</f>
        <v>-</v>
      </c>
      <c r="W68" s="13" t="str">
        <f t="shared" si="9"/>
        <v>-</v>
      </c>
    </row>
    <row r="69" spans="1:23" x14ac:dyDescent="0.3">
      <c r="A69" s="70">
        <v>100009458</v>
      </c>
      <c r="B69" s="71">
        <v>2028</v>
      </c>
      <c r="C69" s="96">
        <v>33984020283</v>
      </c>
      <c r="D69" s="72" t="s">
        <v>189</v>
      </c>
      <c r="E69" s="72" t="s">
        <v>602</v>
      </c>
      <c r="F69" s="73">
        <v>120</v>
      </c>
      <c r="G69" s="73" t="s">
        <v>330</v>
      </c>
      <c r="H69" s="73">
        <v>16</v>
      </c>
      <c r="I69" s="105" t="s">
        <v>852</v>
      </c>
      <c r="J69" s="74">
        <v>0.5675</v>
      </c>
      <c r="K69" s="2">
        <v>25.2</v>
      </c>
      <c r="L69" s="2">
        <v>23.799999999999997</v>
      </c>
      <c r="M69" s="75"/>
      <c r="N69" s="2">
        <f t="shared" si="7"/>
        <v>0</v>
      </c>
      <c r="O69" s="106">
        <f t="shared" si="8"/>
        <v>0</v>
      </c>
      <c r="Q69" s="76"/>
      <c r="R69" s="11" t="str">
        <f t="shared" si="10"/>
        <v>-</v>
      </c>
      <c r="S69" s="30" t="str">
        <f t="shared" si="11"/>
        <v>-</v>
      </c>
      <c r="T69" s="12" t="str">
        <f t="shared" si="12"/>
        <v>-</v>
      </c>
      <c r="U69" s="13" t="str">
        <f t="shared" si="13"/>
        <v>-</v>
      </c>
      <c r="W69" s="13" t="str">
        <f t="shared" si="9"/>
        <v>-</v>
      </c>
    </row>
    <row r="70" spans="1:23" x14ac:dyDescent="0.3">
      <c r="A70" s="70">
        <v>100009263</v>
      </c>
      <c r="B70" s="71">
        <v>1057</v>
      </c>
      <c r="C70" s="96">
        <v>33984010574</v>
      </c>
      <c r="D70" s="72" t="s">
        <v>191</v>
      </c>
      <c r="E70" s="72" t="s">
        <v>605</v>
      </c>
      <c r="F70" s="73">
        <v>60</v>
      </c>
      <c r="G70" s="73" t="s">
        <v>330</v>
      </c>
      <c r="H70" s="73">
        <v>23</v>
      </c>
      <c r="I70" s="105" t="s">
        <v>852</v>
      </c>
      <c r="J70" s="74">
        <v>0.30645</v>
      </c>
      <c r="K70" s="2">
        <v>10.836</v>
      </c>
      <c r="L70" s="2">
        <v>10.233999999999998</v>
      </c>
      <c r="M70" s="75"/>
      <c r="N70" s="2">
        <f t="shared" si="7"/>
        <v>0</v>
      </c>
      <c r="O70" s="106">
        <f t="shared" si="8"/>
        <v>0</v>
      </c>
      <c r="Q70" s="76"/>
      <c r="R70" s="11" t="str">
        <f t="shared" si="10"/>
        <v>-</v>
      </c>
      <c r="S70" s="30" t="str">
        <f t="shared" si="11"/>
        <v>-</v>
      </c>
      <c r="T70" s="12" t="str">
        <f t="shared" si="12"/>
        <v>-</v>
      </c>
      <c r="U70" s="13" t="str">
        <f t="shared" si="13"/>
        <v>-</v>
      </c>
      <c r="W70" s="13" t="str">
        <f t="shared" si="9"/>
        <v>-</v>
      </c>
    </row>
    <row r="71" spans="1:23" x14ac:dyDescent="0.3">
      <c r="A71" s="70">
        <v>100009469</v>
      </c>
      <c r="B71" s="71">
        <v>2057</v>
      </c>
      <c r="C71" s="96">
        <v>33984020573</v>
      </c>
      <c r="D71" s="72" t="s">
        <v>195</v>
      </c>
      <c r="E71" s="72" t="s">
        <v>615</v>
      </c>
      <c r="F71" s="73">
        <v>50</v>
      </c>
      <c r="G71" s="73" t="s">
        <v>330</v>
      </c>
      <c r="H71" s="73">
        <v>23</v>
      </c>
      <c r="I71" s="105" t="s">
        <v>852</v>
      </c>
      <c r="J71" s="74">
        <v>0.29510000000000003</v>
      </c>
      <c r="K71" s="2">
        <v>16.38</v>
      </c>
      <c r="L71" s="2">
        <v>15.469999999999997</v>
      </c>
      <c r="M71" s="75"/>
      <c r="N71" s="2">
        <f t="shared" si="7"/>
        <v>0</v>
      </c>
      <c r="O71" s="106">
        <f t="shared" si="8"/>
        <v>0</v>
      </c>
      <c r="Q71" s="76"/>
      <c r="R71" s="11" t="str">
        <f t="shared" si="10"/>
        <v>-</v>
      </c>
      <c r="S71" s="30" t="str">
        <f t="shared" si="11"/>
        <v>-</v>
      </c>
      <c r="T71" s="12" t="str">
        <f t="shared" si="12"/>
        <v>-</v>
      </c>
      <c r="U71" s="13" t="str">
        <f t="shared" si="13"/>
        <v>-</v>
      </c>
      <c r="W71" s="13" t="str">
        <f t="shared" si="9"/>
        <v>-</v>
      </c>
    </row>
    <row r="72" spans="1:23" x14ac:dyDescent="0.3">
      <c r="A72" s="70">
        <v>100009470</v>
      </c>
      <c r="B72" s="71">
        <v>2058</v>
      </c>
      <c r="C72" s="96">
        <v>33984020580</v>
      </c>
      <c r="D72" s="72" t="s">
        <v>195</v>
      </c>
      <c r="E72" s="72" t="s">
        <v>616</v>
      </c>
      <c r="F72" s="73">
        <v>100</v>
      </c>
      <c r="G72" s="73" t="s">
        <v>330</v>
      </c>
      <c r="H72" s="73">
        <v>16</v>
      </c>
      <c r="I72" s="105" t="s">
        <v>852</v>
      </c>
      <c r="J72" s="74">
        <v>0.53344999999999998</v>
      </c>
      <c r="K72" s="2">
        <v>28.349999999999998</v>
      </c>
      <c r="L72" s="2">
        <v>26.774999999999999</v>
      </c>
      <c r="M72" s="75"/>
      <c r="N72" s="2">
        <f t="shared" si="7"/>
        <v>0</v>
      </c>
      <c r="O72" s="106">
        <f t="shared" si="8"/>
        <v>0</v>
      </c>
      <c r="Q72" s="76"/>
      <c r="R72" s="11" t="str">
        <f t="shared" si="10"/>
        <v>-</v>
      </c>
      <c r="S72" s="30" t="str">
        <f t="shared" si="11"/>
        <v>-</v>
      </c>
      <c r="T72" s="12" t="str">
        <f t="shared" si="12"/>
        <v>-</v>
      </c>
      <c r="U72" s="13" t="str">
        <f t="shared" si="13"/>
        <v>-</v>
      </c>
      <c r="W72" s="13" t="str">
        <f t="shared" si="9"/>
        <v>-</v>
      </c>
    </row>
    <row r="73" spans="1:23" x14ac:dyDescent="0.3">
      <c r="A73" s="70">
        <v>100009425</v>
      </c>
      <c r="B73" s="71">
        <v>1788</v>
      </c>
      <c r="C73" s="96">
        <v>33984017887</v>
      </c>
      <c r="D73" s="72" t="s">
        <v>196</v>
      </c>
      <c r="E73" s="72" t="s">
        <v>617</v>
      </c>
      <c r="F73" s="73">
        <v>120</v>
      </c>
      <c r="G73" s="73" t="s">
        <v>330</v>
      </c>
      <c r="H73" s="73">
        <v>12</v>
      </c>
      <c r="I73" s="105" t="s">
        <v>852</v>
      </c>
      <c r="J73" s="74">
        <v>0.52210000000000001</v>
      </c>
      <c r="K73" s="2">
        <v>11.339999999999998</v>
      </c>
      <c r="L73" s="2">
        <v>10.709999999999999</v>
      </c>
      <c r="M73" s="75"/>
      <c r="N73" s="2">
        <f t="shared" si="7"/>
        <v>0</v>
      </c>
      <c r="O73" s="106">
        <f t="shared" si="8"/>
        <v>0</v>
      </c>
      <c r="Q73" s="76"/>
      <c r="R73" s="11" t="str">
        <f t="shared" si="10"/>
        <v>-</v>
      </c>
      <c r="S73" s="30" t="str">
        <f t="shared" si="11"/>
        <v>-</v>
      </c>
      <c r="T73" s="12" t="str">
        <f t="shared" si="12"/>
        <v>-</v>
      </c>
      <c r="U73" s="13" t="str">
        <f t="shared" si="13"/>
        <v>-</v>
      </c>
      <c r="W73" s="13" t="str">
        <f t="shared" si="9"/>
        <v>-</v>
      </c>
    </row>
    <row r="74" spans="1:23" x14ac:dyDescent="0.3">
      <c r="A74" s="70">
        <v>100009333</v>
      </c>
      <c r="B74" s="71">
        <v>1316</v>
      </c>
      <c r="C74" s="96">
        <v>33984013162</v>
      </c>
      <c r="D74" s="72" t="s">
        <v>202</v>
      </c>
      <c r="E74" s="72" t="s">
        <v>628</v>
      </c>
      <c r="F74" s="73">
        <v>60</v>
      </c>
      <c r="G74" s="73" t="s">
        <v>305</v>
      </c>
      <c r="H74" s="73">
        <v>23</v>
      </c>
      <c r="I74" s="105" t="s">
        <v>852</v>
      </c>
      <c r="J74" s="74">
        <v>0.30645</v>
      </c>
      <c r="K74" s="2">
        <v>19.088999999999999</v>
      </c>
      <c r="L74" s="2">
        <v>18.028499999999998</v>
      </c>
      <c r="M74" s="75"/>
      <c r="N74" s="2">
        <f t="shared" si="7"/>
        <v>0</v>
      </c>
      <c r="O74" s="106">
        <f t="shared" si="8"/>
        <v>0</v>
      </c>
      <c r="Q74" s="76"/>
      <c r="R74" s="11" t="str">
        <f t="shared" si="10"/>
        <v>-</v>
      </c>
      <c r="S74" s="30" t="str">
        <f t="shared" si="11"/>
        <v>-</v>
      </c>
      <c r="T74" s="12" t="str">
        <f t="shared" si="12"/>
        <v>-</v>
      </c>
      <c r="U74" s="13" t="str">
        <f t="shared" si="13"/>
        <v>-</v>
      </c>
      <c r="W74" s="13" t="str">
        <f t="shared" si="9"/>
        <v>-</v>
      </c>
    </row>
    <row r="75" spans="1:23" x14ac:dyDescent="0.3">
      <c r="A75" s="70">
        <v>100009334</v>
      </c>
      <c r="B75" s="71">
        <v>1317</v>
      </c>
      <c r="C75" s="96">
        <v>33984013179</v>
      </c>
      <c r="D75" s="72" t="s">
        <v>202</v>
      </c>
      <c r="E75" s="72" t="s">
        <v>629</v>
      </c>
      <c r="F75" s="73">
        <v>120</v>
      </c>
      <c r="G75" s="73" t="s">
        <v>305</v>
      </c>
      <c r="H75" s="73">
        <v>20</v>
      </c>
      <c r="I75" s="105" t="s">
        <v>852</v>
      </c>
      <c r="J75" s="74">
        <v>0.51765889031972512</v>
      </c>
      <c r="K75" s="2">
        <v>36.54</v>
      </c>
      <c r="L75" s="2">
        <v>34.51</v>
      </c>
      <c r="M75" s="75"/>
      <c r="N75" s="2">
        <f t="shared" si="7"/>
        <v>0</v>
      </c>
      <c r="O75" s="106">
        <f t="shared" si="8"/>
        <v>0</v>
      </c>
      <c r="Q75" s="76"/>
      <c r="R75" s="11" t="str">
        <f t="shared" si="10"/>
        <v>-</v>
      </c>
      <c r="S75" s="30" t="str">
        <f t="shared" si="11"/>
        <v>-</v>
      </c>
      <c r="T75" s="12" t="str">
        <f t="shared" si="12"/>
        <v>-</v>
      </c>
      <c r="U75" s="13" t="str">
        <f t="shared" si="13"/>
        <v>-</v>
      </c>
      <c r="W75" s="13" t="str">
        <f t="shared" si="9"/>
        <v>-</v>
      </c>
    </row>
    <row r="76" spans="1:23" x14ac:dyDescent="0.3">
      <c r="A76" s="70">
        <v>100009444</v>
      </c>
      <c r="B76" s="71">
        <v>1935</v>
      </c>
      <c r="C76" s="96">
        <v>33984019355</v>
      </c>
      <c r="D76" s="72" t="s">
        <v>204</v>
      </c>
      <c r="E76" s="72" t="s">
        <v>633</v>
      </c>
      <c r="F76" s="73">
        <v>120</v>
      </c>
      <c r="G76" s="73" t="s">
        <v>305</v>
      </c>
      <c r="H76" s="73">
        <v>36</v>
      </c>
      <c r="I76" s="105" t="s">
        <v>852</v>
      </c>
      <c r="J76" s="74">
        <v>0.13619999999999999</v>
      </c>
      <c r="K76" s="2">
        <v>6.93</v>
      </c>
      <c r="L76" s="2">
        <v>6.544999999999999</v>
      </c>
      <c r="M76" s="75"/>
      <c r="N76" s="2">
        <f t="shared" si="7"/>
        <v>0</v>
      </c>
      <c r="O76" s="106">
        <f t="shared" si="8"/>
        <v>0</v>
      </c>
      <c r="Q76" s="76"/>
      <c r="R76" s="11" t="str">
        <f t="shared" si="10"/>
        <v>-</v>
      </c>
      <c r="S76" s="30" t="str">
        <f t="shared" si="11"/>
        <v>-</v>
      </c>
      <c r="T76" s="12" t="str">
        <f t="shared" si="12"/>
        <v>-</v>
      </c>
      <c r="U76" s="13" t="str">
        <f t="shared" si="13"/>
        <v>-</v>
      </c>
      <c r="W76" s="13" t="str">
        <f t="shared" si="9"/>
        <v>-</v>
      </c>
    </row>
    <row r="77" spans="1:23" x14ac:dyDescent="0.3">
      <c r="A77" s="70">
        <v>100009445</v>
      </c>
      <c r="B77" s="71">
        <v>1936</v>
      </c>
      <c r="C77" s="96">
        <v>33984019362</v>
      </c>
      <c r="D77" s="72" t="s">
        <v>205</v>
      </c>
      <c r="E77" s="72" t="s">
        <v>634</v>
      </c>
      <c r="F77" s="73">
        <v>60</v>
      </c>
      <c r="G77" s="73" t="s">
        <v>305</v>
      </c>
      <c r="H77" s="73">
        <v>36</v>
      </c>
      <c r="I77" s="105" t="s">
        <v>852</v>
      </c>
      <c r="J77" s="74">
        <v>0.12485</v>
      </c>
      <c r="K77" s="2">
        <v>6.93</v>
      </c>
      <c r="L77" s="2">
        <v>6.544999999999999</v>
      </c>
      <c r="M77" s="75"/>
      <c r="N77" s="2">
        <f t="shared" si="7"/>
        <v>0</v>
      </c>
      <c r="O77" s="106">
        <f t="shared" si="8"/>
        <v>0</v>
      </c>
      <c r="Q77" s="76"/>
      <c r="R77" s="11" t="str">
        <f t="shared" si="10"/>
        <v>-</v>
      </c>
      <c r="S77" s="30" t="str">
        <f t="shared" si="11"/>
        <v>-</v>
      </c>
      <c r="T77" s="12" t="str">
        <f t="shared" si="12"/>
        <v>-</v>
      </c>
      <c r="U77" s="13" t="str">
        <f t="shared" si="13"/>
        <v>-</v>
      </c>
      <c r="W77" s="13" t="str">
        <f t="shared" si="9"/>
        <v>-</v>
      </c>
    </row>
    <row r="78" spans="1:23" x14ac:dyDescent="0.3">
      <c r="A78" s="70">
        <v>100009454</v>
      </c>
      <c r="B78" s="71">
        <v>1956</v>
      </c>
      <c r="C78" s="96">
        <v>33984019560</v>
      </c>
      <c r="D78" s="72" t="s">
        <v>207</v>
      </c>
      <c r="E78" s="72" t="s">
        <v>637</v>
      </c>
      <c r="F78" s="73">
        <v>60</v>
      </c>
      <c r="G78" s="73" t="s">
        <v>305</v>
      </c>
      <c r="H78" s="73">
        <v>42</v>
      </c>
      <c r="I78" s="105" t="s">
        <v>852</v>
      </c>
      <c r="J78" s="74">
        <v>0.12485</v>
      </c>
      <c r="K78" s="2">
        <v>12.222</v>
      </c>
      <c r="L78" s="2">
        <v>11.542999999999997</v>
      </c>
      <c r="M78" s="75"/>
      <c r="N78" s="2">
        <f t="shared" si="7"/>
        <v>0</v>
      </c>
      <c r="O78" s="106">
        <f t="shared" si="8"/>
        <v>0</v>
      </c>
      <c r="Q78" s="76"/>
      <c r="R78" s="11" t="str">
        <f t="shared" si="10"/>
        <v>-</v>
      </c>
      <c r="S78" s="30" t="str">
        <f t="shared" si="11"/>
        <v>-</v>
      </c>
      <c r="T78" s="12" t="str">
        <f t="shared" si="12"/>
        <v>-</v>
      </c>
      <c r="U78" s="13" t="str">
        <f t="shared" si="13"/>
        <v>-</v>
      </c>
      <c r="W78" s="13" t="str">
        <f t="shared" si="9"/>
        <v>-</v>
      </c>
    </row>
    <row r="79" spans="1:23" x14ac:dyDescent="0.3">
      <c r="A79" s="70">
        <v>100009843</v>
      </c>
      <c r="B79" s="71">
        <v>50497</v>
      </c>
      <c r="C79" s="96">
        <v>33984504974</v>
      </c>
      <c r="D79" s="72" t="s">
        <v>210</v>
      </c>
      <c r="E79" s="72" t="s">
        <v>641</v>
      </c>
      <c r="F79" s="73">
        <v>30</v>
      </c>
      <c r="G79" s="73" t="s">
        <v>300</v>
      </c>
      <c r="H79" s="73">
        <v>36</v>
      </c>
      <c r="I79" s="105" t="s">
        <v>852</v>
      </c>
      <c r="J79" s="74">
        <v>0.14343661721384721</v>
      </c>
      <c r="K79" s="2">
        <v>17.639999999999997</v>
      </c>
      <c r="L79" s="2">
        <v>16.66</v>
      </c>
      <c r="M79" s="75"/>
      <c r="N79" s="2">
        <f t="shared" si="7"/>
        <v>0</v>
      </c>
      <c r="O79" s="106">
        <f t="shared" si="8"/>
        <v>0</v>
      </c>
      <c r="Q79" s="76"/>
      <c r="R79" s="11" t="str">
        <f t="shared" si="10"/>
        <v>-</v>
      </c>
      <c r="S79" s="30" t="str">
        <f t="shared" si="11"/>
        <v>-</v>
      </c>
      <c r="T79" s="12" t="str">
        <f t="shared" si="12"/>
        <v>-</v>
      </c>
      <c r="U79" s="13" t="str">
        <f t="shared" si="13"/>
        <v>-</v>
      </c>
      <c r="W79" s="13" t="str">
        <f t="shared" si="9"/>
        <v>-</v>
      </c>
    </row>
    <row r="80" spans="1:23" x14ac:dyDescent="0.3">
      <c r="A80" s="70">
        <v>100009865</v>
      </c>
      <c r="B80" s="71">
        <v>51299</v>
      </c>
      <c r="C80" s="96">
        <v>33984512993</v>
      </c>
      <c r="D80" s="72" t="s">
        <v>658</v>
      </c>
      <c r="E80" s="72" t="s">
        <v>659</v>
      </c>
      <c r="F80" s="73">
        <v>90</v>
      </c>
      <c r="G80" s="73" t="s">
        <v>300</v>
      </c>
      <c r="H80" s="73">
        <v>16</v>
      </c>
      <c r="I80" s="105" t="s">
        <v>852</v>
      </c>
      <c r="J80" s="74" t="e">
        <v>#N/A</v>
      </c>
      <c r="K80" s="2">
        <v>13.86</v>
      </c>
      <c r="L80" s="2">
        <v>13.089999999999998</v>
      </c>
      <c r="M80" s="75"/>
      <c r="N80" s="2">
        <f t="shared" si="7"/>
        <v>0</v>
      </c>
      <c r="O80" s="106">
        <f t="shared" si="8"/>
        <v>0</v>
      </c>
      <c r="Q80" s="76"/>
      <c r="R80" s="11" t="str">
        <f t="shared" si="10"/>
        <v>-</v>
      </c>
      <c r="S80" s="30" t="str">
        <f t="shared" si="11"/>
        <v>-</v>
      </c>
      <c r="T80" s="12" t="str">
        <f t="shared" si="12"/>
        <v>-</v>
      </c>
      <c r="U80" s="13" t="str">
        <f t="shared" si="13"/>
        <v>-</v>
      </c>
      <c r="W80" s="13" t="str">
        <f t="shared" si="9"/>
        <v>-</v>
      </c>
    </row>
    <row r="81" spans="1:23" x14ac:dyDescent="0.3">
      <c r="A81" s="70">
        <v>100009511</v>
      </c>
      <c r="B81" s="71">
        <v>2315</v>
      </c>
      <c r="C81" s="96">
        <v>33984023154</v>
      </c>
      <c r="D81" s="72" t="s">
        <v>216</v>
      </c>
      <c r="E81" s="72" t="s">
        <v>660</v>
      </c>
      <c r="F81" s="73">
        <v>200</v>
      </c>
      <c r="G81" s="73" t="s">
        <v>300</v>
      </c>
      <c r="H81" s="73">
        <v>20</v>
      </c>
      <c r="I81" s="105" t="s">
        <v>852</v>
      </c>
      <c r="J81" s="74">
        <v>0.38590000000000002</v>
      </c>
      <c r="K81" s="2">
        <v>13.608000000000001</v>
      </c>
      <c r="L81" s="2">
        <v>12.851999999999999</v>
      </c>
      <c r="M81" s="75"/>
      <c r="N81" s="2">
        <f t="shared" si="7"/>
        <v>0</v>
      </c>
      <c r="O81" s="106">
        <f t="shared" si="8"/>
        <v>0</v>
      </c>
      <c r="Q81" s="76"/>
      <c r="R81" s="11" t="str">
        <f t="shared" si="10"/>
        <v>-</v>
      </c>
      <c r="S81" s="30" t="str">
        <f t="shared" si="11"/>
        <v>-</v>
      </c>
      <c r="T81" s="12" t="str">
        <f t="shared" si="12"/>
        <v>-</v>
      </c>
      <c r="U81" s="13" t="str">
        <f t="shared" si="13"/>
        <v>-</v>
      </c>
      <c r="W81" s="13" t="str">
        <f t="shared" si="9"/>
        <v>-</v>
      </c>
    </row>
    <row r="82" spans="1:23" x14ac:dyDescent="0.3">
      <c r="A82" s="70">
        <v>100009353</v>
      </c>
      <c r="B82" s="71">
        <v>1417</v>
      </c>
      <c r="C82" s="96">
        <v>33984014176</v>
      </c>
      <c r="D82" s="72" t="s">
        <v>224</v>
      </c>
      <c r="E82" s="72" t="s">
        <v>679</v>
      </c>
      <c r="F82" s="73">
        <v>30</v>
      </c>
      <c r="G82" s="73" t="s">
        <v>305</v>
      </c>
      <c r="H82" s="73">
        <v>25</v>
      </c>
      <c r="I82" s="105" t="s">
        <v>852</v>
      </c>
      <c r="J82" s="74">
        <v>0.23835000000000001</v>
      </c>
      <c r="K82" s="2">
        <v>15.12</v>
      </c>
      <c r="L82" s="2">
        <v>14.279999999999998</v>
      </c>
      <c r="M82" s="75"/>
      <c r="N82" s="2">
        <f t="shared" si="7"/>
        <v>0</v>
      </c>
      <c r="O82" s="106">
        <f t="shared" si="8"/>
        <v>0</v>
      </c>
      <c r="Q82" s="76"/>
      <c r="R82" s="11" t="str">
        <f t="shared" si="10"/>
        <v>-</v>
      </c>
      <c r="S82" s="30" t="str">
        <f t="shared" si="11"/>
        <v>-</v>
      </c>
      <c r="T82" s="12" t="str">
        <f t="shared" si="12"/>
        <v>-</v>
      </c>
      <c r="U82" s="13" t="str">
        <f t="shared" si="13"/>
        <v>-</v>
      </c>
      <c r="W82" s="13" t="str">
        <f t="shared" si="9"/>
        <v>-</v>
      </c>
    </row>
    <row r="83" spans="1:23" x14ac:dyDescent="0.3">
      <c r="A83" s="70">
        <v>100009405</v>
      </c>
      <c r="B83" s="71">
        <v>1735</v>
      </c>
      <c r="C83" s="96">
        <v>33984017351</v>
      </c>
      <c r="D83" s="72" t="s">
        <v>229</v>
      </c>
      <c r="E83" s="72" t="s">
        <v>685</v>
      </c>
      <c r="F83" s="73">
        <v>60</v>
      </c>
      <c r="G83" s="73" t="s">
        <v>305</v>
      </c>
      <c r="H83" s="73">
        <v>25</v>
      </c>
      <c r="I83" s="105" t="s">
        <v>852</v>
      </c>
      <c r="J83" s="74">
        <v>0.26105</v>
      </c>
      <c r="K83" s="2">
        <v>9.9540000000000006</v>
      </c>
      <c r="L83" s="2">
        <v>9.4009999999999998</v>
      </c>
      <c r="M83" s="75"/>
      <c r="N83" s="2">
        <f t="shared" si="7"/>
        <v>0</v>
      </c>
      <c r="O83" s="106">
        <f t="shared" si="8"/>
        <v>0</v>
      </c>
      <c r="Q83" s="76"/>
      <c r="R83" s="11" t="str">
        <f t="shared" si="10"/>
        <v>-</v>
      </c>
      <c r="S83" s="30" t="str">
        <f t="shared" si="11"/>
        <v>-</v>
      </c>
      <c r="T83" s="12" t="str">
        <f t="shared" si="12"/>
        <v>-</v>
      </c>
      <c r="U83" s="13" t="str">
        <f t="shared" si="13"/>
        <v>-</v>
      </c>
      <c r="W83" s="13" t="str">
        <f t="shared" si="9"/>
        <v>-</v>
      </c>
    </row>
    <row r="84" spans="1:23" x14ac:dyDescent="0.3">
      <c r="A84" s="70">
        <v>100009406</v>
      </c>
      <c r="B84" s="71">
        <v>1736</v>
      </c>
      <c r="C84" s="96">
        <v>33984017368</v>
      </c>
      <c r="D84" s="72" t="s">
        <v>229</v>
      </c>
      <c r="E84" s="72" t="s">
        <v>686</v>
      </c>
      <c r="F84" s="73">
        <v>120</v>
      </c>
      <c r="G84" s="73" t="s">
        <v>305</v>
      </c>
      <c r="H84" s="73">
        <v>20</v>
      </c>
      <c r="I84" s="105" t="s">
        <v>852</v>
      </c>
      <c r="J84" s="74">
        <v>0.44265000000000004</v>
      </c>
      <c r="K84" s="2">
        <v>17.009999999999998</v>
      </c>
      <c r="L84" s="2">
        <v>16.064999999999998</v>
      </c>
      <c r="M84" s="75"/>
      <c r="N84" s="2">
        <f t="shared" si="7"/>
        <v>0</v>
      </c>
      <c r="O84" s="106">
        <f t="shared" si="8"/>
        <v>0</v>
      </c>
      <c r="Q84" s="76"/>
      <c r="R84" s="11" t="str">
        <f t="shared" si="10"/>
        <v>-</v>
      </c>
      <c r="S84" s="30" t="str">
        <f t="shared" si="11"/>
        <v>-</v>
      </c>
      <c r="T84" s="12" t="str">
        <f t="shared" si="12"/>
        <v>-</v>
      </c>
      <c r="U84" s="13" t="str">
        <f t="shared" si="13"/>
        <v>-</v>
      </c>
      <c r="W84" s="13" t="str">
        <f t="shared" si="9"/>
        <v>-</v>
      </c>
    </row>
    <row r="85" spans="1:23" x14ac:dyDescent="0.3">
      <c r="A85" s="70">
        <v>100009136</v>
      </c>
      <c r="B85" s="71">
        <v>416</v>
      </c>
      <c r="C85" s="96">
        <v>33984004160</v>
      </c>
      <c r="D85" s="72" t="s">
        <v>471</v>
      </c>
      <c r="E85" s="72" t="s">
        <v>786</v>
      </c>
      <c r="F85" s="73">
        <v>120</v>
      </c>
      <c r="G85" s="73" t="s">
        <v>305</v>
      </c>
      <c r="H85" s="73">
        <v>20</v>
      </c>
      <c r="I85" s="105" t="s">
        <v>852</v>
      </c>
      <c r="J85" s="74">
        <v>0.69018400000000002</v>
      </c>
      <c r="K85" s="2">
        <v>10.709999999999999</v>
      </c>
      <c r="L85" s="2">
        <v>10.114999999999998</v>
      </c>
      <c r="M85" s="75"/>
      <c r="N85" s="2">
        <f t="shared" si="7"/>
        <v>0</v>
      </c>
      <c r="O85" s="106">
        <f t="shared" si="8"/>
        <v>0</v>
      </c>
      <c r="Q85" s="76"/>
      <c r="R85" s="11" t="str">
        <f t="shared" si="10"/>
        <v>-</v>
      </c>
      <c r="S85" s="30" t="str">
        <f t="shared" si="11"/>
        <v>-</v>
      </c>
      <c r="T85" s="12" t="str">
        <f t="shared" si="12"/>
        <v>-</v>
      </c>
      <c r="U85" s="13" t="str">
        <f t="shared" si="13"/>
        <v>-</v>
      </c>
      <c r="W85" s="13" t="str">
        <f t="shared" si="9"/>
        <v>-</v>
      </c>
    </row>
    <row r="86" spans="1:23" x14ac:dyDescent="0.3">
      <c r="A86" s="70">
        <v>100009191</v>
      </c>
      <c r="B86" s="71">
        <v>872</v>
      </c>
      <c r="C86" s="96">
        <v>33984008724</v>
      </c>
      <c r="D86" s="72" t="s">
        <v>118</v>
      </c>
      <c r="E86" s="72" t="s">
        <v>787</v>
      </c>
      <c r="F86" s="73">
        <v>120</v>
      </c>
      <c r="G86" s="73" t="s">
        <v>300</v>
      </c>
      <c r="H86" s="73"/>
      <c r="I86" s="105" t="s">
        <v>852</v>
      </c>
      <c r="J86" s="74" t="e">
        <v>#N/A</v>
      </c>
      <c r="K86" s="2">
        <v>9.2609999999999992</v>
      </c>
      <c r="L86" s="2">
        <v>8.7464999999999993</v>
      </c>
      <c r="M86" s="75"/>
      <c r="N86" s="2">
        <f t="shared" si="7"/>
        <v>0</v>
      </c>
      <c r="O86" s="106">
        <f t="shared" si="8"/>
        <v>0</v>
      </c>
      <c r="Q86" s="76"/>
      <c r="R86" s="11" t="str">
        <f t="shared" si="10"/>
        <v>-</v>
      </c>
      <c r="S86" s="30" t="str">
        <f t="shared" si="11"/>
        <v>-</v>
      </c>
      <c r="T86" s="12" t="str">
        <f t="shared" si="12"/>
        <v>-</v>
      </c>
      <c r="U86" s="13" t="str">
        <f t="shared" si="13"/>
        <v>-</v>
      </c>
      <c r="W86" s="13" t="str">
        <f t="shared" si="9"/>
        <v>-</v>
      </c>
    </row>
    <row r="87" spans="1:23" x14ac:dyDescent="0.3">
      <c r="A87" s="70">
        <v>100009371</v>
      </c>
      <c r="B87" s="71">
        <v>1540</v>
      </c>
      <c r="C87" s="96">
        <v>33984015401</v>
      </c>
      <c r="D87" s="72" t="s">
        <v>668</v>
      </c>
      <c r="E87" s="72" t="s">
        <v>801</v>
      </c>
      <c r="F87" s="73">
        <v>100</v>
      </c>
      <c r="G87" s="73" t="s">
        <v>330</v>
      </c>
      <c r="H87" s="73">
        <v>16</v>
      </c>
      <c r="I87" s="105" t="s">
        <v>852</v>
      </c>
      <c r="J87" s="74" t="e">
        <v>#N/A</v>
      </c>
      <c r="K87" s="2">
        <v>8.8199999999999985</v>
      </c>
      <c r="L87" s="2">
        <v>8.33</v>
      </c>
      <c r="M87" s="75"/>
      <c r="N87" s="2">
        <f t="shared" si="7"/>
        <v>0</v>
      </c>
      <c r="O87" s="106">
        <f t="shared" si="8"/>
        <v>0</v>
      </c>
      <c r="Q87" s="76"/>
      <c r="R87" s="11" t="str">
        <f t="shared" si="10"/>
        <v>-</v>
      </c>
      <c r="S87" s="30" t="str">
        <f t="shared" si="11"/>
        <v>-</v>
      </c>
      <c r="T87" s="12" t="str">
        <f t="shared" si="12"/>
        <v>-</v>
      </c>
      <c r="U87" s="13" t="str">
        <f t="shared" si="13"/>
        <v>-</v>
      </c>
      <c r="W87" s="13" t="str">
        <f t="shared" si="9"/>
        <v>-</v>
      </c>
    </row>
    <row r="88" spans="1:23" x14ac:dyDescent="0.3">
      <c r="A88" s="70">
        <v>100009398</v>
      </c>
      <c r="B88" s="71">
        <v>1720</v>
      </c>
      <c r="C88" s="96">
        <v>33984017207</v>
      </c>
      <c r="D88" s="72" t="s">
        <v>126</v>
      </c>
      <c r="E88" s="72" t="s">
        <v>826</v>
      </c>
      <c r="F88" s="73">
        <v>100</v>
      </c>
      <c r="G88" s="73" t="s">
        <v>305</v>
      </c>
      <c r="H88" s="73"/>
      <c r="I88" s="105" t="s">
        <v>852</v>
      </c>
      <c r="J88" s="74">
        <v>0.18160000000000001</v>
      </c>
      <c r="K88" s="2">
        <v>6.93</v>
      </c>
      <c r="L88" s="2">
        <v>6.544999999999999</v>
      </c>
      <c r="M88" s="75"/>
      <c r="N88" s="2">
        <f t="shared" si="7"/>
        <v>0</v>
      </c>
      <c r="O88" s="106">
        <f t="shared" si="8"/>
        <v>0</v>
      </c>
      <c r="Q88" s="76"/>
      <c r="R88" s="11" t="str">
        <f t="shared" si="10"/>
        <v>-</v>
      </c>
      <c r="S88" s="30" t="str">
        <f t="shared" si="11"/>
        <v>-</v>
      </c>
      <c r="T88" s="12" t="str">
        <f t="shared" si="12"/>
        <v>-</v>
      </c>
      <c r="U88" s="13" t="str">
        <f t="shared" si="13"/>
        <v>-</v>
      </c>
      <c r="W88" s="13" t="str">
        <f t="shared" si="9"/>
        <v>-</v>
      </c>
    </row>
    <row r="89" spans="1:23" x14ac:dyDescent="0.3">
      <c r="A89" s="77">
        <v>100009100</v>
      </c>
      <c r="B89" s="78">
        <v>141</v>
      </c>
      <c r="C89" s="97">
        <v>33984001411</v>
      </c>
      <c r="D89" s="79" t="s">
        <v>301</v>
      </c>
      <c r="E89" s="79" t="s">
        <v>302</v>
      </c>
      <c r="F89" s="73">
        <v>100</v>
      </c>
      <c r="G89" s="73" t="s">
        <v>300</v>
      </c>
      <c r="H89" s="73"/>
      <c r="I89" s="105" t="s">
        <v>851</v>
      </c>
      <c r="J89" s="74">
        <v>0.22700000000000001</v>
      </c>
      <c r="K89" s="2">
        <v>11.339999999999998</v>
      </c>
      <c r="L89" s="2">
        <v>10.709999999999999</v>
      </c>
      <c r="M89" s="75"/>
      <c r="N89" s="2">
        <f t="shared" si="7"/>
        <v>0</v>
      </c>
      <c r="O89" s="106">
        <f t="shared" si="8"/>
        <v>0</v>
      </c>
      <c r="Q89" s="76"/>
      <c r="R89" s="11" t="str">
        <f t="shared" si="10"/>
        <v>-</v>
      </c>
      <c r="S89" s="30" t="str">
        <f t="shared" si="11"/>
        <v>-</v>
      </c>
      <c r="T89" s="12" t="str">
        <f t="shared" si="12"/>
        <v>-</v>
      </c>
      <c r="U89" s="13" t="str">
        <f t="shared" si="13"/>
        <v>-</v>
      </c>
      <c r="W89" s="13" t="str">
        <f t="shared" si="9"/>
        <v>-</v>
      </c>
    </row>
    <row r="90" spans="1:23" x14ac:dyDescent="0.3">
      <c r="A90" s="77">
        <v>100009101</v>
      </c>
      <c r="B90" s="78">
        <v>142</v>
      </c>
      <c r="C90" s="97">
        <v>33984001428</v>
      </c>
      <c r="D90" s="79" t="s">
        <v>301</v>
      </c>
      <c r="E90" s="79" t="s">
        <v>303</v>
      </c>
      <c r="F90" s="73">
        <v>250</v>
      </c>
      <c r="G90" s="73" t="s">
        <v>300</v>
      </c>
      <c r="H90" s="73"/>
      <c r="I90" s="105" t="s">
        <v>851</v>
      </c>
      <c r="J90" s="74">
        <v>0.52210000000000001</v>
      </c>
      <c r="K90" s="2">
        <v>25.2</v>
      </c>
      <c r="L90" s="2">
        <v>23.799999999999997</v>
      </c>
      <c r="M90" s="75"/>
      <c r="N90" s="2">
        <f t="shared" si="7"/>
        <v>0</v>
      </c>
      <c r="O90" s="106">
        <f t="shared" si="8"/>
        <v>0</v>
      </c>
      <c r="Q90" s="76"/>
      <c r="R90" s="11" t="str">
        <f t="shared" si="10"/>
        <v>-</v>
      </c>
      <c r="S90" s="30" t="str">
        <f t="shared" si="11"/>
        <v>-</v>
      </c>
      <c r="T90" s="12" t="str">
        <f t="shared" si="12"/>
        <v>-</v>
      </c>
      <c r="U90" s="13" t="str">
        <f t="shared" si="13"/>
        <v>-</v>
      </c>
      <c r="W90" s="13" t="str">
        <f t="shared" si="9"/>
        <v>-</v>
      </c>
    </row>
    <row r="91" spans="1:23" x14ac:dyDescent="0.3">
      <c r="A91" s="70">
        <v>100009227</v>
      </c>
      <c r="B91" s="71">
        <v>962</v>
      </c>
      <c r="C91" s="96">
        <v>33984009622</v>
      </c>
      <c r="D91" s="72" t="s">
        <v>19</v>
      </c>
      <c r="E91" s="72" t="s">
        <v>308</v>
      </c>
      <c r="F91" s="73">
        <v>90</v>
      </c>
      <c r="G91" s="73" t="s">
        <v>300</v>
      </c>
      <c r="H91" s="73">
        <v>23</v>
      </c>
      <c r="I91" s="105" t="s">
        <v>851</v>
      </c>
      <c r="J91" s="74">
        <v>0.27239999999999998</v>
      </c>
      <c r="K91" s="2">
        <v>17.639999999999997</v>
      </c>
      <c r="L91" s="2">
        <v>16.66</v>
      </c>
      <c r="M91" s="75"/>
      <c r="N91" s="2">
        <f t="shared" si="7"/>
        <v>0</v>
      </c>
      <c r="O91" s="106">
        <f t="shared" si="8"/>
        <v>0</v>
      </c>
      <c r="Q91" s="76"/>
      <c r="R91" s="11" t="str">
        <f t="shared" si="10"/>
        <v>-</v>
      </c>
      <c r="S91" s="30" t="str">
        <f t="shared" si="11"/>
        <v>-</v>
      </c>
      <c r="T91" s="12" t="str">
        <f t="shared" si="12"/>
        <v>-</v>
      </c>
      <c r="U91" s="13" t="str">
        <f t="shared" si="13"/>
        <v>-</v>
      </c>
      <c r="W91" s="13" t="str">
        <f t="shared" si="9"/>
        <v>-</v>
      </c>
    </row>
    <row r="92" spans="1:23" x14ac:dyDescent="0.3">
      <c r="A92" s="70">
        <v>100009312</v>
      </c>
      <c r="B92" s="71">
        <v>1210</v>
      </c>
      <c r="C92" s="96">
        <v>33984012103</v>
      </c>
      <c r="D92" s="72" t="s">
        <v>21</v>
      </c>
      <c r="E92" s="72" t="s">
        <v>310</v>
      </c>
      <c r="F92" s="73">
        <v>50</v>
      </c>
      <c r="G92" s="73" t="s">
        <v>300</v>
      </c>
      <c r="H92" s="73">
        <v>25</v>
      </c>
      <c r="I92" s="105" t="s">
        <v>851</v>
      </c>
      <c r="J92" s="74">
        <v>0.21565000000000001</v>
      </c>
      <c r="K92" s="2">
        <v>9.9540000000000006</v>
      </c>
      <c r="L92" s="2">
        <v>9.4009999999999998</v>
      </c>
      <c r="M92" s="75"/>
      <c r="N92" s="2">
        <f t="shared" si="7"/>
        <v>0</v>
      </c>
      <c r="O92" s="106">
        <f t="shared" si="8"/>
        <v>0</v>
      </c>
      <c r="Q92" s="76"/>
      <c r="R92" s="11" t="str">
        <f t="shared" si="10"/>
        <v>-</v>
      </c>
      <c r="S92" s="30" t="str">
        <f t="shared" si="11"/>
        <v>-</v>
      </c>
      <c r="T92" s="12" t="str">
        <f t="shared" si="12"/>
        <v>-</v>
      </c>
      <c r="U92" s="13" t="str">
        <f t="shared" si="13"/>
        <v>-</v>
      </c>
      <c r="W92" s="13" t="str">
        <f t="shared" si="9"/>
        <v>-</v>
      </c>
    </row>
    <row r="93" spans="1:23" x14ac:dyDescent="0.3">
      <c r="A93" s="70">
        <v>100009313</v>
      </c>
      <c r="B93" s="71">
        <v>1211</v>
      </c>
      <c r="C93" s="96">
        <v>33984012110</v>
      </c>
      <c r="D93" s="72" t="s">
        <v>21</v>
      </c>
      <c r="E93" s="72" t="s">
        <v>311</v>
      </c>
      <c r="F93" s="73">
        <v>100</v>
      </c>
      <c r="G93" s="73" t="s">
        <v>300</v>
      </c>
      <c r="H93" s="73">
        <v>23</v>
      </c>
      <c r="I93" s="105" t="s">
        <v>851</v>
      </c>
      <c r="J93" s="74">
        <v>0.26105</v>
      </c>
      <c r="K93" s="2">
        <v>15.749999999999998</v>
      </c>
      <c r="L93" s="2">
        <v>14.874999999999998</v>
      </c>
      <c r="M93" s="75"/>
      <c r="N93" s="2">
        <f t="shared" si="7"/>
        <v>0</v>
      </c>
      <c r="O93" s="106">
        <f t="shared" si="8"/>
        <v>0</v>
      </c>
      <c r="Q93" s="76"/>
      <c r="R93" s="11" t="str">
        <f t="shared" si="10"/>
        <v>-</v>
      </c>
      <c r="S93" s="30" t="str">
        <f t="shared" si="11"/>
        <v>-</v>
      </c>
      <c r="T93" s="12" t="str">
        <f t="shared" si="12"/>
        <v>-</v>
      </c>
      <c r="U93" s="13" t="str">
        <f t="shared" si="13"/>
        <v>-</v>
      </c>
      <c r="W93" s="13" t="str">
        <f t="shared" si="9"/>
        <v>-</v>
      </c>
    </row>
    <row r="94" spans="1:23" x14ac:dyDescent="0.3">
      <c r="A94" s="70">
        <v>100009320</v>
      </c>
      <c r="B94" s="71">
        <v>1254</v>
      </c>
      <c r="C94" s="96">
        <v>33984012547</v>
      </c>
      <c r="D94" s="72" t="s">
        <v>23</v>
      </c>
      <c r="E94" s="72" t="s">
        <v>313</v>
      </c>
      <c r="F94" s="73">
        <v>60</v>
      </c>
      <c r="G94" s="73" t="s">
        <v>305</v>
      </c>
      <c r="H94" s="73">
        <v>23</v>
      </c>
      <c r="I94" s="105" t="s">
        <v>851</v>
      </c>
      <c r="J94" s="74">
        <v>0.29770450527543485</v>
      </c>
      <c r="K94" s="2">
        <v>9.9540000000000006</v>
      </c>
      <c r="L94" s="2">
        <v>9.4009999999999998</v>
      </c>
      <c r="M94" s="75"/>
      <c r="N94" s="2">
        <f t="shared" si="7"/>
        <v>0</v>
      </c>
      <c r="O94" s="106">
        <f t="shared" si="8"/>
        <v>0</v>
      </c>
      <c r="Q94" s="76"/>
      <c r="R94" s="11" t="str">
        <f t="shared" si="10"/>
        <v>-</v>
      </c>
      <c r="S94" s="30" t="str">
        <f t="shared" si="11"/>
        <v>-</v>
      </c>
      <c r="T94" s="12" t="str">
        <f t="shared" si="12"/>
        <v>-</v>
      </c>
      <c r="U94" s="13" t="str">
        <f t="shared" si="13"/>
        <v>-</v>
      </c>
      <c r="W94" s="13" t="str">
        <f t="shared" si="9"/>
        <v>-</v>
      </c>
    </row>
    <row r="95" spans="1:23" x14ac:dyDescent="0.3">
      <c r="A95" s="70">
        <v>100009342</v>
      </c>
      <c r="B95" s="71">
        <v>1350</v>
      </c>
      <c r="C95" s="96">
        <v>33984013506</v>
      </c>
      <c r="D95" s="72" t="s">
        <v>24</v>
      </c>
      <c r="E95" s="72" t="s">
        <v>314</v>
      </c>
      <c r="F95" s="73">
        <v>30</v>
      </c>
      <c r="G95" s="73" t="s">
        <v>300</v>
      </c>
      <c r="H95" s="73">
        <v>42</v>
      </c>
      <c r="I95" s="105" t="s">
        <v>851</v>
      </c>
      <c r="J95" s="74">
        <v>0.10214999999999999</v>
      </c>
      <c r="K95" s="2">
        <v>15.12</v>
      </c>
      <c r="L95" s="2">
        <v>14.279999999999998</v>
      </c>
      <c r="M95" s="75"/>
      <c r="N95" s="2">
        <f t="shared" si="7"/>
        <v>0</v>
      </c>
      <c r="O95" s="106">
        <f t="shared" si="8"/>
        <v>0</v>
      </c>
      <c r="Q95" s="76"/>
      <c r="R95" s="11" t="str">
        <f t="shared" si="10"/>
        <v>-</v>
      </c>
      <c r="S95" s="30" t="str">
        <f t="shared" si="11"/>
        <v>-</v>
      </c>
      <c r="T95" s="12" t="str">
        <f t="shared" si="12"/>
        <v>-</v>
      </c>
      <c r="U95" s="13" t="str">
        <f t="shared" si="13"/>
        <v>-</v>
      </c>
      <c r="W95" s="13" t="str">
        <f t="shared" si="9"/>
        <v>-</v>
      </c>
    </row>
    <row r="96" spans="1:23" x14ac:dyDescent="0.3">
      <c r="A96" s="70">
        <v>100009343</v>
      </c>
      <c r="B96" s="71">
        <v>1351</v>
      </c>
      <c r="C96" s="96">
        <v>33984013513</v>
      </c>
      <c r="D96" s="72" t="s">
        <v>24</v>
      </c>
      <c r="E96" s="72" t="s">
        <v>315</v>
      </c>
      <c r="F96" s="73">
        <v>60</v>
      </c>
      <c r="G96" s="73" t="s">
        <v>300</v>
      </c>
      <c r="H96" s="73">
        <v>25</v>
      </c>
      <c r="I96" s="105" t="s">
        <v>851</v>
      </c>
      <c r="J96" s="74">
        <v>0.19295000000000001</v>
      </c>
      <c r="K96" s="2">
        <v>27.341999999999999</v>
      </c>
      <c r="L96" s="2">
        <v>25.823</v>
      </c>
      <c r="M96" s="75"/>
      <c r="N96" s="2">
        <f t="shared" si="7"/>
        <v>0</v>
      </c>
      <c r="O96" s="106">
        <f t="shared" si="8"/>
        <v>0</v>
      </c>
      <c r="Q96" s="76"/>
      <c r="R96" s="11" t="str">
        <f t="shared" si="10"/>
        <v>-</v>
      </c>
      <c r="S96" s="30" t="str">
        <f t="shared" si="11"/>
        <v>-</v>
      </c>
      <c r="T96" s="12" t="str">
        <f t="shared" si="12"/>
        <v>-</v>
      </c>
      <c r="U96" s="13" t="str">
        <f t="shared" si="13"/>
        <v>-</v>
      </c>
      <c r="W96" s="13" t="str">
        <f t="shared" si="9"/>
        <v>-</v>
      </c>
    </row>
    <row r="97" spans="1:23" x14ac:dyDescent="0.3">
      <c r="A97" s="70">
        <v>100009347</v>
      </c>
      <c r="B97" s="71">
        <v>1370</v>
      </c>
      <c r="C97" s="96">
        <v>33984013704</v>
      </c>
      <c r="D97" s="72" t="s">
        <v>25</v>
      </c>
      <c r="E97" s="72" t="s">
        <v>316</v>
      </c>
      <c r="F97" s="73">
        <v>100</v>
      </c>
      <c r="G97" s="73" t="s">
        <v>300</v>
      </c>
      <c r="H97" s="73">
        <v>23</v>
      </c>
      <c r="I97" s="105" t="s">
        <v>851</v>
      </c>
      <c r="J97" s="74">
        <v>0.24970000000000001</v>
      </c>
      <c r="K97" s="2">
        <v>9.2609999999999992</v>
      </c>
      <c r="L97" s="2">
        <v>8.7464999999999993</v>
      </c>
      <c r="M97" s="75"/>
      <c r="N97" s="2">
        <f t="shared" si="7"/>
        <v>0</v>
      </c>
      <c r="O97" s="106">
        <f t="shared" si="8"/>
        <v>0</v>
      </c>
      <c r="Q97" s="76"/>
      <c r="R97" s="11" t="str">
        <f t="shared" si="10"/>
        <v>-</v>
      </c>
      <c r="S97" s="30" t="str">
        <f t="shared" si="11"/>
        <v>-</v>
      </c>
      <c r="T97" s="12" t="str">
        <f t="shared" si="12"/>
        <v>-</v>
      </c>
      <c r="U97" s="13" t="str">
        <f t="shared" si="13"/>
        <v>-</v>
      </c>
      <c r="W97" s="13" t="str">
        <f t="shared" si="9"/>
        <v>-</v>
      </c>
    </row>
    <row r="98" spans="1:23" x14ac:dyDescent="0.3">
      <c r="A98" s="70">
        <v>100009392</v>
      </c>
      <c r="B98" s="71">
        <v>1701</v>
      </c>
      <c r="C98" s="96">
        <v>33984017016</v>
      </c>
      <c r="D98" s="72" t="s">
        <v>28</v>
      </c>
      <c r="E98" s="72" t="s">
        <v>320</v>
      </c>
      <c r="F98" s="73">
        <v>100</v>
      </c>
      <c r="G98" s="73" t="s">
        <v>305</v>
      </c>
      <c r="H98" s="73">
        <v>20</v>
      </c>
      <c r="I98" s="105" t="s">
        <v>851</v>
      </c>
      <c r="J98" s="74">
        <v>0.41994999999999999</v>
      </c>
      <c r="K98" s="2">
        <v>9.9540000000000006</v>
      </c>
      <c r="L98" s="2">
        <v>9.4009999999999998</v>
      </c>
      <c r="M98" s="75"/>
      <c r="N98" s="2">
        <f t="shared" si="7"/>
        <v>0</v>
      </c>
      <c r="O98" s="106">
        <f t="shared" si="8"/>
        <v>0</v>
      </c>
      <c r="Q98" s="76"/>
      <c r="R98" s="11" t="str">
        <f t="shared" si="10"/>
        <v>-</v>
      </c>
      <c r="S98" s="30" t="str">
        <f t="shared" si="11"/>
        <v>-</v>
      </c>
      <c r="T98" s="12" t="str">
        <f t="shared" si="12"/>
        <v>-</v>
      </c>
      <c r="U98" s="13" t="str">
        <f t="shared" si="13"/>
        <v>-</v>
      </c>
      <c r="W98" s="13" t="str">
        <f t="shared" si="9"/>
        <v>-</v>
      </c>
    </row>
    <row r="99" spans="1:23" x14ac:dyDescent="0.3">
      <c r="A99" s="70">
        <v>100009562</v>
      </c>
      <c r="B99" s="71">
        <v>2701</v>
      </c>
      <c r="C99" s="96">
        <v>33984027015</v>
      </c>
      <c r="D99" s="72" t="s">
        <v>30</v>
      </c>
      <c r="E99" s="72" t="s">
        <v>323</v>
      </c>
      <c r="F99" s="73">
        <v>100</v>
      </c>
      <c r="G99" s="73" t="s">
        <v>300</v>
      </c>
      <c r="H99" s="73">
        <v>25</v>
      </c>
      <c r="I99" s="105" t="s">
        <v>851</v>
      </c>
      <c r="J99" s="74">
        <v>0.22700000000000001</v>
      </c>
      <c r="K99" s="2">
        <v>8.9459999999999997</v>
      </c>
      <c r="L99" s="2">
        <v>8.4489999999999981</v>
      </c>
      <c r="M99" s="75"/>
      <c r="N99" s="2">
        <f t="shared" si="7"/>
        <v>0</v>
      </c>
      <c r="O99" s="106">
        <f t="shared" si="8"/>
        <v>0</v>
      </c>
      <c r="Q99" s="76"/>
      <c r="R99" s="11" t="str">
        <f t="shared" si="10"/>
        <v>-</v>
      </c>
      <c r="S99" s="30" t="str">
        <f t="shared" si="11"/>
        <v>-</v>
      </c>
      <c r="T99" s="12" t="str">
        <f t="shared" si="12"/>
        <v>-</v>
      </c>
      <c r="U99" s="13" t="str">
        <f t="shared" si="13"/>
        <v>-</v>
      </c>
      <c r="W99" s="13" t="str">
        <f t="shared" si="9"/>
        <v>-</v>
      </c>
    </row>
    <row r="100" spans="1:23" x14ac:dyDescent="0.3">
      <c r="A100" s="70">
        <v>100009563</v>
      </c>
      <c r="B100" s="71">
        <v>2702</v>
      </c>
      <c r="C100" s="96">
        <v>33984027022</v>
      </c>
      <c r="D100" s="72" t="s">
        <v>30</v>
      </c>
      <c r="E100" s="72" t="s">
        <v>324</v>
      </c>
      <c r="F100" s="73">
        <v>250</v>
      </c>
      <c r="G100" s="73" t="s">
        <v>300</v>
      </c>
      <c r="H100" s="73">
        <v>16</v>
      </c>
      <c r="I100" s="105" t="s">
        <v>851</v>
      </c>
      <c r="J100" s="74">
        <v>0.52544565383646868</v>
      </c>
      <c r="K100" s="2">
        <v>19.088999999999999</v>
      </c>
      <c r="L100" s="2">
        <v>18.028499999999998</v>
      </c>
      <c r="M100" s="75"/>
      <c r="N100" s="2">
        <f t="shared" si="7"/>
        <v>0</v>
      </c>
      <c r="O100" s="106">
        <f t="shared" si="8"/>
        <v>0</v>
      </c>
      <c r="Q100" s="76"/>
      <c r="R100" s="11" t="str">
        <f t="shared" si="10"/>
        <v>-</v>
      </c>
      <c r="S100" s="30" t="str">
        <f t="shared" si="11"/>
        <v>-</v>
      </c>
      <c r="T100" s="12" t="str">
        <f t="shared" si="12"/>
        <v>-</v>
      </c>
      <c r="U100" s="13" t="str">
        <f t="shared" si="13"/>
        <v>-</v>
      </c>
      <c r="W100" s="13" t="str">
        <f t="shared" si="9"/>
        <v>-</v>
      </c>
    </row>
    <row r="101" spans="1:23" x14ac:dyDescent="0.3">
      <c r="A101" s="70">
        <v>100009564</v>
      </c>
      <c r="B101" s="71">
        <v>2706</v>
      </c>
      <c r="C101" s="96">
        <v>33984027060</v>
      </c>
      <c r="D101" s="72" t="s">
        <v>31</v>
      </c>
      <c r="E101" s="72" t="s">
        <v>325</v>
      </c>
      <c r="F101" s="73">
        <v>60</v>
      </c>
      <c r="G101" s="73" t="s">
        <v>300</v>
      </c>
      <c r="H101" s="73">
        <v>36</v>
      </c>
      <c r="I101" s="105" t="s">
        <v>851</v>
      </c>
      <c r="J101" s="74">
        <v>0.12485</v>
      </c>
      <c r="K101" s="2">
        <v>22.679999999999996</v>
      </c>
      <c r="L101" s="2">
        <v>21.419999999999998</v>
      </c>
      <c r="M101" s="75"/>
      <c r="N101" s="2">
        <f t="shared" si="7"/>
        <v>0</v>
      </c>
      <c r="O101" s="106">
        <f t="shared" si="8"/>
        <v>0</v>
      </c>
      <c r="Q101" s="76"/>
      <c r="R101" s="11" t="str">
        <f t="shared" si="10"/>
        <v>-</v>
      </c>
      <c r="S101" s="30" t="str">
        <f t="shared" si="11"/>
        <v>-</v>
      </c>
      <c r="T101" s="12" t="str">
        <f t="shared" si="12"/>
        <v>-</v>
      </c>
      <c r="U101" s="13" t="str">
        <f t="shared" si="13"/>
        <v>-</v>
      </c>
      <c r="W101" s="13" t="str">
        <f t="shared" si="9"/>
        <v>-</v>
      </c>
    </row>
    <row r="102" spans="1:23" x14ac:dyDescent="0.3">
      <c r="A102" s="70">
        <v>100009567</v>
      </c>
      <c r="B102" s="71">
        <v>2761</v>
      </c>
      <c r="C102" s="96">
        <v>33984027619</v>
      </c>
      <c r="D102" s="72" t="s">
        <v>32</v>
      </c>
      <c r="E102" s="72" t="s">
        <v>326</v>
      </c>
      <c r="F102" s="73">
        <v>100</v>
      </c>
      <c r="G102" s="73" t="s">
        <v>300</v>
      </c>
      <c r="H102" s="73">
        <v>23</v>
      </c>
      <c r="I102" s="105" t="s">
        <v>851</v>
      </c>
      <c r="J102" s="74">
        <v>0.26105</v>
      </c>
      <c r="K102" s="2">
        <v>17.009999999999998</v>
      </c>
      <c r="L102" s="2">
        <v>16.064999999999998</v>
      </c>
      <c r="M102" s="75"/>
      <c r="N102" s="2">
        <f t="shared" si="7"/>
        <v>0</v>
      </c>
      <c r="O102" s="106">
        <f t="shared" si="8"/>
        <v>0</v>
      </c>
      <c r="Q102" s="76"/>
      <c r="R102" s="11" t="str">
        <f t="shared" si="10"/>
        <v>-</v>
      </c>
      <c r="S102" s="30" t="str">
        <f t="shared" si="11"/>
        <v>-</v>
      </c>
      <c r="T102" s="12" t="str">
        <f t="shared" si="12"/>
        <v>-</v>
      </c>
      <c r="U102" s="13" t="str">
        <f t="shared" si="13"/>
        <v>-</v>
      </c>
      <c r="W102" s="13" t="str">
        <f t="shared" si="9"/>
        <v>-</v>
      </c>
    </row>
    <row r="103" spans="1:23" x14ac:dyDescent="0.3">
      <c r="A103" s="70">
        <v>100072240</v>
      </c>
      <c r="B103" s="71">
        <v>54956</v>
      </c>
      <c r="C103" s="96">
        <v>33984549562</v>
      </c>
      <c r="D103" s="72" t="s">
        <v>37</v>
      </c>
      <c r="E103" s="72" t="s">
        <v>333</v>
      </c>
      <c r="F103" s="73">
        <v>100</v>
      </c>
      <c r="G103" s="73" t="s">
        <v>305</v>
      </c>
      <c r="H103" s="73">
        <v>42</v>
      </c>
      <c r="I103" s="105" t="s">
        <v>851</v>
      </c>
      <c r="J103" s="74">
        <v>0.18423464093924999</v>
      </c>
      <c r="K103" s="2">
        <v>6.7409999999999988</v>
      </c>
      <c r="L103" s="2">
        <v>6.3664999999999985</v>
      </c>
      <c r="M103" s="75"/>
      <c r="N103" s="2">
        <f t="shared" si="7"/>
        <v>0</v>
      </c>
      <c r="O103" s="106">
        <f t="shared" si="8"/>
        <v>0</v>
      </c>
      <c r="Q103" s="76"/>
      <c r="R103" s="11" t="str">
        <f t="shared" si="10"/>
        <v>-</v>
      </c>
      <c r="S103" s="30" t="str">
        <f t="shared" si="11"/>
        <v>-</v>
      </c>
      <c r="T103" s="12" t="str">
        <f t="shared" si="12"/>
        <v>-</v>
      </c>
      <c r="U103" s="13" t="str">
        <f t="shared" si="13"/>
        <v>-</v>
      </c>
      <c r="W103" s="13" t="str">
        <f t="shared" si="9"/>
        <v>-</v>
      </c>
    </row>
    <row r="104" spans="1:23" x14ac:dyDescent="0.3">
      <c r="A104" s="70">
        <v>100009623</v>
      </c>
      <c r="B104" s="71">
        <v>3341</v>
      </c>
      <c r="C104" s="96">
        <v>33984033412</v>
      </c>
      <c r="D104" s="72" t="s">
        <v>38</v>
      </c>
      <c r="E104" s="72" t="s">
        <v>335</v>
      </c>
      <c r="F104" s="73">
        <v>250</v>
      </c>
      <c r="G104" s="73" t="s">
        <v>330</v>
      </c>
      <c r="H104" s="73">
        <v>20</v>
      </c>
      <c r="I104" s="105" t="s">
        <v>851</v>
      </c>
      <c r="J104" s="74">
        <v>0.492432350662175</v>
      </c>
      <c r="K104" s="2">
        <v>9.9540000000000006</v>
      </c>
      <c r="L104" s="2">
        <v>9.4009999999999998</v>
      </c>
      <c r="M104" s="75"/>
      <c r="N104" s="2">
        <f t="shared" si="7"/>
        <v>0</v>
      </c>
      <c r="O104" s="106">
        <f t="shared" si="8"/>
        <v>0</v>
      </c>
      <c r="Q104" s="76"/>
      <c r="R104" s="11" t="str">
        <f t="shared" si="10"/>
        <v>-</v>
      </c>
      <c r="S104" s="30" t="str">
        <f t="shared" si="11"/>
        <v>-</v>
      </c>
      <c r="T104" s="12" t="str">
        <f t="shared" si="12"/>
        <v>-</v>
      </c>
      <c r="U104" s="13" t="str">
        <f t="shared" si="13"/>
        <v>-</v>
      </c>
      <c r="W104" s="13" t="str">
        <f t="shared" si="9"/>
        <v>-</v>
      </c>
    </row>
    <row r="105" spans="1:23" x14ac:dyDescent="0.3">
      <c r="A105" s="70">
        <v>100009615</v>
      </c>
      <c r="B105" s="71">
        <v>3314</v>
      </c>
      <c r="C105" s="96">
        <v>33984033146</v>
      </c>
      <c r="D105" s="72" t="s">
        <v>44</v>
      </c>
      <c r="E105" s="72" t="s">
        <v>345</v>
      </c>
      <c r="F105" s="73">
        <v>240</v>
      </c>
      <c r="G105" s="73" t="s">
        <v>300</v>
      </c>
      <c r="H105" s="73">
        <v>20</v>
      </c>
      <c r="I105" s="105" t="s">
        <v>851</v>
      </c>
      <c r="J105" s="74">
        <v>0.492432350662175</v>
      </c>
      <c r="K105" s="2">
        <v>25.2</v>
      </c>
      <c r="L105" s="2">
        <v>23.799999999999997</v>
      </c>
      <c r="M105" s="75"/>
      <c r="N105" s="2">
        <f t="shared" si="7"/>
        <v>0</v>
      </c>
      <c r="O105" s="106">
        <f t="shared" si="8"/>
        <v>0</v>
      </c>
      <c r="Q105" s="76"/>
      <c r="R105" s="11" t="str">
        <f t="shared" si="10"/>
        <v>-</v>
      </c>
      <c r="S105" s="30" t="str">
        <f t="shared" si="11"/>
        <v>-</v>
      </c>
      <c r="T105" s="12" t="str">
        <f t="shared" si="12"/>
        <v>-</v>
      </c>
      <c r="U105" s="13" t="str">
        <f t="shared" si="13"/>
        <v>-</v>
      </c>
      <c r="W105" s="13" t="str">
        <f t="shared" si="9"/>
        <v>-</v>
      </c>
    </row>
    <row r="106" spans="1:23" x14ac:dyDescent="0.3">
      <c r="A106" s="70">
        <v>100009630</v>
      </c>
      <c r="B106" s="71">
        <v>3461</v>
      </c>
      <c r="C106" s="96">
        <v>33984034617</v>
      </c>
      <c r="D106" s="72" t="s">
        <v>48</v>
      </c>
      <c r="E106" s="72" t="s">
        <v>351</v>
      </c>
      <c r="F106" s="73">
        <v>100</v>
      </c>
      <c r="G106" s="73" t="s">
        <v>330</v>
      </c>
      <c r="H106" s="73">
        <v>36</v>
      </c>
      <c r="I106" s="105" t="s">
        <v>851</v>
      </c>
      <c r="J106" s="74">
        <v>0.19295000000000001</v>
      </c>
      <c r="K106" s="2">
        <v>6.048</v>
      </c>
      <c r="L106" s="2">
        <v>5.7119999999999997</v>
      </c>
      <c r="M106" s="75"/>
      <c r="N106" s="2">
        <f t="shared" si="7"/>
        <v>0</v>
      </c>
      <c r="O106" s="106">
        <f t="shared" si="8"/>
        <v>0</v>
      </c>
      <c r="Q106" s="76"/>
      <c r="R106" s="11" t="str">
        <f t="shared" si="10"/>
        <v>-</v>
      </c>
      <c r="S106" s="30" t="str">
        <f t="shared" si="11"/>
        <v>-</v>
      </c>
      <c r="T106" s="12" t="str">
        <f t="shared" si="12"/>
        <v>-</v>
      </c>
      <c r="U106" s="13" t="str">
        <f t="shared" si="13"/>
        <v>-</v>
      </c>
      <c r="W106" s="13" t="str">
        <f t="shared" si="9"/>
        <v>-</v>
      </c>
    </row>
    <row r="107" spans="1:23" x14ac:dyDescent="0.3">
      <c r="A107" s="70">
        <v>100009379</v>
      </c>
      <c r="B107" s="71">
        <v>1600</v>
      </c>
      <c r="C107" s="96">
        <v>33984016002</v>
      </c>
      <c r="D107" s="72" t="s">
        <v>55</v>
      </c>
      <c r="E107" s="72" t="s">
        <v>362</v>
      </c>
      <c r="F107" s="73" t="s">
        <v>273</v>
      </c>
      <c r="G107" s="73" t="s">
        <v>307</v>
      </c>
      <c r="H107" s="73">
        <v>49</v>
      </c>
      <c r="I107" s="105" t="s">
        <v>851</v>
      </c>
      <c r="J107" s="74">
        <v>0.13217403952185716</v>
      </c>
      <c r="K107" s="2">
        <v>9.9540000000000006</v>
      </c>
      <c r="L107" s="2">
        <v>9.4009999999999998</v>
      </c>
      <c r="M107" s="75"/>
      <c r="N107" s="2">
        <f t="shared" si="7"/>
        <v>0</v>
      </c>
      <c r="O107" s="106">
        <f t="shared" si="8"/>
        <v>0</v>
      </c>
      <c r="Q107" s="76"/>
      <c r="R107" s="11" t="str">
        <f t="shared" si="10"/>
        <v>-</v>
      </c>
      <c r="S107" s="30" t="str">
        <f t="shared" si="11"/>
        <v>-</v>
      </c>
      <c r="T107" s="12" t="str">
        <f t="shared" si="12"/>
        <v>-</v>
      </c>
      <c r="U107" s="13" t="str">
        <f t="shared" si="13"/>
        <v>-</v>
      </c>
      <c r="W107" s="13" t="str">
        <f t="shared" si="9"/>
        <v>-</v>
      </c>
    </row>
    <row r="108" spans="1:23" x14ac:dyDescent="0.3">
      <c r="A108" s="70">
        <v>100009585</v>
      </c>
      <c r="B108" s="71">
        <v>2980</v>
      </c>
      <c r="C108" s="96">
        <v>33984029804</v>
      </c>
      <c r="D108" s="72" t="s">
        <v>58</v>
      </c>
      <c r="E108" s="72" t="s">
        <v>369</v>
      </c>
      <c r="F108" s="73">
        <v>100</v>
      </c>
      <c r="G108" s="73" t="s">
        <v>305</v>
      </c>
      <c r="H108" s="73">
        <v>23</v>
      </c>
      <c r="I108" s="105" t="s">
        <v>851</v>
      </c>
      <c r="J108" s="74">
        <v>0.31780000000000003</v>
      </c>
      <c r="K108" s="2">
        <v>14.300999999999998</v>
      </c>
      <c r="L108" s="2">
        <v>13.506499999999997</v>
      </c>
      <c r="M108" s="75"/>
      <c r="N108" s="2">
        <f t="shared" si="7"/>
        <v>0</v>
      </c>
      <c r="O108" s="106">
        <f t="shared" si="8"/>
        <v>0</v>
      </c>
      <c r="Q108" s="76"/>
      <c r="R108" s="11" t="str">
        <f t="shared" si="10"/>
        <v>-</v>
      </c>
      <c r="S108" s="30" t="str">
        <f t="shared" si="11"/>
        <v>-</v>
      </c>
      <c r="T108" s="12" t="str">
        <f t="shared" si="12"/>
        <v>-</v>
      </c>
      <c r="U108" s="13" t="str">
        <f t="shared" si="13"/>
        <v>-</v>
      </c>
      <c r="W108" s="13" t="str">
        <f t="shared" si="9"/>
        <v>-</v>
      </c>
    </row>
    <row r="109" spans="1:23" x14ac:dyDescent="0.3">
      <c r="A109" s="70">
        <v>100009589</v>
      </c>
      <c r="B109" s="71">
        <v>3050</v>
      </c>
      <c r="C109" s="96">
        <v>33984030503</v>
      </c>
      <c r="D109" s="72" t="s">
        <v>59</v>
      </c>
      <c r="E109" s="72" t="s">
        <v>370</v>
      </c>
      <c r="F109" s="73">
        <v>100</v>
      </c>
      <c r="G109" s="73" t="s">
        <v>300</v>
      </c>
      <c r="H109" s="73">
        <v>36</v>
      </c>
      <c r="I109" s="105" t="s">
        <v>851</v>
      </c>
      <c r="J109" s="74">
        <v>0.14755000000000001</v>
      </c>
      <c r="K109" s="2">
        <v>8.8199999999999985</v>
      </c>
      <c r="L109" s="2">
        <v>8.33</v>
      </c>
      <c r="M109" s="75"/>
      <c r="N109" s="2">
        <f t="shared" si="7"/>
        <v>0</v>
      </c>
      <c r="O109" s="106">
        <f t="shared" si="8"/>
        <v>0</v>
      </c>
      <c r="Q109" s="76"/>
      <c r="R109" s="11" t="str">
        <f t="shared" si="10"/>
        <v>-</v>
      </c>
      <c r="S109" s="30" t="str">
        <f t="shared" si="11"/>
        <v>-</v>
      </c>
      <c r="T109" s="12" t="str">
        <f t="shared" si="12"/>
        <v>-</v>
      </c>
      <c r="U109" s="13" t="str">
        <f t="shared" si="13"/>
        <v>-</v>
      </c>
      <c r="W109" s="13" t="str">
        <f t="shared" si="9"/>
        <v>-</v>
      </c>
    </row>
    <row r="110" spans="1:23" x14ac:dyDescent="0.3">
      <c r="A110" s="70">
        <v>100009590</v>
      </c>
      <c r="B110" s="71">
        <v>3082</v>
      </c>
      <c r="C110" s="96">
        <v>33984030824</v>
      </c>
      <c r="D110" s="72" t="s">
        <v>60</v>
      </c>
      <c r="E110" s="72" t="s">
        <v>371</v>
      </c>
      <c r="F110" s="73">
        <v>100</v>
      </c>
      <c r="G110" s="73" t="s">
        <v>305</v>
      </c>
      <c r="H110" s="73">
        <v>42</v>
      </c>
      <c r="I110" s="105" t="s">
        <v>851</v>
      </c>
      <c r="J110" s="74">
        <v>0.15890000000000001</v>
      </c>
      <c r="K110" s="2">
        <v>5.3549999999999995</v>
      </c>
      <c r="L110" s="2">
        <v>5.0574999999999992</v>
      </c>
      <c r="M110" s="75"/>
      <c r="N110" s="2">
        <f t="shared" si="7"/>
        <v>0</v>
      </c>
      <c r="O110" s="106">
        <f t="shared" si="8"/>
        <v>0</v>
      </c>
      <c r="Q110" s="76"/>
      <c r="R110" s="11" t="str">
        <f t="shared" si="10"/>
        <v>-</v>
      </c>
      <c r="S110" s="30" t="str">
        <f t="shared" si="11"/>
        <v>-</v>
      </c>
      <c r="T110" s="12" t="str">
        <f t="shared" si="12"/>
        <v>-</v>
      </c>
      <c r="U110" s="13" t="str">
        <f t="shared" si="13"/>
        <v>-</v>
      </c>
      <c r="W110" s="13" t="str">
        <f t="shared" si="9"/>
        <v>-</v>
      </c>
    </row>
    <row r="111" spans="1:23" x14ac:dyDescent="0.3">
      <c r="A111" s="70">
        <v>100009591</v>
      </c>
      <c r="B111" s="71">
        <v>3100</v>
      </c>
      <c r="C111" s="96">
        <v>33984031005</v>
      </c>
      <c r="D111" s="72" t="s">
        <v>61</v>
      </c>
      <c r="E111" s="72" t="s">
        <v>372</v>
      </c>
      <c r="F111" s="73">
        <v>100</v>
      </c>
      <c r="G111" s="73" t="s">
        <v>305</v>
      </c>
      <c r="H111" s="73">
        <v>42</v>
      </c>
      <c r="I111" s="105" t="s">
        <v>851</v>
      </c>
      <c r="J111" s="74">
        <v>0.14755000000000001</v>
      </c>
      <c r="K111" s="2">
        <v>6.5520000000000005</v>
      </c>
      <c r="L111" s="2">
        <v>6.1879999999999997</v>
      </c>
      <c r="M111" s="75"/>
      <c r="N111" s="2">
        <f t="shared" si="7"/>
        <v>0</v>
      </c>
      <c r="O111" s="106">
        <f t="shared" si="8"/>
        <v>0</v>
      </c>
      <c r="Q111" s="76"/>
      <c r="R111" s="11" t="str">
        <f t="shared" si="10"/>
        <v>-</v>
      </c>
      <c r="S111" s="30" t="str">
        <f t="shared" si="11"/>
        <v>-</v>
      </c>
      <c r="T111" s="12" t="str">
        <f t="shared" si="12"/>
        <v>-</v>
      </c>
      <c r="U111" s="13" t="str">
        <f t="shared" si="13"/>
        <v>-</v>
      </c>
      <c r="W111" s="13" t="str">
        <f t="shared" si="9"/>
        <v>-</v>
      </c>
    </row>
    <row r="112" spans="1:23" x14ac:dyDescent="0.3">
      <c r="A112" s="70">
        <v>100009594</v>
      </c>
      <c r="B112" s="71">
        <v>3120</v>
      </c>
      <c r="C112" s="96">
        <v>33984031203</v>
      </c>
      <c r="D112" s="72" t="s">
        <v>62</v>
      </c>
      <c r="E112" s="72" t="s">
        <v>373</v>
      </c>
      <c r="F112" s="73">
        <v>100</v>
      </c>
      <c r="G112" s="73" t="s">
        <v>305</v>
      </c>
      <c r="H112" s="73">
        <v>42</v>
      </c>
      <c r="I112" s="105" t="s">
        <v>851</v>
      </c>
      <c r="J112" s="74">
        <v>0.15890000000000001</v>
      </c>
      <c r="K112" s="2">
        <v>6.048</v>
      </c>
      <c r="L112" s="2">
        <v>5.7119999999999997</v>
      </c>
      <c r="M112" s="75"/>
      <c r="N112" s="2">
        <f t="shared" si="7"/>
        <v>0</v>
      </c>
      <c r="O112" s="106">
        <f t="shared" si="8"/>
        <v>0</v>
      </c>
      <c r="Q112" s="76"/>
      <c r="R112" s="11" t="str">
        <f t="shared" si="10"/>
        <v>-</v>
      </c>
      <c r="S112" s="30" t="str">
        <f t="shared" si="11"/>
        <v>-</v>
      </c>
      <c r="T112" s="12" t="str">
        <f t="shared" si="12"/>
        <v>-</v>
      </c>
      <c r="U112" s="13" t="str">
        <f t="shared" si="13"/>
        <v>-</v>
      </c>
      <c r="W112" s="13" t="str">
        <f t="shared" si="9"/>
        <v>-</v>
      </c>
    </row>
    <row r="113" spans="1:23" x14ac:dyDescent="0.3">
      <c r="A113" s="70">
        <v>100009592</v>
      </c>
      <c r="B113" s="71">
        <v>3110</v>
      </c>
      <c r="C113" s="96">
        <v>33984031104</v>
      </c>
      <c r="D113" s="72" t="s">
        <v>63</v>
      </c>
      <c r="E113" s="72" t="s">
        <v>374</v>
      </c>
      <c r="F113" s="73">
        <v>100</v>
      </c>
      <c r="G113" s="73" t="s">
        <v>300</v>
      </c>
      <c r="H113" s="73">
        <v>42</v>
      </c>
      <c r="I113" s="105" t="s">
        <v>851</v>
      </c>
      <c r="J113" s="74">
        <v>0.12485</v>
      </c>
      <c r="K113" s="2">
        <v>7.8749999999999991</v>
      </c>
      <c r="L113" s="2">
        <v>7.4374999999999991</v>
      </c>
      <c r="M113" s="75"/>
      <c r="N113" s="2">
        <f t="shared" si="7"/>
        <v>0</v>
      </c>
      <c r="O113" s="106">
        <f t="shared" si="8"/>
        <v>0</v>
      </c>
      <c r="Q113" s="76"/>
      <c r="R113" s="11" t="str">
        <f t="shared" si="10"/>
        <v>-</v>
      </c>
      <c r="S113" s="30" t="str">
        <f t="shared" si="11"/>
        <v>-</v>
      </c>
      <c r="T113" s="12" t="str">
        <f t="shared" si="12"/>
        <v>-</v>
      </c>
      <c r="U113" s="13" t="str">
        <f t="shared" si="13"/>
        <v>-</v>
      </c>
      <c r="W113" s="13" t="str">
        <f t="shared" si="9"/>
        <v>-</v>
      </c>
    </row>
    <row r="114" spans="1:23" x14ac:dyDescent="0.3">
      <c r="A114" s="70">
        <v>100009597</v>
      </c>
      <c r="B114" s="71">
        <v>3180</v>
      </c>
      <c r="C114" s="96">
        <v>33984031807</v>
      </c>
      <c r="D114" s="72" t="s">
        <v>64</v>
      </c>
      <c r="E114" s="72" t="s">
        <v>376</v>
      </c>
      <c r="F114" s="73">
        <v>100</v>
      </c>
      <c r="G114" s="73" t="s">
        <v>305</v>
      </c>
      <c r="H114" s="73">
        <v>42</v>
      </c>
      <c r="I114" s="105" t="s">
        <v>851</v>
      </c>
      <c r="J114" s="74">
        <v>0.15248695497566667</v>
      </c>
      <c r="K114" s="2">
        <v>5.480999999999999</v>
      </c>
      <c r="L114" s="2">
        <v>5.176499999999999</v>
      </c>
      <c r="M114" s="75"/>
      <c r="N114" s="2">
        <f t="shared" si="7"/>
        <v>0</v>
      </c>
      <c r="O114" s="106">
        <f t="shared" si="8"/>
        <v>0</v>
      </c>
      <c r="Q114" s="76"/>
      <c r="R114" s="11" t="str">
        <f t="shared" si="10"/>
        <v>-</v>
      </c>
      <c r="S114" s="30" t="str">
        <f t="shared" si="11"/>
        <v>-</v>
      </c>
      <c r="T114" s="12" t="str">
        <f t="shared" si="12"/>
        <v>-</v>
      </c>
      <c r="U114" s="13" t="str">
        <f t="shared" si="13"/>
        <v>-</v>
      </c>
      <c r="W114" s="13" t="str">
        <f t="shared" si="9"/>
        <v>-</v>
      </c>
    </row>
    <row r="115" spans="1:23" x14ac:dyDescent="0.3">
      <c r="A115" s="70">
        <v>100009601</v>
      </c>
      <c r="B115" s="71">
        <v>3220</v>
      </c>
      <c r="C115" s="96">
        <v>33984032200</v>
      </c>
      <c r="D115" s="72" t="s">
        <v>65</v>
      </c>
      <c r="E115" s="72" t="s">
        <v>377</v>
      </c>
      <c r="F115" s="73">
        <v>100</v>
      </c>
      <c r="G115" s="73" t="s">
        <v>305</v>
      </c>
      <c r="H115" s="73">
        <v>36</v>
      </c>
      <c r="I115" s="105" t="s">
        <v>851</v>
      </c>
      <c r="J115" s="74">
        <v>0.19295000000000001</v>
      </c>
      <c r="K115" s="2">
        <v>7.56</v>
      </c>
      <c r="L115" s="2">
        <v>7.1399999999999988</v>
      </c>
      <c r="M115" s="75"/>
      <c r="N115" s="2">
        <f t="shared" si="7"/>
        <v>0</v>
      </c>
      <c r="O115" s="106">
        <f t="shared" si="8"/>
        <v>0</v>
      </c>
      <c r="Q115" s="76"/>
      <c r="R115" s="11" t="str">
        <f t="shared" si="10"/>
        <v>-</v>
      </c>
      <c r="S115" s="30" t="str">
        <f t="shared" si="11"/>
        <v>-</v>
      </c>
      <c r="T115" s="12" t="str">
        <f t="shared" si="12"/>
        <v>-</v>
      </c>
      <c r="U115" s="13" t="str">
        <f t="shared" si="13"/>
        <v>-</v>
      </c>
      <c r="W115" s="13" t="str">
        <f t="shared" si="9"/>
        <v>-</v>
      </c>
    </row>
    <row r="116" spans="1:23" x14ac:dyDescent="0.3">
      <c r="A116" s="70">
        <v>100009456</v>
      </c>
      <c r="B116" s="71">
        <v>1959</v>
      </c>
      <c r="C116" s="96">
        <v>33984019591</v>
      </c>
      <c r="D116" s="72" t="s">
        <v>68</v>
      </c>
      <c r="E116" s="72" t="s">
        <v>383</v>
      </c>
      <c r="F116" s="73">
        <v>60</v>
      </c>
      <c r="G116" s="73" t="s">
        <v>305</v>
      </c>
      <c r="H116" s="73">
        <v>36</v>
      </c>
      <c r="I116" s="105" t="s">
        <v>851</v>
      </c>
      <c r="J116" s="74">
        <v>0.12485</v>
      </c>
      <c r="K116" s="2">
        <v>17.639999999999997</v>
      </c>
      <c r="L116" s="2">
        <v>16.66</v>
      </c>
      <c r="M116" s="75"/>
      <c r="N116" s="2">
        <f t="shared" si="7"/>
        <v>0</v>
      </c>
      <c r="O116" s="106">
        <f t="shared" si="8"/>
        <v>0</v>
      </c>
      <c r="Q116" s="76"/>
      <c r="R116" s="11" t="str">
        <f t="shared" si="10"/>
        <v>-</v>
      </c>
      <c r="S116" s="30" t="str">
        <f t="shared" si="11"/>
        <v>-</v>
      </c>
      <c r="T116" s="12" t="str">
        <f t="shared" si="12"/>
        <v>-</v>
      </c>
      <c r="U116" s="13" t="str">
        <f t="shared" si="13"/>
        <v>-</v>
      </c>
      <c r="W116" s="13" t="str">
        <f t="shared" si="9"/>
        <v>-</v>
      </c>
    </row>
    <row r="117" spans="1:23" x14ac:dyDescent="0.3">
      <c r="A117" s="77">
        <v>100009120</v>
      </c>
      <c r="B117" s="78">
        <v>311</v>
      </c>
      <c r="C117" s="97">
        <v>33984003118</v>
      </c>
      <c r="D117" s="79" t="s">
        <v>390</v>
      </c>
      <c r="E117" s="79" t="s">
        <v>391</v>
      </c>
      <c r="F117" s="73">
        <v>100</v>
      </c>
      <c r="G117" s="73" t="s">
        <v>300</v>
      </c>
      <c r="H117" s="73"/>
      <c r="I117" s="105" t="s">
        <v>851</v>
      </c>
      <c r="J117" s="74">
        <v>0.12485</v>
      </c>
      <c r="K117" s="2">
        <v>9.2609999999999992</v>
      </c>
      <c r="L117" s="2">
        <v>8.7464999999999993</v>
      </c>
      <c r="M117" s="75"/>
      <c r="N117" s="2">
        <f t="shared" si="7"/>
        <v>0</v>
      </c>
      <c r="O117" s="106">
        <f t="shared" si="8"/>
        <v>0</v>
      </c>
      <c r="Q117" s="76"/>
      <c r="R117" s="11" t="str">
        <f t="shared" si="10"/>
        <v>-</v>
      </c>
      <c r="S117" s="30" t="str">
        <f t="shared" si="11"/>
        <v>-</v>
      </c>
      <c r="T117" s="12" t="str">
        <f t="shared" si="12"/>
        <v>-</v>
      </c>
      <c r="U117" s="13" t="str">
        <f t="shared" si="13"/>
        <v>-</v>
      </c>
      <c r="W117" s="13" t="str">
        <f t="shared" si="9"/>
        <v>-</v>
      </c>
    </row>
    <row r="118" spans="1:23" x14ac:dyDescent="0.3">
      <c r="A118" s="70">
        <v>100009184</v>
      </c>
      <c r="B118" s="71">
        <v>830</v>
      </c>
      <c r="C118" s="96">
        <v>33984008304</v>
      </c>
      <c r="D118" s="72" t="s">
        <v>74</v>
      </c>
      <c r="E118" s="72" t="s">
        <v>397</v>
      </c>
      <c r="F118" s="73">
        <v>100</v>
      </c>
      <c r="G118" s="73" t="s">
        <v>300</v>
      </c>
      <c r="H118" s="73">
        <v>20</v>
      </c>
      <c r="I118" s="105" t="s">
        <v>851</v>
      </c>
      <c r="J118" s="74">
        <v>0.332835875277675</v>
      </c>
      <c r="K118" s="2">
        <v>11.339999999999998</v>
      </c>
      <c r="L118" s="2">
        <v>10.709999999999999</v>
      </c>
      <c r="M118" s="75"/>
      <c r="N118" s="2">
        <f t="shared" si="7"/>
        <v>0</v>
      </c>
      <c r="O118" s="106">
        <f t="shared" si="8"/>
        <v>0</v>
      </c>
      <c r="Q118" s="76"/>
      <c r="R118" s="11" t="str">
        <f t="shared" si="10"/>
        <v>-</v>
      </c>
      <c r="S118" s="30" t="str">
        <f t="shared" si="11"/>
        <v>-</v>
      </c>
      <c r="T118" s="12" t="str">
        <f t="shared" si="12"/>
        <v>-</v>
      </c>
      <c r="U118" s="13" t="str">
        <f t="shared" si="13"/>
        <v>-</v>
      </c>
      <c r="W118" s="13" t="str">
        <f t="shared" si="9"/>
        <v>-</v>
      </c>
    </row>
    <row r="119" spans="1:23" x14ac:dyDescent="0.3">
      <c r="A119" s="70">
        <v>100065249</v>
      </c>
      <c r="B119" s="71">
        <v>53596</v>
      </c>
      <c r="C119" s="96">
        <v>33984535961</v>
      </c>
      <c r="D119" s="72" t="s">
        <v>78</v>
      </c>
      <c r="E119" s="72" t="s">
        <v>402</v>
      </c>
      <c r="F119" s="73">
        <v>120</v>
      </c>
      <c r="G119" s="73" t="s">
        <v>305</v>
      </c>
      <c r="H119" s="73">
        <v>36</v>
      </c>
      <c r="I119" s="105" t="s">
        <v>851</v>
      </c>
      <c r="J119" s="74">
        <v>0.17024999999999998</v>
      </c>
      <c r="K119" s="2">
        <v>20.79</v>
      </c>
      <c r="L119" s="2">
        <v>19.634999999999998</v>
      </c>
      <c r="M119" s="75"/>
      <c r="N119" s="2">
        <f t="shared" si="7"/>
        <v>0</v>
      </c>
      <c r="O119" s="106">
        <f t="shared" si="8"/>
        <v>0</v>
      </c>
      <c r="Q119" s="76"/>
      <c r="R119" s="11" t="str">
        <f t="shared" si="10"/>
        <v>-</v>
      </c>
      <c r="S119" s="30" t="str">
        <f t="shared" si="11"/>
        <v>-</v>
      </c>
      <c r="T119" s="12" t="str">
        <f t="shared" si="12"/>
        <v>-</v>
      </c>
      <c r="U119" s="13" t="str">
        <f t="shared" si="13"/>
        <v>-</v>
      </c>
      <c r="W119" s="13" t="str">
        <f t="shared" si="9"/>
        <v>-</v>
      </c>
    </row>
    <row r="120" spans="1:23" x14ac:dyDescent="0.3">
      <c r="A120" s="70">
        <v>100009274</v>
      </c>
      <c r="B120" s="71">
        <v>1101</v>
      </c>
      <c r="C120" s="96">
        <v>33984011014</v>
      </c>
      <c r="D120" s="72" t="s">
        <v>80</v>
      </c>
      <c r="E120" s="72" t="s">
        <v>404</v>
      </c>
      <c r="F120" s="73">
        <v>250</v>
      </c>
      <c r="G120" s="73" t="s">
        <v>305</v>
      </c>
      <c r="H120" s="73">
        <v>25</v>
      </c>
      <c r="I120" s="105" t="s">
        <v>851</v>
      </c>
      <c r="J120" s="74">
        <v>0.28375</v>
      </c>
      <c r="K120" s="2">
        <v>10.331999999999999</v>
      </c>
      <c r="L120" s="2">
        <v>9.7579999999999973</v>
      </c>
      <c r="M120" s="75"/>
      <c r="N120" s="2">
        <f t="shared" si="7"/>
        <v>0</v>
      </c>
      <c r="O120" s="106">
        <f t="shared" si="8"/>
        <v>0</v>
      </c>
      <c r="Q120" s="76"/>
      <c r="R120" s="11" t="str">
        <f t="shared" si="10"/>
        <v>-</v>
      </c>
      <c r="S120" s="30" t="str">
        <f t="shared" si="11"/>
        <v>-</v>
      </c>
      <c r="T120" s="12" t="str">
        <f t="shared" si="12"/>
        <v>-</v>
      </c>
      <c r="U120" s="13" t="str">
        <f t="shared" si="13"/>
        <v>-</v>
      </c>
      <c r="W120" s="13" t="str">
        <f t="shared" si="9"/>
        <v>-</v>
      </c>
    </row>
    <row r="121" spans="1:23" x14ac:dyDescent="0.3">
      <c r="A121" s="70">
        <v>100009437</v>
      </c>
      <c r="B121" s="71">
        <v>1860</v>
      </c>
      <c r="C121" s="96">
        <v>33984018600</v>
      </c>
      <c r="D121" s="72" t="s">
        <v>83</v>
      </c>
      <c r="E121" s="72" t="s">
        <v>407</v>
      </c>
      <c r="F121" s="73">
        <v>100</v>
      </c>
      <c r="G121" s="73" t="s">
        <v>305</v>
      </c>
      <c r="H121" s="73">
        <v>42</v>
      </c>
      <c r="I121" s="105" t="s">
        <v>851</v>
      </c>
      <c r="J121" s="74">
        <v>0.15890000000000001</v>
      </c>
      <c r="K121" s="2">
        <v>5.480999999999999</v>
      </c>
      <c r="L121" s="2">
        <v>5.176499999999999</v>
      </c>
      <c r="M121" s="75"/>
      <c r="N121" s="2">
        <f t="shared" si="7"/>
        <v>0</v>
      </c>
      <c r="O121" s="106">
        <f t="shared" si="8"/>
        <v>0</v>
      </c>
      <c r="Q121" s="76"/>
      <c r="R121" s="11" t="str">
        <f t="shared" si="10"/>
        <v>-</v>
      </c>
      <c r="S121" s="30" t="str">
        <f t="shared" si="11"/>
        <v>-</v>
      </c>
      <c r="T121" s="12" t="str">
        <f t="shared" si="12"/>
        <v>-</v>
      </c>
      <c r="U121" s="13" t="str">
        <f t="shared" si="13"/>
        <v>-</v>
      </c>
      <c r="W121" s="13" t="str">
        <f t="shared" si="9"/>
        <v>-</v>
      </c>
    </row>
    <row r="122" spans="1:23" x14ac:dyDescent="0.3">
      <c r="A122" s="70">
        <v>100009435</v>
      </c>
      <c r="B122" s="71">
        <v>1851</v>
      </c>
      <c r="C122" s="96">
        <v>33984018518</v>
      </c>
      <c r="D122" s="72" t="s">
        <v>84</v>
      </c>
      <c r="E122" s="72" t="s">
        <v>408</v>
      </c>
      <c r="F122" s="73">
        <v>100</v>
      </c>
      <c r="G122" s="73" t="s">
        <v>300</v>
      </c>
      <c r="H122" s="73">
        <v>23</v>
      </c>
      <c r="I122" s="105" t="s">
        <v>851</v>
      </c>
      <c r="J122" s="74">
        <v>0.22700000000000001</v>
      </c>
      <c r="K122" s="2">
        <v>10.331999999999999</v>
      </c>
      <c r="L122" s="2">
        <v>9.7579999999999973</v>
      </c>
      <c r="M122" s="75"/>
      <c r="N122" s="2">
        <f t="shared" si="7"/>
        <v>0</v>
      </c>
      <c r="O122" s="106">
        <f t="shared" si="8"/>
        <v>0</v>
      </c>
      <c r="Q122" s="76"/>
      <c r="R122" s="11" t="str">
        <f t="shared" si="10"/>
        <v>-</v>
      </c>
      <c r="S122" s="30" t="str">
        <f t="shared" si="11"/>
        <v>-</v>
      </c>
      <c r="T122" s="12" t="str">
        <f t="shared" si="12"/>
        <v>-</v>
      </c>
      <c r="U122" s="13" t="str">
        <f t="shared" si="13"/>
        <v>-</v>
      </c>
      <c r="W122" s="13" t="str">
        <f t="shared" si="9"/>
        <v>-</v>
      </c>
    </row>
    <row r="123" spans="1:23" x14ac:dyDescent="0.3">
      <c r="A123" s="70">
        <v>100009441</v>
      </c>
      <c r="B123" s="71">
        <v>1911</v>
      </c>
      <c r="C123" s="96">
        <v>33984019119</v>
      </c>
      <c r="D123" s="72" t="s">
        <v>85</v>
      </c>
      <c r="E123" s="72" t="s">
        <v>410</v>
      </c>
      <c r="F123" s="73">
        <v>100</v>
      </c>
      <c r="G123" s="73" t="s">
        <v>300</v>
      </c>
      <c r="H123" s="73">
        <v>23</v>
      </c>
      <c r="I123" s="105" t="s">
        <v>851</v>
      </c>
      <c r="J123" s="74">
        <v>0.23835000000000001</v>
      </c>
      <c r="K123" s="2">
        <v>17.009999999999998</v>
      </c>
      <c r="L123" s="2">
        <v>16.064999999999998</v>
      </c>
      <c r="M123" s="75"/>
      <c r="N123" s="2">
        <f t="shared" si="7"/>
        <v>0</v>
      </c>
      <c r="O123" s="106">
        <f t="shared" si="8"/>
        <v>0</v>
      </c>
      <c r="Q123" s="76"/>
      <c r="R123" s="11" t="str">
        <f t="shared" si="10"/>
        <v>-</v>
      </c>
      <c r="S123" s="30" t="str">
        <f t="shared" si="11"/>
        <v>-</v>
      </c>
      <c r="T123" s="12" t="str">
        <f t="shared" si="12"/>
        <v>-</v>
      </c>
      <c r="U123" s="13" t="str">
        <f t="shared" si="13"/>
        <v>-</v>
      </c>
      <c r="W123" s="13" t="str">
        <f t="shared" si="9"/>
        <v>-</v>
      </c>
    </row>
    <row r="124" spans="1:23" x14ac:dyDescent="0.3">
      <c r="A124" s="70">
        <v>100009107</v>
      </c>
      <c r="B124" s="71">
        <v>201</v>
      </c>
      <c r="C124" s="96">
        <v>33984002012</v>
      </c>
      <c r="D124" s="72" t="s">
        <v>87</v>
      </c>
      <c r="E124" s="72" t="s">
        <v>414</v>
      </c>
      <c r="F124" s="73">
        <v>250</v>
      </c>
      <c r="G124" s="73" t="s">
        <v>305</v>
      </c>
      <c r="H124" s="73">
        <v>20</v>
      </c>
      <c r="I124" s="105" t="s">
        <v>851</v>
      </c>
      <c r="J124" s="74">
        <v>0.44265000000000004</v>
      </c>
      <c r="K124" s="2">
        <v>20.16</v>
      </c>
      <c r="L124" s="2">
        <v>19.04</v>
      </c>
      <c r="M124" s="75"/>
      <c r="N124" s="2">
        <f t="shared" si="7"/>
        <v>0</v>
      </c>
      <c r="O124" s="106">
        <f t="shared" si="8"/>
        <v>0</v>
      </c>
      <c r="Q124" s="76"/>
      <c r="R124" s="11" t="str">
        <f t="shared" si="10"/>
        <v>-</v>
      </c>
      <c r="S124" s="30" t="str">
        <f t="shared" si="11"/>
        <v>-</v>
      </c>
      <c r="T124" s="12" t="str">
        <f t="shared" si="12"/>
        <v>-</v>
      </c>
      <c r="U124" s="13" t="str">
        <f t="shared" si="13"/>
        <v>-</v>
      </c>
      <c r="W124" s="13" t="str">
        <f t="shared" si="9"/>
        <v>-</v>
      </c>
    </row>
    <row r="125" spans="1:23" x14ac:dyDescent="0.3">
      <c r="A125" s="70">
        <v>100009288</v>
      </c>
      <c r="B125" s="71">
        <v>1161</v>
      </c>
      <c r="C125" s="96">
        <v>33984011618</v>
      </c>
      <c r="D125" s="72" t="s">
        <v>89</v>
      </c>
      <c r="E125" s="72" t="s">
        <v>417</v>
      </c>
      <c r="F125" s="73">
        <v>100</v>
      </c>
      <c r="G125" s="73" t="s">
        <v>305</v>
      </c>
      <c r="H125" s="73">
        <v>23</v>
      </c>
      <c r="I125" s="105" t="s">
        <v>851</v>
      </c>
      <c r="J125" s="74">
        <v>0.30645</v>
      </c>
      <c r="K125" s="2">
        <v>15.497999999999999</v>
      </c>
      <c r="L125" s="2">
        <v>14.636999999999999</v>
      </c>
      <c r="M125" s="75"/>
      <c r="N125" s="2">
        <f t="shared" si="7"/>
        <v>0</v>
      </c>
      <c r="O125" s="106">
        <f t="shared" si="8"/>
        <v>0</v>
      </c>
      <c r="Q125" s="76"/>
      <c r="R125" s="11" t="str">
        <f t="shared" si="10"/>
        <v>-</v>
      </c>
      <c r="S125" s="30" t="str">
        <f t="shared" si="11"/>
        <v>-</v>
      </c>
      <c r="T125" s="12" t="str">
        <f t="shared" si="12"/>
        <v>-</v>
      </c>
      <c r="U125" s="13" t="str">
        <f t="shared" si="13"/>
        <v>-</v>
      </c>
      <c r="W125" s="13" t="str">
        <f t="shared" si="9"/>
        <v>-</v>
      </c>
    </row>
    <row r="126" spans="1:23" x14ac:dyDescent="0.3">
      <c r="A126" s="70">
        <v>100009257</v>
      </c>
      <c r="B126" s="71">
        <v>1049</v>
      </c>
      <c r="C126" s="96">
        <v>33984010499</v>
      </c>
      <c r="D126" s="72" t="s">
        <v>94</v>
      </c>
      <c r="E126" s="72" t="s">
        <v>429</v>
      </c>
      <c r="F126" s="73">
        <v>250</v>
      </c>
      <c r="G126" s="73" t="s">
        <v>300</v>
      </c>
      <c r="H126" s="73">
        <v>16</v>
      </c>
      <c r="I126" s="105" t="s">
        <v>851</v>
      </c>
      <c r="J126" s="74">
        <v>0.52415858548659378</v>
      </c>
      <c r="K126" s="2">
        <v>27.341999999999999</v>
      </c>
      <c r="L126" s="2">
        <v>25.823</v>
      </c>
      <c r="M126" s="75"/>
      <c r="N126" s="2">
        <f t="shared" si="7"/>
        <v>0</v>
      </c>
      <c r="O126" s="106">
        <f t="shared" si="8"/>
        <v>0</v>
      </c>
      <c r="Q126" s="76"/>
      <c r="R126" s="11" t="str">
        <f t="shared" si="10"/>
        <v>-</v>
      </c>
      <c r="S126" s="30" t="str">
        <f t="shared" si="11"/>
        <v>-</v>
      </c>
      <c r="T126" s="12" t="str">
        <f t="shared" si="12"/>
        <v>-</v>
      </c>
      <c r="U126" s="13" t="str">
        <f t="shared" si="13"/>
        <v>-</v>
      </c>
      <c r="W126" s="13" t="str">
        <f t="shared" si="9"/>
        <v>-</v>
      </c>
    </row>
    <row r="127" spans="1:23" x14ac:dyDescent="0.3">
      <c r="A127" s="84">
        <v>100009260</v>
      </c>
      <c r="B127" s="85">
        <v>1052</v>
      </c>
      <c r="C127" s="100">
        <v>33984010529</v>
      </c>
      <c r="D127" s="86" t="s">
        <v>96</v>
      </c>
      <c r="E127" s="86" t="s">
        <v>431</v>
      </c>
      <c r="F127" s="73">
        <v>90</v>
      </c>
      <c r="G127" s="73" t="s">
        <v>305</v>
      </c>
      <c r="H127" s="73"/>
      <c r="I127" s="105" t="s">
        <v>851</v>
      </c>
      <c r="J127" s="74">
        <v>0.43130000000000002</v>
      </c>
      <c r="K127" s="2">
        <v>13.86</v>
      </c>
      <c r="L127" s="2">
        <v>13.089999999999998</v>
      </c>
      <c r="M127" s="75"/>
      <c r="N127" s="2">
        <f t="shared" si="7"/>
        <v>0</v>
      </c>
      <c r="O127" s="106">
        <f t="shared" si="8"/>
        <v>0</v>
      </c>
      <c r="Q127" s="76"/>
      <c r="R127" s="11" t="str">
        <f t="shared" si="10"/>
        <v>-</v>
      </c>
      <c r="S127" s="30" t="str">
        <f t="shared" si="11"/>
        <v>-</v>
      </c>
      <c r="T127" s="12" t="str">
        <f t="shared" si="12"/>
        <v>-</v>
      </c>
      <c r="U127" s="13" t="str">
        <f t="shared" si="13"/>
        <v>-</v>
      </c>
      <c r="W127" s="13" t="str">
        <f t="shared" si="9"/>
        <v>-</v>
      </c>
    </row>
    <row r="128" spans="1:23" x14ac:dyDescent="0.3">
      <c r="A128" s="70">
        <v>100009605</v>
      </c>
      <c r="B128" s="71">
        <v>3261</v>
      </c>
      <c r="C128" s="96">
        <v>33984032613</v>
      </c>
      <c r="D128" s="72" t="s">
        <v>99</v>
      </c>
      <c r="E128" s="72" t="s">
        <v>445</v>
      </c>
      <c r="F128" s="73">
        <v>250</v>
      </c>
      <c r="G128" s="73" t="s">
        <v>300</v>
      </c>
      <c r="H128" s="73">
        <v>12</v>
      </c>
      <c r="I128" s="105" t="s">
        <v>851</v>
      </c>
      <c r="J128" s="74">
        <v>0.33495953805496875</v>
      </c>
      <c r="K128" s="2">
        <v>19.088999999999999</v>
      </c>
      <c r="L128" s="2">
        <v>18.028499999999998</v>
      </c>
      <c r="M128" s="75"/>
      <c r="N128" s="2">
        <f t="shared" si="7"/>
        <v>0</v>
      </c>
      <c r="O128" s="106">
        <f t="shared" si="8"/>
        <v>0</v>
      </c>
      <c r="Q128" s="76"/>
      <c r="R128" s="11" t="str">
        <f t="shared" si="10"/>
        <v>-</v>
      </c>
      <c r="S128" s="30" t="str">
        <f t="shared" si="11"/>
        <v>-</v>
      </c>
      <c r="T128" s="12" t="str">
        <f t="shared" si="12"/>
        <v>-</v>
      </c>
      <c r="U128" s="13" t="str">
        <f t="shared" si="13"/>
        <v>-</v>
      </c>
      <c r="W128" s="13" t="str">
        <f t="shared" si="9"/>
        <v>-</v>
      </c>
    </row>
    <row r="129" spans="1:23" x14ac:dyDescent="0.3">
      <c r="A129" s="70">
        <v>100009607</v>
      </c>
      <c r="B129" s="71">
        <v>3280</v>
      </c>
      <c r="C129" s="96">
        <v>33984032804</v>
      </c>
      <c r="D129" s="72" t="s">
        <v>101</v>
      </c>
      <c r="E129" s="72" t="s">
        <v>447</v>
      </c>
      <c r="F129" s="73">
        <v>100</v>
      </c>
      <c r="G129" s="73" t="s">
        <v>300</v>
      </c>
      <c r="H129" s="73">
        <v>20</v>
      </c>
      <c r="I129" s="105" t="s">
        <v>851</v>
      </c>
      <c r="J129" s="74">
        <v>0.332835875277675</v>
      </c>
      <c r="K129" s="2">
        <v>12.914999999999999</v>
      </c>
      <c r="L129" s="2">
        <v>12.1975</v>
      </c>
      <c r="M129" s="75"/>
      <c r="N129" s="2">
        <f t="shared" si="7"/>
        <v>0</v>
      </c>
      <c r="O129" s="106">
        <f t="shared" si="8"/>
        <v>0</v>
      </c>
      <c r="Q129" s="76"/>
      <c r="R129" s="11" t="str">
        <f t="shared" si="10"/>
        <v>-</v>
      </c>
      <c r="S129" s="30" t="str">
        <f t="shared" si="11"/>
        <v>-</v>
      </c>
      <c r="T129" s="12" t="str">
        <f t="shared" si="12"/>
        <v>-</v>
      </c>
      <c r="U129" s="13" t="str">
        <f t="shared" si="13"/>
        <v>-</v>
      </c>
      <c r="W129" s="13" t="str">
        <f t="shared" si="9"/>
        <v>-</v>
      </c>
    </row>
    <row r="130" spans="1:23" x14ac:dyDescent="0.3">
      <c r="A130" s="70">
        <v>100009513</v>
      </c>
      <c r="B130" s="71">
        <v>2318</v>
      </c>
      <c r="C130" s="96">
        <v>33984023185</v>
      </c>
      <c r="D130" s="72" t="s">
        <v>102</v>
      </c>
      <c r="E130" s="72" t="s">
        <v>451</v>
      </c>
      <c r="F130" s="73">
        <v>50</v>
      </c>
      <c r="G130" s="73" t="s">
        <v>300</v>
      </c>
      <c r="H130" s="73">
        <v>30</v>
      </c>
      <c r="I130" s="105" t="s">
        <v>851</v>
      </c>
      <c r="J130" s="74">
        <v>0.20429999999999998</v>
      </c>
      <c r="K130" s="2">
        <v>10.709999999999999</v>
      </c>
      <c r="L130" s="2">
        <v>10.114999999999998</v>
      </c>
      <c r="M130" s="75"/>
      <c r="N130" s="2">
        <f t="shared" si="7"/>
        <v>0</v>
      </c>
      <c r="O130" s="106">
        <f t="shared" si="8"/>
        <v>0</v>
      </c>
      <c r="Q130" s="76"/>
      <c r="R130" s="11" t="str">
        <f t="shared" si="10"/>
        <v>-</v>
      </c>
      <c r="S130" s="30" t="str">
        <f t="shared" si="11"/>
        <v>-</v>
      </c>
      <c r="T130" s="12" t="str">
        <f t="shared" si="12"/>
        <v>-</v>
      </c>
      <c r="U130" s="13" t="str">
        <f t="shared" si="13"/>
        <v>-</v>
      </c>
      <c r="W130" s="13" t="str">
        <f t="shared" ref="W130:W189" si="14">IFERROR(IF(U130+O130=0, "-", IF(U130&gt;0, U130+O130, "-")), "-")</f>
        <v>-</v>
      </c>
    </row>
    <row r="131" spans="1:23" x14ac:dyDescent="0.3">
      <c r="A131" s="70">
        <v>100009523</v>
      </c>
      <c r="B131" s="71">
        <v>2380</v>
      </c>
      <c r="C131" s="96">
        <v>33984023802</v>
      </c>
      <c r="D131" s="72" t="s">
        <v>103</v>
      </c>
      <c r="E131" s="72" t="s">
        <v>454</v>
      </c>
      <c r="F131" s="73">
        <v>100</v>
      </c>
      <c r="G131" s="73" t="s">
        <v>305</v>
      </c>
      <c r="H131" s="73">
        <v>25</v>
      </c>
      <c r="I131" s="105" t="s">
        <v>851</v>
      </c>
      <c r="J131" s="74">
        <v>0.28375</v>
      </c>
      <c r="K131" s="2">
        <v>6.93</v>
      </c>
      <c r="L131" s="2">
        <v>6.544999999999999</v>
      </c>
      <c r="M131" s="75"/>
      <c r="N131" s="2">
        <f t="shared" ref="N131:N194" si="15">M131*K131</f>
        <v>0</v>
      </c>
      <c r="O131" s="106">
        <f t="shared" ref="O131:O194" si="16">IF(M131&gt;143,M131*L131,M131*K131)</f>
        <v>0</v>
      </c>
      <c r="Q131" s="76"/>
      <c r="R131" s="11" t="str">
        <f t="shared" ref="R131:R190" si="17">IFERROR(IF($R$2*J131=0, "-", $R$2*J131), "-")</f>
        <v>-</v>
      </c>
      <c r="S131" s="30" t="str">
        <f t="shared" ref="S131:S190" si="18">IFERROR(IF(R131&gt;0,M131+R131,"-"),"-")</f>
        <v>-</v>
      </c>
      <c r="T131" s="12" t="str">
        <f t="shared" ref="T131:T190" si="19">IF(M131&gt;0,M131*J131, "-")</f>
        <v>-</v>
      </c>
      <c r="U131" s="13" t="str">
        <f t="shared" ref="U131:U190" si="20">IFERROR(IF($R$2&gt;0, $R$2*T131, "-"), "-")</f>
        <v>-</v>
      </c>
      <c r="W131" s="13" t="str">
        <f t="shared" si="14"/>
        <v>-</v>
      </c>
    </row>
    <row r="132" spans="1:23" x14ac:dyDescent="0.3">
      <c r="A132" s="70">
        <v>100009525</v>
      </c>
      <c r="B132" s="71">
        <v>2400</v>
      </c>
      <c r="C132" s="96">
        <v>33984024007</v>
      </c>
      <c r="D132" s="72" t="s">
        <v>104</v>
      </c>
      <c r="E132" s="72" t="s">
        <v>456</v>
      </c>
      <c r="F132" s="73">
        <v>100</v>
      </c>
      <c r="G132" s="73" t="s">
        <v>305</v>
      </c>
      <c r="H132" s="73">
        <v>23</v>
      </c>
      <c r="I132" s="105" t="s">
        <v>851</v>
      </c>
      <c r="J132" s="74">
        <v>0.32915</v>
      </c>
      <c r="K132" s="2">
        <v>9.9540000000000006</v>
      </c>
      <c r="L132" s="2">
        <v>9.4009999999999998</v>
      </c>
      <c r="M132" s="75"/>
      <c r="N132" s="2">
        <f t="shared" si="15"/>
        <v>0</v>
      </c>
      <c r="O132" s="106">
        <f t="shared" si="16"/>
        <v>0</v>
      </c>
      <c r="Q132" s="76"/>
      <c r="R132" s="11" t="str">
        <f t="shared" si="17"/>
        <v>-</v>
      </c>
      <c r="S132" s="30" t="str">
        <f t="shared" si="18"/>
        <v>-</v>
      </c>
      <c r="T132" s="12" t="str">
        <f t="shared" si="19"/>
        <v>-</v>
      </c>
      <c r="U132" s="13" t="str">
        <f t="shared" si="20"/>
        <v>-</v>
      </c>
      <c r="W132" s="13" t="str">
        <f t="shared" si="14"/>
        <v>-</v>
      </c>
    </row>
    <row r="133" spans="1:23" x14ac:dyDescent="0.3">
      <c r="A133" s="70">
        <v>100009527</v>
      </c>
      <c r="B133" s="71">
        <v>2420</v>
      </c>
      <c r="C133" s="96">
        <v>33984024205</v>
      </c>
      <c r="D133" s="72" t="s">
        <v>105</v>
      </c>
      <c r="E133" s="72" t="s">
        <v>458</v>
      </c>
      <c r="F133" s="73">
        <v>90</v>
      </c>
      <c r="G133" s="73" t="s">
        <v>305</v>
      </c>
      <c r="H133" s="73">
        <v>20</v>
      </c>
      <c r="I133" s="105" t="s">
        <v>851</v>
      </c>
      <c r="J133" s="74">
        <v>0.41520824966967501</v>
      </c>
      <c r="K133" s="2">
        <v>12.222</v>
      </c>
      <c r="L133" s="2">
        <v>11.542999999999997</v>
      </c>
      <c r="M133" s="75"/>
      <c r="N133" s="2">
        <f t="shared" si="15"/>
        <v>0</v>
      </c>
      <c r="O133" s="106">
        <f t="shared" si="16"/>
        <v>0</v>
      </c>
      <c r="Q133" s="76"/>
      <c r="R133" s="11" t="str">
        <f t="shared" si="17"/>
        <v>-</v>
      </c>
      <c r="S133" s="30" t="str">
        <f t="shared" si="18"/>
        <v>-</v>
      </c>
      <c r="T133" s="12" t="str">
        <f t="shared" si="19"/>
        <v>-</v>
      </c>
      <c r="U133" s="13" t="str">
        <f t="shared" si="20"/>
        <v>-</v>
      </c>
      <c r="W133" s="13" t="str">
        <f t="shared" si="14"/>
        <v>-</v>
      </c>
    </row>
    <row r="134" spans="1:23" x14ac:dyDescent="0.3">
      <c r="A134" s="70">
        <v>100009824</v>
      </c>
      <c r="B134" s="71">
        <v>36204</v>
      </c>
      <c r="C134" s="96">
        <v>33984362048</v>
      </c>
      <c r="D134" s="72" t="s">
        <v>106</v>
      </c>
      <c r="E134" s="72" t="s">
        <v>462</v>
      </c>
      <c r="F134" s="73">
        <v>30</v>
      </c>
      <c r="G134" s="73" t="s">
        <v>330</v>
      </c>
      <c r="H134" s="73">
        <v>36</v>
      </c>
      <c r="I134" s="105" t="s">
        <v>851</v>
      </c>
      <c r="J134" s="74">
        <v>0.12485</v>
      </c>
      <c r="K134" s="2">
        <v>17.639999999999997</v>
      </c>
      <c r="L134" s="2">
        <v>16.66</v>
      </c>
      <c r="M134" s="75"/>
      <c r="N134" s="2">
        <f t="shared" si="15"/>
        <v>0</v>
      </c>
      <c r="O134" s="106">
        <f t="shared" si="16"/>
        <v>0</v>
      </c>
      <c r="Q134" s="76"/>
      <c r="R134" s="11" t="str">
        <f t="shared" si="17"/>
        <v>-</v>
      </c>
      <c r="S134" s="30" t="str">
        <f t="shared" si="18"/>
        <v>-</v>
      </c>
      <c r="T134" s="12" t="str">
        <f t="shared" si="19"/>
        <v>-</v>
      </c>
      <c r="U134" s="13" t="str">
        <f t="shared" si="20"/>
        <v>-</v>
      </c>
      <c r="W134" s="13" t="str">
        <f t="shared" si="14"/>
        <v>-</v>
      </c>
    </row>
    <row r="135" spans="1:23" x14ac:dyDescent="0.3">
      <c r="A135" s="70">
        <v>100009386</v>
      </c>
      <c r="B135" s="71">
        <v>1677</v>
      </c>
      <c r="C135" s="96">
        <v>33984016774</v>
      </c>
      <c r="D135" s="72" t="s">
        <v>108</v>
      </c>
      <c r="E135" s="72" t="s">
        <v>467</v>
      </c>
      <c r="F135" s="73">
        <v>30</v>
      </c>
      <c r="G135" s="73" t="s">
        <v>330</v>
      </c>
      <c r="H135" s="73">
        <v>25</v>
      </c>
      <c r="I135" s="105" t="s">
        <v>851</v>
      </c>
      <c r="J135" s="74">
        <v>0.19563438918100001</v>
      </c>
      <c r="K135" s="2">
        <v>18.27</v>
      </c>
      <c r="L135" s="2">
        <v>17.254999999999999</v>
      </c>
      <c r="M135" s="75"/>
      <c r="N135" s="2">
        <f t="shared" si="15"/>
        <v>0</v>
      </c>
      <c r="O135" s="106">
        <f t="shared" si="16"/>
        <v>0</v>
      </c>
      <c r="Q135" s="76"/>
      <c r="R135" s="11" t="str">
        <f t="shared" si="17"/>
        <v>-</v>
      </c>
      <c r="S135" s="30" t="str">
        <f t="shared" si="18"/>
        <v>-</v>
      </c>
      <c r="T135" s="12" t="str">
        <f t="shared" si="19"/>
        <v>-</v>
      </c>
      <c r="U135" s="13" t="str">
        <f t="shared" si="20"/>
        <v>-</v>
      </c>
      <c r="W135" s="13" t="str">
        <f t="shared" si="14"/>
        <v>-</v>
      </c>
    </row>
    <row r="136" spans="1:23" x14ac:dyDescent="0.3">
      <c r="A136" s="70">
        <v>100009073</v>
      </c>
      <c r="B136" s="71">
        <v>28</v>
      </c>
      <c r="C136" s="96">
        <v>33984000285</v>
      </c>
      <c r="D136" s="72" t="s">
        <v>468</v>
      </c>
      <c r="E136" s="72" t="s">
        <v>469</v>
      </c>
      <c r="F136" s="73">
        <v>120</v>
      </c>
      <c r="G136" s="73" t="s">
        <v>305</v>
      </c>
      <c r="H136" s="73">
        <v>20</v>
      </c>
      <c r="I136" s="105" t="s">
        <v>851</v>
      </c>
      <c r="J136" s="74">
        <v>0.5675</v>
      </c>
      <c r="K136" s="2">
        <v>15.749999999999998</v>
      </c>
      <c r="L136" s="2">
        <v>14.874999999999998</v>
      </c>
      <c r="M136" s="75"/>
      <c r="N136" s="2">
        <f t="shared" si="15"/>
        <v>0</v>
      </c>
      <c r="O136" s="106">
        <f t="shared" si="16"/>
        <v>0</v>
      </c>
      <c r="Q136" s="76"/>
      <c r="R136" s="11" t="str">
        <f t="shared" si="17"/>
        <v>-</v>
      </c>
      <c r="S136" s="30" t="str">
        <f t="shared" si="18"/>
        <v>-</v>
      </c>
      <c r="T136" s="12" t="str">
        <f t="shared" si="19"/>
        <v>-</v>
      </c>
      <c r="U136" s="13" t="str">
        <f t="shared" si="20"/>
        <v>-</v>
      </c>
      <c r="W136" s="13" t="str">
        <f t="shared" si="14"/>
        <v>-</v>
      </c>
    </row>
    <row r="137" spans="1:23" x14ac:dyDescent="0.3">
      <c r="A137" s="70">
        <v>100009137</v>
      </c>
      <c r="B137" s="71">
        <v>417</v>
      </c>
      <c r="C137" s="96">
        <v>33984004177</v>
      </c>
      <c r="D137" s="72" t="s">
        <v>471</v>
      </c>
      <c r="E137" s="72" t="s">
        <v>472</v>
      </c>
      <c r="F137" s="73">
        <v>240</v>
      </c>
      <c r="G137" s="73" t="s">
        <v>305</v>
      </c>
      <c r="H137" s="73">
        <v>12</v>
      </c>
      <c r="I137" s="105" t="s">
        <v>851</v>
      </c>
      <c r="J137" s="74">
        <v>0.87395</v>
      </c>
      <c r="K137" s="2">
        <v>19.278000000000002</v>
      </c>
      <c r="L137" s="2">
        <v>18.207000000000001</v>
      </c>
      <c r="M137" s="75"/>
      <c r="N137" s="2">
        <f t="shared" si="15"/>
        <v>0</v>
      </c>
      <c r="O137" s="106">
        <f t="shared" si="16"/>
        <v>0</v>
      </c>
      <c r="Q137" s="76"/>
      <c r="R137" s="11" t="str">
        <f t="shared" si="17"/>
        <v>-</v>
      </c>
      <c r="S137" s="30" t="str">
        <f t="shared" si="18"/>
        <v>-</v>
      </c>
      <c r="T137" s="12" t="str">
        <f t="shared" si="19"/>
        <v>-</v>
      </c>
      <c r="U137" s="13" t="str">
        <f t="shared" si="20"/>
        <v>-</v>
      </c>
      <c r="W137" s="13" t="str">
        <f t="shared" si="14"/>
        <v>-</v>
      </c>
    </row>
    <row r="138" spans="1:23" x14ac:dyDescent="0.3">
      <c r="A138" s="70">
        <v>100009140</v>
      </c>
      <c r="B138" s="71">
        <v>432</v>
      </c>
      <c r="C138" s="96">
        <v>33984004320</v>
      </c>
      <c r="D138" s="72" t="s">
        <v>111</v>
      </c>
      <c r="E138" s="72" t="s">
        <v>474</v>
      </c>
      <c r="F138" s="73">
        <v>240</v>
      </c>
      <c r="G138" s="73" t="s">
        <v>305</v>
      </c>
      <c r="H138" s="73">
        <v>12</v>
      </c>
      <c r="I138" s="105" t="s">
        <v>851</v>
      </c>
      <c r="J138" s="74">
        <v>0.77180000000000004</v>
      </c>
      <c r="K138" s="2">
        <v>18.585000000000001</v>
      </c>
      <c r="L138" s="2">
        <v>17.552499999999998</v>
      </c>
      <c r="M138" s="75"/>
      <c r="N138" s="2">
        <f t="shared" si="15"/>
        <v>0</v>
      </c>
      <c r="O138" s="106">
        <f t="shared" si="16"/>
        <v>0</v>
      </c>
      <c r="Q138" s="76"/>
      <c r="R138" s="11" t="str">
        <f t="shared" si="17"/>
        <v>-</v>
      </c>
      <c r="S138" s="30" t="str">
        <f t="shared" si="18"/>
        <v>-</v>
      </c>
      <c r="T138" s="12" t="str">
        <f t="shared" si="19"/>
        <v>-</v>
      </c>
      <c r="U138" s="13" t="str">
        <f t="shared" si="20"/>
        <v>-</v>
      </c>
      <c r="W138" s="13" t="str">
        <f t="shared" si="14"/>
        <v>-</v>
      </c>
    </row>
    <row r="139" spans="1:23" x14ac:dyDescent="0.3">
      <c r="A139" s="70">
        <v>100009156</v>
      </c>
      <c r="B139" s="71">
        <v>521</v>
      </c>
      <c r="C139" s="96">
        <v>33984005211</v>
      </c>
      <c r="D139" s="72" t="s">
        <v>117</v>
      </c>
      <c r="E139" s="72" t="s">
        <v>486</v>
      </c>
      <c r="F139" s="73">
        <v>250</v>
      </c>
      <c r="G139" s="73" t="s">
        <v>305</v>
      </c>
      <c r="H139" s="73">
        <v>12</v>
      </c>
      <c r="I139" s="105" t="s">
        <v>851</v>
      </c>
      <c r="J139" s="74">
        <v>0.77180000000000004</v>
      </c>
      <c r="K139" s="2">
        <v>14.805</v>
      </c>
      <c r="L139" s="2">
        <v>13.982499999999998</v>
      </c>
      <c r="M139" s="75"/>
      <c r="N139" s="2">
        <f t="shared" si="15"/>
        <v>0</v>
      </c>
      <c r="O139" s="106">
        <f t="shared" si="16"/>
        <v>0</v>
      </c>
      <c r="Q139" s="76"/>
      <c r="R139" s="11" t="str">
        <f t="shared" si="17"/>
        <v>-</v>
      </c>
      <c r="S139" s="30" t="str">
        <f t="shared" si="18"/>
        <v>-</v>
      </c>
      <c r="T139" s="12" t="str">
        <f t="shared" si="19"/>
        <v>-</v>
      </c>
      <c r="U139" s="13" t="str">
        <f t="shared" si="20"/>
        <v>-</v>
      </c>
      <c r="W139" s="13" t="str">
        <f t="shared" si="14"/>
        <v>-</v>
      </c>
    </row>
    <row r="140" spans="1:23" x14ac:dyDescent="0.3">
      <c r="A140" s="70">
        <v>100009319</v>
      </c>
      <c r="B140" s="71">
        <v>1250</v>
      </c>
      <c r="C140" s="96">
        <v>33984012509</v>
      </c>
      <c r="D140" s="72" t="s">
        <v>122</v>
      </c>
      <c r="E140" s="72" t="s">
        <v>494</v>
      </c>
      <c r="F140" s="73">
        <v>180</v>
      </c>
      <c r="G140" s="73" t="s">
        <v>300</v>
      </c>
      <c r="H140" s="73">
        <v>20</v>
      </c>
      <c r="I140" s="105" t="s">
        <v>851</v>
      </c>
      <c r="J140" s="74">
        <v>0.36320000000000002</v>
      </c>
      <c r="K140" s="2">
        <v>14.805</v>
      </c>
      <c r="L140" s="2">
        <v>13.982499999999998</v>
      </c>
      <c r="M140" s="75"/>
      <c r="N140" s="2">
        <f t="shared" si="15"/>
        <v>0</v>
      </c>
      <c r="O140" s="106">
        <f t="shared" si="16"/>
        <v>0</v>
      </c>
      <c r="Q140" s="76"/>
      <c r="R140" s="11" t="str">
        <f t="shared" si="17"/>
        <v>-</v>
      </c>
      <c r="S140" s="30" t="str">
        <f t="shared" si="18"/>
        <v>-</v>
      </c>
      <c r="T140" s="12" t="str">
        <f t="shared" si="19"/>
        <v>-</v>
      </c>
      <c r="U140" s="13" t="str">
        <f t="shared" si="20"/>
        <v>-</v>
      </c>
      <c r="W140" s="13" t="str">
        <f t="shared" si="14"/>
        <v>-</v>
      </c>
    </row>
    <row r="141" spans="1:23" x14ac:dyDescent="0.3">
      <c r="A141" s="84">
        <v>100009172</v>
      </c>
      <c r="B141" s="85">
        <v>701</v>
      </c>
      <c r="C141" s="100">
        <v>33984007017</v>
      </c>
      <c r="D141" s="86" t="s">
        <v>125</v>
      </c>
      <c r="E141" s="86" t="s">
        <v>499</v>
      </c>
      <c r="F141" s="73">
        <v>250</v>
      </c>
      <c r="G141" s="73" t="s">
        <v>305</v>
      </c>
      <c r="H141" s="73"/>
      <c r="I141" s="105" t="s">
        <v>851</v>
      </c>
      <c r="J141" s="74">
        <v>0.55633529423346872</v>
      </c>
      <c r="K141" s="2">
        <v>20.16</v>
      </c>
      <c r="L141" s="2">
        <v>19.04</v>
      </c>
      <c r="M141" s="75"/>
      <c r="N141" s="2">
        <f t="shared" si="15"/>
        <v>0</v>
      </c>
      <c r="O141" s="106">
        <f t="shared" si="16"/>
        <v>0</v>
      </c>
      <c r="Q141" s="76"/>
      <c r="R141" s="11" t="str">
        <f t="shared" si="17"/>
        <v>-</v>
      </c>
      <c r="S141" s="30" t="str">
        <f t="shared" si="18"/>
        <v>-</v>
      </c>
      <c r="T141" s="12" t="str">
        <f t="shared" si="19"/>
        <v>-</v>
      </c>
      <c r="U141" s="13" t="str">
        <f t="shared" si="20"/>
        <v>-</v>
      </c>
      <c r="W141" s="13" t="str">
        <f t="shared" si="14"/>
        <v>-</v>
      </c>
    </row>
    <row r="142" spans="1:23" x14ac:dyDescent="0.3">
      <c r="A142" s="70">
        <v>100009173</v>
      </c>
      <c r="B142" s="71">
        <v>720</v>
      </c>
      <c r="C142" s="96">
        <v>33984007208</v>
      </c>
      <c r="D142" s="72" t="s">
        <v>128</v>
      </c>
      <c r="E142" s="72" t="s">
        <v>503</v>
      </c>
      <c r="F142" s="73">
        <v>100</v>
      </c>
      <c r="G142" s="73" t="s">
        <v>305</v>
      </c>
      <c r="H142" s="73">
        <v>42</v>
      </c>
      <c r="I142" s="105" t="s">
        <v>851</v>
      </c>
      <c r="J142" s="74">
        <v>0.15702233868474999</v>
      </c>
      <c r="K142" s="2">
        <v>6.7409999999999988</v>
      </c>
      <c r="L142" s="2">
        <v>6.3664999999999985</v>
      </c>
      <c r="M142" s="75"/>
      <c r="N142" s="2">
        <f t="shared" si="15"/>
        <v>0</v>
      </c>
      <c r="O142" s="106">
        <f t="shared" si="16"/>
        <v>0</v>
      </c>
      <c r="Q142" s="76"/>
      <c r="R142" s="11" t="str">
        <f t="shared" si="17"/>
        <v>-</v>
      </c>
      <c r="S142" s="30" t="str">
        <f t="shared" si="18"/>
        <v>-</v>
      </c>
      <c r="T142" s="12" t="str">
        <f t="shared" si="19"/>
        <v>-</v>
      </c>
      <c r="U142" s="13" t="str">
        <f t="shared" si="20"/>
        <v>-</v>
      </c>
      <c r="W142" s="13" t="str">
        <f t="shared" si="14"/>
        <v>-</v>
      </c>
    </row>
    <row r="143" spans="1:23" x14ac:dyDescent="0.3">
      <c r="A143" s="70">
        <v>100009495</v>
      </c>
      <c r="B143" s="71">
        <v>2260</v>
      </c>
      <c r="C143" s="96">
        <v>33984022607</v>
      </c>
      <c r="D143" s="72" t="s">
        <v>130</v>
      </c>
      <c r="E143" s="72" t="s">
        <v>505</v>
      </c>
      <c r="F143" s="73">
        <v>100</v>
      </c>
      <c r="G143" s="73" t="s">
        <v>305</v>
      </c>
      <c r="H143" s="73">
        <v>23</v>
      </c>
      <c r="I143" s="105" t="s">
        <v>851</v>
      </c>
      <c r="J143" s="74">
        <v>0.30645</v>
      </c>
      <c r="K143" s="2">
        <v>7.56</v>
      </c>
      <c r="L143" s="2">
        <v>7.1399999999999988</v>
      </c>
      <c r="M143" s="75"/>
      <c r="N143" s="2">
        <f t="shared" si="15"/>
        <v>0</v>
      </c>
      <c r="O143" s="106">
        <f t="shared" si="16"/>
        <v>0</v>
      </c>
      <c r="Q143" s="76"/>
      <c r="R143" s="11" t="str">
        <f t="shared" si="17"/>
        <v>-</v>
      </c>
      <c r="S143" s="30" t="str">
        <f t="shared" si="18"/>
        <v>-</v>
      </c>
      <c r="T143" s="12" t="str">
        <f t="shared" si="19"/>
        <v>-</v>
      </c>
      <c r="U143" s="13" t="str">
        <f t="shared" si="20"/>
        <v>-</v>
      </c>
      <c r="W143" s="13" t="str">
        <f t="shared" si="14"/>
        <v>-</v>
      </c>
    </row>
    <row r="144" spans="1:23" x14ac:dyDescent="0.3">
      <c r="A144" s="70">
        <v>100009496</v>
      </c>
      <c r="B144" s="71">
        <v>2261</v>
      </c>
      <c r="C144" s="96">
        <v>33984022614</v>
      </c>
      <c r="D144" s="72" t="s">
        <v>130</v>
      </c>
      <c r="E144" s="72" t="s">
        <v>506</v>
      </c>
      <c r="F144" s="73">
        <v>250</v>
      </c>
      <c r="G144" s="73" t="s">
        <v>305</v>
      </c>
      <c r="H144" s="73">
        <v>12</v>
      </c>
      <c r="I144" s="105" t="s">
        <v>851</v>
      </c>
      <c r="J144" s="74">
        <v>0.6129</v>
      </c>
      <c r="K144" s="2">
        <v>13.86</v>
      </c>
      <c r="L144" s="2">
        <v>13.089999999999998</v>
      </c>
      <c r="M144" s="75"/>
      <c r="N144" s="2">
        <f t="shared" si="15"/>
        <v>0</v>
      </c>
      <c r="O144" s="106">
        <f t="shared" si="16"/>
        <v>0</v>
      </c>
      <c r="Q144" s="76"/>
      <c r="R144" s="11" t="str">
        <f t="shared" si="17"/>
        <v>-</v>
      </c>
      <c r="S144" s="30" t="str">
        <f t="shared" si="18"/>
        <v>-</v>
      </c>
      <c r="T144" s="12" t="str">
        <f t="shared" si="19"/>
        <v>-</v>
      </c>
      <c r="U144" s="13" t="str">
        <f t="shared" si="20"/>
        <v>-</v>
      </c>
      <c r="W144" s="13" t="str">
        <f t="shared" si="14"/>
        <v>-</v>
      </c>
    </row>
    <row r="145" spans="1:23" x14ac:dyDescent="0.3">
      <c r="A145" s="70">
        <v>100009541</v>
      </c>
      <c r="B145" s="71">
        <v>2541</v>
      </c>
      <c r="C145" s="96">
        <v>33984025417</v>
      </c>
      <c r="D145" s="72" t="s">
        <v>131</v>
      </c>
      <c r="E145" s="72" t="s">
        <v>508</v>
      </c>
      <c r="F145" s="73">
        <v>100</v>
      </c>
      <c r="G145" s="73" t="s">
        <v>305</v>
      </c>
      <c r="H145" s="73">
        <v>25</v>
      </c>
      <c r="I145" s="105" t="s">
        <v>851</v>
      </c>
      <c r="J145" s="74">
        <v>0.26105</v>
      </c>
      <c r="K145" s="2">
        <v>9.9540000000000006</v>
      </c>
      <c r="L145" s="2">
        <v>9.4009999999999998</v>
      </c>
      <c r="M145" s="75"/>
      <c r="N145" s="2">
        <f t="shared" si="15"/>
        <v>0</v>
      </c>
      <c r="O145" s="106">
        <f t="shared" si="16"/>
        <v>0</v>
      </c>
      <c r="Q145" s="76"/>
      <c r="R145" s="11" t="str">
        <f t="shared" si="17"/>
        <v>-</v>
      </c>
      <c r="S145" s="30" t="str">
        <f t="shared" si="18"/>
        <v>-</v>
      </c>
      <c r="T145" s="12" t="str">
        <f t="shared" si="19"/>
        <v>-</v>
      </c>
      <c r="U145" s="13" t="str">
        <f t="shared" si="20"/>
        <v>-</v>
      </c>
      <c r="W145" s="13" t="str">
        <f t="shared" si="14"/>
        <v>-</v>
      </c>
    </row>
    <row r="146" spans="1:23" x14ac:dyDescent="0.3">
      <c r="A146" s="70">
        <v>100009180</v>
      </c>
      <c r="B146" s="71">
        <v>801</v>
      </c>
      <c r="C146" s="96">
        <v>33984008014</v>
      </c>
      <c r="D146" s="72" t="s">
        <v>135</v>
      </c>
      <c r="E146" s="72" t="s">
        <v>514</v>
      </c>
      <c r="F146" s="73">
        <v>250</v>
      </c>
      <c r="G146" s="73" t="s">
        <v>305</v>
      </c>
      <c r="H146" s="73">
        <v>20</v>
      </c>
      <c r="I146" s="105" t="s">
        <v>851</v>
      </c>
      <c r="J146" s="74">
        <v>0.45400000000000001</v>
      </c>
      <c r="K146" s="2">
        <v>15.12</v>
      </c>
      <c r="L146" s="2">
        <v>14.279999999999998</v>
      </c>
      <c r="M146" s="75"/>
      <c r="N146" s="2">
        <f t="shared" si="15"/>
        <v>0</v>
      </c>
      <c r="O146" s="106">
        <f t="shared" si="16"/>
        <v>0</v>
      </c>
      <c r="Q146" s="76"/>
      <c r="R146" s="11" t="str">
        <f t="shared" si="17"/>
        <v>-</v>
      </c>
      <c r="S146" s="30" t="str">
        <f t="shared" si="18"/>
        <v>-</v>
      </c>
      <c r="T146" s="12" t="str">
        <f t="shared" si="19"/>
        <v>-</v>
      </c>
      <c r="U146" s="13" t="str">
        <f t="shared" si="20"/>
        <v>-</v>
      </c>
      <c r="W146" s="13" t="str">
        <f t="shared" si="14"/>
        <v>-</v>
      </c>
    </row>
    <row r="147" spans="1:23" x14ac:dyDescent="0.3">
      <c r="A147" s="70">
        <v>100009298</v>
      </c>
      <c r="B147" s="71">
        <v>1182</v>
      </c>
      <c r="C147" s="96">
        <v>33984011823</v>
      </c>
      <c r="D147" s="90" t="s">
        <v>143</v>
      </c>
      <c r="E147" s="90" t="s">
        <v>522</v>
      </c>
      <c r="F147" s="71">
        <v>90</v>
      </c>
      <c r="G147" s="71" t="s">
        <v>305</v>
      </c>
      <c r="H147" s="73">
        <v>20</v>
      </c>
      <c r="I147" s="105" t="s">
        <v>851</v>
      </c>
      <c r="J147" s="74">
        <v>0.43130000000000002</v>
      </c>
      <c r="K147" s="2">
        <v>19.53</v>
      </c>
      <c r="L147" s="2">
        <v>18.444999999999997</v>
      </c>
      <c r="M147" s="75"/>
      <c r="N147" s="2">
        <f t="shared" si="15"/>
        <v>0</v>
      </c>
      <c r="O147" s="106">
        <f t="shared" si="16"/>
        <v>0</v>
      </c>
      <c r="Q147" s="76"/>
      <c r="R147" s="11" t="str">
        <f t="shared" si="17"/>
        <v>-</v>
      </c>
      <c r="S147" s="30" t="str">
        <f t="shared" si="18"/>
        <v>-</v>
      </c>
      <c r="T147" s="12" t="str">
        <f t="shared" si="19"/>
        <v>-</v>
      </c>
      <c r="U147" s="13" t="str">
        <f t="shared" si="20"/>
        <v>-</v>
      </c>
      <c r="W147" s="13" t="str">
        <f t="shared" si="14"/>
        <v>-</v>
      </c>
    </row>
    <row r="148" spans="1:23" x14ac:dyDescent="0.3">
      <c r="A148" s="70">
        <v>100009294</v>
      </c>
      <c r="B148" s="71">
        <v>1174</v>
      </c>
      <c r="C148" s="96">
        <v>33984011748</v>
      </c>
      <c r="D148" s="90" t="s">
        <v>144</v>
      </c>
      <c r="E148" s="90" t="s">
        <v>525</v>
      </c>
      <c r="F148" s="71">
        <v>90</v>
      </c>
      <c r="G148" s="71" t="s">
        <v>305</v>
      </c>
      <c r="H148" s="73">
        <v>23</v>
      </c>
      <c r="I148" s="105" t="s">
        <v>851</v>
      </c>
      <c r="J148" s="74">
        <v>0.32915</v>
      </c>
      <c r="K148" s="2">
        <v>19.53</v>
      </c>
      <c r="L148" s="2">
        <v>18.444999999999997</v>
      </c>
      <c r="M148" s="75"/>
      <c r="N148" s="2">
        <f t="shared" si="15"/>
        <v>0</v>
      </c>
      <c r="O148" s="106">
        <f t="shared" si="16"/>
        <v>0</v>
      </c>
      <c r="Q148" s="76"/>
      <c r="R148" s="11" t="str">
        <f t="shared" si="17"/>
        <v>-</v>
      </c>
      <c r="S148" s="30" t="str">
        <f t="shared" si="18"/>
        <v>-</v>
      </c>
      <c r="T148" s="12" t="str">
        <f t="shared" si="19"/>
        <v>-</v>
      </c>
      <c r="U148" s="13" t="str">
        <f t="shared" si="20"/>
        <v>-</v>
      </c>
      <c r="W148" s="13" t="str">
        <f t="shared" si="14"/>
        <v>-</v>
      </c>
    </row>
    <row r="149" spans="1:23" x14ac:dyDescent="0.3">
      <c r="A149" s="70">
        <v>100009803</v>
      </c>
      <c r="B149" s="71">
        <v>31405</v>
      </c>
      <c r="C149" s="96">
        <v>33984314054</v>
      </c>
      <c r="D149" s="72" t="s">
        <v>153</v>
      </c>
      <c r="E149" s="72" t="s">
        <v>537</v>
      </c>
      <c r="F149" s="73">
        <v>60</v>
      </c>
      <c r="G149" s="73" t="s">
        <v>300</v>
      </c>
      <c r="H149" s="73">
        <v>23</v>
      </c>
      <c r="I149" s="105" t="s">
        <v>851</v>
      </c>
      <c r="J149" s="74">
        <v>0.26480032311341306</v>
      </c>
      <c r="K149" s="2">
        <v>22.679999999999996</v>
      </c>
      <c r="L149" s="2">
        <v>21.419999999999998</v>
      </c>
      <c r="M149" s="75"/>
      <c r="N149" s="2">
        <f t="shared" si="15"/>
        <v>0</v>
      </c>
      <c r="O149" s="106">
        <f t="shared" si="16"/>
        <v>0</v>
      </c>
      <c r="Q149" s="76"/>
      <c r="R149" s="11" t="str">
        <f t="shared" si="17"/>
        <v>-</v>
      </c>
      <c r="S149" s="30" t="str">
        <f t="shared" si="18"/>
        <v>-</v>
      </c>
      <c r="T149" s="12" t="str">
        <f t="shared" si="19"/>
        <v>-</v>
      </c>
      <c r="U149" s="13" t="str">
        <f t="shared" si="20"/>
        <v>-</v>
      </c>
      <c r="W149" s="13" t="str">
        <f t="shared" si="14"/>
        <v>-</v>
      </c>
    </row>
    <row r="150" spans="1:23" x14ac:dyDescent="0.3">
      <c r="A150" s="70">
        <v>100076540</v>
      </c>
      <c r="B150" s="71">
        <v>54707</v>
      </c>
      <c r="C150" s="96">
        <v>33984547070</v>
      </c>
      <c r="D150" s="72" t="s">
        <v>160</v>
      </c>
      <c r="E150" s="72" t="s">
        <v>551</v>
      </c>
      <c r="F150" s="73">
        <v>60</v>
      </c>
      <c r="G150" s="73" t="s">
        <v>330</v>
      </c>
      <c r="H150" s="73">
        <v>25</v>
      </c>
      <c r="I150" s="105" t="s">
        <v>851</v>
      </c>
      <c r="J150" s="74">
        <v>0.29377335085896877</v>
      </c>
      <c r="K150" s="2">
        <v>37.799999999999997</v>
      </c>
      <c r="L150" s="2">
        <v>35.699999999999996</v>
      </c>
      <c r="M150" s="75"/>
      <c r="N150" s="2">
        <f t="shared" si="15"/>
        <v>0</v>
      </c>
      <c r="O150" s="106">
        <f t="shared" si="16"/>
        <v>0</v>
      </c>
      <c r="Q150" s="76"/>
      <c r="R150" s="11" t="str">
        <f t="shared" si="17"/>
        <v>-</v>
      </c>
      <c r="S150" s="30" t="str">
        <f t="shared" si="18"/>
        <v>-</v>
      </c>
      <c r="T150" s="12" t="str">
        <f t="shared" si="19"/>
        <v>-</v>
      </c>
      <c r="U150" s="13" t="str">
        <f t="shared" si="20"/>
        <v>-</v>
      </c>
      <c r="W150" s="13" t="str">
        <f t="shared" si="14"/>
        <v>-</v>
      </c>
    </row>
    <row r="151" spans="1:23" x14ac:dyDescent="0.3">
      <c r="A151" s="70">
        <v>100009672</v>
      </c>
      <c r="B151" s="71">
        <v>3915</v>
      </c>
      <c r="C151" s="96">
        <v>33984039155</v>
      </c>
      <c r="D151" s="72" t="s">
        <v>161</v>
      </c>
      <c r="E151" s="72" t="s">
        <v>557</v>
      </c>
      <c r="F151" s="73">
        <v>120</v>
      </c>
      <c r="G151" s="73" t="s">
        <v>300</v>
      </c>
      <c r="H151" s="73">
        <v>25</v>
      </c>
      <c r="I151" s="105" t="s">
        <v>851</v>
      </c>
      <c r="J151" s="74">
        <v>0.20429999999999998</v>
      </c>
      <c r="K151" s="2">
        <v>21.419999999999998</v>
      </c>
      <c r="L151" s="2">
        <v>20.229999999999997</v>
      </c>
      <c r="M151" s="75"/>
      <c r="N151" s="2">
        <f t="shared" si="15"/>
        <v>0</v>
      </c>
      <c r="O151" s="106">
        <f t="shared" si="16"/>
        <v>0</v>
      </c>
      <c r="Q151" s="76"/>
      <c r="R151" s="11" t="str">
        <f t="shared" si="17"/>
        <v>-</v>
      </c>
      <c r="S151" s="30" t="str">
        <f t="shared" si="18"/>
        <v>-</v>
      </c>
      <c r="T151" s="12" t="str">
        <f t="shared" si="19"/>
        <v>-</v>
      </c>
      <c r="U151" s="13" t="str">
        <f t="shared" si="20"/>
        <v>-</v>
      </c>
      <c r="W151" s="13" t="str">
        <f t="shared" si="14"/>
        <v>-</v>
      </c>
    </row>
    <row r="152" spans="1:23" x14ac:dyDescent="0.3">
      <c r="A152" s="70">
        <v>100009703</v>
      </c>
      <c r="B152" s="71">
        <v>4138</v>
      </c>
      <c r="C152" s="96">
        <v>33984041387</v>
      </c>
      <c r="D152" s="72" t="s">
        <v>163</v>
      </c>
      <c r="E152" s="72" t="s">
        <v>559</v>
      </c>
      <c r="F152" s="73">
        <v>60</v>
      </c>
      <c r="G152" s="73" t="s">
        <v>300</v>
      </c>
      <c r="H152" s="73">
        <v>30</v>
      </c>
      <c r="I152" s="105" t="s">
        <v>851</v>
      </c>
      <c r="J152" s="74">
        <v>0.1767573867161667</v>
      </c>
      <c r="K152" s="2">
        <v>17.639999999999997</v>
      </c>
      <c r="L152" s="2">
        <v>16.66</v>
      </c>
      <c r="M152" s="75"/>
      <c r="N152" s="2">
        <f t="shared" si="15"/>
        <v>0</v>
      </c>
      <c r="O152" s="106">
        <f t="shared" si="16"/>
        <v>0</v>
      </c>
      <c r="Q152" s="76"/>
      <c r="R152" s="11" t="str">
        <f t="shared" si="17"/>
        <v>-</v>
      </c>
      <c r="S152" s="30" t="str">
        <f t="shared" si="18"/>
        <v>-</v>
      </c>
      <c r="T152" s="12" t="str">
        <f t="shared" si="19"/>
        <v>-</v>
      </c>
      <c r="U152" s="13" t="str">
        <f t="shared" si="20"/>
        <v>-</v>
      </c>
      <c r="W152" s="13" t="str">
        <f t="shared" si="14"/>
        <v>-</v>
      </c>
    </row>
    <row r="153" spans="1:23" x14ac:dyDescent="0.3">
      <c r="A153" s="70">
        <v>100009679</v>
      </c>
      <c r="B153" s="71">
        <v>3972</v>
      </c>
      <c r="C153" s="96">
        <v>33984039728</v>
      </c>
      <c r="D153" s="72" t="s">
        <v>164</v>
      </c>
      <c r="E153" s="72" t="s">
        <v>560</v>
      </c>
      <c r="F153" s="73">
        <v>100</v>
      </c>
      <c r="G153" s="73" t="s">
        <v>300</v>
      </c>
      <c r="H153" s="73">
        <v>23</v>
      </c>
      <c r="I153" s="105" t="s">
        <v>851</v>
      </c>
      <c r="J153" s="74">
        <v>0.24970000000000001</v>
      </c>
      <c r="K153" s="2">
        <v>15.749999999999998</v>
      </c>
      <c r="L153" s="2">
        <v>14.874999999999998</v>
      </c>
      <c r="M153" s="75"/>
      <c r="N153" s="2">
        <f t="shared" si="15"/>
        <v>0</v>
      </c>
      <c r="O153" s="106">
        <f t="shared" si="16"/>
        <v>0</v>
      </c>
      <c r="Q153" s="76"/>
      <c r="R153" s="11" t="str">
        <f t="shared" si="17"/>
        <v>-</v>
      </c>
      <c r="S153" s="30" t="str">
        <f t="shared" si="18"/>
        <v>-</v>
      </c>
      <c r="T153" s="12" t="str">
        <f t="shared" si="19"/>
        <v>-</v>
      </c>
      <c r="U153" s="13" t="str">
        <f t="shared" si="20"/>
        <v>-</v>
      </c>
      <c r="W153" s="13" t="str">
        <f t="shared" si="14"/>
        <v>-</v>
      </c>
    </row>
    <row r="154" spans="1:23" x14ac:dyDescent="0.3">
      <c r="A154" s="70">
        <v>100009459</v>
      </c>
      <c r="B154" s="71">
        <v>2029</v>
      </c>
      <c r="C154" s="96">
        <v>33984020290</v>
      </c>
      <c r="D154" s="72" t="s">
        <v>165</v>
      </c>
      <c r="E154" s="72" t="s">
        <v>562</v>
      </c>
      <c r="F154" s="73">
        <v>60</v>
      </c>
      <c r="G154" s="73" t="s">
        <v>330</v>
      </c>
      <c r="H154" s="73">
        <v>42</v>
      </c>
      <c r="I154" s="105" t="s">
        <v>851</v>
      </c>
      <c r="J154" s="74">
        <v>0.13275190694425001</v>
      </c>
      <c r="K154" s="2">
        <v>10.709999999999999</v>
      </c>
      <c r="L154" s="2">
        <v>10.114999999999998</v>
      </c>
      <c r="M154" s="75"/>
      <c r="N154" s="2">
        <f t="shared" si="15"/>
        <v>0</v>
      </c>
      <c r="O154" s="106">
        <f t="shared" si="16"/>
        <v>0</v>
      </c>
      <c r="Q154" s="76"/>
      <c r="R154" s="11" t="str">
        <f t="shared" si="17"/>
        <v>-</v>
      </c>
      <c r="S154" s="30" t="str">
        <f t="shared" si="18"/>
        <v>-</v>
      </c>
      <c r="T154" s="12" t="str">
        <f t="shared" si="19"/>
        <v>-</v>
      </c>
      <c r="U154" s="13" t="str">
        <f t="shared" si="20"/>
        <v>-</v>
      </c>
      <c r="W154" s="13" t="str">
        <f t="shared" si="14"/>
        <v>-</v>
      </c>
    </row>
    <row r="155" spans="1:23" x14ac:dyDescent="0.3">
      <c r="A155" s="70">
        <v>100009715</v>
      </c>
      <c r="B155" s="71">
        <v>4161</v>
      </c>
      <c r="C155" s="96">
        <v>33984041615</v>
      </c>
      <c r="D155" s="72" t="s">
        <v>169</v>
      </c>
      <c r="E155" s="72" t="s">
        <v>571</v>
      </c>
      <c r="F155" s="73">
        <v>60</v>
      </c>
      <c r="G155" s="73" t="s">
        <v>300</v>
      </c>
      <c r="H155" s="73">
        <v>25</v>
      </c>
      <c r="I155" s="105" t="s">
        <v>851</v>
      </c>
      <c r="J155" s="74">
        <v>0.16525957612395004</v>
      </c>
      <c r="K155" s="2">
        <v>11.339999999999998</v>
      </c>
      <c r="L155" s="2">
        <v>10.709999999999999</v>
      </c>
      <c r="M155" s="75"/>
      <c r="N155" s="2">
        <f t="shared" si="15"/>
        <v>0</v>
      </c>
      <c r="O155" s="106">
        <f t="shared" si="16"/>
        <v>0</v>
      </c>
      <c r="Q155" s="76"/>
      <c r="R155" s="11" t="str">
        <f t="shared" si="17"/>
        <v>-</v>
      </c>
      <c r="S155" s="30" t="str">
        <f t="shared" si="18"/>
        <v>-</v>
      </c>
      <c r="T155" s="12" t="str">
        <f t="shared" si="19"/>
        <v>-</v>
      </c>
      <c r="U155" s="13" t="str">
        <f t="shared" si="20"/>
        <v>-</v>
      </c>
      <c r="W155" s="13" t="str">
        <f t="shared" si="14"/>
        <v>-</v>
      </c>
    </row>
    <row r="156" spans="1:23" x14ac:dyDescent="0.3">
      <c r="A156" s="77">
        <v>100009086</v>
      </c>
      <c r="B156" s="78">
        <v>58</v>
      </c>
      <c r="C156" s="97">
        <v>33984000582</v>
      </c>
      <c r="D156" s="79" t="s">
        <v>573</v>
      </c>
      <c r="E156" s="79" t="s">
        <v>574</v>
      </c>
      <c r="F156" s="73">
        <v>50</v>
      </c>
      <c r="G156" s="73" t="s">
        <v>300</v>
      </c>
      <c r="H156" s="73"/>
      <c r="I156" s="105" t="s">
        <v>851</v>
      </c>
      <c r="J156" s="74">
        <v>0.14755000000000001</v>
      </c>
      <c r="K156" s="2">
        <v>12.914999999999999</v>
      </c>
      <c r="L156" s="2">
        <v>12.1975</v>
      </c>
      <c r="M156" s="75"/>
      <c r="N156" s="2">
        <f t="shared" si="15"/>
        <v>0</v>
      </c>
      <c r="O156" s="106">
        <f t="shared" si="16"/>
        <v>0</v>
      </c>
      <c r="Q156" s="76"/>
      <c r="R156" s="11" t="str">
        <f t="shared" si="17"/>
        <v>-</v>
      </c>
      <c r="S156" s="30" t="str">
        <f t="shared" si="18"/>
        <v>-</v>
      </c>
      <c r="T156" s="12" t="str">
        <f t="shared" si="19"/>
        <v>-</v>
      </c>
      <c r="U156" s="13" t="str">
        <f t="shared" si="20"/>
        <v>-</v>
      </c>
      <c r="W156" s="13" t="str">
        <f t="shared" si="14"/>
        <v>-</v>
      </c>
    </row>
    <row r="157" spans="1:23" x14ac:dyDescent="0.3">
      <c r="A157" s="70">
        <v>100009215</v>
      </c>
      <c r="B157" s="71">
        <v>947</v>
      </c>
      <c r="C157" s="96">
        <v>33984009479</v>
      </c>
      <c r="D157" s="72" t="s">
        <v>180</v>
      </c>
      <c r="E157" s="72" t="s">
        <v>586</v>
      </c>
      <c r="F157" s="73">
        <v>30</v>
      </c>
      <c r="G157" s="73" t="s">
        <v>330</v>
      </c>
      <c r="H157" s="73">
        <v>42</v>
      </c>
      <c r="I157" s="105" t="s">
        <v>851</v>
      </c>
      <c r="J157" s="74">
        <v>0.18160000000000001</v>
      </c>
      <c r="K157" s="2">
        <v>11.339999999999998</v>
      </c>
      <c r="L157" s="2">
        <v>10.709999999999999</v>
      </c>
      <c r="M157" s="75"/>
      <c r="N157" s="2">
        <f t="shared" si="15"/>
        <v>0</v>
      </c>
      <c r="O157" s="106">
        <f t="shared" si="16"/>
        <v>0</v>
      </c>
      <c r="Q157" s="76"/>
      <c r="R157" s="11" t="str">
        <f t="shared" si="17"/>
        <v>-</v>
      </c>
      <c r="S157" s="30" t="str">
        <f t="shared" si="18"/>
        <v>-</v>
      </c>
      <c r="T157" s="12" t="str">
        <f t="shared" si="19"/>
        <v>-</v>
      </c>
      <c r="U157" s="13" t="str">
        <f t="shared" si="20"/>
        <v>-</v>
      </c>
      <c r="W157" s="13" t="str">
        <f t="shared" si="14"/>
        <v>-</v>
      </c>
    </row>
    <row r="158" spans="1:23" x14ac:dyDescent="0.3">
      <c r="A158" s="70">
        <v>100009218</v>
      </c>
      <c r="B158" s="71">
        <v>952</v>
      </c>
      <c r="C158" s="96">
        <v>33984009523</v>
      </c>
      <c r="D158" s="72" t="s">
        <v>180</v>
      </c>
      <c r="E158" s="72" t="s">
        <v>587</v>
      </c>
      <c r="F158" s="73">
        <v>60</v>
      </c>
      <c r="G158" s="73" t="s">
        <v>330</v>
      </c>
      <c r="H158" s="73">
        <v>36</v>
      </c>
      <c r="I158" s="105" t="s">
        <v>851</v>
      </c>
      <c r="J158" s="74">
        <v>0.14755000000000001</v>
      </c>
      <c r="K158" s="2">
        <v>19.53</v>
      </c>
      <c r="L158" s="2">
        <v>18.444999999999997</v>
      </c>
      <c r="M158" s="75"/>
      <c r="N158" s="2">
        <f t="shared" si="15"/>
        <v>0</v>
      </c>
      <c r="O158" s="106">
        <f t="shared" si="16"/>
        <v>0</v>
      </c>
      <c r="Q158" s="76"/>
      <c r="R158" s="11" t="str">
        <f t="shared" si="17"/>
        <v>-</v>
      </c>
      <c r="S158" s="30" t="str">
        <f t="shared" si="18"/>
        <v>-</v>
      </c>
      <c r="T158" s="12" t="str">
        <f t="shared" si="19"/>
        <v>-</v>
      </c>
      <c r="U158" s="13" t="str">
        <f t="shared" si="20"/>
        <v>-</v>
      </c>
      <c r="W158" s="13" t="str">
        <f t="shared" si="14"/>
        <v>-</v>
      </c>
    </row>
    <row r="159" spans="1:23" x14ac:dyDescent="0.3">
      <c r="A159" s="70">
        <v>100009198</v>
      </c>
      <c r="B159" s="71">
        <v>914</v>
      </c>
      <c r="C159" s="96">
        <v>33984009141</v>
      </c>
      <c r="D159" s="72" t="s">
        <v>180</v>
      </c>
      <c r="E159" s="72" t="s">
        <v>588</v>
      </c>
      <c r="F159" s="73">
        <v>90</v>
      </c>
      <c r="G159" s="73" t="s">
        <v>330</v>
      </c>
      <c r="H159" s="73">
        <v>30</v>
      </c>
      <c r="I159" s="105" t="s">
        <v>851</v>
      </c>
      <c r="J159" s="74">
        <v>0.1911725522347667</v>
      </c>
      <c r="K159" s="2">
        <v>26.46</v>
      </c>
      <c r="L159" s="2">
        <v>24.989999999999995</v>
      </c>
      <c r="M159" s="75"/>
      <c r="N159" s="2">
        <f t="shared" si="15"/>
        <v>0</v>
      </c>
      <c r="O159" s="106">
        <f t="shared" si="16"/>
        <v>0</v>
      </c>
      <c r="Q159" s="76"/>
      <c r="R159" s="11" t="str">
        <f t="shared" si="17"/>
        <v>-</v>
      </c>
      <c r="S159" s="30" t="str">
        <f t="shared" si="18"/>
        <v>-</v>
      </c>
      <c r="T159" s="12" t="str">
        <f t="shared" si="19"/>
        <v>-</v>
      </c>
      <c r="U159" s="13" t="str">
        <f t="shared" si="20"/>
        <v>-</v>
      </c>
      <c r="W159" s="13" t="str">
        <f t="shared" si="14"/>
        <v>-</v>
      </c>
    </row>
    <row r="160" spans="1:23" x14ac:dyDescent="0.3">
      <c r="A160" s="70">
        <v>100009216</v>
      </c>
      <c r="B160" s="92">
        <v>948</v>
      </c>
      <c r="C160" s="99">
        <v>33984009486</v>
      </c>
      <c r="D160" s="90" t="s">
        <v>183</v>
      </c>
      <c r="E160" s="90" t="s">
        <v>592</v>
      </c>
      <c r="F160" s="71">
        <v>30</v>
      </c>
      <c r="G160" s="71" t="s">
        <v>300</v>
      </c>
      <c r="H160" s="73">
        <v>36</v>
      </c>
      <c r="I160" s="105" t="s">
        <v>851</v>
      </c>
      <c r="J160" s="74">
        <v>0.13342608560370836</v>
      </c>
      <c r="K160" s="2">
        <v>16.38</v>
      </c>
      <c r="L160" s="2">
        <v>15.469999999999997</v>
      </c>
      <c r="M160" s="75"/>
      <c r="N160" s="2">
        <f t="shared" si="15"/>
        <v>0</v>
      </c>
      <c r="O160" s="106">
        <f t="shared" si="16"/>
        <v>0</v>
      </c>
      <c r="Q160" s="76"/>
      <c r="R160" s="11" t="str">
        <f t="shared" si="17"/>
        <v>-</v>
      </c>
      <c r="S160" s="30" t="str">
        <f t="shared" si="18"/>
        <v>-</v>
      </c>
      <c r="T160" s="12" t="str">
        <f t="shared" si="19"/>
        <v>-</v>
      </c>
      <c r="U160" s="13" t="str">
        <f t="shared" si="20"/>
        <v>-</v>
      </c>
      <c r="W160" s="13" t="str">
        <f t="shared" si="14"/>
        <v>-</v>
      </c>
    </row>
    <row r="161" spans="1:23" x14ac:dyDescent="0.3">
      <c r="A161" s="70">
        <v>100009217</v>
      </c>
      <c r="B161" s="92">
        <v>949</v>
      </c>
      <c r="C161" s="99">
        <v>33984009493</v>
      </c>
      <c r="D161" s="90" t="s">
        <v>183</v>
      </c>
      <c r="E161" s="90" t="s">
        <v>593</v>
      </c>
      <c r="F161" s="71">
        <v>60</v>
      </c>
      <c r="G161" s="71" t="s">
        <v>300</v>
      </c>
      <c r="H161" s="73">
        <v>25</v>
      </c>
      <c r="I161" s="105" t="s">
        <v>851</v>
      </c>
      <c r="J161" s="74">
        <v>0.20243011006834</v>
      </c>
      <c r="K161" s="2">
        <v>30.24</v>
      </c>
      <c r="L161" s="2">
        <v>28.559999999999995</v>
      </c>
      <c r="M161" s="75"/>
      <c r="N161" s="2">
        <f t="shared" si="15"/>
        <v>0</v>
      </c>
      <c r="O161" s="106">
        <f t="shared" si="16"/>
        <v>0</v>
      </c>
      <c r="Q161" s="76"/>
      <c r="R161" s="11" t="str">
        <f t="shared" si="17"/>
        <v>-</v>
      </c>
      <c r="S161" s="30" t="str">
        <f t="shared" si="18"/>
        <v>-</v>
      </c>
      <c r="T161" s="12" t="str">
        <f t="shared" si="19"/>
        <v>-</v>
      </c>
      <c r="U161" s="13" t="str">
        <f t="shared" si="20"/>
        <v>-</v>
      </c>
      <c r="W161" s="13" t="str">
        <f t="shared" si="14"/>
        <v>-</v>
      </c>
    </row>
    <row r="162" spans="1:23" x14ac:dyDescent="0.3">
      <c r="A162" s="70">
        <v>100009219</v>
      </c>
      <c r="B162" s="71">
        <v>954</v>
      </c>
      <c r="C162" s="96">
        <v>33984009547</v>
      </c>
      <c r="D162" s="72" t="s">
        <v>184</v>
      </c>
      <c r="E162" s="72" t="s">
        <v>594</v>
      </c>
      <c r="F162" s="73">
        <v>30</v>
      </c>
      <c r="G162" s="73" t="s">
        <v>330</v>
      </c>
      <c r="H162" s="73">
        <v>36</v>
      </c>
      <c r="I162" s="105" t="s">
        <v>851</v>
      </c>
      <c r="J162" s="74">
        <v>0.17947453101034727</v>
      </c>
      <c r="K162" s="2">
        <v>28.979999999999997</v>
      </c>
      <c r="L162" s="2">
        <v>27.37</v>
      </c>
      <c r="M162" s="75"/>
      <c r="N162" s="2">
        <f t="shared" si="15"/>
        <v>0</v>
      </c>
      <c r="O162" s="106">
        <f t="shared" si="16"/>
        <v>0</v>
      </c>
      <c r="Q162" s="76"/>
      <c r="R162" s="11" t="str">
        <f t="shared" si="17"/>
        <v>-</v>
      </c>
      <c r="S162" s="30" t="str">
        <f t="shared" si="18"/>
        <v>-</v>
      </c>
      <c r="T162" s="12" t="str">
        <f t="shared" si="19"/>
        <v>-</v>
      </c>
      <c r="U162" s="13" t="str">
        <f t="shared" si="20"/>
        <v>-</v>
      </c>
      <c r="W162" s="13" t="str">
        <f t="shared" si="14"/>
        <v>-</v>
      </c>
    </row>
    <row r="163" spans="1:23" x14ac:dyDescent="0.3">
      <c r="A163" s="70">
        <v>100009230</v>
      </c>
      <c r="B163" s="71">
        <v>975</v>
      </c>
      <c r="C163" s="96">
        <v>33984009752</v>
      </c>
      <c r="D163" s="72" t="s">
        <v>184</v>
      </c>
      <c r="E163" s="72" t="s">
        <v>595</v>
      </c>
      <c r="F163" s="73">
        <v>60</v>
      </c>
      <c r="G163" s="73" t="s">
        <v>330</v>
      </c>
      <c r="H163" s="73">
        <v>23</v>
      </c>
      <c r="I163" s="105" t="s">
        <v>851</v>
      </c>
      <c r="J163" s="74">
        <v>0.20302104231941306</v>
      </c>
      <c r="K163" s="2">
        <v>51.66</v>
      </c>
      <c r="L163" s="2">
        <v>48.79</v>
      </c>
      <c r="M163" s="75"/>
      <c r="N163" s="2">
        <f t="shared" si="15"/>
        <v>0</v>
      </c>
      <c r="O163" s="106">
        <f t="shared" si="16"/>
        <v>0</v>
      </c>
      <c r="Q163" s="76"/>
      <c r="R163" s="11" t="str">
        <f t="shared" si="17"/>
        <v>-</v>
      </c>
      <c r="S163" s="30" t="str">
        <f t="shared" si="18"/>
        <v>-</v>
      </c>
      <c r="T163" s="12" t="str">
        <f t="shared" si="19"/>
        <v>-</v>
      </c>
      <c r="U163" s="13" t="str">
        <f t="shared" si="20"/>
        <v>-</v>
      </c>
      <c r="W163" s="13" t="str">
        <f t="shared" si="14"/>
        <v>-</v>
      </c>
    </row>
    <row r="164" spans="1:23" x14ac:dyDescent="0.3">
      <c r="A164" s="70">
        <v>100009229</v>
      </c>
      <c r="B164" s="71">
        <v>970</v>
      </c>
      <c r="C164" s="96">
        <v>33984009707</v>
      </c>
      <c r="D164" s="72" t="s">
        <v>185</v>
      </c>
      <c r="E164" s="72" t="s">
        <v>596</v>
      </c>
      <c r="F164" s="73">
        <v>30</v>
      </c>
      <c r="G164" s="73" t="s">
        <v>330</v>
      </c>
      <c r="H164" s="73">
        <v>25</v>
      </c>
      <c r="I164" s="105" t="s">
        <v>851</v>
      </c>
      <c r="J164" s="74">
        <v>0.22700000000000001</v>
      </c>
      <c r="K164" s="2">
        <v>32.76</v>
      </c>
      <c r="L164" s="2">
        <v>30.939999999999994</v>
      </c>
      <c r="M164" s="75"/>
      <c r="N164" s="2">
        <f t="shared" si="15"/>
        <v>0</v>
      </c>
      <c r="O164" s="106">
        <f t="shared" si="16"/>
        <v>0</v>
      </c>
      <c r="Q164" s="76"/>
      <c r="R164" s="11" t="str">
        <f t="shared" si="17"/>
        <v>-</v>
      </c>
      <c r="S164" s="30" t="str">
        <f t="shared" si="18"/>
        <v>-</v>
      </c>
      <c r="T164" s="12" t="str">
        <f t="shared" si="19"/>
        <v>-</v>
      </c>
      <c r="U164" s="13" t="str">
        <f t="shared" si="20"/>
        <v>-</v>
      </c>
      <c r="W164" s="13" t="str">
        <f t="shared" si="14"/>
        <v>-</v>
      </c>
    </row>
    <row r="165" spans="1:23" x14ac:dyDescent="0.3">
      <c r="A165" s="70">
        <v>100009555</v>
      </c>
      <c r="B165" s="71">
        <v>2641</v>
      </c>
      <c r="C165" s="96">
        <v>33984026414</v>
      </c>
      <c r="D165" s="72" t="s">
        <v>186</v>
      </c>
      <c r="E165" s="72" t="s">
        <v>597</v>
      </c>
      <c r="F165" s="73">
        <v>50</v>
      </c>
      <c r="G165" s="73" t="s">
        <v>330</v>
      </c>
      <c r="H165" s="73">
        <v>36</v>
      </c>
      <c r="I165" s="105" t="s">
        <v>851</v>
      </c>
      <c r="J165" s="74">
        <v>0.12485</v>
      </c>
      <c r="K165" s="2">
        <v>28.349999999999998</v>
      </c>
      <c r="L165" s="2">
        <v>26.774999999999999</v>
      </c>
      <c r="M165" s="75"/>
      <c r="N165" s="2">
        <f t="shared" si="15"/>
        <v>0</v>
      </c>
      <c r="O165" s="106">
        <f t="shared" si="16"/>
        <v>0</v>
      </c>
      <c r="Q165" s="76"/>
      <c r="R165" s="11" t="str">
        <f t="shared" si="17"/>
        <v>-</v>
      </c>
      <c r="S165" s="30" t="str">
        <f t="shared" si="18"/>
        <v>-</v>
      </c>
      <c r="T165" s="12" t="str">
        <f t="shared" si="19"/>
        <v>-</v>
      </c>
      <c r="U165" s="13" t="str">
        <f t="shared" si="20"/>
        <v>-</v>
      </c>
      <c r="W165" s="13" t="str">
        <f t="shared" si="14"/>
        <v>-</v>
      </c>
    </row>
    <row r="166" spans="1:23" x14ac:dyDescent="0.3">
      <c r="A166" s="70">
        <v>100009556</v>
      </c>
      <c r="B166" s="71">
        <v>2642</v>
      </c>
      <c r="C166" s="96">
        <v>33984026421</v>
      </c>
      <c r="D166" s="72" t="s">
        <v>187</v>
      </c>
      <c r="E166" s="72" t="s">
        <v>598</v>
      </c>
      <c r="F166" s="73">
        <v>30</v>
      </c>
      <c r="G166" s="73" t="s">
        <v>330</v>
      </c>
      <c r="H166" s="73">
        <v>36</v>
      </c>
      <c r="I166" s="105" t="s">
        <v>851</v>
      </c>
      <c r="J166" s="74">
        <v>0.14755000000000001</v>
      </c>
      <c r="K166" s="2">
        <v>32.76</v>
      </c>
      <c r="L166" s="2">
        <v>30.939999999999994</v>
      </c>
      <c r="M166" s="75"/>
      <c r="N166" s="2">
        <f t="shared" si="15"/>
        <v>0</v>
      </c>
      <c r="O166" s="106">
        <f t="shared" si="16"/>
        <v>0</v>
      </c>
      <c r="Q166" s="76"/>
      <c r="R166" s="11" t="str">
        <f t="shared" si="17"/>
        <v>-</v>
      </c>
      <c r="S166" s="30" t="str">
        <f t="shared" si="18"/>
        <v>-</v>
      </c>
      <c r="T166" s="12" t="str">
        <f t="shared" si="19"/>
        <v>-</v>
      </c>
      <c r="U166" s="13" t="str">
        <f t="shared" si="20"/>
        <v>-</v>
      </c>
      <c r="W166" s="13" t="str">
        <f t="shared" si="14"/>
        <v>-</v>
      </c>
    </row>
    <row r="167" spans="1:23" x14ac:dyDescent="0.3">
      <c r="A167" s="70">
        <v>100009256</v>
      </c>
      <c r="B167" s="71">
        <v>1043</v>
      </c>
      <c r="C167" s="96">
        <v>33984010437</v>
      </c>
      <c r="D167" s="72" t="s">
        <v>190</v>
      </c>
      <c r="E167" s="72" t="s">
        <v>604</v>
      </c>
      <c r="F167" s="73">
        <v>180</v>
      </c>
      <c r="G167" s="73" t="s">
        <v>330</v>
      </c>
      <c r="H167" s="73">
        <v>20</v>
      </c>
      <c r="I167" s="105" t="s">
        <v>851</v>
      </c>
      <c r="J167" s="74">
        <v>0.36372551567467504</v>
      </c>
      <c r="K167" s="2">
        <v>12.6</v>
      </c>
      <c r="L167" s="2">
        <v>11.899999999999999</v>
      </c>
      <c r="M167" s="75"/>
      <c r="N167" s="2">
        <f t="shared" si="15"/>
        <v>0</v>
      </c>
      <c r="O167" s="106">
        <f t="shared" si="16"/>
        <v>0</v>
      </c>
      <c r="Q167" s="76"/>
      <c r="R167" s="11" t="str">
        <f t="shared" si="17"/>
        <v>-</v>
      </c>
      <c r="S167" s="30" t="str">
        <f t="shared" si="18"/>
        <v>-</v>
      </c>
      <c r="T167" s="12" t="str">
        <f t="shared" si="19"/>
        <v>-</v>
      </c>
      <c r="U167" s="13" t="str">
        <f t="shared" si="20"/>
        <v>-</v>
      </c>
      <c r="W167" s="13" t="str">
        <f t="shared" si="14"/>
        <v>-</v>
      </c>
    </row>
    <row r="168" spans="1:23" x14ac:dyDescent="0.3">
      <c r="A168" s="70">
        <v>100009267</v>
      </c>
      <c r="B168" s="71">
        <v>1070</v>
      </c>
      <c r="C168" s="96">
        <v>33984010703</v>
      </c>
      <c r="D168" s="72" t="s">
        <v>192</v>
      </c>
      <c r="E168" s="72" t="s">
        <v>608</v>
      </c>
      <c r="F168" s="73">
        <v>100</v>
      </c>
      <c r="G168" s="73" t="s">
        <v>330</v>
      </c>
      <c r="H168" s="73">
        <v>12</v>
      </c>
      <c r="I168" s="105" t="s">
        <v>851</v>
      </c>
      <c r="J168" s="74">
        <v>0.51075000000000004</v>
      </c>
      <c r="K168" s="2">
        <v>9.9540000000000006</v>
      </c>
      <c r="L168" s="2">
        <v>9.4009999999999998</v>
      </c>
      <c r="M168" s="75"/>
      <c r="N168" s="2">
        <f t="shared" si="15"/>
        <v>0</v>
      </c>
      <c r="O168" s="106">
        <f t="shared" si="16"/>
        <v>0</v>
      </c>
      <c r="Q168" s="76"/>
      <c r="R168" s="11" t="str">
        <f t="shared" si="17"/>
        <v>-</v>
      </c>
      <c r="S168" s="30" t="str">
        <f t="shared" si="18"/>
        <v>-</v>
      </c>
      <c r="T168" s="12" t="str">
        <f t="shared" si="19"/>
        <v>-</v>
      </c>
      <c r="U168" s="13" t="str">
        <f t="shared" si="20"/>
        <v>-</v>
      </c>
      <c r="W168" s="13" t="str">
        <f t="shared" si="14"/>
        <v>-</v>
      </c>
    </row>
    <row r="169" spans="1:23" x14ac:dyDescent="0.3">
      <c r="A169" s="70">
        <v>100009467</v>
      </c>
      <c r="B169" s="71">
        <v>2051</v>
      </c>
      <c r="C169" s="96">
        <v>33984020511</v>
      </c>
      <c r="D169" s="72" t="s">
        <v>194</v>
      </c>
      <c r="E169" s="72" t="s">
        <v>613</v>
      </c>
      <c r="F169" s="73">
        <v>60</v>
      </c>
      <c r="G169" s="73" t="s">
        <v>330</v>
      </c>
      <c r="H169" s="73">
        <v>23</v>
      </c>
      <c r="I169" s="105" t="s">
        <v>851</v>
      </c>
      <c r="J169" s="74">
        <v>0.28375</v>
      </c>
      <c r="K169" s="2">
        <v>17.891999999999999</v>
      </c>
      <c r="L169" s="2">
        <v>16.897999999999996</v>
      </c>
      <c r="M169" s="75"/>
      <c r="N169" s="2">
        <f t="shared" si="15"/>
        <v>0</v>
      </c>
      <c r="O169" s="106">
        <f t="shared" si="16"/>
        <v>0</v>
      </c>
      <c r="Q169" s="76"/>
      <c r="R169" s="11" t="str">
        <f t="shared" si="17"/>
        <v>-</v>
      </c>
      <c r="S169" s="30" t="str">
        <f t="shared" si="18"/>
        <v>-</v>
      </c>
      <c r="T169" s="12" t="str">
        <f t="shared" si="19"/>
        <v>-</v>
      </c>
      <c r="U169" s="13" t="str">
        <f t="shared" si="20"/>
        <v>-</v>
      </c>
      <c r="W169" s="13" t="str">
        <f t="shared" si="14"/>
        <v>-</v>
      </c>
    </row>
    <row r="170" spans="1:23" x14ac:dyDescent="0.3">
      <c r="A170" s="70">
        <v>100009565</v>
      </c>
      <c r="B170" s="71">
        <v>2714</v>
      </c>
      <c r="C170" s="96">
        <v>33984027145</v>
      </c>
      <c r="D170" s="72" t="s">
        <v>197</v>
      </c>
      <c r="E170" s="72" t="s">
        <v>618</v>
      </c>
      <c r="F170" s="73">
        <v>60</v>
      </c>
      <c r="G170" s="73" t="s">
        <v>330</v>
      </c>
      <c r="H170" s="73">
        <v>23</v>
      </c>
      <c r="I170" s="105" t="s">
        <v>851</v>
      </c>
      <c r="J170" s="74">
        <v>0.29510000000000003</v>
      </c>
      <c r="K170" s="2">
        <v>17.639999999999997</v>
      </c>
      <c r="L170" s="2">
        <v>16.66</v>
      </c>
      <c r="M170" s="75"/>
      <c r="N170" s="2">
        <f t="shared" si="15"/>
        <v>0</v>
      </c>
      <c r="O170" s="106">
        <f t="shared" si="16"/>
        <v>0</v>
      </c>
      <c r="Q170" s="76"/>
      <c r="R170" s="11" t="str">
        <f t="shared" si="17"/>
        <v>-</v>
      </c>
      <c r="S170" s="30" t="str">
        <f t="shared" si="18"/>
        <v>-</v>
      </c>
      <c r="T170" s="12" t="str">
        <f t="shared" si="19"/>
        <v>-</v>
      </c>
      <c r="U170" s="13" t="str">
        <f t="shared" si="20"/>
        <v>-</v>
      </c>
      <c r="W170" s="13" t="str">
        <f t="shared" si="14"/>
        <v>-</v>
      </c>
    </row>
    <row r="171" spans="1:23" x14ac:dyDescent="0.3">
      <c r="A171" s="70">
        <v>100009211</v>
      </c>
      <c r="B171" s="71">
        <v>941</v>
      </c>
      <c r="C171" s="96">
        <v>33984009417</v>
      </c>
      <c r="D171" s="72" t="s">
        <v>198</v>
      </c>
      <c r="E171" s="72" t="s">
        <v>620</v>
      </c>
      <c r="F171" s="73">
        <v>250</v>
      </c>
      <c r="G171" s="73" t="s">
        <v>330</v>
      </c>
      <c r="H171" s="73">
        <v>20</v>
      </c>
      <c r="I171" s="105" t="s">
        <v>851</v>
      </c>
      <c r="J171" s="74">
        <v>0.44265000000000004</v>
      </c>
      <c r="K171" s="2">
        <v>12.222</v>
      </c>
      <c r="L171" s="2">
        <v>11.542999999999997</v>
      </c>
      <c r="M171" s="75"/>
      <c r="N171" s="2">
        <f t="shared" si="15"/>
        <v>0</v>
      </c>
      <c r="O171" s="106">
        <f t="shared" si="16"/>
        <v>0</v>
      </c>
      <c r="Q171" s="76"/>
      <c r="R171" s="11" t="str">
        <f t="shared" si="17"/>
        <v>-</v>
      </c>
      <c r="S171" s="30" t="str">
        <f t="shared" si="18"/>
        <v>-</v>
      </c>
      <c r="T171" s="12" t="str">
        <f t="shared" si="19"/>
        <v>-</v>
      </c>
      <c r="U171" s="13" t="str">
        <f t="shared" si="20"/>
        <v>-</v>
      </c>
      <c r="W171" s="13" t="str">
        <f t="shared" si="14"/>
        <v>-</v>
      </c>
    </row>
    <row r="172" spans="1:23" x14ac:dyDescent="0.3">
      <c r="A172" s="70">
        <v>100009321</v>
      </c>
      <c r="B172" s="71">
        <v>1272</v>
      </c>
      <c r="C172" s="96">
        <v>33984012721</v>
      </c>
      <c r="D172" s="72" t="s">
        <v>201</v>
      </c>
      <c r="E172" s="72" t="s">
        <v>627</v>
      </c>
      <c r="F172" s="73">
        <v>180</v>
      </c>
      <c r="G172" s="73" t="s">
        <v>305</v>
      </c>
      <c r="H172" s="73">
        <v>12</v>
      </c>
      <c r="I172" s="105" t="s">
        <v>851</v>
      </c>
      <c r="J172" s="74">
        <v>0.68099999999999994</v>
      </c>
      <c r="K172" s="2">
        <v>30.24</v>
      </c>
      <c r="L172" s="2">
        <v>28.559999999999995</v>
      </c>
      <c r="M172" s="75"/>
      <c r="N172" s="2">
        <f t="shared" si="15"/>
        <v>0</v>
      </c>
      <c r="O172" s="106">
        <f t="shared" si="16"/>
        <v>0</v>
      </c>
      <c r="Q172" s="76"/>
      <c r="R172" s="11" t="str">
        <f t="shared" si="17"/>
        <v>-</v>
      </c>
      <c r="S172" s="30" t="str">
        <f t="shared" si="18"/>
        <v>-</v>
      </c>
      <c r="T172" s="12" t="str">
        <f t="shared" si="19"/>
        <v>-</v>
      </c>
      <c r="U172" s="13" t="str">
        <f t="shared" si="20"/>
        <v>-</v>
      </c>
      <c r="W172" s="13" t="str">
        <f t="shared" si="14"/>
        <v>-</v>
      </c>
    </row>
    <row r="173" spans="1:23" x14ac:dyDescent="0.3">
      <c r="A173" s="70">
        <v>100009332</v>
      </c>
      <c r="B173" s="71">
        <v>1315</v>
      </c>
      <c r="C173" s="96">
        <v>33984013155</v>
      </c>
      <c r="D173" s="72" t="s">
        <v>203</v>
      </c>
      <c r="E173" s="72" t="s">
        <v>630</v>
      </c>
      <c r="F173" s="73">
        <v>120</v>
      </c>
      <c r="G173" s="73" t="s">
        <v>305</v>
      </c>
      <c r="H173" s="73">
        <v>20</v>
      </c>
      <c r="I173" s="105" t="s">
        <v>851</v>
      </c>
      <c r="J173" s="74">
        <v>0.41994999999999999</v>
      </c>
      <c r="K173" s="2">
        <v>18.27</v>
      </c>
      <c r="L173" s="2">
        <v>17.254999999999999</v>
      </c>
      <c r="M173" s="75"/>
      <c r="N173" s="2">
        <f t="shared" si="15"/>
        <v>0</v>
      </c>
      <c r="O173" s="106">
        <f t="shared" si="16"/>
        <v>0</v>
      </c>
      <c r="Q173" s="76"/>
      <c r="R173" s="11" t="str">
        <f t="shared" si="17"/>
        <v>-</v>
      </c>
      <c r="S173" s="30" t="str">
        <f t="shared" si="18"/>
        <v>-</v>
      </c>
      <c r="T173" s="12" t="str">
        <f t="shared" si="19"/>
        <v>-</v>
      </c>
      <c r="U173" s="13" t="str">
        <f t="shared" si="20"/>
        <v>-</v>
      </c>
      <c r="W173" s="13" t="str">
        <f t="shared" si="14"/>
        <v>-</v>
      </c>
    </row>
    <row r="174" spans="1:23" x14ac:dyDescent="0.3">
      <c r="A174" s="70">
        <v>100009446</v>
      </c>
      <c r="B174" s="71">
        <v>1937</v>
      </c>
      <c r="C174" s="96">
        <v>33984019379</v>
      </c>
      <c r="D174" s="72" t="s">
        <v>205</v>
      </c>
      <c r="E174" s="72" t="s">
        <v>635</v>
      </c>
      <c r="F174" s="73">
        <v>120</v>
      </c>
      <c r="G174" s="73" t="s">
        <v>305</v>
      </c>
      <c r="H174" s="73">
        <v>30</v>
      </c>
      <c r="I174" s="105" t="s">
        <v>851</v>
      </c>
      <c r="J174" s="74">
        <v>0.15667912045811669</v>
      </c>
      <c r="K174" s="2">
        <v>11.718</v>
      </c>
      <c r="L174" s="2">
        <v>11.067</v>
      </c>
      <c r="M174" s="75"/>
      <c r="N174" s="2">
        <f t="shared" si="15"/>
        <v>0</v>
      </c>
      <c r="O174" s="106">
        <f t="shared" si="16"/>
        <v>0</v>
      </c>
      <c r="Q174" s="76"/>
      <c r="R174" s="11" t="str">
        <f t="shared" si="17"/>
        <v>-</v>
      </c>
      <c r="S174" s="30" t="str">
        <f t="shared" si="18"/>
        <v>-</v>
      </c>
      <c r="T174" s="12" t="str">
        <f t="shared" si="19"/>
        <v>-</v>
      </c>
      <c r="U174" s="13" t="str">
        <f t="shared" si="20"/>
        <v>-</v>
      </c>
      <c r="W174" s="13" t="str">
        <f t="shared" si="14"/>
        <v>-</v>
      </c>
    </row>
    <row r="175" spans="1:23" x14ac:dyDescent="0.3">
      <c r="A175" s="70">
        <v>100009518</v>
      </c>
      <c r="B175" s="71">
        <v>2327</v>
      </c>
      <c r="C175" s="96">
        <v>33984023277</v>
      </c>
      <c r="D175" s="72" t="s">
        <v>221</v>
      </c>
      <c r="E175" s="72" t="s">
        <v>674</v>
      </c>
      <c r="F175" s="73">
        <v>50</v>
      </c>
      <c r="G175" s="73" t="s">
        <v>300</v>
      </c>
      <c r="H175" s="73">
        <v>36</v>
      </c>
      <c r="I175" s="105" t="s">
        <v>851</v>
      </c>
      <c r="J175" s="74">
        <v>0.13342608560370836</v>
      </c>
      <c r="K175" s="2">
        <v>15.749999999999998</v>
      </c>
      <c r="L175" s="2">
        <v>14.874999999999998</v>
      </c>
      <c r="M175" s="75"/>
      <c r="N175" s="2">
        <f t="shared" si="15"/>
        <v>0</v>
      </c>
      <c r="O175" s="106">
        <f t="shared" si="16"/>
        <v>0</v>
      </c>
      <c r="Q175" s="76"/>
      <c r="R175" s="11" t="str">
        <f t="shared" si="17"/>
        <v>-</v>
      </c>
      <c r="S175" s="30" t="str">
        <f t="shared" si="18"/>
        <v>-</v>
      </c>
      <c r="T175" s="12" t="str">
        <f t="shared" si="19"/>
        <v>-</v>
      </c>
      <c r="U175" s="13" t="str">
        <f t="shared" si="20"/>
        <v>-</v>
      </c>
      <c r="W175" s="13" t="str">
        <f t="shared" si="14"/>
        <v>-</v>
      </c>
    </row>
    <row r="176" spans="1:23" x14ac:dyDescent="0.3">
      <c r="A176" s="70">
        <v>100009503</v>
      </c>
      <c r="B176" s="71">
        <v>2295</v>
      </c>
      <c r="C176" s="96">
        <v>33984022959</v>
      </c>
      <c r="D176" s="72" t="s">
        <v>223</v>
      </c>
      <c r="E176" s="72" t="s">
        <v>678</v>
      </c>
      <c r="F176" s="73">
        <v>60</v>
      </c>
      <c r="G176" s="73" t="s">
        <v>300</v>
      </c>
      <c r="H176" s="73">
        <v>25</v>
      </c>
      <c r="I176" s="105" t="s">
        <v>851</v>
      </c>
      <c r="J176" s="74">
        <v>0.20429999999999998</v>
      </c>
      <c r="K176" s="2">
        <v>25.2</v>
      </c>
      <c r="L176" s="2">
        <v>23.799999999999997</v>
      </c>
      <c r="M176" s="75"/>
      <c r="N176" s="2">
        <f t="shared" si="15"/>
        <v>0</v>
      </c>
      <c r="O176" s="106">
        <f t="shared" si="16"/>
        <v>0</v>
      </c>
      <c r="Q176" s="76"/>
      <c r="R176" s="11" t="str">
        <f t="shared" si="17"/>
        <v>-</v>
      </c>
      <c r="S176" s="30" t="str">
        <f t="shared" si="18"/>
        <v>-</v>
      </c>
      <c r="T176" s="12" t="str">
        <f t="shared" si="19"/>
        <v>-</v>
      </c>
      <c r="U176" s="13" t="str">
        <f t="shared" si="20"/>
        <v>-</v>
      </c>
      <c r="W176" s="13" t="str">
        <f t="shared" si="14"/>
        <v>-</v>
      </c>
    </row>
    <row r="177" spans="1:23" x14ac:dyDescent="0.3">
      <c r="A177" s="70">
        <v>100009377</v>
      </c>
      <c r="B177" s="71">
        <v>1581</v>
      </c>
      <c r="C177" s="96">
        <v>33984015814</v>
      </c>
      <c r="D177" s="72" t="s">
        <v>225</v>
      </c>
      <c r="E177" s="72" t="s">
        <v>680</v>
      </c>
      <c r="F177" s="73">
        <v>100</v>
      </c>
      <c r="G177" s="73" t="s">
        <v>305</v>
      </c>
      <c r="H177" s="73">
        <v>20</v>
      </c>
      <c r="I177" s="105" t="s">
        <v>851</v>
      </c>
      <c r="J177" s="74">
        <v>0.44265000000000004</v>
      </c>
      <c r="K177" s="2">
        <v>15.12</v>
      </c>
      <c r="L177" s="2">
        <v>14.279999999999998</v>
      </c>
      <c r="M177" s="75"/>
      <c r="N177" s="2">
        <f t="shared" si="15"/>
        <v>0</v>
      </c>
      <c r="O177" s="106">
        <f t="shared" si="16"/>
        <v>0</v>
      </c>
      <c r="Q177" s="76"/>
      <c r="R177" s="11" t="str">
        <f t="shared" si="17"/>
        <v>-</v>
      </c>
      <c r="S177" s="30" t="str">
        <f t="shared" si="18"/>
        <v>-</v>
      </c>
      <c r="T177" s="12" t="str">
        <f t="shared" si="19"/>
        <v>-</v>
      </c>
      <c r="U177" s="13" t="str">
        <f t="shared" si="20"/>
        <v>-</v>
      </c>
      <c r="W177" s="13" t="str">
        <f t="shared" si="14"/>
        <v>-</v>
      </c>
    </row>
    <row r="178" spans="1:23" x14ac:dyDescent="0.3">
      <c r="A178" s="70">
        <v>100009489</v>
      </c>
      <c r="B178" s="71">
        <v>2208</v>
      </c>
      <c r="C178" s="96">
        <v>33984022089</v>
      </c>
      <c r="D178" s="72" t="s">
        <v>226</v>
      </c>
      <c r="E178" s="72" t="s">
        <v>681</v>
      </c>
      <c r="F178" s="73">
        <v>60</v>
      </c>
      <c r="G178" s="73" t="s">
        <v>330</v>
      </c>
      <c r="H178" s="73">
        <v>23</v>
      </c>
      <c r="I178" s="105" t="s">
        <v>851</v>
      </c>
      <c r="J178" s="74">
        <v>0.27239999999999998</v>
      </c>
      <c r="K178" s="2">
        <v>41.58</v>
      </c>
      <c r="L178" s="2">
        <v>39.269999999999996</v>
      </c>
      <c r="M178" s="75"/>
      <c r="N178" s="2">
        <f t="shared" si="15"/>
        <v>0</v>
      </c>
      <c r="O178" s="106">
        <f t="shared" si="16"/>
        <v>0</v>
      </c>
      <c r="Q178" s="76"/>
      <c r="R178" s="11" t="str">
        <f t="shared" si="17"/>
        <v>-</v>
      </c>
      <c r="S178" s="30" t="str">
        <f t="shared" si="18"/>
        <v>-</v>
      </c>
      <c r="T178" s="12" t="str">
        <f t="shared" si="19"/>
        <v>-</v>
      </c>
      <c r="U178" s="13" t="str">
        <f t="shared" si="20"/>
        <v>-</v>
      </c>
      <c r="W178" s="13" t="str">
        <f t="shared" si="14"/>
        <v>-</v>
      </c>
    </row>
    <row r="179" spans="1:23" x14ac:dyDescent="0.3">
      <c r="A179" s="70">
        <v>100009390</v>
      </c>
      <c r="B179" s="71">
        <v>1699</v>
      </c>
      <c r="C179" s="96">
        <v>33984016996</v>
      </c>
      <c r="D179" s="72" t="s">
        <v>196</v>
      </c>
      <c r="E179" s="72" t="s">
        <v>835</v>
      </c>
      <c r="F179" s="73">
        <v>240</v>
      </c>
      <c r="G179" s="73" t="s">
        <v>330</v>
      </c>
      <c r="H179" s="73"/>
      <c r="I179" s="105" t="s">
        <v>851</v>
      </c>
      <c r="J179" s="74">
        <v>0</v>
      </c>
      <c r="K179" s="2">
        <v>17.198999999999998</v>
      </c>
      <c r="L179" s="2">
        <v>16.243499999999997</v>
      </c>
      <c r="M179" s="75"/>
      <c r="N179" s="2">
        <f t="shared" si="15"/>
        <v>0</v>
      </c>
      <c r="O179" s="106">
        <f t="shared" si="16"/>
        <v>0</v>
      </c>
      <c r="Q179" s="76"/>
      <c r="R179" s="11" t="str">
        <f t="shared" si="17"/>
        <v>-</v>
      </c>
      <c r="S179" s="30" t="str">
        <f t="shared" si="18"/>
        <v>-</v>
      </c>
      <c r="T179" s="12" t="str">
        <f t="shared" si="19"/>
        <v>-</v>
      </c>
      <c r="U179" s="13" t="str">
        <f t="shared" si="20"/>
        <v>-</v>
      </c>
      <c r="W179" s="13" t="str">
        <f t="shared" si="14"/>
        <v>-</v>
      </c>
    </row>
    <row r="180" spans="1:23" x14ac:dyDescent="0.3">
      <c r="A180" s="70">
        <v>100009314</v>
      </c>
      <c r="B180" s="71">
        <v>1220</v>
      </c>
      <c r="C180" s="96">
        <v>33984012202</v>
      </c>
      <c r="D180" s="72" t="s">
        <v>218</v>
      </c>
      <c r="E180" s="72" t="s">
        <v>836</v>
      </c>
      <c r="F180" s="73">
        <v>100</v>
      </c>
      <c r="G180" s="73" t="s">
        <v>330</v>
      </c>
      <c r="H180" s="73"/>
      <c r="I180" s="105" t="s">
        <v>851</v>
      </c>
      <c r="J180" s="74">
        <v>0</v>
      </c>
      <c r="K180" s="2">
        <v>4.4729999999999999</v>
      </c>
      <c r="L180" s="2">
        <v>4.224499999999999</v>
      </c>
      <c r="M180" s="75"/>
      <c r="N180" s="2">
        <f t="shared" si="15"/>
        <v>0</v>
      </c>
      <c r="O180" s="106">
        <f t="shared" si="16"/>
        <v>0</v>
      </c>
      <c r="Q180" s="76"/>
      <c r="R180" s="11" t="str">
        <f t="shared" si="17"/>
        <v>-</v>
      </c>
      <c r="S180" s="30" t="str">
        <f t="shared" si="18"/>
        <v>-</v>
      </c>
      <c r="T180" s="12" t="str">
        <f t="shared" si="19"/>
        <v>-</v>
      </c>
      <c r="U180" s="13" t="str">
        <f t="shared" si="20"/>
        <v>-</v>
      </c>
      <c r="W180" s="13" t="str">
        <f t="shared" si="14"/>
        <v>-</v>
      </c>
    </row>
    <row r="181" spans="1:23" x14ac:dyDescent="0.3">
      <c r="A181" s="70">
        <v>100009315</v>
      </c>
      <c r="B181" s="71">
        <v>1221</v>
      </c>
      <c r="C181" s="96">
        <v>33984012219</v>
      </c>
      <c r="D181" s="72" t="s">
        <v>218</v>
      </c>
      <c r="E181" s="72" t="s">
        <v>837</v>
      </c>
      <c r="F181" s="73">
        <v>250</v>
      </c>
      <c r="G181" s="73" t="s">
        <v>330</v>
      </c>
      <c r="H181" s="73"/>
      <c r="I181" s="105" t="s">
        <v>851</v>
      </c>
      <c r="J181" s="74">
        <v>0.28375</v>
      </c>
      <c r="K181" s="2">
        <v>8.5679999999999996</v>
      </c>
      <c r="L181" s="2">
        <v>8.0919999999999987</v>
      </c>
      <c r="M181" s="75"/>
      <c r="N181" s="2">
        <f t="shared" si="15"/>
        <v>0</v>
      </c>
      <c r="O181" s="106">
        <f t="shared" si="16"/>
        <v>0</v>
      </c>
      <c r="Q181" s="76"/>
      <c r="R181" s="11" t="str">
        <f t="shared" si="17"/>
        <v>-</v>
      </c>
      <c r="S181" s="30" t="str">
        <f t="shared" si="18"/>
        <v>-</v>
      </c>
      <c r="T181" s="12" t="str">
        <f t="shared" si="19"/>
        <v>-</v>
      </c>
      <c r="U181" s="13" t="str">
        <f t="shared" si="20"/>
        <v>-</v>
      </c>
      <c r="W181" s="13" t="str">
        <f t="shared" si="14"/>
        <v>-</v>
      </c>
    </row>
    <row r="182" spans="1:23" x14ac:dyDescent="0.3">
      <c r="A182" s="70">
        <v>100189883</v>
      </c>
      <c r="B182" s="71">
        <v>30093</v>
      </c>
      <c r="C182" s="96">
        <v>33984300934</v>
      </c>
      <c r="D182" s="72" t="s">
        <v>253</v>
      </c>
      <c r="E182" s="72" t="s">
        <v>291</v>
      </c>
      <c r="F182" s="73" t="s">
        <v>271</v>
      </c>
      <c r="G182" s="73" t="s">
        <v>292</v>
      </c>
      <c r="H182" s="73">
        <v>12</v>
      </c>
      <c r="I182" s="105" t="s">
        <v>850</v>
      </c>
      <c r="J182" s="74">
        <v>1.8367799999999999</v>
      </c>
      <c r="K182" s="2">
        <v>18.8874</v>
      </c>
      <c r="L182" s="2">
        <v>17.838100000000001</v>
      </c>
      <c r="M182" s="75"/>
      <c r="N182" s="2">
        <f t="shared" si="15"/>
        <v>0</v>
      </c>
      <c r="O182" s="106">
        <f t="shared" si="16"/>
        <v>0</v>
      </c>
      <c r="Q182" s="76"/>
      <c r="R182" s="11" t="str">
        <f t="shared" si="17"/>
        <v>-</v>
      </c>
      <c r="S182" s="30" t="str">
        <f t="shared" si="18"/>
        <v>-</v>
      </c>
      <c r="T182" s="12" t="str">
        <f t="shared" si="19"/>
        <v>-</v>
      </c>
      <c r="U182" s="13" t="str">
        <f t="shared" si="20"/>
        <v>-</v>
      </c>
      <c r="W182" s="13" t="str">
        <f t="shared" si="14"/>
        <v>-</v>
      </c>
    </row>
    <row r="183" spans="1:23" x14ac:dyDescent="0.3">
      <c r="A183" s="70">
        <v>100189885</v>
      </c>
      <c r="B183" s="71">
        <v>30094</v>
      </c>
      <c r="C183" s="96">
        <v>33984300941</v>
      </c>
      <c r="D183" s="72" t="s">
        <v>253</v>
      </c>
      <c r="E183" s="72" t="s">
        <v>293</v>
      </c>
      <c r="F183" s="73" t="s">
        <v>272</v>
      </c>
      <c r="G183" s="73" t="s">
        <v>292</v>
      </c>
      <c r="H183" s="73">
        <v>6</v>
      </c>
      <c r="I183" s="105" t="s">
        <v>850</v>
      </c>
      <c r="J183" s="74">
        <v>1.3692359999999999</v>
      </c>
      <c r="K183" s="2">
        <v>43.8354</v>
      </c>
      <c r="L183" s="2">
        <v>41.400099999999995</v>
      </c>
      <c r="M183" s="75"/>
      <c r="N183" s="2">
        <f t="shared" si="15"/>
        <v>0</v>
      </c>
      <c r="O183" s="106">
        <f t="shared" si="16"/>
        <v>0</v>
      </c>
      <c r="Q183" s="76"/>
      <c r="R183" s="11" t="str">
        <f t="shared" si="17"/>
        <v>-</v>
      </c>
      <c r="S183" s="30" t="str">
        <f t="shared" si="18"/>
        <v>-</v>
      </c>
      <c r="T183" s="12" t="str">
        <f t="shared" si="19"/>
        <v>-</v>
      </c>
      <c r="U183" s="13" t="str">
        <f t="shared" si="20"/>
        <v>-</v>
      </c>
      <c r="W183" s="13" t="str">
        <f t="shared" si="14"/>
        <v>-</v>
      </c>
    </row>
    <row r="184" spans="1:23" x14ac:dyDescent="0.3">
      <c r="A184" s="70">
        <v>100009653</v>
      </c>
      <c r="B184" s="71">
        <v>3672</v>
      </c>
      <c r="C184" s="96">
        <v>33984036727</v>
      </c>
      <c r="D184" s="72" t="s">
        <v>17</v>
      </c>
      <c r="E184" s="72" t="s">
        <v>294</v>
      </c>
      <c r="F184" s="73" t="s">
        <v>271</v>
      </c>
      <c r="G184" s="73" t="s">
        <v>292</v>
      </c>
      <c r="H184" s="73">
        <v>12</v>
      </c>
      <c r="I184" s="105" t="s">
        <v>850</v>
      </c>
      <c r="J184" s="74">
        <v>0.68858156718312513</v>
      </c>
      <c r="K184" s="2">
        <v>18.131399999999999</v>
      </c>
      <c r="L184" s="2">
        <v>17.124099999999999</v>
      </c>
      <c r="M184" s="75"/>
      <c r="N184" s="2">
        <f t="shared" si="15"/>
        <v>0</v>
      </c>
      <c r="O184" s="106">
        <f t="shared" si="16"/>
        <v>0</v>
      </c>
      <c r="Q184" s="76"/>
      <c r="R184" s="11" t="str">
        <f t="shared" si="17"/>
        <v>-</v>
      </c>
      <c r="S184" s="30" t="str">
        <f t="shared" si="18"/>
        <v>-</v>
      </c>
      <c r="T184" s="12" t="str">
        <f t="shared" si="19"/>
        <v>-</v>
      </c>
      <c r="U184" s="13" t="str">
        <f t="shared" si="20"/>
        <v>-</v>
      </c>
      <c r="W184" s="13" t="str">
        <f t="shared" si="14"/>
        <v>-</v>
      </c>
    </row>
    <row r="185" spans="1:23" x14ac:dyDescent="0.3">
      <c r="A185" s="70">
        <v>100009654</v>
      </c>
      <c r="B185" s="71">
        <v>3673</v>
      </c>
      <c r="C185" s="96">
        <v>33984036734</v>
      </c>
      <c r="D185" s="72" t="s">
        <v>17</v>
      </c>
      <c r="E185" s="72" t="s">
        <v>295</v>
      </c>
      <c r="F185" s="73" t="s">
        <v>272</v>
      </c>
      <c r="G185" s="73" t="s">
        <v>292</v>
      </c>
      <c r="H185" s="73">
        <v>6</v>
      </c>
      <c r="I185" s="105" t="s">
        <v>850</v>
      </c>
      <c r="J185" s="74">
        <v>1.7006463129681668</v>
      </c>
      <c r="K185" s="2">
        <v>41.567399999999999</v>
      </c>
      <c r="L185" s="2">
        <v>39.258099999999999</v>
      </c>
      <c r="M185" s="75"/>
      <c r="N185" s="2">
        <f t="shared" si="15"/>
        <v>0</v>
      </c>
      <c r="O185" s="106">
        <f t="shared" si="16"/>
        <v>0</v>
      </c>
      <c r="Q185" s="76"/>
      <c r="R185" s="11" t="str">
        <f t="shared" si="17"/>
        <v>-</v>
      </c>
      <c r="S185" s="30" t="str">
        <f t="shared" si="18"/>
        <v>-</v>
      </c>
      <c r="T185" s="12" t="str">
        <f t="shared" si="19"/>
        <v>-</v>
      </c>
      <c r="U185" s="13" t="str">
        <f t="shared" si="20"/>
        <v>-</v>
      </c>
      <c r="W185" s="13" t="str">
        <f t="shared" si="14"/>
        <v>-</v>
      </c>
    </row>
    <row r="186" spans="1:23" x14ac:dyDescent="0.3">
      <c r="A186" s="70">
        <v>100009650</v>
      </c>
      <c r="B186" s="71">
        <v>3667</v>
      </c>
      <c r="C186" s="96">
        <v>33984036673</v>
      </c>
      <c r="D186" s="72" t="s">
        <v>254</v>
      </c>
      <c r="E186" s="72" t="s">
        <v>296</v>
      </c>
      <c r="F186" s="73" t="s">
        <v>282</v>
      </c>
      <c r="G186" s="73" t="s">
        <v>292</v>
      </c>
      <c r="H186" s="73">
        <v>12</v>
      </c>
      <c r="I186" s="105" t="s">
        <v>850</v>
      </c>
      <c r="J186" s="74">
        <v>0.56373593724525006</v>
      </c>
      <c r="K186" s="2">
        <v>18.131399999999999</v>
      </c>
      <c r="L186" s="2">
        <v>17.124099999999999</v>
      </c>
      <c r="M186" s="75"/>
      <c r="N186" s="2">
        <f t="shared" si="15"/>
        <v>0</v>
      </c>
      <c r="O186" s="106">
        <f t="shared" si="16"/>
        <v>0</v>
      </c>
      <c r="Q186" s="76"/>
      <c r="R186" s="11" t="str">
        <f t="shared" si="17"/>
        <v>-</v>
      </c>
      <c r="S186" s="30" t="str">
        <f t="shared" si="18"/>
        <v>-</v>
      </c>
      <c r="T186" s="12" t="str">
        <f t="shared" si="19"/>
        <v>-</v>
      </c>
      <c r="U186" s="13" t="str">
        <f t="shared" si="20"/>
        <v>-</v>
      </c>
      <c r="W186" s="13" t="str">
        <f t="shared" si="14"/>
        <v>-</v>
      </c>
    </row>
    <row r="187" spans="1:23" x14ac:dyDescent="0.3">
      <c r="A187" s="77">
        <v>100009094</v>
      </c>
      <c r="B187" s="78">
        <v>102</v>
      </c>
      <c r="C187" s="97">
        <v>33984001022</v>
      </c>
      <c r="D187" s="79" t="s">
        <v>298</v>
      </c>
      <c r="E187" s="79" t="s">
        <v>299</v>
      </c>
      <c r="F187" s="73">
        <v>90</v>
      </c>
      <c r="G187" s="73" t="s">
        <v>300</v>
      </c>
      <c r="H187" s="73"/>
      <c r="I187" s="105" t="s">
        <v>850</v>
      </c>
      <c r="J187" s="74">
        <v>0.26480032311341306</v>
      </c>
      <c r="K187" s="2">
        <v>19.088999999999999</v>
      </c>
      <c r="L187" s="2">
        <v>18.028499999999998</v>
      </c>
      <c r="M187" s="75"/>
      <c r="N187" s="2">
        <f t="shared" si="15"/>
        <v>0</v>
      </c>
      <c r="O187" s="106">
        <f t="shared" si="16"/>
        <v>0</v>
      </c>
      <c r="Q187" s="76"/>
      <c r="R187" s="11" t="str">
        <f t="shared" si="17"/>
        <v>-</v>
      </c>
      <c r="S187" s="30" t="str">
        <f t="shared" si="18"/>
        <v>-</v>
      </c>
      <c r="T187" s="12" t="str">
        <f t="shared" si="19"/>
        <v>-</v>
      </c>
      <c r="U187" s="13" t="str">
        <f t="shared" si="20"/>
        <v>-</v>
      </c>
      <c r="W187" s="13" t="str">
        <f t="shared" si="14"/>
        <v>-</v>
      </c>
    </row>
    <row r="188" spans="1:23" x14ac:dyDescent="0.3">
      <c r="A188" s="70">
        <v>100009164</v>
      </c>
      <c r="B188" s="71">
        <v>571</v>
      </c>
      <c r="C188" s="96">
        <v>33984005716</v>
      </c>
      <c r="D188" s="72" t="s">
        <v>18</v>
      </c>
      <c r="E188" s="72" t="s">
        <v>304</v>
      </c>
      <c r="F188" s="73">
        <v>60</v>
      </c>
      <c r="G188" s="73" t="s">
        <v>305</v>
      </c>
      <c r="H188" s="73">
        <v>24</v>
      </c>
      <c r="I188" s="105" t="s">
        <v>850</v>
      </c>
      <c r="J188" s="74">
        <v>0.24970000000000001</v>
      </c>
      <c r="K188" s="2">
        <v>22.679999999999996</v>
      </c>
      <c r="L188" s="2">
        <v>21.419999999999998</v>
      </c>
      <c r="M188" s="75"/>
      <c r="N188" s="2">
        <f t="shared" si="15"/>
        <v>0</v>
      </c>
      <c r="O188" s="106">
        <f t="shared" si="16"/>
        <v>0</v>
      </c>
      <c r="Q188" s="76"/>
      <c r="R188" s="11" t="str">
        <f t="shared" si="17"/>
        <v>-</v>
      </c>
      <c r="S188" s="30" t="str">
        <f t="shared" si="18"/>
        <v>-</v>
      </c>
      <c r="T188" s="12" t="str">
        <f t="shared" si="19"/>
        <v>-</v>
      </c>
      <c r="U188" s="13" t="str">
        <f t="shared" si="20"/>
        <v>-</v>
      </c>
      <c r="W188" s="13" t="str">
        <f t="shared" si="14"/>
        <v>-</v>
      </c>
    </row>
    <row r="189" spans="1:23" x14ac:dyDescent="0.3">
      <c r="A189" s="70">
        <v>100009241</v>
      </c>
      <c r="B189" s="71">
        <v>1011</v>
      </c>
      <c r="C189" s="96">
        <v>33984010116</v>
      </c>
      <c r="D189" s="72" t="s">
        <v>20</v>
      </c>
      <c r="E189" s="72" t="s">
        <v>309</v>
      </c>
      <c r="F189" s="73">
        <v>100</v>
      </c>
      <c r="G189" s="73" t="s">
        <v>300</v>
      </c>
      <c r="H189" s="73">
        <v>20</v>
      </c>
      <c r="I189" s="105" t="s">
        <v>850</v>
      </c>
      <c r="J189" s="74">
        <v>0.31780000000000003</v>
      </c>
      <c r="K189" s="2">
        <v>18.899999999999999</v>
      </c>
      <c r="L189" s="2">
        <v>17.849999999999998</v>
      </c>
      <c r="M189" s="75"/>
      <c r="N189" s="2">
        <f t="shared" si="15"/>
        <v>0</v>
      </c>
      <c r="O189" s="106">
        <f t="shared" si="16"/>
        <v>0</v>
      </c>
      <c r="Q189" s="76"/>
      <c r="R189" s="11" t="str">
        <f t="shared" si="17"/>
        <v>-</v>
      </c>
      <c r="S189" s="30" t="str">
        <f t="shared" si="18"/>
        <v>-</v>
      </c>
      <c r="T189" s="12" t="str">
        <f t="shared" si="19"/>
        <v>-</v>
      </c>
      <c r="U189" s="13" t="str">
        <f t="shared" si="20"/>
        <v>-</v>
      </c>
      <c r="W189" s="13" t="str">
        <f t="shared" si="14"/>
        <v>-</v>
      </c>
    </row>
    <row r="190" spans="1:23" x14ac:dyDescent="0.3">
      <c r="A190" s="70">
        <v>100009338</v>
      </c>
      <c r="B190" s="71">
        <v>1321</v>
      </c>
      <c r="C190" s="96">
        <v>33984013216</v>
      </c>
      <c r="D190" s="72" t="s">
        <v>22</v>
      </c>
      <c r="E190" s="72" t="s">
        <v>312</v>
      </c>
      <c r="F190" s="73">
        <v>100</v>
      </c>
      <c r="G190" s="73" t="s">
        <v>300</v>
      </c>
      <c r="H190" s="73">
        <v>25</v>
      </c>
      <c r="I190" s="105" t="s">
        <v>850</v>
      </c>
      <c r="J190" s="74">
        <v>0.22700000000000001</v>
      </c>
      <c r="K190" s="2">
        <v>11.339999999999998</v>
      </c>
      <c r="L190" s="2">
        <v>10.709999999999999</v>
      </c>
      <c r="M190" s="75"/>
      <c r="N190" s="2">
        <f t="shared" si="15"/>
        <v>0</v>
      </c>
      <c r="O190" s="106">
        <f t="shared" si="16"/>
        <v>0</v>
      </c>
      <c r="Q190" s="76"/>
      <c r="R190" s="11" t="str">
        <f t="shared" si="17"/>
        <v>-</v>
      </c>
      <c r="S190" s="30" t="str">
        <f t="shared" si="18"/>
        <v>-</v>
      </c>
      <c r="T190" s="12" t="str">
        <f t="shared" si="19"/>
        <v>-</v>
      </c>
      <c r="U190" s="13" t="str">
        <f t="shared" si="20"/>
        <v>-</v>
      </c>
      <c r="W190" s="13" t="str">
        <f t="shared" ref="W190:W249" si="21">IFERROR(IF(U190+O190=0, "-", IF(U190&gt;0, U190+O190, "-")), "-")</f>
        <v>-</v>
      </c>
    </row>
    <row r="191" spans="1:23" x14ac:dyDescent="0.3">
      <c r="A191" s="70">
        <v>100009388</v>
      </c>
      <c r="B191" s="71">
        <v>1681</v>
      </c>
      <c r="C191" s="96">
        <v>33984016811</v>
      </c>
      <c r="D191" s="72" t="s">
        <v>27</v>
      </c>
      <c r="E191" s="72" t="s">
        <v>318</v>
      </c>
      <c r="F191" s="73">
        <v>100</v>
      </c>
      <c r="G191" s="73" t="s">
        <v>300</v>
      </c>
      <c r="H191" s="73">
        <v>23</v>
      </c>
      <c r="I191" s="105" t="s">
        <v>850</v>
      </c>
      <c r="J191" s="74">
        <v>0.26105</v>
      </c>
      <c r="K191" s="2">
        <v>9.4499999999999993</v>
      </c>
      <c r="L191" s="2">
        <v>8.9249999999999989</v>
      </c>
      <c r="M191" s="75"/>
      <c r="N191" s="2">
        <f t="shared" si="15"/>
        <v>0</v>
      </c>
      <c r="O191" s="106">
        <f t="shared" si="16"/>
        <v>0</v>
      </c>
      <c r="Q191" s="76"/>
      <c r="R191" s="11" t="str">
        <f t="shared" ref="R191:R250" si="22">IFERROR(IF($R$2*J191=0, "-", $R$2*J191), "-")</f>
        <v>-</v>
      </c>
      <c r="S191" s="30" t="str">
        <f t="shared" ref="S191:S250" si="23">IFERROR(IF(R191&gt;0,M191+R191,"-"),"-")</f>
        <v>-</v>
      </c>
      <c r="T191" s="12" t="str">
        <f t="shared" ref="T191:T250" si="24">IF(M191&gt;0,M191*J191, "-")</f>
        <v>-</v>
      </c>
      <c r="U191" s="13" t="str">
        <f t="shared" ref="U191:U250" si="25">IFERROR(IF($R$2&gt;0, $R$2*T191, "-"), "-")</f>
        <v>-</v>
      </c>
      <c r="W191" s="13" t="str">
        <f t="shared" si="21"/>
        <v>-</v>
      </c>
    </row>
    <row r="192" spans="1:23" x14ac:dyDescent="0.3">
      <c r="A192" s="70">
        <v>100009389</v>
      </c>
      <c r="B192" s="71">
        <v>1682</v>
      </c>
      <c r="C192" s="96">
        <v>33984016828</v>
      </c>
      <c r="D192" s="72" t="s">
        <v>27</v>
      </c>
      <c r="E192" s="72" t="s">
        <v>319</v>
      </c>
      <c r="F192" s="73">
        <v>250</v>
      </c>
      <c r="G192" s="73" t="s">
        <v>300</v>
      </c>
      <c r="H192" s="73">
        <v>12</v>
      </c>
      <c r="I192" s="105" t="s">
        <v>850</v>
      </c>
      <c r="J192" s="74">
        <v>0.57617759796070844</v>
      </c>
      <c r="K192" s="2">
        <v>20.474999999999998</v>
      </c>
      <c r="L192" s="2">
        <v>19.337499999999999</v>
      </c>
      <c r="M192" s="75"/>
      <c r="N192" s="2">
        <f t="shared" si="15"/>
        <v>0</v>
      </c>
      <c r="O192" s="106">
        <f t="shared" si="16"/>
        <v>0</v>
      </c>
      <c r="Q192" s="76"/>
      <c r="R192" s="11" t="str">
        <f t="shared" si="22"/>
        <v>-</v>
      </c>
      <c r="S192" s="30" t="str">
        <f t="shared" si="23"/>
        <v>-</v>
      </c>
      <c r="T192" s="12" t="str">
        <f t="shared" si="24"/>
        <v>-</v>
      </c>
      <c r="U192" s="13" t="str">
        <f t="shared" si="25"/>
        <v>-</v>
      </c>
      <c r="W192" s="13" t="str">
        <f t="shared" si="21"/>
        <v>-</v>
      </c>
    </row>
    <row r="193" spans="1:23" x14ac:dyDescent="0.3">
      <c r="A193" s="70">
        <v>100009393</v>
      </c>
      <c r="B193" s="71">
        <v>1702</v>
      </c>
      <c r="C193" s="96">
        <v>33984017023</v>
      </c>
      <c r="D193" s="72" t="s">
        <v>28</v>
      </c>
      <c r="E193" s="72" t="s">
        <v>321</v>
      </c>
      <c r="F193" s="73">
        <v>250</v>
      </c>
      <c r="G193" s="73" t="s">
        <v>305</v>
      </c>
      <c r="H193" s="73">
        <v>12</v>
      </c>
      <c r="I193" s="105" t="s">
        <v>850</v>
      </c>
      <c r="J193" s="74">
        <v>0.7791053744576667</v>
      </c>
      <c r="K193" s="2">
        <v>20.474999999999998</v>
      </c>
      <c r="L193" s="2">
        <v>19.337499999999999</v>
      </c>
      <c r="M193" s="75"/>
      <c r="N193" s="2">
        <f t="shared" si="15"/>
        <v>0</v>
      </c>
      <c r="O193" s="106">
        <f t="shared" si="16"/>
        <v>0</v>
      </c>
      <c r="Q193" s="76"/>
      <c r="R193" s="11" t="str">
        <f t="shared" si="22"/>
        <v>-</v>
      </c>
      <c r="S193" s="30" t="str">
        <f t="shared" si="23"/>
        <v>-</v>
      </c>
      <c r="T193" s="12" t="str">
        <f t="shared" si="24"/>
        <v>-</v>
      </c>
      <c r="U193" s="13" t="str">
        <f t="shared" si="25"/>
        <v>-</v>
      </c>
      <c r="W193" s="13" t="str">
        <f t="shared" si="21"/>
        <v>-</v>
      </c>
    </row>
    <row r="194" spans="1:23" x14ac:dyDescent="0.3">
      <c r="A194" s="70">
        <v>100009416</v>
      </c>
      <c r="B194" s="71">
        <v>1754</v>
      </c>
      <c r="C194" s="96">
        <v>33984017542</v>
      </c>
      <c r="D194" s="72" t="s">
        <v>29</v>
      </c>
      <c r="E194" s="72" t="s">
        <v>322</v>
      </c>
      <c r="F194" s="73">
        <v>90</v>
      </c>
      <c r="G194" s="73" t="s">
        <v>300</v>
      </c>
      <c r="H194" s="73">
        <v>23</v>
      </c>
      <c r="I194" s="105" t="s">
        <v>850</v>
      </c>
      <c r="J194" s="74">
        <v>0.23835000000000001</v>
      </c>
      <c r="K194" s="2">
        <v>15.12</v>
      </c>
      <c r="L194" s="2">
        <v>14.279999999999998</v>
      </c>
      <c r="M194" s="75"/>
      <c r="N194" s="2">
        <f t="shared" si="15"/>
        <v>0</v>
      </c>
      <c r="O194" s="106">
        <f t="shared" si="16"/>
        <v>0</v>
      </c>
      <c r="Q194" s="76"/>
      <c r="R194" s="11" t="str">
        <f t="shared" si="22"/>
        <v>-</v>
      </c>
      <c r="S194" s="30" t="str">
        <f t="shared" si="23"/>
        <v>-</v>
      </c>
      <c r="T194" s="12" t="str">
        <f t="shared" si="24"/>
        <v>-</v>
      </c>
      <c r="U194" s="13" t="str">
        <f t="shared" si="25"/>
        <v>-</v>
      </c>
      <c r="W194" s="13" t="str">
        <f t="shared" si="21"/>
        <v>-</v>
      </c>
    </row>
    <row r="195" spans="1:23" x14ac:dyDescent="0.3">
      <c r="A195" s="70">
        <v>100009620</v>
      </c>
      <c r="B195" s="71">
        <v>3320</v>
      </c>
      <c r="C195" s="96">
        <v>33984033207</v>
      </c>
      <c r="D195" s="72" t="s">
        <v>35</v>
      </c>
      <c r="E195" s="72" t="s">
        <v>329</v>
      </c>
      <c r="F195" s="73">
        <v>100</v>
      </c>
      <c r="G195" s="73" t="s">
        <v>330</v>
      </c>
      <c r="H195" s="73">
        <v>25</v>
      </c>
      <c r="I195" s="105" t="s">
        <v>850</v>
      </c>
      <c r="J195" s="74">
        <v>0.16525957612395004</v>
      </c>
      <c r="K195" s="2">
        <v>5.3549999999999995</v>
      </c>
      <c r="L195" s="2">
        <v>5.0574999999999992</v>
      </c>
      <c r="M195" s="75"/>
      <c r="N195" s="2">
        <f t="shared" ref="N195:N258" si="26">M195*K195</f>
        <v>0</v>
      </c>
      <c r="O195" s="106">
        <f t="shared" ref="O195:O258" si="27">IF(M195&gt;143,M195*L195,M195*K195)</f>
        <v>0</v>
      </c>
      <c r="Q195" s="76"/>
      <c r="R195" s="11" t="str">
        <f t="shared" si="22"/>
        <v>-</v>
      </c>
      <c r="S195" s="30" t="str">
        <f t="shared" si="23"/>
        <v>-</v>
      </c>
      <c r="T195" s="12" t="str">
        <f t="shared" si="24"/>
        <v>-</v>
      </c>
      <c r="U195" s="13" t="str">
        <f t="shared" si="25"/>
        <v>-</v>
      </c>
      <c r="W195" s="13" t="str">
        <f t="shared" si="21"/>
        <v>-</v>
      </c>
    </row>
    <row r="196" spans="1:23" x14ac:dyDescent="0.3">
      <c r="A196" s="70">
        <v>100009621</v>
      </c>
      <c r="B196" s="71">
        <v>3321</v>
      </c>
      <c r="C196" s="96">
        <v>33984033214</v>
      </c>
      <c r="D196" s="72" t="s">
        <v>35</v>
      </c>
      <c r="E196" s="72" t="s">
        <v>331</v>
      </c>
      <c r="F196" s="73">
        <v>250</v>
      </c>
      <c r="G196" s="73" t="s">
        <v>330</v>
      </c>
      <c r="H196" s="73">
        <v>20</v>
      </c>
      <c r="I196" s="105" t="s">
        <v>850</v>
      </c>
      <c r="J196" s="74">
        <v>0.40859999999999996</v>
      </c>
      <c r="K196" s="2">
        <v>9.2609999999999992</v>
      </c>
      <c r="L196" s="2">
        <v>8.7464999999999993</v>
      </c>
      <c r="M196" s="75"/>
      <c r="N196" s="2">
        <f t="shared" si="26"/>
        <v>0</v>
      </c>
      <c r="O196" s="106">
        <f t="shared" si="27"/>
        <v>0</v>
      </c>
      <c r="Q196" s="76"/>
      <c r="R196" s="11" t="str">
        <f t="shared" si="22"/>
        <v>-</v>
      </c>
      <c r="S196" s="30" t="str">
        <f t="shared" si="23"/>
        <v>-</v>
      </c>
      <c r="T196" s="12" t="str">
        <f t="shared" si="24"/>
        <v>-</v>
      </c>
      <c r="U196" s="13" t="str">
        <f t="shared" si="25"/>
        <v>-</v>
      </c>
      <c r="W196" s="13" t="str">
        <f t="shared" si="21"/>
        <v>-</v>
      </c>
    </row>
    <row r="197" spans="1:23" x14ac:dyDescent="0.3">
      <c r="A197" s="70">
        <v>100009619</v>
      </c>
      <c r="B197" s="71">
        <v>3319</v>
      </c>
      <c r="C197" s="96">
        <v>33984033191</v>
      </c>
      <c r="D197" s="72" t="s">
        <v>36</v>
      </c>
      <c r="E197" s="72" t="s">
        <v>332</v>
      </c>
      <c r="F197" s="73">
        <v>120</v>
      </c>
      <c r="G197" s="73" t="s">
        <v>300</v>
      </c>
      <c r="H197" s="73">
        <v>30</v>
      </c>
      <c r="I197" s="105" t="s">
        <v>850</v>
      </c>
      <c r="J197" s="74">
        <v>0.20429999999999998</v>
      </c>
      <c r="K197" s="2">
        <v>9.9540000000000006</v>
      </c>
      <c r="L197" s="2">
        <v>9.4009999999999998</v>
      </c>
      <c r="M197" s="75"/>
      <c r="N197" s="2">
        <f t="shared" si="26"/>
        <v>0</v>
      </c>
      <c r="O197" s="106">
        <f t="shared" si="27"/>
        <v>0</v>
      </c>
      <c r="Q197" s="76"/>
      <c r="R197" s="11" t="str">
        <f t="shared" si="22"/>
        <v>-</v>
      </c>
      <c r="S197" s="30" t="str">
        <f t="shared" si="23"/>
        <v>-</v>
      </c>
      <c r="T197" s="12" t="str">
        <f t="shared" si="24"/>
        <v>-</v>
      </c>
      <c r="U197" s="13" t="str">
        <f t="shared" si="25"/>
        <v>-</v>
      </c>
      <c r="W197" s="13" t="str">
        <f t="shared" si="21"/>
        <v>-</v>
      </c>
    </row>
    <row r="198" spans="1:23" x14ac:dyDescent="0.3">
      <c r="A198" s="70">
        <v>100009611</v>
      </c>
      <c r="B198" s="71">
        <v>3310</v>
      </c>
      <c r="C198" s="96">
        <v>33984033108</v>
      </c>
      <c r="D198" s="72" t="s">
        <v>39</v>
      </c>
      <c r="E198" s="72" t="s">
        <v>336</v>
      </c>
      <c r="F198" s="73">
        <v>90</v>
      </c>
      <c r="G198" s="73" t="s">
        <v>305</v>
      </c>
      <c r="H198" s="73">
        <v>42</v>
      </c>
      <c r="I198" s="105" t="s">
        <v>850</v>
      </c>
      <c r="J198" s="74">
        <v>0.14341618755750002</v>
      </c>
      <c r="K198" s="2">
        <v>6.048</v>
      </c>
      <c r="L198" s="2">
        <v>5.7119999999999997</v>
      </c>
      <c r="M198" s="75"/>
      <c r="N198" s="2">
        <f t="shared" si="26"/>
        <v>0</v>
      </c>
      <c r="O198" s="106">
        <f t="shared" si="27"/>
        <v>0</v>
      </c>
      <c r="Q198" s="76"/>
      <c r="R198" s="11" t="str">
        <f t="shared" si="22"/>
        <v>-</v>
      </c>
      <c r="S198" s="30" t="str">
        <f t="shared" si="23"/>
        <v>-</v>
      </c>
      <c r="T198" s="12" t="str">
        <f t="shared" si="24"/>
        <v>-</v>
      </c>
      <c r="U198" s="13" t="str">
        <f t="shared" si="25"/>
        <v>-</v>
      </c>
      <c r="W198" s="13" t="str">
        <f t="shared" si="21"/>
        <v>-</v>
      </c>
    </row>
    <row r="199" spans="1:23" x14ac:dyDescent="0.3">
      <c r="A199" s="70">
        <v>100009612</v>
      </c>
      <c r="B199" s="71">
        <v>3311</v>
      </c>
      <c r="C199" s="96">
        <v>33984033115</v>
      </c>
      <c r="D199" s="72" t="s">
        <v>39</v>
      </c>
      <c r="E199" s="72" t="s">
        <v>337</v>
      </c>
      <c r="F199" s="73">
        <v>180</v>
      </c>
      <c r="G199" s="73" t="s">
        <v>305</v>
      </c>
      <c r="H199" s="73">
        <v>36</v>
      </c>
      <c r="I199" s="105" t="s">
        <v>850</v>
      </c>
      <c r="J199" s="74">
        <v>0.18733994870402781</v>
      </c>
      <c r="K199" s="2">
        <v>9.2609999999999992</v>
      </c>
      <c r="L199" s="2">
        <v>8.7464999999999993</v>
      </c>
      <c r="M199" s="75"/>
      <c r="N199" s="2">
        <f t="shared" si="26"/>
        <v>0</v>
      </c>
      <c r="O199" s="106">
        <f t="shared" si="27"/>
        <v>0</v>
      </c>
      <c r="Q199" s="76"/>
      <c r="R199" s="11" t="str">
        <f t="shared" si="22"/>
        <v>-</v>
      </c>
      <c r="S199" s="30" t="str">
        <f t="shared" si="23"/>
        <v>-</v>
      </c>
      <c r="T199" s="12" t="str">
        <f t="shared" si="24"/>
        <v>-</v>
      </c>
      <c r="U199" s="13" t="str">
        <f t="shared" si="25"/>
        <v>-</v>
      </c>
      <c r="W199" s="13" t="str">
        <f t="shared" si="21"/>
        <v>-</v>
      </c>
    </row>
    <row r="200" spans="1:23" x14ac:dyDescent="0.3">
      <c r="A200" s="70">
        <v>100190591</v>
      </c>
      <c r="B200" s="71">
        <v>30333</v>
      </c>
      <c r="C200" s="96">
        <v>33984303331</v>
      </c>
      <c r="D200" s="72" t="s">
        <v>40</v>
      </c>
      <c r="E200" s="72" t="s">
        <v>338</v>
      </c>
      <c r="F200" s="73">
        <v>120</v>
      </c>
      <c r="G200" s="73" t="s">
        <v>330</v>
      </c>
      <c r="H200" s="73">
        <v>30</v>
      </c>
      <c r="I200" s="105" t="s">
        <v>850</v>
      </c>
      <c r="J200" s="74">
        <v>0.19906657144733333</v>
      </c>
      <c r="K200" s="2">
        <v>19.53</v>
      </c>
      <c r="L200" s="2">
        <v>18.444999999999997</v>
      </c>
      <c r="M200" s="75"/>
      <c r="N200" s="2">
        <f t="shared" si="26"/>
        <v>0</v>
      </c>
      <c r="O200" s="106">
        <f t="shared" si="27"/>
        <v>0</v>
      </c>
      <c r="Q200" s="76"/>
      <c r="R200" s="11" t="str">
        <f t="shared" si="22"/>
        <v>-</v>
      </c>
      <c r="S200" s="30" t="str">
        <f t="shared" si="23"/>
        <v>-</v>
      </c>
      <c r="T200" s="12" t="str">
        <f t="shared" si="24"/>
        <v>-</v>
      </c>
      <c r="U200" s="13" t="str">
        <f t="shared" si="25"/>
        <v>-</v>
      </c>
      <c r="W200" s="13" t="str">
        <f t="shared" si="21"/>
        <v>-</v>
      </c>
    </row>
    <row r="201" spans="1:23" x14ac:dyDescent="0.3">
      <c r="A201" s="70">
        <v>100190596</v>
      </c>
      <c r="B201" s="71">
        <v>30335</v>
      </c>
      <c r="C201" s="96">
        <v>33984303355</v>
      </c>
      <c r="D201" s="72" t="s">
        <v>45</v>
      </c>
      <c r="E201" s="72" t="s">
        <v>347</v>
      </c>
      <c r="F201" s="73">
        <v>100</v>
      </c>
      <c r="G201" s="73" t="s">
        <v>330</v>
      </c>
      <c r="H201" s="73">
        <v>36</v>
      </c>
      <c r="I201" s="105" t="s">
        <v>850</v>
      </c>
      <c r="J201" s="74">
        <v>0.1627426424619722</v>
      </c>
      <c r="K201" s="2">
        <v>34.65</v>
      </c>
      <c r="L201" s="2">
        <v>32.725000000000001</v>
      </c>
      <c r="M201" s="75"/>
      <c r="N201" s="2">
        <f t="shared" si="26"/>
        <v>0</v>
      </c>
      <c r="O201" s="106">
        <f t="shared" si="27"/>
        <v>0</v>
      </c>
      <c r="Q201" s="76"/>
      <c r="R201" s="11" t="str">
        <f t="shared" si="22"/>
        <v>-</v>
      </c>
      <c r="S201" s="30" t="str">
        <f t="shared" si="23"/>
        <v>-</v>
      </c>
      <c r="T201" s="12" t="str">
        <f t="shared" si="24"/>
        <v>-</v>
      </c>
      <c r="U201" s="13" t="str">
        <f t="shared" si="25"/>
        <v>-</v>
      </c>
      <c r="W201" s="13" t="str">
        <f t="shared" si="21"/>
        <v>-</v>
      </c>
    </row>
    <row r="202" spans="1:23" x14ac:dyDescent="0.3">
      <c r="A202" s="70">
        <v>100009632</v>
      </c>
      <c r="B202" s="71">
        <v>3501</v>
      </c>
      <c r="C202" s="96">
        <v>33984035010</v>
      </c>
      <c r="D202" s="72" t="s">
        <v>50</v>
      </c>
      <c r="E202" s="72" t="s">
        <v>352</v>
      </c>
      <c r="F202" s="73">
        <v>100</v>
      </c>
      <c r="G202" s="73" t="s">
        <v>330</v>
      </c>
      <c r="H202" s="73">
        <v>25</v>
      </c>
      <c r="I202" s="105" t="s">
        <v>850</v>
      </c>
      <c r="J202" s="74">
        <v>0.23835000000000001</v>
      </c>
      <c r="K202" s="2">
        <v>9.2609999999999992</v>
      </c>
      <c r="L202" s="2">
        <v>8.7464999999999993</v>
      </c>
      <c r="M202" s="75"/>
      <c r="N202" s="2">
        <f t="shared" si="26"/>
        <v>0</v>
      </c>
      <c r="O202" s="106">
        <f t="shared" si="27"/>
        <v>0</v>
      </c>
      <c r="Q202" s="76"/>
      <c r="R202" s="11" t="str">
        <f t="shared" si="22"/>
        <v>-</v>
      </c>
      <c r="S202" s="30" t="str">
        <f t="shared" si="23"/>
        <v>-</v>
      </c>
      <c r="T202" s="12" t="str">
        <f t="shared" si="24"/>
        <v>-</v>
      </c>
      <c r="U202" s="13" t="str">
        <f t="shared" si="25"/>
        <v>-</v>
      </c>
      <c r="W202" s="13" t="str">
        <f t="shared" si="21"/>
        <v>-</v>
      </c>
    </row>
    <row r="203" spans="1:23" x14ac:dyDescent="0.3">
      <c r="A203" s="70">
        <v>100009635</v>
      </c>
      <c r="B203" s="71">
        <v>3522</v>
      </c>
      <c r="C203" s="96">
        <v>33984035225</v>
      </c>
      <c r="D203" s="72" t="s">
        <v>51</v>
      </c>
      <c r="E203" s="72" t="s">
        <v>356</v>
      </c>
      <c r="F203" s="73">
        <v>250</v>
      </c>
      <c r="G203" s="73" t="s">
        <v>330</v>
      </c>
      <c r="H203" s="73">
        <v>12</v>
      </c>
      <c r="I203" s="105" t="s">
        <v>850</v>
      </c>
      <c r="J203" s="74">
        <v>0.52544565383646868</v>
      </c>
      <c r="K203" s="2">
        <v>25.83</v>
      </c>
      <c r="L203" s="2">
        <v>24.395</v>
      </c>
      <c r="M203" s="75"/>
      <c r="N203" s="2">
        <f t="shared" si="26"/>
        <v>0</v>
      </c>
      <c r="O203" s="106">
        <f t="shared" si="27"/>
        <v>0</v>
      </c>
      <c r="Q203" s="76"/>
      <c r="R203" s="11" t="str">
        <f t="shared" si="22"/>
        <v>-</v>
      </c>
      <c r="S203" s="30" t="str">
        <f t="shared" si="23"/>
        <v>-</v>
      </c>
      <c r="T203" s="12" t="str">
        <f t="shared" si="24"/>
        <v>-</v>
      </c>
      <c r="U203" s="13" t="str">
        <f t="shared" si="25"/>
        <v>-</v>
      </c>
      <c r="W203" s="13" t="str">
        <f t="shared" si="21"/>
        <v>-</v>
      </c>
    </row>
    <row r="204" spans="1:23" x14ac:dyDescent="0.3">
      <c r="A204" s="70">
        <v>100009638</v>
      </c>
      <c r="B204" s="71">
        <v>3542</v>
      </c>
      <c r="C204" s="96">
        <v>33984035423</v>
      </c>
      <c r="D204" s="72" t="s">
        <v>52</v>
      </c>
      <c r="E204" s="72" t="s">
        <v>358</v>
      </c>
      <c r="F204" s="73">
        <v>250</v>
      </c>
      <c r="G204" s="73" t="s">
        <v>330</v>
      </c>
      <c r="H204" s="73">
        <v>12</v>
      </c>
      <c r="I204" s="105" t="s">
        <v>850</v>
      </c>
      <c r="J204" s="74">
        <v>0.72461948097962514</v>
      </c>
      <c r="K204" s="2">
        <v>24.57</v>
      </c>
      <c r="L204" s="2">
        <v>23.204999999999998</v>
      </c>
      <c r="M204" s="75"/>
      <c r="N204" s="2">
        <f t="shared" si="26"/>
        <v>0</v>
      </c>
      <c r="O204" s="106">
        <f t="shared" si="27"/>
        <v>0</v>
      </c>
      <c r="Q204" s="76"/>
      <c r="R204" s="11" t="str">
        <f t="shared" si="22"/>
        <v>-</v>
      </c>
      <c r="S204" s="30" t="str">
        <f t="shared" si="23"/>
        <v>-</v>
      </c>
      <c r="T204" s="12" t="str">
        <f t="shared" si="24"/>
        <v>-</v>
      </c>
      <c r="U204" s="13" t="str">
        <f t="shared" si="25"/>
        <v>-</v>
      </c>
      <c r="W204" s="13" t="str">
        <f t="shared" si="21"/>
        <v>-</v>
      </c>
    </row>
    <row r="205" spans="1:23" x14ac:dyDescent="0.3">
      <c r="A205" s="70">
        <v>100009640</v>
      </c>
      <c r="B205" s="71">
        <v>3561</v>
      </c>
      <c r="C205" s="96">
        <v>33984035614</v>
      </c>
      <c r="D205" s="72" t="s">
        <v>54</v>
      </c>
      <c r="E205" s="72" t="s">
        <v>360</v>
      </c>
      <c r="F205" s="73">
        <v>100</v>
      </c>
      <c r="G205" s="73" t="s">
        <v>330</v>
      </c>
      <c r="H205" s="73">
        <v>20</v>
      </c>
      <c r="I205" s="105" t="s">
        <v>850</v>
      </c>
      <c r="J205" s="74">
        <v>0.45400000000000001</v>
      </c>
      <c r="K205" s="2">
        <v>22.679999999999996</v>
      </c>
      <c r="L205" s="2">
        <v>21.419999999999998</v>
      </c>
      <c r="M205" s="75"/>
      <c r="N205" s="2">
        <f t="shared" si="26"/>
        <v>0</v>
      </c>
      <c r="O205" s="106">
        <f t="shared" si="27"/>
        <v>0</v>
      </c>
      <c r="Q205" s="76"/>
      <c r="R205" s="11" t="str">
        <f t="shared" si="22"/>
        <v>-</v>
      </c>
      <c r="S205" s="30" t="str">
        <f t="shared" si="23"/>
        <v>-</v>
      </c>
      <c r="T205" s="12" t="str">
        <f t="shared" si="24"/>
        <v>-</v>
      </c>
      <c r="U205" s="13" t="str">
        <f t="shared" si="25"/>
        <v>-</v>
      </c>
      <c r="W205" s="13" t="str">
        <f t="shared" si="21"/>
        <v>-</v>
      </c>
    </row>
    <row r="206" spans="1:23" x14ac:dyDescent="0.3">
      <c r="A206" s="70">
        <v>100009593</v>
      </c>
      <c r="B206" s="71">
        <v>3111</v>
      </c>
      <c r="C206" s="96">
        <v>33984031111</v>
      </c>
      <c r="D206" s="72" t="s">
        <v>63</v>
      </c>
      <c r="E206" s="72" t="s">
        <v>375</v>
      </c>
      <c r="F206" s="73">
        <v>250</v>
      </c>
      <c r="G206" s="73" t="s">
        <v>300</v>
      </c>
      <c r="H206" s="73">
        <v>30</v>
      </c>
      <c r="I206" s="105" t="s">
        <v>850</v>
      </c>
      <c r="J206" s="74">
        <v>0.20129748992045002</v>
      </c>
      <c r="K206" s="2">
        <v>17.639999999999997</v>
      </c>
      <c r="L206" s="2">
        <v>16.66</v>
      </c>
      <c r="M206" s="75"/>
      <c r="N206" s="2">
        <f t="shared" si="26"/>
        <v>0</v>
      </c>
      <c r="O206" s="106">
        <f t="shared" si="27"/>
        <v>0</v>
      </c>
      <c r="Q206" s="76"/>
      <c r="R206" s="11" t="str">
        <f t="shared" si="22"/>
        <v>-</v>
      </c>
      <c r="S206" s="30" t="str">
        <f t="shared" si="23"/>
        <v>-</v>
      </c>
      <c r="T206" s="12" t="str">
        <f t="shared" si="24"/>
        <v>-</v>
      </c>
      <c r="U206" s="13" t="str">
        <f t="shared" si="25"/>
        <v>-</v>
      </c>
      <c r="W206" s="13" t="str">
        <f t="shared" si="21"/>
        <v>-</v>
      </c>
    </row>
    <row r="207" spans="1:23" x14ac:dyDescent="0.3">
      <c r="A207" s="70">
        <v>100009603</v>
      </c>
      <c r="B207" s="71">
        <v>3230</v>
      </c>
      <c r="C207" s="96">
        <v>33984032309</v>
      </c>
      <c r="D207" s="72" t="s">
        <v>69</v>
      </c>
      <c r="E207" s="72" t="s">
        <v>385</v>
      </c>
      <c r="F207" s="73">
        <v>250</v>
      </c>
      <c r="G207" s="73" t="s">
        <v>305</v>
      </c>
      <c r="H207" s="73">
        <v>36</v>
      </c>
      <c r="I207" s="105" t="s">
        <v>850</v>
      </c>
      <c r="J207" s="74">
        <v>0.15301812604069445</v>
      </c>
      <c r="K207" s="2">
        <v>20.16</v>
      </c>
      <c r="L207" s="2">
        <v>19.04</v>
      </c>
      <c r="M207" s="75"/>
      <c r="N207" s="2">
        <f t="shared" si="26"/>
        <v>0</v>
      </c>
      <c r="O207" s="106">
        <f t="shared" si="27"/>
        <v>0</v>
      </c>
      <c r="Q207" s="76"/>
      <c r="R207" s="11" t="str">
        <f t="shared" si="22"/>
        <v>-</v>
      </c>
      <c r="S207" s="30" t="str">
        <f t="shared" si="23"/>
        <v>-</v>
      </c>
      <c r="T207" s="12" t="str">
        <f t="shared" si="24"/>
        <v>-</v>
      </c>
      <c r="U207" s="13" t="str">
        <f t="shared" si="25"/>
        <v>-</v>
      </c>
      <c r="W207" s="13" t="str">
        <f t="shared" si="21"/>
        <v>-</v>
      </c>
    </row>
    <row r="208" spans="1:23" x14ac:dyDescent="0.3">
      <c r="A208" s="70">
        <v>100009378</v>
      </c>
      <c r="B208" s="71">
        <v>1595</v>
      </c>
      <c r="C208" s="96">
        <v>33984015951</v>
      </c>
      <c r="D208" s="72" t="s">
        <v>70</v>
      </c>
      <c r="E208" s="72" t="s">
        <v>386</v>
      </c>
      <c r="F208" s="73" t="s">
        <v>273</v>
      </c>
      <c r="G208" s="73" t="s">
        <v>307</v>
      </c>
      <c r="H208" s="73">
        <v>49</v>
      </c>
      <c r="I208" s="105" t="s">
        <v>850</v>
      </c>
      <c r="J208" s="74">
        <v>0.16211807868221431</v>
      </c>
      <c r="K208" s="2">
        <v>9.2609999999999992</v>
      </c>
      <c r="L208" s="2">
        <v>8.7464999999999993</v>
      </c>
      <c r="M208" s="75"/>
      <c r="N208" s="2">
        <f t="shared" si="26"/>
        <v>0</v>
      </c>
      <c r="O208" s="106">
        <f t="shared" si="27"/>
        <v>0</v>
      </c>
      <c r="Q208" s="76"/>
      <c r="R208" s="11" t="str">
        <f t="shared" si="22"/>
        <v>-</v>
      </c>
      <c r="S208" s="30" t="str">
        <f t="shared" si="23"/>
        <v>-</v>
      </c>
      <c r="T208" s="12" t="str">
        <f t="shared" si="24"/>
        <v>-</v>
      </c>
      <c r="U208" s="13" t="str">
        <f t="shared" si="25"/>
        <v>-</v>
      </c>
      <c r="W208" s="13" t="str">
        <f t="shared" si="21"/>
        <v>-</v>
      </c>
    </row>
    <row r="209" spans="1:23" x14ac:dyDescent="0.3">
      <c r="A209" s="70">
        <v>100009411</v>
      </c>
      <c r="B209" s="71">
        <v>1745</v>
      </c>
      <c r="C209" s="96">
        <v>33984017450</v>
      </c>
      <c r="D209" s="72" t="s">
        <v>71</v>
      </c>
      <c r="E209" s="72" t="s">
        <v>387</v>
      </c>
      <c r="F209" s="73">
        <v>30</v>
      </c>
      <c r="G209" s="73" t="s">
        <v>305</v>
      </c>
      <c r="H209" s="73">
        <v>42</v>
      </c>
      <c r="I209" s="105" t="s">
        <v>850</v>
      </c>
      <c r="J209" s="74">
        <v>0.10214999999999999</v>
      </c>
      <c r="K209" s="2">
        <v>8.8199999999999985</v>
      </c>
      <c r="L209" s="2">
        <v>8.33</v>
      </c>
      <c r="M209" s="75"/>
      <c r="N209" s="2">
        <f t="shared" si="26"/>
        <v>0</v>
      </c>
      <c r="O209" s="106">
        <f t="shared" si="27"/>
        <v>0</v>
      </c>
      <c r="Q209" s="76"/>
      <c r="R209" s="11" t="str">
        <f t="shared" si="22"/>
        <v>-</v>
      </c>
      <c r="S209" s="30" t="str">
        <f t="shared" si="23"/>
        <v>-</v>
      </c>
      <c r="T209" s="12" t="str">
        <f t="shared" si="24"/>
        <v>-</v>
      </c>
      <c r="U209" s="13" t="str">
        <f t="shared" si="25"/>
        <v>-</v>
      </c>
      <c r="W209" s="13" t="str">
        <f t="shared" si="21"/>
        <v>-</v>
      </c>
    </row>
    <row r="210" spans="1:23" x14ac:dyDescent="0.3">
      <c r="A210" s="77">
        <v>100009114</v>
      </c>
      <c r="B210" s="78">
        <v>280</v>
      </c>
      <c r="C210" s="97">
        <v>33984002807</v>
      </c>
      <c r="D210" s="79" t="s">
        <v>388</v>
      </c>
      <c r="E210" s="79" t="s">
        <v>389</v>
      </c>
      <c r="F210" s="73">
        <v>100</v>
      </c>
      <c r="G210" s="73" t="s">
        <v>305</v>
      </c>
      <c r="H210" s="73"/>
      <c r="I210" s="105" t="s">
        <v>850</v>
      </c>
      <c r="J210" s="74">
        <v>0.15890000000000001</v>
      </c>
      <c r="K210" s="2">
        <v>5.3549999999999995</v>
      </c>
      <c r="L210" s="2">
        <v>5.0574999999999992</v>
      </c>
      <c r="M210" s="75"/>
      <c r="N210" s="2">
        <f t="shared" si="26"/>
        <v>0</v>
      </c>
      <c r="O210" s="106">
        <f t="shared" si="27"/>
        <v>0</v>
      </c>
      <c r="Q210" s="76"/>
      <c r="R210" s="11" t="str">
        <f t="shared" si="22"/>
        <v>-</v>
      </c>
      <c r="S210" s="30" t="str">
        <f t="shared" si="23"/>
        <v>-</v>
      </c>
      <c r="T210" s="12" t="str">
        <f t="shared" si="24"/>
        <v>-</v>
      </c>
      <c r="U210" s="13" t="str">
        <f t="shared" si="25"/>
        <v>-</v>
      </c>
      <c r="W210" s="13" t="str">
        <f t="shared" si="21"/>
        <v>-</v>
      </c>
    </row>
    <row r="211" spans="1:23" x14ac:dyDescent="0.3">
      <c r="A211" s="77">
        <v>100009121</v>
      </c>
      <c r="B211" s="78">
        <v>312</v>
      </c>
      <c r="C211" s="97">
        <v>33984003125</v>
      </c>
      <c r="D211" s="79" t="s">
        <v>390</v>
      </c>
      <c r="E211" s="79" t="s">
        <v>392</v>
      </c>
      <c r="F211" s="73">
        <v>250</v>
      </c>
      <c r="G211" s="73" t="s">
        <v>300</v>
      </c>
      <c r="H211" s="73"/>
      <c r="I211" s="105" t="s">
        <v>850</v>
      </c>
      <c r="J211" s="74">
        <v>0.20129748992045002</v>
      </c>
      <c r="K211" s="2">
        <v>18.27</v>
      </c>
      <c r="L211" s="2">
        <v>17.254999999999999</v>
      </c>
      <c r="M211" s="75"/>
      <c r="N211" s="2">
        <f t="shared" si="26"/>
        <v>0</v>
      </c>
      <c r="O211" s="106">
        <f t="shared" si="27"/>
        <v>0</v>
      </c>
      <c r="Q211" s="76"/>
      <c r="R211" s="11" t="str">
        <f t="shared" si="22"/>
        <v>-</v>
      </c>
      <c r="S211" s="30" t="str">
        <f t="shared" si="23"/>
        <v>-</v>
      </c>
      <c r="T211" s="12" t="str">
        <f t="shared" si="24"/>
        <v>-</v>
      </c>
      <c r="U211" s="13" t="str">
        <f t="shared" si="25"/>
        <v>-</v>
      </c>
      <c r="W211" s="13" t="str">
        <f t="shared" si="21"/>
        <v>-</v>
      </c>
    </row>
    <row r="212" spans="1:23" x14ac:dyDescent="0.3">
      <c r="A212" s="70">
        <v>100009272</v>
      </c>
      <c r="B212" s="71">
        <v>1092</v>
      </c>
      <c r="C212" s="96">
        <v>33984010925</v>
      </c>
      <c r="D212" s="72" t="s">
        <v>81</v>
      </c>
      <c r="E212" s="72" t="s">
        <v>405</v>
      </c>
      <c r="F212" s="73">
        <v>250</v>
      </c>
      <c r="G212" s="73" t="s">
        <v>300</v>
      </c>
      <c r="H212" s="73">
        <v>25</v>
      </c>
      <c r="I212" s="105" t="s">
        <v>850</v>
      </c>
      <c r="J212" s="74">
        <v>0.18671071528853336</v>
      </c>
      <c r="K212" s="2">
        <v>14.489999999999998</v>
      </c>
      <c r="L212" s="2">
        <v>13.685</v>
      </c>
      <c r="M212" s="75"/>
      <c r="N212" s="2">
        <f t="shared" si="26"/>
        <v>0</v>
      </c>
      <c r="O212" s="106">
        <f t="shared" si="27"/>
        <v>0</v>
      </c>
      <c r="Q212" s="76"/>
      <c r="R212" s="11" t="str">
        <f t="shared" si="22"/>
        <v>-</v>
      </c>
      <c r="S212" s="30" t="str">
        <f t="shared" si="23"/>
        <v>-</v>
      </c>
      <c r="T212" s="12" t="str">
        <f t="shared" si="24"/>
        <v>-</v>
      </c>
      <c r="U212" s="13" t="str">
        <f t="shared" si="25"/>
        <v>-</v>
      </c>
      <c r="W212" s="13" t="str">
        <f t="shared" si="21"/>
        <v>-</v>
      </c>
    </row>
    <row r="213" spans="1:23" x14ac:dyDescent="0.3">
      <c r="A213" s="70">
        <v>100009442</v>
      </c>
      <c r="B213" s="71">
        <v>1912</v>
      </c>
      <c r="C213" s="96">
        <v>33984019126</v>
      </c>
      <c r="D213" s="72" t="s">
        <v>85</v>
      </c>
      <c r="E213" s="72" t="s">
        <v>411</v>
      </c>
      <c r="F213" s="73">
        <v>250</v>
      </c>
      <c r="G213" s="73" t="s">
        <v>300</v>
      </c>
      <c r="H213" s="73">
        <v>12</v>
      </c>
      <c r="I213" s="105" t="s">
        <v>850</v>
      </c>
      <c r="J213" s="74">
        <v>0.49455601343946876</v>
      </c>
      <c r="K213" s="2">
        <v>37.17</v>
      </c>
      <c r="L213" s="2">
        <v>35.104999999999997</v>
      </c>
      <c r="M213" s="75"/>
      <c r="N213" s="2">
        <f t="shared" si="26"/>
        <v>0</v>
      </c>
      <c r="O213" s="106">
        <f t="shared" si="27"/>
        <v>0</v>
      </c>
      <c r="Q213" s="76"/>
      <c r="R213" s="11" t="str">
        <f t="shared" si="22"/>
        <v>-</v>
      </c>
      <c r="S213" s="30" t="str">
        <f t="shared" si="23"/>
        <v>-</v>
      </c>
      <c r="T213" s="12" t="str">
        <f t="shared" si="24"/>
        <v>-</v>
      </c>
      <c r="U213" s="13" t="str">
        <f t="shared" si="25"/>
        <v>-</v>
      </c>
      <c r="W213" s="13" t="str">
        <f t="shared" si="21"/>
        <v>-</v>
      </c>
    </row>
    <row r="214" spans="1:23" x14ac:dyDescent="0.3">
      <c r="A214" s="70">
        <v>100009484</v>
      </c>
      <c r="B214" s="71">
        <v>2171</v>
      </c>
      <c r="C214" s="96">
        <v>33984021716</v>
      </c>
      <c r="D214" s="72" t="s">
        <v>86</v>
      </c>
      <c r="E214" s="72" t="s">
        <v>412</v>
      </c>
      <c r="F214" s="73">
        <v>100</v>
      </c>
      <c r="G214" s="73" t="s">
        <v>300</v>
      </c>
      <c r="H214" s="73">
        <v>23</v>
      </c>
      <c r="I214" s="105" t="s">
        <v>850</v>
      </c>
      <c r="J214" s="74">
        <v>0.27239999999999998</v>
      </c>
      <c r="K214" s="2">
        <v>13.86</v>
      </c>
      <c r="L214" s="2">
        <v>13.089999999999998</v>
      </c>
      <c r="M214" s="75"/>
      <c r="N214" s="2">
        <f t="shared" si="26"/>
        <v>0</v>
      </c>
      <c r="O214" s="106">
        <f t="shared" si="27"/>
        <v>0</v>
      </c>
      <c r="Q214" s="76"/>
      <c r="R214" s="11" t="str">
        <f t="shared" si="22"/>
        <v>-</v>
      </c>
      <c r="S214" s="30" t="str">
        <f t="shared" si="23"/>
        <v>-</v>
      </c>
      <c r="T214" s="12" t="str">
        <f t="shared" si="24"/>
        <v>-</v>
      </c>
      <c r="U214" s="13" t="str">
        <f t="shared" si="25"/>
        <v>-</v>
      </c>
      <c r="W214" s="13" t="str">
        <f t="shared" si="21"/>
        <v>-</v>
      </c>
    </row>
    <row r="215" spans="1:23" x14ac:dyDescent="0.3">
      <c r="A215" s="70">
        <v>100009278</v>
      </c>
      <c r="B215" s="71">
        <v>1122</v>
      </c>
      <c r="C215" s="96">
        <v>33984011229</v>
      </c>
      <c r="D215" s="72" t="s">
        <v>88</v>
      </c>
      <c r="E215" s="72" t="s">
        <v>416</v>
      </c>
      <c r="F215" s="73">
        <v>250</v>
      </c>
      <c r="G215" s="73" t="s">
        <v>300</v>
      </c>
      <c r="H215" s="73">
        <v>16</v>
      </c>
      <c r="I215" s="105" t="s">
        <v>850</v>
      </c>
      <c r="J215" s="74">
        <v>0.49940000000000001</v>
      </c>
      <c r="K215" s="2">
        <v>23.058000000000003</v>
      </c>
      <c r="L215" s="2">
        <v>21.776999999999997</v>
      </c>
      <c r="M215" s="75"/>
      <c r="N215" s="2">
        <f t="shared" si="26"/>
        <v>0</v>
      </c>
      <c r="O215" s="106">
        <f t="shared" si="27"/>
        <v>0</v>
      </c>
      <c r="Q215" s="76"/>
      <c r="R215" s="11" t="str">
        <f t="shared" si="22"/>
        <v>-</v>
      </c>
      <c r="S215" s="30" t="str">
        <f t="shared" si="23"/>
        <v>-</v>
      </c>
      <c r="T215" s="12" t="str">
        <f t="shared" si="24"/>
        <v>-</v>
      </c>
      <c r="U215" s="13" t="str">
        <f t="shared" si="25"/>
        <v>-</v>
      </c>
      <c r="W215" s="13" t="str">
        <f t="shared" si="21"/>
        <v>-</v>
      </c>
    </row>
    <row r="216" spans="1:23" x14ac:dyDescent="0.3">
      <c r="A216" s="80">
        <v>100009289</v>
      </c>
      <c r="B216" s="81">
        <v>1162</v>
      </c>
      <c r="C216" s="98">
        <v>33984011625</v>
      </c>
      <c r="D216" s="82" t="s">
        <v>89</v>
      </c>
      <c r="E216" s="82" t="s">
        <v>418</v>
      </c>
      <c r="F216" s="83">
        <v>250</v>
      </c>
      <c r="G216" s="83" t="s">
        <v>305</v>
      </c>
      <c r="H216" s="73">
        <v>12</v>
      </c>
      <c r="I216" s="105" t="s">
        <v>850</v>
      </c>
      <c r="J216" s="74">
        <v>0.59237320802996873</v>
      </c>
      <c r="K216" s="2">
        <v>35.910000000000004</v>
      </c>
      <c r="L216" s="2">
        <v>33.914999999999992</v>
      </c>
      <c r="M216" s="75"/>
      <c r="N216" s="2">
        <f t="shared" si="26"/>
        <v>0</v>
      </c>
      <c r="O216" s="106">
        <f t="shared" si="27"/>
        <v>0</v>
      </c>
      <c r="Q216" s="76"/>
      <c r="R216" s="11" t="str">
        <f t="shared" si="22"/>
        <v>-</v>
      </c>
      <c r="S216" s="30" t="str">
        <f t="shared" si="23"/>
        <v>-</v>
      </c>
      <c r="T216" s="12" t="str">
        <f t="shared" si="24"/>
        <v>-</v>
      </c>
      <c r="U216" s="13" t="str">
        <f t="shared" si="25"/>
        <v>-</v>
      </c>
      <c r="W216" s="13" t="str">
        <f t="shared" si="21"/>
        <v>-</v>
      </c>
    </row>
    <row r="217" spans="1:23" x14ac:dyDescent="0.3">
      <c r="A217" s="70">
        <v>100009285</v>
      </c>
      <c r="B217" s="71">
        <v>1151</v>
      </c>
      <c r="C217" s="96">
        <v>33984011519</v>
      </c>
      <c r="D217" s="72" t="s">
        <v>90</v>
      </c>
      <c r="E217" s="72" t="s">
        <v>421</v>
      </c>
      <c r="F217" s="73">
        <v>250</v>
      </c>
      <c r="G217" s="73" t="s">
        <v>300</v>
      </c>
      <c r="H217" s="73">
        <v>12</v>
      </c>
      <c r="I217" s="105" t="s">
        <v>850</v>
      </c>
      <c r="J217" s="74">
        <v>0.68858156718312513</v>
      </c>
      <c r="K217" s="2">
        <v>37.17</v>
      </c>
      <c r="L217" s="2">
        <v>35.104999999999997</v>
      </c>
      <c r="M217" s="75"/>
      <c r="N217" s="2">
        <f t="shared" si="26"/>
        <v>0</v>
      </c>
      <c r="O217" s="106">
        <f t="shared" si="27"/>
        <v>0</v>
      </c>
      <c r="Q217" s="76"/>
      <c r="R217" s="11" t="str">
        <f t="shared" si="22"/>
        <v>-</v>
      </c>
      <c r="S217" s="30" t="str">
        <f t="shared" si="23"/>
        <v>-</v>
      </c>
      <c r="T217" s="12" t="str">
        <f t="shared" si="24"/>
        <v>-</v>
      </c>
      <c r="U217" s="13" t="str">
        <f t="shared" si="25"/>
        <v>-</v>
      </c>
      <c r="W217" s="13" t="str">
        <f t="shared" si="21"/>
        <v>-</v>
      </c>
    </row>
    <row r="218" spans="1:23" x14ac:dyDescent="0.3">
      <c r="A218" s="70">
        <v>100009414</v>
      </c>
      <c r="B218" s="71">
        <v>1751</v>
      </c>
      <c r="C218" s="96">
        <v>33984017511</v>
      </c>
      <c r="D218" s="72" t="s">
        <v>91</v>
      </c>
      <c r="E218" s="72" t="s">
        <v>422</v>
      </c>
      <c r="F218" s="73">
        <v>100</v>
      </c>
      <c r="G218" s="73" t="s">
        <v>305</v>
      </c>
      <c r="H218" s="73">
        <v>25</v>
      </c>
      <c r="I218" s="105" t="s">
        <v>850</v>
      </c>
      <c r="J218" s="74">
        <v>0.26105</v>
      </c>
      <c r="K218" s="2">
        <v>15.749999999999998</v>
      </c>
      <c r="L218" s="2">
        <v>14.874999999999998</v>
      </c>
      <c r="M218" s="75"/>
      <c r="N218" s="2">
        <f t="shared" si="26"/>
        <v>0</v>
      </c>
      <c r="O218" s="106">
        <f t="shared" si="27"/>
        <v>0</v>
      </c>
      <c r="Q218" s="76"/>
      <c r="R218" s="11" t="str">
        <f t="shared" si="22"/>
        <v>-</v>
      </c>
      <c r="S218" s="30" t="str">
        <f t="shared" si="23"/>
        <v>-</v>
      </c>
      <c r="T218" s="12" t="str">
        <f t="shared" si="24"/>
        <v>-</v>
      </c>
      <c r="U218" s="13" t="str">
        <f t="shared" si="25"/>
        <v>-</v>
      </c>
      <c r="W218" s="13" t="str">
        <f t="shared" si="21"/>
        <v>-</v>
      </c>
    </row>
    <row r="219" spans="1:23" x14ac:dyDescent="0.3">
      <c r="A219" s="70">
        <v>100009570</v>
      </c>
      <c r="B219" s="71">
        <v>2772</v>
      </c>
      <c r="C219" s="96">
        <v>33984027725</v>
      </c>
      <c r="D219" s="72" t="s">
        <v>92</v>
      </c>
      <c r="E219" s="72" t="s">
        <v>423</v>
      </c>
      <c r="F219" s="73">
        <v>90</v>
      </c>
      <c r="G219" s="73" t="s">
        <v>305</v>
      </c>
      <c r="H219" s="73">
        <v>20</v>
      </c>
      <c r="I219" s="105" t="s">
        <v>850</v>
      </c>
      <c r="J219" s="74">
        <v>0.40859999999999996</v>
      </c>
      <c r="K219" s="2">
        <v>17.009999999999998</v>
      </c>
      <c r="L219" s="2">
        <v>16.064999999999998</v>
      </c>
      <c r="M219" s="75"/>
      <c r="N219" s="2">
        <f t="shared" si="26"/>
        <v>0</v>
      </c>
      <c r="O219" s="106">
        <f t="shared" si="27"/>
        <v>0</v>
      </c>
      <c r="Q219" s="76"/>
      <c r="R219" s="11" t="str">
        <f t="shared" si="22"/>
        <v>-</v>
      </c>
      <c r="S219" s="30" t="str">
        <f t="shared" si="23"/>
        <v>-</v>
      </c>
      <c r="T219" s="12" t="str">
        <f t="shared" si="24"/>
        <v>-</v>
      </c>
      <c r="U219" s="13" t="str">
        <f t="shared" si="25"/>
        <v>-</v>
      </c>
      <c r="W219" s="13" t="str">
        <f t="shared" si="21"/>
        <v>-</v>
      </c>
    </row>
    <row r="220" spans="1:23" x14ac:dyDescent="0.3">
      <c r="A220" s="84">
        <v>100009259</v>
      </c>
      <c r="B220" s="85">
        <v>1051</v>
      </c>
      <c r="C220" s="100">
        <v>33984010512</v>
      </c>
      <c r="D220" s="86" t="s">
        <v>95</v>
      </c>
      <c r="E220" s="86" t="s">
        <v>430</v>
      </c>
      <c r="F220" s="73">
        <v>60</v>
      </c>
      <c r="G220" s="73" t="s">
        <v>305</v>
      </c>
      <c r="H220" s="73"/>
      <c r="I220" s="105" t="s">
        <v>850</v>
      </c>
      <c r="J220" s="74">
        <v>0.30621930180226004</v>
      </c>
      <c r="K220" s="2">
        <v>9.9540000000000006</v>
      </c>
      <c r="L220" s="2">
        <v>9.4009999999999998</v>
      </c>
      <c r="M220" s="75"/>
      <c r="N220" s="2">
        <f t="shared" si="26"/>
        <v>0</v>
      </c>
      <c r="O220" s="106">
        <f t="shared" si="27"/>
        <v>0</v>
      </c>
      <c r="Q220" s="76"/>
      <c r="R220" s="11" t="str">
        <f t="shared" si="22"/>
        <v>-</v>
      </c>
      <c r="S220" s="30" t="str">
        <f t="shared" si="23"/>
        <v>-</v>
      </c>
      <c r="T220" s="12" t="str">
        <f t="shared" si="24"/>
        <v>-</v>
      </c>
      <c r="U220" s="13" t="str">
        <f t="shared" si="25"/>
        <v>-</v>
      </c>
      <c r="W220" s="13" t="str">
        <f t="shared" si="21"/>
        <v>-</v>
      </c>
    </row>
    <row r="221" spans="1:23" x14ac:dyDescent="0.3">
      <c r="A221" s="84">
        <v>100009261</v>
      </c>
      <c r="B221" s="85">
        <v>1053</v>
      </c>
      <c r="C221" s="100">
        <v>33984010536</v>
      </c>
      <c r="D221" s="86" t="s">
        <v>96</v>
      </c>
      <c r="E221" s="86" t="s">
        <v>432</v>
      </c>
      <c r="F221" s="73">
        <v>180</v>
      </c>
      <c r="G221" s="73" t="s">
        <v>305</v>
      </c>
      <c r="H221" s="73"/>
      <c r="I221" s="105" t="s">
        <v>850</v>
      </c>
      <c r="J221" s="74">
        <v>0.6670231723227189</v>
      </c>
      <c r="K221" s="2">
        <v>25.2</v>
      </c>
      <c r="L221" s="2">
        <v>23.799999999999997</v>
      </c>
      <c r="M221" s="75"/>
      <c r="N221" s="2">
        <f t="shared" si="26"/>
        <v>0</v>
      </c>
      <c r="O221" s="106">
        <f t="shared" si="27"/>
        <v>0</v>
      </c>
      <c r="Q221" s="76"/>
      <c r="R221" s="11" t="str">
        <f t="shared" si="22"/>
        <v>-</v>
      </c>
      <c r="S221" s="30" t="str">
        <f t="shared" si="23"/>
        <v>-</v>
      </c>
      <c r="T221" s="12" t="str">
        <f t="shared" si="24"/>
        <v>-</v>
      </c>
      <c r="U221" s="13" t="str">
        <f t="shared" si="25"/>
        <v>-</v>
      </c>
      <c r="W221" s="13" t="str">
        <f t="shared" si="21"/>
        <v>-</v>
      </c>
    </row>
    <row r="222" spans="1:23" x14ac:dyDescent="0.3">
      <c r="A222" s="70">
        <v>100188953</v>
      </c>
      <c r="B222" s="71">
        <v>30058</v>
      </c>
      <c r="C222" s="96">
        <v>33984006928</v>
      </c>
      <c r="D222" s="72" t="s">
        <v>97</v>
      </c>
      <c r="E222" s="72" t="s">
        <v>435</v>
      </c>
      <c r="F222" s="73">
        <v>90</v>
      </c>
      <c r="G222" s="73" t="s">
        <v>434</v>
      </c>
      <c r="H222" s="73">
        <v>20</v>
      </c>
      <c r="I222" s="105" t="s">
        <v>850</v>
      </c>
      <c r="J222" s="74">
        <v>0.29731278882112505</v>
      </c>
      <c r="K222" s="2">
        <v>11.151</v>
      </c>
      <c r="L222" s="2">
        <v>10.531499999999998</v>
      </c>
      <c r="M222" s="75"/>
      <c r="N222" s="2">
        <f t="shared" si="26"/>
        <v>0</v>
      </c>
      <c r="O222" s="106">
        <f t="shared" si="27"/>
        <v>0</v>
      </c>
      <c r="Q222" s="76"/>
      <c r="R222" s="11" t="str">
        <f t="shared" si="22"/>
        <v>-</v>
      </c>
      <c r="S222" s="30" t="str">
        <f t="shared" si="23"/>
        <v>-</v>
      </c>
      <c r="T222" s="12" t="str">
        <f t="shared" si="24"/>
        <v>-</v>
      </c>
      <c r="U222" s="13" t="str">
        <f t="shared" si="25"/>
        <v>-</v>
      </c>
      <c r="W222" s="13" t="str">
        <f t="shared" si="21"/>
        <v>-</v>
      </c>
    </row>
    <row r="223" spans="1:23" x14ac:dyDescent="0.3">
      <c r="A223" s="70">
        <v>100188954</v>
      </c>
      <c r="B223" s="71">
        <v>30059</v>
      </c>
      <c r="C223" s="96">
        <v>33984006935</v>
      </c>
      <c r="D223" s="72" t="s">
        <v>98</v>
      </c>
      <c r="E223" s="72" t="s">
        <v>436</v>
      </c>
      <c r="F223" s="73">
        <v>50</v>
      </c>
      <c r="G223" s="73" t="s">
        <v>434</v>
      </c>
      <c r="H223" s="73">
        <v>24</v>
      </c>
      <c r="I223" s="105" t="s">
        <v>850</v>
      </c>
      <c r="J223" s="74">
        <v>0.26105</v>
      </c>
      <c r="K223" s="2">
        <v>11.97</v>
      </c>
      <c r="L223" s="2">
        <v>11.304999999999998</v>
      </c>
      <c r="M223" s="75"/>
      <c r="N223" s="2">
        <f t="shared" si="26"/>
        <v>0</v>
      </c>
      <c r="O223" s="106">
        <f t="shared" si="27"/>
        <v>0</v>
      </c>
      <c r="Q223" s="76"/>
      <c r="R223" s="11" t="str">
        <f t="shared" si="22"/>
        <v>-</v>
      </c>
      <c r="S223" s="30" t="str">
        <f t="shared" si="23"/>
        <v>-</v>
      </c>
      <c r="T223" s="12" t="str">
        <f t="shared" si="24"/>
        <v>-</v>
      </c>
      <c r="U223" s="13" t="str">
        <f t="shared" si="25"/>
        <v>-</v>
      </c>
      <c r="W223" s="13" t="str">
        <f t="shared" si="21"/>
        <v>-</v>
      </c>
    </row>
    <row r="224" spans="1:23" x14ac:dyDescent="0.3">
      <c r="A224" s="70">
        <v>100188955</v>
      </c>
      <c r="B224" s="71">
        <v>30060</v>
      </c>
      <c r="C224" s="96">
        <v>33984006942</v>
      </c>
      <c r="D224" s="72" t="s">
        <v>98</v>
      </c>
      <c r="E224" s="72" t="s">
        <v>437</v>
      </c>
      <c r="F224" s="73">
        <v>100</v>
      </c>
      <c r="G224" s="73" t="s">
        <v>434</v>
      </c>
      <c r="H224" s="73">
        <v>20</v>
      </c>
      <c r="I224" s="105" t="s">
        <v>850</v>
      </c>
      <c r="J224" s="74">
        <v>0.45626573003068754</v>
      </c>
      <c r="K224" s="2">
        <v>23.310000000000002</v>
      </c>
      <c r="L224" s="2">
        <v>22.014999999999997</v>
      </c>
      <c r="M224" s="75"/>
      <c r="N224" s="2">
        <f t="shared" si="26"/>
        <v>0</v>
      </c>
      <c r="O224" s="106">
        <f t="shared" si="27"/>
        <v>0</v>
      </c>
      <c r="Q224" s="76"/>
      <c r="R224" s="11" t="str">
        <f t="shared" si="22"/>
        <v>-</v>
      </c>
      <c r="S224" s="30" t="str">
        <f t="shared" si="23"/>
        <v>-</v>
      </c>
      <c r="T224" s="12" t="str">
        <f t="shared" si="24"/>
        <v>-</v>
      </c>
      <c r="U224" s="13" t="str">
        <f t="shared" si="25"/>
        <v>-</v>
      </c>
      <c r="W224" s="13" t="str">
        <f t="shared" si="21"/>
        <v>-</v>
      </c>
    </row>
    <row r="225" spans="1:23" x14ac:dyDescent="0.3">
      <c r="A225" s="77">
        <v>100009131</v>
      </c>
      <c r="B225" s="78">
        <v>407</v>
      </c>
      <c r="C225" s="97">
        <v>33984004078</v>
      </c>
      <c r="D225" s="79" t="s">
        <v>440</v>
      </c>
      <c r="E225" s="79" t="s">
        <v>441</v>
      </c>
      <c r="F225" s="73">
        <v>90</v>
      </c>
      <c r="G225" s="73" t="s">
        <v>305</v>
      </c>
      <c r="H225" s="73"/>
      <c r="I225" s="105" t="s">
        <v>850</v>
      </c>
      <c r="J225" s="74" t="e">
        <v>#N/A</v>
      </c>
      <c r="K225" s="2">
        <v>10.709999999999999</v>
      </c>
      <c r="L225" s="2">
        <v>10.114999999999998</v>
      </c>
      <c r="M225" s="75"/>
      <c r="N225" s="2">
        <f t="shared" si="26"/>
        <v>0</v>
      </c>
      <c r="O225" s="106">
        <f t="shared" si="27"/>
        <v>0</v>
      </c>
      <c r="Q225" s="76"/>
      <c r="R225" s="11" t="str">
        <f t="shared" si="22"/>
        <v>-</v>
      </c>
      <c r="S225" s="30" t="str">
        <f t="shared" si="23"/>
        <v>-</v>
      </c>
      <c r="T225" s="12" t="str">
        <f t="shared" si="24"/>
        <v>-</v>
      </c>
      <c r="U225" s="13" t="str">
        <f t="shared" si="25"/>
        <v>-</v>
      </c>
      <c r="W225" s="13" t="str">
        <f t="shared" si="21"/>
        <v>-</v>
      </c>
    </row>
    <row r="226" spans="1:23" x14ac:dyDescent="0.3">
      <c r="A226" s="70">
        <v>100009524</v>
      </c>
      <c r="B226" s="71">
        <v>2381</v>
      </c>
      <c r="C226" s="96">
        <v>33984023819</v>
      </c>
      <c r="D226" s="72" t="s">
        <v>103</v>
      </c>
      <c r="E226" s="72" t="s">
        <v>455</v>
      </c>
      <c r="F226" s="73">
        <v>250</v>
      </c>
      <c r="G226" s="73" t="s">
        <v>305</v>
      </c>
      <c r="H226" s="73">
        <v>16</v>
      </c>
      <c r="I226" s="105" t="s">
        <v>850</v>
      </c>
      <c r="J226" s="74">
        <v>0.60266975482896878</v>
      </c>
      <c r="K226" s="2">
        <v>15.12</v>
      </c>
      <c r="L226" s="2">
        <v>14.279999999999998</v>
      </c>
      <c r="M226" s="75"/>
      <c r="N226" s="2">
        <f t="shared" si="26"/>
        <v>0</v>
      </c>
      <c r="O226" s="106">
        <f t="shared" si="27"/>
        <v>0</v>
      </c>
      <c r="Q226" s="76"/>
      <c r="R226" s="11" t="str">
        <f t="shared" si="22"/>
        <v>-</v>
      </c>
      <c r="S226" s="30" t="str">
        <f t="shared" si="23"/>
        <v>-</v>
      </c>
      <c r="T226" s="12" t="str">
        <f t="shared" si="24"/>
        <v>-</v>
      </c>
      <c r="U226" s="13" t="str">
        <f t="shared" si="25"/>
        <v>-</v>
      </c>
      <c r="W226" s="13" t="str">
        <f t="shared" si="21"/>
        <v>-</v>
      </c>
    </row>
    <row r="227" spans="1:23" x14ac:dyDescent="0.3">
      <c r="A227" s="70">
        <v>100009526</v>
      </c>
      <c r="B227" s="71">
        <v>2401</v>
      </c>
      <c r="C227" s="96">
        <v>33984024014</v>
      </c>
      <c r="D227" s="72" t="s">
        <v>104</v>
      </c>
      <c r="E227" s="72" t="s">
        <v>457</v>
      </c>
      <c r="F227" s="73">
        <v>250</v>
      </c>
      <c r="G227" s="73" t="s">
        <v>305</v>
      </c>
      <c r="H227" s="73">
        <v>12</v>
      </c>
      <c r="I227" s="105" t="s">
        <v>850</v>
      </c>
      <c r="J227" s="74">
        <v>0.7782473288910835</v>
      </c>
      <c r="K227" s="2">
        <v>22.679999999999996</v>
      </c>
      <c r="L227" s="2">
        <v>21.419999999999998</v>
      </c>
      <c r="M227" s="75"/>
      <c r="N227" s="2">
        <f t="shared" si="26"/>
        <v>0</v>
      </c>
      <c r="O227" s="106">
        <f t="shared" si="27"/>
        <v>0</v>
      </c>
      <c r="Q227" s="76"/>
      <c r="R227" s="11" t="str">
        <f t="shared" si="22"/>
        <v>-</v>
      </c>
      <c r="S227" s="30" t="str">
        <f t="shared" si="23"/>
        <v>-</v>
      </c>
      <c r="T227" s="12" t="str">
        <f t="shared" si="24"/>
        <v>-</v>
      </c>
      <c r="U227" s="13" t="str">
        <f t="shared" si="25"/>
        <v>-</v>
      </c>
      <c r="W227" s="13" t="str">
        <f t="shared" si="21"/>
        <v>-</v>
      </c>
    </row>
    <row r="228" spans="1:23" x14ac:dyDescent="0.3">
      <c r="A228" s="70">
        <v>100009528</v>
      </c>
      <c r="B228" s="71">
        <v>2421</v>
      </c>
      <c r="C228" s="96">
        <v>33984024212</v>
      </c>
      <c r="D228" s="72" t="s">
        <v>105</v>
      </c>
      <c r="E228" s="72" t="s">
        <v>459</v>
      </c>
      <c r="F228" s="73">
        <v>180</v>
      </c>
      <c r="G228" s="73" t="s">
        <v>305</v>
      </c>
      <c r="H228" s="73">
        <v>12</v>
      </c>
      <c r="I228" s="105" t="s">
        <v>850</v>
      </c>
      <c r="J228" s="74">
        <v>0.68858156718312513</v>
      </c>
      <c r="K228" s="2">
        <v>22.679999999999996</v>
      </c>
      <c r="L228" s="2">
        <v>21.419999999999998</v>
      </c>
      <c r="M228" s="75"/>
      <c r="N228" s="2">
        <f t="shared" si="26"/>
        <v>0</v>
      </c>
      <c r="O228" s="106">
        <f t="shared" si="27"/>
        <v>0</v>
      </c>
      <c r="Q228" s="76"/>
      <c r="R228" s="11" t="str">
        <f t="shared" si="22"/>
        <v>-</v>
      </c>
      <c r="S228" s="30" t="str">
        <f t="shared" si="23"/>
        <v>-</v>
      </c>
      <c r="T228" s="12" t="str">
        <f t="shared" si="24"/>
        <v>-</v>
      </c>
      <c r="U228" s="13" t="str">
        <f t="shared" si="25"/>
        <v>-</v>
      </c>
      <c r="W228" s="13" t="str">
        <f t="shared" si="21"/>
        <v>-</v>
      </c>
    </row>
    <row r="229" spans="1:23" x14ac:dyDescent="0.3">
      <c r="A229" s="77">
        <v>100009091</v>
      </c>
      <c r="B229" s="78">
        <v>71</v>
      </c>
      <c r="C229" s="97">
        <v>33984000711</v>
      </c>
      <c r="D229" s="79" t="s">
        <v>460</v>
      </c>
      <c r="E229" s="79" t="s">
        <v>461</v>
      </c>
      <c r="F229" s="73">
        <v>60</v>
      </c>
      <c r="G229" s="73" t="s">
        <v>330</v>
      </c>
      <c r="H229" s="73"/>
      <c r="I229" s="105" t="s">
        <v>850</v>
      </c>
      <c r="J229" s="74">
        <v>0.12485</v>
      </c>
      <c r="K229" s="2">
        <v>18.27</v>
      </c>
      <c r="L229" s="2">
        <v>17.254999999999999</v>
      </c>
      <c r="M229" s="75"/>
      <c r="N229" s="2">
        <f t="shared" si="26"/>
        <v>0</v>
      </c>
      <c r="O229" s="106">
        <f t="shared" si="27"/>
        <v>0</v>
      </c>
      <c r="Q229" s="76"/>
      <c r="R229" s="11" t="str">
        <f t="shared" si="22"/>
        <v>-</v>
      </c>
      <c r="S229" s="30" t="str">
        <f t="shared" si="23"/>
        <v>-</v>
      </c>
      <c r="T229" s="12" t="str">
        <f t="shared" si="24"/>
        <v>-</v>
      </c>
      <c r="U229" s="13" t="str">
        <f t="shared" si="25"/>
        <v>-</v>
      </c>
      <c r="W229" s="13" t="str">
        <f t="shared" si="21"/>
        <v>-</v>
      </c>
    </row>
    <row r="230" spans="1:23" x14ac:dyDescent="0.3">
      <c r="A230" s="70">
        <v>100009461</v>
      </c>
      <c r="B230" s="71">
        <v>2031</v>
      </c>
      <c r="C230" s="96">
        <v>33984020313</v>
      </c>
      <c r="D230" s="72" t="s">
        <v>463</v>
      </c>
      <c r="E230" s="72" t="s">
        <v>464</v>
      </c>
      <c r="F230" s="73">
        <v>90</v>
      </c>
      <c r="G230" s="73" t="s">
        <v>330</v>
      </c>
      <c r="H230" s="73">
        <v>25</v>
      </c>
      <c r="I230" s="105" t="s">
        <v>850</v>
      </c>
      <c r="J230" s="74">
        <v>0.24970000000000001</v>
      </c>
      <c r="K230" s="2">
        <v>15.12</v>
      </c>
      <c r="L230" s="2">
        <v>14.279999999999998</v>
      </c>
      <c r="M230" s="75"/>
      <c r="N230" s="2">
        <f t="shared" si="26"/>
        <v>0</v>
      </c>
      <c r="O230" s="106">
        <f t="shared" si="27"/>
        <v>0</v>
      </c>
      <c r="Q230" s="76"/>
      <c r="R230" s="11" t="str">
        <f t="shared" si="22"/>
        <v>-</v>
      </c>
      <c r="S230" s="30" t="str">
        <f t="shared" si="23"/>
        <v>-</v>
      </c>
      <c r="T230" s="12" t="str">
        <f t="shared" si="24"/>
        <v>-</v>
      </c>
      <c r="U230" s="13" t="str">
        <f t="shared" si="25"/>
        <v>-</v>
      </c>
      <c r="W230" s="13" t="str">
        <f t="shared" si="21"/>
        <v>-</v>
      </c>
    </row>
    <row r="231" spans="1:23" x14ac:dyDescent="0.3">
      <c r="A231" s="70">
        <v>100009385</v>
      </c>
      <c r="B231" s="71">
        <v>1675</v>
      </c>
      <c r="C231" s="96">
        <v>33984016750</v>
      </c>
      <c r="D231" s="72" t="s">
        <v>107</v>
      </c>
      <c r="E231" s="72" t="s">
        <v>466</v>
      </c>
      <c r="F231" s="73">
        <v>60</v>
      </c>
      <c r="G231" s="73" t="s">
        <v>330</v>
      </c>
      <c r="H231" s="73">
        <v>30</v>
      </c>
      <c r="I231" s="105" t="s">
        <v>850</v>
      </c>
      <c r="J231" s="74">
        <v>0.17024999999999998</v>
      </c>
      <c r="K231" s="2">
        <v>19.781999999999996</v>
      </c>
      <c r="L231" s="2">
        <v>18.682999999999996</v>
      </c>
      <c r="M231" s="75"/>
      <c r="N231" s="2">
        <f t="shared" si="26"/>
        <v>0</v>
      </c>
      <c r="O231" s="106">
        <f t="shared" si="27"/>
        <v>0</v>
      </c>
      <c r="Q231" s="76"/>
      <c r="R231" s="11" t="str">
        <f t="shared" si="22"/>
        <v>-</v>
      </c>
      <c r="S231" s="30" t="str">
        <f t="shared" si="23"/>
        <v>-</v>
      </c>
      <c r="T231" s="12" t="str">
        <f t="shared" si="24"/>
        <v>-</v>
      </c>
      <c r="U231" s="13" t="str">
        <f t="shared" si="25"/>
        <v>-</v>
      </c>
      <c r="W231" s="13" t="str">
        <f t="shared" si="21"/>
        <v>-</v>
      </c>
    </row>
    <row r="232" spans="1:23" x14ac:dyDescent="0.3">
      <c r="A232" s="70">
        <v>100200031</v>
      </c>
      <c r="B232" s="71"/>
      <c r="C232" s="96">
        <v>810122620112</v>
      </c>
      <c r="D232" s="72" t="s">
        <v>109</v>
      </c>
      <c r="E232" s="72"/>
      <c r="F232" s="73">
        <v>60</v>
      </c>
      <c r="G232" s="73" t="s">
        <v>327</v>
      </c>
      <c r="H232" s="73">
        <v>0</v>
      </c>
      <c r="I232" s="105" t="s">
        <v>850</v>
      </c>
      <c r="J232" s="74">
        <v>0.26599412564083336</v>
      </c>
      <c r="K232" s="2">
        <v>11.9574</v>
      </c>
      <c r="L232" s="2">
        <v>11.293099999999999</v>
      </c>
      <c r="M232" s="75"/>
      <c r="N232" s="2">
        <f t="shared" si="26"/>
        <v>0</v>
      </c>
      <c r="O232" s="106">
        <f t="shared" si="27"/>
        <v>0</v>
      </c>
      <c r="Q232" s="76"/>
      <c r="R232" s="11" t="str">
        <f t="shared" si="22"/>
        <v>-</v>
      </c>
      <c r="S232" s="30" t="str">
        <f t="shared" si="23"/>
        <v>-</v>
      </c>
      <c r="T232" s="12" t="str">
        <f t="shared" si="24"/>
        <v>-</v>
      </c>
      <c r="U232" s="13" t="str">
        <f t="shared" si="25"/>
        <v>-</v>
      </c>
      <c r="W232" s="13" t="str">
        <f t="shared" si="21"/>
        <v>-</v>
      </c>
    </row>
    <row r="233" spans="1:23" x14ac:dyDescent="0.3">
      <c r="A233" s="70">
        <v>100009134</v>
      </c>
      <c r="B233" s="71">
        <v>410</v>
      </c>
      <c r="C233" s="96">
        <v>33984004108</v>
      </c>
      <c r="D233" s="72" t="s">
        <v>110</v>
      </c>
      <c r="E233" s="72" t="s">
        <v>470</v>
      </c>
      <c r="F233" s="73">
        <v>120</v>
      </c>
      <c r="G233" s="73" t="s">
        <v>305</v>
      </c>
      <c r="H233" s="73">
        <v>16</v>
      </c>
      <c r="I233" s="105" t="s">
        <v>850</v>
      </c>
      <c r="J233" s="74">
        <v>0.70369999999999999</v>
      </c>
      <c r="K233" s="2">
        <v>10.836</v>
      </c>
      <c r="L233" s="2">
        <v>10.233999999999998</v>
      </c>
      <c r="M233" s="75"/>
      <c r="N233" s="2">
        <f t="shared" si="26"/>
        <v>0</v>
      </c>
      <c r="O233" s="106">
        <f t="shared" si="27"/>
        <v>0</v>
      </c>
      <c r="Q233" s="76"/>
      <c r="R233" s="11" t="str">
        <f t="shared" si="22"/>
        <v>-</v>
      </c>
      <c r="S233" s="30" t="str">
        <f t="shared" si="23"/>
        <v>-</v>
      </c>
      <c r="T233" s="12" t="str">
        <f t="shared" si="24"/>
        <v>-</v>
      </c>
      <c r="U233" s="13" t="str">
        <f t="shared" si="25"/>
        <v>-</v>
      </c>
      <c r="W233" s="13" t="str">
        <f t="shared" si="21"/>
        <v>-</v>
      </c>
    </row>
    <row r="234" spans="1:23" x14ac:dyDescent="0.3">
      <c r="A234" s="70">
        <v>100009154</v>
      </c>
      <c r="B234" s="71">
        <v>519</v>
      </c>
      <c r="C234" s="96">
        <v>33984005198</v>
      </c>
      <c r="D234" s="72" t="s">
        <v>116</v>
      </c>
      <c r="E234" s="72" t="s">
        <v>480</v>
      </c>
      <c r="F234" s="73">
        <v>300</v>
      </c>
      <c r="G234" s="73" t="s">
        <v>305</v>
      </c>
      <c r="H234" s="73">
        <v>12</v>
      </c>
      <c r="I234" s="105" t="s">
        <v>850</v>
      </c>
      <c r="J234" s="74">
        <v>0.90800000000000003</v>
      </c>
      <c r="K234" s="2">
        <v>22.049999999999997</v>
      </c>
      <c r="L234" s="2">
        <v>20.824999999999999</v>
      </c>
      <c r="M234" s="75"/>
      <c r="N234" s="2">
        <f t="shared" si="26"/>
        <v>0</v>
      </c>
      <c r="O234" s="106">
        <f t="shared" si="27"/>
        <v>0</v>
      </c>
      <c r="Q234" s="76"/>
      <c r="R234" s="11" t="str">
        <f t="shared" si="22"/>
        <v>-</v>
      </c>
      <c r="S234" s="30" t="str">
        <f t="shared" si="23"/>
        <v>-</v>
      </c>
      <c r="T234" s="12" t="str">
        <f t="shared" si="24"/>
        <v>-</v>
      </c>
      <c r="U234" s="13" t="str">
        <f t="shared" si="25"/>
        <v>-</v>
      </c>
      <c r="W234" s="13" t="str">
        <f t="shared" si="21"/>
        <v>-</v>
      </c>
    </row>
    <row r="235" spans="1:23" x14ac:dyDescent="0.3">
      <c r="A235" s="70">
        <v>100009152</v>
      </c>
      <c r="B235" s="71">
        <v>516</v>
      </c>
      <c r="C235" s="96">
        <v>33984005167</v>
      </c>
      <c r="D235" s="72" t="s">
        <v>481</v>
      </c>
      <c r="E235" s="72" t="s">
        <v>482</v>
      </c>
      <c r="F235" s="73">
        <v>250</v>
      </c>
      <c r="G235" s="73" t="s">
        <v>305</v>
      </c>
      <c r="H235" s="73">
        <v>12</v>
      </c>
      <c r="I235" s="105" t="s">
        <v>850</v>
      </c>
      <c r="J235" s="74">
        <v>0.77180000000000004</v>
      </c>
      <c r="K235" s="2">
        <v>14.111999999999998</v>
      </c>
      <c r="L235" s="2">
        <v>13.327999999999999</v>
      </c>
      <c r="M235" s="75"/>
      <c r="N235" s="2">
        <f t="shared" si="26"/>
        <v>0</v>
      </c>
      <c r="O235" s="106">
        <f t="shared" si="27"/>
        <v>0</v>
      </c>
      <c r="Q235" s="76"/>
      <c r="R235" s="11" t="str">
        <f t="shared" si="22"/>
        <v>-</v>
      </c>
      <c r="S235" s="30" t="str">
        <f t="shared" si="23"/>
        <v>-</v>
      </c>
      <c r="T235" s="12" t="str">
        <f t="shared" si="24"/>
        <v>-</v>
      </c>
      <c r="U235" s="13" t="str">
        <f t="shared" si="25"/>
        <v>-</v>
      </c>
      <c r="W235" s="13" t="str">
        <f t="shared" si="21"/>
        <v>-</v>
      </c>
    </row>
    <row r="236" spans="1:23" x14ac:dyDescent="0.3">
      <c r="A236" s="70">
        <v>100009150</v>
      </c>
      <c r="B236" s="71">
        <v>510</v>
      </c>
      <c r="C236" s="96">
        <v>33984005105</v>
      </c>
      <c r="D236" s="72" t="s">
        <v>115</v>
      </c>
      <c r="E236" s="72" t="s">
        <v>484</v>
      </c>
      <c r="F236" s="73">
        <v>250</v>
      </c>
      <c r="G236" s="73" t="s">
        <v>305</v>
      </c>
      <c r="H236" s="73">
        <v>12</v>
      </c>
      <c r="I236" s="105" t="s">
        <v>850</v>
      </c>
      <c r="J236" s="74">
        <v>0.77180000000000004</v>
      </c>
      <c r="K236" s="2">
        <v>20.16</v>
      </c>
      <c r="L236" s="2">
        <v>19.04</v>
      </c>
      <c r="M236" s="75"/>
      <c r="N236" s="2">
        <f t="shared" si="26"/>
        <v>0</v>
      </c>
      <c r="O236" s="106">
        <f t="shared" si="27"/>
        <v>0</v>
      </c>
      <c r="Q236" s="76"/>
      <c r="R236" s="11" t="str">
        <f t="shared" si="22"/>
        <v>-</v>
      </c>
      <c r="S236" s="30" t="str">
        <f t="shared" si="23"/>
        <v>-</v>
      </c>
      <c r="T236" s="12" t="str">
        <f t="shared" si="24"/>
        <v>-</v>
      </c>
      <c r="U236" s="13" t="str">
        <f t="shared" si="25"/>
        <v>-</v>
      </c>
      <c r="W236" s="13" t="str">
        <f t="shared" si="21"/>
        <v>-</v>
      </c>
    </row>
    <row r="237" spans="1:23" x14ac:dyDescent="0.3">
      <c r="A237" s="70">
        <v>100009194</v>
      </c>
      <c r="B237" s="71">
        <v>876</v>
      </c>
      <c r="C237" s="96">
        <v>33984008762</v>
      </c>
      <c r="D237" s="72" t="s">
        <v>119</v>
      </c>
      <c r="E237" s="72" t="s">
        <v>490</v>
      </c>
      <c r="F237" s="73">
        <v>100</v>
      </c>
      <c r="G237" s="73" t="s">
        <v>300</v>
      </c>
      <c r="H237" s="73">
        <v>25</v>
      </c>
      <c r="I237" s="105" t="s">
        <v>850</v>
      </c>
      <c r="J237" s="74">
        <v>0.20429999999999998</v>
      </c>
      <c r="K237" s="2">
        <v>9.9540000000000006</v>
      </c>
      <c r="L237" s="2">
        <v>9.4009999999999998</v>
      </c>
      <c r="M237" s="75"/>
      <c r="N237" s="2">
        <f t="shared" si="26"/>
        <v>0</v>
      </c>
      <c r="O237" s="106">
        <f t="shared" si="27"/>
        <v>0</v>
      </c>
      <c r="Q237" s="76"/>
      <c r="R237" s="11" t="str">
        <f t="shared" si="22"/>
        <v>-</v>
      </c>
      <c r="S237" s="30" t="str">
        <f t="shared" si="23"/>
        <v>-</v>
      </c>
      <c r="T237" s="12" t="str">
        <f t="shared" si="24"/>
        <v>-</v>
      </c>
      <c r="U237" s="13" t="str">
        <f t="shared" si="25"/>
        <v>-</v>
      </c>
      <c r="W237" s="13" t="str">
        <f t="shared" si="21"/>
        <v>-</v>
      </c>
    </row>
    <row r="238" spans="1:23" x14ac:dyDescent="0.3">
      <c r="A238" s="70">
        <v>100184033</v>
      </c>
      <c r="B238" s="71">
        <v>30323</v>
      </c>
      <c r="C238" s="96">
        <v>33984005341</v>
      </c>
      <c r="D238" s="72" t="s">
        <v>123</v>
      </c>
      <c r="E238" s="72" t="s">
        <v>495</v>
      </c>
      <c r="F238" s="73">
        <v>30</v>
      </c>
      <c r="G238" s="73" t="s">
        <v>300</v>
      </c>
      <c r="H238" s="73">
        <v>36</v>
      </c>
      <c r="I238" s="105" t="s">
        <v>850</v>
      </c>
      <c r="J238" s="74">
        <v>0.13342608560370836</v>
      </c>
      <c r="K238" s="2">
        <v>8.6940000000000008</v>
      </c>
      <c r="L238" s="2">
        <v>8.2110000000000003</v>
      </c>
      <c r="M238" s="75"/>
      <c r="N238" s="2">
        <f t="shared" si="26"/>
        <v>0</v>
      </c>
      <c r="O238" s="106">
        <f t="shared" si="27"/>
        <v>0</v>
      </c>
      <c r="Q238" s="76"/>
      <c r="R238" s="11" t="str">
        <f t="shared" si="22"/>
        <v>-</v>
      </c>
      <c r="S238" s="30" t="str">
        <f t="shared" si="23"/>
        <v>-</v>
      </c>
      <c r="T238" s="12" t="str">
        <f t="shared" si="24"/>
        <v>-</v>
      </c>
      <c r="U238" s="13" t="str">
        <f t="shared" si="25"/>
        <v>-</v>
      </c>
      <c r="W238" s="13" t="str">
        <f t="shared" si="21"/>
        <v>-</v>
      </c>
    </row>
    <row r="239" spans="1:23" x14ac:dyDescent="0.3">
      <c r="A239" s="70">
        <v>100009175</v>
      </c>
      <c r="B239" s="71">
        <v>760</v>
      </c>
      <c r="C239" s="96">
        <v>33984007604</v>
      </c>
      <c r="D239" s="72" t="s">
        <v>129</v>
      </c>
      <c r="E239" s="72" t="s">
        <v>504</v>
      </c>
      <c r="F239" s="73">
        <v>100</v>
      </c>
      <c r="G239" s="73" t="s">
        <v>305</v>
      </c>
      <c r="H239" s="73">
        <v>36</v>
      </c>
      <c r="I239" s="105" t="s">
        <v>850</v>
      </c>
      <c r="J239" s="74">
        <v>0.20429999999999998</v>
      </c>
      <c r="K239" s="2">
        <v>8.6940000000000008</v>
      </c>
      <c r="L239" s="2">
        <v>8.2110000000000003</v>
      </c>
      <c r="M239" s="75"/>
      <c r="N239" s="2">
        <f t="shared" si="26"/>
        <v>0</v>
      </c>
      <c r="O239" s="106">
        <f t="shared" si="27"/>
        <v>0</v>
      </c>
      <c r="Q239" s="76"/>
      <c r="R239" s="11" t="str">
        <f t="shared" si="22"/>
        <v>-</v>
      </c>
      <c r="S239" s="30" t="str">
        <f t="shared" si="23"/>
        <v>-</v>
      </c>
      <c r="T239" s="12" t="str">
        <f t="shared" si="24"/>
        <v>-</v>
      </c>
      <c r="U239" s="13" t="str">
        <f t="shared" si="25"/>
        <v>-</v>
      </c>
      <c r="W239" s="13" t="str">
        <f t="shared" si="21"/>
        <v>-</v>
      </c>
    </row>
    <row r="240" spans="1:23" x14ac:dyDescent="0.3">
      <c r="A240" s="70">
        <v>100009497</v>
      </c>
      <c r="B240" s="71">
        <v>2267</v>
      </c>
      <c r="C240" s="96">
        <v>33984022676</v>
      </c>
      <c r="D240" s="72" t="s">
        <v>261</v>
      </c>
      <c r="E240" s="72" t="s">
        <v>507</v>
      </c>
      <c r="F240" s="73">
        <v>90</v>
      </c>
      <c r="G240" s="73" t="s">
        <v>300</v>
      </c>
      <c r="H240" s="73">
        <v>25</v>
      </c>
      <c r="I240" s="105" t="s">
        <v>850</v>
      </c>
      <c r="J240" s="74">
        <v>0.23331975046534001</v>
      </c>
      <c r="K240" s="2">
        <v>10.709999999999999</v>
      </c>
      <c r="L240" s="2">
        <v>10.114999999999998</v>
      </c>
      <c r="M240" s="75"/>
      <c r="N240" s="2">
        <f t="shared" si="26"/>
        <v>0</v>
      </c>
      <c r="O240" s="106">
        <f t="shared" si="27"/>
        <v>0</v>
      </c>
      <c r="Q240" s="76"/>
      <c r="R240" s="11" t="str">
        <f t="shared" si="22"/>
        <v>-</v>
      </c>
      <c r="S240" s="30" t="str">
        <f t="shared" si="23"/>
        <v>-</v>
      </c>
      <c r="T240" s="12" t="str">
        <f t="shared" si="24"/>
        <v>-</v>
      </c>
      <c r="U240" s="13" t="str">
        <f t="shared" si="25"/>
        <v>-</v>
      </c>
      <c r="W240" s="13" t="str">
        <f t="shared" si="21"/>
        <v>-</v>
      </c>
    </row>
    <row r="241" spans="1:23" x14ac:dyDescent="0.3">
      <c r="A241" s="70">
        <v>100009548</v>
      </c>
      <c r="B241" s="71">
        <v>2571</v>
      </c>
      <c r="C241" s="96">
        <v>33984025714</v>
      </c>
      <c r="D241" s="72" t="s">
        <v>134</v>
      </c>
      <c r="E241" s="72" t="s">
        <v>512</v>
      </c>
      <c r="F241" s="73">
        <v>100</v>
      </c>
      <c r="G241" s="73" t="s">
        <v>300</v>
      </c>
      <c r="H241" s="73">
        <v>23</v>
      </c>
      <c r="I241" s="105" t="s">
        <v>850</v>
      </c>
      <c r="J241" s="74">
        <v>0.23391068271641302</v>
      </c>
      <c r="K241" s="2">
        <v>10.709999999999999</v>
      </c>
      <c r="L241" s="2">
        <v>10.114999999999998</v>
      </c>
      <c r="M241" s="75"/>
      <c r="N241" s="2">
        <f t="shared" si="26"/>
        <v>0</v>
      </c>
      <c r="O241" s="106">
        <f t="shared" si="27"/>
        <v>0</v>
      </c>
      <c r="Q241" s="76"/>
      <c r="R241" s="11" t="str">
        <f t="shared" si="22"/>
        <v>-</v>
      </c>
      <c r="S241" s="30" t="str">
        <f t="shared" si="23"/>
        <v>-</v>
      </c>
      <c r="T241" s="12" t="str">
        <f t="shared" si="24"/>
        <v>-</v>
      </c>
      <c r="U241" s="13" t="str">
        <f t="shared" si="25"/>
        <v>-</v>
      </c>
      <c r="W241" s="13" t="str">
        <f t="shared" si="21"/>
        <v>-</v>
      </c>
    </row>
    <row r="242" spans="1:23" x14ac:dyDescent="0.3">
      <c r="A242" s="70">
        <v>100200039</v>
      </c>
      <c r="B242" s="71"/>
      <c r="C242" s="102">
        <v>810122620167</v>
      </c>
      <c r="D242" s="90" t="s">
        <v>139</v>
      </c>
      <c r="E242" s="90"/>
      <c r="F242" s="71">
        <v>60</v>
      </c>
      <c r="G242" s="71" t="s">
        <v>520</v>
      </c>
      <c r="H242" s="73">
        <v>0</v>
      </c>
      <c r="I242" s="105" t="s">
        <v>850</v>
      </c>
      <c r="J242" s="74">
        <v>0.22700000000000001</v>
      </c>
      <c r="K242" s="2">
        <v>18.8874</v>
      </c>
      <c r="L242" s="2">
        <v>17.838100000000001</v>
      </c>
      <c r="M242" s="75"/>
      <c r="N242" s="2">
        <f t="shared" si="26"/>
        <v>0</v>
      </c>
      <c r="O242" s="106">
        <f t="shared" si="27"/>
        <v>0</v>
      </c>
      <c r="Q242" s="76"/>
      <c r="R242" s="11" t="str">
        <f t="shared" si="22"/>
        <v>-</v>
      </c>
      <c r="S242" s="30" t="str">
        <f t="shared" si="23"/>
        <v>-</v>
      </c>
      <c r="T242" s="12" t="str">
        <f t="shared" si="24"/>
        <v>-</v>
      </c>
      <c r="U242" s="13" t="str">
        <f t="shared" si="25"/>
        <v>-</v>
      </c>
      <c r="W242" s="13" t="str">
        <f t="shared" si="21"/>
        <v>-</v>
      </c>
    </row>
    <row r="243" spans="1:23" x14ac:dyDescent="0.3">
      <c r="A243" s="70">
        <v>100200038</v>
      </c>
      <c r="B243" s="71"/>
      <c r="C243" s="102">
        <v>810122620150</v>
      </c>
      <c r="D243" s="90" t="s">
        <v>140</v>
      </c>
      <c r="E243" s="90"/>
      <c r="F243" s="71">
        <v>60</v>
      </c>
      <c r="G243" s="71" t="s">
        <v>520</v>
      </c>
      <c r="H243" s="73">
        <v>0</v>
      </c>
      <c r="I243" s="105" t="s">
        <v>850</v>
      </c>
      <c r="J243" s="74">
        <v>0.22700000000000001</v>
      </c>
      <c r="K243" s="2">
        <v>18.8874</v>
      </c>
      <c r="L243" s="2">
        <v>17.838100000000001</v>
      </c>
      <c r="M243" s="75"/>
      <c r="N243" s="2">
        <f t="shared" si="26"/>
        <v>0</v>
      </c>
      <c r="O243" s="106">
        <f t="shared" si="27"/>
        <v>0</v>
      </c>
      <c r="Q243" s="76"/>
      <c r="R243" s="11" t="str">
        <f t="shared" si="22"/>
        <v>-</v>
      </c>
      <c r="S243" s="30" t="str">
        <f t="shared" si="23"/>
        <v>-</v>
      </c>
      <c r="T243" s="12" t="str">
        <f t="shared" si="24"/>
        <v>-</v>
      </c>
      <c r="U243" s="13" t="str">
        <f t="shared" si="25"/>
        <v>-</v>
      </c>
      <c r="W243" s="13" t="str">
        <f t="shared" si="21"/>
        <v>-</v>
      </c>
    </row>
    <row r="244" spans="1:23" x14ac:dyDescent="0.3">
      <c r="A244" s="70">
        <v>100200040</v>
      </c>
      <c r="B244" s="71"/>
      <c r="C244" s="102">
        <v>810122620174</v>
      </c>
      <c r="D244" s="90" t="s">
        <v>141</v>
      </c>
      <c r="E244" s="90"/>
      <c r="F244" s="71">
        <v>60</v>
      </c>
      <c r="G244" s="71" t="s">
        <v>520</v>
      </c>
      <c r="H244" s="73">
        <v>0</v>
      </c>
      <c r="I244" s="105" t="s">
        <v>850</v>
      </c>
      <c r="J244" s="74">
        <v>0.14758383745233336</v>
      </c>
      <c r="K244" s="2">
        <v>18.8874</v>
      </c>
      <c r="L244" s="2">
        <v>17.838100000000001</v>
      </c>
      <c r="M244" s="75"/>
      <c r="N244" s="2">
        <f t="shared" si="26"/>
        <v>0</v>
      </c>
      <c r="O244" s="106">
        <f t="shared" si="27"/>
        <v>0</v>
      </c>
      <c r="Q244" s="76"/>
      <c r="R244" s="11" t="str">
        <f t="shared" si="22"/>
        <v>-</v>
      </c>
      <c r="S244" s="30" t="str">
        <f t="shared" si="23"/>
        <v>-</v>
      </c>
      <c r="T244" s="12" t="str">
        <f t="shared" si="24"/>
        <v>-</v>
      </c>
      <c r="U244" s="13" t="str">
        <f t="shared" si="25"/>
        <v>-</v>
      </c>
      <c r="W244" s="13" t="str">
        <f t="shared" si="21"/>
        <v>-</v>
      </c>
    </row>
    <row r="245" spans="1:23" x14ac:dyDescent="0.3">
      <c r="A245" s="70">
        <v>100200037</v>
      </c>
      <c r="B245" s="71"/>
      <c r="C245" s="102">
        <v>810122620143</v>
      </c>
      <c r="D245" s="90" t="s">
        <v>142</v>
      </c>
      <c r="E245" s="90"/>
      <c r="F245" s="71">
        <v>60</v>
      </c>
      <c r="G245" s="71" t="s">
        <v>520</v>
      </c>
      <c r="H245" s="73">
        <v>0</v>
      </c>
      <c r="I245" s="105" t="s">
        <v>850</v>
      </c>
      <c r="J245" s="74">
        <v>0.22700000000000001</v>
      </c>
      <c r="K245" s="2">
        <v>18.8874</v>
      </c>
      <c r="L245" s="2">
        <v>17.838100000000001</v>
      </c>
      <c r="M245" s="75"/>
      <c r="N245" s="2">
        <f t="shared" si="26"/>
        <v>0</v>
      </c>
      <c r="O245" s="106">
        <f t="shared" si="27"/>
        <v>0</v>
      </c>
      <c r="Q245" s="76"/>
      <c r="R245" s="11" t="str">
        <f t="shared" si="22"/>
        <v>-</v>
      </c>
      <c r="S245" s="30" t="str">
        <f t="shared" si="23"/>
        <v>-</v>
      </c>
      <c r="T245" s="12" t="str">
        <f t="shared" si="24"/>
        <v>-</v>
      </c>
      <c r="U245" s="13" t="str">
        <f t="shared" si="25"/>
        <v>-</v>
      </c>
      <c r="W245" s="13" t="str">
        <f t="shared" si="21"/>
        <v>-</v>
      </c>
    </row>
    <row r="246" spans="1:23" x14ac:dyDescent="0.3">
      <c r="A246" s="70">
        <v>100009297</v>
      </c>
      <c r="B246" s="71">
        <v>1181</v>
      </c>
      <c r="C246" s="96">
        <v>33984011816</v>
      </c>
      <c r="D246" s="72" t="s">
        <v>143</v>
      </c>
      <c r="E246" s="72" t="s">
        <v>521</v>
      </c>
      <c r="F246" s="73">
        <v>60</v>
      </c>
      <c r="G246" s="73" t="s">
        <v>305</v>
      </c>
      <c r="H246" s="73">
        <v>25</v>
      </c>
      <c r="I246" s="105" t="s">
        <v>850</v>
      </c>
      <c r="J246" s="74">
        <v>0.28375</v>
      </c>
      <c r="K246" s="2">
        <v>13.86</v>
      </c>
      <c r="L246" s="2">
        <v>13.089999999999998</v>
      </c>
      <c r="M246" s="75"/>
      <c r="N246" s="2">
        <f t="shared" si="26"/>
        <v>0</v>
      </c>
      <c r="O246" s="106">
        <f t="shared" si="27"/>
        <v>0</v>
      </c>
      <c r="Q246" s="76"/>
      <c r="R246" s="11" t="str">
        <f t="shared" si="22"/>
        <v>-</v>
      </c>
      <c r="S246" s="30" t="str">
        <f t="shared" si="23"/>
        <v>-</v>
      </c>
      <c r="T246" s="12" t="str">
        <f t="shared" si="24"/>
        <v>-</v>
      </c>
      <c r="U246" s="13" t="str">
        <f t="shared" si="25"/>
        <v>-</v>
      </c>
      <c r="W246" s="13" t="str">
        <f t="shared" si="21"/>
        <v>-</v>
      </c>
    </row>
    <row r="247" spans="1:23" x14ac:dyDescent="0.3">
      <c r="A247" s="70">
        <v>100009299</v>
      </c>
      <c r="B247" s="71">
        <v>1183</v>
      </c>
      <c r="C247" s="96">
        <v>33984011830</v>
      </c>
      <c r="D247" s="90" t="s">
        <v>143</v>
      </c>
      <c r="E247" s="90" t="s">
        <v>523</v>
      </c>
      <c r="F247" s="71">
        <v>180</v>
      </c>
      <c r="G247" s="71" t="s">
        <v>305</v>
      </c>
      <c r="H247" s="73">
        <v>12</v>
      </c>
      <c r="I247" s="105" t="s">
        <v>850</v>
      </c>
      <c r="J247" s="74">
        <v>0.68099999999999994</v>
      </c>
      <c r="K247" s="2">
        <v>36.54</v>
      </c>
      <c r="L247" s="2">
        <v>34.51</v>
      </c>
      <c r="M247" s="75"/>
      <c r="N247" s="2">
        <f t="shared" si="26"/>
        <v>0</v>
      </c>
      <c r="O247" s="106">
        <f t="shared" si="27"/>
        <v>0</v>
      </c>
      <c r="Q247" s="76"/>
      <c r="R247" s="11" t="str">
        <f t="shared" si="22"/>
        <v>-</v>
      </c>
      <c r="S247" s="30" t="str">
        <f t="shared" si="23"/>
        <v>-</v>
      </c>
      <c r="T247" s="12" t="str">
        <f t="shared" si="24"/>
        <v>-</v>
      </c>
      <c r="U247" s="13" t="str">
        <f t="shared" si="25"/>
        <v>-</v>
      </c>
      <c r="W247" s="13" t="str">
        <f t="shared" si="21"/>
        <v>-</v>
      </c>
    </row>
    <row r="248" spans="1:23" x14ac:dyDescent="0.3">
      <c r="A248" s="70">
        <v>100009286</v>
      </c>
      <c r="B248" s="71">
        <v>1153</v>
      </c>
      <c r="C248" s="96">
        <v>33984011533</v>
      </c>
      <c r="D248" s="90" t="s">
        <v>144</v>
      </c>
      <c r="E248" s="90" t="s">
        <v>526</v>
      </c>
      <c r="F248" s="71">
        <v>180</v>
      </c>
      <c r="G248" s="71" t="s">
        <v>305</v>
      </c>
      <c r="H248" s="73">
        <v>12</v>
      </c>
      <c r="I248" s="105" t="s">
        <v>850</v>
      </c>
      <c r="J248" s="74">
        <v>0.68099999999999994</v>
      </c>
      <c r="K248" s="2">
        <v>36.54</v>
      </c>
      <c r="L248" s="2">
        <v>34.51</v>
      </c>
      <c r="M248" s="75"/>
      <c r="N248" s="2">
        <f t="shared" si="26"/>
        <v>0</v>
      </c>
      <c r="O248" s="106">
        <f t="shared" si="27"/>
        <v>0</v>
      </c>
      <c r="Q248" s="76"/>
      <c r="R248" s="11" t="str">
        <f t="shared" si="22"/>
        <v>-</v>
      </c>
      <c r="S248" s="30" t="str">
        <f t="shared" si="23"/>
        <v>-</v>
      </c>
      <c r="T248" s="12" t="str">
        <f t="shared" si="24"/>
        <v>-</v>
      </c>
      <c r="U248" s="13" t="str">
        <f t="shared" si="25"/>
        <v>-</v>
      </c>
      <c r="W248" s="13" t="str">
        <f t="shared" si="21"/>
        <v>-</v>
      </c>
    </row>
    <row r="249" spans="1:23" x14ac:dyDescent="0.3">
      <c r="A249" s="70">
        <v>100009475</v>
      </c>
      <c r="B249" s="71">
        <v>2067</v>
      </c>
      <c r="C249" s="96">
        <v>33984020672</v>
      </c>
      <c r="D249" s="72" t="s">
        <v>149</v>
      </c>
      <c r="E249" s="72" t="s">
        <v>530</v>
      </c>
      <c r="F249" s="73">
        <v>90</v>
      </c>
      <c r="G249" s="73" t="s">
        <v>305</v>
      </c>
      <c r="H249" s="73">
        <v>23</v>
      </c>
      <c r="I249" s="105" t="s">
        <v>850</v>
      </c>
      <c r="J249" s="74">
        <v>0.32915</v>
      </c>
      <c r="K249" s="2">
        <v>35.910000000000004</v>
      </c>
      <c r="L249" s="2">
        <v>33.914999999999992</v>
      </c>
      <c r="M249" s="75"/>
      <c r="N249" s="2">
        <f t="shared" si="26"/>
        <v>0</v>
      </c>
      <c r="O249" s="106">
        <f t="shared" si="27"/>
        <v>0</v>
      </c>
      <c r="Q249" s="76"/>
      <c r="R249" s="11" t="str">
        <f t="shared" si="22"/>
        <v>-</v>
      </c>
      <c r="S249" s="30" t="str">
        <f t="shared" si="23"/>
        <v>-</v>
      </c>
      <c r="T249" s="12" t="str">
        <f t="shared" si="24"/>
        <v>-</v>
      </c>
      <c r="U249" s="13" t="str">
        <f t="shared" si="25"/>
        <v>-</v>
      </c>
      <c r="W249" s="13" t="str">
        <f t="shared" si="21"/>
        <v>-</v>
      </c>
    </row>
    <row r="250" spans="1:23" x14ac:dyDescent="0.3">
      <c r="A250" s="70">
        <v>100009905</v>
      </c>
      <c r="B250" s="71">
        <v>52551</v>
      </c>
      <c r="C250" s="96">
        <v>33984525511</v>
      </c>
      <c r="D250" s="72" t="s">
        <v>263</v>
      </c>
      <c r="E250" s="72" t="s">
        <v>532</v>
      </c>
      <c r="F250" s="73">
        <v>120</v>
      </c>
      <c r="G250" s="73" t="s">
        <v>327</v>
      </c>
      <c r="H250" s="73">
        <v>12</v>
      </c>
      <c r="I250" s="105" t="s">
        <v>850</v>
      </c>
      <c r="J250" s="74">
        <v>0.60835430670758328</v>
      </c>
      <c r="K250" s="2">
        <v>13.86</v>
      </c>
      <c r="L250" s="2">
        <v>13.089999999999998</v>
      </c>
      <c r="M250" s="75"/>
      <c r="N250" s="2">
        <f t="shared" si="26"/>
        <v>0</v>
      </c>
      <c r="O250" s="106">
        <f t="shared" si="27"/>
        <v>0</v>
      </c>
      <c r="Q250" s="76"/>
      <c r="R250" s="11" t="str">
        <f t="shared" si="22"/>
        <v>-</v>
      </c>
      <c r="S250" s="30" t="str">
        <f t="shared" si="23"/>
        <v>-</v>
      </c>
      <c r="T250" s="12" t="str">
        <f t="shared" si="24"/>
        <v>-</v>
      </c>
      <c r="U250" s="13" t="str">
        <f t="shared" si="25"/>
        <v>-</v>
      </c>
      <c r="W250" s="13" t="str">
        <f t="shared" ref="W250:W313" si="28">IFERROR(IF(U250+O250=0, "-", IF(U250&gt;0, U250+O250, "-")), "-")</f>
        <v>-</v>
      </c>
    </row>
    <row r="251" spans="1:23" x14ac:dyDescent="0.3">
      <c r="A251" s="70">
        <v>100009579</v>
      </c>
      <c r="B251" s="71">
        <v>2812</v>
      </c>
      <c r="C251" s="96">
        <v>33984028128</v>
      </c>
      <c r="D251" s="72" t="s">
        <v>151</v>
      </c>
      <c r="E251" s="72" t="s">
        <v>533</v>
      </c>
      <c r="F251" s="73">
        <v>90</v>
      </c>
      <c r="G251" s="73" t="s">
        <v>300</v>
      </c>
      <c r="H251" s="73">
        <v>23</v>
      </c>
      <c r="I251" s="105" t="s">
        <v>850</v>
      </c>
      <c r="J251" s="74">
        <v>0.27239999999999998</v>
      </c>
      <c r="K251" s="2">
        <v>17.639999999999997</v>
      </c>
      <c r="L251" s="2">
        <v>16.66</v>
      </c>
      <c r="M251" s="75"/>
      <c r="N251" s="2">
        <f t="shared" si="26"/>
        <v>0</v>
      </c>
      <c r="O251" s="106">
        <f t="shared" si="27"/>
        <v>0</v>
      </c>
      <c r="Q251" s="76"/>
      <c r="R251" s="11" t="str">
        <f t="shared" ref="R251:R314" si="29">IFERROR(IF($R$2*J251=0, "-", $R$2*J251), "-")</f>
        <v>-</v>
      </c>
      <c r="S251" s="30" t="str">
        <f t="shared" ref="S251:S314" si="30">IFERROR(IF(R251&gt;0,M251+R251,"-"),"-")</f>
        <v>-</v>
      </c>
      <c r="T251" s="12" t="str">
        <f t="shared" ref="T251:T314" si="31">IF(M251&gt;0,M251*J251, "-")</f>
        <v>-</v>
      </c>
      <c r="U251" s="13" t="str">
        <f t="shared" ref="U251:U314" si="32">IFERROR(IF($R$2&gt;0, $R$2*T251, "-"), "-")</f>
        <v>-</v>
      </c>
      <c r="W251" s="13" t="str">
        <f t="shared" si="28"/>
        <v>-</v>
      </c>
    </row>
    <row r="252" spans="1:23" x14ac:dyDescent="0.3">
      <c r="A252" s="70">
        <v>100186239</v>
      </c>
      <c r="B252" s="71">
        <v>10048</v>
      </c>
      <c r="C252" s="96">
        <v>33984005891</v>
      </c>
      <c r="D252" s="72" t="s">
        <v>534</v>
      </c>
      <c r="E252" s="72" t="s">
        <v>535</v>
      </c>
      <c r="F252" s="73">
        <v>30</v>
      </c>
      <c r="G252" s="73" t="s">
        <v>305</v>
      </c>
      <c r="H252" s="73">
        <v>36</v>
      </c>
      <c r="I252" s="105" t="s">
        <v>850</v>
      </c>
      <c r="J252" s="74">
        <v>0.12245199999999999</v>
      </c>
      <c r="K252" s="2">
        <v>16.695</v>
      </c>
      <c r="L252" s="2">
        <v>15.767499999999998</v>
      </c>
      <c r="M252" s="75"/>
      <c r="N252" s="2">
        <f t="shared" si="26"/>
        <v>0</v>
      </c>
      <c r="O252" s="106">
        <f t="shared" si="27"/>
        <v>0</v>
      </c>
      <c r="Q252" s="76"/>
      <c r="R252" s="11" t="str">
        <f t="shared" si="29"/>
        <v>-</v>
      </c>
      <c r="S252" s="30" t="str">
        <f t="shared" si="30"/>
        <v>-</v>
      </c>
      <c r="T252" s="12" t="str">
        <f t="shared" si="31"/>
        <v>-</v>
      </c>
      <c r="U252" s="13" t="str">
        <f t="shared" si="32"/>
        <v>-</v>
      </c>
      <c r="W252" s="13" t="str">
        <f t="shared" si="28"/>
        <v>-</v>
      </c>
    </row>
    <row r="253" spans="1:23" x14ac:dyDescent="0.3">
      <c r="A253" s="70">
        <v>100009510</v>
      </c>
      <c r="B253" s="71">
        <v>2313</v>
      </c>
      <c r="C253" s="96">
        <v>33984023130</v>
      </c>
      <c r="D253" s="72" t="s">
        <v>152</v>
      </c>
      <c r="E253" s="72" t="s">
        <v>536</v>
      </c>
      <c r="F253" s="73">
        <v>60</v>
      </c>
      <c r="G253" s="73" t="s">
        <v>305</v>
      </c>
      <c r="H253" s="73">
        <v>36</v>
      </c>
      <c r="I253" s="105" t="s">
        <v>850</v>
      </c>
      <c r="J253" s="74">
        <v>0.15401917920170832</v>
      </c>
      <c r="K253" s="2">
        <v>18.899999999999999</v>
      </c>
      <c r="L253" s="2">
        <v>17.849999999999998</v>
      </c>
      <c r="M253" s="75"/>
      <c r="N253" s="2">
        <f t="shared" si="26"/>
        <v>0</v>
      </c>
      <c r="O253" s="106">
        <f t="shared" si="27"/>
        <v>0</v>
      </c>
      <c r="Q253" s="76"/>
      <c r="R253" s="11" t="str">
        <f t="shared" si="29"/>
        <v>-</v>
      </c>
      <c r="S253" s="30" t="str">
        <f t="shared" si="30"/>
        <v>-</v>
      </c>
      <c r="T253" s="12" t="str">
        <f t="shared" si="31"/>
        <v>-</v>
      </c>
      <c r="U253" s="13" t="str">
        <f t="shared" si="32"/>
        <v>-</v>
      </c>
      <c r="W253" s="13" t="str">
        <f t="shared" si="28"/>
        <v>-</v>
      </c>
    </row>
    <row r="254" spans="1:23" x14ac:dyDescent="0.3">
      <c r="A254" s="77">
        <v>100009716</v>
      </c>
      <c r="B254" s="78">
        <v>4163</v>
      </c>
      <c r="C254" s="97">
        <v>33984041639</v>
      </c>
      <c r="D254" s="79" t="s">
        <v>540</v>
      </c>
      <c r="E254" s="79" t="s">
        <v>541</v>
      </c>
      <c r="F254" s="73">
        <v>50</v>
      </c>
      <c r="G254" s="73" t="s">
        <v>300</v>
      </c>
      <c r="H254" s="73"/>
      <c r="I254" s="105" t="s">
        <v>850</v>
      </c>
      <c r="J254" s="74" t="e">
        <v>#N/A</v>
      </c>
      <c r="K254" s="2">
        <v>14.489999999999998</v>
      </c>
      <c r="L254" s="2">
        <v>13.685</v>
      </c>
      <c r="M254" s="75"/>
      <c r="N254" s="2">
        <f t="shared" si="26"/>
        <v>0</v>
      </c>
      <c r="O254" s="106">
        <f t="shared" si="27"/>
        <v>0</v>
      </c>
      <c r="Q254" s="76"/>
      <c r="R254" s="11" t="str">
        <f t="shared" si="29"/>
        <v>-</v>
      </c>
      <c r="S254" s="30" t="str">
        <f t="shared" si="30"/>
        <v>-</v>
      </c>
      <c r="T254" s="12" t="str">
        <f t="shared" si="31"/>
        <v>-</v>
      </c>
      <c r="U254" s="13" t="str">
        <f t="shared" si="32"/>
        <v>-</v>
      </c>
      <c r="W254" s="13" t="str">
        <f t="shared" si="28"/>
        <v>-</v>
      </c>
    </row>
    <row r="255" spans="1:23" x14ac:dyDescent="0.3">
      <c r="A255" s="70">
        <v>100009690</v>
      </c>
      <c r="B255" s="71">
        <v>4114</v>
      </c>
      <c r="C255" s="96">
        <v>33984041141</v>
      </c>
      <c r="D255" s="72" t="s">
        <v>155</v>
      </c>
      <c r="E255" s="72" t="s">
        <v>545</v>
      </c>
      <c r="F255" s="73">
        <v>60</v>
      </c>
      <c r="G255" s="73" t="s">
        <v>300</v>
      </c>
      <c r="H255" s="73">
        <v>30</v>
      </c>
      <c r="I255" s="105" t="s">
        <v>850</v>
      </c>
      <c r="J255" s="74">
        <v>0.16525957612395004</v>
      </c>
      <c r="K255" s="2">
        <v>12.914999999999999</v>
      </c>
      <c r="L255" s="2">
        <v>12.1975</v>
      </c>
      <c r="M255" s="75"/>
      <c r="N255" s="2">
        <f t="shared" si="26"/>
        <v>0</v>
      </c>
      <c r="O255" s="106">
        <f t="shared" si="27"/>
        <v>0</v>
      </c>
      <c r="Q255" s="76"/>
      <c r="R255" s="11" t="str">
        <f t="shared" si="29"/>
        <v>-</v>
      </c>
      <c r="S255" s="30" t="str">
        <f t="shared" si="30"/>
        <v>-</v>
      </c>
      <c r="T255" s="12" t="str">
        <f t="shared" si="31"/>
        <v>-</v>
      </c>
      <c r="U255" s="13" t="str">
        <f t="shared" si="32"/>
        <v>-</v>
      </c>
      <c r="W255" s="13" t="str">
        <f t="shared" si="28"/>
        <v>-</v>
      </c>
    </row>
    <row r="256" spans="1:23" x14ac:dyDescent="0.3">
      <c r="A256" s="70">
        <v>100009195</v>
      </c>
      <c r="B256" s="71">
        <v>877</v>
      </c>
      <c r="C256" s="96">
        <v>33984008779</v>
      </c>
      <c r="D256" s="72" t="s">
        <v>156</v>
      </c>
      <c r="E256" s="72" t="s">
        <v>546</v>
      </c>
      <c r="F256" s="73">
        <v>100</v>
      </c>
      <c r="G256" s="73" t="s">
        <v>300</v>
      </c>
      <c r="H256" s="73">
        <v>23</v>
      </c>
      <c r="I256" s="105" t="s">
        <v>850</v>
      </c>
      <c r="J256" s="74">
        <v>0.22700000000000001</v>
      </c>
      <c r="K256" s="2">
        <v>9.2609999999999992</v>
      </c>
      <c r="L256" s="2">
        <v>8.7464999999999993</v>
      </c>
      <c r="M256" s="75"/>
      <c r="N256" s="2">
        <f t="shared" si="26"/>
        <v>0</v>
      </c>
      <c r="O256" s="106">
        <f t="shared" si="27"/>
        <v>0</v>
      </c>
      <c r="Q256" s="76"/>
      <c r="R256" s="11" t="str">
        <f t="shared" si="29"/>
        <v>-</v>
      </c>
      <c r="S256" s="30" t="str">
        <f t="shared" si="30"/>
        <v>-</v>
      </c>
      <c r="T256" s="12" t="str">
        <f t="shared" si="31"/>
        <v>-</v>
      </c>
      <c r="U256" s="13" t="str">
        <f t="shared" si="32"/>
        <v>-</v>
      </c>
      <c r="W256" s="13" t="str">
        <f t="shared" si="28"/>
        <v>-</v>
      </c>
    </row>
    <row r="257" spans="1:23" x14ac:dyDescent="0.3">
      <c r="A257" s="70">
        <v>100009663</v>
      </c>
      <c r="B257" s="71">
        <v>3818</v>
      </c>
      <c r="C257" s="96">
        <v>33984038189</v>
      </c>
      <c r="D257" s="72" t="s">
        <v>157</v>
      </c>
      <c r="E257" s="72" t="s">
        <v>547</v>
      </c>
      <c r="F257" s="73">
        <v>100</v>
      </c>
      <c r="G257" s="73" t="s">
        <v>300</v>
      </c>
      <c r="H257" s="73">
        <v>23</v>
      </c>
      <c r="I257" s="105" t="s">
        <v>850</v>
      </c>
      <c r="J257" s="74">
        <v>0.28203584710304347</v>
      </c>
      <c r="K257" s="2">
        <v>15.12</v>
      </c>
      <c r="L257" s="2">
        <v>14.279999999999998</v>
      </c>
      <c r="M257" s="75"/>
      <c r="N257" s="2">
        <f t="shared" si="26"/>
        <v>0</v>
      </c>
      <c r="O257" s="106">
        <f t="shared" si="27"/>
        <v>0</v>
      </c>
      <c r="Q257" s="76"/>
      <c r="R257" s="11" t="str">
        <f t="shared" si="29"/>
        <v>-</v>
      </c>
      <c r="S257" s="30" t="str">
        <f t="shared" si="30"/>
        <v>-</v>
      </c>
      <c r="T257" s="12" t="str">
        <f t="shared" si="31"/>
        <v>-</v>
      </c>
      <c r="U257" s="13" t="str">
        <f t="shared" si="32"/>
        <v>-</v>
      </c>
      <c r="W257" s="13" t="str">
        <f t="shared" si="28"/>
        <v>-</v>
      </c>
    </row>
    <row r="258" spans="1:23" x14ac:dyDescent="0.3">
      <c r="A258" s="70">
        <v>100009220</v>
      </c>
      <c r="B258" s="71">
        <v>955</v>
      </c>
      <c r="C258" s="96">
        <v>33984009554</v>
      </c>
      <c r="D258" s="72" t="s">
        <v>158</v>
      </c>
      <c r="E258" s="72" t="s">
        <v>548</v>
      </c>
      <c r="F258" s="73">
        <v>60</v>
      </c>
      <c r="G258" s="73" t="s">
        <v>300</v>
      </c>
      <c r="H258" s="73">
        <v>25</v>
      </c>
      <c r="I258" s="105" t="s">
        <v>850</v>
      </c>
      <c r="J258" s="74">
        <v>0.20129748992045002</v>
      </c>
      <c r="K258" s="2">
        <v>9.9540000000000006</v>
      </c>
      <c r="L258" s="2">
        <v>9.4009999999999998</v>
      </c>
      <c r="M258" s="75"/>
      <c r="N258" s="2">
        <f t="shared" si="26"/>
        <v>0</v>
      </c>
      <c r="O258" s="106">
        <f t="shared" si="27"/>
        <v>0</v>
      </c>
      <c r="Q258" s="76"/>
      <c r="R258" s="11" t="str">
        <f t="shared" si="29"/>
        <v>-</v>
      </c>
      <c r="S258" s="30" t="str">
        <f t="shared" si="30"/>
        <v>-</v>
      </c>
      <c r="T258" s="12" t="str">
        <f t="shared" si="31"/>
        <v>-</v>
      </c>
      <c r="U258" s="13" t="str">
        <f t="shared" si="32"/>
        <v>-</v>
      </c>
      <c r="W258" s="13" t="str">
        <f t="shared" si="28"/>
        <v>-</v>
      </c>
    </row>
    <row r="259" spans="1:23" x14ac:dyDescent="0.3">
      <c r="A259" s="70">
        <v>100185238</v>
      </c>
      <c r="B259" s="71">
        <v>30020</v>
      </c>
      <c r="C259" s="96">
        <v>33984005518</v>
      </c>
      <c r="D259" s="72" t="s">
        <v>159</v>
      </c>
      <c r="E259" s="72" t="s">
        <v>549</v>
      </c>
      <c r="F259" s="73">
        <v>90</v>
      </c>
      <c r="G259" s="73" t="s">
        <v>300</v>
      </c>
      <c r="H259" s="73">
        <v>16</v>
      </c>
      <c r="I259" s="105" t="s">
        <v>850</v>
      </c>
      <c r="J259" s="74">
        <v>0.30645</v>
      </c>
      <c r="K259" s="2">
        <v>33.39</v>
      </c>
      <c r="L259" s="2">
        <v>31.534999999999997</v>
      </c>
      <c r="M259" s="75"/>
      <c r="N259" s="2">
        <f t="shared" ref="N259:N322" si="33">M259*K259</f>
        <v>0</v>
      </c>
      <c r="O259" s="106">
        <f t="shared" ref="O259:O322" si="34">IF(M259&gt;143,M259*L259,M259*K259)</f>
        <v>0</v>
      </c>
      <c r="Q259" s="76"/>
      <c r="R259" s="11" t="str">
        <f t="shared" si="29"/>
        <v>-</v>
      </c>
      <c r="S259" s="30" t="str">
        <f t="shared" si="30"/>
        <v>-</v>
      </c>
      <c r="T259" s="12" t="str">
        <f t="shared" si="31"/>
        <v>-</v>
      </c>
      <c r="U259" s="13" t="str">
        <f t="shared" si="32"/>
        <v>-</v>
      </c>
      <c r="W259" s="13" t="str">
        <f t="shared" si="28"/>
        <v>-</v>
      </c>
    </row>
    <row r="260" spans="1:23" x14ac:dyDescent="0.3">
      <c r="A260" s="70">
        <v>100155811</v>
      </c>
      <c r="B260" s="71">
        <v>54708</v>
      </c>
      <c r="C260" s="96">
        <v>33984547087</v>
      </c>
      <c r="D260" s="72" t="s">
        <v>160</v>
      </c>
      <c r="E260" s="72" t="s">
        <v>552</v>
      </c>
      <c r="F260" s="73">
        <v>90</v>
      </c>
      <c r="G260" s="73" t="s">
        <v>330</v>
      </c>
      <c r="H260" s="73">
        <v>20</v>
      </c>
      <c r="I260" s="105" t="s">
        <v>850</v>
      </c>
      <c r="J260" s="74">
        <v>0.37099745185146871</v>
      </c>
      <c r="K260" s="2">
        <v>51.66</v>
      </c>
      <c r="L260" s="2">
        <v>48.79</v>
      </c>
      <c r="M260" s="75"/>
      <c r="N260" s="2">
        <f t="shared" si="33"/>
        <v>0</v>
      </c>
      <c r="O260" s="106">
        <f t="shared" si="34"/>
        <v>0</v>
      </c>
      <c r="Q260" s="76"/>
      <c r="R260" s="11" t="str">
        <f t="shared" si="29"/>
        <v>-</v>
      </c>
      <c r="S260" s="30" t="str">
        <f t="shared" si="30"/>
        <v>-</v>
      </c>
      <c r="T260" s="12" t="str">
        <f t="shared" si="31"/>
        <v>-</v>
      </c>
      <c r="U260" s="13" t="str">
        <f t="shared" si="32"/>
        <v>-</v>
      </c>
      <c r="W260" s="13" t="str">
        <f t="shared" si="28"/>
        <v>-</v>
      </c>
    </row>
    <row r="261" spans="1:23" x14ac:dyDescent="0.3">
      <c r="A261" s="70">
        <v>100009700</v>
      </c>
      <c r="B261" s="71">
        <v>4132</v>
      </c>
      <c r="C261" s="96">
        <v>33984041325</v>
      </c>
      <c r="D261" s="72" t="s">
        <v>162</v>
      </c>
      <c r="E261" s="72" t="s">
        <v>558</v>
      </c>
      <c r="F261" s="73">
        <v>180</v>
      </c>
      <c r="G261" s="73" t="s">
        <v>300</v>
      </c>
      <c r="H261" s="73">
        <v>20</v>
      </c>
      <c r="I261" s="105" t="s">
        <v>850</v>
      </c>
      <c r="J261" s="74">
        <v>0.32588570618835005</v>
      </c>
      <c r="K261" s="2">
        <v>29.61</v>
      </c>
      <c r="L261" s="2">
        <v>27.964999999999996</v>
      </c>
      <c r="M261" s="75"/>
      <c r="N261" s="2">
        <f t="shared" si="33"/>
        <v>0</v>
      </c>
      <c r="O261" s="106">
        <f t="shared" si="34"/>
        <v>0</v>
      </c>
      <c r="Q261" s="76"/>
      <c r="R261" s="11" t="str">
        <f t="shared" si="29"/>
        <v>-</v>
      </c>
      <c r="S261" s="30" t="str">
        <f t="shared" si="30"/>
        <v>-</v>
      </c>
      <c r="T261" s="12" t="str">
        <f t="shared" si="31"/>
        <v>-</v>
      </c>
      <c r="U261" s="13" t="str">
        <f t="shared" si="32"/>
        <v>-</v>
      </c>
      <c r="W261" s="13" t="str">
        <f t="shared" si="28"/>
        <v>-</v>
      </c>
    </row>
    <row r="262" spans="1:23" x14ac:dyDescent="0.3">
      <c r="A262" s="70">
        <v>100009680</v>
      </c>
      <c r="B262" s="71">
        <v>3973</v>
      </c>
      <c r="C262" s="96">
        <v>33984039735</v>
      </c>
      <c r="D262" s="72" t="s">
        <v>164</v>
      </c>
      <c r="E262" s="72" t="s">
        <v>561</v>
      </c>
      <c r="F262" s="73">
        <v>250</v>
      </c>
      <c r="G262" s="73" t="s">
        <v>300</v>
      </c>
      <c r="H262" s="73">
        <v>12</v>
      </c>
      <c r="I262" s="105" t="s">
        <v>850</v>
      </c>
      <c r="J262" s="74">
        <v>0.4672058110046251</v>
      </c>
      <c r="K262" s="2">
        <v>34.019999999999996</v>
      </c>
      <c r="L262" s="2">
        <v>32.129999999999995</v>
      </c>
      <c r="M262" s="75"/>
      <c r="N262" s="2">
        <f t="shared" si="33"/>
        <v>0</v>
      </c>
      <c r="O262" s="106">
        <f t="shared" si="34"/>
        <v>0</v>
      </c>
      <c r="Q262" s="76"/>
      <c r="R262" s="11" t="str">
        <f t="shared" si="29"/>
        <v>-</v>
      </c>
      <c r="S262" s="30" t="str">
        <f t="shared" si="30"/>
        <v>-</v>
      </c>
      <c r="T262" s="12" t="str">
        <f t="shared" si="31"/>
        <v>-</v>
      </c>
      <c r="U262" s="13" t="str">
        <f t="shared" si="32"/>
        <v>-</v>
      </c>
      <c r="W262" s="13" t="str">
        <f t="shared" si="28"/>
        <v>-</v>
      </c>
    </row>
    <row r="263" spans="1:23" x14ac:dyDescent="0.3">
      <c r="A263" s="70">
        <v>100190512</v>
      </c>
      <c r="B263" s="71">
        <v>30318</v>
      </c>
      <c r="C263" s="96">
        <v>33984303188</v>
      </c>
      <c r="D263" s="72" t="s">
        <v>166</v>
      </c>
      <c r="E263" s="72" t="s">
        <v>568</v>
      </c>
      <c r="F263" s="73">
        <v>60</v>
      </c>
      <c r="G263" s="73" t="s">
        <v>300</v>
      </c>
      <c r="H263" s="73">
        <v>25</v>
      </c>
      <c r="I263" s="105" t="s">
        <v>850</v>
      </c>
      <c r="J263" s="74">
        <v>0.23377199999999998</v>
      </c>
      <c r="K263" s="2">
        <v>22.049999999999997</v>
      </c>
      <c r="L263" s="2">
        <v>20.824999999999999</v>
      </c>
      <c r="M263" s="75"/>
      <c r="N263" s="2">
        <f t="shared" si="33"/>
        <v>0</v>
      </c>
      <c r="O263" s="106">
        <f t="shared" si="34"/>
        <v>0</v>
      </c>
      <c r="Q263" s="76"/>
      <c r="R263" s="11" t="str">
        <f t="shared" si="29"/>
        <v>-</v>
      </c>
      <c r="S263" s="30" t="str">
        <f t="shared" si="30"/>
        <v>-</v>
      </c>
      <c r="T263" s="12" t="str">
        <f t="shared" si="31"/>
        <v>-</v>
      </c>
      <c r="U263" s="13" t="str">
        <f t="shared" si="32"/>
        <v>-</v>
      </c>
      <c r="W263" s="13" t="str">
        <f t="shared" si="28"/>
        <v>-</v>
      </c>
    </row>
    <row r="264" spans="1:23" x14ac:dyDescent="0.3">
      <c r="A264" s="70">
        <v>100009806</v>
      </c>
      <c r="B264" s="71">
        <v>31549</v>
      </c>
      <c r="C264" s="96">
        <v>33984315495</v>
      </c>
      <c r="D264" s="72" t="s">
        <v>168</v>
      </c>
      <c r="E264" s="72" t="s">
        <v>570</v>
      </c>
      <c r="F264" s="73">
        <v>90</v>
      </c>
      <c r="G264" s="73" t="s">
        <v>300</v>
      </c>
      <c r="H264" s="73">
        <v>16</v>
      </c>
      <c r="I264" s="105" t="s">
        <v>850</v>
      </c>
      <c r="J264" s="74">
        <v>0.26771021677400003</v>
      </c>
      <c r="K264" s="2">
        <v>21.419999999999998</v>
      </c>
      <c r="L264" s="2">
        <v>20.229999999999997</v>
      </c>
      <c r="M264" s="75"/>
      <c r="N264" s="2">
        <f t="shared" si="33"/>
        <v>0</v>
      </c>
      <c r="O264" s="106">
        <f t="shared" si="34"/>
        <v>0</v>
      </c>
      <c r="Q264" s="76"/>
      <c r="R264" s="11" t="str">
        <f t="shared" si="29"/>
        <v>-</v>
      </c>
      <c r="S264" s="30" t="str">
        <f t="shared" si="30"/>
        <v>-</v>
      </c>
      <c r="T264" s="12" t="str">
        <f t="shared" si="31"/>
        <v>-</v>
      </c>
      <c r="U264" s="13" t="str">
        <f t="shared" si="32"/>
        <v>-</v>
      </c>
      <c r="W264" s="13" t="str">
        <f t="shared" si="28"/>
        <v>-</v>
      </c>
    </row>
    <row r="265" spans="1:23" x14ac:dyDescent="0.3">
      <c r="A265" s="70">
        <v>100009674</v>
      </c>
      <c r="B265" s="71">
        <v>3947</v>
      </c>
      <c r="C265" s="96">
        <v>33984039476</v>
      </c>
      <c r="D265" s="72" t="s">
        <v>170</v>
      </c>
      <c r="E265" s="72" t="s">
        <v>572</v>
      </c>
      <c r="F265" s="73">
        <v>100</v>
      </c>
      <c r="G265" s="73" t="s">
        <v>300</v>
      </c>
      <c r="H265" s="73">
        <v>23</v>
      </c>
      <c r="I265" s="105" t="s">
        <v>850</v>
      </c>
      <c r="J265" s="74">
        <v>0.24970000000000001</v>
      </c>
      <c r="K265" s="2">
        <v>12.914999999999999</v>
      </c>
      <c r="L265" s="2">
        <v>12.1975</v>
      </c>
      <c r="M265" s="75"/>
      <c r="N265" s="2">
        <f t="shared" si="33"/>
        <v>0</v>
      </c>
      <c r="O265" s="106">
        <f t="shared" si="34"/>
        <v>0</v>
      </c>
      <c r="Q265" s="76"/>
      <c r="R265" s="11" t="str">
        <f t="shared" si="29"/>
        <v>-</v>
      </c>
      <c r="S265" s="30" t="str">
        <f t="shared" si="30"/>
        <v>-</v>
      </c>
      <c r="T265" s="12" t="str">
        <f t="shared" si="31"/>
        <v>-</v>
      </c>
      <c r="U265" s="13" t="str">
        <f t="shared" si="32"/>
        <v>-</v>
      </c>
      <c r="W265" s="13" t="str">
        <f t="shared" si="28"/>
        <v>-</v>
      </c>
    </row>
    <row r="266" spans="1:23" x14ac:dyDescent="0.3">
      <c r="A266" s="70">
        <v>100009251</v>
      </c>
      <c r="B266" s="71">
        <v>1035</v>
      </c>
      <c r="C266" s="96">
        <v>33984010352</v>
      </c>
      <c r="D266" s="72" t="s">
        <v>171</v>
      </c>
      <c r="E266" s="72" t="s">
        <v>575</v>
      </c>
      <c r="F266" s="73">
        <v>120</v>
      </c>
      <c r="G266" s="73" t="s">
        <v>300</v>
      </c>
      <c r="H266" s="73">
        <v>20</v>
      </c>
      <c r="I266" s="105" t="s">
        <v>850</v>
      </c>
      <c r="J266" s="74">
        <v>0.32915</v>
      </c>
      <c r="K266" s="2">
        <v>28.979999999999997</v>
      </c>
      <c r="L266" s="2">
        <v>27.37</v>
      </c>
      <c r="M266" s="75"/>
      <c r="N266" s="2">
        <f t="shared" si="33"/>
        <v>0</v>
      </c>
      <c r="O266" s="106">
        <f t="shared" si="34"/>
        <v>0</v>
      </c>
      <c r="Q266" s="76"/>
      <c r="R266" s="11" t="str">
        <f t="shared" si="29"/>
        <v>-</v>
      </c>
      <c r="S266" s="30" t="str">
        <f t="shared" si="30"/>
        <v>-</v>
      </c>
      <c r="T266" s="12" t="str">
        <f t="shared" si="31"/>
        <v>-</v>
      </c>
      <c r="U266" s="13" t="str">
        <f t="shared" si="32"/>
        <v>-</v>
      </c>
      <c r="W266" s="13" t="str">
        <f t="shared" si="28"/>
        <v>-</v>
      </c>
    </row>
    <row r="267" spans="1:23" x14ac:dyDescent="0.3">
      <c r="A267" s="70">
        <v>100009345</v>
      </c>
      <c r="B267" s="71">
        <v>1356</v>
      </c>
      <c r="C267" s="96">
        <v>33984013568</v>
      </c>
      <c r="D267" s="72" t="s">
        <v>174</v>
      </c>
      <c r="E267" s="72" t="s">
        <v>578</v>
      </c>
      <c r="F267" s="73">
        <v>60</v>
      </c>
      <c r="G267" s="73" t="s">
        <v>300</v>
      </c>
      <c r="H267" s="73">
        <v>25</v>
      </c>
      <c r="I267" s="105" t="s">
        <v>850</v>
      </c>
      <c r="J267" s="74">
        <v>0.16525957612395004</v>
      </c>
      <c r="K267" s="2">
        <v>17.639999999999997</v>
      </c>
      <c r="L267" s="2">
        <v>16.66</v>
      </c>
      <c r="M267" s="75"/>
      <c r="N267" s="2">
        <f t="shared" si="33"/>
        <v>0</v>
      </c>
      <c r="O267" s="106">
        <f t="shared" si="34"/>
        <v>0</v>
      </c>
      <c r="Q267" s="76"/>
      <c r="R267" s="11" t="str">
        <f t="shared" si="29"/>
        <v>-</v>
      </c>
      <c r="S267" s="30" t="str">
        <f t="shared" si="30"/>
        <v>-</v>
      </c>
      <c r="T267" s="12" t="str">
        <f t="shared" si="31"/>
        <v>-</v>
      </c>
      <c r="U267" s="13" t="str">
        <f t="shared" si="32"/>
        <v>-</v>
      </c>
      <c r="W267" s="13" t="str">
        <f t="shared" si="28"/>
        <v>-</v>
      </c>
    </row>
    <row r="268" spans="1:23" x14ac:dyDescent="0.3">
      <c r="A268" s="70">
        <v>100009506</v>
      </c>
      <c r="B268" s="71">
        <v>2306</v>
      </c>
      <c r="C268" s="96">
        <v>33984023062</v>
      </c>
      <c r="D268" s="72" t="s">
        <v>175</v>
      </c>
      <c r="E268" s="72" t="s">
        <v>579</v>
      </c>
      <c r="F268" s="73">
        <v>30</v>
      </c>
      <c r="G268" s="73" t="s">
        <v>300</v>
      </c>
      <c r="H268" s="73">
        <v>42</v>
      </c>
      <c r="I268" s="105" t="s">
        <v>850</v>
      </c>
      <c r="J268" s="74">
        <v>0.12870683498750002</v>
      </c>
      <c r="K268" s="2">
        <v>42.21</v>
      </c>
      <c r="L268" s="2">
        <v>39.864999999999995</v>
      </c>
      <c r="M268" s="75"/>
      <c r="N268" s="2">
        <f t="shared" si="33"/>
        <v>0</v>
      </c>
      <c r="O268" s="106">
        <f t="shared" si="34"/>
        <v>0</v>
      </c>
      <c r="Q268" s="76"/>
      <c r="R268" s="11" t="str">
        <f t="shared" si="29"/>
        <v>-</v>
      </c>
      <c r="S268" s="30" t="str">
        <f t="shared" si="30"/>
        <v>-</v>
      </c>
      <c r="T268" s="12" t="str">
        <f t="shared" si="31"/>
        <v>-</v>
      </c>
      <c r="U268" s="13" t="str">
        <f t="shared" si="32"/>
        <v>-</v>
      </c>
      <c r="W268" s="13" t="str">
        <f t="shared" si="28"/>
        <v>-</v>
      </c>
    </row>
    <row r="269" spans="1:23" x14ac:dyDescent="0.3">
      <c r="A269" s="70">
        <v>100009519</v>
      </c>
      <c r="B269" s="71">
        <v>2335</v>
      </c>
      <c r="C269" s="96">
        <v>33984023352</v>
      </c>
      <c r="D269" s="72" t="s">
        <v>580</v>
      </c>
      <c r="E269" s="72" t="s">
        <v>581</v>
      </c>
      <c r="F269" s="73">
        <v>60</v>
      </c>
      <c r="G269" s="73" t="s">
        <v>300</v>
      </c>
      <c r="H269" s="73">
        <v>25</v>
      </c>
      <c r="I269" s="105" t="s">
        <v>850</v>
      </c>
      <c r="J269" s="74">
        <v>0.200376</v>
      </c>
      <c r="K269" s="2">
        <v>18.899999999999999</v>
      </c>
      <c r="L269" s="2">
        <v>17.849999999999998</v>
      </c>
      <c r="M269" s="75"/>
      <c r="N269" s="2">
        <f t="shared" si="33"/>
        <v>0</v>
      </c>
      <c r="O269" s="106">
        <f t="shared" si="34"/>
        <v>0</v>
      </c>
      <c r="Q269" s="76"/>
      <c r="R269" s="11" t="str">
        <f t="shared" si="29"/>
        <v>-</v>
      </c>
      <c r="S269" s="30" t="str">
        <f t="shared" si="30"/>
        <v>-</v>
      </c>
      <c r="T269" s="12" t="str">
        <f t="shared" si="31"/>
        <v>-</v>
      </c>
      <c r="U269" s="13" t="str">
        <f t="shared" si="32"/>
        <v>-</v>
      </c>
      <c r="W269" s="13" t="str">
        <f t="shared" si="28"/>
        <v>-</v>
      </c>
    </row>
    <row r="270" spans="1:23" x14ac:dyDescent="0.3">
      <c r="A270" s="70">
        <v>100009520</v>
      </c>
      <c r="B270" s="71">
        <v>2336</v>
      </c>
      <c r="C270" s="96">
        <v>33984023369</v>
      </c>
      <c r="D270" s="72" t="s">
        <v>176</v>
      </c>
      <c r="E270" s="72" t="s">
        <v>582</v>
      </c>
      <c r="F270" s="73">
        <v>30</v>
      </c>
      <c r="G270" s="73" t="s">
        <v>330</v>
      </c>
      <c r="H270" s="73">
        <v>36</v>
      </c>
      <c r="I270" s="105" t="s">
        <v>850</v>
      </c>
      <c r="J270" s="74">
        <v>0.14755000000000001</v>
      </c>
      <c r="K270" s="2">
        <v>19.088999999999999</v>
      </c>
      <c r="L270" s="2">
        <v>18.028499999999998</v>
      </c>
      <c r="M270" s="75"/>
      <c r="N270" s="2">
        <f t="shared" si="33"/>
        <v>0</v>
      </c>
      <c r="O270" s="106">
        <f t="shared" si="34"/>
        <v>0</v>
      </c>
      <c r="Q270" s="76"/>
      <c r="R270" s="11" t="str">
        <f t="shared" si="29"/>
        <v>-</v>
      </c>
      <c r="S270" s="30" t="str">
        <f t="shared" si="30"/>
        <v>-</v>
      </c>
      <c r="T270" s="12" t="str">
        <f t="shared" si="31"/>
        <v>-</v>
      </c>
      <c r="U270" s="13" t="str">
        <f t="shared" si="32"/>
        <v>-</v>
      </c>
      <c r="W270" s="13" t="str">
        <f t="shared" si="28"/>
        <v>-</v>
      </c>
    </row>
    <row r="271" spans="1:23" x14ac:dyDescent="0.3">
      <c r="A271" s="70">
        <v>100009535</v>
      </c>
      <c r="B271" s="71">
        <v>2484</v>
      </c>
      <c r="C271" s="96">
        <v>33984024847</v>
      </c>
      <c r="D271" s="72" t="s">
        <v>176</v>
      </c>
      <c r="E271" s="72" t="s">
        <v>583</v>
      </c>
      <c r="F271" s="73">
        <v>60</v>
      </c>
      <c r="G271" s="73" t="s">
        <v>330</v>
      </c>
      <c r="H271" s="73">
        <v>23</v>
      </c>
      <c r="I271" s="105" t="s">
        <v>850</v>
      </c>
      <c r="J271" s="74">
        <v>0.331727877306913</v>
      </c>
      <c r="K271" s="2">
        <v>34.019999999999996</v>
      </c>
      <c r="L271" s="2">
        <v>32.129999999999995</v>
      </c>
      <c r="M271" s="75"/>
      <c r="N271" s="2">
        <f t="shared" si="33"/>
        <v>0</v>
      </c>
      <c r="O271" s="106">
        <f t="shared" si="34"/>
        <v>0</v>
      </c>
      <c r="Q271" s="76"/>
      <c r="R271" s="11" t="str">
        <f t="shared" si="29"/>
        <v>-</v>
      </c>
      <c r="S271" s="30" t="str">
        <f t="shared" si="30"/>
        <v>-</v>
      </c>
      <c r="T271" s="12" t="str">
        <f t="shared" si="31"/>
        <v>-</v>
      </c>
      <c r="U271" s="13" t="str">
        <f t="shared" si="32"/>
        <v>-</v>
      </c>
      <c r="W271" s="13" t="str">
        <f t="shared" si="28"/>
        <v>-</v>
      </c>
    </row>
    <row r="272" spans="1:23" x14ac:dyDescent="0.3">
      <c r="A272" s="70">
        <v>100009802</v>
      </c>
      <c r="B272" s="71">
        <v>31045</v>
      </c>
      <c r="C272" s="96">
        <v>33984310452</v>
      </c>
      <c r="D272" s="72" t="s">
        <v>177</v>
      </c>
      <c r="E272" s="72" t="s">
        <v>584</v>
      </c>
      <c r="F272" s="73">
        <v>30</v>
      </c>
      <c r="G272" s="73" t="s">
        <v>300</v>
      </c>
      <c r="H272" s="73">
        <v>25</v>
      </c>
      <c r="I272" s="105" t="s">
        <v>850</v>
      </c>
      <c r="J272" s="74">
        <v>0.20129748992045002</v>
      </c>
      <c r="K272" s="2">
        <v>28.979999999999997</v>
      </c>
      <c r="L272" s="2">
        <v>27.37</v>
      </c>
      <c r="M272" s="75"/>
      <c r="N272" s="2">
        <f t="shared" si="33"/>
        <v>0</v>
      </c>
      <c r="O272" s="106">
        <f t="shared" si="34"/>
        <v>0</v>
      </c>
      <c r="Q272" s="76"/>
      <c r="R272" s="11" t="str">
        <f t="shared" si="29"/>
        <v>-</v>
      </c>
      <c r="S272" s="30" t="str">
        <f t="shared" si="30"/>
        <v>-</v>
      </c>
      <c r="T272" s="12" t="str">
        <f t="shared" si="31"/>
        <v>-</v>
      </c>
      <c r="U272" s="13" t="str">
        <f t="shared" si="32"/>
        <v>-</v>
      </c>
      <c r="W272" s="13" t="str">
        <f t="shared" si="28"/>
        <v>-</v>
      </c>
    </row>
    <row r="273" spans="1:23" x14ac:dyDescent="0.3">
      <c r="A273" s="70">
        <v>100009209</v>
      </c>
      <c r="B273" s="71">
        <v>938</v>
      </c>
      <c r="C273" s="96">
        <v>33984009387</v>
      </c>
      <c r="D273" s="72" t="s">
        <v>179</v>
      </c>
      <c r="E273" s="72" t="s">
        <v>585</v>
      </c>
      <c r="F273" s="73">
        <v>180</v>
      </c>
      <c r="G273" s="73" t="s">
        <v>300</v>
      </c>
      <c r="H273" s="73">
        <v>20</v>
      </c>
      <c r="I273" s="105" t="s">
        <v>850</v>
      </c>
      <c r="J273" s="74">
        <v>0.37016085742405008</v>
      </c>
      <c r="K273" s="2">
        <v>30.24</v>
      </c>
      <c r="L273" s="2">
        <v>28.559999999999995</v>
      </c>
      <c r="M273" s="75"/>
      <c r="N273" s="2">
        <f t="shared" si="33"/>
        <v>0</v>
      </c>
      <c r="O273" s="106">
        <f t="shared" si="34"/>
        <v>0</v>
      </c>
      <c r="Q273" s="76"/>
      <c r="R273" s="11" t="str">
        <f t="shared" si="29"/>
        <v>-</v>
      </c>
      <c r="S273" s="30" t="str">
        <f t="shared" si="30"/>
        <v>-</v>
      </c>
      <c r="T273" s="12" t="str">
        <f t="shared" si="31"/>
        <v>-</v>
      </c>
      <c r="U273" s="13" t="str">
        <f t="shared" si="32"/>
        <v>-</v>
      </c>
      <c r="W273" s="13" t="str">
        <f t="shared" si="28"/>
        <v>-</v>
      </c>
    </row>
    <row r="274" spans="1:23" x14ac:dyDescent="0.3">
      <c r="A274" s="70">
        <v>100009200</v>
      </c>
      <c r="B274" s="71">
        <v>919</v>
      </c>
      <c r="C274" s="96">
        <v>33984009196</v>
      </c>
      <c r="D274" s="72" t="s">
        <v>181</v>
      </c>
      <c r="E274" s="72" t="s">
        <v>589</v>
      </c>
      <c r="F274" s="73">
        <v>60</v>
      </c>
      <c r="G274" s="73" t="s">
        <v>300</v>
      </c>
      <c r="H274" s="73">
        <v>25</v>
      </c>
      <c r="I274" s="105" t="s">
        <v>850</v>
      </c>
      <c r="J274" s="74">
        <v>0.20429999999999998</v>
      </c>
      <c r="K274" s="2">
        <v>21.419999999999998</v>
      </c>
      <c r="L274" s="2">
        <v>20.229999999999997</v>
      </c>
      <c r="M274" s="75"/>
      <c r="N274" s="2">
        <f t="shared" si="33"/>
        <v>0</v>
      </c>
      <c r="O274" s="106">
        <f t="shared" si="34"/>
        <v>0</v>
      </c>
      <c r="Q274" s="76"/>
      <c r="R274" s="11" t="str">
        <f t="shared" si="29"/>
        <v>-</v>
      </c>
      <c r="S274" s="30" t="str">
        <f t="shared" si="30"/>
        <v>-</v>
      </c>
      <c r="T274" s="12" t="str">
        <f t="shared" si="31"/>
        <v>-</v>
      </c>
      <c r="U274" s="13" t="str">
        <f t="shared" si="32"/>
        <v>-</v>
      </c>
      <c r="W274" s="13" t="str">
        <f t="shared" si="28"/>
        <v>-</v>
      </c>
    </row>
    <row r="275" spans="1:23" x14ac:dyDescent="0.3">
      <c r="A275" s="70">
        <v>100009228</v>
      </c>
      <c r="B275" s="71">
        <v>968</v>
      </c>
      <c r="C275" s="96">
        <v>33984009684</v>
      </c>
      <c r="D275" s="90" t="s">
        <v>182</v>
      </c>
      <c r="E275" s="90" t="s">
        <v>591</v>
      </c>
      <c r="F275" s="71">
        <v>60</v>
      </c>
      <c r="G275" s="71" t="s">
        <v>330</v>
      </c>
      <c r="H275" s="73">
        <v>36</v>
      </c>
      <c r="I275" s="105" t="s">
        <v>850</v>
      </c>
      <c r="J275" s="74">
        <v>0.18160000000000001</v>
      </c>
      <c r="K275" s="2">
        <v>30.24</v>
      </c>
      <c r="L275" s="2">
        <v>28.559999999999995</v>
      </c>
      <c r="M275" s="75"/>
      <c r="N275" s="2">
        <f t="shared" si="33"/>
        <v>0</v>
      </c>
      <c r="O275" s="106">
        <f t="shared" si="34"/>
        <v>0</v>
      </c>
      <c r="Q275" s="76"/>
      <c r="R275" s="11" t="str">
        <f t="shared" si="29"/>
        <v>-</v>
      </c>
      <c r="S275" s="30" t="str">
        <f t="shared" si="30"/>
        <v>-</v>
      </c>
      <c r="T275" s="12" t="str">
        <f t="shared" si="31"/>
        <v>-</v>
      </c>
      <c r="U275" s="13" t="str">
        <f t="shared" si="32"/>
        <v>-</v>
      </c>
      <c r="W275" s="13" t="str">
        <f t="shared" si="28"/>
        <v>-</v>
      </c>
    </row>
    <row r="276" spans="1:23" x14ac:dyDescent="0.3">
      <c r="A276" s="77">
        <v>100184385</v>
      </c>
      <c r="B276" s="78">
        <v>30002</v>
      </c>
      <c r="C276" s="97">
        <v>33984005389</v>
      </c>
      <c r="D276" s="79" t="s">
        <v>250</v>
      </c>
      <c r="E276" s="79" t="s">
        <v>599</v>
      </c>
      <c r="F276" s="73">
        <v>60</v>
      </c>
      <c r="G276" s="73" t="s">
        <v>330</v>
      </c>
      <c r="H276" s="73"/>
      <c r="I276" s="105" t="s">
        <v>850</v>
      </c>
      <c r="J276" s="74" t="e">
        <v>#N/A</v>
      </c>
      <c r="K276" s="2">
        <v>53.55</v>
      </c>
      <c r="L276" s="2">
        <v>50.574999999999996</v>
      </c>
      <c r="M276" s="75"/>
      <c r="N276" s="2">
        <f t="shared" si="33"/>
        <v>0</v>
      </c>
      <c r="O276" s="106">
        <f t="shared" si="34"/>
        <v>0</v>
      </c>
      <c r="Q276" s="76"/>
      <c r="R276" s="11" t="str">
        <f t="shared" si="29"/>
        <v>-</v>
      </c>
      <c r="S276" s="30" t="str">
        <f t="shared" si="30"/>
        <v>-</v>
      </c>
      <c r="T276" s="12" t="str">
        <f t="shared" si="31"/>
        <v>-</v>
      </c>
      <c r="U276" s="13" t="str">
        <f t="shared" si="32"/>
        <v>-</v>
      </c>
      <c r="W276" s="13" t="str">
        <f t="shared" si="28"/>
        <v>-</v>
      </c>
    </row>
    <row r="277" spans="1:23" x14ac:dyDescent="0.3">
      <c r="A277" s="70">
        <v>100009819</v>
      </c>
      <c r="B277" s="71">
        <v>34845</v>
      </c>
      <c r="C277" s="96">
        <v>33984348455</v>
      </c>
      <c r="D277" s="72" t="s">
        <v>188</v>
      </c>
      <c r="E277" s="72" t="s">
        <v>600</v>
      </c>
      <c r="F277" s="73">
        <v>50</v>
      </c>
      <c r="G277" s="73" t="s">
        <v>330</v>
      </c>
      <c r="H277" s="73">
        <v>36</v>
      </c>
      <c r="I277" s="105" t="s">
        <v>850</v>
      </c>
      <c r="J277" s="74">
        <v>0.17332520444983332</v>
      </c>
      <c r="K277" s="2">
        <v>20.16</v>
      </c>
      <c r="L277" s="2">
        <v>19.04</v>
      </c>
      <c r="M277" s="75"/>
      <c r="N277" s="2">
        <f t="shared" si="33"/>
        <v>0</v>
      </c>
      <c r="O277" s="106">
        <f t="shared" si="34"/>
        <v>0</v>
      </c>
      <c r="Q277" s="76"/>
      <c r="R277" s="11" t="str">
        <f t="shared" si="29"/>
        <v>-</v>
      </c>
      <c r="S277" s="30" t="str">
        <f t="shared" si="30"/>
        <v>-</v>
      </c>
      <c r="T277" s="12" t="str">
        <f t="shared" si="31"/>
        <v>-</v>
      </c>
      <c r="U277" s="13" t="str">
        <f t="shared" si="32"/>
        <v>-</v>
      </c>
      <c r="W277" s="13" t="str">
        <f t="shared" si="28"/>
        <v>-</v>
      </c>
    </row>
    <row r="278" spans="1:23" x14ac:dyDescent="0.3">
      <c r="A278" s="70">
        <v>100009560</v>
      </c>
      <c r="B278" s="71">
        <v>2676</v>
      </c>
      <c r="C278" s="96">
        <v>33984026766</v>
      </c>
      <c r="D278" s="72" t="s">
        <v>193</v>
      </c>
      <c r="E278" s="72" t="s">
        <v>610</v>
      </c>
      <c r="F278" s="73">
        <v>60</v>
      </c>
      <c r="G278" s="73" t="s">
        <v>330</v>
      </c>
      <c r="H278" s="73">
        <v>23</v>
      </c>
      <c r="I278" s="105" t="s">
        <v>850</v>
      </c>
      <c r="J278" s="74">
        <v>0.30645</v>
      </c>
      <c r="K278" s="2">
        <v>17.891999999999999</v>
      </c>
      <c r="L278" s="2">
        <v>16.897999999999996</v>
      </c>
      <c r="M278" s="75"/>
      <c r="N278" s="2">
        <f t="shared" si="33"/>
        <v>0</v>
      </c>
      <c r="O278" s="106">
        <f t="shared" si="34"/>
        <v>0</v>
      </c>
      <c r="Q278" s="76"/>
      <c r="R278" s="11" t="str">
        <f t="shared" si="29"/>
        <v>-</v>
      </c>
      <c r="S278" s="30" t="str">
        <f t="shared" si="30"/>
        <v>-</v>
      </c>
      <c r="T278" s="12" t="str">
        <f t="shared" si="31"/>
        <v>-</v>
      </c>
      <c r="U278" s="13" t="str">
        <f t="shared" si="32"/>
        <v>-</v>
      </c>
      <c r="W278" s="13" t="str">
        <f t="shared" si="28"/>
        <v>-</v>
      </c>
    </row>
    <row r="279" spans="1:23" x14ac:dyDescent="0.3">
      <c r="A279" s="70">
        <v>100009468</v>
      </c>
      <c r="B279" s="71">
        <v>2053</v>
      </c>
      <c r="C279" s="96">
        <v>33984020535</v>
      </c>
      <c r="D279" s="72" t="s">
        <v>194</v>
      </c>
      <c r="E279" s="72" t="s">
        <v>614</v>
      </c>
      <c r="F279" s="73">
        <v>120</v>
      </c>
      <c r="G279" s="73" t="s">
        <v>330</v>
      </c>
      <c r="H279" s="73">
        <v>16</v>
      </c>
      <c r="I279" s="105" t="s">
        <v>850</v>
      </c>
      <c r="J279" s="74">
        <v>0.5675</v>
      </c>
      <c r="K279" s="2">
        <v>32.129999999999995</v>
      </c>
      <c r="L279" s="2">
        <v>30.344999999999999</v>
      </c>
      <c r="M279" s="75"/>
      <c r="N279" s="2">
        <f t="shared" si="33"/>
        <v>0</v>
      </c>
      <c r="O279" s="106">
        <f t="shared" si="34"/>
        <v>0</v>
      </c>
      <c r="Q279" s="76"/>
      <c r="R279" s="11" t="str">
        <f t="shared" si="29"/>
        <v>-</v>
      </c>
      <c r="S279" s="30" t="str">
        <f t="shared" si="30"/>
        <v>-</v>
      </c>
      <c r="T279" s="12" t="str">
        <f t="shared" si="31"/>
        <v>-</v>
      </c>
      <c r="U279" s="13" t="str">
        <f t="shared" si="32"/>
        <v>-</v>
      </c>
      <c r="W279" s="13" t="str">
        <f t="shared" si="28"/>
        <v>-</v>
      </c>
    </row>
    <row r="280" spans="1:23" x14ac:dyDescent="0.3">
      <c r="A280" s="70">
        <v>100009210</v>
      </c>
      <c r="B280" s="71">
        <v>940</v>
      </c>
      <c r="C280" s="96">
        <v>33984009400</v>
      </c>
      <c r="D280" s="72" t="s">
        <v>198</v>
      </c>
      <c r="E280" s="72" t="s">
        <v>619</v>
      </c>
      <c r="F280" s="73">
        <v>100</v>
      </c>
      <c r="G280" s="73" t="s">
        <v>330</v>
      </c>
      <c r="H280" s="73">
        <v>30</v>
      </c>
      <c r="I280" s="105" t="s">
        <v>850</v>
      </c>
      <c r="J280" s="74">
        <v>0.20429999999999998</v>
      </c>
      <c r="K280" s="2">
        <v>6.048</v>
      </c>
      <c r="L280" s="2">
        <v>5.7119999999999997</v>
      </c>
      <c r="M280" s="75"/>
      <c r="N280" s="2">
        <f t="shared" si="33"/>
        <v>0</v>
      </c>
      <c r="O280" s="106">
        <f t="shared" si="34"/>
        <v>0</v>
      </c>
      <c r="Q280" s="76"/>
      <c r="R280" s="11" t="str">
        <f t="shared" si="29"/>
        <v>-</v>
      </c>
      <c r="S280" s="30" t="str">
        <f t="shared" si="30"/>
        <v>-</v>
      </c>
      <c r="T280" s="12" t="str">
        <f t="shared" si="31"/>
        <v>-</v>
      </c>
      <c r="U280" s="13" t="str">
        <f t="shared" si="32"/>
        <v>-</v>
      </c>
      <c r="W280" s="13" t="str">
        <f t="shared" si="28"/>
        <v>-</v>
      </c>
    </row>
    <row r="281" spans="1:23" x14ac:dyDescent="0.3">
      <c r="A281" s="70">
        <v>100009323</v>
      </c>
      <c r="B281" s="71">
        <v>1287</v>
      </c>
      <c r="C281" s="96">
        <v>33984012875</v>
      </c>
      <c r="D281" s="72" t="s">
        <v>199</v>
      </c>
      <c r="E281" s="72" t="s">
        <v>622</v>
      </c>
      <c r="F281" s="73">
        <v>75</v>
      </c>
      <c r="G281" s="73" t="s">
        <v>305</v>
      </c>
      <c r="H281" s="73">
        <v>23</v>
      </c>
      <c r="I281" s="105" t="s">
        <v>850</v>
      </c>
      <c r="J281" s="74">
        <v>0.31780000000000003</v>
      </c>
      <c r="K281" s="2">
        <v>22.679999999999996</v>
      </c>
      <c r="L281" s="2">
        <v>21.419999999999998</v>
      </c>
      <c r="M281" s="75"/>
      <c r="N281" s="2">
        <f t="shared" si="33"/>
        <v>0</v>
      </c>
      <c r="O281" s="106">
        <f t="shared" si="34"/>
        <v>0</v>
      </c>
      <c r="Q281" s="76"/>
      <c r="R281" s="11" t="str">
        <f t="shared" si="29"/>
        <v>-</v>
      </c>
      <c r="S281" s="30" t="str">
        <f t="shared" si="30"/>
        <v>-</v>
      </c>
      <c r="T281" s="12" t="str">
        <f t="shared" si="31"/>
        <v>-</v>
      </c>
      <c r="U281" s="13" t="str">
        <f t="shared" si="32"/>
        <v>-</v>
      </c>
      <c r="W281" s="13" t="str">
        <f t="shared" si="28"/>
        <v>-</v>
      </c>
    </row>
    <row r="282" spans="1:23" x14ac:dyDescent="0.3">
      <c r="A282" s="70">
        <v>100009324</v>
      </c>
      <c r="B282" s="71">
        <v>1288</v>
      </c>
      <c r="C282" s="96">
        <v>33984012882</v>
      </c>
      <c r="D282" s="72" t="s">
        <v>199</v>
      </c>
      <c r="E282" s="72" t="s">
        <v>623</v>
      </c>
      <c r="F282" s="73">
        <v>150</v>
      </c>
      <c r="G282" s="73" t="s">
        <v>305</v>
      </c>
      <c r="H282" s="73">
        <v>12</v>
      </c>
      <c r="I282" s="105" t="s">
        <v>850</v>
      </c>
      <c r="J282" s="74">
        <v>0.57628485365653126</v>
      </c>
      <c r="K282" s="2">
        <v>41.58</v>
      </c>
      <c r="L282" s="2">
        <v>39.269999999999996</v>
      </c>
      <c r="M282" s="75"/>
      <c r="N282" s="2">
        <f t="shared" si="33"/>
        <v>0</v>
      </c>
      <c r="O282" s="106">
        <f t="shared" si="34"/>
        <v>0</v>
      </c>
      <c r="Q282" s="76"/>
      <c r="R282" s="11" t="str">
        <f t="shared" si="29"/>
        <v>-</v>
      </c>
      <c r="S282" s="30" t="str">
        <f t="shared" si="30"/>
        <v>-</v>
      </c>
      <c r="T282" s="12" t="str">
        <f t="shared" si="31"/>
        <v>-</v>
      </c>
      <c r="U282" s="13" t="str">
        <f t="shared" si="32"/>
        <v>-</v>
      </c>
      <c r="W282" s="13" t="str">
        <f t="shared" si="28"/>
        <v>-</v>
      </c>
    </row>
    <row r="283" spans="1:23" x14ac:dyDescent="0.3">
      <c r="A283" s="70">
        <v>100009335</v>
      </c>
      <c r="B283" s="71">
        <v>1318</v>
      </c>
      <c r="C283" s="96">
        <v>33984013186</v>
      </c>
      <c r="D283" s="72" t="s">
        <v>200</v>
      </c>
      <c r="E283" s="72" t="s">
        <v>625</v>
      </c>
      <c r="F283" s="73">
        <v>60</v>
      </c>
      <c r="G283" s="73" t="s">
        <v>305</v>
      </c>
      <c r="H283" s="73">
        <v>23</v>
      </c>
      <c r="I283" s="105" t="s">
        <v>850</v>
      </c>
      <c r="J283" s="74">
        <v>0.331727877306913</v>
      </c>
      <c r="K283" s="2">
        <v>27.72</v>
      </c>
      <c r="L283" s="2">
        <v>26.179999999999996</v>
      </c>
      <c r="M283" s="75"/>
      <c r="N283" s="2">
        <f t="shared" si="33"/>
        <v>0</v>
      </c>
      <c r="O283" s="106">
        <f t="shared" si="34"/>
        <v>0</v>
      </c>
      <c r="Q283" s="76"/>
      <c r="R283" s="11" t="str">
        <f t="shared" si="29"/>
        <v>-</v>
      </c>
      <c r="S283" s="30" t="str">
        <f t="shared" si="30"/>
        <v>-</v>
      </c>
      <c r="T283" s="12" t="str">
        <f t="shared" si="31"/>
        <v>-</v>
      </c>
      <c r="U283" s="13" t="str">
        <f t="shared" si="32"/>
        <v>-</v>
      </c>
      <c r="W283" s="13" t="str">
        <f t="shared" si="28"/>
        <v>-</v>
      </c>
    </row>
    <row r="284" spans="1:23" x14ac:dyDescent="0.3">
      <c r="A284" s="70">
        <v>100009336</v>
      </c>
      <c r="B284" s="71">
        <v>1319</v>
      </c>
      <c r="C284" s="96">
        <v>33984013193</v>
      </c>
      <c r="D284" s="72" t="s">
        <v>200</v>
      </c>
      <c r="E284" s="72" t="s">
        <v>626</v>
      </c>
      <c r="F284" s="73">
        <v>120</v>
      </c>
      <c r="G284" s="73" t="s">
        <v>305</v>
      </c>
      <c r="H284" s="73">
        <v>12</v>
      </c>
      <c r="I284" s="105" t="s">
        <v>850</v>
      </c>
      <c r="J284" s="74">
        <v>0.62425000000000008</v>
      </c>
      <c r="K284" s="2">
        <v>49.14</v>
      </c>
      <c r="L284" s="2">
        <v>46.41</v>
      </c>
      <c r="M284" s="75"/>
      <c r="N284" s="2">
        <f t="shared" si="33"/>
        <v>0</v>
      </c>
      <c r="O284" s="106">
        <f t="shared" si="34"/>
        <v>0</v>
      </c>
      <c r="Q284" s="76"/>
      <c r="R284" s="11" t="str">
        <f t="shared" si="29"/>
        <v>-</v>
      </c>
      <c r="S284" s="30" t="str">
        <f t="shared" si="30"/>
        <v>-</v>
      </c>
      <c r="T284" s="12" t="str">
        <f t="shared" si="31"/>
        <v>-</v>
      </c>
      <c r="U284" s="13" t="str">
        <f t="shared" si="32"/>
        <v>-</v>
      </c>
      <c r="W284" s="13" t="str">
        <f t="shared" si="28"/>
        <v>-</v>
      </c>
    </row>
    <row r="285" spans="1:23" x14ac:dyDescent="0.3">
      <c r="A285" s="70">
        <v>100009404</v>
      </c>
      <c r="B285" s="71">
        <v>1734</v>
      </c>
      <c r="C285" s="96">
        <v>33984017344</v>
      </c>
      <c r="D285" s="72" t="s">
        <v>208</v>
      </c>
      <c r="E285" s="72" t="s">
        <v>638</v>
      </c>
      <c r="F285" s="73">
        <v>120</v>
      </c>
      <c r="G285" s="73" t="s">
        <v>305</v>
      </c>
      <c r="H285" s="73">
        <v>20</v>
      </c>
      <c r="I285" s="105" t="s">
        <v>850</v>
      </c>
      <c r="J285" s="74">
        <v>0.46534999999999999</v>
      </c>
      <c r="K285" s="2">
        <v>12.914999999999999</v>
      </c>
      <c r="L285" s="2">
        <v>12.1975</v>
      </c>
      <c r="M285" s="75"/>
      <c r="N285" s="2">
        <f t="shared" si="33"/>
        <v>0</v>
      </c>
      <c r="O285" s="106">
        <f t="shared" si="34"/>
        <v>0</v>
      </c>
      <c r="Q285" s="76"/>
      <c r="R285" s="11" t="str">
        <f t="shared" si="29"/>
        <v>-</v>
      </c>
      <c r="S285" s="30" t="str">
        <f t="shared" si="30"/>
        <v>-</v>
      </c>
      <c r="T285" s="12" t="str">
        <f t="shared" si="31"/>
        <v>-</v>
      </c>
      <c r="U285" s="13" t="str">
        <f t="shared" si="32"/>
        <v>-</v>
      </c>
      <c r="W285" s="13" t="str">
        <f t="shared" si="28"/>
        <v>-</v>
      </c>
    </row>
    <row r="286" spans="1:23" x14ac:dyDescent="0.3">
      <c r="A286" s="70">
        <v>100188061</v>
      </c>
      <c r="B286" s="71">
        <v>30049</v>
      </c>
      <c r="C286" s="96">
        <v>33984006553</v>
      </c>
      <c r="D286" s="72" t="s">
        <v>209</v>
      </c>
      <c r="E286" s="72" t="s">
        <v>639</v>
      </c>
      <c r="F286" s="73">
        <v>30</v>
      </c>
      <c r="G286" s="73" t="s">
        <v>305</v>
      </c>
      <c r="H286" s="73">
        <v>36</v>
      </c>
      <c r="I286" s="105" t="s">
        <v>850</v>
      </c>
      <c r="J286" s="74">
        <v>0.12827781220420836</v>
      </c>
      <c r="K286" s="2">
        <v>10.08</v>
      </c>
      <c r="L286" s="2">
        <v>9.52</v>
      </c>
      <c r="M286" s="75"/>
      <c r="N286" s="2">
        <f t="shared" si="33"/>
        <v>0</v>
      </c>
      <c r="O286" s="106">
        <f t="shared" si="34"/>
        <v>0</v>
      </c>
      <c r="Q286" s="76"/>
      <c r="R286" s="11" t="str">
        <f t="shared" si="29"/>
        <v>-</v>
      </c>
      <c r="S286" s="30" t="str">
        <f t="shared" si="30"/>
        <v>-</v>
      </c>
      <c r="T286" s="12" t="str">
        <f t="shared" si="31"/>
        <v>-</v>
      </c>
      <c r="U286" s="13" t="str">
        <f t="shared" si="32"/>
        <v>-</v>
      </c>
      <c r="W286" s="13" t="str">
        <f t="shared" si="28"/>
        <v>-</v>
      </c>
    </row>
    <row r="287" spans="1:23" x14ac:dyDescent="0.3">
      <c r="A287" s="70">
        <v>100188062</v>
      </c>
      <c r="B287" s="71">
        <v>30050</v>
      </c>
      <c r="C287" s="96">
        <v>33984006560</v>
      </c>
      <c r="D287" s="72" t="s">
        <v>209</v>
      </c>
      <c r="E287" s="72" t="s">
        <v>640</v>
      </c>
      <c r="F287" s="73">
        <v>60</v>
      </c>
      <c r="G287" s="73" t="s">
        <v>305</v>
      </c>
      <c r="H287" s="73">
        <v>30</v>
      </c>
      <c r="I287" s="105" t="s">
        <v>850</v>
      </c>
      <c r="J287" s="74">
        <v>0.19614921652094999</v>
      </c>
      <c r="K287" s="2">
        <v>17.388000000000002</v>
      </c>
      <c r="L287" s="2">
        <v>16.422000000000001</v>
      </c>
      <c r="M287" s="75"/>
      <c r="N287" s="2">
        <f t="shared" si="33"/>
        <v>0</v>
      </c>
      <c r="O287" s="106">
        <f t="shared" si="34"/>
        <v>0</v>
      </c>
      <c r="Q287" s="76"/>
      <c r="R287" s="11" t="str">
        <f t="shared" si="29"/>
        <v>-</v>
      </c>
      <c r="S287" s="30" t="str">
        <f t="shared" si="30"/>
        <v>-</v>
      </c>
      <c r="T287" s="12" t="str">
        <f t="shared" si="31"/>
        <v>-</v>
      </c>
      <c r="U287" s="13" t="str">
        <f t="shared" si="32"/>
        <v>-</v>
      </c>
      <c r="W287" s="13" t="str">
        <f t="shared" si="28"/>
        <v>-</v>
      </c>
    </row>
    <row r="288" spans="1:23" x14ac:dyDescent="0.3">
      <c r="A288" s="70">
        <v>100155818</v>
      </c>
      <c r="B288" s="71">
        <v>50500</v>
      </c>
      <c r="C288" s="96">
        <v>33984505001</v>
      </c>
      <c r="D288" s="72" t="s">
        <v>210</v>
      </c>
      <c r="E288" s="72" t="s">
        <v>642</v>
      </c>
      <c r="F288" s="73">
        <v>60</v>
      </c>
      <c r="G288" s="73" t="s">
        <v>300</v>
      </c>
      <c r="H288" s="73">
        <v>30</v>
      </c>
      <c r="I288" s="105" t="s">
        <v>850</v>
      </c>
      <c r="J288" s="74">
        <v>0.21159403671945001</v>
      </c>
      <c r="K288" s="2">
        <v>33.39</v>
      </c>
      <c r="L288" s="2">
        <v>31.534999999999997</v>
      </c>
      <c r="M288" s="75"/>
      <c r="N288" s="2">
        <f t="shared" si="33"/>
        <v>0</v>
      </c>
      <c r="O288" s="106">
        <f t="shared" si="34"/>
        <v>0</v>
      </c>
      <c r="Q288" s="76"/>
      <c r="R288" s="11" t="str">
        <f t="shared" si="29"/>
        <v>-</v>
      </c>
      <c r="S288" s="30" t="str">
        <f t="shared" si="30"/>
        <v>-</v>
      </c>
      <c r="T288" s="12" t="str">
        <f t="shared" si="31"/>
        <v>-</v>
      </c>
      <c r="U288" s="13" t="str">
        <f t="shared" si="32"/>
        <v>-</v>
      </c>
      <c r="W288" s="13" t="str">
        <f t="shared" si="28"/>
        <v>-</v>
      </c>
    </row>
    <row r="289" spans="1:23" x14ac:dyDescent="0.3">
      <c r="A289" s="70">
        <v>100190513</v>
      </c>
      <c r="B289" s="71">
        <v>30319</v>
      </c>
      <c r="C289" s="96">
        <v>33984303195</v>
      </c>
      <c r="D289" s="72" t="s">
        <v>211</v>
      </c>
      <c r="E289" s="72" t="s">
        <v>644</v>
      </c>
      <c r="F289" s="73">
        <v>30</v>
      </c>
      <c r="G289" s="73" t="s">
        <v>300</v>
      </c>
      <c r="H289" s="73">
        <v>36</v>
      </c>
      <c r="I289" s="105" t="s">
        <v>850</v>
      </c>
      <c r="J289" s="74">
        <v>0.13042292612066667</v>
      </c>
      <c r="K289" s="2">
        <v>8.6940000000000008</v>
      </c>
      <c r="L289" s="2">
        <v>8.2110000000000003</v>
      </c>
      <c r="M289" s="75"/>
      <c r="N289" s="2">
        <f t="shared" si="33"/>
        <v>0</v>
      </c>
      <c r="O289" s="106">
        <f t="shared" si="34"/>
        <v>0</v>
      </c>
      <c r="Q289" s="76"/>
      <c r="R289" s="11" t="str">
        <f t="shared" si="29"/>
        <v>-</v>
      </c>
      <c r="S289" s="30" t="str">
        <f t="shared" si="30"/>
        <v>-</v>
      </c>
      <c r="T289" s="12" t="str">
        <f t="shared" si="31"/>
        <v>-</v>
      </c>
      <c r="U289" s="13" t="str">
        <f t="shared" si="32"/>
        <v>-</v>
      </c>
      <c r="W289" s="13" t="str">
        <f t="shared" si="28"/>
        <v>-</v>
      </c>
    </row>
    <row r="290" spans="1:23" x14ac:dyDescent="0.3">
      <c r="A290" s="70">
        <v>100190514</v>
      </c>
      <c r="B290" s="71">
        <v>30320</v>
      </c>
      <c r="C290" s="96">
        <v>33984303201</v>
      </c>
      <c r="D290" s="72" t="s">
        <v>211</v>
      </c>
      <c r="E290" s="72" t="s">
        <v>645</v>
      </c>
      <c r="F290" s="73">
        <v>60</v>
      </c>
      <c r="G290" s="73" t="s">
        <v>300</v>
      </c>
      <c r="H290" s="73">
        <v>25</v>
      </c>
      <c r="I290" s="105" t="s">
        <v>850</v>
      </c>
      <c r="J290" s="74">
        <v>0.20429999999999998</v>
      </c>
      <c r="K290" s="2">
        <v>15.372</v>
      </c>
      <c r="L290" s="2">
        <v>14.517999999999997</v>
      </c>
      <c r="M290" s="75"/>
      <c r="N290" s="2">
        <f t="shared" si="33"/>
        <v>0</v>
      </c>
      <c r="O290" s="106">
        <f t="shared" si="34"/>
        <v>0</v>
      </c>
      <c r="Q290" s="76"/>
      <c r="R290" s="11" t="str">
        <f t="shared" si="29"/>
        <v>-</v>
      </c>
      <c r="S290" s="30" t="str">
        <f t="shared" si="30"/>
        <v>-</v>
      </c>
      <c r="T290" s="12" t="str">
        <f t="shared" si="31"/>
        <v>-</v>
      </c>
      <c r="U290" s="13" t="str">
        <f t="shared" si="32"/>
        <v>-</v>
      </c>
      <c r="W290" s="13" t="str">
        <f t="shared" si="28"/>
        <v>-</v>
      </c>
    </row>
    <row r="291" spans="1:23" x14ac:dyDescent="0.3">
      <c r="A291" s="77">
        <v>100009077</v>
      </c>
      <c r="B291" s="78">
        <v>39</v>
      </c>
      <c r="C291" s="97">
        <v>33984000391</v>
      </c>
      <c r="D291" s="79" t="s">
        <v>654</v>
      </c>
      <c r="E291" s="79" t="s">
        <v>655</v>
      </c>
      <c r="F291" s="73">
        <v>60</v>
      </c>
      <c r="G291" s="73" t="s">
        <v>300</v>
      </c>
      <c r="H291" s="73"/>
      <c r="I291" s="105" t="s">
        <v>850</v>
      </c>
      <c r="J291" s="74" t="e">
        <v>#N/A</v>
      </c>
      <c r="K291" s="2">
        <v>16.128</v>
      </c>
      <c r="L291" s="2">
        <v>15.231999999999999</v>
      </c>
      <c r="M291" s="75"/>
      <c r="N291" s="2">
        <f t="shared" si="33"/>
        <v>0</v>
      </c>
      <c r="O291" s="106">
        <f t="shared" si="34"/>
        <v>0</v>
      </c>
      <c r="Q291" s="76"/>
      <c r="R291" s="11" t="str">
        <f t="shared" si="29"/>
        <v>-</v>
      </c>
      <c r="S291" s="30" t="str">
        <f t="shared" si="30"/>
        <v>-</v>
      </c>
      <c r="T291" s="12" t="str">
        <f t="shared" si="31"/>
        <v>-</v>
      </c>
      <c r="U291" s="13" t="str">
        <f t="shared" si="32"/>
        <v>-</v>
      </c>
      <c r="W291" s="13" t="str">
        <f t="shared" si="28"/>
        <v>-</v>
      </c>
    </row>
    <row r="292" spans="1:23" x14ac:dyDescent="0.3">
      <c r="A292" s="70">
        <v>100194435</v>
      </c>
      <c r="B292" s="71">
        <v>30396</v>
      </c>
      <c r="C292" s="96">
        <v>33984303966</v>
      </c>
      <c r="D292" s="72" t="s">
        <v>215</v>
      </c>
      <c r="E292" s="72" t="s">
        <v>657</v>
      </c>
      <c r="F292" s="73">
        <v>30</v>
      </c>
      <c r="G292" s="73" t="s">
        <v>434</v>
      </c>
      <c r="H292" s="73" t="s">
        <v>9</v>
      </c>
      <c r="I292" s="105" t="s">
        <v>850</v>
      </c>
      <c r="J292" s="74">
        <v>7.7924000000000007E-2</v>
      </c>
      <c r="K292" s="2">
        <v>33.39</v>
      </c>
      <c r="L292" s="2">
        <v>31.534999999999997</v>
      </c>
      <c r="M292" s="75"/>
      <c r="N292" s="2">
        <f t="shared" si="33"/>
        <v>0</v>
      </c>
      <c r="O292" s="106">
        <f t="shared" si="34"/>
        <v>0</v>
      </c>
      <c r="Q292" s="76"/>
      <c r="R292" s="11" t="str">
        <f t="shared" si="29"/>
        <v>-</v>
      </c>
      <c r="S292" s="30" t="str">
        <f t="shared" si="30"/>
        <v>-</v>
      </c>
      <c r="T292" s="12" t="str">
        <f t="shared" si="31"/>
        <v>-</v>
      </c>
      <c r="U292" s="13" t="str">
        <f t="shared" si="32"/>
        <v>-</v>
      </c>
      <c r="W292" s="13" t="str">
        <f t="shared" si="28"/>
        <v>-</v>
      </c>
    </row>
    <row r="293" spans="1:23" x14ac:dyDescent="0.3">
      <c r="A293" s="70">
        <v>100009127</v>
      </c>
      <c r="B293" s="71">
        <v>380</v>
      </c>
      <c r="C293" s="96">
        <v>33984003804</v>
      </c>
      <c r="D293" s="72" t="s">
        <v>663</v>
      </c>
      <c r="E293" s="72" t="s">
        <v>664</v>
      </c>
      <c r="F293" s="73" t="s">
        <v>275</v>
      </c>
      <c r="G293" s="73" t="s">
        <v>292</v>
      </c>
      <c r="H293" s="73">
        <v>12</v>
      </c>
      <c r="I293" s="105" t="s">
        <v>850</v>
      </c>
      <c r="J293" s="74">
        <v>0.53344999999999998</v>
      </c>
      <c r="K293" s="2">
        <v>11.339999999999998</v>
      </c>
      <c r="L293" s="2">
        <v>10.709999999999999</v>
      </c>
      <c r="M293" s="75"/>
      <c r="N293" s="2">
        <f t="shared" si="33"/>
        <v>0</v>
      </c>
      <c r="O293" s="106">
        <f t="shared" si="34"/>
        <v>0</v>
      </c>
      <c r="Q293" s="76"/>
      <c r="R293" s="11" t="str">
        <f t="shared" si="29"/>
        <v>-</v>
      </c>
      <c r="S293" s="30" t="str">
        <f t="shared" si="30"/>
        <v>-</v>
      </c>
      <c r="T293" s="12" t="str">
        <f t="shared" si="31"/>
        <v>-</v>
      </c>
      <c r="U293" s="13" t="str">
        <f t="shared" si="32"/>
        <v>-</v>
      </c>
      <c r="W293" s="13" t="str">
        <f t="shared" si="28"/>
        <v>-</v>
      </c>
    </row>
    <row r="294" spans="1:23" x14ac:dyDescent="0.3">
      <c r="A294" s="70">
        <v>100009128</v>
      </c>
      <c r="B294" s="71">
        <v>400</v>
      </c>
      <c r="C294" s="96">
        <v>33984004009</v>
      </c>
      <c r="D294" s="72" t="s">
        <v>217</v>
      </c>
      <c r="E294" s="72" t="s">
        <v>665</v>
      </c>
      <c r="F294" s="73">
        <v>250</v>
      </c>
      <c r="G294" s="73" t="s">
        <v>305</v>
      </c>
      <c r="H294" s="73">
        <v>20</v>
      </c>
      <c r="I294" s="105" t="s">
        <v>850</v>
      </c>
      <c r="J294" s="74">
        <v>0.38174447257292504</v>
      </c>
      <c r="K294" s="2">
        <v>12.222</v>
      </c>
      <c r="L294" s="2">
        <v>11.542999999999997</v>
      </c>
      <c r="M294" s="75"/>
      <c r="N294" s="2">
        <f t="shared" si="33"/>
        <v>0</v>
      </c>
      <c r="O294" s="106">
        <f t="shared" si="34"/>
        <v>0</v>
      </c>
      <c r="Q294" s="76"/>
      <c r="R294" s="11" t="str">
        <f t="shared" si="29"/>
        <v>-</v>
      </c>
      <c r="S294" s="30" t="str">
        <f t="shared" si="30"/>
        <v>-</v>
      </c>
      <c r="T294" s="12" t="str">
        <f t="shared" si="31"/>
        <v>-</v>
      </c>
      <c r="U294" s="13" t="str">
        <f t="shared" si="32"/>
        <v>-</v>
      </c>
      <c r="W294" s="13" t="str">
        <f t="shared" si="28"/>
        <v>-</v>
      </c>
    </row>
    <row r="295" spans="1:23" x14ac:dyDescent="0.3">
      <c r="A295" s="70">
        <v>100009316</v>
      </c>
      <c r="B295" s="71">
        <v>1240</v>
      </c>
      <c r="C295" s="96">
        <v>33984012400</v>
      </c>
      <c r="D295" s="72" t="s">
        <v>219</v>
      </c>
      <c r="E295" s="72" t="s">
        <v>666</v>
      </c>
      <c r="F295" s="73">
        <v>100</v>
      </c>
      <c r="G295" s="73" t="s">
        <v>434</v>
      </c>
      <c r="H295" s="73">
        <v>25</v>
      </c>
      <c r="I295" s="105" t="s">
        <v>850</v>
      </c>
      <c r="J295" s="74">
        <v>0.23331975046534001</v>
      </c>
      <c r="K295" s="2">
        <v>6.93</v>
      </c>
      <c r="L295" s="2">
        <v>6.544999999999999</v>
      </c>
      <c r="M295" s="75"/>
      <c r="N295" s="2">
        <f t="shared" si="33"/>
        <v>0</v>
      </c>
      <c r="O295" s="106">
        <f t="shared" si="34"/>
        <v>0</v>
      </c>
      <c r="Q295" s="76"/>
      <c r="R295" s="11" t="str">
        <f t="shared" si="29"/>
        <v>-</v>
      </c>
      <c r="S295" s="30" t="str">
        <f t="shared" si="30"/>
        <v>-</v>
      </c>
      <c r="T295" s="12" t="str">
        <f t="shared" si="31"/>
        <v>-</v>
      </c>
      <c r="U295" s="13" t="str">
        <f t="shared" si="32"/>
        <v>-</v>
      </c>
      <c r="W295" s="13" t="str">
        <f t="shared" si="28"/>
        <v>-</v>
      </c>
    </row>
    <row r="296" spans="1:23" x14ac:dyDescent="0.3">
      <c r="A296" s="77">
        <v>100194426</v>
      </c>
      <c r="B296" s="78">
        <v>30394</v>
      </c>
      <c r="C296" s="97">
        <v>33984303942</v>
      </c>
      <c r="D296" s="79" t="s">
        <v>668</v>
      </c>
      <c r="E296" s="79" t="s">
        <v>669</v>
      </c>
      <c r="F296" s="73">
        <v>180</v>
      </c>
      <c r="G296" s="73" t="s">
        <v>330</v>
      </c>
      <c r="H296" s="73"/>
      <c r="I296" s="105" t="s">
        <v>850</v>
      </c>
      <c r="J296" s="74" t="e">
        <v>#N/A</v>
      </c>
      <c r="K296" s="2">
        <v>14.111999999999998</v>
      </c>
      <c r="L296" s="2">
        <v>13.327999999999999</v>
      </c>
      <c r="M296" s="75"/>
      <c r="N296" s="2">
        <f t="shared" si="33"/>
        <v>0</v>
      </c>
      <c r="O296" s="106">
        <f t="shared" si="34"/>
        <v>0</v>
      </c>
      <c r="Q296" s="76"/>
      <c r="R296" s="11" t="str">
        <f t="shared" si="29"/>
        <v>-</v>
      </c>
      <c r="S296" s="30" t="str">
        <f t="shared" si="30"/>
        <v>-</v>
      </c>
      <c r="T296" s="12" t="str">
        <f t="shared" si="31"/>
        <v>-</v>
      </c>
      <c r="U296" s="13" t="str">
        <f t="shared" si="32"/>
        <v>-</v>
      </c>
      <c r="W296" s="13" t="str">
        <f t="shared" si="28"/>
        <v>-</v>
      </c>
    </row>
    <row r="297" spans="1:23" x14ac:dyDescent="0.3">
      <c r="A297" s="70">
        <v>100009381</v>
      </c>
      <c r="B297" s="71">
        <v>1660</v>
      </c>
      <c r="C297" s="96">
        <v>33984016606</v>
      </c>
      <c r="D297" s="72" t="s">
        <v>268</v>
      </c>
      <c r="E297" s="72" t="s">
        <v>670</v>
      </c>
      <c r="F297" s="73">
        <v>100</v>
      </c>
      <c r="G297" s="73" t="s">
        <v>305</v>
      </c>
      <c r="H297" s="73" t="s">
        <v>9</v>
      </c>
      <c r="I297" s="105" t="s">
        <v>850</v>
      </c>
      <c r="J297" s="74">
        <v>7.9283410352300007E-2</v>
      </c>
      <c r="K297" s="2">
        <v>10.08</v>
      </c>
      <c r="L297" s="2">
        <v>9.52</v>
      </c>
      <c r="M297" s="75"/>
      <c r="N297" s="2">
        <f t="shared" si="33"/>
        <v>0</v>
      </c>
      <c r="O297" s="106">
        <f t="shared" si="34"/>
        <v>0</v>
      </c>
      <c r="Q297" s="76"/>
      <c r="R297" s="11" t="str">
        <f t="shared" si="29"/>
        <v>-</v>
      </c>
      <c r="S297" s="30" t="str">
        <f t="shared" si="30"/>
        <v>-</v>
      </c>
      <c r="T297" s="12" t="str">
        <f t="shared" si="31"/>
        <v>-</v>
      </c>
      <c r="U297" s="13" t="str">
        <f t="shared" si="32"/>
        <v>-</v>
      </c>
      <c r="W297" s="13" t="str">
        <f t="shared" si="28"/>
        <v>-</v>
      </c>
    </row>
    <row r="298" spans="1:23" x14ac:dyDescent="0.3">
      <c r="A298" s="70">
        <v>100009490</v>
      </c>
      <c r="B298" s="71">
        <v>2210</v>
      </c>
      <c r="C298" s="96">
        <v>33984022102</v>
      </c>
      <c r="D298" s="72" t="s">
        <v>671</v>
      </c>
      <c r="E298" s="72" t="s">
        <v>672</v>
      </c>
      <c r="F298" s="73">
        <v>100</v>
      </c>
      <c r="G298" s="73" t="s">
        <v>330</v>
      </c>
      <c r="H298" s="73">
        <v>20</v>
      </c>
      <c r="I298" s="105" t="s">
        <v>850</v>
      </c>
      <c r="J298" s="74">
        <v>0.46754399999999996</v>
      </c>
      <c r="K298" s="2">
        <v>12.914999999999999</v>
      </c>
      <c r="L298" s="2">
        <v>12.1975</v>
      </c>
      <c r="M298" s="75"/>
      <c r="N298" s="2">
        <f t="shared" si="33"/>
        <v>0</v>
      </c>
      <c r="O298" s="106">
        <f t="shared" si="34"/>
        <v>0</v>
      </c>
      <c r="Q298" s="76"/>
      <c r="R298" s="11" t="str">
        <f t="shared" si="29"/>
        <v>-</v>
      </c>
      <c r="S298" s="30" t="str">
        <f t="shared" si="30"/>
        <v>-</v>
      </c>
      <c r="T298" s="12" t="str">
        <f t="shared" si="31"/>
        <v>-</v>
      </c>
      <c r="U298" s="13" t="str">
        <f t="shared" si="32"/>
        <v>-</v>
      </c>
      <c r="W298" s="13" t="str">
        <f t="shared" si="28"/>
        <v>-</v>
      </c>
    </row>
    <row r="299" spans="1:23" x14ac:dyDescent="0.3">
      <c r="A299" s="70">
        <v>100009529</v>
      </c>
      <c r="B299" s="71">
        <v>2431</v>
      </c>
      <c r="C299" s="96">
        <v>33984024311</v>
      </c>
      <c r="D299" s="72" t="s">
        <v>220</v>
      </c>
      <c r="E299" s="72" t="s">
        <v>673</v>
      </c>
      <c r="F299" s="73">
        <v>60</v>
      </c>
      <c r="G299" s="73" t="s">
        <v>330</v>
      </c>
      <c r="H299" s="73">
        <v>42</v>
      </c>
      <c r="I299" s="105" t="s">
        <v>850</v>
      </c>
      <c r="J299" s="74">
        <v>0.15555140342775003</v>
      </c>
      <c r="K299" s="2">
        <v>15.12</v>
      </c>
      <c r="L299" s="2">
        <v>14.279999999999998</v>
      </c>
      <c r="M299" s="75"/>
      <c r="N299" s="2">
        <f t="shared" si="33"/>
        <v>0</v>
      </c>
      <c r="O299" s="106">
        <f t="shared" si="34"/>
        <v>0</v>
      </c>
      <c r="Q299" s="76"/>
      <c r="R299" s="11" t="str">
        <f t="shared" si="29"/>
        <v>-</v>
      </c>
      <c r="S299" s="30" t="str">
        <f t="shared" si="30"/>
        <v>-</v>
      </c>
      <c r="T299" s="12" t="str">
        <f t="shared" si="31"/>
        <v>-</v>
      </c>
      <c r="U299" s="13" t="str">
        <f t="shared" si="32"/>
        <v>-</v>
      </c>
      <c r="W299" s="13" t="str">
        <f t="shared" si="28"/>
        <v>-</v>
      </c>
    </row>
    <row r="300" spans="1:23" x14ac:dyDescent="0.3">
      <c r="A300" s="70">
        <v>100009352</v>
      </c>
      <c r="B300" s="71">
        <v>1411</v>
      </c>
      <c r="C300" s="96">
        <v>33984014114</v>
      </c>
      <c r="D300" s="72" t="s">
        <v>222</v>
      </c>
      <c r="E300" s="72" t="s">
        <v>677</v>
      </c>
      <c r="F300" s="73">
        <v>120</v>
      </c>
      <c r="G300" s="73" t="s">
        <v>300</v>
      </c>
      <c r="H300" s="73">
        <v>20</v>
      </c>
      <c r="I300" s="105" t="s">
        <v>850</v>
      </c>
      <c r="J300" s="74">
        <v>0.36372551567467504</v>
      </c>
      <c r="K300" s="2">
        <v>15.12</v>
      </c>
      <c r="L300" s="2">
        <v>14.279999999999998</v>
      </c>
      <c r="M300" s="75"/>
      <c r="N300" s="2">
        <f t="shared" si="33"/>
        <v>0</v>
      </c>
      <c r="O300" s="106">
        <f t="shared" si="34"/>
        <v>0</v>
      </c>
      <c r="Q300" s="76"/>
      <c r="R300" s="11" t="str">
        <f t="shared" si="29"/>
        <v>-</v>
      </c>
      <c r="S300" s="30" t="str">
        <f t="shared" si="30"/>
        <v>-</v>
      </c>
      <c r="T300" s="12" t="str">
        <f t="shared" si="31"/>
        <v>-</v>
      </c>
      <c r="U300" s="13" t="str">
        <f t="shared" si="32"/>
        <v>-</v>
      </c>
      <c r="W300" s="13" t="str">
        <f t="shared" si="28"/>
        <v>-</v>
      </c>
    </row>
    <row r="301" spans="1:23" x14ac:dyDescent="0.3">
      <c r="A301" s="70">
        <v>100009494</v>
      </c>
      <c r="B301" s="71">
        <v>2251</v>
      </c>
      <c r="C301" s="96">
        <v>33984022515</v>
      </c>
      <c r="D301" s="72" t="s">
        <v>227</v>
      </c>
      <c r="E301" s="72" t="s">
        <v>682</v>
      </c>
      <c r="F301" s="73">
        <v>100</v>
      </c>
      <c r="G301" s="73" t="s">
        <v>300</v>
      </c>
      <c r="H301" s="73">
        <v>30</v>
      </c>
      <c r="I301" s="105" t="s">
        <v>850</v>
      </c>
      <c r="J301" s="74">
        <v>0.20129748992045002</v>
      </c>
      <c r="K301" s="2">
        <v>25.2</v>
      </c>
      <c r="L301" s="2">
        <v>23.799999999999997</v>
      </c>
      <c r="M301" s="75"/>
      <c r="N301" s="2">
        <f t="shared" si="33"/>
        <v>0</v>
      </c>
      <c r="O301" s="106">
        <f t="shared" si="34"/>
        <v>0</v>
      </c>
      <c r="Q301" s="76"/>
      <c r="R301" s="11" t="str">
        <f t="shared" si="29"/>
        <v>-</v>
      </c>
      <c r="S301" s="30" t="str">
        <f t="shared" si="30"/>
        <v>-</v>
      </c>
      <c r="T301" s="12" t="str">
        <f t="shared" si="31"/>
        <v>-</v>
      </c>
      <c r="U301" s="13" t="str">
        <f t="shared" si="32"/>
        <v>-</v>
      </c>
      <c r="W301" s="13" t="str">
        <f t="shared" si="28"/>
        <v>-</v>
      </c>
    </row>
    <row r="302" spans="1:23" x14ac:dyDescent="0.3">
      <c r="A302" s="70">
        <v>100009516</v>
      </c>
      <c r="B302" s="71">
        <v>2324</v>
      </c>
      <c r="C302" s="96">
        <v>33984023246</v>
      </c>
      <c r="D302" s="72" t="s">
        <v>228</v>
      </c>
      <c r="E302" s="72" t="s">
        <v>683</v>
      </c>
      <c r="F302" s="73">
        <v>60</v>
      </c>
      <c r="G302" s="73" t="s">
        <v>300</v>
      </c>
      <c r="H302" s="73">
        <v>25</v>
      </c>
      <c r="I302" s="105" t="s">
        <v>850</v>
      </c>
      <c r="J302" s="74">
        <v>0.22899520080976002</v>
      </c>
      <c r="K302" s="2">
        <v>11.339999999999998</v>
      </c>
      <c r="L302" s="2">
        <v>10.709999999999999</v>
      </c>
      <c r="M302" s="75"/>
      <c r="N302" s="2">
        <f t="shared" si="33"/>
        <v>0</v>
      </c>
      <c r="O302" s="106">
        <f t="shared" si="34"/>
        <v>0</v>
      </c>
      <c r="Q302" s="76"/>
      <c r="R302" s="11" t="str">
        <f t="shared" si="29"/>
        <v>-</v>
      </c>
      <c r="S302" s="30" t="str">
        <f t="shared" si="30"/>
        <v>-</v>
      </c>
      <c r="T302" s="12" t="str">
        <f t="shared" si="31"/>
        <v>-</v>
      </c>
      <c r="U302" s="13" t="str">
        <f t="shared" si="32"/>
        <v>-</v>
      </c>
      <c r="W302" s="13" t="str">
        <f t="shared" si="28"/>
        <v>-</v>
      </c>
    </row>
    <row r="303" spans="1:23" x14ac:dyDescent="0.3">
      <c r="A303" s="70">
        <v>100009517</v>
      </c>
      <c r="B303" s="71">
        <v>2325</v>
      </c>
      <c r="C303" s="96">
        <v>33984023253</v>
      </c>
      <c r="D303" s="72" t="s">
        <v>228</v>
      </c>
      <c r="E303" s="72" t="s">
        <v>684</v>
      </c>
      <c r="F303" s="73">
        <v>120</v>
      </c>
      <c r="G303" s="73" t="s">
        <v>300</v>
      </c>
      <c r="H303" s="73">
        <v>20</v>
      </c>
      <c r="I303" s="105" t="s">
        <v>850</v>
      </c>
      <c r="J303" s="74">
        <v>0.329232083898025</v>
      </c>
      <c r="K303" s="2">
        <v>20.79</v>
      </c>
      <c r="L303" s="2">
        <v>19.634999999999998</v>
      </c>
      <c r="M303" s="75"/>
      <c r="N303" s="2">
        <f t="shared" si="33"/>
        <v>0</v>
      </c>
      <c r="O303" s="106">
        <f t="shared" si="34"/>
        <v>0</v>
      </c>
      <c r="Q303" s="76"/>
      <c r="R303" s="11" t="str">
        <f t="shared" si="29"/>
        <v>-</v>
      </c>
      <c r="S303" s="30" t="str">
        <f t="shared" si="30"/>
        <v>-</v>
      </c>
      <c r="T303" s="12" t="str">
        <f t="shared" si="31"/>
        <v>-</v>
      </c>
      <c r="U303" s="13" t="str">
        <f t="shared" si="32"/>
        <v>-</v>
      </c>
      <c r="W303" s="13" t="str">
        <f t="shared" si="28"/>
        <v>-</v>
      </c>
    </row>
    <row r="304" spans="1:23" x14ac:dyDescent="0.3">
      <c r="A304" s="70">
        <v>100009102</v>
      </c>
      <c r="B304" s="71">
        <v>150</v>
      </c>
      <c r="C304" s="96">
        <v>33984001503</v>
      </c>
      <c r="D304" s="72" t="s">
        <v>781</v>
      </c>
      <c r="E304" s="72" t="s">
        <v>782</v>
      </c>
      <c r="F304" s="73">
        <v>90</v>
      </c>
      <c r="G304" s="73" t="s">
        <v>305</v>
      </c>
      <c r="H304" s="73"/>
      <c r="I304" s="105" t="s">
        <v>850</v>
      </c>
      <c r="J304" s="74" t="e">
        <v>#N/A</v>
      </c>
      <c r="K304" s="2">
        <v>17.009999999999998</v>
      </c>
      <c r="L304" s="2">
        <v>16.064999999999998</v>
      </c>
      <c r="M304" s="75"/>
      <c r="N304" s="2">
        <f t="shared" si="33"/>
        <v>0</v>
      </c>
      <c r="O304" s="106">
        <f t="shared" si="34"/>
        <v>0</v>
      </c>
      <c r="Q304" s="76"/>
      <c r="R304" s="11" t="str">
        <f t="shared" si="29"/>
        <v>-</v>
      </c>
      <c r="S304" s="30" t="str">
        <f t="shared" si="30"/>
        <v>-</v>
      </c>
      <c r="T304" s="12" t="str">
        <f t="shared" si="31"/>
        <v>-</v>
      </c>
      <c r="U304" s="13" t="str">
        <f t="shared" si="32"/>
        <v>-</v>
      </c>
      <c r="W304" s="13" t="str">
        <f t="shared" si="28"/>
        <v>-</v>
      </c>
    </row>
    <row r="305" spans="1:23" x14ac:dyDescent="0.3">
      <c r="A305" s="70">
        <v>100009631</v>
      </c>
      <c r="B305" s="71">
        <v>3481</v>
      </c>
      <c r="C305" s="96">
        <v>33984034815</v>
      </c>
      <c r="D305" s="72" t="s">
        <v>49</v>
      </c>
      <c r="E305" s="72" t="s">
        <v>352</v>
      </c>
      <c r="F305" s="73">
        <v>100</v>
      </c>
      <c r="G305" s="73" t="s">
        <v>330</v>
      </c>
      <c r="H305" s="73"/>
      <c r="I305" s="105" t="s">
        <v>850</v>
      </c>
      <c r="J305" s="74">
        <v>0.16431572600070835</v>
      </c>
      <c r="K305" s="2">
        <v>9.2609999999999992</v>
      </c>
      <c r="L305" s="2">
        <v>8.7464999999999993</v>
      </c>
      <c r="M305" s="75"/>
      <c r="N305" s="2">
        <f t="shared" si="33"/>
        <v>0</v>
      </c>
      <c r="O305" s="106">
        <f t="shared" si="34"/>
        <v>0</v>
      </c>
      <c r="Q305" s="76"/>
      <c r="R305" s="11" t="str">
        <f t="shared" si="29"/>
        <v>-</v>
      </c>
      <c r="S305" s="30" t="str">
        <f t="shared" si="30"/>
        <v>-</v>
      </c>
      <c r="T305" s="12" t="str">
        <f t="shared" si="31"/>
        <v>-</v>
      </c>
      <c r="U305" s="13" t="str">
        <f t="shared" si="32"/>
        <v>-</v>
      </c>
      <c r="W305" s="13" t="str">
        <f t="shared" si="28"/>
        <v>-</v>
      </c>
    </row>
    <row r="306" spans="1:23" x14ac:dyDescent="0.3">
      <c r="A306" s="70">
        <v>100009636</v>
      </c>
      <c r="B306" s="71">
        <v>3540</v>
      </c>
      <c r="C306" s="96">
        <v>33984035409</v>
      </c>
      <c r="D306" s="72" t="s">
        <v>52</v>
      </c>
      <c r="E306" s="72" t="s">
        <v>823</v>
      </c>
      <c r="F306" s="73">
        <v>50</v>
      </c>
      <c r="G306" s="73" t="s">
        <v>330</v>
      </c>
      <c r="H306" s="73"/>
      <c r="I306" s="105" t="s">
        <v>850</v>
      </c>
      <c r="J306" s="74">
        <v>0.20232714460034998</v>
      </c>
      <c r="K306" s="2">
        <v>6.93</v>
      </c>
      <c r="L306" s="2">
        <v>6.544999999999999</v>
      </c>
      <c r="M306" s="75"/>
      <c r="N306" s="2">
        <f t="shared" si="33"/>
        <v>0</v>
      </c>
      <c r="O306" s="106">
        <f t="shared" si="34"/>
        <v>0</v>
      </c>
      <c r="Q306" s="76"/>
      <c r="R306" s="11" t="str">
        <f t="shared" si="29"/>
        <v>-</v>
      </c>
      <c r="S306" s="30" t="str">
        <f t="shared" si="30"/>
        <v>-</v>
      </c>
      <c r="T306" s="12" t="str">
        <f t="shared" si="31"/>
        <v>-</v>
      </c>
      <c r="U306" s="13" t="str">
        <f t="shared" si="32"/>
        <v>-</v>
      </c>
      <c r="W306" s="13" t="str">
        <f t="shared" si="28"/>
        <v>-</v>
      </c>
    </row>
    <row r="307" spans="1:23" x14ac:dyDescent="0.3">
      <c r="A307" s="70">
        <v>100079133</v>
      </c>
      <c r="B307" s="71">
        <v>57600</v>
      </c>
      <c r="C307" s="96">
        <v>33984576001</v>
      </c>
      <c r="D307" s="72" t="s">
        <v>260</v>
      </c>
      <c r="E307" s="72" t="s">
        <v>825</v>
      </c>
      <c r="F307" s="73">
        <v>120</v>
      </c>
      <c r="G307" s="73" t="s">
        <v>327</v>
      </c>
      <c r="H307" s="73"/>
      <c r="I307" s="105" t="s">
        <v>850</v>
      </c>
      <c r="J307" s="74">
        <v>0.42130037319241664</v>
      </c>
      <c r="K307" s="2">
        <v>13.86</v>
      </c>
      <c r="L307" s="2">
        <v>13.089999999999998</v>
      </c>
      <c r="M307" s="75"/>
      <c r="N307" s="2">
        <f t="shared" si="33"/>
        <v>0</v>
      </c>
      <c r="O307" s="106">
        <f t="shared" si="34"/>
        <v>0</v>
      </c>
      <c r="Q307" s="76"/>
      <c r="R307" s="11" t="str">
        <f t="shared" si="29"/>
        <v>-</v>
      </c>
      <c r="S307" s="30" t="str">
        <f t="shared" si="30"/>
        <v>-</v>
      </c>
      <c r="T307" s="12" t="str">
        <f t="shared" si="31"/>
        <v>-</v>
      </c>
      <c r="U307" s="13" t="str">
        <f t="shared" si="32"/>
        <v>-</v>
      </c>
      <c r="W307" s="13" t="str">
        <f t="shared" si="28"/>
        <v>-</v>
      </c>
    </row>
    <row r="308" spans="1:23" x14ac:dyDescent="0.3">
      <c r="A308" s="70">
        <v>100009290</v>
      </c>
      <c r="B308" s="71">
        <v>1166</v>
      </c>
      <c r="C308" s="96">
        <v>33984011663</v>
      </c>
      <c r="D308" s="72" t="s">
        <v>145</v>
      </c>
      <c r="E308" s="72" t="s">
        <v>829</v>
      </c>
      <c r="F308" s="73">
        <v>60</v>
      </c>
      <c r="G308" s="73" t="s">
        <v>300</v>
      </c>
      <c r="H308" s="73"/>
      <c r="I308" s="105" t="s">
        <v>850</v>
      </c>
      <c r="J308" s="74">
        <v>0.23331975046534001</v>
      </c>
      <c r="K308" s="2">
        <v>9.9540000000000006</v>
      </c>
      <c r="L308" s="2">
        <v>9.4009999999999998</v>
      </c>
      <c r="M308" s="75"/>
      <c r="N308" s="2">
        <f t="shared" si="33"/>
        <v>0</v>
      </c>
      <c r="O308" s="106">
        <f t="shared" si="34"/>
        <v>0</v>
      </c>
      <c r="Q308" s="76"/>
      <c r="R308" s="11" t="str">
        <f t="shared" si="29"/>
        <v>-</v>
      </c>
      <c r="S308" s="30" t="str">
        <f t="shared" si="30"/>
        <v>-</v>
      </c>
      <c r="T308" s="12" t="str">
        <f t="shared" si="31"/>
        <v>-</v>
      </c>
      <c r="U308" s="13" t="str">
        <f t="shared" si="32"/>
        <v>-</v>
      </c>
      <c r="W308" s="13" t="str">
        <f t="shared" si="28"/>
        <v>-</v>
      </c>
    </row>
    <row r="309" spans="1:23" x14ac:dyDescent="0.3">
      <c r="A309" s="70">
        <v>100009311</v>
      </c>
      <c r="B309" s="71">
        <v>1206</v>
      </c>
      <c r="C309" s="96">
        <v>33984012066</v>
      </c>
      <c r="D309" s="72" t="s">
        <v>148</v>
      </c>
      <c r="E309" s="72" t="s">
        <v>831</v>
      </c>
      <c r="F309" s="73">
        <v>120</v>
      </c>
      <c r="G309" s="73" t="s">
        <v>305</v>
      </c>
      <c r="H309" s="73"/>
      <c r="I309" s="105" t="s">
        <v>850</v>
      </c>
      <c r="J309" s="74">
        <v>0.5233219910591751</v>
      </c>
      <c r="K309" s="2">
        <v>28.349999999999998</v>
      </c>
      <c r="L309" s="2">
        <v>26.774999999999999</v>
      </c>
      <c r="M309" s="75"/>
      <c r="N309" s="2">
        <f t="shared" si="33"/>
        <v>0</v>
      </c>
      <c r="O309" s="106">
        <f t="shared" si="34"/>
        <v>0</v>
      </c>
      <c r="Q309" s="76"/>
      <c r="R309" s="11" t="str">
        <f t="shared" si="29"/>
        <v>-</v>
      </c>
      <c r="S309" s="30" t="str">
        <f t="shared" si="30"/>
        <v>-</v>
      </c>
      <c r="T309" s="12" t="str">
        <f t="shared" si="31"/>
        <v>-</v>
      </c>
      <c r="U309" s="13" t="str">
        <f t="shared" si="32"/>
        <v>-</v>
      </c>
      <c r="W309" s="13" t="str">
        <f t="shared" si="28"/>
        <v>-</v>
      </c>
    </row>
    <row r="310" spans="1:23" x14ac:dyDescent="0.3">
      <c r="A310" s="70">
        <v>100009397</v>
      </c>
      <c r="B310" s="71">
        <v>1714</v>
      </c>
      <c r="C310" s="96">
        <v>33984017146</v>
      </c>
      <c r="D310" s="72" t="s">
        <v>148</v>
      </c>
      <c r="E310" s="72" t="s">
        <v>832</v>
      </c>
      <c r="F310" s="73">
        <v>180</v>
      </c>
      <c r="G310" s="73" t="s">
        <v>305</v>
      </c>
      <c r="H310" s="73"/>
      <c r="I310" s="105" t="s">
        <v>850</v>
      </c>
      <c r="J310" s="74">
        <v>0.77180000000000004</v>
      </c>
      <c r="K310" s="2">
        <v>39.69</v>
      </c>
      <c r="L310" s="2">
        <v>37.484999999999992</v>
      </c>
      <c r="M310" s="75"/>
      <c r="N310" s="2">
        <f t="shared" si="33"/>
        <v>0</v>
      </c>
      <c r="O310" s="106">
        <f t="shared" si="34"/>
        <v>0</v>
      </c>
      <c r="Q310" s="76"/>
      <c r="R310" s="11" t="str">
        <f t="shared" si="29"/>
        <v>-</v>
      </c>
      <c r="S310" s="30" t="str">
        <f t="shared" si="30"/>
        <v>-</v>
      </c>
      <c r="T310" s="12" t="str">
        <f t="shared" si="31"/>
        <v>-</v>
      </c>
      <c r="U310" s="13" t="str">
        <f t="shared" si="32"/>
        <v>-</v>
      </c>
      <c r="W310" s="13" t="str">
        <f t="shared" si="28"/>
        <v>-</v>
      </c>
    </row>
    <row r="311" spans="1:23" x14ac:dyDescent="0.3">
      <c r="A311" s="70">
        <v>100009904</v>
      </c>
      <c r="B311" s="71">
        <v>52550</v>
      </c>
      <c r="C311" s="96">
        <v>33984525504</v>
      </c>
      <c r="D311" s="72" t="s">
        <v>263</v>
      </c>
      <c r="E311" s="72" t="s">
        <v>833</v>
      </c>
      <c r="F311" s="73">
        <v>60</v>
      </c>
      <c r="G311" s="73" t="s">
        <v>327</v>
      </c>
      <c r="H311" s="73"/>
      <c r="I311" s="105" t="s">
        <v>850</v>
      </c>
      <c r="J311" s="74">
        <v>0</v>
      </c>
      <c r="K311" s="2">
        <v>8.19</v>
      </c>
      <c r="L311" s="2">
        <v>7.7349999999999985</v>
      </c>
      <c r="M311" s="75"/>
      <c r="N311" s="2">
        <f t="shared" si="33"/>
        <v>0</v>
      </c>
      <c r="O311" s="106">
        <f t="shared" si="34"/>
        <v>0</v>
      </c>
      <c r="Q311" s="76"/>
      <c r="R311" s="11" t="str">
        <f t="shared" si="29"/>
        <v>-</v>
      </c>
      <c r="S311" s="30" t="str">
        <f t="shared" si="30"/>
        <v>-</v>
      </c>
      <c r="T311" s="12" t="str">
        <f t="shared" si="31"/>
        <v>-</v>
      </c>
      <c r="U311" s="13" t="str">
        <f t="shared" si="32"/>
        <v>-</v>
      </c>
      <c r="W311" s="13" t="str">
        <f t="shared" si="28"/>
        <v>-</v>
      </c>
    </row>
    <row r="312" spans="1:23" x14ac:dyDescent="0.3">
      <c r="A312" s="70">
        <v>100009223</v>
      </c>
      <c r="B312" s="71">
        <v>958</v>
      </c>
      <c r="C312" s="96">
        <v>33984009585</v>
      </c>
      <c r="D312" s="72" t="s">
        <v>178</v>
      </c>
      <c r="E312" s="72" t="s">
        <v>834</v>
      </c>
      <c r="F312" s="73">
        <v>120</v>
      </c>
      <c r="G312" s="73" t="s">
        <v>330</v>
      </c>
      <c r="H312" s="73"/>
      <c r="I312" s="105" t="s">
        <v>850</v>
      </c>
      <c r="J312" s="74">
        <v>0.21674231011895001</v>
      </c>
      <c r="K312" s="2">
        <v>21.419999999999998</v>
      </c>
      <c r="L312" s="2">
        <v>20.229999999999997</v>
      </c>
      <c r="M312" s="75"/>
      <c r="N312" s="2">
        <f t="shared" si="33"/>
        <v>0</v>
      </c>
      <c r="O312" s="106">
        <f t="shared" si="34"/>
        <v>0</v>
      </c>
      <c r="Q312" s="76"/>
      <c r="R312" s="11" t="str">
        <f t="shared" si="29"/>
        <v>-</v>
      </c>
      <c r="S312" s="30" t="str">
        <f t="shared" si="30"/>
        <v>-</v>
      </c>
      <c r="T312" s="12" t="str">
        <f t="shared" si="31"/>
        <v>-</v>
      </c>
      <c r="U312" s="13" t="str">
        <f t="shared" si="32"/>
        <v>-</v>
      </c>
      <c r="W312" s="13" t="str">
        <f t="shared" si="28"/>
        <v>-</v>
      </c>
    </row>
    <row r="313" spans="1:23" x14ac:dyDescent="0.3">
      <c r="A313" s="70">
        <v>100009651</v>
      </c>
      <c r="B313" s="71">
        <v>3668</v>
      </c>
      <c r="C313" s="96">
        <v>33984036680</v>
      </c>
      <c r="D313" s="72" t="s">
        <v>254</v>
      </c>
      <c r="E313" s="72" t="s">
        <v>297</v>
      </c>
      <c r="F313" s="73" t="s">
        <v>283</v>
      </c>
      <c r="G313" s="73" t="s">
        <v>292</v>
      </c>
      <c r="H313" s="73">
        <v>6</v>
      </c>
      <c r="I313" s="105" t="s">
        <v>850</v>
      </c>
      <c r="J313" s="74">
        <v>1.3986142735308336</v>
      </c>
      <c r="K313" s="2">
        <v>41.567399999999999</v>
      </c>
      <c r="L313" s="2">
        <v>39.258099999999999</v>
      </c>
      <c r="M313" s="75"/>
      <c r="N313" s="2">
        <f t="shared" si="33"/>
        <v>0</v>
      </c>
      <c r="O313" s="106">
        <f t="shared" si="34"/>
        <v>0</v>
      </c>
      <c r="Q313" s="76"/>
      <c r="R313" s="11" t="str">
        <f t="shared" si="29"/>
        <v>-</v>
      </c>
      <c r="S313" s="30" t="str">
        <f t="shared" si="30"/>
        <v>-</v>
      </c>
      <c r="T313" s="12" t="str">
        <f t="shared" si="31"/>
        <v>-</v>
      </c>
      <c r="U313" s="13" t="str">
        <f t="shared" si="32"/>
        <v>-</v>
      </c>
      <c r="W313" s="13" t="str">
        <f t="shared" si="28"/>
        <v>-</v>
      </c>
    </row>
    <row r="314" spans="1:23" x14ac:dyDescent="0.3">
      <c r="A314" s="70">
        <v>100009801</v>
      </c>
      <c r="B314" s="71">
        <v>30721</v>
      </c>
      <c r="C314" s="96">
        <v>33984307216</v>
      </c>
      <c r="D314" s="72" t="s">
        <v>255</v>
      </c>
      <c r="E314" s="72" t="s">
        <v>306</v>
      </c>
      <c r="F314" s="73" t="s">
        <v>274</v>
      </c>
      <c r="G314" s="73" t="s">
        <v>307</v>
      </c>
      <c r="H314" s="73">
        <v>0</v>
      </c>
      <c r="I314" s="105" t="s">
        <v>850</v>
      </c>
      <c r="J314" s="74">
        <v>0.75196968341446879</v>
      </c>
      <c r="K314" s="2">
        <v>22.679999999999996</v>
      </c>
      <c r="L314" s="2">
        <v>21.419999999999998</v>
      </c>
      <c r="M314" s="75"/>
      <c r="N314" s="2">
        <f t="shared" si="33"/>
        <v>0</v>
      </c>
      <c r="O314" s="106">
        <f t="shared" si="34"/>
        <v>0</v>
      </c>
      <c r="Q314" s="76"/>
      <c r="R314" s="11" t="str">
        <f t="shared" si="29"/>
        <v>-</v>
      </c>
      <c r="S314" s="30" t="str">
        <f t="shared" si="30"/>
        <v>-</v>
      </c>
      <c r="T314" s="12" t="str">
        <f t="shared" si="31"/>
        <v>-</v>
      </c>
      <c r="U314" s="13" t="str">
        <f t="shared" si="32"/>
        <v>-</v>
      </c>
      <c r="W314" s="13" t="str">
        <f t="shared" ref="W314:W377" si="35">IFERROR(IF(U314+O314=0, "-", IF(U314&gt;0, U314+O314, "-")), "-")</f>
        <v>-</v>
      </c>
    </row>
    <row r="315" spans="1:23" x14ac:dyDescent="0.3">
      <c r="A315" s="70">
        <v>100200033</v>
      </c>
      <c r="B315" s="71"/>
      <c r="C315" s="96">
        <v>810122620136</v>
      </c>
      <c r="D315" s="72" t="s">
        <v>33</v>
      </c>
      <c r="E315" s="72"/>
      <c r="F315" s="73">
        <v>60</v>
      </c>
      <c r="G315" s="73" t="s">
        <v>327</v>
      </c>
      <c r="H315" s="73">
        <v>0</v>
      </c>
      <c r="I315" s="105" t="s">
        <v>850</v>
      </c>
      <c r="J315" s="74">
        <v>0.26599412564083336</v>
      </c>
      <c r="K315" s="2">
        <v>12.587399999999999</v>
      </c>
      <c r="L315" s="2">
        <v>11.8881</v>
      </c>
      <c r="M315" s="75"/>
      <c r="N315" s="2">
        <f t="shared" si="33"/>
        <v>0</v>
      </c>
      <c r="O315" s="106">
        <f t="shared" si="34"/>
        <v>0</v>
      </c>
      <c r="Q315" s="76"/>
      <c r="R315" s="11" t="str">
        <f t="shared" ref="R315:R378" si="36">IFERROR(IF($R$2*J315=0, "-", $R$2*J315), "-")</f>
        <v>-</v>
      </c>
      <c r="S315" s="30" t="str">
        <f t="shared" ref="S315:S378" si="37">IFERROR(IF(R315&gt;0,M315+R315,"-"),"-")</f>
        <v>-</v>
      </c>
      <c r="T315" s="12" t="str">
        <f t="shared" ref="T315:T378" si="38">IF(M315&gt;0,M315*J315, "-")</f>
        <v>-</v>
      </c>
      <c r="U315" s="13" t="str">
        <f t="shared" ref="U315:U378" si="39">IFERROR(IF($R$2&gt;0, $R$2*T315, "-"), "-")</f>
        <v>-</v>
      </c>
      <c r="W315" s="13" t="str">
        <f t="shared" si="35"/>
        <v>-</v>
      </c>
    </row>
    <row r="316" spans="1:23" x14ac:dyDescent="0.3">
      <c r="A316" s="77">
        <v>100190594</v>
      </c>
      <c r="B316" s="78">
        <v>30334</v>
      </c>
      <c r="C316" s="97">
        <v>33984303348</v>
      </c>
      <c r="D316" s="79" t="s">
        <v>45</v>
      </c>
      <c r="E316" s="79" t="s">
        <v>346</v>
      </c>
      <c r="F316" s="73">
        <v>50</v>
      </c>
      <c r="G316" s="73" t="s">
        <v>330</v>
      </c>
      <c r="H316" s="73"/>
      <c r="I316" s="105" t="s">
        <v>850</v>
      </c>
      <c r="J316" s="74" t="e">
        <v>#N/A</v>
      </c>
      <c r="K316" s="2">
        <v>17.388000000000002</v>
      </c>
      <c r="L316" s="2">
        <v>16.422000000000001</v>
      </c>
      <c r="M316" s="75"/>
      <c r="N316" s="2">
        <f t="shared" si="33"/>
        <v>0</v>
      </c>
      <c r="O316" s="106">
        <f t="shared" si="34"/>
        <v>0</v>
      </c>
      <c r="Q316" s="76"/>
      <c r="R316" s="11" t="str">
        <f t="shared" si="36"/>
        <v>-</v>
      </c>
      <c r="S316" s="30" t="str">
        <f t="shared" si="37"/>
        <v>-</v>
      </c>
      <c r="T316" s="12" t="str">
        <f t="shared" si="38"/>
        <v>-</v>
      </c>
      <c r="U316" s="13" t="str">
        <f t="shared" si="39"/>
        <v>-</v>
      </c>
      <c r="W316" s="13" t="str">
        <f t="shared" si="35"/>
        <v>-</v>
      </c>
    </row>
    <row r="317" spans="1:23" x14ac:dyDescent="0.3">
      <c r="A317" s="70">
        <v>100009625</v>
      </c>
      <c r="B317" s="71">
        <v>3351</v>
      </c>
      <c r="C317" s="96">
        <v>33984033511</v>
      </c>
      <c r="D317" s="72" t="s">
        <v>47</v>
      </c>
      <c r="E317" s="72" t="s">
        <v>349</v>
      </c>
      <c r="F317" s="73">
        <v>100</v>
      </c>
      <c r="G317" s="73" t="s">
        <v>350</v>
      </c>
      <c r="H317" s="73">
        <v>23</v>
      </c>
      <c r="I317" s="105" t="s">
        <v>850</v>
      </c>
      <c r="J317" s="74">
        <v>0.23391068271641302</v>
      </c>
      <c r="K317" s="2">
        <v>15.12</v>
      </c>
      <c r="L317" s="2">
        <v>14.279999999999998</v>
      </c>
      <c r="M317" s="75"/>
      <c r="N317" s="2">
        <f t="shared" si="33"/>
        <v>0</v>
      </c>
      <c r="O317" s="106">
        <f t="shared" si="34"/>
        <v>0</v>
      </c>
      <c r="Q317" s="76"/>
      <c r="R317" s="11" t="str">
        <f t="shared" si="36"/>
        <v>-</v>
      </c>
      <c r="S317" s="30" t="str">
        <f t="shared" si="37"/>
        <v>-</v>
      </c>
      <c r="T317" s="12" t="str">
        <f t="shared" si="38"/>
        <v>-</v>
      </c>
      <c r="U317" s="13" t="str">
        <f t="shared" si="39"/>
        <v>-</v>
      </c>
      <c r="W317" s="13" t="str">
        <f t="shared" si="35"/>
        <v>-</v>
      </c>
    </row>
    <row r="318" spans="1:23" x14ac:dyDescent="0.3">
      <c r="A318" s="77">
        <v>100009633</v>
      </c>
      <c r="B318" s="78">
        <v>3506</v>
      </c>
      <c r="C318" s="97">
        <v>33984035065</v>
      </c>
      <c r="D318" s="79" t="s">
        <v>353</v>
      </c>
      <c r="E318" s="79" t="s">
        <v>354</v>
      </c>
      <c r="F318" s="73">
        <v>100</v>
      </c>
      <c r="G318" s="73" t="s">
        <v>330</v>
      </c>
      <c r="H318" s="73"/>
      <c r="I318" s="105" t="s">
        <v>850</v>
      </c>
      <c r="J318" s="74" t="e">
        <v>#N/A</v>
      </c>
      <c r="K318" s="2">
        <v>15.12</v>
      </c>
      <c r="L318" s="2">
        <v>14.279999999999998</v>
      </c>
      <c r="M318" s="75"/>
      <c r="N318" s="2">
        <f t="shared" si="33"/>
        <v>0</v>
      </c>
      <c r="O318" s="106">
        <f t="shared" si="34"/>
        <v>0</v>
      </c>
      <c r="Q318" s="76"/>
      <c r="R318" s="11" t="str">
        <f t="shared" si="36"/>
        <v>-</v>
      </c>
      <c r="S318" s="30" t="str">
        <f t="shared" si="37"/>
        <v>-</v>
      </c>
      <c r="T318" s="12" t="str">
        <f t="shared" si="38"/>
        <v>-</v>
      </c>
      <c r="U318" s="13" t="str">
        <f t="shared" si="39"/>
        <v>-</v>
      </c>
      <c r="W318" s="13" t="str">
        <f t="shared" si="35"/>
        <v>-</v>
      </c>
    </row>
    <row r="319" spans="1:23" x14ac:dyDescent="0.3">
      <c r="A319" s="70">
        <v>100009639</v>
      </c>
      <c r="B319" s="71">
        <v>3547</v>
      </c>
      <c r="C319" s="96">
        <v>33984035478</v>
      </c>
      <c r="D319" s="72" t="s">
        <v>53</v>
      </c>
      <c r="E319" s="72" t="s">
        <v>359</v>
      </c>
      <c r="F319" s="73">
        <v>100</v>
      </c>
      <c r="G319" s="73" t="s">
        <v>330</v>
      </c>
      <c r="H319" s="73">
        <v>23</v>
      </c>
      <c r="I319" s="105" t="s">
        <v>850</v>
      </c>
      <c r="J319" s="74">
        <v>0.331727877306913</v>
      </c>
      <c r="K319" s="2">
        <v>19.781999999999996</v>
      </c>
      <c r="L319" s="2">
        <v>18.682999999999996</v>
      </c>
      <c r="M319" s="75"/>
      <c r="N319" s="2">
        <f t="shared" si="33"/>
        <v>0</v>
      </c>
      <c r="O319" s="106">
        <f t="shared" si="34"/>
        <v>0</v>
      </c>
      <c r="Q319" s="76"/>
      <c r="R319" s="11" t="str">
        <f t="shared" si="36"/>
        <v>-</v>
      </c>
      <c r="S319" s="30" t="str">
        <f t="shared" si="37"/>
        <v>-</v>
      </c>
      <c r="T319" s="12" t="str">
        <f t="shared" si="38"/>
        <v>-</v>
      </c>
      <c r="U319" s="13" t="str">
        <f t="shared" si="39"/>
        <v>-</v>
      </c>
      <c r="W319" s="13" t="str">
        <f t="shared" si="35"/>
        <v>-</v>
      </c>
    </row>
    <row r="320" spans="1:23" x14ac:dyDescent="0.3">
      <c r="A320" s="70">
        <v>100009641</v>
      </c>
      <c r="B320" s="71">
        <v>3566</v>
      </c>
      <c r="C320" s="96">
        <v>33984035669</v>
      </c>
      <c r="D320" s="72" t="s">
        <v>256</v>
      </c>
      <c r="E320" s="72" t="s">
        <v>361</v>
      </c>
      <c r="F320" s="73">
        <v>100</v>
      </c>
      <c r="G320" s="73" t="s">
        <v>330</v>
      </c>
      <c r="H320" s="73">
        <v>20</v>
      </c>
      <c r="I320" s="105" t="s">
        <v>850</v>
      </c>
      <c r="J320" s="74">
        <v>0.44094961666717497</v>
      </c>
      <c r="K320" s="2">
        <v>37.799999999999997</v>
      </c>
      <c r="L320" s="2">
        <v>35.699999999999996</v>
      </c>
      <c r="M320" s="75"/>
      <c r="N320" s="2">
        <f t="shared" si="33"/>
        <v>0</v>
      </c>
      <c r="O320" s="106">
        <f t="shared" si="34"/>
        <v>0</v>
      </c>
      <c r="Q320" s="76"/>
      <c r="R320" s="11" t="str">
        <f t="shared" si="36"/>
        <v>-</v>
      </c>
      <c r="S320" s="30" t="str">
        <f t="shared" si="37"/>
        <v>-</v>
      </c>
      <c r="T320" s="12" t="str">
        <f t="shared" si="38"/>
        <v>-</v>
      </c>
      <c r="U320" s="13" t="str">
        <f t="shared" si="39"/>
        <v>-</v>
      </c>
      <c r="W320" s="13" t="str">
        <f t="shared" si="35"/>
        <v>-</v>
      </c>
    </row>
    <row r="321" spans="1:23" x14ac:dyDescent="0.3">
      <c r="A321" s="77">
        <v>100009380</v>
      </c>
      <c r="B321" s="78">
        <v>1601</v>
      </c>
      <c r="C321" s="97">
        <v>33984016019</v>
      </c>
      <c r="D321" s="79" t="s">
        <v>363</v>
      </c>
      <c r="E321" s="79" t="s">
        <v>364</v>
      </c>
      <c r="F321" s="73" t="s">
        <v>365</v>
      </c>
      <c r="G321" s="73" t="s">
        <v>307</v>
      </c>
      <c r="H321" s="73"/>
      <c r="I321" s="105" t="s">
        <v>850</v>
      </c>
      <c r="J321" s="74" t="e">
        <v>#N/A</v>
      </c>
      <c r="K321" s="2">
        <v>14.489999999999998</v>
      </c>
      <c r="L321" s="2">
        <v>13.685</v>
      </c>
      <c r="M321" s="75"/>
      <c r="N321" s="2">
        <f t="shared" si="33"/>
        <v>0</v>
      </c>
      <c r="O321" s="106">
        <f t="shared" si="34"/>
        <v>0</v>
      </c>
      <c r="Q321" s="76"/>
      <c r="R321" s="11" t="str">
        <f t="shared" si="36"/>
        <v>-</v>
      </c>
      <c r="S321" s="30" t="str">
        <f t="shared" si="37"/>
        <v>-</v>
      </c>
      <c r="T321" s="12" t="str">
        <f t="shared" si="38"/>
        <v>-</v>
      </c>
      <c r="U321" s="13" t="str">
        <f t="shared" si="39"/>
        <v>-</v>
      </c>
      <c r="W321" s="13" t="str">
        <f t="shared" si="35"/>
        <v>-</v>
      </c>
    </row>
    <row r="322" spans="1:23" x14ac:dyDescent="0.3">
      <c r="A322" s="70">
        <v>100200030</v>
      </c>
      <c r="B322" s="71"/>
      <c r="C322" s="96">
        <v>810122620105</v>
      </c>
      <c r="D322" s="72" t="s">
        <v>57</v>
      </c>
      <c r="E322" s="72"/>
      <c r="F322" s="73">
        <v>60</v>
      </c>
      <c r="G322" s="73" t="s">
        <v>327</v>
      </c>
      <c r="H322" s="73">
        <v>0</v>
      </c>
      <c r="I322" s="105" t="s">
        <v>850</v>
      </c>
      <c r="J322" s="74">
        <v>0.26599412564083336</v>
      </c>
      <c r="K322" s="2">
        <v>12.587399999999999</v>
      </c>
      <c r="L322" s="2">
        <v>11.8881</v>
      </c>
      <c r="M322" s="75"/>
      <c r="N322" s="2">
        <f t="shared" si="33"/>
        <v>0</v>
      </c>
      <c r="O322" s="106">
        <f t="shared" si="34"/>
        <v>0</v>
      </c>
      <c r="Q322" s="76"/>
      <c r="R322" s="11" t="str">
        <f t="shared" si="36"/>
        <v>-</v>
      </c>
      <c r="S322" s="30" t="str">
        <f t="shared" si="37"/>
        <v>-</v>
      </c>
      <c r="T322" s="12" t="str">
        <f t="shared" si="38"/>
        <v>-</v>
      </c>
      <c r="U322" s="13" t="str">
        <f t="shared" si="39"/>
        <v>-</v>
      </c>
      <c r="W322" s="13" t="str">
        <f t="shared" si="35"/>
        <v>-</v>
      </c>
    </row>
    <row r="323" spans="1:23" x14ac:dyDescent="0.3">
      <c r="A323" s="77">
        <v>100009584</v>
      </c>
      <c r="B323" s="78">
        <v>2950</v>
      </c>
      <c r="C323" s="97">
        <v>33984029507</v>
      </c>
      <c r="D323" s="79" t="s">
        <v>367</v>
      </c>
      <c r="E323" s="79" t="s">
        <v>368</v>
      </c>
      <c r="F323" s="73">
        <v>100</v>
      </c>
      <c r="G323" s="73" t="s">
        <v>300</v>
      </c>
      <c r="H323" s="73"/>
      <c r="I323" s="105" t="s">
        <v>850</v>
      </c>
      <c r="J323" s="74" t="e">
        <v>#N/A</v>
      </c>
      <c r="K323" s="2">
        <v>7.2449999999999992</v>
      </c>
      <c r="L323" s="2">
        <v>6.8425000000000002</v>
      </c>
      <c r="M323" s="75"/>
      <c r="N323" s="2">
        <f t="shared" ref="N323:N386" si="40">M323*K323</f>
        <v>0</v>
      </c>
      <c r="O323" s="106">
        <f t="shared" ref="O323:O386" si="41">IF(M323&gt;143,M323*L323,M323*K323)</f>
        <v>0</v>
      </c>
      <c r="Q323" s="76"/>
      <c r="R323" s="11" t="str">
        <f t="shared" si="36"/>
        <v>-</v>
      </c>
      <c r="S323" s="30" t="str">
        <f t="shared" si="37"/>
        <v>-</v>
      </c>
      <c r="T323" s="12" t="str">
        <f t="shared" si="38"/>
        <v>-</v>
      </c>
      <c r="U323" s="13" t="str">
        <f t="shared" si="39"/>
        <v>-</v>
      </c>
      <c r="W323" s="13" t="str">
        <f t="shared" si="35"/>
        <v>-</v>
      </c>
    </row>
    <row r="324" spans="1:23" x14ac:dyDescent="0.3">
      <c r="A324" s="70">
        <v>100009599</v>
      </c>
      <c r="B324" s="71">
        <v>3210</v>
      </c>
      <c r="C324" s="96">
        <v>33984032101</v>
      </c>
      <c r="D324" s="72" t="s">
        <v>66</v>
      </c>
      <c r="E324" s="72" t="s">
        <v>378</v>
      </c>
      <c r="F324" s="73">
        <v>100</v>
      </c>
      <c r="G324" s="73" t="s">
        <v>300</v>
      </c>
      <c r="H324" s="73">
        <v>36</v>
      </c>
      <c r="I324" s="105" t="s">
        <v>850</v>
      </c>
      <c r="J324" s="74">
        <v>0.1374302982477639</v>
      </c>
      <c r="K324" s="2">
        <v>8.8199999999999985</v>
      </c>
      <c r="L324" s="2">
        <v>8.33</v>
      </c>
      <c r="M324" s="75"/>
      <c r="N324" s="2">
        <f t="shared" si="40"/>
        <v>0</v>
      </c>
      <c r="O324" s="106">
        <f t="shared" si="41"/>
        <v>0</v>
      </c>
      <c r="Q324" s="76"/>
      <c r="R324" s="11" t="str">
        <f t="shared" si="36"/>
        <v>-</v>
      </c>
      <c r="S324" s="30" t="str">
        <f t="shared" si="37"/>
        <v>-</v>
      </c>
      <c r="T324" s="12" t="str">
        <f t="shared" si="38"/>
        <v>-</v>
      </c>
      <c r="U324" s="13" t="str">
        <f t="shared" si="39"/>
        <v>-</v>
      </c>
      <c r="W324" s="13" t="str">
        <f t="shared" si="35"/>
        <v>-</v>
      </c>
    </row>
    <row r="325" spans="1:23" x14ac:dyDescent="0.3">
      <c r="A325" s="70">
        <v>100009600</v>
      </c>
      <c r="B325" s="71">
        <v>3211</v>
      </c>
      <c r="C325" s="96">
        <v>33984032118</v>
      </c>
      <c r="D325" s="72" t="s">
        <v>66</v>
      </c>
      <c r="E325" s="72" t="s">
        <v>379</v>
      </c>
      <c r="F325" s="73">
        <v>250</v>
      </c>
      <c r="G325" s="73" t="s">
        <v>300</v>
      </c>
      <c r="H325" s="73">
        <v>25</v>
      </c>
      <c r="I325" s="105" t="s">
        <v>850</v>
      </c>
      <c r="J325" s="74">
        <v>0.19254542514130002</v>
      </c>
      <c r="K325" s="2">
        <v>18.27</v>
      </c>
      <c r="L325" s="2">
        <v>17.254999999999999</v>
      </c>
      <c r="M325" s="75"/>
      <c r="N325" s="2">
        <f t="shared" si="40"/>
        <v>0</v>
      </c>
      <c r="O325" s="106">
        <f t="shared" si="41"/>
        <v>0</v>
      </c>
      <c r="Q325" s="76"/>
      <c r="R325" s="11" t="str">
        <f t="shared" si="36"/>
        <v>-</v>
      </c>
      <c r="S325" s="30" t="str">
        <f t="shared" si="37"/>
        <v>-</v>
      </c>
      <c r="T325" s="12" t="str">
        <f t="shared" si="38"/>
        <v>-</v>
      </c>
      <c r="U325" s="13" t="str">
        <f t="shared" si="39"/>
        <v>-</v>
      </c>
      <c r="W325" s="13" t="str">
        <f t="shared" si="35"/>
        <v>-</v>
      </c>
    </row>
    <row r="326" spans="1:23" x14ac:dyDescent="0.3">
      <c r="A326" s="70">
        <v>100009436</v>
      </c>
      <c r="B326" s="71">
        <v>1852</v>
      </c>
      <c r="C326" s="96">
        <v>33984018525</v>
      </c>
      <c r="D326" s="72" t="s">
        <v>84</v>
      </c>
      <c r="E326" s="72" t="s">
        <v>409</v>
      </c>
      <c r="F326" s="73">
        <v>250</v>
      </c>
      <c r="G326" s="73" t="s">
        <v>300</v>
      </c>
      <c r="H326" s="73">
        <v>16</v>
      </c>
      <c r="I326" s="105" t="s">
        <v>850</v>
      </c>
      <c r="J326" s="74">
        <v>0.49455601343946876</v>
      </c>
      <c r="K326" s="2">
        <v>20.474999999999998</v>
      </c>
      <c r="L326" s="2">
        <v>19.337499999999999</v>
      </c>
      <c r="M326" s="75"/>
      <c r="N326" s="2">
        <f t="shared" si="40"/>
        <v>0</v>
      </c>
      <c r="O326" s="106">
        <f t="shared" si="41"/>
        <v>0</v>
      </c>
      <c r="Q326" s="76"/>
      <c r="R326" s="11" t="str">
        <f t="shared" si="36"/>
        <v>-</v>
      </c>
      <c r="S326" s="30" t="str">
        <f t="shared" si="37"/>
        <v>-</v>
      </c>
      <c r="T326" s="12" t="str">
        <f t="shared" si="38"/>
        <v>-</v>
      </c>
      <c r="U326" s="13" t="str">
        <f t="shared" si="39"/>
        <v>-</v>
      </c>
      <c r="W326" s="13" t="str">
        <f t="shared" si="35"/>
        <v>-</v>
      </c>
    </row>
    <row r="327" spans="1:23" x14ac:dyDescent="0.3">
      <c r="A327" s="70">
        <v>100200032</v>
      </c>
      <c r="B327" s="71"/>
      <c r="C327" s="96">
        <v>810122620129</v>
      </c>
      <c r="D327" s="72" t="s">
        <v>93</v>
      </c>
      <c r="E327" s="72"/>
      <c r="F327" s="73">
        <v>60</v>
      </c>
      <c r="G327" s="73" t="s">
        <v>327</v>
      </c>
      <c r="H327" s="73">
        <v>0</v>
      </c>
      <c r="I327" s="105" t="s">
        <v>850</v>
      </c>
      <c r="J327" s="74">
        <v>0.26599412564083336</v>
      </c>
      <c r="K327" s="2">
        <v>15.737399999999999</v>
      </c>
      <c r="L327" s="2">
        <v>14.863099999999999</v>
      </c>
      <c r="M327" s="75"/>
      <c r="N327" s="2">
        <f t="shared" si="40"/>
        <v>0</v>
      </c>
      <c r="O327" s="106">
        <f t="shared" si="41"/>
        <v>0</v>
      </c>
      <c r="Q327" s="76"/>
      <c r="R327" s="11" t="str">
        <f t="shared" si="36"/>
        <v>-</v>
      </c>
      <c r="S327" s="30" t="str">
        <f t="shared" si="37"/>
        <v>-</v>
      </c>
      <c r="T327" s="12" t="str">
        <f t="shared" si="38"/>
        <v>-</v>
      </c>
      <c r="U327" s="13" t="str">
        <f t="shared" si="39"/>
        <v>-</v>
      </c>
      <c r="W327" s="13" t="str">
        <f t="shared" si="35"/>
        <v>-</v>
      </c>
    </row>
    <row r="328" spans="1:23" x14ac:dyDescent="0.3">
      <c r="A328" s="77">
        <v>100009201</v>
      </c>
      <c r="B328" s="78">
        <v>920</v>
      </c>
      <c r="C328" s="97">
        <v>33984009202</v>
      </c>
      <c r="D328" s="79" t="s">
        <v>424</v>
      </c>
      <c r="E328" s="79" t="s">
        <v>425</v>
      </c>
      <c r="F328" s="73">
        <v>100</v>
      </c>
      <c r="G328" s="73" t="s">
        <v>305</v>
      </c>
      <c r="H328" s="73"/>
      <c r="I328" s="105" t="s">
        <v>850</v>
      </c>
      <c r="J328" s="74" t="e">
        <v>#N/A</v>
      </c>
      <c r="K328" s="2">
        <v>9.9540000000000006</v>
      </c>
      <c r="L328" s="2">
        <v>9.4009999999999998</v>
      </c>
      <c r="M328" s="75"/>
      <c r="N328" s="2">
        <f t="shared" si="40"/>
        <v>0</v>
      </c>
      <c r="O328" s="106">
        <f t="shared" si="41"/>
        <v>0</v>
      </c>
      <c r="Q328" s="76"/>
      <c r="R328" s="11" t="str">
        <f t="shared" si="36"/>
        <v>-</v>
      </c>
      <c r="S328" s="30" t="str">
        <f t="shared" si="37"/>
        <v>-</v>
      </c>
      <c r="T328" s="12" t="str">
        <f t="shared" si="38"/>
        <v>-</v>
      </c>
      <c r="U328" s="13" t="str">
        <f t="shared" si="39"/>
        <v>-</v>
      </c>
      <c r="W328" s="13" t="str">
        <f t="shared" si="35"/>
        <v>-</v>
      </c>
    </row>
    <row r="329" spans="1:23" x14ac:dyDescent="0.3">
      <c r="A329" s="77">
        <v>100009202</v>
      </c>
      <c r="B329" s="78">
        <v>921</v>
      </c>
      <c r="C329" s="97">
        <v>33984009219</v>
      </c>
      <c r="D329" s="79" t="s">
        <v>424</v>
      </c>
      <c r="E329" s="79" t="s">
        <v>426</v>
      </c>
      <c r="F329" s="73">
        <v>250</v>
      </c>
      <c r="G329" s="73" t="s">
        <v>305</v>
      </c>
      <c r="H329" s="73"/>
      <c r="I329" s="105" t="s">
        <v>850</v>
      </c>
      <c r="J329" s="74" t="e">
        <v>#N/A</v>
      </c>
      <c r="K329" s="2">
        <v>20.474999999999998</v>
      </c>
      <c r="L329" s="2">
        <v>19.337499999999999</v>
      </c>
      <c r="M329" s="75"/>
      <c r="N329" s="2">
        <f t="shared" si="40"/>
        <v>0</v>
      </c>
      <c r="O329" s="106">
        <f t="shared" si="41"/>
        <v>0</v>
      </c>
      <c r="Q329" s="76"/>
      <c r="R329" s="11" t="str">
        <f t="shared" si="36"/>
        <v>-</v>
      </c>
      <c r="S329" s="30" t="str">
        <f t="shared" si="37"/>
        <v>-</v>
      </c>
      <c r="T329" s="12" t="str">
        <f t="shared" si="38"/>
        <v>-</v>
      </c>
      <c r="U329" s="13" t="str">
        <f t="shared" si="39"/>
        <v>-</v>
      </c>
      <c r="W329" s="13" t="str">
        <f t="shared" si="35"/>
        <v>-</v>
      </c>
    </row>
    <row r="330" spans="1:23" x14ac:dyDescent="0.3">
      <c r="A330" s="77">
        <v>100188951</v>
      </c>
      <c r="B330" s="78">
        <v>30057</v>
      </c>
      <c r="C330" s="97">
        <v>33984006911</v>
      </c>
      <c r="D330" s="79" t="s">
        <v>97</v>
      </c>
      <c r="E330" s="79" t="s">
        <v>433</v>
      </c>
      <c r="F330" s="73">
        <v>45</v>
      </c>
      <c r="G330" s="73" t="s">
        <v>434</v>
      </c>
      <c r="H330" s="73"/>
      <c r="I330" s="105" t="s">
        <v>850</v>
      </c>
      <c r="J330" s="74" t="e">
        <v>#N/A</v>
      </c>
      <c r="K330" s="2">
        <v>6.2370000000000001</v>
      </c>
      <c r="L330" s="2">
        <v>5.8905000000000003</v>
      </c>
      <c r="M330" s="75"/>
      <c r="N330" s="2">
        <f t="shared" si="40"/>
        <v>0</v>
      </c>
      <c r="O330" s="106">
        <f t="shared" si="41"/>
        <v>0</v>
      </c>
      <c r="Q330" s="76"/>
      <c r="R330" s="11" t="str">
        <f t="shared" si="36"/>
        <v>-</v>
      </c>
      <c r="S330" s="30" t="str">
        <f t="shared" si="37"/>
        <v>-</v>
      </c>
      <c r="T330" s="12" t="str">
        <f t="shared" si="38"/>
        <v>-</v>
      </c>
      <c r="U330" s="13" t="str">
        <f t="shared" si="39"/>
        <v>-</v>
      </c>
      <c r="W330" s="13" t="str">
        <f t="shared" si="35"/>
        <v>-</v>
      </c>
    </row>
    <row r="331" spans="1:23" x14ac:dyDescent="0.3">
      <c r="A331" s="70">
        <v>100188944</v>
      </c>
      <c r="B331" s="71">
        <v>30061</v>
      </c>
      <c r="C331" s="96">
        <v>33984006836</v>
      </c>
      <c r="D331" s="72" t="s">
        <v>257</v>
      </c>
      <c r="E331" s="72" t="s">
        <v>438</v>
      </c>
      <c r="F331" s="73">
        <v>60</v>
      </c>
      <c r="G331" s="73" t="s">
        <v>330</v>
      </c>
      <c r="H331" s="73">
        <v>16</v>
      </c>
      <c r="I331" s="105" t="s">
        <v>850</v>
      </c>
      <c r="J331" s="74">
        <v>0.46430990721740623</v>
      </c>
      <c r="K331" s="2">
        <v>20.16</v>
      </c>
      <c r="L331" s="2">
        <v>19.04</v>
      </c>
      <c r="M331" s="75"/>
      <c r="N331" s="2">
        <f t="shared" si="40"/>
        <v>0</v>
      </c>
      <c r="O331" s="106">
        <f t="shared" si="41"/>
        <v>0</v>
      </c>
      <c r="Q331" s="76"/>
      <c r="R331" s="11" t="str">
        <f t="shared" si="36"/>
        <v>-</v>
      </c>
      <c r="S331" s="30" t="str">
        <f t="shared" si="37"/>
        <v>-</v>
      </c>
      <c r="T331" s="12" t="str">
        <f t="shared" si="38"/>
        <v>-</v>
      </c>
      <c r="U331" s="13" t="str">
        <f t="shared" si="39"/>
        <v>-</v>
      </c>
      <c r="W331" s="13" t="str">
        <f t="shared" si="35"/>
        <v>-</v>
      </c>
    </row>
    <row r="332" spans="1:23" x14ac:dyDescent="0.3">
      <c r="A332" s="70">
        <v>100188949</v>
      </c>
      <c r="B332" s="71">
        <v>30062</v>
      </c>
      <c r="C332" s="96">
        <v>33984006850</v>
      </c>
      <c r="D332" s="72" t="s">
        <v>257</v>
      </c>
      <c r="E332" s="72" t="s">
        <v>439</v>
      </c>
      <c r="F332" s="73">
        <v>90</v>
      </c>
      <c r="G332" s="73" t="s">
        <v>330</v>
      </c>
      <c r="H332" s="73">
        <v>24</v>
      </c>
      <c r="I332" s="105" t="s">
        <v>850</v>
      </c>
      <c r="J332" s="74" t="e">
        <v>#N/A</v>
      </c>
      <c r="K332" s="2">
        <v>26.46</v>
      </c>
      <c r="L332" s="2">
        <v>24.989999999999995</v>
      </c>
      <c r="M332" s="75"/>
      <c r="N332" s="2">
        <f t="shared" si="40"/>
        <v>0</v>
      </c>
      <c r="O332" s="106">
        <f t="shared" si="41"/>
        <v>0</v>
      </c>
      <c r="Q332" s="76"/>
      <c r="R332" s="11" t="str">
        <f t="shared" si="36"/>
        <v>-</v>
      </c>
      <c r="S332" s="30" t="str">
        <f t="shared" si="37"/>
        <v>-</v>
      </c>
      <c r="T332" s="12" t="str">
        <f t="shared" si="38"/>
        <v>-</v>
      </c>
      <c r="U332" s="13" t="str">
        <f t="shared" si="39"/>
        <v>-</v>
      </c>
      <c r="W332" s="13" t="str">
        <f t="shared" si="35"/>
        <v>-</v>
      </c>
    </row>
    <row r="333" spans="1:23" x14ac:dyDescent="0.3">
      <c r="A333" s="77">
        <v>100009132</v>
      </c>
      <c r="B333" s="78">
        <v>408</v>
      </c>
      <c r="C333" s="97">
        <v>33984004085</v>
      </c>
      <c r="D333" s="79" t="s">
        <v>442</v>
      </c>
      <c r="E333" s="79" t="s">
        <v>443</v>
      </c>
      <c r="F333" s="73">
        <v>90</v>
      </c>
      <c r="G333" s="73" t="s">
        <v>305</v>
      </c>
      <c r="H333" s="73"/>
      <c r="I333" s="105" t="s">
        <v>850</v>
      </c>
      <c r="J333" s="74" t="e">
        <v>#N/A</v>
      </c>
      <c r="K333" s="2">
        <v>10.709999999999999</v>
      </c>
      <c r="L333" s="2">
        <v>10.114999999999998</v>
      </c>
      <c r="M333" s="75"/>
      <c r="N333" s="2">
        <f t="shared" si="40"/>
        <v>0</v>
      </c>
      <c r="O333" s="106">
        <f t="shared" si="41"/>
        <v>0</v>
      </c>
      <c r="Q333" s="76"/>
      <c r="R333" s="11" t="str">
        <f t="shared" si="36"/>
        <v>-</v>
      </c>
      <c r="S333" s="30" t="str">
        <f t="shared" si="37"/>
        <v>-</v>
      </c>
      <c r="T333" s="12" t="str">
        <f t="shared" si="38"/>
        <v>-</v>
      </c>
      <c r="U333" s="13" t="str">
        <f t="shared" si="39"/>
        <v>-</v>
      </c>
      <c r="W333" s="13" t="str">
        <f t="shared" si="35"/>
        <v>-</v>
      </c>
    </row>
    <row r="334" spans="1:23" x14ac:dyDescent="0.3">
      <c r="A334" s="77">
        <v>100009356</v>
      </c>
      <c r="B334" s="78">
        <v>1422</v>
      </c>
      <c r="C334" s="97">
        <v>33984014220</v>
      </c>
      <c r="D334" s="79" t="s">
        <v>449</v>
      </c>
      <c r="E334" s="79" t="s">
        <v>450</v>
      </c>
      <c r="F334" s="73">
        <v>250</v>
      </c>
      <c r="G334" s="73" t="s">
        <v>305</v>
      </c>
      <c r="H334" s="73"/>
      <c r="I334" s="105" t="s">
        <v>850</v>
      </c>
      <c r="J334" s="74" t="e">
        <v>#N/A</v>
      </c>
      <c r="K334" s="2">
        <v>22.679999999999996</v>
      </c>
      <c r="L334" s="2">
        <v>21.419999999999998</v>
      </c>
      <c r="M334" s="75"/>
      <c r="N334" s="2">
        <f t="shared" si="40"/>
        <v>0</v>
      </c>
      <c r="O334" s="106">
        <f t="shared" si="41"/>
        <v>0</v>
      </c>
      <c r="Q334" s="76"/>
      <c r="R334" s="11" t="str">
        <f t="shared" si="36"/>
        <v>-</v>
      </c>
      <c r="S334" s="30" t="str">
        <f t="shared" si="37"/>
        <v>-</v>
      </c>
      <c r="T334" s="12" t="str">
        <f t="shared" si="38"/>
        <v>-</v>
      </c>
      <c r="U334" s="13" t="str">
        <f t="shared" si="39"/>
        <v>-</v>
      </c>
      <c r="W334" s="13" t="str">
        <f t="shared" si="35"/>
        <v>-</v>
      </c>
    </row>
    <row r="335" spans="1:23" x14ac:dyDescent="0.3">
      <c r="A335" s="70">
        <v>100192460</v>
      </c>
      <c r="B335" s="71">
        <v>30376</v>
      </c>
      <c r="C335" s="96">
        <v>33984303768</v>
      </c>
      <c r="D335" s="72" t="s">
        <v>258</v>
      </c>
      <c r="E335" s="72" t="s">
        <v>453</v>
      </c>
      <c r="F335" s="73">
        <v>120</v>
      </c>
      <c r="G335" s="73" t="s">
        <v>327</v>
      </c>
      <c r="H335" s="73">
        <v>12</v>
      </c>
      <c r="I335" s="105" t="s">
        <v>850</v>
      </c>
      <c r="J335" s="74" t="e">
        <v>#N/A</v>
      </c>
      <c r="K335" s="2">
        <v>11.339999999999998</v>
      </c>
      <c r="L335" s="2">
        <v>10.709999999999999</v>
      </c>
      <c r="M335" s="75"/>
      <c r="N335" s="2">
        <f t="shared" si="40"/>
        <v>0</v>
      </c>
      <c r="O335" s="106">
        <f t="shared" si="41"/>
        <v>0</v>
      </c>
      <c r="Q335" s="76"/>
      <c r="R335" s="11" t="str">
        <f t="shared" si="36"/>
        <v>-</v>
      </c>
      <c r="S335" s="30" t="str">
        <f t="shared" si="37"/>
        <v>-</v>
      </c>
      <c r="T335" s="12" t="str">
        <f t="shared" si="38"/>
        <v>-</v>
      </c>
      <c r="U335" s="13" t="str">
        <f t="shared" si="39"/>
        <v>-</v>
      </c>
      <c r="W335" s="13" t="str">
        <f t="shared" si="35"/>
        <v>-</v>
      </c>
    </row>
    <row r="336" spans="1:23" x14ac:dyDescent="0.3">
      <c r="A336" s="77">
        <v>100009462</v>
      </c>
      <c r="B336" s="78">
        <v>2032</v>
      </c>
      <c r="C336" s="97">
        <v>33984020320</v>
      </c>
      <c r="D336" s="79" t="s">
        <v>463</v>
      </c>
      <c r="E336" s="79" t="s">
        <v>465</v>
      </c>
      <c r="F336" s="73">
        <v>180</v>
      </c>
      <c r="G336" s="73" t="s">
        <v>330</v>
      </c>
      <c r="H336" s="73"/>
      <c r="I336" s="105" t="s">
        <v>850</v>
      </c>
      <c r="J336" s="74" t="e">
        <v>#N/A</v>
      </c>
      <c r="K336" s="2">
        <v>28.349999999999998</v>
      </c>
      <c r="L336" s="2">
        <v>26.774999999999999</v>
      </c>
      <c r="M336" s="75"/>
      <c r="N336" s="2">
        <f t="shared" si="40"/>
        <v>0</v>
      </c>
      <c r="O336" s="106">
        <f t="shared" si="41"/>
        <v>0</v>
      </c>
      <c r="Q336" s="76"/>
      <c r="R336" s="11" t="str">
        <f t="shared" si="36"/>
        <v>-</v>
      </c>
      <c r="S336" s="30" t="str">
        <f t="shared" si="37"/>
        <v>-</v>
      </c>
      <c r="T336" s="12" t="str">
        <f t="shared" si="38"/>
        <v>-</v>
      </c>
      <c r="U336" s="13" t="str">
        <f t="shared" si="39"/>
        <v>-</v>
      </c>
      <c r="W336" s="13" t="str">
        <f t="shared" si="35"/>
        <v>-</v>
      </c>
    </row>
    <row r="337" spans="1:23" x14ac:dyDescent="0.3">
      <c r="A337" s="87">
        <v>100080521</v>
      </c>
      <c r="B337" s="88">
        <v>57607</v>
      </c>
      <c r="C337" s="101">
        <v>33984576070</v>
      </c>
      <c r="D337" s="89" t="s">
        <v>260</v>
      </c>
      <c r="E337" s="89" t="s">
        <v>475</v>
      </c>
      <c r="F337" s="83">
        <v>60</v>
      </c>
      <c r="G337" s="83" t="s">
        <v>327</v>
      </c>
      <c r="H337" s="73"/>
      <c r="I337" s="105" t="s">
        <v>850</v>
      </c>
      <c r="J337" s="74" t="e">
        <v>#N/A</v>
      </c>
      <c r="K337" s="2">
        <v>8.19</v>
      </c>
      <c r="L337" s="2">
        <v>7.7349999999999985</v>
      </c>
      <c r="M337" s="75"/>
      <c r="N337" s="2">
        <f t="shared" si="40"/>
        <v>0</v>
      </c>
      <c r="O337" s="106">
        <f t="shared" si="41"/>
        <v>0</v>
      </c>
      <c r="Q337" s="76"/>
      <c r="R337" s="11" t="str">
        <f t="shared" si="36"/>
        <v>-</v>
      </c>
      <c r="S337" s="30" t="str">
        <f t="shared" si="37"/>
        <v>-</v>
      </c>
      <c r="T337" s="12" t="str">
        <f t="shared" si="38"/>
        <v>-</v>
      </c>
      <c r="U337" s="13" t="str">
        <f t="shared" si="39"/>
        <v>-</v>
      </c>
      <c r="W337" s="13" t="str">
        <f t="shared" si="35"/>
        <v>-</v>
      </c>
    </row>
    <row r="338" spans="1:23" x14ac:dyDescent="0.3">
      <c r="A338" s="77">
        <v>100009188</v>
      </c>
      <c r="B338" s="78">
        <v>867</v>
      </c>
      <c r="C338" s="97">
        <v>33984008670</v>
      </c>
      <c r="D338" s="79" t="s">
        <v>487</v>
      </c>
      <c r="E338" s="79" t="s">
        <v>488</v>
      </c>
      <c r="F338" s="73">
        <v>180</v>
      </c>
      <c r="G338" s="73" t="s">
        <v>300</v>
      </c>
      <c r="H338" s="73"/>
      <c r="I338" s="105" t="s">
        <v>850</v>
      </c>
      <c r="J338" s="74" t="e">
        <v>#N/A</v>
      </c>
      <c r="K338" s="2">
        <v>15.497999999999999</v>
      </c>
      <c r="L338" s="2">
        <v>14.636999999999999</v>
      </c>
      <c r="M338" s="75"/>
      <c r="N338" s="2">
        <f t="shared" si="40"/>
        <v>0</v>
      </c>
      <c r="O338" s="106">
        <f t="shared" si="41"/>
        <v>0</v>
      </c>
      <c r="Q338" s="76"/>
      <c r="R338" s="11" t="str">
        <f t="shared" si="36"/>
        <v>-</v>
      </c>
      <c r="S338" s="30" t="str">
        <f t="shared" si="37"/>
        <v>-</v>
      </c>
      <c r="T338" s="12" t="str">
        <f t="shared" si="38"/>
        <v>-</v>
      </c>
      <c r="U338" s="13" t="str">
        <f t="shared" si="39"/>
        <v>-</v>
      </c>
      <c r="W338" s="13" t="str">
        <f t="shared" si="35"/>
        <v>-</v>
      </c>
    </row>
    <row r="339" spans="1:23" x14ac:dyDescent="0.3">
      <c r="A339" s="77">
        <v>100184034</v>
      </c>
      <c r="B339" s="78">
        <v>30328</v>
      </c>
      <c r="C339" s="97">
        <v>33984005358</v>
      </c>
      <c r="D339" s="79" t="s">
        <v>123</v>
      </c>
      <c r="E339" s="79" t="s">
        <v>496</v>
      </c>
      <c r="F339" s="73">
        <v>60</v>
      </c>
      <c r="G339" s="73" t="s">
        <v>300</v>
      </c>
      <c r="H339" s="73"/>
      <c r="I339" s="105" t="s">
        <v>850</v>
      </c>
      <c r="J339" s="74" t="e">
        <v>#N/A</v>
      </c>
      <c r="K339" s="2">
        <v>14.679</v>
      </c>
      <c r="L339" s="2">
        <v>13.863499999999998</v>
      </c>
      <c r="M339" s="75"/>
      <c r="N339" s="2">
        <f t="shared" si="40"/>
        <v>0</v>
      </c>
      <c r="O339" s="106">
        <f t="shared" si="41"/>
        <v>0</v>
      </c>
      <c r="Q339" s="76"/>
      <c r="R339" s="11" t="str">
        <f t="shared" si="36"/>
        <v>-</v>
      </c>
      <c r="S339" s="30" t="str">
        <f t="shared" si="37"/>
        <v>-</v>
      </c>
      <c r="T339" s="12" t="str">
        <f t="shared" si="38"/>
        <v>-</v>
      </c>
      <c r="U339" s="13" t="str">
        <f t="shared" si="39"/>
        <v>-</v>
      </c>
      <c r="W339" s="13" t="str">
        <f t="shared" si="35"/>
        <v>-</v>
      </c>
    </row>
    <row r="340" spans="1:23" x14ac:dyDescent="0.3">
      <c r="A340" s="77">
        <v>100190492</v>
      </c>
      <c r="B340" s="78">
        <v>30329</v>
      </c>
      <c r="C340" s="97">
        <v>33984303294</v>
      </c>
      <c r="D340" s="91" t="s">
        <v>518</v>
      </c>
      <c r="E340" s="91" t="s">
        <v>519</v>
      </c>
      <c r="F340" s="71">
        <v>60</v>
      </c>
      <c r="G340" s="71" t="s">
        <v>300</v>
      </c>
      <c r="H340" s="73"/>
      <c r="I340" s="105" t="s">
        <v>850</v>
      </c>
      <c r="J340" s="74" t="e">
        <v>#N/A</v>
      </c>
      <c r="K340" s="2">
        <v>14.679</v>
      </c>
      <c r="L340" s="2">
        <v>13.863499999999998</v>
      </c>
      <c r="M340" s="75"/>
      <c r="N340" s="2">
        <f t="shared" si="40"/>
        <v>0</v>
      </c>
      <c r="O340" s="106">
        <f t="shared" si="41"/>
        <v>0</v>
      </c>
      <c r="Q340" s="76"/>
      <c r="R340" s="11" t="str">
        <f t="shared" si="36"/>
        <v>-</v>
      </c>
      <c r="S340" s="30" t="str">
        <f t="shared" si="37"/>
        <v>-</v>
      </c>
      <c r="T340" s="12" t="str">
        <f t="shared" si="38"/>
        <v>-</v>
      </c>
      <c r="U340" s="13" t="str">
        <f t="shared" si="39"/>
        <v>-</v>
      </c>
      <c r="W340" s="13" t="str">
        <f t="shared" si="35"/>
        <v>-</v>
      </c>
    </row>
    <row r="341" spans="1:23" x14ac:dyDescent="0.3">
      <c r="A341" s="77">
        <v>100194418</v>
      </c>
      <c r="B341" s="78">
        <v>30390</v>
      </c>
      <c r="C341" s="97">
        <v>33984303904</v>
      </c>
      <c r="D341" s="91" t="s">
        <v>143</v>
      </c>
      <c r="E341" s="91" t="s">
        <v>524</v>
      </c>
      <c r="F341" s="71">
        <v>250</v>
      </c>
      <c r="G341" s="71" t="s">
        <v>305</v>
      </c>
      <c r="H341" s="73"/>
      <c r="I341" s="105" t="s">
        <v>850</v>
      </c>
      <c r="J341" s="74" t="e">
        <v>#N/A</v>
      </c>
      <c r="K341" s="2">
        <v>47.25</v>
      </c>
      <c r="L341" s="2">
        <v>44.625</v>
      </c>
      <c r="M341" s="75"/>
      <c r="N341" s="2">
        <f t="shared" si="40"/>
        <v>0</v>
      </c>
      <c r="O341" s="106">
        <f t="shared" si="41"/>
        <v>0</v>
      </c>
      <c r="Q341" s="76"/>
      <c r="R341" s="11" t="str">
        <f t="shared" si="36"/>
        <v>-</v>
      </c>
      <c r="S341" s="30" t="str">
        <f t="shared" si="37"/>
        <v>-</v>
      </c>
      <c r="T341" s="12" t="str">
        <f t="shared" si="38"/>
        <v>-</v>
      </c>
      <c r="U341" s="13" t="str">
        <f t="shared" si="39"/>
        <v>-</v>
      </c>
      <c r="W341" s="13" t="str">
        <f t="shared" si="35"/>
        <v>-</v>
      </c>
    </row>
    <row r="342" spans="1:23" x14ac:dyDescent="0.3">
      <c r="A342" s="70">
        <v>100009291</v>
      </c>
      <c r="B342" s="71">
        <v>1167</v>
      </c>
      <c r="C342" s="96">
        <v>33984011670</v>
      </c>
      <c r="D342" s="72" t="s">
        <v>145</v>
      </c>
      <c r="E342" s="72" t="s">
        <v>527</v>
      </c>
      <c r="F342" s="73">
        <v>120</v>
      </c>
      <c r="G342" s="73" t="s">
        <v>300</v>
      </c>
      <c r="H342" s="73">
        <v>20</v>
      </c>
      <c r="I342" s="105" t="s">
        <v>850</v>
      </c>
      <c r="J342" s="74">
        <v>0.33927121702705004</v>
      </c>
      <c r="K342" s="2">
        <v>17.639999999999997</v>
      </c>
      <c r="L342" s="2">
        <v>16.66</v>
      </c>
      <c r="M342" s="75"/>
      <c r="N342" s="2">
        <f t="shared" si="40"/>
        <v>0</v>
      </c>
      <c r="O342" s="106">
        <f t="shared" si="41"/>
        <v>0</v>
      </c>
      <c r="Q342" s="76"/>
      <c r="R342" s="11" t="str">
        <f t="shared" si="36"/>
        <v>-</v>
      </c>
      <c r="S342" s="30" t="str">
        <f t="shared" si="37"/>
        <v>-</v>
      </c>
      <c r="T342" s="12" t="str">
        <f t="shared" si="38"/>
        <v>-</v>
      </c>
      <c r="U342" s="13" t="str">
        <f t="shared" si="39"/>
        <v>-</v>
      </c>
      <c r="W342" s="13" t="str">
        <f t="shared" si="35"/>
        <v>-</v>
      </c>
    </row>
    <row r="343" spans="1:23" x14ac:dyDescent="0.3">
      <c r="A343" s="84">
        <v>100009304</v>
      </c>
      <c r="B343" s="85">
        <v>1189</v>
      </c>
      <c r="C343" s="100">
        <v>33984011892</v>
      </c>
      <c r="D343" s="86" t="s">
        <v>146</v>
      </c>
      <c r="E343" s="86" t="s">
        <v>528</v>
      </c>
      <c r="F343" s="73">
        <v>180</v>
      </c>
      <c r="G343" s="73" t="s">
        <v>305</v>
      </c>
      <c r="H343" s="73">
        <v>16</v>
      </c>
      <c r="I343" s="105" t="s">
        <v>850</v>
      </c>
      <c r="J343" s="74">
        <v>0.6087833294908751</v>
      </c>
      <c r="K343" s="2">
        <v>39.06</v>
      </c>
      <c r="L343" s="2">
        <v>36.889999999999993</v>
      </c>
      <c r="M343" s="75"/>
      <c r="N343" s="2">
        <f t="shared" si="40"/>
        <v>0</v>
      </c>
      <c r="O343" s="106">
        <f t="shared" si="41"/>
        <v>0</v>
      </c>
      <c r="Q343" s="76"/>
      <c r="R343" s="11" t="str">
        <f t="shared" si="36"/>
        <v>-</v>
      </c>
      <c r="S343" s="30" t="str">
        <f t="shared" si="37"/>
        <v>-</v>
      </c>
      <c r="T343" s="12" t="str">
        <f t="shared" si="38"/>
        <v>-</v>
      </c>
      <c r="U343" s="13" t="str">
        <f t="shared" si="39"/>
        <v>-</v>
      </c>
      <c r="W343" s="13" t="str">
        <f t="shared" si="35"/>
        <v>-</v>
      </c>
    </row>
    <row r="344" spans="1:23" x14ac:dyDescent="0.3">
      <c r="A344" s="77">
        <v>100009364</v>
      </c>
      <c r="B344" s="78">
        <v>1459</v>
      </c>
      <c r="C344" s="97">
        <v>33984014596</v>
      </c>
      <c r="D344" s="79" t="s">
        <v>538</v>
      </c>
      <c r="E344" s="79" t="s">
        <v>539</v>
      </c>
      <c r="F344" s="73">
        <v>120</v>
      </c>
      <c r="G344" s="73" t="s">
        <v>305</v>
      </c>
      <c r="H344" s="73"/>
      <c r="I344" s="105" t="s">
        <v>850</v>
      </c>
      <c r="J344" s="74" t="e">
        <v>#N/A</v>
      </c>
      <c r="K344" s="2">
        <v>28.979999999999997</v>
      </c>
      <c r="L344" s="2">
        <v>27.37</v>
      </c>
      <c r="M344" s="75"/>
      <c r="N344" s="2">
        <f t="shared" si="40"/>
        <v>0</v>
      </c>
      <c r="O344" s="106">
        <f t="shared" si="41"/>
        <v>0</v>
      </c>
      <c r="Q344" s="76"/>
      <c r="R344" s="11" t="str">
        <f t="shared" si="36"/>
        <v>-</v>
      </c>
      <c r="S344" s="30" t="str">
        <f t="shared" si="37"/>
        <v>-</v>
      </c>
      <c r="T344" s="12" t="str">
        <f t="shared" si="38"/>
        <v>-</v>
      </c>
      <c r="U344" s="13" t="str">
        <f t="shared" si="39"/>
        <v>-</v>
      </c>
      <c r="W344" s="13" t="str">
        <f t="shared" si="35"/>
        <v>-</v>
      </c>
    </row>
    <row r="345" spans="1:23" x14ac:dyDescent="0.3">
      <c r="A345" s="77">
        <v>100009687</v>
      </c>
      <c r="B345" s="78">
        <v>4110</v>
      </c>
      <c r="C345" s="97">
        <v>33984041103</v>
      </c>
      <c r="D345" s="79" t="s">
        <v>543</v>
      </c>
      <c r="E345" s="79" t="s">
        <v>544</v>
      </c>
      <c r="F345" s="73">
        <v>60</v>
      </c>
      <c r="G345" s="73" t="s">
        <v>300</v>
      </c>
      <c r="H345" s="73"/>
      <c r="I345" s="105" t="s">
        <v>850</v>
      </c>
      <c r="J345" s="74" t="e">
        <v>#N/A</v>
      </c>
      <c r="K345" s="2">
        <v>10.709999999999999</v>
      </c>
      <c r="L345" s="2">
        <v>10.114999999999998</v>
      </c>
      <c r="M345" s="75"/>
      <c r="N345" s="2">
        <f t="shared" si="40"/>
        <v>0</v>
      </c>
      <c r="O345" s="106">
        <f t="shared" si="41"/>
        <v>0</v>
      </c>
      <c r="Q345" s="76"/>
      <c r="R345" s="11" t="str">
        <f t="shared" si="36"/>
        <v>-</v>
      </c>
      <c r="S345" s="30" t="str">
        <f t="shared" si="37"/>
        <v>-</v>
      </c>
      <c r="T345" s="12" t="str">
        <f t="shared" si="38"/>
        <v>-</v>
      </c>
      <c r="U345" s="13" t="str">
        <f t="shared" si="39"/>
        <v>-</v>
      </c>
      <c r="W345" s="13" t="str">
        <f t="shared" si="35"/>
        <v>-</v>
      </c>
    </row>
    <row r="346" spans="1:23" x14ac:dyDescent="0.3">
      <c r="A346" s="77">
        <v>100009668</v>
      </c>
      <c r="B346" s="78">
        <v>3870</v>
      </c>
      <c r="C346" s="97">
        <v>33984038707</v>
      </c>
      <c r="D346" s="79" t="s">
        <v>553</v>
      </c>
      <c r="E346" s="79" t="s">
        <v>554</v>
      </c>
      <c r="F346" s="73">
        <v>100</v>
      </c>
      <c r="G346" s="73" t="s">
        <v>300</v>
      </c>
      <c r="H346" s="73"/>
      <c r="I346" s="105" t="s">
        <v>850</v>
      </c>
      <c r="J346" s="74" t="e">
        <v>#N/A</v>
      </c>
      <c r="K346" s="2">
        <v>11.339999999999998</v>
      </c>
      <c r="L346" s="2">
        <v>10.709999999999999</v>
      </c>
      <c r="M346" s="75"/>
      <c r="N346" s="2">
        <f t="shared" si="40"/>
        <v>0</v>
      </c>
      <c r="O346" s="106">
        <f t="shared" si="41"/>
        <v>0</v>
      </c>
      <c r="Q346" s="76"/>
      <c r="R346" s="11" t="str">
        <f t="shared" si="36"/>
        <v>-</v>
      </c>
      <c r="S346" s="30" t="str">
        <f t="shared" si="37"/>
        <v>-</v>
      </c>
      <c r="T346" s="12" t="str">
        <f t="shared" si="38"/>
        <v>-</v>
      </c>
      <c r="U346" s="13" t="str">
        <f t="shared" si="39"/>
        <v>-</v>
      </c>
      <c r="W346" s="13" t="str">
        <f t="shared" si="35"/>
        <v>-</v>
      </c>
    </row>
    <row r="347" spans="1:23" x14ac:dyDescent="0.3">
      <c r="A347" s="77">
        <v>100009694</v>
      </c>
      <c r="B347" s="78">
        <v>4122</v>
      </c>
      <c r="C347" s="97">
        <v>33984041226</v>
      </c>
      <c r="D347" s="79" t="s">
        <v>555</v>
      </c>
      <c r="E347" s="79" t="s">
        <v>556</v>
      </c>
      <c r="F347" s="73">
        <v>60</v>
      </c>
      <c r="G347" s="73" t="s">
        <v>300</v>
      </c>
      <c r="H347" s="73"/>
      <c r="I347" s="105" t="s">
        <v>850</v>
      </c>
      <c r="J347" s="74" t="e">
        <v>#N/A</v>
      </c>
      <c r="K347" s="2">
        <v>12.222</v>
      </c>
      <c r="L347" s="2">
        <v>11.542999999999997</v>
      </c>
      <c r="M347" s="75"/>
      <c r="N347" s="2">
        <f t="shared" si="40"/>
        <v>0</v>
      </c>
      <c r="O347" s="106">
        <f t="shared" si="41"/>
        <v>0</v>
      </c>
      <c r="Q347" s="76"/>
      <c r="R347" s="11" t="str">
        <f t="shared" si="36"/>
        <v>-</v>
      </c>
      <c r="S347" s="30" t="str">
        <f t="shared" si="37"/>
        <v>-</v>
      </c>
      <c r="T347" s="12" t="str">
        <f t="shared" si="38"/>
        <v>-</v>
      </c>
      <c r="U347" s="13" t="str">
        <f t="shared" si="39"/>
        <v>-</v>
      </c>
      <c r="W347" s="13" t="str">
        <f t="shared" si="35"/>
        <v>-</v>
      </c>
    </row>
    <row r="348" spans="1:23" x14ac:dyDescent="0.3">
      <c r="A348" s="77">
        <v>100009704</v>
      </c>
      <c r="B348" s="78">
        <v>4139</v>
      </c>
      <c r="C348" s="97">
        <v>33984041394</v>
      </c>
      <c r="D348" s="79" t="s">
        <v>563</v>
      </c>
      <c r="E348" s="79" t="s">
        <v>564</v>
      </c>
      <c r="F348" s="73">
        <v>60</v>
      </c>
      <c r="G348" s="73" t="s">
        <v>300</v>
      </c>
      <c r="H348" s="73"/>
      <c r="I348" s="105" t="s">
        <v>850</v>
      </c>
      <c r="J348" s="74" t="e">
        <v>#N/A</v>
      </c>
      <c r="K348" s="2">
        <v>13.86</v>
      </c>
      <c r="L348" s="2">
        <v>13.089999999999998</v>
      </c>
      <c r="M348" s="75"/>
      <c r="N348" s="2">
        <f t="shared" si="40"/>
        <v>0</v>
      </c>
      <c r="O348" s="106">
        <f t="shared" si="41"/>
        <v>0</v>
      </c>
      <c r="Q348" s="76"/>
      <c r="R348" s="11" t="str">
        <f t="shared" si="36"/>
        <v>-</v>
      </c>
      <c r="S348" s="30" t="str">
        <f t="shared" si="37"/>
        <v>-</v>
      </c>
      <c r="T348" s="12" t="str">
        <f t="shared" si="38"/>
        <v>-</v>
      </c>
      <c r="U348" s="13" t="str">
        <f t="shared" si="39"/>
        <v>-</v>
      </c>
      <c r="W348" s="13" t="str">
        <f t="shared" si="35"/>
        <v>-</v>
      </c>
    </row>
    <row r="349" spans="1:23" x14ac:dyDescent="0.3">
      <c r="A349" s="77">
        <v>100185245</v>
      </c>
      <c r="B349" s="78">
        <v>30021</v>
      </c>
      <c r="C349" s="97">
        <v>33984005525</v>
      </c>
      <c r="D349" s="79" t="s">
        <v>565</v>
      </c>
      <c r="E349" s="79" t="s">
        <v>566</v>
      </c>
      <c r="F349" s="73">
        <v>60</v>
      </c>
      <c r="G349" s="73" t="s">
        <v>300</v>
      </c>
      <c r="H349" s="73"/>
      <c r="I349" s="105" t="s">
        <v>850</v>
      </c>
      <c r="J349" s="74" t="e">
        <v>#N/A</v>
      </c>
      <c r="K349" s="2">
        <v>30.24</v>
      </c>
      <c r="L349" s="2">
        <v>28.559999999999995</v>
      </c>
      <c r="M349" s="75"/>
      <c r="N349" s="2">
        <f t="shared" si="40"/>
        <v>0</v>
      </c>
      <c r="O349" s="106">
        <f t="shared" si="41"/>
        <v>0</v>
      </c>
      <c r="Q349" s="76"/>
      <c r="R349" s="11" t="str">
        <f t="shared" si="36"/>
        <v>-</v>
      </c>
      <c r="S349" s="30" t="str">
        <f t="shared" si="37"/>
        <v>-</v>
      </c>
      <c r="T349" s="12" t="str">
        <f t="shared" si="38"/>
        <v>-</v>
      </c>
      <c r="U349" s="13" t="str">
        <f t="shared" si="39"/>
        <v>-</v>
      </c>
      <c r="W349" s="13" t="str">
        <f t="shared" si="35"/>
        <v>-</v>
      </c>
    </row>
    <row r="350" spans="1:23" x14ac:dyDescent="0.3">
      <c r="A350" s="77">
        <v>100190491</v>
      </c>
      <c r="B350" s="78">
        <v>30317</v>
      </c>
      <c r="C350" s="97">
        <v>33984303171</v>
      </c>
      <c r="D350" s="79" t="s">
        <v>166</v>
      </c>
      <c r="E350" s="79" t="s">
        <v>567</v>
      </c>
      <c r="F350" s="73">
        <v>30</v>
      </c>
      <c r="G350" s="73" t="s">
        <v>300</v>
      </c>
      <c r="H350" s="73"/>
      <c r="I350" s="105" t="s">
        <v>850</v>
      </c>
      <c r="J350" s="74" t="e">
        <v>#N/A</v>
      </c>
      <c r="K350" s="2">
        <v>12.6</v>
      </c>
      <c r="L350" s="2">
        <v>11.899999999999999</v>
      </c>
      <c r="M350" s="75"/>
      <c r="N350" s="2">
        <f t="shared" si="40"/>
        <v>0</v>
      </c>
      <c r="O350" s="106">
        <f t="shared" si="41"/>
        <v>0</v>
      </c>
      <c r="Q350" s="76"/>
      <c r="R350" s="11" t="str">
        <f t="shared" si="36"/>
        <v>-</v>
      </c>
      <c r="S350" s="30" t="str">
        <f t="shared" si="37"/>
        <v>-</v>
      </c>
      <c r="T350" s="12" t="str">
        <f t="shared" si="38"/>
        <v>-</v>
      </c>
      <c r="U350" s="13" t="str">
        <f t="shared" si="39"/>
        <v>-</v>
      </c>
      <c r="W350" s="13" t="str">
        <f t="shared" si="35"/>
        <v>-</v>
      </c>
    </row>
    <row r="351" spans="1:23" x14ac:dyDescent="0.3">
      <c r="A351" s="70">
        <v>100185293</v>
      </c>
      <c r="B351" s="71">
        <v>30023</v>
      </c>
      <c r="C351" s="96">
        <v>33984005532</v>
      </c>
      <c r="D351" s="72" t="s">
        <v>167</v>
      </c>
      <c r="E351" s="72" t="s">
        <v>569</v>
      </c>
      <c r="F351" s="73">
        <v>30</v>
      </c>
      <c r="G351" s="73" t="s">
        <v>305</v>
      </c>
      <c r="H351" s="73">
        <v>36</v>
      </c>
      <c r="I351" s="105" t="s">
        <v>850</v>
      </c>
      <c r="J351" s="74">
        <v>0.12312953880470834</v>
      </c>
      <c r="K351" s="2">
        <v>20.16</v>
      </c>
      <c r="L351" s="2">
        <v>19.04</v>
      </c>
      <c r="M351" s="75"/>
      <c r="N351" s="2">
        <f t="shared" si="40"/>
        <v>0</v>
      </c>
      <c r="O351" s="106">
        <f t="shared" si="41"/>
        <v>0</v>
      </c>
      <c r="Q351" s="76"/>
      <c r="R351" s="11" t="str">
        <f t="shared" si="36"/>
        <v>-</v>
      </c>
      <c r="S351" s="30" t="str">
        <f t="shared" si="37"/>
        <v>-</v>
      </c>
      <c r="T351" s="12" t="str">
        <f t="shared" si="38"/>
        <v>-</v>
      </c>
      <c r="U351" s="13" t="str">
        <f t="shared" si="39"/>
        <v>-</v>
      </c>
      <c r="W351" s="13" t="str">
        <f t="shared" si="35"/>
        <v>-</v>
      </c>
    </row>
    <row r="352" spans="1:23" x14ac:dyDescent="0.3">
      <c r="A352" s="70">
        <v>100009124</v>
      </c>
      <c r="B352" s="71">
        <v>315</v>
      </c>
      <c r="C352" s="96">
        <v>33984003156</v>
      </c>
      <c r="D352" s="72" t="s">
        <v>172</v>
      </c>
      <c r="E352" s="72" t="s">
        <v>576</v>
      </c>
      <c r="F352" s="73">
        <v>60</v>
      </c>
      <c r="G352" s="73" t="s">
        <v>300</v>
      </c>
      <c r="H352" s="73">
        <v>36</v>
      </c>
      <c r="I352" s="105" t="s">
        <v>850</v>
      </c>
      <c r="J352" s="74">
        <v>0.18139083277571671</v>
      </c>
      <c r="K352" s="2">
        <v>11.339999999999998</v>
      </c>
      <c r="L352" s="2">
        <v>10.709999999999999</v>
      </c>
      <c r="M352" s="75"/>
      <c r="N352" s="2">
        <f t="shared" si="40"/>
        <v>0</v>
      </c>
      <c r="O352" s="106">
        <f t="shared" si="41"/>
        <v>0</v>
      </c>
      <c r="Q352" s="76"/>
      <c r="R352" s="11" t="str">
        <f t="shared" si="36"/>
        <v>-</v>
      </c>
      <c r="S352" s="30" t="str">
        <f t="shared" si="37"/>
        <v>-</v>
      </c>
      <c r="T352" s="12" t="str">
        <f t="shared" si="38"/>
        <v>-</v>
      </c>
      <c r="U352" s="13" t="str">
        <f t="shared" si="39"/>
        <v>-</v>
      </c>
      <c r="W352" s="13" t="str">
        <f t="shared" si="35"/>
        <v>-</v>
      </c>
    </row>
    <row r="353" spans="1:23" x14ac:dyDescent="0.3">
      <c r="A353" s="70">
        <v>100009125</v>
      </c>
      <c r="B353" s="71">
        <v>316</v>
      </c>
      <c r="C353" s="96">
        <v>33984003163</v>
      </c>
      <c r="D353" s="72" t="s">
        <v>173</v>
      </c>
      <c r="E353" s="72" t="s">
        <v>577</v>
      </c>
      <c r="F353" s="73">
        <v>60</v>
      </c>
      <c r="G353" s="73" t="s">
        <v>300</v>
      </c>
      <c r="H353" s="73">
        <v>36</v>
      </c>
      <c r="I353" s="105" t="s">
        <v>850</v>
      </c>
      <c r="J353" s="74">
        <v>0.20129748992045002</v>
      </c>
      <c r="K353" s="2">
        <v>16.38</v>
      </c>
      <c r="L353" s="2">
        <v>15.469999999999997</v>
      </c>
      <c r="M353" s="75"/>
      <c r="N353" s="2">
        <f t="shared" si="40"/>
        <v>0</v>
      </c>
      <c r="O353" s="106">
        <f t="shared" si="41"/>
        <v>0</v>
      </c>
      <c r="Q353" s="76"/>
      <c r="R353" s="11" t="str">
        <f t="shared" si="36"/>
        <v>-</v>
      </c>
      <c r="S353" s="30" t="str">
        <f t="shared" si="37"/>
        <v>-</v>
      </c>
      <c r="T353" s="12" t="str">
        <f t="shared" si="38"/>
        <v>-</v>
      </c>
      <c r="U353" s="13" t="str">
        <f t="shared" si="39"/>
        <v>-</v>
      </c>
      <c r="W353" s="13" t="str">
        <f t="shared" si="35"/>
        <v>-</v>
      </c>
    </row>
    <row r="354" spans="1:23" x14ac:dyDescent="0.3">
      <c r="A354" s="77">
        <v>100009255</v>
      </c>
      <c r="B354" s="78">
        <v>1042</v>
      </c>
      <c r="C354" s="97">
        <v>33984010420</v>
      </c>
      <c r="D354" s="79" t="s">
        <v>190</v>
      </c>
      <c r="E354" s="79" t="s">
        <v>603</v>
      </c>
      <c r="F354" s="73">
        <v>90</v>
      </c>
      <c r="G354" s="73" t="s">
        <v>330</v>
      </c>
      <c r="H354" s="73"/>
      <c r="I354" s="105" t="s">
        <v>850</v>
      </c>
      <c r="J354" s="74" t="e">
        <v>#N/A</v>
      </c>
      <c r="K354" s="2">
        <v>6.93</v>
      </c>
      <c r="L354" s="2">
        <v>6.544999999999999</v>
      </c>
      <c r="M354" s="75"/>
      <c r="N354" s="2">
        <f t="shared" si="40"/>
        <v>0</v>
      </c>
      <c r="O354" s="106">
        <f t="shared" si="41"/>
        <v>0</v>
      </c>
      <c r="Q354" s="76"/>
      <c r="R354" s="11" t="str">
        <f t="shared" si="36"/>
        <v>-</v>
      </c>
      <c r="S354" s="30" t="str">
        <f t="shared" si="37"/>
        <v>-</v>
      </c>
      <c r="T354" s="12" t="str">
        <f t="shared" si="38"/>
        <v>-</v>
      </c>
      <c r="U354" s="13" t="str">
        <f t="shared" si="39"/>
        <v>-</v>
      </c>
      <c r="W354" s="13" t="str">
        <f t="shared" si="35"/>
        <v>-</v>
      </c>
    </row>
    <row r="355" spans="1:23" x14ac:dyDescent="0.3">
      <c r="A355" s="77">
        <v>100009280</v>
      </c>
      <c r="B355" s="78">
        <v>1132</v>
      </c>
      <c r="C355" s="97">
        <v>33984011328</v>
      </c>
      <c r="D355" s="79" t="s">
        <v>606</v>
      </c>
      <c r="E355" s="79" t="s">
        <v>607</v>
      </c>
      <c r="F355" s="73" t="s">
        <v>274</v>
      </c>
      <c r="G355" s="73" t="s">
        <v>307</v>
      </c>
      <c r="H355" s="73"/>
      <c r="I355" s="105" t="s">
        <v>850</v>
      </c>
      <c r="J355" s="74" t="e">
        <v>#N/A</v>
      </c>
      <c r="K355" s="2">
        <v>11.718</v>
      </c>
      <c r="L355" s="2">
        <v>11.067</v>
      </c>
      <c r="M355" s="75"/>
      <c r="N355" s="2">
        <f t="shared" si="40"/>
        <v>0</v>
      </c>
      <c r="O355" s="106">
        <f t="shared" si="41"/>
        <v>0</v>
      </c>
      <c r="Q355" s="76"/>
      <c r="R355" s="11" t="str">
        <f t="shared" si="36"/>
        <v>-</v>
      </c>
      <c r="S355" s="30" t="str">
        <f t="shared" si="37"/>
        <v>-</v>
      </c>
      <c r="T355" s="12" t="str">
        <f t="shared" si="38"/>
        <v>-</v>
      </c>
      <c r="U355" s="13" t="str">
        <f t="shared" si="39"/>
        <v>-</v>
      </c>
      <c r="W355" s="13" t="str">
        <f t="shared" si="35"/>
        <v>-</v>
      </c>
    </row>
    <row r="356" spans="1:23" x14ac:dyDescent="0.3">
      <c r="A356" s="77">
        <v>100194422</v>
      </c>
      <c r="B356" s="78">
        <v>30392</v>
      </c>
      <c r="C356" s="97">
        <v>33984303928</v>
      </c>
      <c r="D356" s="79" t="s">
        <v>192</v>
      </c>
      <c r="E356" s="79" t="s">
        <v>609</v>
      </c>
      <c r="F356" s="73">
        <v>170</v>
      </c>
      <c r="G356" s="73" t="s">
        <v>330</v>
      </c>
      <c r="H356" s="73"/>
      <c r="I356" s="105" t="s">
        <v>850</v>
      </c>
      <c r="J356" s="74" t="e">
        <v>#N/A</v>
      </c>
      <c r="K356" s="2">
        <v>16.190999999999999</v>
      </c>
      <c r="L356" s="2">
        <v>15.291499999999997</v>
      </c>
      <c r="M356" s="75"/>
      <c r="N356" s="2">
        <f t="shared" si="40"/>
        <v>0</v>
      </c>
      <c r="O356" s="106">
        <f t="shared" si="41"/>
        <v>0</v>
      </c>
      <c r="Q356" s="76"/>
      <c r="R356" s="11" t="str">
        <f t="shared" si="36"/>
        <v>-</v>
      </c>
      <c r="S356" s="30" t="str">
        <f t="shared" si="37"/>
        <v>-</v>
      </c>
      <c r="T356" s="12" t="str">
        <f t="shared" si="38"/>
        <v>-</v>
      </c>
      <c r="U356" s="13" t="str">
        <f t="shared" si="39"/>
        <v>-</v>
      </c>
      <c r="W356" s="13" t="str">
        <f t="shared" si="35"/>
        <v>-</v>
      </c>
    </row>
    <row r="357" spans="1:23" x14ac:dyDescent="0.3">
      <c r="A357" s="77">
        <v>100184848</v>
      </c>
      <c r="B357" s="78">
        <v>30017</v>
      </c>
      <c r="C357" s="97">
        <v>33984005495</v>
      </c>
      <c r="D357" s="79" t="s">
        <v>611</v>
      </c>
      <c r="E357" s="79" t="s">
        <v>612</v>
      </c>
      <c r="F357" s="73">
        <v>100</v>
      </c>
      <c r="G357" s="73" t="s">
        <v>330</v>
      </c>
      <c r="H357" s="73"/>
      <c r="I357" s="105" t="s">
        <v>850</v>
      </c>
      <c r="J357" s="74" t="e">
        <v>#N/A</v>
      </c>
      <c r="K357" s="2">
        <v>33.39</v>
      </c>
      <c r="L357" s="2">
        <v>31.534999999999997</v>
      </c>
      <c r="M357" s="75"/>
      <c r="N357" s="2">
        <f t="shared" si="40"/>
        <v>0</v>
      </c>
      <c r="O357" s="106">
        <f t="shared" si="41"/>
        <v>0</v>
      </c>
      <c r="Q357" s="76"/>
      <c r="R357" s="11" t="str">
        <f t="shared" si="36"/>
        <v>-</v>
      </c>
      <c r="S357" s="30" t="str">
        <f t="shared" si="37"/>
        <v>-</v>
      </c>
      <c r="T357" s="12" t="str">
        <f t="shared" si="38"/>
        <v>-</v>
      </c>
      <c r="U357" s="13" t="str">
        <f t="shared" si="39"/>
        <v>-</v>
      </c>
      <c r="W357" s="13" t="str">
        <f t="shared" si="35"/>
        <v>-</v>
      </c>
    </row>
    <row r="358" spans="1:23" x14ac:dyDescent="0.3">
      <c r="A358" s="77"/>
      <c r="B358" s="78"/>
      <c r="C358" s="97">
        <v>33984664012</v>
      </c>
      <c r="D358" s="79" t="s">
        <v>621</v>
      </c>
      <c r="E358" s="79"/>
      <c r="F358" s="73" t="s">
        <v>273</v>
      </c>
      <c r="G358" s="73" t="s">
        <v>307</v>
      </c>
      <c r="H358" s="73"/>
      <c r="I358" s="105" t="s">
        <v>850</v>
      </c>
      <c r="J358" s="74" t="e">
        <v>#N/A</v>
      </c>
      <c r="K358" s="2">
        <v>0</v>
      </c>
      <c r="L358" s="2">
        <v>0</v>
      </c>
      <c r="M358" s="75"/>
      <c r="N358" s="2">
        <f t="shared" si="40"/>
        <v>0</v>
      </c>
      <c r="O358" s="106">
        <f t="shared" si="41"/>
        <v>0</v>
      </c>
      <c r="Q358" s="76"/>
      <c r="R358" s="11" t="str">
        <f t="shared" si="36"/>
        <v>-</v>
      </c>
      <c r="S358" s="30" t="str">
        <f t="shared" si="37"/>
        <v>-</v>
      </c>
      <c r="T358" s="12" t="str">
        <f t="shared" si="38"/>
        <v>-</v>
      </c>
      <c r="U358" s="13" t="str">
        <f t="shared" si="39"/>
        <v>-</v>
      </c>
      <c r="W358" s="13" t="str">
        <f t="shared" si="35"/>
        <v>-</v>
      </c>
    </row>
    <row r="359" spans="1:23" x14ac:dyDescent="0.3">
      <c r="A359" s="77">
        <v>100194415</v>
      </c>
      <c r="B359" s="78">
        <v>30388</v>
      </c>
      <c r="C359" s="97">
        <v>33984303881</v>
      </c>
      <c r="D359" s="79" t="s">
        <v>199</v>
      </c>
      <c r="E359" s="79" t="s">
        <v>624</v>
      </c>
      <c r="F359" s="73">
        <v>270</v>
      </c>
      <c r="G359" s="73" t="s">
        <v>305</v>
      </c>
      <c r="H359" s="73"/>
      <c r="I359" s="105" t="s">
        <v>850</v>
      </c>
      <c r="J359" s="74" t="e">
        <v>#N/A</v>
      </c>
      <c r="K359" s="2">
        <v>58.589999999999996</v>
      </c>
      <c r="L359" s="2">
        <v>55.334999999999994</v>
      </c>
      <c r="M359" s="75"/>
      <c r="N359" s="2">
        <f t="shared" si="40"/>
        <v>0</v>
      </c>
      <c r="O359" s="106">
        <f t="shared" si="41"/>
        <v>0</v>
      </c>
      <c r="Q359" s="76"/>
      <c r="R359" s="11" t="str">
        <f t="shared" si="36"/>
        <v>-</v>
      </c>
      <c r="S359" s="30" t="str">
        <f t="shared" si="37"/>
        <v>-</v>
      </c>
      <c r="T359" s="12" t="str">
        <f t="shared" si="38"/>
        <v>-</v>
      </c>
      <c r="U359" s="13" t="str">
        <f t="shared" si="39"/>
        <v>-</v>
      </c>
      <c r="W359" s="13" t="str">
        <f t="shared" si="35"/>
        <v>-</v>
      </c>
    </row>
    <row r="360" spans="1:23" x14ac:dyDescent="0.3">
      <c r="A360" s="77">
        <v>100195427</v>
      </c>
      <c r="B360" s="78"/>
      <c r="C360" s="97">
        <v>33984304161</v>
      </c>
      <c r="D360" s="79" t="s">
        <v>251</v>
      </c>
      <c r="E360" s="79" t="s">
        <v>631</v>
      </c>
      <c r="F360" s="73" t="s">
        <v>632</v>
      </c>
      <c r="G360" s="73" t="s">
        <v>307</v>
      </c>
      <c r="H360" s="73"/>
      <c r="I360" s="105" t="s">
        <v>850</v>
      </c>
      <c r="J360" s="74" t="e">
        <v>#N/A</v>
      </c>
      <c r="K360" s="2">
        <v>12.6</v>
      </c>
      <c r="L360" s="2">
        <v>11.899999999999999</v>
      </c>
      <c r="M360" s="75"/>
      <c r="N360" s="2">
        <f t="shared" si="40"/>
        <v>0</v>
      </c>
      <c r="O360" s="106">
        <f t="shared" si="41"/>
        <v>0</v>
      </c>
      <c r="Q360" s="76"/>
      <c r="R360" s="11" t="str">
        <f t="shared" si="36"/>
        <v>-</v>
      </c>
      <c r="S360" s="30" t="str">
        <f t="shared" si="37"/>
        <v>-</v>
      </c>
      <c r="T360" s="12" t="str">
        <f t="shared" si="38"/>
        <v>-</v>
      </c>
      <c r="U360" s="13" t="str">
        <f t="shared" si="39"/>
        <v>-</v>
      </c>
      <c r="W360" s="13" t="str">
        <f t="shared" si="35"/>
        <v>-</v>
      </c>
    </row>
    <row r="361" spans="1:23" x14ac:dyDescent="0.3">
      <c r="A361" s="70">
        <v>100009841</v>
      </c>
      <c r="B361" s="71">
        <v>50380</v>
      </c>
      <c r="C361" s="96">
        <v>33984503809</v>
      </c>
      <c r="D361" s="72" t="s">
        <v>206</v>
      </c>
      <c r="E361" s="72" t="s">
        <v>636</v>
      </c>
      <c r="F361" s="73" t="s">
        <v>273</v>
      </c>
      <c r="G361" s="73" t="s">
        <v>307</v>
      </c>
      <c r="H361" s="73">
        <v>49</v>
      </c>
      <c r="I361" s="105" t="s">
        <v>850</v>
      </c>
      <c r="J361" s="74">
        <v>0.17146902424457144</v>
      </c>
      <c r="K361" s="2">
        <v>12.222</v>
      </c>
      <c r="L361" s="2">
        <v>11.542999999999997</v>
      </c>
      <c r="M361" s="75"/>
      <c r="N361" s="2">
        <f t="shared" si="40"/>
        <v>0</v>
      </c>
      <c r="O361" s="106">
        <f t="shared" si="41"/>
        <v>0</v>
      </c>
      <c r="Q361" s="76"/>
      <c r="R361" s="11" t="str">
        <f t="shared" si="36"/>
        <v>-</v>
      </c>
      <c r="S361" s="30" t="str">
        <f t="shared" si="37"/>
        <v>-</v>
      </c>
      <c r="T361" s="12" t="str">
        <f t="shared" si="38"/>
        <v>-</v>
      </c>
      <c r="U361" s="13" t="str">
        <f t="shared" si="39"/>
        <v>-</v>
      </c>
      <c r="W361" s="13" t="str">
        <f t="shared" si="35"/>
        <v>-</v>
      </c>
    </row>
    <row r="362" spans="1:23" x14ac:dyDescent="0.3">
      <c r="A362" s="70">
        <v>100009844</v>
      </c>
      <c r="B362" s="71">
        <v>50498</v>
      </c>
      <c r="C362" s="96">
        <v>33984504981</v>
      </c>
      <c r="D362" s="72" t="s">
        <v>210</v>
      </c>
      <c r="E362" s="72" t="s">
        <v>643</v>
      </c>
      <c r="F362" s="73">
        <v>90</v>
      </c>
      <c r="G362" s="73" t="s">
        <v>300</v>
      </c>
      <c r="H362" s="73">
        <v>25</v>
      </c>
      <c r="I362" s="105" t="s">
        <v>850</v>
      </c>
      <c r="J362" s="74">
        <v>0.24382222820032001</v>
      </c>
      <c r="K362" s="2">
        <v>45.99</v>
      </c>
      <c r="L362" s="2">
        <v>43.434999999999995</v>
      </c>
      <c r="M362" s="75"/>
      <c r="N362" s="2">
        <f t="shared" si="40"/>
        <v>0</v>
      </c>
      <c r="O362" s="106">
        <f t="shared" si="41"/>
        <v>0</v>
      </c>
      <c r="Q362" s="76"/>
      <c r="R362" s="11" t="str">
        <f t="shared" si="36"/>
        <v>-</v>
      </c>
      <c r="S362" s="30" t="str">
        <f t="shared" si="37"/>
        <v>-</v>
      </c>
      <c r="T362" s="12" t="str">
        <f t="shared" si="38"/>
        <v>-</v>
      </c>
      <c r="U362" s="13" t="str">
        <f t="shared" si="39"/>
        <v>-</v>
      </c>
      <c r="W362" s="13" t="str">
        <f t="shared" si="35"/>
        <v>-</v>
      </c>
    </row>
    <row r="363" spans="1:23" x14ac:dyDescent="0.3">
      <c r="A363" s="70">
        <v>100200004</v>
      </c>
      <c r="B363" s="71"/>
      <c r="C363" s="96">
        <v>810122620006</v>
      </c>
      <c r="D363" s="72" t="s">
        <v>264</v>
      </c>
      <c r="E363" s="72"/>
      <c r="F363" s="73">
        <v>30</v>
      </c>
      <c r="G363" s="73" t="s">
        <v>520</v>
      </c>
      <c r="H363" s="73">
        <v>0</v>
      </c>
      <c r="I363" s="105" t="s">
        <v>850</v>
      </c>
      <c r="J363" s="74">
        <v>6.8643645326666669E-2</v>
      </c>
      <c r="K363" s="2">
        <v>15.737399999999999</v>
      </c>
      <c r="L363" s="2">
        <v>14.863099999999999</v>
      </c>
      <c r="M363" s="75"/>
      <c r="N363" s="2">
        <f t="shared" si="40"/>
        <v>0</v>
      </c>
      <c r="O363" s="106">
        <f t="shared" si="41"/>
        <v>0</v>
      </c>
      <c r="Q363" s="76"/>
      <c r="R363" s="11" t="str">
        <f t="shared" si="36"/>
        <v>-</v>
      </c>
      <c r="S363" s="30" t="str">
        <f t="shared" si="37"/>
        <v>-</v>
      </c>
      <c r="T363" s="12" t="str">
        <f t="shared" si="38"/>
        <v>-</v>
      </c>
      <c r="U363" s="13" t="str">
        <f t="shared" si="39"/>
        <v>-</v>
      </c>
      <c r="W363" s="13" t="str">
        <f t="shared" si="35"/>
        <v>-</v>
      </c>
    </row>
    <row r="364" spans="1:23" x14ac:dyDescent="0.3">
      <c r="A364" s="70">
        <v>100200005</v>
      </c>
      <c r="B364" s="71"/>
      <c r="C364" s="96">
        <v>810122620013</v>
      </c>
      <c r="D364" s="72" t="s">
        <v>265</v>
      </c>
      <c r="E364" s="72"/>
      <c r="F364" s="73">
        <v>30</v>
      </c>
      <c r="G364" s="73" t="s">
        <v>520</v>
      </c>
      <c r="H364" s="73">
        <v>0</v>
      </c>
      <c r="I364" s="105" t="s">
        <v>850</v>
      </c>
      <c r="J364" s="74" t="e">
        <v>#N/A</v>
      </c>
      <c r="K364" s="2">
        <v>17.627400000000002</v>
      </c>
      <c r="L364" s="2">
        <v>16.648099999999999</v>
      </c>
      <c r="M364" s="75"/>
      <c r="N364" s="2">
        <f t="shared" si="40"/>
        <v>0</v>
      </c>
      <c r="O364" s="106">
        <f t="shared" si="41"/>
        <v>0</v>
      </c>
      <c r="Q364" s="76"/>
      <c r="R364" s="11" t="str">
        <f t="shared" si="36"/>
        <v>-</v>
      </c>
      <c r="S364" s="30" t="str">
        <f t="shared" si="37"/>
        <v>-</v>
      </c>
      <c r="T364" s="12" t="str">
        <f t="shared" si="38"/>
        <v>-</v>
      </c>
      <c r="U364" s="13" t="str">
        <f t="shared" si="39"/>
        <v>-</v>
      </c>
      <c r="W364" s="13" t="str">
        <f t="shared" si="35"/>
        <v>-</v>
      </c>
    </row>
    <row r="365" spans="1:23" x14ac:dyDescent="0.3">
      <c r="A365" s="70">
        <v>100200006</v>
      </c>
      <c r="B365" s="71"/>
      <c r="C365" s="96">
        <v>810122620020</v>
      </c>
      <c r="D365" s="72" t="s">
        <v>213</v>
      </c>
      <c r="E365" s="72"/>
      <c r="F365" s="73">
        <v>30</v>
      </c>
      <c r="G365" s="73" t="s">
        <v>520</v>
      </c>
      <c r="H365" s="73">
        <v>0</v>
      </c>
      <c r="I365" s="105" t="s">
        <v>850</v>
      </c>
      <c r="J365" s="74">
        <v>6.8643645326666669E-2</v>
      </c>
      <c r="K365" s="2">
        <v>15.737399999999999</v>
      </c>
      <c r="L365" s="2">
        <v>14.863099999999999</v>
      </c>
      <c r="M365" s="75"/>
      <c r="N365" s="2">
        <f t="shared" si="40"/>
        <v>0</v>
      </c>
      <c r="O365" s="106">
        <f t="shared" si="41"/>
        <v>0</v>
      </c>
      <c r="Q365" s="76"/>
      <c r="R365" s="11" t="str">
        <f t="shared" si="36"/>
        <v>-</v>
      </c>
      <c r="S365" s="30" t="str">
        <f t="shared" si="37"/>
        <v>-</v>
      </c>
      <c r="T365" s="12" t="str">
        <f t="shared" si="38"/>
        <v>-</v>
      </c>
      <c r="U365" s="13" t="str">
        <f t="shared" si="39"/>
        <v>-</v>
      </c>
      <c r="W365" s="13" t="str">
        <f t="shared" si="35"/>
        <v>-</v>
      </c>
    </row>
    <row r="366" spans="1:23" x14ac:dyDescent="0.3">
      <c r="A366" s="70">
        <v>100200007</v>
      </c>
      <c r="B366" s="71"/>
      <c r="C366" s="96">
        <v>810122620037</v>
      </c>
      <c r="D366" s="72" t="s">
        <v>266</v>
      </c>
      <c r="E366" s="72"/>
      <c r="F366" s="73">
        <v>30</v>
      </c>
      <c r="G366" s="73" t="s">
        <v>520</v>
      </c>
      <c r="H366" s="73">
        <v>0</v>
      </c>
      <c r="I366" s="105" t="s">
        <v>850</v>
      </c>
      <c r="J366" s="74" t="e">
        <v>#N/A</v>
      </c>
      <c r="K366" s="2">
        <v>15.737399999999999</v>
      </c>
      <c r="L366" s="2">
        <v>14.863099999999999</v>
      </c>
      <c r="M366" s="75"/>
      <c r="N366" s="2">
        <f t="shared" si="40"/>
        <v>0</v>
      </c>
      <c r="O366" s="106">
        <f t="shared" si="41"/>
        <v>0</v>
      </c>
      <c r="Q366" s="76"/>
      <c r="R366" s="11" t="str">
        <f t="shared" si="36"/>
        <v>-</v>
      </c>
      <c r="S366" s="30" t="str">
        <f t="shared" si="37"/>
        <v>-</v>
      </c>
      <c r="T366" s="12" t="str">
        <f t="shared" si="38"/>
        <v>-</v>
      </c>
      <c r="U366" s="13" t="str">
        <f t="shared" si="39"/>
        <v>-</v>
      </c>
      <c r="W366" s="13" t="str">
        <f t="shared" si="35"/>
        <v>-</v>
      </c>
    </row>
    <row r="367" spans="1:23" x14ac:dyDescent="0.3">
      <c r="A367" s="70">
        <v>100200008</v>
      </c>
      <c r="B367" s="71"/>
      <c r="C367" s="96">
        <v>810122620044</v>
      </c>
      <c r="D367" s="72" t="s">
        <v>267</v>
      </c>
      <c r="E367" s="72"/>
      <c r="F367" s="73">
        <v>30</v>
      </c>
      <c r="G367" s="73" t="s">
        <v>520</v>
      </c>
      <c r="H367" s="73">
        <v>0</v>
      </c>
      <c r="I367" s="105" t="s">
        <v>850</v>
      </c>
      <c r="J367" s="74">
        <v>6.8643645326666669E-2</v>
      </c>
      <c r="K367" s="2">
        <v>15.737399999999999</v>
      </c>
      <c r="L367" s="2">
        <v>14.863099999999999</v>
      </c>
      <c r="M367" s="75"/>
      <c r="N367" s="2">
        <f t="shared" si="40"/>
        <v>0</v>
      </c>
      <c r="O367" s="106">
        <f t="shared" si="41"/>
        <v>0</v>
      </c>
      <c r="Q367" s="76"/>
      <c r="R367" s="11" t="str">
        <f t="shared" si="36"/>
        <v>-</v>
      </c>
      <c r="S367" s="30" t="str">
        <f t="shared" si="37"/>
        <v>-</v>
      </c>
      <c r="T367" s="12" t="str">
        <f t="shared" si="38"/>
        <v>-</v>
      </c>
      <c r="U367" s="13" t="str">
        <f t="shared" si="39"/>
        <v>-</v>
      </c>
      <c r="W367" s="13" t="str">
        <f t="shared" si="35"/>
        <v>-</v>
      </c>
    </row>
    <row r="368" spans="1:23" x14ac:dyDescent="0.3">
      <c r="A368" s="77">
        <v>100009068</v>
      </c>
      <c r="B368" s="78">
        <v>18</v>
      </c>
      <c r="C368" s="97">
        <v>33984000186</v>
      </c>
      <c r="D368" s="79" t="s">
        <v>646</v>
      </c>
      <c r="E368" s="79" t="s">
        <v>647</v>
      </c>
      <c r="F368" s="73">
        <v>100</v>
      </c>
      <c r="G368" s="73" t="s">
        <v>300</v>
      </c>
      <c r="H368" s="73"/>
      <c r="I368" s="105" t="s">
        <v>850</v>
      </c>
      <c r="J368" s="74" t="e">
        <v>#N/A</v>
      </c>
      <c r="K368" s="2">
        <v>11.339999999999998</v>
      </c>
      <c r="L368" s="2">
        <v>10.709999999999999</v>
      </c>
      <c r="M368" s="75"/>
      <c r="N368" s="2">
        <f t="shared" si="40"/>
        <v>0</v>
      </c>
      <c r="O368" s="106">
        <f t="shared" si="41"/>
        <v>0</v>
      </c>
      <c r="Q368" s="76"/>
      <c r="R368" s="11" t="str">
        <f t="shared" si="36"/>
        <v>-</v>
      </c>
      <c r="S368" s="30" t="str">
        <f t="shared" si="37"/>
        <v>-</v>
      </c>
      <c r="T368" s="12" t="str">
        <f t="shared" si="38"/>
        <v>-</v>
      </c>
      <c r="U368" s="13" t="str">
        <f t="shared" si="39"/>
        <v>-</v>
      </c>
      <c r="W368" s="13" t="str">
        <f t="shared" si="35"/>
        <v>-</v>
      </c>
    </row>
    <row r="369" spans="1:23" x14ac:dyDescent="0.3">
      <c r="A369" s="77">
        <v>100009065</v>
      </c>
      <c r="B369" s="78">
        <v>14</v>
      </c>
      <c r="C369" s="97">
        <v>33984000148</v>
      </c>
      <c r="D369" s="79" t="s">
        <v>648</v>
      </c>
      <c r="E369" s="79" t="s">
        <v>649</v>
      </c>
      <c r="F369" s="73">
        <v>60</v>
      </c>
      <c r="G369" s="73" t="s">
        <v>300</v>
      </c>
      <c r="H369" s="73"/>
      <c r="I369" s="105" t="s">
        <v>850</v>
      </c>
      <c r="J369" s="74" t="e">
        <v>#N/A</v>
      </c>
      <c r="K369" s="2">
        <v>7.56</v>
      </c>
      <c r="L369" s="2">
        <v>7.1399999999999988</v>
      </c>
      <c r="M369" s="75"/>
      <c r="N369" s="2">
        <f t="shared" si="40"/>
        <v>0</v>
      </c>
      <c r="O369" s="106">
        <f t="shared" si="41"/>
        <v>0</v>
      </c>
      <c r="Q369" s="76"/>
      <c r="R369" s="11" t="str">
        <f t="shared" si="36"/>
        <v>-</v>
      </c>
      <c r="S369" s="30" t="str">
        <f t="shared" si="37"/>
        <v>-</v>
      </c>
      <c r="T369" s="12" t="str">
        <f t="shared" si="38"/>
        <v>-</v>
      </c>
      <c r="U369" s="13" t="str">
        <f t="shared" si="39"/>
        <v>-</v>
      </c>
      <c r="W369" s="13" t="str">
        <f t="shared" si="35"/>
        <v>-</v>
      </c>
    </row>
    <row r="370" spans="1:23" x14ac:dyDescent="0.3">
      <c r="A370" s="77">
        <v>100009070</v>
      </c>
      <c r="B370" s="78">
        <v>25</v>
      </c>
      <c r="C370" s="97">
        <v>33984000254</v>
      </c>
      <c r="D370" s="79" t="s">
        <v>648</v>
      </c>
      <c r="E370" s="79" t="s">
        <v>650</v>
      </c>
      <c r="F370" s="73">
        <v>120</v>
      </c>
      <c r="G370" s="73" t="s">
        <v>300</v>
      </c>
      <c r="H370" s="73"/>
      <c r="I370" s="105" t="s">
        <v>850</v>
      </c>
      <c r="J370" s="74" t="e">
        <v>#N/A</v>
      </c>
      <c r="K370" s="2">
        <v>12.914999999999999</v>
      </c>
      <c r="L370" s="2">
        <v>12.1975</v>
      </c>
      <c r="M370" s="75"/>
      <c r="N370" s="2">
        <f t="shared" si="40"/>
        <v>0</v>
      </c>
      <c r="O370" s="106">
        <f t="shared" si="41"/>
        <v>0</v>
      </c>
      <c r="Q370" s="76"/>
      <c r="R370" s="11" t="str">
        <f t="shared" si="36"/>
        <v>-</v>
      </c>
      <c r="S370" s="30" t="str">
        <f t="shared" si="37"/>
        <v>-</v>
      </c>
      <c r="T370" s="12" t="str">
        <f t="shared" si="38"/>
        <v>-</v>
      </c>
      <c r="U370" s="13" t="str">
        <f t="shared" si="39"/>
        <v>-</v>
      </c>
      <c r="W370" s="13" t="str">
        <f t="shared" si="35"/>
        <v>-</v>
      </c>
    </row>
    <row r="371" spans="1:23" x14ac:dyDescent="0.3">
      <c r="A371" s="77">
        <v>100009072</v>
      </c>
      <c r="B371" s="78">
        <v>27</v>
      </c>
      <c r="C371" s="97">
        <v>33984000278</v>
      </c>
      <c r="D371" s="79" t="s">
        <v>651</v>
      </c>
      <c r="E371" s="79" t="s">
        <v>652</v>
      </c>
      <c r="F371" s="73">
        <v>60</v>
      </c>
      <c r="G371" s="73" t="s">
        <v>300</v>
      </c>
      <c r="H371" s="73"/>
      <c r="I371" s="105" t="s">
        <v>850</v>
      </c>
      <c r="J371" s="74" t="e">
        <v>#N/A</v>
      </c>
      <c r="K371" s="2">
        <v>9.9540000000000006</v>
      </c>
      <c r="L371" s="2">
        <v>9.4009999999999998</v>
      </c>
      <c r="M371" s="75"/>
      <c r="N371" s="2">
        <f t="shared" si="40"/>
        <v>0</v>
      </c>
      <c r="O371" s="106">
        <f t="shared" si="41"/>
        <v>0</v>
      </c>
      <c r="Q371" s="76"/>
      <c r="R371" s="11" t="str">
        <f t="shared" si="36"/>
        <v>-</v>
      </c>
      <c r="S371" s="30" t="str">
        <f t="shared" si="37"/>
        <v>-</v>
      </c>
      <c r="T371" s="12" t="str">
        <f t="shared" si="38"/>
        <v>-</v>
      </c>
      <c r="U371" s="13" t="str">
        <f t="shared" si="39"/>
        <v>-</v>
      </c>
      <c r="W371" s="13" t="str">
        <f t="shared" si="35"/>
        <v>-</v>
      </c>
    </row>
    <row r="372" spans="1:23" x14ac:dyDescent="0.3">
      <c r="A372" s="77">
        <v>100009074</v>
      </c>
      <c r="B372" s="78">
        <v>29</v>
      </c>
      <c r="C372" s="97">
        <v>33984000292</v>
      </c>
      <c r="D372" s="79" t="s">
        <v>651</v>
      </c>
      <c r="E372" s="79" t="s">
        <v>653</v>
      </c>
      <c r="F372" s="73">
        <v>120</v>
      </c>
      <c r="G372" s="73" t="s">
        <v>300</v>
      </c>
      <c r="H372" s="73"/>
      <c r="I372" s="105" t="s">
        <v>850</v>
      </c>
      <c r="J372" s="74" t="e">
        <v>#N/A</v>
      </c>
      <c r="K372" s="2">
        <v>18.27</v>
      </c>
      <c r="L372" s="2">
        <v>17.254999999999999</v>
      </c>
      <c r="M372" s="75"/>
      <c r="N372" s="2">
        <f t="shared" si="40"/>
        <v>0</v>
      </c>
      <c r="O372" s="106">
        <f t="shared" si="41"/>
        <v>0</v>
      </c>
      <c r="Q372" s="76"/>
      <c r="R372" s="11" t="str">
        <f t="shared" si="36"/>
        <v>-</v>
      </c>
      <c r="S372" s="30" t="str">
        <f t="shared" si="37"/>
        <v>-</v>
      </c>
      <c r="T372" s="12" t="str">
        <f t="shared" si="38"/>
        <v>-</v>
      </c>
      <c r="U372" s="13" t="str">
        <f t="shared" si="39"/>
        <v>-</v>
      </c>
      <c r="W372" s="13" t="str">
        <f t="shared" si="35"/>
        <v>-</v>
      </c>
    </row>
    <row r="373" spans="1:23" x14ac:dyDescent="0.3">
      <c r="A373" s="70">
        <v>100194432</v>
      </c>
      <c r="B373" s="71">
        <v>30395</v>
      </c>
      <c r="C373" s="96">
        <v>33984303959</v>
      </c>
      <c r="D373" s="72" t="s">
        <v>214</v>
      </c>
      <c r="E373" s="72" t="s">
        <v>656</v>
      </c>
      <c r="F373" s="73">
        <v>30</v>
      </c>
      <c r="G373" s="73" t="s">
        <v>300</v>
      </c>
      <c r="H373" s="73" t="s">
        <v>9</v>
      </c>
      <c r="I373" s="105" t="s">
        <v>850</v>
      </c>
      <c r="J373" s="74">
        <v>7.7924000000000007E-2</v>
      </c>
      <c r="K373" s="2">
        <v>26.46</v>
      </c>
      <c r="L373" s="2">
        <v>24.989999999999995</v>
      </c>
      <c r="M373" s="75"/>
      <c r="N373" s="2">
        <f t="shared" si="40"/>
        <v>0</v>
      </c>
      <c r="O373" s="106">
        <f t="shared" si="41"/>
        <v>0</v>
      </c>
      <c r="Q373" s="76"/>
      <c r="R373" s="11" t="str">
        <f t="shared" si="36"/>
        <v>-</v>
      </c>
      <c r="S373" s="30" t="str">
        <f t="shared" si="37"/>
        <v>-</v>
      </c>
      <c r="T373" s="12" t="str">
        <f t="shared" si="38"/>
        <v>-</v>
      </c>
      <c r="U373" s="13" t="str">
        <f t="shared" si="39"/>
        <v>-</v>
      </c>
      <c r="W373" s="13" t="str">
        <f t="shared" si="35"/>
        <v>-</v>
      </c>
    </row>
    <row r="374" spans="1:23" x14ac:dyDescent="0.3">
      <c r="A374" s="77">
        <v>100009110</v>
      </c>
      <c r="B374" s="78">
        <v>235</v>
      </c>
      <c r="C374" s="97">
        <v>33984002357</v>
      </c>
      <c r="D374" s="79" t="s">
        <v>661</v>
      </c>
      <c r="E374" s="79" t="s">
        <v>662</v>
      </c>
      <c r="F374" s="73">
        <v>60</v>
      </c>
      <c r="G374" s="73" t="s">
        <v>305</v>
      </c>
      <c r="H374" s="73"/>
      <c r="I374" s="105" t="s">
        <v>850</v>
      </c>
      <c r="J374" s="74" t="e">
        <v>#N/A</v>
      </c>
      <c r="K374" s="2">
        <v>9.9540000000000006</v>
      </c>
      <c r="L374" s="2">
        <v>9.4009999999999998</v>
      </c>
      <c r="M374" s="75"/>
      <c r="N374" s="2">
        <f t="shared" si="40"/>
        <v>0</v>
      </c>
      <c r="O374" s="106">
        <f t="shared" si="41"/>
        <v>0</v>
      </c>
      <c r="Q374" s="76"/>
      <c r="R374" s="11" t="str">
        <f t="shared" si="36"/>
        <v>-</v>
      </c>
      <c r="S374" s="30" t="str">
        <f t="shared" si="37"/>
        <v>-</v>
      </c>
      <c r="T374" s="12" t="str">
        <f t="shared" si="38"/>
        <v>-</v>
      </c>
      <c r="U374" s="13" t="str">
        <f t="shared" si="39"/>
        <v>-</v>
      </c>
      <c r="W374" s="13" t="str">
        <f t="shared" si="35"/>
        <v>-</v>
      </c>
    </row>
    <row r="375" spans="1:23" x14ac:dyDescent="0.3">
      <c r="A375" s="77">
        <v>100009317</v>
      </c>
      <c r="B375" s="78">
        <v>1241</v>
      </c>
      <c r="C375" s="97">
        <v>33984012417</v>
      </c>
      <c r="D375" s="79" t="s">
        <v>219</v>
      </c>
      <c r="E375" s="79" t="s">
        <v>667</v>
      </c>
      <c r="F375" s="73">
        <v>250</v>
      </c>
      <c r="G375" s="73" t="s">
        <v>434</v>
      </c>
      <c r="H375" s="73"/>
      <c r="I375" s="105" t="s">
        <v>850</v>
      </c>
      <c r="J375" s="74" t="e">
        <v>#N/A</v>
      </c>
      <c r="K375" s="2">
        <v>13.86</v>
      </c>
      <c r="L375" s="2">
        <v>13.089999999999998</v>
      </c>
      <c r="M375" s="75"/>
      <c r="N375" s="2">
        <f t="shared" si="40"/>
        <v>0</v>
      </c>
      <c r="O375" s="106">
        <f t="shared" si="41"/>
        <v>0</v>
      </c>
      <c r="Q375" s="76"/>
      <c r="R375" s="11" t="str">
        <f t="shared" si="36"/>
        <v>-</v>
      </c>
      <c r="S375" s="30" t="str">
        <f t="shared" si="37"/>
        <v>-</v>
      </c>
      <c r="T375" s="12" t="str">
        <f t="shared" si="38"/>
        <v>-</v>
      </c>
      <c r="U375" s="13" t="str">
        <f t="shared" si="39"/>
        <v>-</v>
      </c>
      <c r="W375" s="13" t="str">
        <f t="shared" si="35"/>
        <v>-</v>
      </c>
    </row>
    <row r="376" spans="1:23" x14ac:dyDescent="0.3">
      <c r="A376" s="77">
        <v>100189525</v>
      </c>
      <c r="B376" s="78">
        <v>30086</v>
      </c>
      <c r="C376" s="97">
        <v>33984007161</v>
      </c>
      <c r="D376" s="79" t="s">
        <v>675</v>
      </c>
      <c r="E376" s="79" t="s">
        <v>676</v>
      </c>
      <c r="F376" s="73">
        <v>250</v>
      </c>
      <c r="G376" s="73" t="s">
        <v>300</v>
      </c>
      <c r="H376" s="73"/>
      <c r="I376" s="105" t="s">
        <v>850</v>
      </c>
      <c r="J376" s="74" t="e">
        <v>#N/A</v>
      </c>
      <c r="K376" s="2">
        <v>24.57</v>
      </c>
      <c r="L376" s="2">
        <v>23.204999999999998</v>
      </c>
      <c r="M376" s="75"/>
      <c r="N376" s="2">
        <f t="shared" si="40"/>
        <v>0</v>
      </c>
      <c r="O376" s="106">
        <f t="shared" si="41"/>
        <v>0</v>
      </c>
      <c r="Q376" s="76"/>
      <c r="R376" s="11" t="str">
        <f t="shared" si="36"/>
        <v>-</v>
      </c>
      <c r="S376" s="30" t="str">
        <f t="shared" si="37"/>
        <v>-</v>
      </c>
      <c r="T376" s="12" t="str">
        <f t="shared" si="38"/>
        <v>-</v>
      </c>
      <c r="U376" s="13" t="str">
        <f t="shared" si="39"/>
        <v>-</v>
      </c>
      <c r="W376" s="13" t="str">
        <f t="shared" si="35"/>
        <v>-</v>
      </c>
    </row>
    <row r="377" spans="1:23" x14ac:dyDescent="0.3">
      <c r="A377" s="70">
        <v>100009984</v>
      </c>
      <c r="B377" s="71">
        <v>73631</v>
      </c>
      <c r="C377" s="96">
        <v>76630036313</v>
      </c>
      <c r="D377" s="72" t="s">
        <v>687</v>
      </c>
      <c r="E377" s="72" t="s">
        <v>688</v>
      </c>
      <c r="F377" s="73" t="s">
        <v>689</v>
      </c>
      <c r="G377" s="73" t="s">
        <v>330</v>
      </c>
      <c r="H377" s="73"/>
      <c r="I377" s="105" t="s">
        <v>850</v>
      </c>
      <c r="J377" s="74" t="e">
        <v>#N/A</v>
      </c>
      <c r="K377" s="2">
        <v>9.8154000000000003</v>
      </c>
      <c r="L377" s="2">
        <v>9.2700999999999993</v>
      </c>
      <c r="M377" s="75"/>
      <c r="N377" s="2">
        <f t="shared" si="40"/>
        <v>0</v>
      </c>
      <c r="O377" s="106">
        <f t="shared" si="41"/>
        <v>0</v>
      </c>
      <c r="Q377" s="76"/>
      <c r="R377" s="11" t="str">
        <f t="shared" si="36"/>
        <v>-</v>
      </c>
      <c r="S377" s="30" t="str">
        <f t="shared" si="37"/>
        <v>-</v>
      </c>
      <c r="T377" s="12" t="str">
        <f t="shared" si="38"/>
        <v>-</v>
      </c>
      <c r="U377" s="13" t="str">
        <f t="shared" si="39"/>
        <v>-</v>
      </c>
      <c r="W377" s="13" t="str">
        <f t="shared" si="35"/>
        <v>-</v>
      </c>
    </row>
    <row r="378" spans="1:23" x14ac:dyDescent="0.3">
      <c r="A378" s="70">
        <v>100009985</v>
      </c>
      <c r="B378" s="71">
        <v>73632</v>
      </c>
      <c r="C378" s="96">
        <v>76630036320</v>
      </c>
      <c r="D378" s="72" t="s">
        <v>687</v>
      </c>
      <c r="E378" s="72" t="s">
        <v>690</v>
      </c>
      <c r="F378" s="73" t="s">
        <v>691</v>
      </c>
      <c r="G378" s="73" t="s">
        <v>330</v>
      </c>
      <c r="H378" s="73"/>
      <c r="I378" s="105" t="s">
        <v>850</v>
      </c>
      <c r="J378" s="74" t="e">
        <v>#N/A</v>
      </c>
      <c r="K378" s="2">
        <v>15.863399999999999</v>
      </c>
      <c r="L378" s="2">
        <v>14.982099999999997</v>
      </c>
      <c r="M378" s="75"/>
      <c r="N378" s="2">
        <f t="shared" si="40"/>
        <v>0</v>
      </c>
      <c r="O378" s="106">
        <f t="shared" si="41"/>
        <v>0</v>
      </c>
      <c r="Q378" s="76"/>
      <c r="R378" s="11" t="str">
        <f t="shared" si="36"/>
        <v>-</v>
      </c>
      <c r="S378" s="30" t="str">
        <f t="shared" si="37"/>
        <v>-</v>
      </c>
      <c r="T378" s="12" t="str">
        <f t="shared" si="38"/>
        <v>-</v>
      </c>
      <c r="U378" s="13" t="str">
        <f t="shared" si="39"/>
        <v>-</v>
      </c>
      <c r="W378" s="13" t="str">
        <f t="shared" ref="W378:W435" si="42">IFERROR(IF(U378+O378=0, "-", IF(U378&gt;0, U378+O378, "-")), "-")</f>
        <v>-</v>
      </c>
    </row>
    <row r="379" spans="1:23" x14ac:dyDescent="0.3">
      <c r="A379" s="70">
        <v>100183954</v>
      </c>
      <c r="B379" s="71">
        <v>30301</v>
      </c>
      <c r="C379" s="96">
        <v>76630303019</v>
      </c>
      <c r="D379" s="72" t="s">
        <v>692</v>
      </c>
      <c r="E379" s="72" t="s">
        <v>693</v>
      </c>
      <c r="F379" s="73">
        <v>30</v>
      </c>
      <c r="G379" s="73" t="s">
        <v>305</v>
      </c>
      <c r="H379" s="73"/>
      <c r="I379" s="105" t="s">
        <v>850</v>
      </c>
      <c r="J379" s="74" t="e">
        <v>#N/A</v>
      </c>
      <c r="K379" s="2">
        <v>14.3514</v>
      </c>
      <c r="L379" s="2">
        <v>13.554099999999998</v>
      </c>
      <c r="M379" s="75"/>
      <c r="N379" s="2">
        <f t="shared" si="40"/>
        <v>0</v>
      </c>
      <c r="O379" s="106">
        <f t="shared" si="41"/>
        <v>0</v>
      </c>
      <c r="Q379" s="76"/>
      <c r="R379" s="11" t="str">
        <f t="shared" ref="R379:R436" si="43">IFERROR(IF($R$2*J379=0, "-", $R$2*J379), "-")</f>
        <v>-</v>
      </c>
      <c r="S379" s="30" t="str">
        <f t="shared" ref="S379:S441" si="44">IFERROR(IF(R379&gt;0,M379+R379,"-"),"-")</f>
        <v>-</v>
      </c>
      <c r="T379" s="12" t="str">
        <f t="shared" ref="T379:T436" si="45">IF(M379&gt;0,M379*J379, "-")</f>
        <v>-</v>
      </c>
      <c r="U379" s="13" t="str">
        <f t="shared" ref="U379:U436" si="46">IFERROR(IF($R$2&gt;0, $R$2*T379, "-"), "-")</f>
        <v>-</v>
      </c>
      <c r="W379" s="13" t="str">
        <f t="shared" si="42"/>
        <v>-</v>
      </c>
    </row>
    <row r="380" spans="1:23" x14ac:dyDescent="0.3">
      <c r="A380" s="70">
        <v>100183955</v>
      </c>
      <c r="B380" s="71">
        <v>30302</v>
      </c>
      <c r="C380" s="96">
        <v>76630303026</v>
      </c>
      <c r="D380" s="72" t="s">
        <v>694</v>
      </c>
      <c r="E380" s="72" t="s">
        <v>695</v>
      </c>
      <c r="F380" s="73">
        <v>30</v>
      </c>
      <c r="G380" s="73" t="s">
        <v>305</v>
      </c>
      <c r="H380" s="73"/>
      <c r="I380" s="105" t="s">
        <v>850</v>
      </c>
      <c r="J380" s="74" t="e">
        <v>#N/A</v>
      </c>
      <c r="K380" s="2">
        <v>14.3514</v>
      </c>
      <c r="L380" s="2">
        <v>13.554099999999998</v>
      </c>
      <c r="M380" s="75"/>
      <c r="N380" s="2">
        <f t="shared" si="40"/>
        <v>0</v>
      </c>
      <c r="O380" s="106">
        <f t="shared" si="41"/>
        <v>0</v>
      </c>
      <c r="Q380" s="76"/>
      <c r="R380" s="11" t="str">
        <f t="shared" si="43"/>
        <v>-</v>
      </c>
      <c r="S380" s="30" t="str">
        <f t="shared" si="44"/>
        <v>-</v>
      </c>
      <c r="T380" s="12" t="str">
        <f t="shared" si="45"/>
        <v>-</v>
      </c>
      <c r="U380" s="13" t="str">
        <f t="shared" si="46"/>
        <v>-</v>
      </c>
      <c r="W380" s="13" t="str">
        <f t="shared" si="42"/>
        <v>-</v>
      </c>
    </row>
    <row r="381" spans="1:23" x14ac:dyDescent="0.3">
      <c r="A381" s="70">
        <v>100009279</v>
      </c>
      <c r="B381" s="71">
        <v>1130</v>
      </c>
      <c r="C381" s="96">
        <v>76630501033</v>
      </c>
      <c r="D381" s="72" t="s">
        <v>230</v>
      </c>
      <c r="E381" s="72" t="s">
        <v>696</v>
      </c>
      <c r="F381" s="73">
        <v>100</v>
      </c>
      <c r="G381" s="73" t="s">
        <v>305</v>
      </c>
      <c r="H381" s="73"/>
      <c r="I381" s="105" t="s">
        <v>850</v>
      </c>
      <c r="J381" s="74">
        <v>9.3097943974291664E-2</v>
      </c>
      <c r="K381" s="2">
        <v>4.2210000000000001</v>
      </c>
      <c r="L381" s="2">
        <v>3.9864999999999999</v>
      </c>
      <c r="M381" s="75"/>
      <c r="N381" s="2">
        <f t="shared" si="40"/>
        <v>0</v>
      </c>
      <c r="O381" s="106">
        <f t="shared" si="41"/>
        <v>0</v>
      </c>
      <c r="Q381" s="76"/>
      <c r="R381" s="11" t="str">
        <f t="shared" si="43"/>
        <v>-</v>
      </c>
      <c r="S381" s="30" t="str">
        <f t="shared" si="44"/>
        <v>-</v>
      </c>
      <c r="T381" s="12" t="str">
        <f t="shared" si="45"/>
        <v>-</v>
      </c>
      <c r="U381" s="13" t="str">
        <f t="shared" si="46"/>
        <v>-</v>
      </c>
      <c r="W381" s="13" t="str">
        <f t="shared" si="42"/>
        <v>-</v>
      </c>
    </row>
    <row r="382" spans="1:23" x14ac:dyDescent="0.3">
      <c r="A382" s="70">
        <v>100009282</v>
      </c>
      <c r="B382" s="71">
        <v>1136</v>
      </c>
      <c r="C382" s="96">
        <v>76630501057</v>
      </c>
      <c r="D382" s="72" t="s">
        <v>230</v>
      </c>
      <c r="E382" s="72" t="s">
        <v>697</v>
      </c>
      <c r="F382" s="73">
        <v>600</v>
      </c>
      <c r="G382" s="73" t="s">
        <v>305</v>
      </c>
      <c r="H382" s="73"/>
      <c r="I382" s="105" t="s">
        <v>850</v>
      </c>
      <c r="J382" s="74">
        <v>0.45476415028916672</v>
      </c>
      <c r="K382" s="2">
        <v>14.048999999999999</v>
      </c>
      <c r="L382" s="2">
        <v>13.268500000000001</v>
      </c>
      <c r="M382" s="75"/>
      <c r="N382" s="2">
        <f t="shared" si="40"/>
        <v>0</v>
      </c>
      <c r="O382" s="106">
        <f t="shared" si="41"/>
        <v>0</v>
      </c>
      <c r="Q382" s="76"/>
      <c r="R382" s="11" t="str">
        <f t="shared" si="43"/>
        <v>-</v>
      </c>
      <c r="S382" s="30" t="str">
        <f t="shared" si="44"/>
        <v>-</v>
      </c>
      <c r="T382" s="12" t="str">
        <f t="shared" si="45"/>
        <v>-</v>
      </c>
      <c r="U382" s="13" t="str">
        <f t="shared" si="46"/>
        <v>-</v>
      </c>
      <c r="W382" s="13" t="str">
        <f t="shared" si="42"/>
        <v>-</v>
      </c>
    </row>
    <row r="383" spans="1:23" x14ac:dyDescent="0.3">
      <c r="A383" s="70">
        <v>100010000</v>
      </c>
      <c r="B383" s="71">
        <v>80990</v>
      </c>
      <c r="C383" s="96">
        <v>76630503037</v>
      </c>
      <c r="D383" s="72" t="s">
        <v>231</v>
      </c>
      <c r="E383" s="72" t="s">
        <v>698</v>
      </c>
      <c r="F383" s="73">
        <v>100</v>
      </c>
      <c r="G383" s="73" t="s">
        <v>305</v>
      </c>
      <c r="H383" s="73"/>
      <c r="I383" s="105" t="s">
        <v>850</v>
      </c>
      <c r="J383" s="74">
        <v>9.2454409799354167E-2</v>
      </c>
      <c r="K383" s="2">
        <v>4.2210000000000001</v>
      </c>
      <c r="L383" s="2">
        <v>3.9864999999999999</v>
      </c>
      <c r="M383" s="75"/>
      <c r="N383" s="2">
        <f t="shared" si="40"/>
        <v>0</v>
      </c>
      <c r="O383" s="106">
        <f t="shared" si="41"/>
        <v>0</v>
      </c>
      <c r="Q383" s="76"/>
      <c r="R383" s="11" t="str">
        <f t="shared" si="43"/>
        <v>-</v>
      </c>
      <c r="S383" s="30" t="str">
        <f t="shared" si="44"/>
        <v>-</v>
      </c>
      <c r="T383" s="12" t="str">
        <f t="shared" si="45"/>
        <v>-</v>
      </c>
      <c r="U383" s="13" t="str">
        <f t="shared" si="46"/>
        <v>-</v>
      </c>
      <c r="W383" s="13" t="str">
        <f t="shared" si="42"/>
        <v>-</v>
      </c>
    </row>
    <row r="384" spans="1:23" x14ac:dyDescent="0.3">
      <c r="A384" s="70">
        <v>100009236</v>
      </c>
      <c r="B384" s="71">
        <v>993</v>
      </c>
      <c r="C384" s="96">
        <v>76630503044</v>
      </c>
      <c r="D384" s="72" t="s">
        <v>231</v>
      </c>
      <c r="E384" s="72" t="s">
        <v>699</v>
      </c>
      <c r="F384" s="73">
        <v>250</v>
      </c>
      <c r="G384" s="73" t="s">
        <v>305</v>
      </c>
      <c r="H384" s="73"/>
      <c r="I384" s="105" t="s">
        <v>850</v>
      </c>
      <c r="J384" s="74">
        <v>0.19949559423062502</v>
      </c>
      <c r="K384" s="2">
        <v>8.0640000000000001</v>
      </c>
      <c r="L384" s="2">
        <v>7.6159999999999997</v>
      </c>
      <c r="M384" s="75"/>
      <c r="N384" s="2">
        <f t="shared" si="40"/>
        <v>0</v>
      </c>
      <c r="O384" s="106">
        <f t="shared" si="41"/>
        <v>0</v>
      </c>
      <c r="Q384" s="76"/>
      <c r="R384" s="11" t="str">
        <f t="shared" si="43"/>
        <v>-</v>
      </c>
      <c r="S384" s="30" t="str">
        <f t="shared" si="44"/>
        <v>-</v>
      </c>
      <c r="T384" s="12" t="str">
        <f t="shared" si="45"/>
        <v>-</v>
      </c>
      <c r="U384" s="13" t="str">
        <f t="shared" si="46"/>
        <v>-</v>
      </c>
      <c r="W384" s="13" t="str">
        <f t="shared" si="42"/>
        <v>-</v>
      </c>
    </row>
    <row r="385" spans="1:23" x14ac:dyDescent="0.3">
      <c r="A385" s="70">
        <v>100009237</v>
      </c>
      <c r="B385" s="71">
        <v>996</v>
      </c>
      <c r="C385" s="96">
        <v>76630503051</v>
      </c>
      <c r="D385" s="72" t="s">
        <v>231</v>
      </c>
      <c r="E385" s="72" t="s">
        <v>700</v>
      </c>
      <c r="F385" s="73">
        <v>600</v>
      </c>
      <c r="G385" s="73" t="s">
        <v>305</v>
      </c>
      <c r="H385" s="73"/>
      <c r="I385" s="105" t="s">
        <v>850</v>
      </c>
      <c r="J385" s="74">
        <v>0.4277357149417918</v>
      </c>
      <c r="K385" s="2">
        <v>14.741999999999997</v>
      </c>
      <c r="L385" s="2">
        <v>13.922999999999996</v>
      </c>
      <c r="M385" s="75"/>
      <c r="N385" s="2">
        <f t="shared" si="40"/>
        <v>0</v>
      </c>
      <c r="O385" s="106">
        <f t="shared" si="41"/>
        <v>0</v>
      </c>
      <c r="Q385" s="76"/>
      <c r="R385" s="11" t="str">
        <f t="shared" si="43"/>
        <v>-</v>
      </c>
      <c r="S385" s="30" t="str">
        <f t="shared" si="44"/>
        <v>-</v>
      </c>
      <c r="T385" s="12" t="str">
        <f t="shared" si="45"/>
        <v>-</v>
      </c>
      <c r="U385" s="13" t="str">
        <f t="shared" si="46"/>
        <v>-</v>
      </c>
      <c r="W385" s="13" t="str">
        <f t="shared" si="42"/>
        <v>-</v>
      </c>
    </row>
    <row r="386" spans="1:23" x14ac:dyDescent="0.3">
      <c r="A386" s="70">
        <v>100009231</v>
      </c>
      <c r="B386" s="71">
        <v>980</v>
      </c>
      <c r="C386" s="96">
        <v>76630502030</v>
      </c>
      <c r="D386" s="72" t="s">
        <v>232</v>
      </c>
      <c r="E386" s="72" t="s">
        <v>701</v>
      </c>
      <c r="F386" s="73">
        <v>90</v>
      </c>
      <c r="G386" s="73" t="s">
        <v>305</v>
      </c>
      <c r="H386" s="73"/>
      <c r="I386" s="105" t="s">
        <v>850</v>
      </c>
      <c r="J386" s="74">
        <v>0.1126184806140625</v>
      </c>
      <c r="K386" s="2">
        <v>5.6069999999999993</v>
      </c>
      <c r="L386" s="2">
        <v>5.2954999999999997</v>
      </c>
      <c r="M386" s="75"/>
      <c r="N386" s="2">
        <f t="shared" si="40"/>
        <v>0</v>
      </c>
      <c r="O386" s="106">
        <f t="shared" si="41"/>
        <v>0</v>
      </c>
      <c r="Q386" s="76"/>
      <c r="R386" s="11" t="str">
        <f t="shared" si="43"/>
        <v>-</v>
      </c>
      <c r="S386" s="30" t="str">
        <f t="shared" si="44"/>
        <v>-</v>
      </c>
      <c r="T386" s="12" t="str">
        <f t="shared" si="45"/>
        <v>-</v>
      </c>
      <c r="U386" s="13" t="str">
        <f t="shared" si="46"/>
        <v>-</v>
      </c>
      <c r="W386" s="13" t="str">
        <f t="shared" si="42"/>
        <v>-</v>
      </c>
    </row>
    <row r="387" spans="1:23" x14ac:dyDescent="0.3">
      <c r="A387" s="70">
        <v>100009232</v>
      </c>
      <c r="B387" s="71">
        <v>982</v>
      </c>
      <c r="C387" s="96">
        <v>76630502047</v>
      </c>
      <c r="D387" s="72" t="s">
        <v>232</v>
      </c>
      <c r="E387" s="72" t="s">
        <v>702</v>
      </c>
      <c r="F387" s="73">
        <v>180</v>
      </c>
      <c r="G387" s="73" t="s">
        <v>305</v>
      </c>
      <c r="H387" s="73"/>
      <c r="I387" s="105" t="s">
        <v>850</v>
      </c>
      <c r="J387" s="74">
        <v>0.22566598401141666</v>
      </c>
      <c r="K387" s="2">
        <v>8.8199999999999985</v>
      </c>
      <c r="L387" s="2">
        <v>8.33</v>
      </c>
      <c r="M387" s="75"/>
      <c r="N387" s="2">
        <f t="shared" ref="N387:N450" si="47">M387*K387</f>
        <v>0</v>
      </c>
      <c r="O387" s="106">
        <f t="shared" ref="O387:O450" si="48">IF(M387&gt;143,M387*L387,M387*K387)</f>
        <v>0</v>
      </c>
      <c r="Q387" s="76"/>
      <c r="R387" s="11" t="str">
        <f t="shared" si="43"/>
        <v>-</v>
      </c>
      <c r="S387" s="30" t="str">
        <f t="shared" si="44"/>
        <v>-</v>
      </c>
      <c r="T387" s="12" t="str">
        <f t="shared" si="45"/>
        <v>-</v>
      </c>
      <c r="U387" s="13" t="str">
        <f t="shared" si="46"/>
        <v>-</v>
      </c>
      <c r="W387" s="13" t="str">
        <f t="shared" si="42"/>
        <v>-</v>
      </c>
    </row>
    <row r="388" spans="1:23" x14ac:dyDescent="0.3">
      <c r="A388" s="70">
        <v>100009233</v>
      </c>
      <c r="B388" s="71">
        <v>984</v>
      </c>
      <c r="C388" s="96">
        <v>76630502054</v>
      </c>
      <c r="D388" s="72" t="s">
        <v>232</v>
      </c>
      <c r="E388" s="72" t="s">
        <v>703</v>
      </c>
      <c r="F388" s="73">
        <v>360</v>
      </c>
      <c r="G388" s="73" t="s">
        <v>305</v>
      </c>
      <c r="H388" s="73"/>
      <c r="I388" s="105" t="s">
        <v>850</v>
      </c>
      <c r="J388" s="74">
        <v>0.42044232762583339</v>
      </c>
      <c r="K388" s="2">
        <v>14.741999999999997</v>
      </c>
      <c r="L388" s="2">
        <v>13.922999999999996</v>
      </c>
      <c r="M388" s="75"/>
      <c r="N388" s="2">
        <f t="shared" si="47"/>
        <v>0</v>
      </c>
      <c r="O388" s="106">
        <f t="shared" si="48"/>
        <v>0</v>
      </c>
      <c r="Q388" s="76"/>
      <c r="R388" s="11" t="str">
        <f t="shared" si="43"/>
        <v>-</v>
      </c>
      <c r="S388" s="30" t="str">
        <f t="shared" si="44"/>
        <v>-</v>
      </c>
      <c r="T388" s="12" t="str">
        <f t="shared" si="45"/>
        <v>-</v>
      </c>
      <c r="U388" s="13" t="str">
        <f t="shared" si="46"/>
        <v>-</v>
      </c>
      <c r="W388" s="13" t="str">
        <f t="shared" si="42"/>
        <v>-</v>
      </c>
    </row>
    <row r="389" spans="1:23" x14ac:dyDescent="0.3">
      <c r="A389" s="70">
        <v>100190609</v>
      </c>
      <c r="B389" s="71">
        <v>30322</v>
      </c>
      <c r="C389" s="96">
        <v>76630303224</v>
      </c>
      <c r="D389" s="72" t="s">
        <v>233</v>
      </c>
      <c r="E389" s="72" t="s">
        <v>704</v>
      </c>
      <c r="F389" s="73">
        <v>60</v>
      </c>
      <c r="G389" s="73" t="s">
        <v>305</v>
      </c>
      <c r="H389" s="73"/>
      <c r="I389" s="105" t="s">
        <v>850</v>
      </c>
      <c r="J389" s="74">
        <v>0.16002549816779169</v>
      </c>
      <c r="K389" s="2">
        <v>7.3709999999999987</v>
      </c>
      <c r="L389" s="2">
        <v>6.9614999999999982</v>
      </c>
      <c r="M389" s="75"/>
      <c r="N389" s="2">
        <f t="shared" si="47"/>
        <v>0</v>
      </c>
      <c r="O389" s="106">
        <f t="shared" si="48"/>
        <v>0</v>
      </c>
      <c r="Q389" s="76"/>
      <c r="R389" s="11" t="str">
        <f t="shared" si="43"/>
        <v>-</v>
      </c>
      <c r="S389" s="30" t="str">
        <f t="shared" si="44"/>
        <v>-</v>
      </c>
      <c r="T389" s="12" t="str">
        <f t="shared" si="45"/>
        <v>-</v>
      </c>
      <c r="U389" s="13" t="str">
        <f t="shared" si="46"/>
        <v>-</v>
      </c>
      <c r="W389" s="13" t="str">
        <f t="shared" si="42"/>
        <v>-</v>
      </c>
    </row>
    <row r="390" spans="1:23" x14ac:dyDescent="0.3">
      <c r="A390" s="70">
        <v>100188814</v>
      </c>
      <c r="B390" s="71">
        <v>30055</v>
      </c>
      <c r="C390" s="96">
        <v>76630300551</v>
      </c>
      <c r="D390" s="72" t="s">
        <v>705</v>
      </c>
      <c r="E390" s="72" t="s">
        <v>706</v>
      </c>
      <c r="F390" s="73">
        <v>30</v>
      </c>
      <c r="G390" s="73" t="s">
        <v>305</v>
      </c>
      <c r="H390" s="73"/>
      <c r="I390" s="105" t="s">
        <v>850</v>
      </c>
      <c r="J390" s="74" t="e">
        <v>#N/A</v>
      </c>
      <c r="K390" s="2">
        <v>12.385799999999998</v>
      </c>
      <c r="L390" s="2">
        <v>11.697699999999998</v>
      </c>
      <c r="M390" s="75"/>
      <c r="N390" s="2">
        <f t="shared" si="47"/>
        <v>0</v>
      </c>
      <c r="O390" s="106">
        <f t="shared" si="48"/>
        <v>0</v>
      </c>
      <c r="Q390" s="76"/>
      <c r="R390" s="11" t="str">
        <f t="shared" si="43"/>
        <v>-</v>
      </c>
      <c r="S390" s="30" t="str">
        <f t="shared" si="44"/>
        <v>-</v>
      </c>
      <c r="T390" s="12" t="str">
        <f t="shared" si="45"/>
        <v>-</v>
      </c>
      <c r="U390" s="13" t="str">
        <f t="shared" si="46"/>
        <v>-</v>
      </c>
      <c r="W390" s="13" t="str">
        <f t="shared" si="42"/>
        <v>-</v>
      </c>
    </row>
    <row r="391" spans="1:23" x14ac:dyDescent="0.3">
      <c r="A391" s="70">
        <v>100188810</v>
      </c>
      <c r="B391" s="71">
        <v>30056</v>
      </c>
      <c r="C391" s="96">
        <v>76630300568</v>
      </c>
      <c r="D391" s="72" t="s">
        <v>707</v>
      </c>
      <c r="E391" s="72" t="s">
        <v>708</v>
      </c>
      <c r="F391" s="73">
        <v>30</v>
      </c>
      <c r="G391" s="73" t="s">
        <v>305</v>
      </c>
      <c r="H391" s="73"/>
      <c r="I391" s="105" t="s">
        <v>850</v>
      </c>
      <c r="J391" s="74" t="e">
        <v>#N/A</v>
      </c>
      <c r="K391" s="2">
        <v>12.385799999999998</v>
      </c>
      <c r="L391" s="2">
        <v>11.697699999999998</v>
      </c>
      <c r="M391" s="75"/>
      <c r="N391" s="2">
        <f t="shared" si="47"/>
        <v>0</v>
      </c>
      <c r="O391" s="106">
        <f t="shared" si="48"/>
        <v>0</v>
      </c>
      <c r="Q391" s="76"/>
      <c r="R391" s="11" t="str">
        <f t="shared" si="43"/>
        <v>-</v>
      </c>
      <c r="S391" s="30" t="str">
        <f t="shared" si="44"/>
        <v>-</v>
      </c>
      <c r="T391" s="12" t="str">
        <f t="shared" si="45"/>
        <v>-</v>
      </c>
      <c r="U391" s="13" t="str">
        <f t="shared" si="46"/>
        <v>-</v>
      </c>
      <c r="W391" s="13" t="str">
        <f t="shared" si="42"/>
        <v>-</v>
      </c>
    </row>
    <row r="392" spans="1:23" x14ac:dyDescent="0.3">
      <c r="A392" s="70">
        <v>100189463</v>
      </c>
      <c r="B392" s="71">
        <v>30080</v>
      </c>
      <c r="C392" s="96">
        <v>76630300803</v>
      </c>
      <c r="D392" s="72" t="s">
        <v>270</v>
      </c>
      <c r="E392" s="72" t="s">
        <v>709</v>
      </c>
      <c r="F392" s="73">
        <v>30</v>
      </c>
      <c r="G392" s="73" t="s">
        <v>300</v>
      </c>
      <c r="H392" s="73"/>
      <c r="I392" s="105" t="s">
        <v>850</v>
      </c>
      <c r="J392" s="74" t="e">
        <v>#N/A</v>
      </c>
      <c r="K392" s="2">
        <v>24.179400000000001</v>
      </c>
      <c r="L392" s="2">
        <v>22.836100000000002</v>
      </c>
      <c r="M392" s="75"/>
      <c r="N392" s="2">
        <f t="shared" si="47"/>
        <v>0</v>
      </c>
      <c r="O392" s="106">
        <f t="shared" si="48"/>
        <v>0</v>
      </c>
      <c r="Q392" s="76"/>
      <c r="R392" s="11" t="str">
        <f t="shared" si="43"/>
        <v>-</v>
      </c>
      <c r="S392" s="30" t="str">
        <f t="shared" si="44"/>
        <v>-</v>
      </c>
      <c r="T392" s="12" t="str">
        <f t="shared" si="45"/>
        <v>-</v>
      </c>
      <c r="U392" s="13" t="str">
        <f t="shared" si="46"/>
        <v>-</v>
      </c>
      <c r="W392" s="13" t="str">
        <f t="shared" si="42"/>
        <v>-</v>
      </c>
    </row>
    <row r="393" spans="1:23" x14ac:dyDescent="0.3">
      <c r="A393" s="70">
        <v>100189466</v>
      </c>
      <c r="B393" s="71">
        <v>30081</v>
      </c>
      <c r="C393" s="96">
        <v>76630300810</v>
      </c>
      <c r="D393" s="72" t="s">
        <v>270</v>
      </c>
      <c r="E393" s="72" t="s">
        <v>710</v>
      </c>
      <c r="F393" s="73">
        <v>60</v>
      </c>
      <c r="G393" s="73" t="s">
        <v>300</v>
      </c>
      <c r="H393" s="73"/>
      <c r="I393" s="105" t="s">
        <v>850</v>
      </c>
      <c r="J393" s="74" t="e">
        <v>#N/A</v>
      </c>
      <c r="K393" s="2">
        <v>46.103400000000001</v>
      </c>
      <c r="L393" s="2">
        <v>43.542099999999998</v>
      </c>
      <c r="M393" s="75"/>
      <c r="N393" s="2">
        <f t="shared" si="47"/>
        <v>0</v>
      </c>
      <c r="O393" s="106">
        <f t="shared" si="48"/>
        <v>0</v>
      </c>
      <c r="Q393" s="76"/>
      <c r="R393" s="11" t="str">
        <f t="shared" si="43"/>
        <v>-</v>
      </c>
      <c r="S393" s="30" t="str">
        <f t="shared" si="44"/>
        <v>-</v>
      </c>
      <c r="T393" s="12" t="str">
        <f t="shared" si="45"/>
        <v>-</v>
      </c>
      <c r="U393" s="13" t="str">
        <f t="shared" si="46"/>
        <v>-</v>
      </c>
      <c r="W393" s="13" t="str">
        <f t="shared" si="42"/>
        <v>-</v>
      </c>
    </row>
    <row r="394" spans="1:23" x14ac:dyDescent="0.3">
      <c r="A394" s="70">
        <v>100189476</v>
      </c>
      <c r="B394" s="71">
        <v>30084</v>
      </c>
      <c r="C394" s="96">
        <v>76630300841</v>
      </c>
      <c r="D394" s="72" t="s">
        <v>234</v>
      </c>
      <c r="E394" s="72" t="s">
        <v>711</v>
      </c>
      <c r="F394" s="73">
        <v>30</v>
      </c>
      <c r="G394" s="73" t="s">
        <v>434</v>
      </c>
      <c r="H394" s="73"/>
      <c r="I394" s="105" t="s">
        <v>850</v>
      </c>
      <c r="J394" s="74" t="e">
        <v>#N/A</v>
      </c>
      <c r="K394" s="2">
        <v>24.179400000000001</v>
      </c>
      <c r="L394" s="2">
        <v>22.836100000000002</v>
      </c>
      <c r="M394" s="75"/>
      <c r="N394" s="2">
        <f t="shared" si="47"/>
        <v>0</v>
      </c>
      <c r="O394" s="106">
        <f t="shared" si="48"/>
        <v>0</v>
      </c>
      <c r="Q394" s="76"/>
      <c r="R394" s="11" t="str">
        <f t="shared" si="43"/>
        <v>-</v>
      </c>
      <c r="S394" s="30" t="str">
        <f t="shared" si="44"/>
        <v>-</v>
      </c>
      <c r="T394" s="12" t="str">
        <f t="shared" si="45"/>
        <v>-</v>
      </c>
      <c r="U394" s="13" t="str">
        <f t="shared" si="46"/>
        <v>-</v>
      </c>
      <c r="W394" s="13" t="str">
        <f t="shared" si="42"/>
        <v>-</v>
      </c>
    </row>
    <row r="395" spans="1:23" x14ac:dyDescent="0.3">
      <c r="A395" s="70">
        <v>100189479</v>
      </c>
      <c r="B395" s="71">
        <v>30085</v>
      </c>
      <c r="C395" s="96">
        <v>76630300858</v>
      </c>
      <c r="D395" s="72" t="s">
        <v>234</v>
      </c>
      <c r="E395" s="72" t="s">
        <v>712</v>
      </c>
      <c r="F395" s="73">
        <v>60</v>
      </c>
      <c r="G395" s="73" t="s">
        <v>434</v>
      </c>
      <c r="H395" s="73"/>
      <c r="I395" s="105" t="s">
        <v>850</v>
      </c>
      <c r="J395" s="74" t="e">
        <v>#N/A</v>
      </c>
      <c r="K395" s="2">
        <v>46.103400000000001</v>
      </c>
      <c r="L395" s="2">
        <v>43.542099999999998</v>
      </c>
      <c r="M395" s="75"/>
      <c r="N395" s="2">
        <f t="shared" si="47"/>
        <v>0</v>
      </c>
      <c r="O395" s="106">
        <f t="shared" si="48"/>
        <v>0</v>
      </c>
      <c r="Q395" s="76"/>
      <c r="R395" s="11" t="str">
        <f t="shared" si="43"/>
        <v>-</v>
      </c>
      <c r="S395" s="30" t="str">
        <f t="shared" si="44"/>
        <v>-</v>
      </c>
      <c r="T395" s="12" t="str">
        <f t="shared" si="45"/>
        <v>-</v>
      </c>
      <c r="U395" s="13" t="str">
        <f t="shared" si="46"/>
        <v>-</v>
      </c>
      <c r="W395" s="13" t="str">
        <f t="shared" si="42"/>
        <v>-</v>
      </c>
    </row>
    <row r="396" spans="1:23" x14ac:dyDescent="0.3">
      <c r="A396" s="70">
        <v>100189470</v>
      </c>
      <c r="B396" s="71">
        <v>30082</v>
      </c>
      <c r="C396" s="96">
        <v>76630300827</v>
      </c>
      <c r="D396" s="72" t="s">
        <v>269</v>
      </c>
      <c r="E396" s="72" t="s">
        <v>713</v>
      </c>
      <c r="F396" s="73">
        <v>15</v>
      </c>
      <c r="G396" s="73" t="s">
        <v>300</v>
      </c>
      <c r="H396" s="73"/>
      <c r="I396" s="105" t="s">
        <v>850</v>
      </c>
      <c r="J396" s="74" t="e">
        <v>#N/A</v>
      </c>
      <c r="K396" s="2">
        <v>15.863399999999999</v>
      </c>
      <c r="L396" s="2">
        <v>14.982099999999997</v>
      </c>
      <c r="M396" s="75"/>
      <c r="N396" s="2">
        <f t="shared" si="47"/>
        <v>0</v>
      </c>
      <c r="O396" s="106">
        <f t="shared" si="48"/>
        <v>0</v>
      </c>
      <c r="Q396" s="76"/>
      <c r="R396" s="11" t="str">
        <f t="shared" si="43"/>
        <v>-</v>
      </c>
      <c r="S396" s="30" t="str">
        <f t="shared" si="44"/>
        <v>-</v>
      </c>
      <c r="T396" s="12" t="str">
        <f t="shared" si="45"/>
        <v>-</v>
      </c>
      <c r="U396" s="13" t="str">
        <f t="shared" si="46"/>
        <v>-</v>
      </c>
      <c r="W396" s="13" t="str">
        <f t="shared" si="42"/>
        <v>-</v>
      </c>
    </row>
    <row r="397" spans="1:23" x14ac:dyDescent="0.3">
      <c r="A397" s="70">
        <v>100189473</v>
      </c>
      <c r="B397" s="71">
        <v>30083</v>
      </c>
      <c r="C397" s="96">
        <v>76630300834</v>
      </c>
      <c r="D397" s="72" t="s">
        <v>269</v>
      </c>
      <c r="E397" s="72" t="s">
        <v>714</v>
      </c>
      <c r="F397" s="73">
        <v>30</v>
      </c>
      <c r="G397" s="73" t="s">
        <v>300</v>
      </c>
      <c r="H397" s="73"/>
      <c r="I397" s="105" t="s">
        <v>850</v>
      </c>
      <c r="J397" s="74" t="e">
        <v>#N/A</v>
      </c>
      <c r="K397" s="2">
        <v>31.739400000000003</v>
      </c>
      <c r="L397" s="2">
        <v>29.976099999999999</v>
      </c>
      <c r="M397" s="75"/>
      <c r="N397" s="2">
        <f t="shared" si="47"/>
        <v>0</v>
      </c>
      <c r="O397" s="106">
        <f t="shared" si="48"/>
        <v>0</v>
      </c>
      <c r="Q397" s="76"/>
      <c r="R397" s="11" t="str">
        <f t="shared" si="43"/>
        <v>-</v>
      </c>
      <c r="S397" s="30" t="str">
        <f t="shared" si="44"/>
        <v>-</v>
      </c>
      <c r="T397" s="12" t="str">
        <f t="shared" si="45"/>
        <v>-</v>
      </c>
      <c r="U397" s="13" t="str">
        <f t="shared" si="46"/>
        <v>-</v>
      </c>
      <c r="W397" s="13" t="str">
        <f t="shared" si="42"/>
        <v>-</v>
      </c>
    </row>
    <row r="398" spans="1:23" x14ac:dyDescent="0.3">
      <c r="A398" s="70">
        <v>100009723</v>
      </c>
      <c r="B398" s="71">
        <v>5002</v>
      </c>
      <c r="C398" s="96">
        <v>76630111034</v>
      </c>
      <c r="D398" s="72" t="s">
        <v>235</v>
      </c>
      <c r="E398" s="72" t="s">
        <v>715</v>
      </c>
      <c r="F398" s="73">
        <v>100</v>
      </c>
      <c r="G398" s="73" t="s">
        <v>305</v>
      </c>
      <c r="H398" s="73"/>
      <c r="I398" s="105" t="s">
        <v>850</v>
      </c>
      <c r="J398" s="74">
        <v>0.48822792738591669</v>
      </c>
      <c r="K398" s="2">
        <v>11.780999999999999</v>
      </c>
      <c r="L398" s="2">
        <v>11.126499999999998</v>
      </c>
      <c r="M398" s="75"/>
      <c r="N398" s="2">
        <f t="shared" si="47"/>
        <v>0</v>
      </c>
      <c r="O398" s="106">
        <f t="shared" si="48"/>
        <v>0</v>
      </c>
      <c r="Q398" s="76"/>
      <c r="R398" s="11" t="str">
        <f t="shared" si="43"/>
        <v>-</v>
      </c>
      <c r="S398" s="30" t="str">
        <f t="shared" si="44"/>
        <v>-</v>
      </c>
      <c r="T398" s="12" t="str">
        <f t="shared" si="45"/>
        <v>-</v>
      </c>
      <c r="U398" s="13" t="str">
        <f t="shared" si="46"/>
        <v>-</v>
      </c>
      <c r="W398" s="13" t="str">
        <f t="shared" si="42"/>
        <v>-</v>
      </c>
    </row>
    <row r="399" spans="1:23" x14ac:dyDescent="0.3">
      <c r="A399" s="70">
        <v>100195307</v>
      </c>
      <c r="B399" s="71"/>
      <c r="C399" s="96">
        <v>76630304139</v>
      </c>
      <c r="D399" s="72" t="s">
        <v>235</v>
      </c>
      <c r="E399" s="72" t="s">
        <v>716</v>
      </c>
      <c r="F399" s="73">
        <v>250</v>
      </c>
      <c r="G399" s="73" t="s">
        <v>305</v>
      </c>
      <c r="H399" s="73"/>
      <c r="I399" s="105" t="s">
        <v>850</v>
      </c>
      <c r="J399" s="74" t="e">
        <v>#N/A</v>
      </c>
      <c r="K399" s="2">
        <v>20.840399999999999</v>
      </c>
      <c r="L399" s="2">
        <v>19.682599999999997</v>
      </c>
      <c r="M399" s="75"/>
      <c r="N399" s="2">
        <f t="shared" si="47"/>
        <v>0</v>
      </c>
      <c r="O399" s="106">
        <f t="shared" si="48"/>
        <v>0</v>
      </c>
      <c r="Q399" s="76"/>
      <c r="R399" s="11" t="str">
        <f t="shared" si="43"/>
        <v>-</v>
      </c>
      <c r="S399" s="30" t="str">
        <f t="shared" si="44"/>
        <v>-</v>
      </c>
      <c r="T399" s="12" t="str">
        <f t="shared" si="45"/>
        <v>-</v>
      </c>
      <c r="U399" s="13" t="str">
        <f t="shared" si="46"/>
        <v>-</v>
      </c>
      <c r="W399" s="13" t="str">
        <f t="shared" si="42"/>
        <v>-</v>
      </c>
    </row>
    <row r="400" spans="1:23" x14ac:dyDescent="0.3">
      <c r="A400" s="70">
        <v>100009583</v>
      </c>
      <c r="B400" s="71">
        <v>2941</v>
      </c>
      <c r="C400" s="96">
        <v>76630029414</v>
      </c>
      <c r="D400" s="72" t="s">
        <v>236</v>
      </c>
      <c r="E400" s="72" t="s">
        <v>717</v>
      </c>
      <c r="F400" s="73">
        <v>200</v>
      </c>
      <c r="G400" s="73" t="s">
        <v>305</v>
      </c>
      <c r="H400" s="73"/>
      <c r="I400" s="105" t="s">
        <v>850</v>
      </c>
      <c r="J400" s="74">
        <v>0.19627792335593755</v>
      </c>
      <c r="K400" s="2">
        <v>6.677999999999999</v>
      </c>
      <c r="L400" s="2">
        <v>6.3069999999999995</v>
      </c>
      <c r="M400" s="75"/>
      <c r="N400" s="2">
        <f t="shared" si="47"/>
        <v>0</v>
      </c>
      <c r="O400" s="106">
        <f t="shared" si="48"/>
        <v>0</v>
      </c>
      <c r="Q400" s="76"/>
      <c r="R400" s="11" t="str">
        <f t="shared" si="43"/>
        <v>-</v>
      </c>
      <c r="S400" s="30" t="str">
        <f t="shared" si="44"/>
        <v>-</v>
      </c>
      <c r="T400" s="12" t="str">
        <f t="shared" si="45"/>
        <v>-</v>
      </c>
      <c r="U400" s="13" t="str">
        <f t="shared" si="46"/>
        <v>-</v>
      </c>
      <c r="W400" s="13" t="str">
        <f t="shared" si="42"/>
        <v>-</v>
      </c>
    </row>
    <row r="401" spans="1:23" x14ac:dyDescent="0.3">
      <c r="A401" s="70">
        <v>100009829</v>
      </c>
      <c r="B401" s="71">
        <v>36293</v>
      </c>
      <c r="C401" s="96">
        <v>76630025423</v>
      </c>
      <c r="D401" s="72" t="s">
        <v>237</v>
      </c>
      <c r="E401" s="72" t="s">
        <v>718</v>
      </c>
      <c r="F401" s="73">
        <v>120</v>
      </c>
      <c r="G401" s="73" t="s">
        <v>300</v>
      </c>
      <c r="H401" s="73"/>
      <c r="I401" s="105" t="s">
        <v>850</v>
      </c>
      <c r="J401" s="74">
        <v>0.14929992858550001</v>
      </c>
      <c r="K401" s="2">
        <v>26.447399999999995</v>
      </c>
      <c r="L401" s="2">
        <v>24.978099999999998</v>
      </c>
      <c r="M401" s="75"/>
      <c r="N401" s="2">
        <f t="shared" si="47"/>
        <v>0</v>
      </c>
      <c r="O401" s="106">
        <f t="shared" si="48"/>
        <v>0</v>
      </c>
      <c r="Q401" s="76"/>
      <c r="R401" s="11" t="str">
        <f t="shared" si="43"/>
        <v>-</v>
      </c>
      <c r="S401" s="30" t="str">
        <f t="shared" si="44"/>
        <v>-</v>
      </c>
      <c r="T401" s="12" t="str">
        <f t="shared" si="45"/>
        <v>-</v>
      </c>
      <c r="U401" s="13" t="str">
        <f t="shared" si="46"/>
        <v>-</v>
      </c>
      <c r="W401" s="13" t="str">
        <f t="shared" si="42"/>
        <v>-</v>
      </c>
    </row>
    <row r="402" spans="1:23" x14ac:dyDescent="0.3">
      <c r="A402" s="70">
        <v>100009485</v>
      </c>
      <c r="B402" s="71">
        <v>2180</v>
      </c>
      <c r="C402" s="96">
        <v>376630181533</v>
      </c>
      <c r="D402" s="72" t="s">
        <v>238</v>
      </c>
      <c r="E402" s="72" t="s">
        <v>719</v>
      </c>
      <c r="F402" s="73">
        <v>100</v>
      </c>
      <c r="G402" s="73" t="s">
        <v>305</v>
      </c>
      <c r="H402" s="73"/>
      <c r="I402" s="105" t="s">
        <v>850</v>
      </c>
      <c r="J402" s="74" t="e">
        <v>#N/A</v>
      </c>
      <c r="K402" s="2">
        <v>4.4099999999999993</v>
      </c>
      <c r="L402" s="2">
        <v>4.165</v>
      </c>
      <c r="M402" s="75"/>
      <c r="N402" s="2">
        <f t="shared" si="47"/>
        <v>0</v>
      </c>
      <c r="O402" s="106">
        <f t="shared" si="48"/>
        <v>0</v>
      </c>
      <c r="Q402" s="76"/>
      <c r="R402" s="11" t="str">
        <f t="shared" si="43"/>
        <v>-</v>
      </c>
      <c r="S402" s="30" t="str">
        <f t="shared" si="44"/>
        <v>-</v>
      </c>
      <c r="T402" s="12" t="str">
        <f t="shared" si="45"/>
        <v>-</v>
      </c>
      <c r="U402" s="13" t="str">
        <f t="shared" si="46"/>
        <v>-</v>
      </c>
      <c r="W402" s="13" t="str">
        <f t="shared" si="42"/>
        <v>-</v>
      </c>
    </row>
    <row r="403" spans="1:23" x14ac:dyDescent="0.3">
      <c r="A403" s="70">
        <v>100009486</v>
      </c>
      <c r="B403" s="71">
        <v>2183</v>
      </c>
      <c r="C403" s="96">
        <v>76630021838</v>
      </c>
      <c r="D403" s="72" t="s">
        <v>238</v>
      </c>
      <c r="E403" s="72" t="s">
        <v>720</v>
      </c>
      <c r="F403" s="73">
        <v>250</v>
      </c>
      <c r="G403" s="73" t="s">
        <v>305</v>
      </c>
      <c r="H403" s="73"/>
      <c r="I403" s="105" t="s">
        <v>850</v>
      </c>
      <c r="J403" s="74">
        <v>0.21965966504533335</v>
      </c>
      <c r="K403" s="2">
        <v>9.5759999999999987</v>
      </c>
      <c r="L403" s="2">
        <v>9.0439999999999987</v>
      </c>
      <c r="M403" s="75"/>
      <c r="N403" s="2">
        <f t="shared" si="47"/>
        <v>0</v>
      </c>
      <c r="O403" s="106">
        <f t="shared" si="48"/>
        <v>0</v>
      </c>
      <c r="Q403" s="76"/>
      <c r="R403" s="11" t="str">
        <f t="shared" si="43"/>
        <v>-</v>
      </c>
      <c r="S403" s="30" t="str">
        <f t="shared" si="44"/>
        <v>-</v>
      </c>
      <c r="T403" s="12" t="str">
        <f t="shared" si="45"/>
        <v>-</v>
      </c>
      <c r="U403" s="13" t="str">
        <f t="shared" si="46"/>
        <v>-</v>
      </c>
      <c r="W403" s="13" t="str">
        <f t="shared" si="42"/>
        <v>-</v>
      </c>
    </row>
    <row r="404" spans="1:23" x14ac:dyDescent="0.3">
      <c r="A404" s="70">
        <v>100009719</v>
      </c>
      <c r="B404" s="71">
        <v>4293</v>
      </c>
      <c r="C404" s="96">
        <v>76630042932</v>
      </c>
      <c r="D404" s="72" t="s">
        <v>721</v>
      </c>
      <c r="E404" s="72" t="s">
        <v>722</v>
      </c>
      <c r="F404" s="73">
        <v>250</v>
      </c>
      <c r="G404" s="73" t="s">
        <v>305</v>
      </c>
      <c r="H404" s="73"/>
      <c r="I404" s="105" t="s">
        <v>850</v>
      </c>
      <c r="J404" s="74" t="e">
        <v>#N/A</v>
      </c>
      <c r="K404" s="2">
        <v>9.5759999999999987</v>
      </c>
      <c r="L404" s="2">
        <v>9.0439999999999987</v>
      </c>
      <c r="M404" s="75"/>
      <c r="N404" s="2">
        <f t="shared" si="47"/>
        <v>0</v>
      </c>
      <c r="O404" s="106">
        <f t="shared" si="48"/>
        <v>0</v>
      </c>
      <c r="Q404" s="76"/>
      <c r="R404" s="11" t="str">
        <f t="shared" si="43"/>
        <v>-</v>
      </c>
      <c r="S404" s="30" t="str">
        <f t="shared" si="44"/>
        <v>-</v>
      </c>
      <c r="T404" s="12" t="str">
        <f t="shared" si="45"/>
        <v>-</v>
      </c>
      <c r="U404" s="13" t="str">
        <f t="shared" si="46"/>
        <v>-</v>
      </c>
      <c r="W404" s="13" t="str">
        <f t="shared" si="42"/>
        <v>-</v>
      </c>
    </row>
    <row r="405" spans="1:23" x14ac:dyDescent="0.3">
      <c r="A405" s="70">
        <v>100009768</v>
      </c>
      <c r="B405" s="71">
        <v>16986</v>
      </c>
      <c r="C405" s="96">
        <v>76630169868</v>
      </c>
      <c r="D405" s="72" t="s">
        <v>239</v>
      </c>
      <c r="E405" s="72" t="s">
        <v>723</v>
      </c>
      <c r="F405" s="73">
        <v>120</v>
      </c>
      <c r="G405" s="73" t="s">
        <v>434</v>
      </c>
      <c r="H405" s="73"/>
      <c r="I405" s="105" t="s">
        <v>850</v>
      </c>
      <c r="J405" s="74">
        <v>0.17024999999999998</v>
      </c>
      <c r="K405" s="2">
        <v>14.3514</v>
      </c>
      <c r="L405" s="2">
        <v>13.554099999999998</v>
      </c>
      <c r="M405" s="75"/>
      <c r="N405" s="2">
        <f t="shared" si="47"/>
        <v>0</v>
      </c>
      <c r="O405" s="106">
        <f t="shared" si="48"/>
        <v>0</v>
      </c>
      <c r="Q405" s="76"/>
      <c r="R405" s="11" t="str">
        <f t="shared" si="43"/>
        <v>-</v>
      </c>
      <c r="S405" s="30" t="str">
        <f t="shared" si="44"/>
        <v>-</v>
      </c>
      <c r="T405" s="12" t="str">
        <f t="shared" si="45"/>
        <v>-</v>
      </c>
      <c r="U405" s="13" t="str">
        <f t="shared" si="46"/>
        <v>-</v>
      </c>
      <c r="W405" s="13" t="str">
        <f t="shared" si="42"/>
        <v>-</v>
      </c>
    </row>
    <row r="406" spans="1:23" x14ac:dyDescent="0.3">
      <c r="A406" s="70">
        <v>100009749</v>
      </c>
      <c r="B406" s="71">
        <v>16960</v>
      </c>
      <c r="C406" s="96">
        <v>76630169608</v>
      </c>
      <c r="D406" s="72" t="s">
        <v>240</v>
      </c>
      <c r="E406" s="72" t="s">
        <v>724</v>
      </c>
      <c r="F406" s="73">
        <v>60</v>
      </c>
      <c r="G406" s="73" t="s">
        <v>434</v>
      </c>
      <c r="H406" s="73"/>
      <c r="I406" s="105" t="s">
        <v>850</v>
      </c>
      <c r="J406" s="74">
        <v>0.10618313886468751</v>
      </c>
      <c r="K406" s="2">
        <v>8.6813999999999982</v>
      </c>
      <c r="L406" s="2">
        <v>8.1990999999999996</v>
      </c>
      <c r="M406" s="75"/>
      <c r="N406" s="2">
        <f t="shared" si="47"/>
        <v>0</v>
      </c>
      <c r="O406" s="106">
        <f t="shared" si="48"/>
        <v>0</v>
      </c>
      <c r="Q406" s="76"/>
      <c r="R406" s="11" t="str">
        <f t="shared" si="43"/>
        <v>-</v>
      </c>
      <c r="S406" s="30" t="str">
        <f t="shared" si="44"/>
        <v>-</v>
      </c>
      <c r="T406" s="12" t="str">
        <f t="shared" si="45"/>
        <v>-</v>
      </c>
      <c r="U406" s="13" t="str">
        <f t="shared" si="46"/>
        <v>-</v>
      </c>
      <c r="W406" s="13" t="str">
        <f t="shared" si="42"/>
        <v>-</v>
      </c>
    </row>
    <row r="407" spans="1:23" x14ac:dyDescent="0.3">
      <c r="A407" s="70">
        <v>100009750</v>
      </c>
      <c r="B407" s="71">
        <v>16961</v>
      </c>
      <c r="C407" s="96">
        <v>76630169615</v>
      </c>
      <c r="D407" s="72" t="s">
        <v>240</v>
      </c>
      <c r="E407" s="72" t="s">
        <v>725</v>
      </c>
      <c r="F407" s="73">
        <v>120</v>
      </c>
      <c r="G407" s="73" t="s">
        <v>434</v>
      </c>
      <c r="H407" s="73"/>
      <c r="I407" s="105" t="s">
        <v>850</v>
      </c>
      <c r="J407" s="74">
        <v>0.19295000000000001</v>
      </c>
      <c r="K407" s="2">
        <v>15.1074</v>
      </c>
      <c r="L407" s="2">
        <v>14.268099999999999</v>
      </c>
      <c r="M407" s="75"/>
      <c r="N407" s="2">
        <f t="shared" si="47"/>
        <v>0</v>
      </c>
      <c r="O407" s="106">
        <f t="shared" si="48"/>
        <v>0</v>
      </c>
      <c r="Q407" s="76"/>
      <c r="R407" s="11" t="str">
        <f t="shared" si="43"/>
        <v>-</v>
      </c>
      <c r="S407" s="30" t="str">
        <f t="shared" si="44"/>
        <v>-</v>
      </c>
      <c r="T407" s="12" t="str">
        <f t="shared" si="45"/>
        <v>-</v>
      </c>
      <c r="U407" s="13" t="str">
        <f t="shared" si="46"/>
        <v>-</v>
      </c>
      <c r="W407" s="13" t="str">
        <f t="shared" si="42"/>
        <v>-</v>
      </c>
    </row>
    <row r="408" spans="1:23" x14ac:dyDescent="0.3">
      <c r="A408" s="70">
        <v>100009751</v>
      </c>
      <c r="B408" s="71">
        <v>16962</v>
      </c>
      <c r="C408" s="96">
        <v>76630169622</v>
      </c>
      <c r="D408" s="72" t="s">
        <v>240</v>
      </c>
      <c r="E408" s="72" t="s">
        <v>726</v>
      </c>
      <c r="F408" s="73">
        <v>240</v>
      </c>
      <c r="G408" s="73" t="s">
        <v>434</v>
      </c>
      <c r="H408" s="73"/>
      <c r="I408" s="105" t="s">
        <v>850</v>
      </c>
      <c r="J408" s="74">
        <v>0.32915</v>
      </c>
      <c r="K408" s="2">
        <v>27.959399999999999</v>
      </c>
      <c r="L408" s="2">
        <v>26.406099999999999</v>
      </c>
      <c r="M408" s="75"/>
      <c r="N408" s="2">
        <f t="shared" si="47"/>
        <v>0</v>
      </c>
      <c r="O408" s="106">
        <f t="shared" si="48"/>
        <v>0</v>
      </c>
      <c r="Q408" s="76"/>
      <c r="R408" s="11" t="str">
        <f t="shared" si="43"/>
        <v>-</v>
      </c>
      <c r="S408" s="30" t="str">
        <f t="shared" si="44"/>
        <v>-</v>
      </c>
      <c r="T408" s="12" t="str">
        <f t="shared" si="45"/>
        <v>-</v>
      </c>
      <c r="U408" s="13" t="str">
        <f t="shared" si="46"/>
        <v>-</v>
      </c>
      <c r="W408" s="13" t="str">
        <f t="shared" si="42"/>
        <v>-</v>
      </c>
    </row>
    <row r="409" spans="1:23" x14ac:dyDescent="0.3">
      <c r="A409" s="70">
        <v>100009760</v>
      </c>
      <c r="B409" s="71">
        <v>16975</v>
      </c>
      <c r="C409" s="96">
        <v>76630169752</v>
      </c>
      <c r="D409" s="72" t="s">
        <v>241</v>
      </c>
      <c r="E409" s="72" t="s">
        <v>727</v>
      </c>
      <c r="F409" s="73">
        <v>90</v>
      </c>
      <c r="G409" s="73" t="s">
        <v>434</v>
      </c>
      <c r="H409" s="73"/>
      <c r="I409" s="105" t="s">
        <v>850</v>
      </c>
      <c r="J409" s="74">
        <v>0.20429999999999998</v>
      </c>
      <c r="K409" s="2">
        <v>22.667399999999997</v>
      </c>
      <c r="L409" s="2">
        <v>21.408099999999994</v>
      </c>
      <c r="M409" s="75"/>
      <c r="N409" s="2">
        <f t="shared" si="47"/>
        <v>0</v>
      </c>
      <c r="O409" s="106">
        <f t="shared" si="48"/>
        <v>0</v>
      </c>
      <c r="Q409" s="76"/>
      <c r="R409" s="11" t="str">
        <f t="shared" si="43"/>
        <v>-</v>
      </c>
      <c r="S409" s="30" t="str">
        <f t="shared" si="44"/>
        <v>-</v>
      </c>
      <c r="T409" s="12" t="str">
        <f t="shared" si="45"/>
        <v>-</v>
      </c>
      <c r="U409" s="13" t="str">
        <f t="shared" si="46"/>
        <v>-</v>
      </c>
      <c r="W409" s="13" t="str">
        <f t="shared" si="42"/>
        <v>-</v>
      </c>
    </row>
    <row r="410" spans="1:23" x14ac:dyDescent="0.3">
      <c r="A410" s="70">
        <v>100009754</v>
      </c>
      <c r="B410" s="71">
        <v>16965</v>
      </c>
      <c r="C410" s="96">
        <v>76630169653</v>
      </c>
      <c r="D410" s="72" t="s">
        <v>242</v>
      </c>
      <c r="E410" s="72" t="s">
        <v>724</v>
      </c>
      <c r="F410" s="73">
        <v>60</v>
      </c>
      <c r="G410" s="73" t="s">
        <v>300</v>
      </c>
      <c r="H410" s="73"/>
      <c r="I410" s="105" t="s">
        <v>850</v>
      </c>
      <c r="J410" s="74">
        <v>0.10682667303962501</v>
      </c>
      <c r="K410" s="2">
        <v>9.8909999999999982</v>
      </c>
      <c r="L410" s="2">
        <v>9.3414999999999981</v>
      </c>
      <c r="M410" s="75"/>
      <c r="N410" s="2">
        <f t="shared" si="47"/>
        <v>0</v>
      </c>
      <c r="O410" s="106">
        <f t="shared" si="48"/>
        <v>0</v>
      </c>
      <c r="Q410" s="76"/>
      <c r="R410" s="11" t="str">
        <f t="shared" si="43"/>
        <v>-</v>
      </c>
      <c r="S410" s="30" t="str">
        <f t="shared" si="44"/>
        <v>-</v>
      </c>
      <c r="T410" s="12" t="str">
        <f t="shared" si="45"/>
        <v>-</v>
      </c>
      <c r="U410" s="13" t="str">
        <f t="shared" si="46"/>
        <v>-</v>
      </c>
      <c r="W410" s="13" t="str">
        <f t="shared" si="42"/>
        <v>-</v>
      </c>
    </row>
    <row r="411" spans="1:23" x14ac:dyDescent="0.3">
      <c r="A411" s="70">
        <v>100009755</v>
      </c>
      <c r="B411" s="71">
        <v>16966</v>
      </c>
      <c r="C411" s="96">
        <v>76630169660</v>
      </c>
      <c r="D411" s="72" t="s">
        <v>242</v>
      </c>
      <c r="E411" s="72" t="s">
        <v>725</v>
      </c>
      <c r="F411" s="73">
        <v>120</v>
      </c>
      <c r="G411" s="73" t="s">
        <v>300</v>
      </c>
      <c r="H411" s="73"/>
      <c r="I411" s="105" t="s">
        <v>850</v>
      </c>
      <c r="J411" s="74">
        <v>0.18705393351516672</v>
      </c>
      <c r="K411" s="2">
        <v>16.619399999999999</v>
      </c>
      <c r="L411" s="2">
        <v>15.696099999999998</v>
      </c>
      <c r="M411" s="75"/>
      <c r="N411" s="2">
        <f t="shared" si="47"/>
        <v>0</v>
      </c>
      <c r="O411" s="106">
        <f t="shared" si="48"/>
        <v>0</v>
      </c>
      <c r="Q411" s="76"/>
      <c r="R411" s="11" t="str">
        <f t="shared" si="43"/>
        <v>-</v>
      </c>
      <c r="S411" s="30" t="str">
        <f t="shared" si="44"/>
        <v>-</v>
      </c>
      <c r="T411" s="12" t="str">
        <f t="shared" si="45"/>
        <v>-</v>
      </c>
      <c r="U411" s="13" t="str">
        <f t="shared" si="46"/>
        <v>-</v>
      </c>
      <c r="W411" s="13" t="str">
        <f t="shared" si="42"/>
        <v>-</v>
      </c>
    </row>
    <row r="412" spans="1:23" x14ac:dyDescent="0.3">
      <c r="A412" s="70">
        <v>100009756</v>
      </c>
      <c r="B412" s="71">
        <v>16967</v>
      </c>
      <c r="C412" s="96">
        <v>76630169677</v>
      </c>
      <c r="D412" s="72" t="s">
        <v>242</v>
      </c>
      <c r="E412" s="72" t="s">
        <v>726</v>
      </c>
      <c r="F412" s="73">
        <v>240</v>
      </c>
      <c r="G412" s="73" t="s">
        <v>300</v>
      </c>
      <c r="H412" s="73"/>
      <c r="I412" s="105" t="s">
        <v>850</v>
      </c>
      <c r="J412" s="74">
        <v>0.36037913796500004</v>
      </c>
      <c r="K412" s="2">
        <v>31.739400000000003</v>
      </c>
      <c r="L412" s="2">
        <v>29.976099999999999</v>
      </c>
      <c r="M412" s="75"/>
      <c r="N412" s="2">
        <f t="shared" si="47"/>
        <v>0</v>
      </c>
      <c r="O412" s="106">
        <f t="shared" si="48"/>
        <v>0</v>
      </c>
      <c r="Q412" s="76"/>
      <c r="R412" s="11" t="str">
        <f t="shared" si="43"/>
        <v>-</v>
      </c>
      <c r="S412" s="30" t="str">
        <f t="shared" si="44"/>
        <v>-</v>
      </c>
      <c r="T412" s="12" t="str">
        <f t="shared" si="45"/>
        <v>-</v>
      </c>
      <c r="U412" s="13" t="str">
        <f t="shared" si="46"/>
        <v>-</v>
      </c>
      <c r="W412" s="13" t="str">
        <f t="shared" si="42"/>
        <v>-</v>
      </c>
    </row>
    <row r="413" spans="1:23" x14ac:dyDescent="0.3">
      <c r="A413" s="70">
        <v>100009771</v>
      </c>
      <c r="B413" s="71">
        <v>16991</v>
      </c>
      <c r="C413" s="96">
        <v>76630169912</v>
      </c>
      <c r="D413" s="72" t="s">
        <v>243</v>
      </c>
      <c r="E413" s="72" t="s">
        <v>728</v>
      </c>
      <c r="F413" s="73">
        <v>225</v>
      </c>
      <c r="G413" s="73" t="s">
        <v>305</v>
      </c>
      <c r="H413" s="73"/>
      <c r="I413" s="105" t="s">
        <v>850</v>
      </c>
      <c r="J413" s="74">
        <v>0.28375</v>
      </c>
      <c r="K413" s="2">
        <v>19.189799999999998</v>
      </c>
      <c r="L413" s="2">
        <v>18.123699999999999</v>
      </c>
      <c r="M413" s="75"/>
      <c r="N413" s="2">
        <f t="shared" si="47"/>
        <v>0</v>
      </c>
      <c r="O413" s="106">
        <f t="shared" si="48"/>
        <v>0</v>
      </c>
      <c r="Q413" s="76"/>
      <c r="R413" s="11" t="str">
        <f t="shared" si="43"/>
        <v>-</v>
      </c>
      <c r="S413" s="30" t="str">
        <f t="shared" si="44"/>
        <v>-</v>
      </c>
      <c r="T413" s="12" t="str">
        <f t="shared" si="45"/>
        <v>-</v>
      </c>
      <c r="U413" s="13" t="str">
        <f t="shared" si="46"/>
        <v>-</v>
      </c>
      <c r="W413" s="13" t="str">
        <f t="shared" si="42"/>
        <v>-</v>
      </c>
    </row>
    <row r="414" spans="1:23" x14ac:dyDescent="0.3">
      <c r="A414" s="70">
        <v>100009758</v>
      </c>
      <c r="B414" s="71">
        <v>16971</v>
      </c>
      <c r="C414" s="96">
        <v>76630169714</v>
      </c>
      <c r="D414" s="72" t="s">
        <v>244</v>
      </c>
      <c r="E414" s="72" t="s">
        <v>729</v>
      </c>
      <c r="F414" s="73">
        <v>90</v>
      </c>
      <c r="G414" s="73" t="s">
        <v>305</v>
      </c>
      <c r="H414" s="73"/>
      <c r="I414" s="105" t="s">
        <v>850</v>
      </c>
      <c r="J414" s="74">
        <v>0.15981098677614583</v>
      </c>
      <c r="K414" s="2">
        <v>10.344600000000002</v>
      </c>
      <c r="L414" s="2">
        <v>9.7698999999999998</v>
      </c>
      <c r="M414" s="75"/>
      <c r="N414" s="2">
        <f t="shared" si="47"/>
        <v>0</v>
      </c>
      <c r="O414" s="106">
        <f t="shared" si="48"/>
        <v>0</v>
      </c>
      <c r="Q414" s="76"/>
      <c r="R414" s="11" t="str">
        <f t="shared" si="43"/>
        <v>-</v>
      </c>
      <c r="S414" s="30" t="str">
        <f t="shared" si="44"/>
        <v>-</v>
      </c>
      <c r="T414" s="12" t="str">
        <f t="shared" si="45"/>
        <v>-</v>
      </c>
      <c r="U414" s="13" t="str">
        <f t="shared" si="46"/>
        <v>-</v>
      </c>
      <c r="W414" s="13" t="str">
        <f t="shared" si="42"/>
        <v>-</v>
      </c>
    </row>
    <row r="415" spans="1:23" x14ac:dyDescent="0.3">
      <c r="A415" s="70">
        <v>100009759</v>
      </c>
      <c r="B415" s="71">
        <v>16974</v>
      </c>
      <c r="C415" s="96">
        <v>76630169745</v>
      </c>
      <c r="D415" s="72" t="s">
        <v>244</v>
      </c>
      <c r="E415" s="72" t="s">
        <v>730</v>
      </c>
      <c r="F415" s="73">
        <v>225</v>
      </c>
      <c r="G415" s="73" t="s">
        <v>305</v>
      </c>
      <c r="H415" s="73"/>
      <c r="I415" s="105" t="s">
        <v>850</v>
      </c>
      <c r="J415" s="74">
        <v>0.34858101142447917</v>
      </c>
      <c r="K415" s="2">
        <v>20.3994</v>
      </c>
      <c r="L415" s="2">
        <v>19.266099999999998</v>
      </c>
      <c r="M415" s="75"/>
      <c r="N415" s="2">
        <f t="shared" si="47"/>
        <v>0</v>
      </c>
      <c r="O415" s="106">
        <f t="shared" si="48"/>
        <v>0</v>
      </c>
      <c r="Q415" s="76"/>
      <c r="R415" s="11" t="str">
        <f t="shared" si="43"/>
        <v>-</v>
      </c>
      <c r="S415" s="30" t="str">
        <f t="shared" si="44"/>
        <v>-</v>
      </c>
      <c r="T415" s="12" t="str">
        <f t="shared" si="45"/>
        <v>-</v>
      </c>
      <c r="U415" s="13" t="str">
        <f t="shared" si="46"/>
        <v>-</v>
      </c>
      <c r="W415" s="13" t="str">
        <f t="shared" si="42"/>
        <v>-</v>
      </c>
    </row>
    <row r="416" spans="1:23" x14ac:dyDescent="0.3">
      <c r="A416" s="70">
        <v>100009748</v>
      </c>
      <c r="B416" s="71">
        <v>16956</v>
      </c>
      <c r="C416" s="96">
        <v>76630169561</v>
      </c>
      <c r="D416" s="72" t="s">
        <v>244</v>
      </c>
      <c r="E416" s="72" t="s">
        <v>731</v>
      </c>
      <c r="F416" s="73">
        <v>450</v>
      </c>
      <c r="G416" s="73" t="s">
        <v>305</v>
      </c>
      <c r="H416" s="73"/>
      <c r="I416" s="105" t="s">
        <v>850</v>
      </c>
      <c r="J416" s="74">
        <v>0.6722787014180418</v>
      </c>
      <c r="K416" s="2">
        <v>37.787399999999998</v>
      </c>
      <c r="L416" s="2">
        <v>35.688099999999999</v>
      </c>
      <c r="M416" s="75"/>
      <c r="N416" s="2">
        <f t="shared" si="47"/>
        <v>0</v>
      </c>
      <c r="O416" s="106">
        <f t="shared" si="48"/>
        <v>0</v>
      </c>
      <c r="Q416" s="76"/>
      <c r="R416" s="11" t="str">
        <f t="shared" si="43"/>
        <v>-</v>
      </c>
      <c r="S416" s="30" t="str">
        <f t="shared" si="44"/>
        <v>-</v>
      </c>
      <c r="T416" s="12" t="str">
        <f t="shared" si="45"/>
        <v>-</v>
      </c>
      <c r="U416" s="13" t="str">
        <f t="shared" si="46"/>
        <v>-</v>
      </c>
      <c r="W416" s="13" t="str">
        <f t="shared" si="42"/>
        <v>-</v>
      </c>
    </row>
    <row r="417" spans="1:23" x14ac:dyDescent="0.3">
      <c r="A417" s="70">
        <v>100009765</v>
      </c>
      <c r="B417" s="71">
        <v>16983</v>
      </c>
      <c r="C417" s="96">
        <v>76630169837</v>
      </c>
      <c r="D417" s="72" t="s">
        <v>245</v>
      </c>
      <c r="E417" s="72" t="s">
        <v>732</v>
      </c>
      <c r="F417" s="73">
        <v>45</v>
      </c>
      <c r="G417" s="73" t="s">
        <v>305</v>
      </c>
      <c r="H417" s="73"/>
      <c r="I417" s="105" t="s">
        <v>850</v>
      </c>
      <c r="J417" s="74">
        <v>0.14329360961941667</v>
      </c>
      <c r="K417" s="2">
        <v>10.344600000000002</v>
      </c>
      <c r="L417" s="2">
        <v>9.7698999999999998</v>
      </c>
      <c r="M417" s="75"/>
      <c r="N417" s="2">
        <f t="shared" si="47"/>
        <v>0</v>
      </c>
      <c r="O417" s="106">
        <f t="shared" si="48"/>
        <v>0</v>
      </c>
      <c r="Q417" s="76"/>
      <c r="R417" s="11" t="str">
        <f t="shared" si="43"/>
        <v>-</v>
      </c>
      <c r="S417" s="30" t="str">
        <f t="shared" si="44"/>
        <v>-</v>
      </c>
      <c r="T417" s="12" t="str">
        <f t="shared" si="45"/>
        <v>-</v>
      </c>
      <c r="U417" s="13" t="str">
        <f t="shared" si="46"/>
        <v>-</v>
      </c>
      <c r="W417" s="13" t="str">
        <f t="shared" si="42"/>
        <v>-</v>
      </c>
    </row>
    <row r="418" spans="1:23" x14ac:dyDescent="0.3">
      <c r="A418" s="70">
        <v>100009763</v>
      </c>
      <c r="B418" s="71">
        <v>16981</v>
      </c>
      <c r="C418" s="96">
        <v>76630169813</v>
      </c>
      <c r="D418" s="72" t="s">
        <v>245</v>
      </c>
      <c r="E418" s="72" t="s">
        <v>733</v>
      </c>
      <c r="F418" s="73">
        <v>90</v>
      </c>
      <c r="G418" s="73" t="s">
        <v>305</v>
      </c>
      <c r="H418" s="73"/>
      <c r="I418" s="105" t="s">
        <v>850</v>
      </c>
      <c r="J418" s="74">
        <v>0.27779225218135417</v>
      </c>
      <c r="K418" s="2">
        <v>18.3582</v>
      </c>
      <c r="L418" s="2">
        <v>17.338299999999997</v>
      </c>
      <c r="M418" s="75"/>
      <c r="N418" s="2">
        <f t="shared" si="47"/>
        <v>0</v>
      </c>
      <c r="O418" s="106">
        <f t="shared" si="48"/>
        <v>0</v>
      </c>
      <c r="Q418" s="76"/>
      <c r="R418" s="11" t="str">
        <f t="shared" si="43"/>
        <v>-</v>
      </c>
      <c r="S418" s="30" t="str">
        <f t="shared" si="44"/>
        <v>-</v>
      </c>
      <c r="T418" s="12" t="str">
        <f t="shared" si="45"/>
        <v>-</v>
      </c>
      <c r="U418" s="13" t="str">
        <f t="shared" si="46"/>
        <v>-</v>
      </c>
      <c r="W418" s="13" t="str">
        <f t="shared" si="42"/>
        <v>-</v>
      </c>
    </row>
    <row r="419" spans="1:23" x14ac:dyDescent="0.3">
      <c r="A419" s="70">
        <v>100009764</v>
      </c>
      <c r="B419" s="71">
        <v>16982</v>
      </c>
      <c r="C419" s="96">
        <v>76630169820</v>
      </c>
      <c r="D419" s="72" t="s">
        <v>245</v>
      </c>
      <c r="E419" s="72" t="s">
        <v>734</v>
      </c>
      <c r="F419" s="73">
        <v>120</v>
      </c>
      <c r="G419" s="73" t="s">
        <v>305</v>
      </c>
      <c r="H419" s="73"/>
      <c r="I419" s="105" t="s">
        <v>850</v>
      </c>
      <c r="J419" s="74">
        <v>0.32915</v>
      </c>
      <c r="K419" s="2">
        <v>24.4818</v>
      </c>
      <c r="L419" s="2">
        <v>23.121699999999997</v>
      </c>
      <c r="M419" s="75"/>
      <c r="N419" s="2">
        <f t="shared" si="47"/>
        <v>0</v>
      </c>
      <c r="O419" s="106">
        <f t="shared" si="48"/>
        <v>0</v>
      </c>
      <c r="Q419" s="76"/>
      <c r="R419" s="11" t="str">
        <f t="shared" si="43"/>
        <v>-</v>
      </c>
      <c r="S419" s="30" t="str">
        <f t="shared" si="44"/>
        <v>-</v>
      </c>
      <c r="T419" s="12" t="str">
        <f t="shared" si="45"/>
        <v>-</v>
      </c>
      <c r="U419" s="13" t="str">
        <f t="shared" si="46"/>
        <v>-</v>
      </c>
      <c r="W419" s="13" t="str">
        <f t="shared" si="42"/>
        <v>-</v>
      </c>
    </row>
    <row r="420" spans="1:23" x14ac:dyDescent="0.3">
      <c r="A420" s="70">
        <v>100009766</v>
      </c>
      <c r="B420" s="71">
        <v>16984</v>
      </c>
      <c r="C420" s="96">
        <v>76630169844</v>
      </c>
      <c r="D420" s="72" t="s">
        <v>245</v>
      </c>
      <c r="E420" s="72" t="s">
        <v>735</v>
      </c>
      <c r="F420" s="73">
        <v>180</v>
      </c>
      <c r="G420" s="73" t="s">
        <v>305</v>
      </c>
      <c r="H420" s="73"/>
      <c r="I420" s="105" t="s">
        <v>850</v>
      </c>
      <c r="J420" s="74">
        <v>0.50581786150087504</v>
      </c>
      <c r="K420" s="2">
        <v>33.251399999999997</v>
      </c>
      <c r="L420" s="2">
        <v>31.404099999999996</v>
      </c>
      <c r="M420" s="75"/>
      <c r="N420" s="2">
        <f t="shared" si="47"/>
        <v>0</v>
      </c>
      <c r="O420" s="106">
        <f t="shared" si="48"/>
        <v>0</v>
      </c>
      <c r="Q420" s="76"/>
      <c r="R420" s="11" t="str">
        <f t="shared" si="43"/>
        <v>-</v>
      </c>
      <c r="S420" s="30" t="str">
        <f t="shared" si="44"/>
        <v>-</v>
      </c>
      <c r="T420" s="12" t="str">
        <f t="shared" si="45"/>
        <v>-</v>
      </c>
      <c r="U420" s="13" t="str">
        <f t="shared" si="46"/>
        <v>-</v>
      </c>
      <c r="W420" s="13" t="str">
        <f t="shared" si="42"/>
        <v>-</v>
      </c>
    </row>
    <row r="421" spans="1:23" x14ac:dyDescent="0.3">
      <c r="A421" s="70">
        <v>100081992</v>
      </c>
      <c r="B421" s="71">
        <v>58880</v>
      </c>
      <c r="C421" s="96">
        <v>76630588805</v>
      </c>
      <c r="D421" s="72" t="s">
        <v>252</v>
      </c>
      <c r="E421" s="72" t="s">
        <v>736</v>
      </c>
      <c r="F421" s="73" t="s">
        <v>281</v>
      </c>
      <c r="G421" s="73" t="s">
        <v>292</v>
      </c>
      <c r="H421" s="73"/>
      <c r="I421" s="105" t="s">
        <v>850</v>
      </c>
      <c r="J421" s="74" t="e">
        <v>#N/A</v>
      </c>
      <c r="K421" s="2">
        <v>12.839399999999998</v>
      </c>
      <c r="L421" s="2">
        <v>12.126099999999999</v>
      </c>
      <c r="M421" s="75"/>
      <c r="N421" s="2">
        <f t="shared" si="47"/>
        <v>0</v>
      </c>
      <c r="O421" s="106">
        <f t="shared" si="48"/>
        <v>0</v>
      </c>
      <c r="Q421" s="76"/>
      <c r="R421" s="11" t="str">
        <f t="shared" si="43"/>
        <v>-</v>
      </c>
      <c r="S421" s="30" t="str">
        <f t="shared" si="44"/>
        <v>-</v>
      </c>
      <c r="T421" s="12" t="str">
        <f t="shared" si="45"/>
        <v>-</v>
      </c>
      <c r="U421" s="13" t="str">
        <f t="shared" si="46"/>
        <v>-</v>
      </c>
      <c r="W421" s="13" t="str">
        <f t="shared" si="42"/>
        <v>-</v>
      </c>
    </row>
    <row r="422" spans="1:23" x14ac:dyDescent="0.3">
      <c r="A422" s="70"/>
      <c r="B422" s="71"/>
      <c r="C422" s="96">
        <v>76630591218</v>
      </c>
      <c r="D422" s="72" t="s">
        <v>737</v>
      </c>
      <c r="E422" s="72"/>
      <c r="F422" s="73" t="s">
        <v>738</v>
      </c>
      <c r="G422" s="73" t="s">
        <v>292</v>
      </c>
      <c r="H422" s="73"/>
      <c r="I422" s="105" t="s">
        <v>850</v>
      </c>
      <c r="J422" s="74" t="e">
        <v>#N/A</v>
      </c>
      <c r="K422" s="2">
        <v>0</v>
      </c>
      <c r="L422" s="2">
        <v>0</v>
      </c>
      <c r="M422" s="75"/>
      <c r="N422" s="2">
        <f t="shared" si="47"/>
        <v>0</v>
      </c>
      <c r="O422" s="106">
        <f t="shared" si="48"/>
        <v>0</v>
      </c>
      <c r="Q422" s="76"/>
      <c r="R422" s="11" t="str">
        <f t="shared" si="43"/>
        <v>-</v>
      </c>
      <c r="S422" s="30" t="str">
        <f t="shared" si="44"/>
        <v>-</v>
      </c>
      <c r="T422" s="12" t="str">
        <f t="shared" si="45"/>
        <v>-</v>
      </c>
      <c r="U422" s="13" t="str">
        <f t="shared" si="46"/>
        <v>-</v>
      </c>
      <c r="W422" s="13" t="str">
        <f t="shared" si="42"/>
        <v>-</v>
      </c>
    </row>
    <row r="423" spans="1:23" x14ac:dyDescent="0.3">
      <c r="A423" s="70">
        <v>100009862</v>
      </c>
      <c r="B423" s="71">
        <v>51267</v>
      </c>
      <c r="C423" s="96">
        <v>76630512671</v>
      </c>
      <c r="D423" s="72" t="s">
        <v>739</v>
      </c>
      <c r="E423" s="72" t="s">
        <v>740</v>
      </c>
      <c r="F423" s="73" t="s">
        <v>281</v>
      </c>
      <c r="G423" s="73" t="s">
        <v>292</v>
      </c>
      <c r="H423" s="73"/>
      <c r="I423" s="105" t="s">
        <v>850</v>
      </c>
      <c r="J423" s="74" t="e">
        <v>#N/A</v>
      </c>
      <c r="K423" s="2">
        <v>12.839399999999998</v>
      </c>
      <c r="L423" s="2">
        <v>12.126099999999999</v>
      </c>
      <c r="M423" s="75"/>
      <c r="N423" s="2">
        <f t="shared" si="47"/>
        <v>0</v>
      </c>
      <c r="O423" s="106">
        <f t="shared" si="48"/>
        <v>0</v>
      </c>
      <c r="Q423" s="76"/>
      <c r="R423" s="11" t="str">
        <f t="shared" si="43"/>
        <v>-</v>
      </c>
      <c r="S423" s="30" t="str">
        <f t="shared" si="44"/>
        <v>-</v>
      </c>
      <c r="T423" s="12" t="str">
        <f t="shared" si="45"/>
        <v>-</v>
      </c>
      <c r="U423" s="13" t="str">
        <f t="shared" si="46"/>
        <v>-</v>
      </c>
      <c r="W423" s="13" t="str">
        <f t="shared" si="42"/>
        <v>-</v>
      </c>
    </row>
    <row r="424" spans="1:23" x14ac:dyDescent="0.3">
      <c r="A424" s="70"/>
      <c r="B424" s="71"/>
      <c r="C424" s="96">
        <v>76630512596</v>
      </c>
      <c r="D424" s="72" t="s">
        <v>741</v>
      </c>
      <c r="E424" s="72"/>
      <c r="F424" s="73" t="s">
        <v>738</v>
      </c>
      <c r="G424" s="73" t="s">
        <v>292</v>
      </c>
      <c r="H424" s="73"/>
      <c r="I424" s="105" t="s">
        <v>850</v>
      </c>
      <c r="J424" s="74" t="e">
        <v>#N/A</v>
      </c>
      <c r="K424" s="2">
        <v>0</v>
      </c>
      <c r="L424" s="2">
        <v>0</v>
      </c>
      <c r="M424" s="75"/>
      <c r="N424" s="2">
        <f t="shared" si="47"/>
        <v>0</v>
      </c>
      <c r="O424" s="106">
        <f t="shared" si="48"/>
        <v>0</v>
      </c>
      <c r="Q424" s="76"/>
      <c r="R424" s="11" t="str">
        <f t="shared" si="43"/>
        <v>-</v>
      </c>
      <c r="S424" s="30" t="str">
        <f t="shared" si="44"/>
        <v>-</v>
      </c>
      <c r="T424" s="12" t="str">
        <f t="shared" si="45"/>
        <v>-</v>
      </c>
      <c r="U424" s="13" t="str">
        <f t="shared" si="46"/>
        <v>-</v>
      </c>
      <c r="W424" s="13" t="str">
        <f t="shared" si="42"/>
        <v>-</v>
      </c>
    </row>
    <row r="425" spans="1:23" x14ac:dyDescent="0.3">
      <c r="A425" s="70">
        <v>100009864</v>
      </c>
      <c r="B425" s="71">
        <v>51269</v>
      </c>
      <c r="C425" s="96">
        <v>76630512695</v>
      </c>
      <c r="D425" s="72" t="s">
        <v>742</v>
      </c>
      <c r="E425" s="72" t="s">
        <v>743</v>
      </c>
      <c r="F425" s="73" t="s">
        <v>281</v>
      </c>
      <c r="G425" s="73" t="s">
        <v>292</v>
      </c>
      <c r="H425" s="73"/>
      <c r="I425" s="105" t="s">
        <v>850</v>
      </c>
      <c r="J425" s="74" t="e">
        <v>#N/A</v>
      </c>
      <c r="K425" s="2">
        <v>12.839399999999998</v>
      </c>
      <c r="L425" s="2">
        <v>12.126099999999999</v>
      </c>
      <c r="M425" s="75"/>
      <c r="N425" s="2">
        <f t="shared" si="47"/>
        <v>0</v>
      </c>
      <c r="O425" s="106">
        <f t="shared" si="48"/>
        <v>0</v>
      </c>
      <c r="Q425" s="76"/>
      <c r="R425" s="11" t="str">
        <f t="shared" si="43"/>
        <v>-</v>
      </c>
      <c r="S425" s="30" t="str">
        <f t="shared" si="44"/>
        <v>-</v>
      </c>
      <c r="T425" s="12" t="str">
        <f t="shared" si="45"/>
        <v>-</v>
      </c>
      <c r="U425" s="13" t="str">
        <f t="shared" si="46"/>
        <v>-</v>
      </c>
      <c r="W425" s="13" t="str">
        <f t="shared" si="42"/>
        <v>-</v>
      </c>
    </row>
    <row r="426" spans="1:23" x14ac:dyDescent="0.3">
      <c r="A426" s="70"/>
      <c r="B426" s="71"/>
      <c r="C426" s="96">
        <v>76630512589</v>
      </c>
      <c r="D426" s="72" t="s">
        <v>744</v>
      </c>
      <c r="E426" s="72"/>
      <c r="F426" s="73" t="s">
        <v>738</v>
      </c>
      <c r="G426" s="73" t="s">
        <v>292</v>
      </c>
      <c r="H426" s="73"/>
      <c r="I426" s="105" t="s">
        <v>850</v>
      </c>
      <c r="J426" s="74" t="e">
        <v>#N/A</v>
      </c>
      <c r="K426" s="2">
        <v>0</v>
      </c>
      <c r="L426" s="2">
        <v>0</v>
      </c>
      <c r="M426" s="75"/>
      <c r="N426" s="2">
        <f t="shared" si="47"/>
        <v>0</v>
      </c>
      <c r="O426" s="106">
        <f t="shared" si="48"/>
        <v>0</v>
      </c>
      <c r="Q426" s="76"/>
      <c r="R426" s="11" t="str">
        <f t="shared" si="43"/>
        <v>-</v>
      </c>
      <c r="S426" s="30" t="str">
        <f t="shared" si="44"/>
        <v>-</v>
      </c>
      <c r="T426" s="12" t="str">
        <f t="shared" si="45"/>
        <v>-</v>
      </c>
      <c r="U426" s="13" t="str">
        <f t="shared" si="46"/>
        <v>-</v>
      </c>
      <c r="W426" s="13" t="str">
        <f t="shared" si="42"/>
        <v>-</v>
      </c>
    </row>
    <row r="427" spans="1:23" x14ac:dyDescent="0.3">
      <c r="A427" s="70">
        <v>100009772</v>
      </c>
      <c r="B427" s="71">
        <v>17029</v>
      </c>
      <c r="C427" s="96">
        <v>76630170291</v>
      </c>
      <c r="D427" s="72" t="s">
        <v>745</v>
      </c>
      <c r="E427" s="72" t="s">
        <v>746</v>
      </c>
      <c r="F427" s="73" t="s">
        <v>276</v>
      </c>
      <c r="G427" s="73" t="s">
        <v>292</v>
      </c>
      <c r="H427" s="73"/>
      <c r="I427" s="105" t="s">
        <v>850</v>
      </c>
      <c r="J427" s="74" t="e">
        <v>#N/A</v>
      </c>
      <c r="K427" s="2">
        <v>15.863399999999999</v>
      </c>
      <c r="L427" s="2">
        <v>14.982099999999997</v>
      </c>
      <c r="M427" s="75"/>
      <c r="N427" s="2">
        <f t="shared" si="47"/>
        <v>0</v>
      </c>
      <c r="O427" s="106">
        <f t="shared" si="48"/>
        <v>0</v>
      </c>
      <c r="Q427" s="76"/>
      <c r="R427" s="11" t="str">
        <f t="shared" si="43"/>
        <v>-</v>
      </c>
      <c r="S427" s="30" t="str">
        <f t="shared" si="44"/>
        <v>-</v>
      </c>
      <c r="T427" s="12" t="str">
        <f t="shared" si="45"/>
        <v>-</v>
      </c>
      <c r="U427" s="13" t="str">
        <f t="shared" si="46"/>
        <v>-</v>
      </c>
      <c r="W427" s="13" t="str">
        <f t="shared" si="42"/>
        <v>-</v>
      </c>
    </row>
    <row r="428" spans="1:23" x14ac:dyDescent="0.3">
      <c r="A428" s="70">
        <v>100009812</v>
      </c>
      <c r="B428" s="71">
        <v>34710</v>
      </c>
      <c r="C428" s="96">
        <v>76630347105</v>
      </c>
      <c r="D428" s="72"/>
      <c r="E428" s="72" t="s">
        <v>747</v>
      </c>
      <c r="F428" s="73">
        <v>60</v>
      </c>
      <c r="G428" s="73" t="s">
        <v>748</v>
      </c>
      <c r="H428" s="73"/>
      <c r="I428" s="105" t="s">
        <v>850</v>
      </c>
      <c r="J428" s="74">
        <v>0.19348927526454165</v>
      </c>
      <c r="K428" s="2">
        <v>14.880600000000001</v>
      </c>
      <c r="L428" s="2">
        <v>14.053900000000001</v>
      </c>
      <c r="M428" s="75"/>
      <c r="N428" s="2">
        <f t="shared" si="47"/>
        <v>0</v>
      </c>
      <c r="O428" s="106">
        <f t="shared" si="48"/>
        <v>0</v>
      </c>
      <c r="Q428" s="76"/>
      <c r="R428" s="11" t="str">
        <f t="shared" si="43"/>
        <v>-</v>
      </c>
      <c r="S428" s="30" t="str">
        <f t="shared" si="44"/>
        <v>-</v>
      </c>
      <c r="T428" s="12" t="str">
        <f t="shared" si="45"/>
        <v>-</v>
      </c>
      <c r="U428" s="13" t="str">
        <f t="shared" si="46"/>
        <v>-</v>
      </c>
      <c r="W428" s="13" t="str">
        <f t="shared" si="42"/>
        <v>-</v>
      </c>
    </row>
    <row r="429" spans="1:23" x14ac:dyDescent="0.3">
      <c r="A429" s="70">
        <v>100009869</v>
      </c>
      <c r="B429" s="71">
        <v>51324</v>
      </c>
      <c r="C429" s="96">
        <v>318858513246</v>
      </c>
      <c r="D429" s="72" t="s">
        <v>749</v>
      </c>
      <c r="E429" s="72" t="s">
        <v>750</v>
      </c>
      <c r="F429" s="73" t="s">
        <v>276</v>
      </c>
      <c r="G429" s="73" t="s">
        <v>751</v>
      </c>
      <c r="H429" s="73"/>
      <c r="I429" s="105" t="s">
        <v>850</v>
      </c>
      <c r="J429" s="74" t="e">
        <v>#N/A</v>
      </c>
      <c r="K429" s="2">
        <v>8.0009999999999994</v>
      </c>
      <c r="L429" s="2">
        <v>7.5564999999999998</v>
      </c>
      <c r="M429" s="75"/>
      <c r="N429" s="2">
        <f t="shared" si="47"/>
        <v>0</v>
      </c>
      <c r="O429" s="106">
        <f t="shared" si="48"/>
        <v>0</v>
      </c>
      <c r="Q429" s="76"/>
      <c r="R429" s="11" t="str">
        <f t="shared" si="43"/>
        <v>-</v>
      </c>
      <c r="S429" s="30" t="str">
        <f t="shared" si="44"/>
        <v>-</v>
      </c>
      <c r="T429" s="12" t="str">
        <f t="shared" si="45"/>
        <v>-</v>
      </c>
      <c r="U429" s="13" t="str">
        <f t="shared" si="46"/>
        <v>-</v>
      </c>
      <c r="W429" s="13" t="str">
        <f t="shared" si="42"/>
        <v>-</v>
      </c>
    </row>
    <row r="430" spans="1:23" x14ac:dyDescent="0.3">
      <c r="A430" s="70">
        <v>100009923</v>
      </c>
      <c r="B430" s="71">
        <v>54024</v>
      </c>
      <c r="C430" s="96">
        <v>318858540242</v>
      </c>
      <c r="D430" s="72" t="s">
        <v>752</v>
      </c>
      <c r="E430" s="72" t="s">
        <v>753</v>
      </c>
      <c r="F430" s="73" t="s">
        <v>276</v>
      </c>
      <c r="G430" s="73" t="s">
        <v>751</v>
      </c>
      <c r="H430" s="73"/>
      <c r="I430" s="105" t="s">
        <v>850</v>
      </c>
      <c r="J430" s="74" t="e">
        <v>#N/A</v>
      </c>
      <c r="K430" s="2">
        <v>8.0009999999999994</v>
      </c>
      <c r="L430" s="2">
        <v>7.5564999999999998</v>
      </c>
      <c r="M430" s="75"/>
      <c r="N430" s="2">
        <f t="shared" si="47"/>
        <v>0</v>
      </c>
      <c r="O430" s="106">
        <f t="shared" si="48"/>
        <v>0</v>
      </c>
      <c r="Q430" s="76"/>
      <c r="R430" s="11" t="str">
        <f t="shared" si="43"/>
        <v>-</v>
      </c>
      <c r="S430" s="30" t="str">
        <f t="shared" si="44"/>
        <v>-</v>
      </c>
      <c r="T430" s="12" t="str">
        <f t="shared" si="45"/>
        <v>-</v>
      </c>
      <c r="U430" s="13" t="str">
        <f t="shared" si="46"/>
        <v>-</v>
      </c>
      <c r="W430" s="13" t="str">
        <f t="shared" si="42"/>
        <v>-</v>
      </c>
    </row>
    <row r="431" spans="1:23" x14ac:dyDescent="0.3">
      <c r="A431" s="70">
        <v>100009924</v>
      </c>
      <c r="B431" s="71">
        <v>54124</v>
      </c>
      <c r="C431" s="96">
        <v>318858541249</v>
      </c>
      <c r="D431" s="72" t="s">
        <v>754</v>
      </c>
      <c r="E431" s="72" t="s">
        <v>755</v>
      </c>
      <c r="F431" s="73" t="s">
        <v>276</v>
      </c>
      <c r="G431" s="73" t="s">
        <v>751</v>
      </c>
      <c r="H431" s="73"/>
      <c r="I431" s="105" t="s">
        <v>850</v>
      </c>
      <c r="J431" s="74" t="e">
        <v>#N/A</v>
      </c>
      <c r="K431" s="2">
        <v>8.0009999999999994</v>
      </c>
      <c r="L431" s="2">
        <v>7.5564999999999998</v>
      </c>
      <c r="M431" s="75"/>
      <c r="N431" s="2">
        <f t="shared" si="47"/>
        <v>0</v>
      </c>
      <c r="O431" s="106">
        <f t="shared" si="48"/>
        <v>0</v>
      </c>
      <c r="Q431" s="76"/>
      <c r="R431" s="11" t="str">
        <f t="shared" si="43"/>
        <v>-</v>
      </c>
      <c r="S431" s="30" t="str">
        <f t="shared" si="44"/>
        <v>-</v>
      </c>
      <c r="T431" s="12" t="str">
        <f t="shared" si="45"/>
        <v>-</v>
      </c>
      <c r="U431" s="13" t="str">
        <f t="shared" si="46"/>
        <v>-</v>
      </c>
      <c r="W431" s="13" t="str">
        <f t="shared" si="42"/>
        <v>-</v>
      </c>
    </row>
    <row r="432" spans="1:23" x14ac:dyDescent="0.3">
      <c r="A432" s="70">
        <v>100009737</v>
      </c>
      <c r="B432" s="71">
        <v>10924</v>
      </c>
      <c r="C432" s="96">
        <v>318858109241</v>
      </c>
      <c r="D432" s="72" t="s">
        <v>756</v>
      </c>
      <c r="E432" s="72" t="s">
        <v>757</v>
      </c>
      <c r="F432" s="73" t="s">
        <v>276</v>
      </c>
      <c r="G432" s="73" t="s">
        <v>751</v>
      </c>
      <c r="H432" s="73"/>
      <c r="I432" s="105" t="s">
        <v>850</v>
      </c>
      <c r="J432" s="74" t="e">
        <v>#N/A</v>
      </c>
      <c r="K432" s="2">
        <v>8.0009999999999994</v>
      </c>
      <c r="L432" s="2">
        <v>7.5564999999999998</v>
      </c>
      <c r="M432" s="75"/>
      <c r="N432" s="2">
        <f t="shared" si="47"/>
        <v>0</v>
      </c>
      <c r="O432" s="106">
        <f t="shared" si="48"/>
        <v>0</v>
      </c>
      <c r="Q432" s="76"/>
      <c r="R432" s="11" t="str">
        <f t="shared" si="43"/>
        <v>-</v>
      </c>
      <c r="S432" s="30" t="str">
        <f t="shared" si="44"/>
        <v>-</v>
      </c>
      <c r="T432" s="12" t="str">
        <f t="shared" si="45"/>
        <v>-</v>
      </c>
      <c r="U432" s="13" t="str">
        <f t="shared" si="46"/>
        <v>-</v>
      </c>
      <c r="W432" s="13" t="str">
        <f t="shared" si="42"/>
        <v>-</v>
      </c>
    </row>
    <row r="433" spans="1:23" x14ac:dyDescent="0.3">
      <c r="A433" s="70">
        <v>100009736</v>
      </c>
      <c r="B433" s="71">
        <v>10824</v>
      </c>
      <c r="C433" s="96">
        <v>318858108244</v>
      </c>
      <c r="D433" s="72" t="s">
        <v>758</v>
      </c>
      <c r="E433" s="72" t="s">
        <v>759</v>
      </c>
      <c r="F433" s="73" t="s">
        <v>276</v>
      </c>
      <c r="G433" s="73" t="s">
        <v>751</v>
      </c>
      <c r="H433" s="73"/>
      <c r="I433" s="105" t="s">
        <v>850</v>
      </c>
      <c r="J433" s="74" t="e">
        <v>#N/A</v>
      </c>
      <c r="K433" s="2">
        <v>8.0009999999999994</v>
      </c>
      <c r="L433" s="2">
        <v>7.5564999999999998</v>
      </c>
      <c r="M433" s="75"/>
      <c r="N433" s="2">
        <f t="shared" si="47"/>
        <v>0</v>
      </c>
      <c r="O433" s="106">
        <f t="shared" si="48"/>
        <v>0</v>
      </c>
      <c r="Q433" s="76"/>
      <c r="R433" s="11" t="str">
        <f t="shared" si="43"/>
        <v>-</v>
      </c>
      <c r="S433" s="30" t="str">
        <f t="shared" si="44"/>
        <v>-</v>
      </c>
      <c r="T433" s="12" t="str">
        <f t="shared" si="45"/>
        <v>-</v>
      </c>
      <c r="U433" s="13" t="str">
        <f t="shared" si="46"/>
        <v>-</v>
      </c>
      <c r="W433" s="13" t="str">
        <f t="shared" si="42"/>
        <v>-</v>
      </c>
    </row>
    <row r="434" spans="1:23" x14ac:dyDescent="0.3">
      <c r="A434" s="70">
        <v>100009951</v>
      </c>
      <c r="B434" s="71">
        <v>58524</v>
      </c>
      <c r="C434" s="96">
        <v>318858585243</v>
      </c>
      <c r="D434" s="72" t="s">
        <v>760</v>
      </c>
      <c r="E434" s="72" t="s">
        <v>761</v>
      </c>
      <c r="F434" s="73" t="s">
        <v>276</v>
      </c>
      <c r="G434" s="73" t="s">
        <v>751</v>
      </c>
      <c r="H434" s="73"/>
      <c r="I434" s="105" t="s">
        <v>850</v>
      </c>
      <c r="J434" s="74" t="e">
        <v>#N/A</v>
      </c>
      <c r="K434" s="2">
        <v>8.0009999999999994</v>
      </c>
      <c r="L434" s="2">
        <v>7.5564999999999998</v>
      </c>
      <c r="M434" s="75"/>
      <c r="N434" s="2">
        <f t="shared" si="47"/>
        <v>0</v>
      </c>
      <c r="O434" s="106">
        <f t="shared" si="48"/>
        <v>0</v>
      </c>
      <c r="Q434" s="76"/>
      <c r="R434" s="11" t="str">
        <f t="shared" si="43"/>
        <v>-</v>
      </c>
      <c r="S434" s="30" t="str">
        <f t="shared" si="44"/>
        <v>-</v>
      </c>
      <c r="T434" s="12" t="str">
        <f t="shared" si="45"/>
        <v>-</v>
      </c>
      <c r="U434" s="13" t="str">
        <f t="shared" si="46"/>
        <v>-</v>
      </c>
      <c r="W434" s="13" t="str">
        <f t="shared" si="42"/>
        <v>-</v>
      </c>
    </row>
    <row r="435" spans="1:23" x14ac:dyDescent="0.3">
      <c r="A435" s="70">
        <v>100009836</v>
      </c>
      <c r="B435" s="71">
        <v>50124</v>
      </c>
      <c r="C435" s="96">
        <v>318858501243</v>
      </c>
      <c r="D435" s="72" t="s">
        <v>247</v>
      </c>
      <c r="E435" s="72" t="s">
        <v>762</v>
      </c>
      <c r="F435" s="73" t="s">
        <v>276</v>
      </c>
      <c r="G435" s="73" t="s">
        <v>751</v>
      </c>
      <c r="H435" s="73"/>
      <c r="I435" s="105" t="s">
        <v>850</v>
      </c>
      <c r="J435" s="74">
        <v>0.3187639279857083</v>
      </c>
      <c r="K435" s="2">
        <v>7.5473999999999997</v>
      </c>
      <c r="L435" s="2">
        <v>7.128099999999999</v>
      </c>
      <c r="M435" s="75"/>
      <c r="N435" s="2">
        <f t="shared" si="47"/>
        <v>0</v>
      </c>
      <c r="O435" s="106">
        <f t="shared" si="48"/>
        <v>0</v>
      </c>
      <c r="Q435" s="76"/>
      <c r="R435" s="11" t="str">
        <f t="shared" si="43"/>
        <v>-</v>
      </c>
      <c r="S435" s="30" t="str">
        <f t="shared" si="44"/>
        <v>-</v>
      </c>
      <c r="T435" s="12" t="str">
        <f t="shared" si="45"/>
        <v>-</v>
      </c>
      <c r="U435" s="13" t="str">
        <f t="shared" si="46"/>
        <v>-</v>
      </c>
      <c r="W435" s="13" t="str">
        <f t="shared" si="42"/>
        <v>-</v>
      </c>
    </row>
    <row r="436" spans="1:23" x14ac:dyDescent="0.3">
      <c r="A436" s="70">
        <v>100009838</v>
      </c>
      <c r="B436" s="71">
        <v>50148</v>
      </c>
      <c r="C436" s="96">
        <v>318858501489</v>
      </c>
      <c r="D436" s="72" t="s">
        <v>247</v>
      </c>
      <c r="E436" s="72" t="s">
        <v>763</v>
      </c>
      <c r="F436" s="73" t="s">
        <v>277</v>
      </c>
      <c r="G436" s="73" t="s">
        <v>751</v>
      </c>
      <c r="H436" s="73"/>
      <c r="I436" s="105" t="s">
        <v>850</v>
      </c>
      <c r="J436" s="74">
        <v>0.60835430670758328</v>
      </c>
      <c r="K436" s="2">
        <v>13.5954</v>
      </c>
      <c r="L436" s="2">
        <v>12.840099999999996</v>
      </c>
      <c r="M436" s="75"/>
      <c r="N436" s="2">
        <f t="shared" si="47"/>
        <v>0</v>
      </c>
      <c r="O436" s="106">
        <f t="shared" si="48"/>
        <v>0</v>
      </c>
      <c r="Q436" s="76"/>
      <c r="R436" s="11" t="str">
        <f t="shared" si="43"/>
        <v>-</v>
      </c>
      <c r="S436" s="30" t="str">
        <f t="shared" si="44"/>
        <v>-</v>
      </c>
      <c r="T436" s="12" t="str">
        <f t="shared" si="45"/>
        <v>-</v>
      </c>
      <c r="U436" s="13" t="str">
        <f t="shared" si="46"/>
        <v>-</v>
      </c>
      <c r="W436" s="13" t="str">
        <f t="shared" ref="W436:W441" si="49">IFERROR(IF(U436+O436=0, "-", IF(U436&gt;0, U436+O436, "-")), "-")</f>
        <v>-</v>
      </c>
    </row>
    <row r="437" spans="1:23" x14ac:dyDescent="0.3">
      <c r="A437" s="70">
        <v>100009837</v>
      </c>
      <c r="B437" s="71">
        <v>50132</v>
      </c>
      <c r="C437" s="96">
        <v>318858501328</v>
      </c>
      <c r="D437" s="72" t="s">
        <v>247</v>
      </c>
      <c r="E437" s="72" t="s">
        <v>764</v>
      </c>
      <c r="F437" s="73" t="s">
        <v>278</v>
      </c>
      <c r="G437" s="73" t="s">
        <v>751</v>
      </c>
      <c r="H437" s="73"/>
      <c r="I437" s="105" t="s">
        <v>850</v>
      </c>
      <c r="J437" s="74">
        <v>1.1051626897593336</v>
      </c>
      <c r="K437" s="2">
        <v>21.9114</v>
      </c>
      <c r="L437" s="2">
        <v>20.694099999999999</v>
      </c>
      <c r="M437" s="75"/>
      <c r="N437" s="2">
        <f t="shared" si="47"/>
        <v>0</v>
      </c>
      <c r="O437" s="106">
        <f t="shared" si="48"/>
        <v>0</v>
      </c>
      <c r="Q437" s="76"/>
      <c r="R437" s="11" t="str">
        <f t="shared" ref="R437:R441" si="50">IFERROR(IF($R$2*J437=0, "-", $R$2*J437), "-")</f>
        <v>-</v>
      </c>
      <c r="S437" s="30" t="str">
        <f t="shared" si="44"/>
        <v>-</v>
      </c>
      <c r="T437" s="12" t="str">
        <f t="shared" ref="T437:T441" si="51">IF(M437&gt;0,M437*J437, "-")</f>
        <v>-</v>
      </c>
      <c r="U437" s="13" t="str">
        <f t="shared" ref="U437:U441" si="52">IFERROR(IF($R$2&gt;0, $R$2*T437, "-"), "-")</f>
        <v>-</v>
      </c>
      <c r="W437" s="13" t="str">
        <f t="shared" si="49"/>
        <v>-</v>
      </c>
    </row>
    <row r="438" spans="1:23" x14ac:dyDescent="0.3">
      <c r="A438" s="70">
        <v>100009920</v>
      </c>
      <c r="B438" s="71">
        <v>53312</v>
      </c>
      <c r="C438" s="96">
        <v>318858533183</v>
      </c>
      <c r="D438" s="72" t="s">
        <v>248</v>
      </c>
      <c r="E438" s="72" t="s">
        <v>765</v>
      </c>
      <c r="F438" s="73" t="s">
        <v>279</v>
      </c>
      <c r="G438" s="73" t="s">
        <v>751</v>
      </c>
      <c r="H438" s="73"/>
      <c r="I438" s="105" t="s">
        <v>850</v>
      </c>
      <c r="J438" s="74">
        <v>6.4353417493750009E-2</v>
      </c>
      <c r="K438" s="2">
        <v>8.8325999999999993</v>
      </c>
      <c r="L438" s="2">
        <v>8.341899999999999</v>
      </c>
      <c r="M438" s="75"/>
      <c r="N438" s="2">
        <f t="shared" si="47"/>
        <v>0</v>
      </c>
      <c r="O438" s="106">
        <f t="shared" si="48"/>
        <v>0</v>
      </c>
      <c r="Q438" s="76"/>
      <c r="R438" s="11" t="str">
        <f t="shared" si="50"/>
        <v>-</v>
      </c>
      <c r="S438" s="30" t="str">
        <f t="shared" si="44"/>
        <v>-</v>
      </c>
      <c r="T438" s="12" t="str">
        <f t="shared" si="51"/>
        <v>-</v>
      </c>
      <c r="U438" s="13" t="str">
        <f t="shared" si="52"/>
        <v>-</v>
      </c>
      <c r="W438" s="13" t="str">
        <f t="shared" si="49"/>
        <v>-</v>
      </c>
    </row>
    <row r="439" spans="1:23" x14ac:dyDescent="0.3">
      <c r="A439" s="70">
        <v>100009921</v>
      </c>
      <c r="B439" s="71">
        <v>53318</v>
      </c>
      <c r="C439" s="96">
        <v>318858533121</v>
      </c>
      <c r="D439" s="72" t="s">
        <v>766</v>
      </c>
      <c r="E439" s="72" t="s">
        <v>767</v>
      </c>
      <c r="F439" s="73" t="s">
        <v>768</v>
      </c>
      <c r="G439" s="73" t="s">
        <v>751</v>
      </c>
      <c r="H439" s="73"/>
      <c r="I439" s="105" t="s">
        <v>850</v>
      </c>
      <c r="J439" s="74" t="e">
        <v>#N/A</v>
      </c>
      <c r="K439" s="2">
        <v>12.839399999999998</v>
      </c>
      <c r="L439" s="2">
        <v>12.126099999999999</v>
      </c>
      <c r="M439" s="75"/>
      <c r="N439" s="2">
        <f t="shared" si="47"/>
        <v>0</v>
      </c>
      <c r="O439" s="106">
        <f t="shared" si="48"/>
        <v>0</v>
      </c>
      <c r="Q439" s="76"/>
      <c r="R439" s="11" t="str">
        <f t="shared" si="50"/>
        <v>-</v>
      </c>
      <c r="S439" s="30" t="str">
        <f t="shared" si="44"/>
        <v>-</v>
      </c>
      <c r="T439" s="12" t="str">
        <f t="shared" si="51"/>
        <v>-</v>
      </c>
      <c r="U439" s="13" t="str">
        <f t="shared" si="52"/>
        <v>-</v>
      </c>
      <c r="W439" s="13" t="str">
        <f t="shared" si="49"/>
        <v>-</v>
      </c>
    </row>
    <row r="440" spans="1:23" x14ac:dyDescent="0.3">
      <c r="A440" s="70">
        <v>100009779</v>
      </c>
      <c r="B440" s="71">
        <v>18030</v>
      </c>
      <c r="C440" s="96">
        <v>318858180301</v>
      </c>
      <c r="D440" s="72" t="s">
        <v>769</v>
      </c>
      <c r="E440" s="72" t="s">
        <v>770</v>
      </c>
      <c r="F440" s="73" t="s">
        <v>771</v>
      </c>
      <c r="G440" s="73" t="s">
        <v>751</v>
      </c>
      <c r="H440" s="73"/>
      <c r="I440" s="105" t="s">
        <v>850</v>
      </c>
      <c r="J440" s="74" t="e">
        <v>#N/A</v>
      </c>
      <c r="K440" s="2">
        <v>12.6</v>
      </c>
      <c r="L440" s="2">
        <v>11.899999999999999</v>
      </c>
      <c r="M440" s="75"/>
      <c r="N440" s="2">
        <f t="shared" si="47"/>
        <v>0</v>
      </c>
      <c r="O440" s="106">
        <f t="shared" si="48"/>
        <v>0</v>
      </c>
      <c r="Q440" s="76"/>
      <c r="R440" s="11" t="str">
        <f t="shared" si="50"/>
        <v>-</v>
      </c>
      <c r="S440" s="30" t="str">
        <f t="shared" si="44"/>
        <v>-</v>
      </c>
      <c r="T440" s="12" t="str">
        <f t="shared" si="51"/>
        <v>-</v>
      </c>
      <c r="U440" s="13" t="str">
        <f t="shared" si="52"/>
        <v>-</v>
      </c>
      <c r="W440" s="13" t="str">
        <f t="shared" si="49"/>
        <v>-</v>
      </c>
    </row>
    <row r="441" spans="1:23" x14ac:dyDescent="0.3">
      <c r="A441" s="70">
        <v>100009778</v>
      </c>
      <c r="B441" s="71">
        <v>17907</v>
      </c>
      <c r="C441" s="96">
        <v>318858179077</v>
      </c>
      <c r="D441" s="72" t="s">
        <v>772</v>
      </c>
      <c r="E441" s="72" t="s">
        <v>773</v>
      </c>
      <c r="F441" s="73" t="s">
        <v>280</v>
      </c>
      <c r="G441" s="73" t="s">
        <v>751</v>
      </c>
      <c r="H441" s="73"/>
      <c r="I441" s="105" t="s">
        <v>850</v>
      </c>
      <c r="J441" s="74" t="e">
        <v>#N/A</v>
      </c>
      <c r="K441" s="2">
        <v>13.23</v>
      </c>
      <c r="L441" s="2">
        <v>12.494999999999997</v>
      </c>
      <c r="M441" s="75"/>
      <c r="N441" s="2">
        <f t="shared" si="47"/>
        <v>0</v>
      </c>
      <c r="O441" s="106">
        <f t="shared" si="48"/>
        <v>0</v>
      </c>
      <c r="Q441" s="76"/>
      <c r="R441" s="11" t="str">
        <f t="shared" si="50"/>
        <v>-</v>
      </c>
      <c r="S441" s="30" t="str">
        <f t="shared" si="44"/>
        <v>-</v>
      </c>
      <c r="T441" s="12" t="str">
        <f t="shared" si="51"/>
        <v>-</v>
      </c>
      <c r="U441" s="13" t="str">
        <f t="shared" si="52"/>
        <v>-</v>
      </c>
      <c r="W441" s="13" t="str">
        <f t="shared" si="49"/>
        <v>-</v>
      </c>
    </row>
    <row r="442" spans="1:23" x14ac:dyDescent="0.3">
      <c r="A442" s="70">
        <v>100009741</v>
      </c>
      <c r="B442" s="71">
        <v>12056</v>
      </c>
      <c r="C442" s="96">
        <v>318858120567</v>
      </c>
      <c r="D442" s="72" t="s">
        <v>249</v>
      </c>
      <c r="E442" s="72" t="s">
        <v>774</v>
      </c>
      <c r="F442" s="73" t="s">
        <v>280</v>
      </c>
      <c r="G442" s="73" t="s">
        <v>751</v>
      </c>
      <c r="H442" s="73"/>
      <c r="I442" s="105" t="s">
        <v>850</v>
      </c>
      <c r="J442" s="74">
        <v>0.19735048031416669</v>
      </c>
      <c r="K442" s="2">
        <v>15.863399999999999</v>
      </c>
      <c r="L442" s="2">
        <v>14.982099999999997</v>
      </c>
      <c r="M442" s="75"/>
      <c r="N442" s="2">
        <f t="shared" si="47"/>
        <v>0</v>
      </c>
      <c r="O442" s="106">
        <f t="shared" si="48"/>
        <v>0</v>
      </c>
      <c r="R442" s="11" t="str">
        <f t="shared" ref="R442:R463" si="53">IFERROR(IF($R$2*J442=0, "-", $R$2*J442), "-")</f>
        <v>-</v>
      </c>
      <c r="S442" s="30" t="str">
        <f t="shared" ref="S442:S463" si="54">IFERROR(IF(R442&gt;0,M442+R442,"-"),"-")</f>
        <v>-</v>
      </c>
      <c r="T442" s="12" t="str">
        <f t="shared" ref="T442:T463" si="55">IF(M442&gt;0,M442*J442, "-")</f>
        <v>-</v>
      </c>
      <c r="U442" s="13" t="str">
        <f t="shared" ref="U442:U463" si="56">IFERROR(IF($R$2&gt;0, $R$2*T442, "-"), "-")</f>
        <v>-</v>
      </c>
      <c r="W442" s="13" t="str">
        <f t="shared" ref="W442:W463" si="57">IFERROR(IF(U442+O442=0, "-", IF(U442&gt;0, U442+O442, "-")), "-")</f>
        <v>-</v>
      </c>
    </row>
    <row r="443" spans="1:23" x14ac:dyDescent="0.3">
      <c r="A443" s="70">
        <v>100009927</v>
      </c>
      <c r="B443" s="71">
        <v>56001</v>
      </c>
      <c r="C443" s="96">
        <v>318858560011</v>
      </c>
      <c r="D443" s="72" t="s">
        <v>775</v>
      </c>
      <c r="E443" s="72" t="s">
        <v>776</v>
      </c>
      <c r="F443" s="73" t="s">
        <v>777</v>
      </c>
      <c r="G443" s="73" t="s">
        <v>751</v>
      </c>
      <c r="H443" s="73"/>
      <c r="I443" s="105" t="s">
        <v>850</v>
      </c>
      <c r="J443" s="74" t="e">
        <v>#N/A</v>
      </c>
      <c r="K443" s="2">
        <v>5.5817999999999994</v>
      </c>
      <c r="L443" s="2">
        <v>5.2716999999999992</v>
      </c>
      <c r="M443" s="75"/>
      <c r="N443" s="2">
        <f t="shared" si="47"/>
        <v>0</v>
      </c>
      <c r="O443" s="106">
        <f t="shared" si="48"/>
        <v>0</v>
      </c>
      <c r="R443" s="11" t="str">
        <f t="shared" si="53"/>
        <v>-</v>
      </c>
      <c r="S443" s="30" t="str">
        <f t="shared" si="54"/>
        <v>-</v>
      </c>
      <c r="T443" s="12" t="str">
        <f t="shared" si="55"/>
        <v>-</v>
      </c>
      <c r="U443" s="13" t="str">
        <f t="shared" si="56"/>
        <v>-</v>
      </c>
      <c r="W443" s="13" t="str">
        <f t="shared" si="57"/>
        <v>-</v>
      </c>
    </row>
    <row r="444" spans="1:23" x14ac:dyDescent="0.3">
      <c r="A444" s="70">
        <v>100163286</v>
      </c>
      <c r="B444" s="71">
        <v>71527</v>
      </c>
      <c r="C444" s="96">
        <v>318858715275</v>
      </c>
      <c r="D444" s="72" t="s">
        <v>778</v>
      </c>
      <c r="E444" s="72" t="s">
        <v>779</v>
      </c>
      <c r="F444" s="73" t="s">
        <v>780</v>
      </c>
      <c r="G444" s="73" t="s">
        <v>751</v>
      </c>
      <c r="H444" s="73"/>
      <c r="I444" s="105" t="s">
        <v>850</v>
      </c>
      <c r="J444" s="74" t="e">
        <v>#N/A</v>
      </c>
      <c r="K444" s="2">
        <v>11.327400000000001</v>
      </c>
      <c r="L444" s="2">
        <v>10.698099999999998</v>
      </c>
      <c r="M444" s="75"/>
      <c r="N444" s="2">
        <f t="shared" si="47"/>
        <v>0</v>
      </c>
      <c r="O444" s="106">
        <f t="shared" si="48"/>
        <v>0</v>
      </c>
      <c r="R444" s="11" t="str">
        <f t="shared" si="53"/>
        <v>-</v>
      </c>
      <c r="S444" s="30" t="str">
        <f t="shared" si="54"/>
        <v>-</v>
      </c>
      <c r="T444" s="12" t="str">
        <f t="shared" si="55"/>
        <v>-</v>
      </c>
      <c r="U444" s="13" t="str">
        <f t="shared" si="56"/>
        <v>-</v>
      </c>
      <c r="W444" s="13" t="str">
        <f t="shared" si="57"/>
        <v>-</v>
      </c>
    </row>
    <row r="445" spans="1:23" x14ac:dyDescent="0.3">
      <c r="A445" s="70">
        <v>100190578</v>
      </c>
      <c r="B445" s="71">
        <v>30332</v>
      </c>
      <c r="C445" s="96">
        <v>33984303324</v>
      </c>
      <c r="D445" s="72" t="s">
        <v>40</v>
      </c>
      <c r="E445" s="72" t="s">
        <v>783</v>
      </c>
      <c r="F445" s="73">
        <v>60</v>
      </c>
      <c r="G445" s="73" t="s">
        <v>330</v>
      </c>
      <c r="H445" s="73"/>
      <c r="I445" s="105" t="s">
        <v>850</v>
      </c>
      <c r="J445" s="74" t="e">
        <v>#N/A</v>
      </c>
      <c r="K445" s="2">
        <v>9.702</v>
      </c>
      <c r="L445" s="2">
        <v>9.1629999999999985</v>
      </c>
      <c r="M445" s="75"/>
      <c r="N445" s="2">
        <f t="shared" si="47"/>
        <v>0</v>
      </c>
      <c r="O445" s="106">
        <f t="shared" si="48"/>
        <v>0</v>
      </c>
      <c r="R445" s="11" t="str">
        <f t="shared" si="53"/>
        <v>-</v>
      </c>
      <c r="S445" s="30" t="str">
        <f t="shared" si="54"/>
        <v>-</v>
      </c>
      <c r="T445" s="12" t="str">
        <f t="shared" si="55"/>
        <v>-</v>
      </c>
      <c r="U445" s="13" t="str">
        <f t="shared" si="56"/>
        <v>-</v>
      </c>
      <c r="W445" s="13" t="str">
        <f t="shared" si="57"/>
        <v>-</v>
      </c>
    </row>
    <row r="446" spans="1:23" x14ac:dyDescent="0.3">
      <c r="A446" s="70">
        <v>100009532</v>
      </c>
      <c r="B446" s="71">
        <v>2461</v>
      </c>
      <c r="C446" s="96">
        <v>33984024618</v>
      </c>
      <c r="D446" s="72" t="s">
        <v>784</v>
      </c>
      <c r="E446" s="72" t="s">
        <v>785</v>
      </c>
      <c r="F446" s="73">
        <v>100</v>
      </c>
      <c r="G446" s="73" t="s">
        <v>305</v>
      </c>
      <c r="H446" s="73"/>
      <c r="I446" s="105" t="s">
        <v>850</v>
      </c>
      <c r="J446" s="74" t="e">
        <v>#N/A</v>
      </c>
      <c r="K446" s="2">
        <v>13.23</v>
      </c>
      <c r="L446" s="2">
        <v>12.494999999999997</v>
      </c>
      <c r="M446" s="75"/>
      <c r="N446" s="2">
        <f t="shared" si="47"/>
        <v>0</v>
      </c>
      <c r="O446" s="106">
        <f t="shared" si="48"/>
        <v>0</v>
      </c>
      <c r="R446" s="11" t="str">
        <f t="shared" si="53"/>
        <v>-</v>
      </c>
      <c r="S446" s="30" t="str">
        <f t="shared" si="54"/>
        <v>-</v>
      </c>
      <c r="T446" s="12" t="str">
        <f t="shared" si="55"/>
        <v>-</v>
      </c>
      <c r="U446" s="13" t="str">
        <f t="shared" si="56"/>
        <v>-</v>
      </c>
      <c r="W446" s="13" t="str">
        <f t="shared" si="57"/>
        <v>-</v>
      </c>
    </row>
    <row r="447" spans="1:23" x14ac:dyDescent="0.3">
      <c r="A447" s="70">
        <v>100190489</v>
      </c>
      <c r="B447" s="71">
        <v>30326</v>
      </c>
      <c r="C447" s="96">
        <v>33984303263</v>
      </c>
      <c r="D447" s="72" t="s">
        <v>518</v>
      </c>
      <c r="E447" s="72" t="s">
        <v>788</v>
      </c>
      <c r="F447" s="73">
        <v>30</v>
      </c>
      <c r="G447" s="73" t="s">
        <v>300</v>
      </c>
      <c r="H447" s="73"/>
      <c r="I447" s="105" t="s">
        <v>850</v>
      </c>
      <c r="J447" s="74" t="e">
        <v>#N/A</v>
      </c>
      <c r="K447" s="2">
        <v>8.6940000000000008</v>
      </c>
      <c r="L447" s="2">
        <v>8.2110000000000003</v>
      </c>
      <c r="M447" s="75"/>
      <c r="N447" s="2">
        <f t="shared" si="47"/>
        <v>0</v>
      </c>
      <c r="O447" s="106">
        <f t="shared" si="48"/>
        <v>0</v>
      </c>
      <c r="R447" s="11" t="str">
        <f t="shared" si="53"/>
        <v>-</v>
      </c>
      <c r="S447" s="30" t="str">
        <f t="shared" si="54"/>
        <v>-</v>
      </c>
      <c r="T447" s="12" t="str">
        <f t="shared" si="55"/>
        <v>-</v>
      </c>
      <c r="U447" s="13" t="str">
        <f t="shared" si="56"/>
        <v>-</v>
      </c>
      <c r="W447" s="13" t="str">
        <f t="shared" si="57"/>
        <v>-</v>
      </c>
    </row>
    <row r="448" spans="1:23" x14ac:dyDescent="0.3">
      <c r="A448" s="70">
        <v>100184388</v>
      </c>
      <c r="B448" s="71">
        <v>30003</v>
      </c>
      <c r="C448" s="96">
        <v>33984005396</v>
      </c>
      <c r="D448" s="72" t="s">
        <v>611</v>
      </c>
      <c r="E448" s="72" t="s">
        <v>789</v>
      </c>
      <c r="F448" s="73">
        <v>50</v>
      </c>
      <c r="G448" s="73" t="s">
        <v>330</v>
      </c>
      <c r="H448" s="73"/>
      <c r="I448" s="105" t="s">
        <v>850</v>
      </c>
      <c r="J448" s="74" t="e">
        <v>#N/A</v>
      </c>
      <c r="K448" s="2">
        <v>16.695</v>
      </c>
      <c r="L448" s="2">
        <v>15.767499999999998</v>
      </c>
      <c r="M448" s="75"/>
      <c r="N448" s="2">
        <f t="shared" si="47"/>
        <v>0</v>
      </c>
      <c r="O448" s="106">
        <f t="shared" si="48"/>
        <v>0</v>
      </c>
      <c r="R448" s="11" t="str">
        <f t="shared" si="53"/>
        <v>-</v>
      </c>
      <c r="S448" s="30" t="str">
        <f t="shared" si="54"/>
        <v>-</v>
      </c>
      <c r="T448" s="12" t="str">
        <f t="shared" si="55"/>
        <v>-</v>
      </c>
      <c r="U448" s="13" t="str">
        <f t="shared" si="56"/>
        <v>-</v>
      </c>
      <c r="W448" s="13" t="str">
        <f t="shared" si="57"/>
        <v>-</v>
      </c>
    </row>
    <row r="449" spans="1:23" x14ac:dyDescent="0.3">
      <c r="A449" s="70">
        <v>100009980</v>
      </c>
      <c r="B449" s="71">
        <v>73231</v>
      </c>
      <c r="C449" s="96">
        <v>76630032315</v>
      </c>
      <c r="D449" s="72" t="s">
        <v>790</v>
      </c>
      <c r="E449" s="72" t="s">
        <v>791</v>
      </c>
      <c r="F449" s="73" t="s">
        <v>792</v>
      </c>
      <c r="G449" s="73" t="s">
        <v>330</v>
      </c>
      <c r="H449" s="73"/>
      <c r="I449" s="105" t="s">
        <v>850</v>
      </c>
      <c r="J449" s="74" t="e">
        <v>#N/A</v>
      </c>
      <c r="K449" s="2">
        <v>14.124599999999999</v>
      </c>
      <c r="L449" s="2">
        <v>13.3399</v>
      </c>
      <c r="M449" s="75"/>
      <c r="N449" s="2">
        <f t="shared" si="47"/>
        <v>0</v>
      </c>
      <c r="O449" s="106">
        <f t="shared" si="48"/>
        <v>0</v>
      </c>
      <c r="R449" s="11" t="str">
        <f t="shared" si="53"/>
        <v>-</v>
      </c>
      <c r="S449" s="30" t="str">
        <f t="shared" si="54"/>
        <v>-</v>
      </c>
      <c r="T449" s="12" t="str">
        <f t="shared" si="55"/>
        <v>-</v>
      </c>
      <c r="U449" s="13" t="str">
        <f t="shared" si="56"/>
        <v>-</v>
      </c>
      <c r="W449" s="13" t="str">
        <f t="shared" si="57"/>
        <v>-</v>
      </c>
    </row>
    <row r="450" spans="1:23" x14ac:dyDescent="0.3">
      <c r="A450" s="70">
        <v>100009767</v>
      </c>
      <c r="B450" s="71">
        <v>16985</v>
      </c>
      <c r="C450" s="96">
        <v>76630169851</v>
      </c>
      <c r="D450" s="72" t="s">
        <v>239</v>
      </c>
      <c r="E450" s="72" t="s">
        <v>793</v>
      </c>
      <c r="F450" s="73">
        <v>60</v>
      </c>
      <c r="G450" s="73" t="s">
        <v>434</v>
      </c>
      <c r="H450" s="73"/>
      <c r="I450" s="105" t="s">
        <v>850</v>
      </c>
      <c r="J450" s="74" t="e">
        <v>#N/A</v>
      </c>
      <c r="K450" s="2">
        <v>8.3033999999999999</v>
      </c>
      <c r="L450" s="2">
        <v>7.8420999999999994</v>
      </c>
      <c r="M450" s="75"/>
      <c r="N450" s="2">
        <f t="shared" si="47"/>
        <v>0</v>
      </c>
      <c r="O450" s="106">
        <f t="shared" si="48"/>
        <v>0</v>
      </c>
      <c r="R450" s="11" t="str">
        <f t="shared" si="53"/>
        <v>-</v>
      </c>
      <c r="S450" s="30" t="str">
        <f t="shared" si="54"/>
        <v>-</v>
      </c>
      <c r="T450" s="12" t="str">
        <f t="shared" si="55"/>
        <v>-</v>
      </c>
      <c r="U450" s="13" t="str">
        <f t="shared" si="56"/>
        <v>-</v>
      </c>
      <c r="W450" s="13" t="str">
        <f t="shared" si="57"/>
        <v>-</v>
      </c>
    </row>
    <row r="451" spans="1:23" x14ac:dyDescent="0.3">
      <c r="A451" s="70">
        <v>100009773</v>
      </c>
      <c r="B451" s="71">
        <v>17050</v>
      </c>
      <c r="C451" s="96">
        <v>76630170505</v>
      </c>
      <c r="D451" s="72" t="s">
        <v>794</v>
      </c>
      <c r="E451" s="72" t="s">
        <v>795</v>
      </c>
      <c r="F451" s="73" t="s">
        <v>280</v>
      </c>
      <c r="G451" s="73" t="s">
        <v>292</v>
      </c>
      <c r="H451" s="73"/>
      <c r="I451" s="105" t="s">
        <v>850</v>
      </c>
      <c r="J451" s="74" t="e">
        <v>#N/A</v>
      </c>
      <c r="K451" s="2">
        <v>14.3514</v>
      </c>
      <c r="L451" s="2">
        <v>13.554099999999998</v>
      </c>
      <c r="M451" s="75"/>
      <c r="N451" s="2">
        <f t="shared" ref="N451:N463" si="58">M451*K451</f>
        <v>0</v>
      </c>
      <c r="O451" s="106">
        <f t="shared" ref="O451:O463" si="59">IF(M451&gt;143,M451*L451,M451*K451)</f>
        <v>0</v>
      </c>
      <c r="R451" s="11" t="str">
        <f t="shared" si="53"/>
        <v>-</v>
      </c>
      <c r="S451" s="30" t="str">
        <f t="shared" si="54"/>
        <v>-</v>
      </c>
      <c r="T451" s="12" t="str">
        <f t="shared" si="55"/>
        <v>-</v>
      </c>
      <c r="U451" s="13" t="str">
        <f t="shared" si="56"/>
        <v>-</v>
      </c>
      <c r="W451" s="13" t="str">
        <f t="shared" si="57"/>
        <v>-</v>
      </c>
    </row>
    <row r="452" spans="1:23" x14ac:dyDescent="0.3">
      <c r="A452" s="70">
        <v>100009950</v>
      </c>
      <c r="B452" s="71">
        <v>57709</v>
      </c>
      <c r="C452" s="96">
        <v>318858577095</v>
      </c>
      <c r="D452" s="72" t="s">
        <v>796</v>
      </c>
      <c r="E452" s="72" t="s">
        <v>797</v>
      </c>
      <c r="F452" s="73" t="s">
        <v>798</v>
      </c>
      <c r="G452" s="73" t="s">
        <v>751</v>
      </c>
      <c r="H452" s="73"/>
      <c r="I452" s="105" t="s">
        <v>850</v>
      </c>
      <c r="J452" s="74" t="e">
        <v>#N/A</v>
      </c>
      <c r="K452" s="2">
        <v>6.4134000000000002</v>
      </c>
      <c r="L452" s="2">
        <v>6.0570999999999984</v>
      </c>
      <c r="M452" s="75"/>
      <c r="N452" s="2">
        <f t="shared" si="58"/>
        <v>0</v>
      </c>
      <c r="O452" s="106">
        <f t="shared" si="59"/>
        <v>0</v>
      </c>
      <c r="R452" s="11" t="str">
        <f t="shared" si="53"/>
        <v>-</v>
      </c>
      <c r="S452" s="30" t="str">
        <f t="shared" si="54"/>
        <v>-</v>
      </c>
      <c r="T452" s="12" t="str">
        <f t="shared" si="55"/>
        <v>-</v>
      </c>
      <c r="U452" s="13" t="str">
        <f t="shared" si="56"/>
        <v>-</v>
      </c>
      <c r="W452" s="13" t="str">
        <f t="shared" si="57"/>
        <v>-</v>
      </c>
    </row>
    <row r="453" spans="1:23" x14ac:dyDescent="0.3">
      <c r="A453" s="70">
        <v>100009948</v>
      </c>
      <c r="B453" s="71">
        <v>57509</v>
      </c>
      <c r="C453" s="96">
        <v>318858575091</v>
      </c>
      <c r="D453" s="72" t="s">
        <v>799</v>
      </c>
      <c r="E453" s="72" t="s">
        <v>800</v>
      </c>
      <c r="F453" s="73" t="s">
        <v>798</v>
      </c>
      <c r="G453" s="73" t="s">
        <v>751</v>
      </c>
      <c r="H453" s="73"/>
      <c r="I453" s="105" t="s">
        <v>850</v>
      </c>
      <c r="J453" s="74" t="e">
        <v>#N/A</v>
      </c>
      <c r="K453" s="2">
        <v>6.4134000000000002</v>
      </c>
      <c r="L453" s="2">
        <v>6.0570999999999984</v>
      </c>
      <c r="M453" s="75"/>
      <c r="N453" s="2">
        <f t="shared" si="58"/>
        <v>0</v>
      </c>
      <c r="O453" s="106">
        <f t="shared" si="59"/>
        <v>0</v>
      </c>
      <c r="R453" s="11" t="str">
        <f t="shared" si="53"/>
        <v>-</v>
      </c>
      <c r="S453" s="30" t="str">
        <f t="shared" si="54"/>
        <v>-</v>
      </c>
      <c r="T453" s="12" t="str">
        <f t="shared" si="55"/>
        <v>-</v>
      </c>
      <c r="U453" s="13" t="str">
        <f t="shared" si="56"/>
        <v>-</v>
      </c>
      <c r="W453" s="13" t="str">
        <f t="shared" si="57"/>
        <v>-</v>
      </c>
    </row>
    <row r="454" spans="1:23" x14ac:dyDescent="0.3">
      <c r="A454" s="70">
        <v>100092173</v>
      </c>
      <c r="B454" s="71">
        <v>59598</v>
      </c>
      <c r="C454" s="96">
        <v>33984595989</v>
      </c>
      <c r="D454" s="72" t="s">
        <v>259</v>
      </c>
      <c r="E454" s="72" t="s">
        <v>824</v>
      </c>
      <c r="F454" s="73">
        <v>90</v>
      </c>
      <c r="G454" s="73" t="s">
        <v>327</v>
      </c>
      <c r="H454" s="73"/>
      <c r="I454" s="105" t="s">
        <v>850</v>
      </c>
      <c r="J454" s="74">
        <v>0.36123718353158335</v>
      </c>
      <c r="K454" s="2">
        <v>8.9459999999999997</v>
      </c>
      <c r="L454" s="2">
        <v>8.4489999999999981</v>
      </c>
      <c r="M454" s="75"/>
      <c r="N454" s="2">
        <f t="shared" si="58"/>
        <v>0</v>
      </c>
      <c r="O454" s="106">
        <f t="shared" si="59"/>
        <v>0</v>
      </c>
      <c r="R454" s="11" t="str">
        <f t="shared" si="53"/>
        <v>-</v>
      </c>
      <c r="S454" s="30" t="str">
        <f t="shared" si="54"/>
        <v>-</v>
      </c>
      <c r="T454" s="12" t="str">
        <f t="shared" si="55"/>
        <v>-</v>
      </c>
      <c r="U454" s="13" t="str">
        <f t="shared" si="56"/>
        <v>-</v>
      </c>
      <c r="W454" s="13" t="str">
        <f t="shared" si="57"/>
        <v>-</v>
      </c>
    </row>
    <row r="455" spans="1:23" x14ac:dyDescent="0.3">
      <c r="A455" s="70">
        <v>100009264</v>
      </c>
      <c r="B455" s="71">
        <v>1063</v>
      </c>
      <c r="C455" s="96">
        <v>33984010635</v>
      </c>
      <c r="D455" s="72" t="s">
        <v>262</v>
      </c>
      <c r="E455" s="72" t="s">
        <v>827</v>
      </c>
      <c r="F455" s="73">
        <v>60</v>
      </c>
      <c r="G455" s="73" t="s">
        <v>305</v>
      </c>
      <c r="H455" s="73"/>
      <c r="I455" s="105" t="s">
        <v>850</v>
      </c>
      <c r="J455" s="74">
        <v>0</v>
      </c>
      <c r="K455" s="2">
        <v>16.38</v>
      </c>
      <c r="L455" s="2">
        <v>15.469999999999997</v>
      </c>
      <c r="M455" s="75"/>
      <c r="N455" s="2">
        <f t="shared" si="58"/>
        <v>0</v>
      </c>
      <c r="O455" s="106">
        <f t="shared" si="59"/>
        <v>0</v>
      </c>
      <c r="R455" s="11" t="str">
        <f t="shared" si="53"/>
        <v>-</v>
      </c>
      <c r="S455" s="30" t="str">
        <f t="shared" si="54"/>
        <v>-</v>
      </c>
      <c r="T455" s="12" t="str">
        <f t="shared" si="55"/>
        <v>-</v>
      </c>
      <c r="U455" s="13" t="str">
        <f t="shared" si="56"/>
        <v>-</v>
      </c>
      <c r="W455" s="13" t="str">
        <f t="shared" si="57"/>
        <v>-</v>
      </c>
    </row>
    <row r="456" spans="1:23" x14ac:dyDescent="0.3">
      <c r="A456" s="70">
        <v>100009310</v>
      </c>
      <c r="B456" s="71">
        <v>1205</v>
      </c>
      <c r="C456" s="96">
        <v>33984012059</v>
      </c>
      <c r="D456" s="72" t="s">
        <v>262</v>
      </c>
      <c r="E456" s="72" t="s">
        <v>828</v>
      </c>
      <c r="F456" s="73">
        <v>120</v>
      </c>
      <c r="G456" s="73" t="s">
        <v>305</v>
      </c>
      <c r="H456" s="73"/>
      <c r="I456" s="105" t="s">
        <v>850</v>
      </c>
      <c r="J456" s="74">
        <v>0</v>
      </c>
      <c r="K456" s="2">
        <v>27.72</v>
      </c>
      <c r="L456" s="2">
        <v>26.179999999999996</v>
      </c>
      <c r="M456" s="75"/>
      <c r="N456" s="2">
        <f t="shared" si="58"/>
        <v>0</v>
      </c>
      <c r="O456" s="106">
        <f t="shared" si="59"/>
        <v>0</v>
      </c>
      <c r="R456" s="11" t="str">
        <f t="shared" si="53"/>
        <v>-</v>
      </c>
      <c r="S456" s="30" t="str">
        <f t="shared" si="54"/>
        <v>-</v>
      </c>
      <c r="T456" s="12" t="str">
        <f t="shared" si="55"/>
        <v>-</v>
      </c>
      <c r="U456" s="13" t="str">
        <f t="shared" si="56"/>
        <v>-</v>
      </c>
      <c r="W456" s="13" t="str">
        <f t="shared" si="57"/>
        <v>-</v>
      </c>
    </row>
    <row r="457" spans="1:23" x14ac:dyDescent="0.3">
      <c r="A457" s="70">
        <v>100009410</v>
      </c>
      <c r="B457" s="71">
        <v>1744</v>
      </c>
      <c r="C457" s="96">
        <v>33984017443</v>
      </c>
      <c r="D457" s="72" t="s">
        <v>148</v>
      </c>
      <c r="E457" s="72" t="s">
        <v>830</v>
      </c>
      <c r="F457" s="73">
        <v>60</v>
      </c>
      <c r="G457" s="73" t="s">
        <v>305</v>
      </c>
      <c r="H457" s="73"/>
      <c r="I457" s="105" t="s">
        <v>850</v>
      </c>
      <c r="J457" s="74">
        <v>0.34493431776650002</v>
      </c>
      <c r="K457" s="2">
        <v>16.38</v>
      </c>
      <c r="L457" s="2">
        <v>15.469999999999997</v>
      </c>
      <c r="M457" s="75"/>
      <c r="N457" s="2">
        <f t="shared" si="58"/>
        <v>0</v>
      </c>
      <c r="O457" s="106">
        <f t="shared" si="59"/>
        <v>0</v>
      </c>
      <c r="R457" s="11" t="str">
        <f t="shared" si="53"/>
        <v>-</v>
      </c>
      <c r="S457" s="30" t="str">
        <f t="shared" si="54"/>
        <v>-</v>
      </c>
      <c r="T457" s="12" t="str">
        <f t="shared" si="55"/>
        <v>-</v>
      </c>
      <c r="U457" s="13" t="str">
        <f t="shared" si="56"/>
        <v>-</v>
      </c>
      <c r="W457" s="13" t="str">
        <f t="shared" si="57"/>
        <v>-</v>
      </c>
    </row>
    <row r="458" spans="1:23" x14ac:dyDescent="0.3">
      <c r="A458" s="70">
        <v>100009281</v>
      </c>
      <c r="B458" s="71">
        <v>1133</v>
      </c>
      <c r="C458" s="96">
        <v>76630501040</v>
      </c>
      <c r="D458" s="72" t="s">
        <v>230</v>
      </c>
      <c r="E458" s="72" t="s">
        <v>838</v>
      </c>
      <c r="F458" s="73">
        <v>250</v>
      </c>
      <c r="G458" s="73" t="s">
        <v>305</v>
      </c>
      <c r="H458" s="73"/>
      <c r="I458" s="105" t="s">
        <v>850</v>
      </c>
      <c r="J458" s="74">
        <v>0.19477634361441667</v>
      </c>
      <c r="K458" s="2">
        <v>7.3709999999999987</v>
      </c>
      <c r="L458" s="2">
        <v>6.9614999999999982</v>
      </c>
      <c r="M458" s="75"/>
      <c r="N458" s="2">
        <f t="shared" si="58"/>
        <v>0</v>
      </c>
      <c r="O458" s="106">
        <f t="shared" si="59"/>
        <v>0</v>
      </c>
      <c r="R458" s="11" t="str">
        <f t="shared" si="53"/>
        <v>-</v>
      </c>
      <c r="S458" s="30" t="str">
        <f t="shared" si="54"/>
        <v>-</v>
      </c>
      <c r="T458" s="12" t="str">
        <f t="shared" si="55"/>
        <v>-</v>
      </c>
      <c r="U458" s="13" t="str">
        <f t="shared" si="56"/>
        <v>-</v>
      </c>
      <c r="W458" s="13" t="str">
        <f t="shared" si="57"/>
        <v>-</v>
      </c>
    </row>
    <row r="459" spans="1:23" x14ac:dyDescent="0.3">
      <c r="A459" s="70">
        <v>100009925</v>
      </c>
      <c r="B459" s="71">
        <v>54624</v>
      </c>
      <c r="C459" s="96">
        <v>318858546244</v>
      </c>
      <c r="D459" s="72" t="s">
        <v>839</v>
      </c>
      <c r="E459" s="72" t="s">
        <v>840</v>
      </c>
      <c r="F459" s="73" t="s">
        <v>276</v>
      </c>
      <c r="G459" s="73" t="s">
        <v>751</v>
      </c>
      <c r="H459" s="73"/>
      <c r="I459" s="105" t="s">
        <v>850</v>
      </c>
      <c r="J459" s="74">
        <v>0</v>
      </c>
      <c r="K459" s="2">
        <v>8.8325999999999993</v>
      </c>
      <c r="L459" s="2">
        <v>8.341899999999999</v>
      </c>
      <c r="M459" s="75"/>
      <c r="N459" s="2">
        <f t="shared" si="58"/>
        <v>0</v>
      </c>
      <c r="O459" s="106">
        <f t="shared" si="59"/>
        <v>0</v>
      </c>
      <c r="R459" s="11" t="str">
        <f t="shared" si="53"/>
        <v>-</v>
      </c>
      <c r="S459" s="30" t="str">
        <f t="shared" si="54"/>
        <v>-</v>
      </c>
      <c r="T459" s="12" t="str">
        <f t="shared" si="55"/>
        <v>-</v>
      </c>
      <c r="U459" s="13" t="str">
        <f t="shared" si="56"/>
        <v>-</v>
      </c>
      <c r="W459" s="13" t="str">
        <f t="shared" si="57"/>
        <v>-</v>
      </c>
    </row>
    <row r="460" spans="1:23" x14ac:dyDescent="0.3">
      <c r="A460" s="70">
        <v>100009743</v>
      </c>
      <c r="B460" s="71">
        <v>12224</v>
      </c>
      <c r="C460" s="96">
        <v>318858122240</v>
      </c>
      <c r="D460" s="72" t="s">
        <v>841</v>
      </c>
      <c r="E460" s="72" t="s">
        <v>842</v>
      </c>
      <c r="F460" s="73" t="s">
        <v>276</v>
      </c>
      <c r="G460" s="73" t="s">
        <v>751</v>
      </c>
      <c r="H460" s="73"/>
      <c r="I460" s="105" t="s">
        <v>850</v>
      </c>
      <c r="J460" s="74">
        <v>0</v>
      </c>
      <c r="K460" s="2">
        <v>8.8325999999999993</v>
      </c>
      <c r="L460" s="2">
        <v>8.341899999999999</v>
      </c>
      <c r="M460" s="75"/>
      <c r="N460" s="2">
        <f t="shared" si="58"/>
        <v>0</v>
      </c>
      <c r="O460" s="106">
        <f t="shared" si="59"/>
        <v>0</v>
      </c>
      <c r="R460" s="11" t="str">
        <f t="shared" si="53"/>
        <v>-</v>
      </c>
      <c r="S460" s="30" t="str">
        <f t="shared" si="54"/>
        <v>-</v>
      </c>
      <c r="T460" s="12" t="str">
        <f t="shared" si="55"/>
        <v>-</v>
      </c>
      <c r="U460" s="13" t="str">
        <f t="shared" si="56"/>
        <v>-</v>
      </c>
      <c r="W460" s="13" t="str">
        <f t="shared" si="57"/>
        <v>-</v>
      </c>
    </row>
    <row r="461" spans="1:23" x14ac:dyDescent="0.3">
      <c r="A461" s="70">
        <v>100009739</v>
      </c>
      <c r="B461" s="71">
        <v>11812</v>
      </c>
      <c r="C461" s="96">
        <v>318858118120</v>
      </c>
      <c r="D461" s="72" t="s">
        <v>820</v>
      </c>
      <c r="E461" s="72" t="s">
        <v>843</v>
      </c>
      <c r="F461" s="73" t="s">
        <v>821</v>
      </c>
      <c r="G461" s="73" t="s">
        <v>751</v>
      </c>
      <c r="H461" s="73"/>
      <c r="I461" s="105" t="s">
        <v>850</v>
      </c>
      <c r="J461" s="74">
        <v>0</v>
      </c>
      <c r="K461" s="2">
        <v>9.5885999999999996</v>
      </c>
      <c r="L461" s="2">
        <v>9.0558999999999994</v>
      </c>
      <c r="M461" s="75"/>
      <c r="N461" s="2">
        <f t="shared" si="58"/>
        <v>0</v>
      </c>
      <c r="O461" s="106">
        <f t="shared" si="59"/>
        <v>0</v>
      </c>
      <c r="R461" s="11" t="str">
        <f t="shared" si="53"/>
        <v>-</v>
      </c>
      <c r="S461" s="30" t="str">
        <f t="shared" si="54"/>
        <v>-</v>
      </c>
      <c r="T461" s="12" t="str">
        <f t="shared" si="55"/>
        <v>-</v>
      </c>
      <c r="U461" s="13" t="str">
        <f t="shared" si="56"/>
        <v>-</v>
      </c>
      <c r="W461" s="13" t="str">
        <f t="shared" si="57"/>
        <v>-</v>
      </c>
    </row>
    <row r="462" spans="1:23" x14ac:dyDescent="0.3">
      <c r="A462" s="70">
        <v>100009738</v>
      </c>
      <c r="B462" s="71">
        <v>11206</v>
      </c>
      <c r="C462" s="96">
        <v>318858112067</v>
      </c>
      <c r="D462" s="72" t="s">
        <v>844</v>
      </c>
      <c r="E462" s="72" t="s">
        <v>845</v>
      </c>
      <c r="F462" s="73" t="s">
        <v>846</v>
      </c>
      <c r="G462" s="73" t="s">
        <v>751</v>
      </c>
      <c r="H462" s="73"/>
      <c r="I462" s="105" t="s">
        <v>850</v>
      </c>
      <c r="J462" s="74">
        <v>0</v>
      </c>
      <c r="K462" s="2">
        <v>12.385799999999998</v>
      </c>
      <c r="L462" s="2">
        <v>11.697699999999998</v>
      </c>
      <c r="M462" s="75"/>
      <c r="N462" s="2">
        <f t="shared" si="58"/>
        <v>0</v>
      </c>
      <c r="O462" s="106">
        <f t="shared" si="59"/>
        <v>0</v>
      </c>
      <c r="R462" s="11" t="str">
        <f t="shared" si="53"/>
        <v>-</v>
      </c>
      <c r="S462" s="30" t="str">
        <f t="shared" si="54"/>
        <v>-</v>
      </c>
      <c r="T462" s="12" t="str">
        <f t="shared" si="55"/>
        <v>-</v>
      </c>
      <c r="U462" s="13" t="str">
        <f t="shared" si="56"/>
        <v>-</v>
      </c>
      <c r="W462" s="13" t="str">
        <f t="shared" si="57"/>
        <v>-</v>
      </c>
    </row>
    <row r="463" spans="1:23" ht="15" thickBot="1" x14ac:dyDescent="0.35">
      <c r="A463" s="107">
        <v>100009735</v>
      </c>
      <c r="B463" s="108">
        <v>10624</v>
      </c>
      <c r="C463" s="109">
        <v>318858106240</v>
      </c>
      <c r="D463" s="110" t="s">
        <v>847</v>
      </c>
      <c r="E463" s="110" t="s">
        <v>848</v>
      </c>
      <c r="F463" s="111" t="s">
        <v>276</v>
      </c>
      <c r="G463" s="111" t="s">
        <v>751</v>
      </c>
      <c r="H463" s="111"/>
      <c r="I463" s="112" t="s">
        <v>850</v>
      </c>
      <c r="J463" s="113">
        <v>0</v>
      </c>
      <c r="K463" s="114">
        <v>11.327400000000001</v>
      </c>
      <c r="L463" s="114">
        <v>10.698099999999998</v>
      </c>
      <c r="M463" s="115"/>
      <c r="N463" s="114">
        <f t="shared" si="58"/>
        <v>0</v>
      </c>
      <c r="O463" s="116">
        <f t="shared" si="59"/>
        <v>0</v>
      </c>
      <c r="R463" s="11" t="str">
        <f t="shared" si="53"/>
        <v>-</v>
      </c>
      <c r="S463" s="30" t="str">
        <f t="shared" si="54"/>
        <v>-</v>
      </c>
      <c r="T463" s="12" t="str">
        <f t="shared" si="55"/>
        <v>-</v>
      </c>
      <c r="U463" s="13" t="str">
        <f t="shared" si="56"/>
        <v>-</v>
      </c>
      <c r="W463" s="13" t="str">
        <f t="shared" si="57"/>
        <v>-</v>
      </c>
    </row>
    <row r="464" spans="1:23" x14ac:dyDescent="0.3">
      <c r="R464" s="11"/>
      <c r="S464" s="11"/>
      <c r="T464" s="12"/>
      <c r="U464" s="13"/>
      <c r="W464" s="13"/>
    </row>
    <row r="465" spans="18:23" x14ac:dyDescent="0.3">
      <c r="R465" s="11"/>
      <c r="S465" s="11"/>
      <c r="T465" s="12"/>
      <c r="U465" s="13"/>
      <c r="W465" s="13"/>
    </row>
    <row r="466" spans="18:23" x14ac:dyDescent="0.3">
      <c r="R466" s="11"/>
      <c r="S466" s="11"/>
      <c r="T466" s="12"/>
      <c r="U466" s="13"/>
      <c r="W466" s="13"/>
    </row>
    <row r="467" spans="18:23" x14ac:dyDescent="0.3">
      <c r="R467" s="11"/>
      <c r="S467" s="11"/>
      <c r="T467" s="12"/>
      <c r="U467" s="13"/>
      <c r="W467" s="13"/>
    </row>
    <row r="468" spans="18:23" x14ac:dyDescent="0.3">
      <c r="R468" s="11"/>
      <c r="S468" s="11"/>
      <c r="T468" s="12"/>
      <c r="U468" s="13"/>
      <c r="W468" s="13"/>
    </row>
    <row r="469" spans="18:23" x14ac:dyDescent="0.3">
      <c r="R469" s="11"/>
      <c r="S469" s="11"/>
      <c r="T469" s="12"/>
      <c r="U469" s="13"/>
      <c r="W469" s="13"/>
    </row>
    <row r="470" spans="18:23" x14ac:dyDescent="0.3">
      <c r="R470" s="11"/>
      <c r="S470" s="11"/>
      <c r="T470" s="12"/>
      <c r="U470" s="13"/>
      <c r="W470" s="13"/>
    </row>
    <row r="471" spans="18:23" x14ac:dyDescent="0.3">
      <c r="R471" s="11"/>
      <c r="S471" s="11"/>
      <c r="T471" s="12"/>
      <c r="U471" s="13"/>
      <c r="W471" s="13"/>
    </row>
    <row r="472" spans="18:23" x14ac:dyDescent="0.3">
      <c r="R472" s="11"/>
      <c r="S472" s="11"/>
      <c r="T472" s="12"/>
      <c r="U472" s="13"/>
      <c r="W472" s="13"/>
    </row>
    <row r="473" spans="18:23" x14ac:dyDescent="0.3">
      <c r="R473" s="11"/>
      <c r="S473" s="11"/>
      <c r="T473" s="12"/>
      <c r="U473" s="13"/>
      <c r="W473" s="13"/>
    </row>
    <row r="474" spans="18:23" x14ac:dyDescent="0.3">
      <c r="R474" s="11"/>
      <c r="S474" s="11"/>
      <c r="T474" s="12"/>
      <c r="U474" s="13"/>
      <c r="W474" s="13"/>
    </row>
    <row r="475" spans="18:23" x14ac:dyDescent="0.3">
      <c r="R475" s="11"/>
      <c r="S475" s="11"/>
      <c r="T475" s="12"/>
      <c r="U475" s="13"/>
      <c r="W475" s="13"/>
    </row>
    <row r="476" spans="18:23" x14ac:dyDescent="0.3">
      <c r="R476" s="11"/>
      <c r="S476" s="11"/>
      <c r="T476" s="12"/>
      <c r="U476" s="13"/>
      <c r="W476" s="13"/>
    </row>
    <row r="477" spans="18:23" x14ac:dyDescent="0.3">
      <c r="R477" s="11"/>
      <c r="S477" s="11"/>
      <c r="T477" s="12"/>
      <c r="U477" s="13"/>
      <c r="W477" s="13"/>
    </row>
    <row r="478" spans="18:23" x14ac:dyDescent="0.3">
      <c r="R478" s="11"/>
      <c r="S478" s="11"/>
      <c r="T478" s="12"/>
      <c r="U478" s="13"/>
      <c r="W478" s="13"/>
    </row>
    <row r="479" spans="18:23" x14ac:dyDescent="0.3">
      <c r="R479" s="11"/>
      <c r="S479" s="11"/>
      <c r="T479" s="12"/>
      <c r="U479" s="13"/>
      <c r="W479" s="13"/>
    </row>
    <row r="480" spans="18:23" x14ac:dyDescent="0.3">
      <c r="R480" s="11"/>
      <c r="S480" s="11"/>
      <c r="T480" s="12"/>
      <c r="U480" s="13"/>
      <c r="W480" s="13"/>
    </row>
    <row r="481" spans="18:23" x14ac:dyDescent="0.3">
      <c r="R481" s="11"/>
      <c r="S481" s="11"/>
      <c r="T481" s="12"/>
      <c r="U481" s="13"/>
      <c r="W481" s="13"/>
    </row>
    <row r="482" spans="18:23" x14ac:dyDescent="0.3">
      <c r="R482" s="11"/>
      <c r="S482" s="11"/>
      <c r="T482" s="12"/>
      <c r="U482" s="13"/>
      <c r="W482" s="13"/>
    </row>
    <row r="483" spans="18:23" x14ac:dyDescent="0.3">
      <c r="R483" s="11"/>
      <c r="S483" s="11"/>
      <c r="T483" s="12"/>
      <c r="U483" s="13"/>
      <c r="W483" s="13"/>
    </row>
    <row r="484" spans="18:23" x14ac:dyDescent="0.3">
      <c r="R484" s="11"/>
      <c r="S484" s="11"/>
      <c r="T484" s="12"/>
      <c r="U484" s="13"/>
      <c r="W484" s="13"/>
    </row>
    <row r="485" spans="18:23" x14ac:dyDescent="0.3">
      <c r="R485" s="11"/>
      <c r="S485" s="11"/>
      <c r="T485" s="12"/>
      <c r="U485" s="13"/>
      <c r="W485" s="13"/>
    </row>
    <row r="486" spans="18:23" x14ac:dyDescent="0.3">
      <c r="R486" s="11"/>
      <c r="S486" s="11"/>
      <c r="T486" s="12"/>
      <c r="U486" s="13"/>
      <c r="W486" s="13"/>
    </row>
    <row r="487" spans="18:23" x14ac:dyDescent="0.3">
      <c r="R487" s="11"/>
      <c r="S487" s="11"/>
      <c r="T487" s="12"/>
      <c r="U487" s="13"/>
      <c r="W487" s="13"/>
    </row>
    <row r="488" spans="18:23" x14ac:dyDescent="0.3">
      <c r="R488" s="11"/>
      <c r="S488" s="11"/>
      <c r="T488" s="12"/>
      <c r="U488" s="13"/>
      <c r="W488" s="13"/>
    </row>
    <row r="489" spans="18:23" x14ac:dyDescent="0.3">
      <c r="R489" s="11"/>
      <c r="S489" s="11"/>
      <c r="T489" s="12"/>
      <c r="U489" s="13"/>
      <c r="W489" s="13"/>
    </row>
    <row r="490" spans="18:23" x14ac:dyDescent="0.3">
      <c r="R490" s="11"/>
      <c r="S490" s="11"/>
      <c r="T490" s="12"/>
      <c r="U490" s="13"/>
      <c r="W490" s="13"/>
    </row>
    <row r="491" spans="18:23" x14ac:dyDescent="0.3">
      <c r="R491" s="11"/>
      <c r="S491" s="11"/>
      <c r="T491" s="12"/>
      <c r="U491" s="13"/>
      <c r="W491" s="13"/>
    </row>
    <row r="492" spans="18:23" x14ac:dyDescent="0.3">
      <c r="R492" s="11"/>
      <c r="S492" s="11"/>
      <c r="T492" s="12"/>
      <c r="U492" s="13"/>
      <c r="W492" s="13"/>
    </row>
    <row r="493" spans="18:23" x14ac:dyDescent="0.3">
      <c r="R493" s="11"/>
      <c r="S493" s="11"/>
      <c r="T493" s="12"/>
      <c r="U493" s="13"/>
      <c r="W493" s="13"/>
    </row>
    <row r="494" spans="18:23" x14ac:dyDescent="0.3">
      <c r="R494" s="11"/>
      <c r="S494" s="11"/>
      <c r="T494" s="12"/>
      <c r="U494" s="13"/>
      <c r="W494" s="13"/>
    </row>
    <row r="495" spans="18:23" x14ac:dyDescent="0.3">
      <c r="R495" s="11"/>
      <c r="S495" s="11"/>
      <c r="T495" s="12"/>
      <c r="U495" s="13"/>
      <c r="W495" s="13"/>
    </row>
    <row r="496" spans="18:23" x14ac:dyDescent="0.3">
      <c r="R496" s="11"/>
      <c r="S496" s="11"/>
      <c r="T496" s="12"/>
      <c r="U496" s="13"/>
      <c r="W496" s="13"/>
    </row>
    <row r="497" spans="18:23" x14ac:dyDescent="0.3">
      <c r="R497" s="11"/>
      <c r="S497" s="11"/>
      <c r="T497" s="12"/>
      <c r="U497" s="13"/>
      <c r="W497" s="13"/>
    </row>
    <row r="498" spans="18:23" x14ac:dyDescent="0.3">
      <c r="R498" s="11"/>
      <c r="S498" s="11"/>
      <c r="T498" s="12"/>
      <c r="U498" s="13"/>
      <c r="W498" s="13"/>
    </row>
    <row r="499" spans="18:23" x14ac:dyDescent="0.3">
      <c r="R499" s="11"/>
      <c r="S499" s="11"/>
      <c r="T499" s="12"/>
      <c r="U499" s="13"/>
      <c r="W499" s="13"/>
    </row>
    <row r="500" spans="18:23" x14ac:dyDescent="0.3">
      <c r="R500" s="11"/>
      <c r="S500" s="11"/>
      <c r="T500" s="12"/>
      <c r="U500" s="13"/>
      <c r="W500" s="13"/>
    </row>
    <row r="501" spans="18:23" x14ac:dyDescent="0.3">
      <c r="R501" s="11"/>
      <c r="S501" s="11"/>
      <c r="T501" s="12"/>
      <c r="U501" s="13"/>
      <c r="W501" s="13"/>
    </row>
    <row r="502" spans="18:23" x14ac:dyDescent="0.3">
      <c r="R502" s="11"/>
      <c r="S502" s="11"/>
      <c r="T502" s="12"/>
      <c r="U502" s="13"/>
      <c r="W502" s="13"/>
    </row>
    <row r="503" spans="18:23" x14ac:dyDescent="0.3">
      <c r="R503" s="11"/>
      <c r="S503" s="11"/>
      <c r="T503" s="12"/>
      <c r="U503" s="13"/>
      <c r="W503" s="13"/>
    </row>
    <row r="504" spans="18:23" x14ac:dyDescent="0.3">
      <c r="R504" s="11"/>
      <c r="S504" s="11"/>
      <c r="T504" s="12"/>
      <c r="U504" s="13"/>
      <c r="W504" s="13"/>
    </row>
    <row r="505" spans="18:23" x14ac:dyDescent="0.3">
      <c r="R505" s="11"/>
      <c r="S505" s="11"/>
      <c r="T505" s="12"/>
      <c r="U505" s="13"/>
      <c r="W505" s="13"/>
    </row>
    <row r="506" spans="18:23" x14ac:dyDescent="0.3">
      <c r="R506" s="11"/>
      <c r="S506" s="11"/>
      <c r="T506" s="12"/>
      <c r="U506" s="13"/>
      <c r="W506" s="13"/>
    </row>
    <row r="507" spans="18:23" x14ac:dyDescent="0.3">
      <c r="R507" s="11"/>
      <c r="S507" s="11"/>
      <c r="T507" s="12"/>
      <c r="U507" s="13"/>
      <c r="W507" s="13"/>
    </row>
    <row r="508" spans="18:23" x14ac:dyDescent="0.3">
      <c r="R508" s="11"/>
      <c r="S508" s="11"/>
      <c r="T508" s="12"/>
      <c r="U508" s="13"/>
      <c r="W508" s="13"/>
    </row>
    <row r="509" spans="18:23" x14ac:dyDescent="0.3">
      <c r="R509" s="11"/>
      <c r="S509" s="11"/>
      <c r="T509" s="12"/>
      <c r="U509" s="13"/>
      <c r="W509" s="13"/>
    </row>
    <row r="510" spans="18:23" x14ac:dyDescent="0.3">
      <c r="R510" s="11"/>
      <c r="S510" s="11"/>
      <c r="T510" s="12"/>
      <c r="U510" s="13"/>
      <c r="W510" s="13"/>
    </row>
    <row r="511" spans="18:23" x14ac:dyDescent="0.3">
      <c r="R511" s="11"/>
      <c r="S511" s="11"/>
      <c r="T511" s="12"/>
      <c r="U511" s="13"/>
      <c r="W511" s="13"/>
    </row>
    <row r="512" spans="18:23" x14ac:dyDescent="0.3">
      <c r="R512" s="11"/>
      <c r="S512" s="11"/>
      <c r="T512" s="12"/>
      <c r="U512" s="13"/>
      <c r="W512" s="13"/>
    </row>
    <row r="513" spans="18:23" x14ac:dyDescent="0.3">
      <c r="R513" s="11"/>
      <c r="S513" s="11"/>
      <c r="T513" s="12"/>
      <c r="U513" s="13"/>
      <c r="W513" s="13"/>
    </row>
    <row r="514" spans="18:23" x14ac:dyDescent="0.3">
      <c r="R514" s="11"/>
      <c r="S514" s="11"/>
      <c r="T514" s="12"/>
      <c r="U514" s="13"/>
      <c r="W514" s="13"/>
    </row>
    <row r="515" spans="18:23" x14ac:dyDescent="0.3">
      <c r="R515" s="11"/>
      <c r="S515" s="11"/>
      <c r="T515" s="12"/>
      <c r="U515" s="13"/>
      <c r="W515" s="13"/>
    </row>
    <row r="516" spans="18:23" x14ac:dyDescent="0.3">
      <c r="R516" s="11"/>
      <c r="S516" s="11"/>
      <c r="T516" s="12"/>
      <c r="U516" s="13"/>
      <c r="W516" s="13"/>
    </row>
    <row r="517" spans="18:23" x14ac:dyDescent="0.3">
      <c r="R517" s="11"/>
      <c r="S517" s="11"/>
      <c r="T517" s="12"/>
      <c r="U517" s="13"/>
      <c r="W517" s="13"/>
    </row>
    <row r="518" spans="18:23" x14ac:dyDescent="0.3">
      <c r="R518" s="11"/>
      <c r="S518" s="11"/>
      <c r="T518" s="12"/>
      <c r="U518" s="13"/>
      <c r="W518" s="13"/>
    </row>
    <row r="519" spans="18:23" x14ac:dyDescent="0.3">
      <c r="R519" s="11"/>
      <c r="S519" s="11"/>
      <c r="T519" s="12"/>
      <c r="U519" s="13"/>
      <c r="W519" s="13"/>
    </row>
    <row r="520" spans="18:23" x14ac:dyDescent="0.3">
      <c r="R520" s="11"/>
      <c r="S520" s="11"/>
      <c r="T520" s="12"/>
      <c r="U520" s="13"/>
      <c r="W520" s="13"/>
    </row>
    <row r="521" spans="18:23" x14ac:dyDescent="0.3">
      <c r="R521" s="11"/>
      <c r="S521" s="11"/>
      <c r="T521" s="12"/>
      <c r="U521" s="13"/>
      <c r="W521" s="13"/>
    </row>
    <row r="522" spans="18:23" x14ac:dyDescent="0.3">
      <c r="R522" s="11"/>
      <c r="S522" s="11"/>
      <c r="T522" s="12"/>
      <c r="U522" s="13"/>
      <c r="W522" s="13"/>
    </row>
    <row r="523" spans="18:23" x14ac:dyDescent="0.3">
      <c r="R523" s="11"/>
      <c r="S523" s="11"/>
      <c r="T523" s="12"/>
      <c r="U523" s="13"/>
      <c r="W523" s="13"/>
    </row>
    <row r="524" spans="18:23" x14ac:dyDescent="0.3">
      <c r="R524" s="11"/>
      <c r="S524" s="11"/>
      <c r="T524" s="12"/>
      <c r="U524" s="13"/>
      <c r="W524" s="13"/>
    </row>
    <row r="525" spans="18:23" x14ac:dyDescent="0.3">
      <c r="R525" s="11"/>
      <c r="S525" s="11"/>
      <c r="T525" s="12"/>
      <c r="U525" s="13"/>
      <c r="W525" s="13"/>
    </row>
    <row r="526" spans="18:23" x14ac:dyDescent="0.3">
      <c r="R526" s="11"/>
      <c r="S526" s="11"/>
      <c r="T526" s="12"/>
      <c r="U526" s="13"/>
      <c r="W526" s="13"/>
    </row>
    <row r="527" spans="18:23" x14ac:dyDescent="0.3">
      <c r="R527" s="11"/>
      <c r="S527" s="11"/>
      <c r="T527" s="12"/>
      <c r="U527" s="13"/>
      <c r="W527" s="13"/>
    </row>
    <row r="528" spans="18:23" x14ac:dyDescent="0.3">
      <c r="R528" s="11"/>
      <c r="S528" s="11"/>
      <c r="T528" s="12"/>
      <c r="U528" s="13"/>
      <c r="W528" s="13"/>
    </row>
    <row r="529" spans="18:23" x14ac:dyDescent="0.3">
      <c r="R529" s="11"/>
      <c r="S529" s="11"/>
      <c r="T529" s="12"/>
      <c r="U529" s="13"/>
      <c r="W529" s="13"/>
    </row>
    <row r="530" spans="18:23" x14ac:dyDescent="0.3">
      <c r="R530" s="11"/>
      <c r="S530" s="11"/>
      <c r="T530" s="12"/>
      <c r="U530" s="13"/>
      <c r="W530" s="13"/>
    </row>
    <row r="531" spans="18:23" x14ac:dyDescent="0.3">
      <c r="R531" s="11"/>
      <c r="S531" s="11"/>
      <c r="T531" s="12"/>
      <c r="U531" s="13"/>
      <c r="W531" s="13"/>
    </row>
    <row r="532" spans="18:23" x14ac:dyDescent="0.3">
      <c r="R532" s="11"/>
      <c r="S532" s="11"/>
      <c r="T532" s="12"/>
      <c r="U532" s="13"/>
      <c r="W532" s="13"/>
    </row>
    <row r="533" spans="18:23" x14ac:dyDescent="0.3">
      <c r="R533" s="11"/>
      <c r="S533" s="11"/>
      <c r="T533" s="12"/>
      <c r="U533" s="13"/>
      <c r="W533" s="13"/>
    </row>
    <row r="534" spans="18:23" x14ac:dyDescent="0.3">
      <c r="R534" s="11"/>
      <c r="S534" s="11"/>
      <c r="T534" s="12"/>
      <c r="U534" s="13"/>
      <c r="W534" s="13"/>
    </row>
    <row r="535" spans="18:23" x14ac:dyDescent="0.3">
      <c r="R535" s="11"/>
      <c r="S535" s="11"/>
      <c r="T535" s="12"/>
      <c r="U535" s="13"/>
      <c r="W535" s="13"/>
    </row>
    <row r="536" spans="18:23" x14ac:dyDescent="0.3">
      <c r="R536" s="11"/>
      <c r="S536" s="11"/>
      <c r="T536" s="12"/>
      <c r="U536" s="13"/>
      <c r="W536" s="13"/>
    </row>
    <row r="537" spans="18:23" x14ac:dyDescent="0.3">
      <c r="R537" s="11"/>
      <c r="S537" s="11"/>
      <c r="T537" s="12"/>
      <c r="U537" s="13"/>
      <c r="W537" s="13"/>
    </row>
    <row r="538" spans="18:23" x14ac:dyDescent="0.3">
      <c r="R538" s="11"/>
      <c r="S538" s="11"/>
      <c r="T538" s="12"/>
      <c r="U538" s="13"/>
      <c r="W538" s="13"/>
    </row>
    <row r="539" spans="18:23" x14ac:dyDescent="0.3">
      <c r="R539" s="11"/>
      <c r="S539" s="11"/>
      <c r="T539" s="12"/>
      <c r="U539" s="13"/>
      <c r="W539" s="13"/>
    </row>
    <row r="540" spans="18:23" x14ac:dyDescent="0.3">
      <c r="R540" s="11"/>
      <c r="S540" s="11"/>
      <c r="T540" s="12"/>
      <c r="U540" s="13"/>
      <c r="W540" s="13"/>
    </row>
    <row r="541" spans="18:23" x14ac:dyDescent="0.3">
      <c r="R541" s="11"/>
      <c r="S541" s="11"/>
      <c r="T541" s="12"/>
      <c r="U541" s="13"/>
      <c r="W541" s="13"/>
    </row>
    <row r="542" spans="18:23" x14ac:dyDescent="0.3">
      <c r="R542" s="11"/>
      <c r="S542" s="11"/>
      <c r="T542" s="12"/>
      <c r="U542" s="13"/>
      <c r="W542" s="13"/>
    </row>
    <row r="543" spans="18:23" x14ac:dyDescent="0.3">
      <c r="R543" s="11"/>
      <c r="S543" s="11"/>
      <c r="T543" s="12"/>
      <c r="U543" s="13"/>
      <c r="W543" s="13"/>
    </row>
    <row r="544" spans="18:23" x14ac:dyDescent="0.3">
      <c r="R544" s="11"/>
      <c r="S544" s="11"/>
      <c r="T544" s="12"/>
      <c r="U544" s="13"/>
      <c r="W544" s="13"/>
    </row>
    <row r="545" spans="18:23" x14ac:dyDescent="0.3">
      <c r="R545" s="11"/>
      <c r="S545" s="11"/>
      <c r="T545" s="12"/>
      <c r="U545" s="13"/>
      <c r="W545" s="13"/>
    </row>
    <row r="546" spans="18:23" x14ac:dyDescent="0.3">
      <c r="R546" s="11"/>
      <c r="S546" s="11"/>
      <c r="T546" s="12"/>
      <c r="U546" s="13"/>
      <c r="W546" s="13"/>
    </row>
    <row r="547" spans="18:23" x14ac:dyDescent="0.3">
      <c r="R547" s="11"/>
      <c r="S547" s="11"/>
      <c r="T547" s="12"/>
      <c r="U547" s="13"/>
      <c r="W547" s="13"/>
    </row>
    <row r="548" spans="18:23" x14ac:dyDescent="0.3">
      <c r="R548" s="11"/>
      <c r="S548" s="11"/>
      <c r="T548" s="12"/>
      <c r="U548" s="13"/>
      <c r="W548" s="13"/>
    </row>
    <row r="549" spans="18:23" x14ac:dyDescent="0.3">
      <c r="R549" s="11"/>
      <c r="S549" s="11"/>
      <c r="T549" s="12"/>
      <c r="U549" s="13"/>
      <c r="W549" s="13"/>
    </row>
    <row r="550" spans="18:23" x14ac:dyDescent="0.3">
      <c r="R550" s="11"/>
      <c r="S550" s="11"/>
      <c r="T550" s="12"/>
      <c r="U550" s="13"/>
      <c r="W550" s="13"/>
    </row>
    <row r="551" spans="18:23" x14ac:dyDescent="0.3">
      <c r="R551" s="11"/>
      <c r="S551" s="11"/>
      <c r="T551" s="12"/>
      <c r="U551" s="13"/>
      <c r="W551" s="13"/>
    </row>
    <row r="552" spans="18:23" x14ac:dyDescent="0.3">
      <c r="R552" s="11"/>
      <c r="S552" s="11"/>
      <c r="T552" s="12"/>
      <c r="U552" s="13"/>
      <c r="W552" s="13"/>
    </row>
    <row r="553" spans="18:23" x14ac:dyDescent="0.3">
      <c r="R553" s="11"/>
      <c r="S553" s="11"/>
      <c r="T553" s="12"/>
      <c r="U553" s="13"/>
      <c r="W553" s="13"/>
    </row>
    <row r="554" spans="18:23" x14ac:dyDescent="0.3">
      <c r="R554" s="11"/>
      <c r="S554" s="11"/>
      <c r="T554" s="12"/>
      <c r="U554" s="13"/>
      <c r="W554" s="13"/>
    </row>
    <row r="555" spans="18:23" x14ac:dyDescent="0.3">
      <c r="R555" s="11"/>
      <c r="S555" s="11"/>
      <c r="T555" s="12"/>
      <c r="U555" s="13"/>
      <c r="W555" s="13"/>
    </row>
    <row r="556" spans="18:23" x14ac:dyDescent="0.3">
      <c r="R556" s="11"/>
      <c r="S556" s="11"/>
      <c r="T556" s="12"/>
      <c r="U556" s="13"/>
      <c r="W556" s="13"/>
    </row>
    <row r="557" spans="18:23" x14ac:dyDescent="0.3">
      <c r="R557" s="11"/>
      <c r="S557" s="11"/>
      <c r="T557" s="12"/>
      <c r="U557" s="13"/>
      <c r="W557" s="13"/>
    </row>
    <row r="558" spans="18:23" x14ac:dyDescent="0.3">
      <c r="R558" s="11"/>
      <c r="S558" s="11"/>
      <c r="T558" s="12"/>
      <c r="U558" s="13"/>
      <c r="W558" s="13"/>
    </row>
    <row r="559" spans="18:23" x14ac:dyDescent="0.3">
      <c r="R559" s="11"/>
      <c r="S559" s="11"/>
      <c r="T559" s="12"/>
      <c r="U559" s="13"/>
      <c r="W559" s="13"/>
    </row>
    <row r="560" spans="18:23" x14ac:dyDescent="0.3">
      <c r="R560" s="11"/>
      <c r="S560" s="11"/>
      <c r="T560" s="12"/>
      <c r="U560" s="13"/>
      <c r="W560" s="13"/>
    </row>
    <row r="561" spans="18:23" x14ac:dyDescent="0.3">
      <c r="R561" s="11"/>
      <c r="S561" s="11"/>
      <c r="T561" s="12"/>
      <c r="U561" s="13"/>
      <c r="W561" s="13"/>
    </row>
    <row r="562" spans="18:23" x14ac:dyDescent="0.3">
      <c r="R562" s="11"/>
      <c r="S562" s="11"/>
      <c r="T562" s="12"/>
      <c r="U562" s="13"/>
      <c r="W562" s="13"/>
    </row>
    <row r="563" spans="18:23" x14ac:dyDescent="0.3">
      <c r="R563" s="11"/>
      <c r="S563" s="11"/>
      <c r="T563" s="12"/>
      <c r="U563" s="13"/>
      <c r="W563" s="13"/>
    </row>
    <row r="564" spans="18:23" x14ac:dyDescent="0.3">
      <c r="R564" s="11"/>
      <c r="S564" s="11"/>
      <c r="T564" s="12"/>
      <c r="U564" s="13"/>
      <c r="W564" s="13"/>
    </row>
    <row r="565" spans="18:23" x14ac:dyDescent="0.3">
      <c r="R565" s="11"/>
      <c r="S565" s="11"/>
      <c r="T565" s="12"/>
      <c r="U565" s="13"/>
      <c r="W565" s="13"/>
    </row>
    <row r="566" spans="18:23" x14ac:dyDescent="0.3">
      <c r="R566" s="11"/>
      <c r="S566" s="11"/>
      <c r="T566" s="12"/>
      <c r="U566" s="13"/>
      <c r="W566" s="13"/>
    </row>
    <row r="567" spans="18:23" x14ac:dyDescent="0.3">
      <c r="R567" s="11"/>
      <c r="S567" s="11"/>
      <c r="T567" s="12"/>
      <c r="U567" s="13"/>
      <c r="W567" s="13"/>
    </row>
    <row r="568" spans="18:23" x14ac:dyDescent="0.3">
      <c r="R568" s="11"/>
      <c r="S568" s="11"/>
      <c r="T568" s="12"/>
      <c r="U568" s="13"/>
      <c r="W568" s="13"/>
    </row>
    <row r="569" spans="18:23" x14ac:dyDescent="0.3">
      <c r="R569" s="11"/>
      <c r="S569" s="11"/>
      <c r="T569" s="12"/>
      <c r="U569" s="13"/>
      <c r="W569" s="13"/>
    </row>
    <row r="570" spans="18:23" x14ac:dyDescent="0.3">
      <c r="R570" s="11"/>
      <c r="S570" s="11"/>
      <c r="T570" s="12"/>
      <c r="U570" s="13"/>
      <c r="W570" s="13"/>
    </row>
    <row r="571" spans="18:23" x14ac:dyDescent="0.3">
      <c r="R571" s="11"/>
      <c r="S571" s="11"/>
      <c r="T571" s="12"/>
      <c r="U571" s="13"/>
      <c r="W571" s="13"/>
    </row>
    <row r="572" spans="18:23" x14ac:dyDescent="0.3">
      <c r="R572" s="11"/>
      <c r="S572" s="11"/>
      <c r="T572" s="12"/>
      <c r="U572" s="13"/>
      <c r="W572" s="13"/>
    </row>
    <row r="573" spans="18:23" x14ac:dyDescent="0.3">
      <c r="R573" s="11"/>
      <c r="S573" s="11"/>
      <c r="T573" s="12"/>
      <c r="U573" s="13"/>
      <c r="W573" s="13"/>
    </row>
    <row r="574" spans="18:23" x14ac:dyDescent="0.3">
      <c r="R574" s="11"/>
      <c r="S574" s="11"/>
      <c r="T574" s="12"/>
      <c r="U574" s="13"/>
      <c r="W574" s="13"/>
    </row>
    <row r="575" spans="18:23" x14ac:dyDescent="0.3">
      <c r="R575" s="11"/>
      <c r="S575" s="11"/>
      <c r="T575" s="12"/>
      <c r="U575" s="13"/>
      <c r="W575" s="13"/>
    </row>
    <row r="576" spans="18:23" x14ac:dyDescent="0.3">
      <c r="R576" s="11"/>
      <c r="S576" s="11"/>
      <c r="T576" s="12"/>
      <c r="U576" s="13"/>
      <c r="W576" s="13"/>
    </row>
    <row r="577" spans="18:23" x14ac:dyDescent="0.3">
      <c r="R577" s="11"/>
      <c r="S577" s="11"/>
      <c r="T577" s="12"/>
      <c r="U577" s="13"/>
      <c r="W577" s="13"/>
    </row>
    <row r="578" spans="18:23" x14ac:dyDescent="0.3">
      <c r="R578" s="11"/>
      <c r="S578" s="11"/>
      <c r="T578" s="12"/>
      <c r="U578" s="13"/>
      <c r="W578" s="13"/>
    </row>
    <row r="579" spans="18:23" x14ac:dyDescent="0.3">
      <c r="R579" s="11"/>
      <c r="S579" s="11"/>
      <c r="T579" s="12"/>
      <c r="U579" s="13"/>
      <c r="W579" s="13"/>
    </row>
    <row r="580" spans="18:23" x14ac:dyDescent="0.3">
      <c r="R580" s="11"/>
      <c r="S580" s="11"/>
      <c r="T580" s="12"/>
      <c r="U580" s="13"/>
      <c r="W580" s="13"/>
    </row>
    <row r="581" spans="18:23" x14ac:dyDescent="0.3">
      <c r="R581" s="11"/>
      <c r="S581" s="11"/>
      <c r="T581" s="12"/>
      <c r="U581" s="13"/>
      <c r="W581" s="13"/>
    </row>
    <row r="582" spans="18:23" x14ac:dyDescent="0.3">
      <c r="R582" s="11"/>
      <c r="S582" s="11"/>
      <c r="T582" s="12"/>
      <c r="U582" s="13"/>
      <c r="W582" s="13"/>
    </row>
    <row r="583" spans="18:23" x14ac:dyDescent="0.3">
      <c r="R583" s="11"/>
      <c r="S583" s="11"/>
      <c r="T583" s="12"/>
      <c r="U583" s="13"/>
      <c r="W583" s="13"/>
    </row>
    <row r="584" spans="18:23" x14ac:dyDescent="0.3">
      <c r="R584" s="11"/>
      <c r="S584" s="11"/>
      <c r="T584" s="12"/>
      <c r="U584" s="13"/>
      <c r="W584" s="13"/>
    </row>
    <row r="585" spans="18:23" x14ac:dyDescent="0.3">
      <c r="R585" s="11"/>
      <c r="S585" s="11"/>
      <c r="T585" s="12"/>
      <c r="U585" s="13"/>
      <c r="W585" s="13"/>
    </row>
    <row r="586" spans="18:23" x14ac:dyDescent="0.3">
      <c r="R586" s="11"/>
      <c r="S586" s="11"/>
      <c r="T586" s="12"/>
      <c r="U586" s="13"/>
      <c r="W586" s="13"/>
    </row>
    <row r="587" spans="18:23" x14ac:dyDescent="0.3">
      <c r="R587" s="11"/>
      <c r="S587" s="11"/>
      <c r="T587" s="12"/>
      <c r="U587" s="13"/>
      <c r="W587" s="13"/>
    </row>
    <row r="588" spans="18:23" x14ac:dyDescent="0.3">
      <c r="R588" s="11"/>
      <c r="S588" s="11"/>
      <c r="T588" s="12"/>
      <c r="U588" s="13"/>
      <c r="W588" s="13"/>
    </row>
    <row r="589" spans="18:23" x14ac:dyDescent="0.3">
      <c r="R589" s="11"/>
      <c r="S589" s="11"/>
      <c r="T589" s="12"/>
      <c r="U589" s="13"/>
      <c r="W589" s="13"/>
    </row>
    <row r="590" spans="18:23" x14ac:dyDescent="0.3">
      <c r="R590" s="11"/>
      <c r="S590" s="11"/>
      <c r="T590" s="12"/>
      <c r="U590" s="13"/>
      <c r="W590" s="13"/>
    </row>
    <row r="591" spans="18:23" x14ac:dyDescent="0.3">
      <c r="R591" s="11"/>
      <c r="S591" s="11"/>
      <c r="T591" s="12"/>
      <c r="U591" s="13"/>
      <c r="W591" s="13"/>
    </row>
    <row r="592" spans="18:23" x14ac:dyDescent="0.3">
      <c r="R592" s="11"/>
      <c r="S592" s="11"/>
      <c r="T592" s="12"/>
      <c r="U592" s="13"/>
      <c r="W592" s="13"/>
    </row>
    <row r="593" spans="18:23" x14ac:dyDescent="0.3">
      <c r="R593" s="11"/>
      <c r="S593" s="11"/>
      <c r="T593" s="12"/>
      <c r="U593" s="13"/>
      <c r="W593" s="13"/>
    </row>
    <row r="594" spans="18:23" x14ac:dyDescent="0.3">
      <c r="R594" s="11"/>
      <c r="S594" s="11"/>
      <c r="T594" s="12"/>
      <c r="U594" s="13"/>
      <c r="W594" s="13"/>
    </row>
    <row r="595" spans="18:23" x14ac:dyDescent="0.3">
      <c r="R595" s="11"/>
      <c r="S595" s="11"/>
      <c r="T595" s="12"/>
      <c r="U595" s="13"/>
      <c r="W595" s="13"/>
    </row>
    <row r="596" spans="18:23" x14ac:dyDescent="0.3">
      <c r="R596" s="11"/>
      <c r="S596" s="11"/>
      <c r="T596" s="12"/>
      <c r="U596" s="13"/>
      <c r="W596" s="13"/>
    </row>
    <row r="597" spans="18:23" x14ac:dyDescent="0.3">
      <c r="R597" s="11"/>
      <c r="S597" s="11"/>
      <c r="T597" s="12"/>
      <c r="U597" s="13"/>
      <c r="W597" s="13"/>
    </row>
    <row r="598" spans="18:23" x14ac:dyDescent="0.3">
      <c r="R598" s="11"/>
      <c r="S598" s="11"/>
      <c r="T598" s="12"/>
      <c r="U598" s="13"/>
      <c r="W598" s="13"/>
    </row>
    <row r="599" spans="18:23" x14ac:dyDescent="0.3">
      <c r="R599" s="11"/>
      <c r="S599" s="11"/>
      <c r="T599" s="12"/>
      <c r="U599" s="13"/>
      <c r="W599" s="13"/>
    </row>
    <row r="600" spans="18:23" x14ac:dyDescent="0.3">
      <c r="R600" s="11"/>
      <c r="S600" s="11"/>
      <c r="T600" s="12"/>
      <c r="U600" s="13"/>
      <c r="W600" s="13"/>
    </row>
    <row r="601" spans="18:23" x14ac:dyDescent="0.3">
      <c r="R601" s="11"/>
      <c r="S601" s="11"/>
      <c r="T601" s="12"/>
      <c r="U601" s="13"/>
      <c r="W601" s="13"/>
    </row>
    <row r="602" spans="18:23" x14ac:dyDescent="0.3">
      <c r="R602" s="11"/>
      <c r="S602" s="11"/>
      <c r="T602" s="12"/>
      <c r="U602" s="13"/>
      <c r="W602" s="13"/>
    </row>
    <row r="603" spans="18:23" x14ac:dyDescent="0.3">
      <c r="R603" s="11"/>
      <c r="S603" s="11"/>
      <c r="T603" s="12"/>
      <c r="U603" s="13"/>
      <c r="W603" s="13"/>
    </row>
    <row r="604" spans="18:23" x14ac:dyDescent="0.3">
      <c r="R604" s="11"/>
      <c r="S604" s="11"/>
      <c r="T604" s="12"/>
      <c r="U604" s="13"/>
      <c r="W604" s="13"/>
    </row>
    <row r="605" spans="18:23" x14ac:dyDescent="0.3">
      <c r="R605" s="11"/>
      <c r="S605" s="11"/>
      <c r="T605" s="12"/>
      <c r="U605" s="13"/>
      <c r="W605" s="13"/>
    </row>
    <row r="606" spans="18:23" x14ac:dyDescent="0.3">
      <c r="R606" s="11"/>
      <c r="S606" s="11"/>
      <c r="T606" s="12"/>
      <c r="U606" s="13"/>
      <c r="W606" s="13"/>
    </row>
    <row r="607" spans="18:23" x14ac:dyDescent="0.3">
      <c r="R607" s="11"/>
      <c r="S607" s="11"/>
      <c r="T607" s="12"/>
      <c r="U607" s="13"/>
      <c r="W607" s="13"/>
    </row>
    <row r="608" spans="18:23" x14ac:dyDescent="0.3">
      <c r="R608" s="11"/>
      <c r="S608" s="11"/>
      <c r="T608" s="12"/>
      <c r="U608" s="13"/>
      <c r="W608" s="13"/>
    </row>
    <row r="609" spans="18:23" x14ac:dyDescent="0.3">
      <c r="R609" s="11"/>
      <c r="S609" s="11"/>
      <c r="T609" s="12"/>
      <c r="U609" s="13"/>
      <c r="W609" s="13"/>
    </row>
    <row r="610" spans="18:23" x14ac:dyDescent="0.3">
      <c r="R610" s="11"/>
      <c r="S610" s="11"/>
      <c r="T610" s="12"/>
      <c r="U610" s="13"/>
      <c r="W610" s="13"/>
    </row>
    <row r="611" spans="18:23" x14ac:dyDescent="0.3">
      <c r="R611" s="11"/>
      <c r="S611" s="11"/>
      <c r="T611" s="12"/>
      <c r="U611" s="13"/>
      <c r="W611" s="13"/>
    </row>
    <row r="612" spans="18:23" x14ac:dyDescent="0.3">
      <c r="R612" s="11"/>
      <c r="S612" s="11"/>
      <c r="T612" s="12"/>
      <c r="U612" s="13"/>
      <c r="W612" s="13"/>
    </row>
    <row r="613" spans="18:23" x14ac:dyDescent="0.3">
      <c r="R613" s="11"/>
      <c r="S613" s="11"/>
      <c r="T613" s="12"/>
      <c r="U613" s="13"/>
      <c r="W613" s="13"/>
    </row>
    <row r="614" spans="18:23" x14ac:dyDescent="0.3">
      <c r="R614" s="11"/>
      <c r="S614" s="11"/>
      <c r="T614" s="12"/>
      <c r="U614" s="13"/>
      <c r="W614" s="13"/>
    </row>
    <row r="615" spans="18:23" x14ac:dyDescent="0.3">
      <c r="R615" s="11"/>
      <c r="S615" s="11"/>
      <c r="T615" s="12"/>
      <c r="U615" s="13"/>
      <c r="W615" s="13"/>
    </row>
    <row r="616" spans="18:23" x14ac:dyDescent="0.3">
      <c r="R616" s="11"/>
      <c r="S616" s="11"/>
      <c r="T616" s="12"/>
      <c r="U616" s="13"/>
      <c r="W616" s="13"/>
    </row>
    <row r="617" spans="18:23" x14ac:dyDescent="0.3">
      <c r="R617" s="11"/>
      <c r="S617" s="11"/>
      <c r="T617" s="12"/>
      <c r="U617" s="13"/>
      <c r="W617" s="13"/>
    </row>
    <row r="618" spans="18:23" x14ac:dyDescent="0.3">
      <c r="R618" s="11"/>
      <c r="S618" s="11"/>
      <c r="T618" s="12"/>
      <c r="U618" s="13"/>
      <c r="W618" s="13"/>
    </row>
    <row r="619" spans="18:23" x14ac:dyDescent="0.3">
      <c r="R619" s="11"/>
      <c r="S619" s="11"/>
      <c r="T619" s="12"/>
      <c r="U619" s="13"/>
      <c r="W619" s="13"/>
    </row>
    <row r="620" spans="18:23" x14ac:dyDescent="0.3">
      <c r="R620" s="11"/>
      <c r="S620" s="11"/>
      <c r="T620" s="12"/>
      <c r="U620" s="13"/>
      <c r="W620" s="13"/>
    </row>
    <row r="621" spans="18:23" x14ac:dyDescent="0.3">
      <c r="R621" s="11"/>
      <c r="S621" s="11"/>
      <c r="T621" s="12"/>
      <c r="U621" s="13"/>
      <c r="W621" s="13"/>
    </row>
    <row r="622" spans="18:23" x14ac:dyDescent="0.3">
      <c r="R622" s="11"/>
      <c r="S622" s="11"/>
      <c r="T622" s="12"/>
      <c r="U622" s="13"/>
      <c r="W622" s="13"/>
    </row>
    <row r="623" spans="18:23" x14ac:dyDescent="0.3">
      <c r="R623" s="11"/>
      <c r="S623" s="11"/>
      <c r="T623" s="12"/>
      <c r="U623" s="13"/>
      <c r="W623" s="13"/>
    </row>
    <row r="624" spans="18:23" x14ac:dyDescent="0.3">
      <c r="R624" s="11"/>
      <c r="S624" s="11"/>
      <c r="T624" s="12"/>
      <c r="U624" s="13"/>
      <c r="W624" s="13"/>
    </row>
    <row r="625" spans="18:23" x14ac:dyDescent="0.3">
      <c r="R625" s="11"/>
      <c r="S625" s="11"/>
      <c r="T625" s="12"/>
      <c r="U625" s="13"/>
      <c r="W625" s="13"/>
    </row>
    <row r="626" spans="18:23" x14ac:dyDescent="0.3">
      <c r="R626" s="11"/>
      <c r="S626" s="11"/>
      <c r="T626" s="12"/>
      <c r="U626" s="13"/>
      <c r="W626" s="13"/>
    </row>
    <row r="627" spans="18:23" x14ac:dyDescent="0.3">
      <c r="R627" s="11"/>
      <c r="S627" s="11"/>
      <c r="T627" s="12"/>
      <c r="U627" s="13"/>
      <c r="W627" s="13"/>
    </row>
    <row r="628" spans="18:23" x14ac:dyDescent="0.3">
      <c r="R628" s="11"/>
      <c r="S628" s="11"/>
      <c r="T628" s="12"/>
      <c r="U628" s="13"/>
      <c r="W628" s="13"/>
    </row>
    <row r="629" spans="18:23" x14ac:dyDescent="0.3">
      <c r="R629" s="11"/>
      <c r="S629" s="11"/>
      <c r="T629" s="12"/>
      <c r="U629" s="13"/>
      <c r="W629" s="13"/>
    </row>
    <row r="630" spans="18:23" x14ac:dyDescent="0.3">
      <c r="R630" s="11"/>
      <c r="S630" s="11"/>
      <c r="T630" s="12"/>
      <c r="U630" s="13"/>
      <c r="W630" s="13"/>
    </row>
    <row r="631" spans="18:23" x14ac:dyDescent="0.3">
      <c r="R631" s="11"/>
      <c r="S631" s="11"/>
      <c r="T631" s="12"/>
      <c r="U631" s="13"/>
      <c r="W631" s="13"/>
    </row>
    <row r="632" spans="18:23" x14ac:dyDescent="0.3">
      <c r="R632" s="11"/>
      <c r="S632" s="11"/>
      <c r="T632" s="12"/>
      <c r="U632" s="13"/>
      <c r="W632" s="13"/>
    </row>
    <row r="633" spans="18:23" x14ac:dyDescent="0.3">
      <c r="R633" s="11"/>
      <c r="S633" s="11"/>
      <c r="T633" s="12"/>
      <c r="U633" s="13"/>
      <c r="W633" s="13"/>
    </row>
    <row r="634" spans="18:23" x14ac:dyDescent="0.3">
      <c r="R634" s="11"/>
      <c r="S634" s="11"/>
      <c r="T634" s="12"/>
      <c r="U634" s="13"/>
      <c r="W634" s="13"/>
    </row>
    <row r="635" spans="18:23" x14ac:dyDescent="0.3">
      <c r="R635" s="11"/>
      <c r="S635" s="11"/>
      <c r="T635" s="12"/>
      <c r="U635" s="13"/>
      <c r="W635" s="13"/>
    </row>
    <row r="636" spans="18:23" x14ac:dyDescent="0.3">
      <c r="R636" s="11"/>
      <c r="S636" s="11"/>
      <c r="T636" s="12"/>
      <c r="U636" s="13"/>
      <c r="W636" s="13"/>
    </row>
    <row r="637" spans="18:23" x14ac:dyDescent="0.3">
      <c r="R637" s="11"/>
      <c r="S637" s="11"/>
      <c r="T637" s="12"/>
      <c r="U637" s="13"/>
      <c r="W637" s="13"/>
    </row>
    <row r="638" spans="18:23" x14ac:dyDescent="0.3">
      <c r="R638" s="11"/>
      <c r="S638" s="11"/>
      <c r="T638" s="12"/>
      <c r="U638" s="13"/>
      <c r="W638" s="13"/>
    </row>
    <row r="639" spans="18:23" x14ac:dyDescent="0.3">
      <c r="R639" s="11"/>
      <c r="S639" s="11"/>
      <c r="T639" s="12"/>
      <c r="U639" s="13"/>
      <c r="W639" s="13"/>
    </row>
    <row r="640" spans="18:23" x14ac:dyDescent="0.3">
      <c r="R640" s="11"/>
      <c r="S640" s="11"/>
      <c r="T640" s="12"/>
      <c r="U640" s="13"/>
      <c r="W640" s="13"/>
    </row>
    <row r="641" spans="18:23" x14ac:dyDescent="0.3">
      <c r="R641" s="11"/>
      <c r="S641" s="11"/>
      <c r="T641" s="12"/>
      <c r="U641" s="13"/>
      <c r="W641" s="13"/>
    </row>
    <row r="642" spans="18:23" x14ac:dyDescent="0.3">
      <c r="R642" s="11"/>
      <c r="S642" s="11"/>
      <c r="T642" s="12"/>
      <c r="U642" s="13"/>
      <c r="W642" s="13"/>
    </row>
    <row r="643" spans="18:23" x14ac:dyDescent="0.3">
      <c r="R643" s="11"/>
      <c r="S643" s="11"/>
      <c r="T643" s="12"/>
      <c r="U643" s="13"/>
      <c r="W643" s="13"/>
    </row>
    <row r="644" spans="18:23" x14ac:dyDescent="0.3">
      <c r="R644" s="11"/>
      <c r="S644" s="11"/>
      <c r="T644" s="12"/>
      <c r="U644" s="13"/>
      <c r="W644" s="13"/>
    </row>
    <row r="645" spans="18:23" x14ac:dyDescent="0.3">
      <c r="R645" s="11"/>
      <c r="S645" s="11"/>
      <c r="T645" s="12"/>
      <c r="U645" s="13"/>
      <c r="W645" s="13"/>
    </row>
    <row r="646" spans="18:23" x14ac:dyDescent="0.3">
      <c r="R646" s="11"/>
      <c r="S646" s="11"/>
      <c r="T646" s="12"/>
      <c r="U646" s="13"/>
      <c r="W646" s="13"/>
    </row>
    <row r="647" spans="18:23" x14ac:dyDescent="0.3">
      <c r="R647" s="11"/>
      <c r="S647" s="11"/>
      <c r="T647" s="12"/>
      <c r="U647" s="13"/>
      <c r="W647" s="13"/>
    </row>
    <row r="648" spans="18:23" x14ac:dyDescent="0.3">
      <c r="R648" s="11"/>
      <c r="S648" s="11"/>
      <c r="T648" s="12"/>
      <c r="U648" s="13"/>
      <c r="W648" s="13"/>
    </row>
    <row r="649" spans="18:23" x14ac:dyDescent="0.3">
      <c r="R649" s="11"/>
      <c r="S649" s="11"/>
      <c r="T649" s="12"/>
      <c r="U649" s="13"/>
      <c r="W649" s="13"/>
    </row>
    <row r="650" spans="18:23" x14ac:dyDescent="0.3">
      <c r="R650" s="11"/>
      <c r="S650" s="11"/>
      <c r="T650" s="12"/>
      <c r="U650" s="13"/>
      <c r="W650" s="13"/>
    </row>
    <row r="651" spans="18:23" x14ac:dyDescent="0.3">
      <c r="R651" s="11"/>
      <c r="S651" s="11"/>
      <c r="T651" s="12"/>
      <c r="U651" s="13"/>
      <c r="W651" s="13"/>
    </row>
    <row r="652" spans="18:23" x14ac:dyDescent="0.3">
      <c r="R652" s="11"/>
      <c r="S652" s="11"/>
      <c r="T652" s="12"/>
      <c r="U652" s="13"/>
      <c r="W652" s="13"/>
    </row>
    <row r="653" spans="18:23" x14ac:dyDescent="0.3">
      <c r="R653" s="11"/>
      <c r="S653" s="11"/>
      <c r="T653" s="12"/>
      <c r="U653" s="13"/>
      <c r="W653" s="13"/>
    </row>
    <row r="654" spans="18:23" x14ac:dyDescent="0.3">
      <c r="R654" s="11"/>
      <c r="S654" s="11"/>
      <c r="T654" s="12"/>
      <c r="U654" s="13"/>
      <c r="W654" s="13"/>
    </row>
    <row r="655" spans="18:23" x14ac:dyDescent="0.3">
      <c r="R655" s="11"/>
      <c r="S655" s="11"/>
      <c r="T655" s="12"/>
      <c r="U655" s="13"/>
      <c r="W655" s="13"/>
    </row>
    <row r="656" spans="18:23" x14ac:dyDescent="0.3">
      <c r="R656" s="11"/>
      <c r="S656" s="11"/>
      <c r="T656" s="12"/>
      <c r="U656" s="13"/>
      <c r="W656" s="13"/>
    </row>
    <row r="657" spans="18:23" x14ac:dyDescent="0.3">
      <c r="R657" s="11"/>
      <c r="S657" s="11"/>
      <c r="T657" s="12"/>
      <c r="U657" s="13"/>
      <c r="W657" s="13"/>
    </row>
    <row r="658" spans="18:23" x14ac:dyDescent="0.3">
      <c r="R658" s="11"/>
      <c r="S658" s="11"/>
      <c r="T658" s="12"/>
      <c r="U658" s="13"/>
      <c r="W658" s="13"/>
    </row>
    <row r="659" spans="18:23" x14ac:dyDescent="0.3">
      <c r="R659" s="11"/>
      <c r="S659" s="11"/>
      <c r="T659" s="12"/>
      <c r="U659" s="13"/>
      <c r="W659" s="13"/>
    </row>
    <row r="660" spans="18:23" x14ac:dyDescent="0.3">
      <c r="R660" s="11"/>
      <c r="S660" s="11"/>
      <c r="T660" s="12"/>
      <c r="U660" s="13"/>
      <c r="W660" s="13"/>
    </row>
    <row r="661" spans="18:23" x14ac:dyDescent="0.3">
      <c r="R661" s="11"/>
      <c r="S661" s="11"/>
      <c r="T661" s="12"/>
      <c r="U661" s="13"/>
      <c r="W661" s="13"/>
    </row>
    <row r="662" spans="18:23" x14ac:dyDescent="0.3">
      <c r="R662" s="11"/>
      <c r="S662" s="11"/>
      <c r="T662" s="12"/>
      <c r="U662" s="13"/>
      <c r="W662" s="13"/>
    </row>
    <row r="663" spans="18:23" x14ac:dyDescent="0.3">
      <c r="R663" s="11"/>
      <c r="S663" s="11"/>
      <c r="T663" s="12"/>
      <c r="U663" s="13"/>
      <c r="W663" s="13"/>
    </row>
    <row r="664" spans="18:23" x14ac:dyDescent="0.3">
      <c r="R664" s="11"/>
      <c r="S664" s="11"/>
      <c r="T664" s="12"/>
      <c r="U664" s="13"/>
      <c r="W664" s="13"/>
    </row>
    <row r="665" spans="18:23" x14ac:dyDescent="0.3">
      <c r="R665" s="11"/>
      <c r="S665" s="11"/>
      <c r="T665" s="12"/>
      <c r="U665" s="13"/>
      <c r="W665" s="13"/>
    </row>
    <row r="666" spans="18:23" x14ac:dyDescent="0.3">
      <c r="R666" s="11"/>
      <c r="S666" s="11"/>
      <c r="T666" s="12"/>
      <c r="U666" s="13"/>
      <c r="W666" s="13"/>
    </row>
    <row r="667" spans="18:23" x14ac:dyDescent="0.3">
      <c r="R667" s="11"/>
      <c r="S667" s="11"/>
      <c r="T667" s="12"/>
      <c r="U667" s="13"/>
      <c r="W667" s="13"/>
    </row>
    <row r="668" spans="18:23" x14ac:dyDescent="0.3">
      <c r="R668" s="11"/>
      <c r="S668" s="11"/>
      <c r="T668" s="12"/>
      <c r="U668" s="13"/>
      <c r="W668" s="13"/>
    </row>
    <row r="669" spans="18:23" x14ac:dyDescent="0.3">
      <c r="R669" s="11"/>
      <c r="S669" s="11"/>
      <c r="T669" s="12"/>
      <c r="U669" s="13"/>
      <c r="W669" s="13"/>
    </row>
    <row r="670" spans="18:23" x14ac:dyDescent="0.3">
      <c r="R670" s="11"/>
      <c r="S670" s="11"/>
      <c r="T670" s="12"/>
      <c r="U670" s="13"/>
      <c r="W670" s="13"/>
    </row>
    <row r="671" spans="18:23" x14ac:dyDescent="0.3">
      <c r="R671" s="11"/>
      <c r="S671" s="11"/>
      <c r="T671" s="12"/>
      <c r="U671" s="13"/>
      <c r="W671" s="13"/>
    </row>
    <row r="672" spans="18:23" x14ac:dyDescent="0.3">
      <c r="R672" s="11"/>
      <c r="S672" s="11"/>
      <c r="T672" s="12"/>
      <c r="U672" s="13"/>
      <c r="W672" s="13"/>
    </row>
    <row r="673" spans="18:23" x14ac:dyDescent="0.3">
      <c r="R673" s="11"/>
      <c r="S673" s="11"/>
      <c r="T673" s="12"/>
      <c r="U673" s="13"/>
      <c r="W673" s="13"/>
    </row>
    <row r="674" spans="18:23" x14ac:dyDescent="0.3">
      <c r="R674" s="11"/>
      <c r="S674" s="11"/>
      <c r="T674" s="12"/>
      <c r="U674" s="13"/>
      <c r="W674" s="13"/>
    </row>
    <row r="675" spans="18:23" x14ac:dyDescent="0.3">
      <c r="R675" s="11"/>
      <c r="S675" s="11"/>
      <c r="T675" s="12"/>
      <c r="U675" s="13"/>
      <c r="W675" s="13"/>
    </row>
    <row r="676" spans="18:23" x14ac:dyDescent="0.3">
      <c r="R676" s="11"/>
      <c r="S676" s="11"/>
      <c r="T676" s="12"/>
      <c r="U676" s="13"/>
      <c r="W676" s="13"/>
    </row>
    <row r="677" spans="18:23" x14ac:dyDescent="0.3">
      <c r="R677" s="11"/>
      <c r="S677" s="11"/>
      <c r="T677" s="12"/>
      <c r="U677" s="13"/>
      <c r="W677" s="13"/>
    </row>
    <row r="678" spans="18:23" x14ac:dyDescent="0.3">
      <c r="R678" s="11"/>
      <c r="S678" s="11"/>
      <c r="T678" s="12"/>
      <c r="U678" s="13"/>
      <c r="W678" s="13"/>
    </row>
    <row r="679" spans="18:23" x14ac:dyDescent="0.3">
      <c r="R679" s="11"/>
      <c r="S679" s="11"/>
      <c r="T679" s="12"/>
      <c r="U679" s="13"/>
      <c r="W679" s="13"/>
    </row>
    <row r="680" spans="18:23" x14ac:dyDescent="0.3">
      <c r="R680" s="11"/>
      <c r="S680" s="11"/>
      <c r="T680" s="12"/>
      <c r="U680" s="13"/>
      <c r="W680" s="13"/>
    </row>
  </sheetData>
  <sheetProtection algorithmName="SHA-512" hashValue="FaHPDq4TPYQfAwWadPu7bnPpnaMCZM/TUYs9FBnAts/ov/J7BggAOyFB5cMErUN7lzbl17FSf8zViH9SoBgHXQ==" saltValue="oVgHrc18AYfh0DBFlpwGVA==" spinCount="100000" sheet="1" formatCells="0" formatColumns="0" formatRows="0" insertColumns="0" insertRows="0" insertHyperlinks="0" deleteColumns="0" deleteRows="0" sort="0" autoFilter="0" pivotTables="0"/>
  <protectedRanges>
    <protectedRange sqref="M3:M463" name="Кількість"/>
    <protectedRange sqref="R2" name="Тариф"/>
  </protectedRanges>
  <autoFilter ref="A2:O441" xr:uid="{00000000-0001-0000-0000-000000000000}">
    <sortState xmlns:xlrd2="http://schemas.microsoft.com/office/spreadsheetml/2017/richdata2" ref="A3:O463">
      <sortCondition ref="I2:I441"/>
    </sortState>
  </autoFilter>
  <mergeCells count="4">
    <mergeCell ref="A1:D1"/>
    <mergeCell ref="E1:K1"/>
    <mergeCell ref="L1:O1"/>
    <mergeCell ref="S1:S2"/>
  </mergeCells>
  <conditionalFormatting sqref="A3:A8 C3:C8 A130 C130">
    <cfRule type="expression" dxfId="74" priority="4877">
      <formula>COUNTIF($A$2:$A2942,A3)&gt;1</formula>
    </cfRule>
  </conditionalFormatting>
  <conditionalFormatting sqref="A9:A29 C9:C29">
    <cfRule type="expression" dxfId="73" priority="4905">
      <formula>COUNTIF($A$2:$A2920,A9)&gt;1</formula>
    </cfRule>
  </conditionalFormatting>
  <conditionalFormatting sqref="A30 C30">
    <cfRule type="expression" dxfId="72" priority="4907">
      <formula>COUNTIF($A$2:$A2950,A30)&gt;1</formula>
    </cfRule>
  </conditionalFormatting>
  <conditionalFormatting sqref="A31:A38 C31:C38 A61:A67 C61:C67">
    <cfRule type="expression" dxfId="71" priority="4734">
      <formula>COUNTIF($A$2:$A2955,A31)&gt;1</formula>
    </cfRule>
  </conditionalFormatting>
  <conditionalFormatting sqref="A39:A46 C39:C46 A68:A79 C68:C79">
    <cfRule type="expression" dxfId="70" priority="4528">
      <formula>COUNTIF($A$2:$A2964,A39)&gt;1</formula>
    </cfRule>
  </conditionalFormatting>
  <conditionalFormatting sqref="A47:A48 C47:C48">
    <cfRule type="expression" dxfId="69" priority="4361">
      <formula>COUNTIF($A$2:$A2973,A47)&gt;1</formula>
    </cfRule>
  </conditionalFormatting>
  <conditionalFormatting sqref="A49:A52 C49:C52">
    <cfRule type="expression" dxfId="68" priority="4909">
      <formula>COUNTIF($A$2:$A3078,A49)&gt;1</formula>
    </cfRule>
  </conditionalFormatting>
  <conditionalFormatting sqref="A53:A55 C53:C55">
    <cfRule type="expression" dxfId="67" priority="4742">
      <formula>COUNTIF($A$2:$A3083,A53)&gt;1</formula>
    </cfRule>
  </conditionalFormatting>
  <conditionalFormatting sqref="A56:A59 C56:C59">
    <cfRule type="expression" dxfId="66" priority="4559">
      <formula>COUNTIF($A$2:$A3087,A56)&gt;1</formula>
    </cfRule>
  </conditionalFormatting>
  <conditionalFormatting sqref="A60 C60">
    <cfRule type="expression" dxfId="65" priority="4903">
      <formula>COUNTIF($A$2:$A3094,A60)&gt;1</formula>
    </cfRule>
  </conditionalFormatting>
  <conditionalFormatting sqref="A80:A99 C80:C99">
    <cfRule type="expression" dxfId="64" priority="4889">
      <formula>COUNTIF($A$2:$A3008,A80)&gt;1</formula>
    </cfRule>
  </conditionalFormatting>
  <conditionalFormatting sqref="A100:A110 C100:C110">
    <cfRule type="expression" dxfId="63" priority="4722">
      <formula>COUNTIF($A$2:$A3029,A100)&gt;1</formula>
    </cfRule>
  </conditionalFormatting>
  <conditionalFormatting sqref="A111:A114 C111:C114">
    <cfRule type="expression" dxfId="62" priority="4363">
      <formula>COUNTIF($A$2:$A3043,A111)&gt;1</formula>
    </cfRule>
  </conditionalFormatting>
  <conditionalFormatting sqref="A115 C115">
    <cfRule type="expression" dxfId="61" priority="3915">
      <formula>COUNTIF($A$2:$A3048,A115)&gt;1</formula>
    </cfRule>
  </conditionalFormatting>
  <conditionalFormatting sqref="A116 C116 C119">
    <cfRule type="expression" dxfId="60" priority="4101">
      <formula>COUNTIF($A$2:$A3050,A116)&gt;1</formula>
    </cfRule>
  </conditionalFormatting>
  <conditionalFormatting sqref="A117:A118 C117:C118">
    <cfRule type="expression" dxfId="59" priority="4754">
      <formula>COUNTIF($A$2:$A3095,A117)&gt;1</formula>
    </cfRule>
  </conditionalFormatting>
  <conditionalFormatting sqref="A119:A123 C120:C123">
    <cfRule type="expression" dxfId="58" priority="3938">
      <formula>COUNTIF($A$2:$A3050,A119)&gt;1</formula>
    </cfRule>
  </conditionalFormatting>
  <conditionalFormatting sqref="A124:A128 C124:C128">
    <cfRule type="expression" dxfId="57" priority="3573">
      <formula>COUNTIF($A$2:$A3059,A124)&gt;1</formula>
    </cfRule>
  </conditionalFormatting>
  <conditionalFormatting sqref="A129 C129">
    <cfRule type="expression" dxfId="56" priority="4883">
      <formula>COUNTIF($A$2:$A3066,A129)&gt;1</formula>
    </cfRule>
  </conditionalFormatting>
  <conditionalFormatting sqref="A131 C131">
    <cfRule type="expression" dxfId="55" priority="4710">
      <formula>COUNTIF($A$2:$A3071,A131)&gt;1</formula>
    </cfRule>
  </conditionalFormatting>
  <conditionalFormatting sqref="A132:A135 C132:C135">
    <cfRule type="expression" dxfId="54" priority="4437">
      <formula>COUNTIF($A$2:$A3073,A132)&gt;1</formula>
    </cfRule>
  </conditionalFormatting>
  <conditionalFormatting sqref="A136:A137 C136:C137">
    <cfRule type="expression" dxfId="53" priority="4911">
      <formula>COUNTIF($A$2:$A2977,A136)&gt;1</formula>
    </cfRule>
  </conditionalFormatting>
  <conditionalFormatting sqref="A138:A139 C138:C139">
    <cfRule type="expression" dxfId="52" priority="4744">
      <formula>COUNTIF($A$2:$A2980,A138)&gt;1</formula>
    </cfRule>
  </conditionalFormatting>
  <conditionalFormatting sqref="A140:A145 C140:C145">
    <cfRule type="expression" dxfId="51" priority="4913">
      <formula>COUNTIF($A$2:$A3096,A140)&gt;1</formula>
    </cfRule>
  </conditionalFormatting>
  <conditionalFormatting sqref="A146 C146">
    <cfRule type="expression" dxfId="50" priority="4746">
      <formula>COUNTIF($A$2:$A3103,A146)&gt;1</formula>
    </cfRule>
  </conditionalFormatting>
  <conditionalFormatting sqref="A147:A148 C147:C148">
    <cfRule type="expression" dxfId="49" priority="4569">
      <formula>COUNTIF($A$2:$A3105,A147)&gt;1</formula>
    </cfRule>
  </conditionalFormatting>
  <conditionalFormatting sqref="A149:A150 C149:C150">
    <cfRule type="expression" dxfId="48" priority="4402">
      <formula>COUNTIF($A$2:$A3108,A149)&gt;1</formula>
    </cfRule>
  </conditionalFormatting>
  <conditionalFormatting sqref="A151:A155 C151:C155 A169 C169">
    <cfRule type="expression" dxfId="47" priority="4404">
      <formula>COUNTIF($A$2:$A3111,A151)&gt;1</formula>
    </cfRule>
  </conditionalFormatting>
  <conditionalFormatting sqref="A156 C156 A170 C170 A172 C172">
    <cfRule type="expression" dxfId="46" priority="4218">
      <formula>COUNTIF($A$2:$A3117,A156)&gt;1</formula>
    </cfRule>
  </conditionalFormatting>
  <conditionalFormatting sqref="A157:A162 C157:C162 A166 C166 A168 C168 A173:A186 C173:C186">
    <cfRule type="expression" dxfId="45" priority="4220">
      <formula>COUNTIF($A$2:$A3119,A157)&gt;1</formula>
    </cfRule>
  </conditionalFormatting>
  <conditionalFormatting sqref="A163:A164 C163:C164">
    <cfRule type="expression" dxfId="44" priority="3983">
      <formula>COUNTIF($A$2:$A3126,A163)&gt;1</formula>
    </cfRule>
  </conditionalFormatting>
  <conditionalFormatting sqref="A165 C165">
    <cfRule type="expression" dxfId="43" priority="4915">
      <formula>COUNTIF($A$2:$A3064,A165)&gt;1</formula>
    </cfRule>
  </conditionalFormatting>
  <conditionalFormatting sqref="A167 C167">
    <cfRule type="expression" dxfId="42" priority="4467">
      <formula>COUNTIF($A$2:$A3097,A167)&gt;1</formula>
    </cfRule>
  </conditionalFormatting>
  <conditionalFormatting sqref="A171 C171">
    <cfRule type="expression" dxfId="41" priority="4901">
      <formula>COUNTIF($A$2:$A3094,A171)&gt;1</formula>
    </cfRule>
  </conditionalFormatting>
  <conditionalFormatting sqref="A187 C187">
    <cfRule type="expression" dxfId="40" priority="4881">
      <formula>COUNTIF($A$2:$A3152,A187)&gt;1</formula>
    </cfRule>
  </conditionalFormatting>
  <conditionalFormatting sqref="A188 C188 A213 C213">
    <cfRule type="expression" dxfId="39" priority="4714">
      <formula>COUNTIF($A$2:$A3154,A188)&gt;1</formula>
    </cfRule>
  </conditionalFormatting>
  <conditionalFormatting sqref="A189 C189">
    <cfRule type="expression" dxfId="38" priority="4896">
      <formula>COUNTIF($A$2:$A3157,A189)&gt;1</formula>
    </cfRule>
  </conditionalFormatting>
  <conditionalFormatting sqref="A190:A191 C190:C191">
    <cfRule type="expression" dxfId="37" priority="4505">
      <formula>COUNTIF($A$2:$A3160,A190)&gt;1</formula>
    </cfRule>
  </conditionalFormatting>
  <conditionalFormatting sqref="A192 C192">
    <cfRule type="expression" dxfId="36" priority="4143">
      <formula>COUNTIF($A$2:$A3163,A192)&gt;1</formula>
    </cfRule>
  </conditionalFormatting>
  <conditionalFormatting sqref="A193:A200 C193:C200">
    <cfRule type="expression" dxfId="35" priority="4885">
      <formula>COUNTIF($A$2:$A3166,A193)&gt;1</formula>
    </cfRule>
  </conditionalFormatting>
  <conditionalFormatting sqref="A201:A202 C201:C202">
    <cfRule type="expression" dxfId="34" priority="4917">
      <formula>COUNTIF($A$2:$A3311,A201)&gt;1</formula>
    </cfRule>
  </conditionalFormatting>
  <conditionalFormatting sqref="A203 C203">
    <cfRule type="expression" dxfId="33" priority="4919">
      <formula>COUNTIF($A$2:$A3296,A203)&gt;1</formula>
    </cfRule>
  </conditionalFormatting>
  <conditionalFormatting sqref="A204">
    <cfRule type="expression" dxfId="32" priority="4898">
      <formula>COUNTIF($A$2:$A3184,A204)&gt;1</formula>
    </cfRule>
  </conditionalFormatting>
  <conditionalFormatting sqref="A205">
    <cfRule type="expression" dxfId="31" priority="4731">
      <formula>COUNTIF($A$2:$A3186,A205)&gt;1</formula>
    </cfRule>
  </conditionalFormatting>
  <conditionalFormatting sqref="A206 C206">
    <cfRule type="expression" dxfId="30" priority="4729">
      <formula>COUNTIF($A$2:$A3175,A206)&gt;1</formula>
    </cfRule>
  </conditionalFormatting>
  <conditionalFormatting sqref="A207:A208">
    <cfRule type="expression" dxfId="29" priority="4581">
      <formula>COUNTIF($A$2:$A3195,A207)&gt;1</formula>
    </cfRule>
  </conditionalFormatting>
  <conditionalFormatting sqref="A209">
    <cfRule type="expression" dxfId="28" priority="4891">
      <formula>COUNTIF($A$2:$A3200,A209)&gt;1</formula>
    </cfRule>
  </conditionalFormatting>
  <conditionalFormatting sqref="A210:A212">
    <cfRule type="expression" dxfId="27" priority="4755">
      <formula>COUNTIF($A$2:$A3197,A210)&gt;1</formula>
    </cfRule>
  </conditionalFormatting>
  <conditionalFormatting sqref="A214">
    <cfRule type="expression" dxfId="26" priority="4414">
      <formula>COUNTIF($A$2:$A3203,A214)&gt;1</formula>
    </cfRule>
  </conditionalFormatting>
  <conditionalFormatting sqref="A217">
    <cfRule type="expression" dxfId="25" priority="4921">
      <formula>COUNTIF($A$2:$A3194,A217)&gt;1</formula>
    </cfRule>
  </conditionalFormatting>
  <conditionalFormatting sqref="A218">
    <cfRule type="expression" dxfId="24" priority="4922">
      <formula>COUNTIF($A$2:$A3204,A218)&gt;1</formula>
    </cfRule>
  </conditionalFormatting>
  <conditionalFormatting sqref="A219:A221 C219:C221 A275:C275 A278:A279 C278:C279 A282 C282">
    <cfRule type="expression" dxfId="23" priority="4764">
      <formula>COUNTIF($A$2:$A3215,A219)&gt;1</formula>
    </cfRule>
  </conditionalFormatting>
  <conditionalFormatting sqref="A222:A223 C222:C223 A287:A297 C287:C297">
    <cfRule type="expression" dxfId="22" priority="4892">
      <formula>COUNTIF($A$2:$A3221,A222)&gt;1</formula>
    </cfRule>
  </conditionalFormatting>
  <conditionalFormatting sqref="A224:A238 C224:C238">
    <cfRule type="expression" dxfId="21" priority="4495">
      <formula>COUNTIF($A$2:$A3225,A224)&gt;1</formula>
    </cfRule>
  </conditionalFormatting>
  <conditionalFormatting sqref="A239:A241 C239:C241 A366:A428 C366:C428">
    <cfRule type="expression" dxfId="20" priority="4382">
      <formula>COUNTIF($A$2:$A3242,A239)&gt;1</formula>
    </cfRule>
  </conditionalFormatting>
  <conditionalFormatting sqref="A242:A243 C242:C243">
    <cfRule type="expression" dxfId="19" priority="4084">
      <formula>COUNTIF($A$2:$A3246,A242)&gt;1</formula>
    </cfRule>
  </conditionalFormatting>
  <conditionalFormatting sqref="A244 C244">
    <cfRule type="expression" dxfId="18" priority="4180">
      <formula>COUNTIF($A$2:$A3249,A244)&gt;1</formula>
    </cfRule>
  </conditionalFormatting>
  <conditionalFormatting sqref="A245 C245">
    <cfRule type="expression" dxfId="17" priority="1342">
      <formula>COUNTIF($A$2:$A3251,A245)&gt;1</formula>
    </cfRule>
  </conditionalFormatting>
  <conditionalFormatting sqref="A246:A250 C246:C250 A435:A463 C435:C463">
    <cfRule type="expression" dxfId="16" priority="4720">
      <formula>COUNTIF($A$2:$A3255,A246)&gt;1</formula>
    </cfRule>
  </conditionalFormatting>
  <conditionalFormatting sqref="A251 C251">
    <cfRule type="expression" dxfId="15" priority="4461">
      <formula>COUNTIF($A$2:$A3261,A251)&gt;1</formula>
    </cfRule>
  </conditionalFormatting>
  <conditionalFormatting sqref="A252:A253 C252:C253">
    <cfRule type="expression" dxfId="14" priority="4923">
      <formula>COUNTIF($A$2:$A2952,A252)&gt;1</formula>
    </cfRule>
  </conditionalFormatting>
  <conditionalFormatting sqref="A254:A255 C254:C255">
    <cfRule type="expression" dxfId="13" priority="4925">
      <formula>COUNTIF($A$2:$A3318,A254)&gt;1</formula>
    </cfRule>
  </conditionalFormatting>
  <conditionalFormatting sqref="A256:A261 C256:C261">
    <cfRule type="expression" dxfId="12" priority="4899">
      <formula>COUNTIF($A$2:$A3322,A256)&gt;1</formula>
    </cfRule>
  </conditionalFormatting>
  <conditionalFormatting sqref="A262:A268 C262:C268">
    <cfRule type="expression" dxfId="11" priority="4732">
      <formula>COUNTIF($A$2:$A3329,A262)&gt;1</formula>
    </cfRule>
  </conditionalFormatting>
  <conditionalFormatting sqref="A269:A271 C269:C271">
    <cfRule type="expression" dxfId="10" priority="4927">
      <formula>COUNTIF($A$2:$A3289,A269)&gt;1</formula>
    </cfRule>
  </conditionalFormatting>
  <conditionalFormatting sqref="A280 C280 A283:A286 C283:C286">
    <cfRule type="expression" dxfId="9" priority="4597">
      <formula>COUNTIF($A$2:$A3277,A280)&gt;1</formula>
    </cfRule>
  </conditionalFormatting>
  <conditionalFormatting sqref="A281 C281">
    <cfRule type="expression" dxfId="8" priority="4929">
      <formula>COUNTIF($A$2:$A3297,A281)&gt;1</formula>
    </cfRule>
  </conditionalFormatting>
  <conditionalFormatting sqref="A298:A342 C298:C342">
    <cfRule type="expression" dxfId="7" priority="4725">
      <formula>COUNTIF($A$2:$A3298,A298)&gt;1</formula>
    </cfRule>
  </conditionalFormatting>
  <conditionalFormatting sqref="A343:A365 C343:C365">
    <cfRule type="expression" dxfId="6" priority="4096">
      <formula>COUNTIF($A$2:$A3345,A343)&gt;1</formula>
    </cfRule>
  </conditionalFormatting>
  <conditionalFormatting sqref="A429:A434 C429:C434">
    <cfRule type="expression" dxfId="5" priority="4887">
      <formula>COUNTIF($A$2:$A3437,A429)&gt;1</formula>
    </cfRule>
  </conditionalFormatting>
  <conditionalFormatting sqref="A274:C274 A276:A277 C276:C277">
    <cfRule type="expression" dxfId="4" priority="4931">
      <formula>COUNTIF($A$2:$A3269,A274)&gt;1</formula>
    </cfRule>
  </conditionalFormatting>
  <conditionalFormatting sqref="I3:I463">
    <cfRule type="containsText" dxfId="3" priority="1" operator="containsText" text="В">
      <formula>NOT(ISERROR(SEARCH("В",I3)))</formula>
    </cfRule>
    <cfRule type="containsText" dxfId="2" priority="2" operator="containsText" text="А">
      <formula>NOT(ISERROR(SEARCH("А",I3)))</formula>
    </cfRule>
    <cfRule type="containsText" dxfId="1" priority="3" operator="containsText" text="С">
      <formula>NOT(ISERROR(SEARCH("С",I3)))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">
    <cfRule type="expression" dxfId="0" priority="5">
      <formula>"&gt;0"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DSN GROUP (Solgar)</vt:lpstr>
      <vt:lpstr>DSN GROUP (Solgar) (2)</vt:lpstr>
    </vt:vector>
  </TitlesOfParts>
  <Company>NBTY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Денис Хомик</cp:lastModifiedBy>
  <dcterms:created xsi:type="dcterms:W3CDTF">2022-11-14T15:41:33Z</dcterms:created>
  <dcterms:modified xsi:type="dcterms:W3CDTF">2026-05-22T10:09:43Z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2023-01-24T21:53:57Z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3c58f21c-fd99-46d5-acd4-d5c7cd94c1ab</vt:lpwstr>
  </property>
  <property fmtid="{D5CDD505-2E9C-101B-9397-08002B2CF9AE}" pid="8" name="MSIP_Label_1ada0a2f-b917-4d51-b0d0-d418a10c8b23_ContentBits">
    <vt:lpwstr>0</vt:lpwstr>
  </property>
</Properties>
</file>