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\Prosto picelistes\Міжнародка\"/>
    </mc:Choice>
  </mc:AlternateContent>
  <xr:revisionPtr revIDLastSave="0" documentId="8_{A84FCD81-C316-4A21-9E35-CF14F9C9BC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SN GROUP (Nutrex)" sheetId="1" r:id="rId1"/>
  </sheets>
  <definedNames>
    <definedName name="_xlnm._FilterDatabase" localSheetId="0" hidden="1">'DSN GROUP (Nutrex)'!$A$2:$H$88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8" i="1" l="1"/>
  <c r="H84" i="1"/>
  <c r="H83" i="1"/>
  <c r="H82" i="1"/>
  <c r="H81" i="1"/>
  <c r="H80" i="1"/>
  <c r="H79" i="1"/>
  <c r="H78" i="1"/>
  <c r="H77" i="1"/>
  <c r="H87" i="1"/>
  <c r="H86" i="1"/>
  <c r="H8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K77" i="1" l="1"/>
  <c r="L77" i="1" s="1"/>
  <c r="N77" i="1"/>
  <c r="P77" i="1" s="1"/>
  <c r="K78" i="1"/>
  <c r="L78" i="1" s="1"/>
  <c r="N78" i="1"/>
  <c r="P78" i="1" s="1"/>
  <c r="K79" i="1"/>
  <c r="L79" i="1" s="1"/>
  <c r="N79" i="1"/>
  <c r="P79" i="1" s="1"/>
  <c r="K80" i="1"/>
  <c r="L80" i="1" s="1"/>
  <c r="N80" i="1"/>
  <c r="P80" i="1" s="1"/>
  <c r="K81" i="1"/>
  <c r="L81" i="1" s="1"/>
  <c r="N81" i="1"/>
  <c r="K82" i="1"/>
  <c r="L82" i="1" s="1"/>
  <c r="N82" i="1"/>
  <c r="P82" i="1" s="1"/>
  <c r="K83" i="1"/>
  <c r="L83" i="1" s="1"/>
  <c r="N83" i="1"/>
  <c r="P83" i="1" s="1"/>
  <c r="K84" i="1"/>
  <c r="L84" i="1" s="1"/>
  <c r="N84" i="1"/>
  <c r="P84" i="1" s="1"/>
  <c r="K85" i="1"/>
  <c r="L85" i="1" s="1"/>
  <c r="N85" i="1"/>
  <c r="P85" i="1" s="1"/>
  <c r="K86" i="1"/>
  <c r="L86" i="1" s="1"/>
  <c r="N86" i="1"/>
  <c r="P86" i="1" s="1"/>
  <c r="K87" i="1"/>
  <c r="L87" i="1" s="1"/>
  <c r="N87" i="1"/>
  <c r="P87" i="1" s="1"/>
  <c r="K88" i="1"/>
  <c r="L88" i="1" s="1"/>
  <c r="N88" i="1"/>
  <c r="P88" i="1" s="1"/>
  <c r="H3" i="1"/>
  <c r="M3" i="1"/>
  <c r="M2" i="1" s="1"/>
  <c r="K70" i="1"/>
  <c r="L70" i="1" s="1"/>
  <c r="K69" i="1"/>
  <c r="L69" i="1" s="1"/>
  <c r="K68" i="1"/>
  <c r="L68" i="1" s="1"/>
  <c r="K51" i="1"/>
  <c r="L51" i="1" s="1"/>
  <c r="K48" i="1"/>
  <c r="L48" i="1" s="1"/>
  <c r="K45" i="1"/>
  <c r="L45" i="1" s="1"/>
  <c r="K23" i="1"/>
  <c r="L23" i="1" s="1"/>
  <c r="K21" i="1"/>
  <c r="L21" i="1" s="1"/>
  <c r="K14" i="1"/>
  <c r="L14" i="1" s="1"/>
  <c r="K4" i="1"/>
  <c r="L4" i="1" s="1"/>
  <c r="N4" i="1"/>
  <c r="K5" i="1"/>
  <c r="L5" i="1" s="1"/>
  <c r="N5" i="1"/>
  <c r="K6" i="1"/>
  <c r="L6" i="1" s="1"/>
  <c r="N6" i="1"/>
  <c r="K7" i="1"/>
  <c r="L7" i="1" s="1"/>
  <c r="N7" i="1"/>
  <c r="K8" i="1"/>
  <c r="L8" i="1" s="1"/>
  <c r="N8" i="1"/>
  <c r="K9" i="1"/>
  <c r="L9" i="1" s="1"/>
  <c r="N9" i="1"/>
  <c r="K10" i="1"/>
  <c r="L10" i="1" s="1"/>
  <c r="N10" i="1"/>
  <c r="K11" i="1"/>
  <c r="L11" i="1" s="1"/>
  <c r="N11" i="1"/>
  <c r="K12" i="1"/>
  <c r="L12" i="1" s="1"/>
  <c r="N12" i="1"/>
  <c r="K13" i="1"/>
  <c r="L13" i="1" s="1"/>
  <c r="N13" i="1"/>
  <c r="N14" i="1"/>
  <c r="K15" i="1"/>
  <c r="L15" i="1" s="1"/>
  <c r="N15" i="1"/>
  <c r="K16" i="1"/>
  <c r="L16" i="1" s="1"/>
  <c r="N16" i="1"/>
  <c r="K17" i="1"/>
  <c r="L17" i="1" s="1"/>
  <c r="N17" i="1"/>
  <c r="K18" i="1"/>
  <c r="L18" i="1" s="1"/>
  <c r="N18" i="1"/>
  <c r="K19" i="1"/>
  <c r="L19" i="1" s="1"/>
  <c r="N19" i="1"/>
  <c r="K20" i="1"/>
  <c r="L20" i="1" s="1"/>
  <c r="N20" i="1"/>
  <c r="N21" i="1"/>
  <c r="K22" i="1"/>
  <c r="L22" i="1" s="1"/>
  <c r="N22" i="1"/>
  <c r="N23" i="1"/>
  <c r="K24" i="1"/>
  <c r="L24" i="1" s="1"/>
  <c r="N24" i="1"/>
  <c r="K25" i="1"/>
  <c r="L25" i="1" s="1"/>
  <c r="N25" i="1"/>
  <c r="K26" i="1"/>
  <c r="L26" i="1" s="1"/>
  <c r="N26" i="1"/>
  <c r="K27" i="1"/>
  <c r="L27" i="1" s="1"/>
  <c r="N27" i="1"/>
  <c r="K28" i="1"/>
  <c r="L28" i="1" s="1"/>
  <c r="N28" i="1"/>
  <c r="K29" i="1"/>
  <c r="L29" i="1" s="1"/>
  <c r="N29" i="1"/>
  <c r="K30" i="1"/>
  <c r="L30" i="1" s="1"/>
  <c r="N30" i="1"/>
  <c r="K31" i="1"/>
  <c r="L31" i="1" s="1"/>
  <c r="N31" i="1"/>
  <c r="K32" i="1"/>
  <c r="L32" i="1" s="1"/>
  <c r="N32" i="1"/>
  <c r="K33" i="1"/>
  <c r="L33" i="1" s="1"/>
  <c r="N33" i="1"/>
  <c r="K34" i="1"/>
  <c r="L34" i="1" s="1"/>
  <c r="N34" i="1"/>
  <c r="K35" i="1"/>
  <c r="L35" i="1" s="1"/>
  <c r="N35" i="1"/>
  <c r="K36" i="1"/>
  <c r="L36" i="1" s="1"/>
  <c r="N36" i="1"/>
  <c r="K37" i="1"/>
  <c r="L37" i="1" s="1"/>
  <c r="N37" i="1"/>
  <c r="K38" i="1"/>
  <c r="L38" i="1" s="1"/>
  <c r="N38" i="1"/>
  <c r="K39" i="1"/>
  <c r="L39" i="1" s="1"/>
  <c r="N39" i="1"/>
  <c r="K40" i="1"/>
  <c r="L40" i="1" s="1"/>
  <c r="N40" i="1"/>
  <c r="K41" i="1"/>
  <c r="L41" i="1" s="1"/>
  <c r="N41" i="1"/>
  <c r="K42" i="1"/>
  <c r="L42" i="1" s="1"/>
  <c r="N42" i="1"/>
  <c r="K43" i="1"/>
  <c r="L43" i="1" s="1"/>
  <c r="N43" i="1"/>
  <c r="K44" i="1"/>
  <c r="L44" i="1" s="1"/>
  <c r="N44" i="1"/>
  <c r="N45" i="1"/>
  <c r="K46" i="1"/>
  <c r="L46" i="1" s="1"/>
  <c r="N46" i="1"/>
  <c r="K47" i="1"/>
  <c r="L47" i="1" s="1"/>
  <c r="N47" i="1"/>
  <c r="N48" i="1"/>
  <c r="K49" i="1"/>
  <c r="L49" i="1" s="1"/>
  <c r="N49" i="1"/>
  <c r="K50" i="1"/>
  <c r="L50" i="1" s="1"/>
  <c r="N50" i="1"/>
  <c r="N51" i="1"/>
  <c r="K52" i="1"/>
  <c r="L52" i="1" s="1"/>
  <c r="N52" i="1"/>
  <c r="K53" i="1"/>
  <c r="L53" i="1" s="1"/>
  <c r="N53" i="1"/>
  <c r="K54" i="1"/>
  <c r="L54" i="1" s="1"/>
  <c r="N54" i="1"/>
  <c r="K55" i="1"/>
  <c r="L55" i="1" s="1"/>
  <c r="N55" i="1"/>
  <c r="K56" i="1"/>
  <c r="L56" i="1" s="1"/>
  <c r="N56" i="1"/>
  <c r="K57" i="1"/>
  <c r="L57" i="1" s="1"/>
  <c r="N57" i="1"/>
  <c r="K58" i="1"/>
  <c r="L58" i="1" s="1"/>
  <c r="N58" i="1"/>
  <c r="K59" i="1"/>
  <c r="L59" i="1" s="1"/>
  <c r="N59" i="1"/>
  <c r="K60" i="1"/>
  <c r="L60" i="1" s="1"/>
  <c r="N60" i="1"/>
  <c r="K61" i="1"/>
  <c r="L61" i="1" s="1"/>
  <c r="N61" i="1"/>
  <c r="K62" i="1"/>
  <c r="L62" i="1" s="1"/>
  <c r="N62" i="1"/>
  <c r="K63" i="1"/>
  <c r="L63" i="1" s="1"/>
  <c r="N63" i="1"/>
  <c r="K64" i="1"/>
  <c r="L64" i="1" s="1"/>
  <c r="N64" i="1"/>
  <c r="K65" i="1"/>
  <c r="L65" i="1" s="1"/>
  <c r="N65" i="1"/>
  <c r="K66" i="1"/>
  <c r="L66" i="1" s="1"/>
  <c r="N66" i="1"/>
  <c r="K67" i="1"/>
  <c r="L67" i="1" s="1"/>
  <c r="N67" i="1"/>
  <c r="N68" i="1"/>
  <c r="N69" i="1"/>
  <c r="N70" i="1"/>
  <c r="K71" i="1"/>
  <c r="L71" i="1" s="1"/>
  <c r="N71" i="1"/>
  <c r="K72" i="1"/>
  <c r="L72" i="1" s="1"/>
  <c r="N72" i="1"/>
  <c r="K73" i="1"/>
  <c r="L73" i="1" s="1"/>
  <c r="N73" i="1"/>
  <c r="K74" i="1"/>
  <c r="L74" i="1" s="1"/>
  <c r="N74" i="1"/>
  <c r="K75" i="1"/>
  <c r="L75" i="1" s="1"/>
  <c r="N75" i="1"/>
  <c r="K76" i="1"/>
  <c r="L76" i="1" s="1"/>
  <c r="N76" i="1"/>
  <c r="K3" i="1"/>
  <c r="L3" i="1" s="1"/>
  <c r="N3" i="1" l="1"/>
  <c r="N2" i="1" s="1"/>
  <c r="P81" i="1"/>
  <c r="H54" i="1"/>
  <c r="P54" i="1" s="1"/>
  <c r="H38" i="1"/>
  <c r="P38" i="1" s="1"/>
  <c r="H23" i="1"/>
  <c r="P23" i="1" s="1"/>
  <c r="H7" i="1"/>
  <c r="H69" i="1"/>
  <c r="P69" i="1" s="1"/>
  <c r="H53" i="1"/>
  <c r="P53" i="1" s="1"/>
  <c r="H37" i="1"/>
  <c r="P37" i="1" s="1"/>
  <c r="H22" i="1"/>
  <c r="P22" i="1" s="1"/>
  <c r="H6" i="1"/>
  <c r="H68" i="1"/>
  <c r="P68" i="1" s="1"/>
  <c r="H52" i="1"/>
  <c r="P52" i="1" s="1"/>
  <c r="H36" i="1"/>
  <c r="P36" i="1" s="1"/>
  <c r="H21" i="1"/>
  <c r="H5" i="1"/>
  <c r="H67" i="1"/>
  <c r="P67" i="1" s="1"/>
  <c r="H51" i="1"/>
  <c r="P51" i="1" s="1"/>
  <c r="H35" i="1"/>
  <c r="P35" i="1" s="1"/>
  <c r="H20" i="1"/>
  <c r="H4" i="1"/>
  <c r="H66" i="1"/>
  <c r="P66" i="1" s="1"/>
  <c r="H50" i="1"/>
  <c r="P50" i="1" s="1"/>
  <c r="H19" i="1"/>
  <c r="H65" i="1"/>
  <c r="P65" i="1" s="1"/>
  <c r="H49" i="1"/>
  <c r="P49" i="1" s="1"/>
  <c r="H34" i="1"/>
  <c r="P34" i="1" s="1"/>
  <c r="H18" i="1"/>
  <c r="H76" i="1"/>
  <c r="P76" i="1" s="1"/>
  <c r="H64" i="1"/>
  <c r="P64" i="1" s="1"/>
  <c r="H48" i="1"/>
  <c r="P48" i="1" s="1"/>
  <c r="H33" i="1"/>
  <c r="P33" i="1" s="1"/>
  <c r="H17" i="1"/>
  <c r="H47" i="1"/>
  <c r="P47" i="1" s="1"/>
  <c r="H30" i="1"/>
  <c r="P30" i="1" s="1"/>
  <c r="H27" i="1"/>
  <c r="P27" i="1" s="1"/>
  <c r="H75" i="1"/>
  <c r="P75" i="1" s="1"/>
  <c r="H63" i="1"/>
  <c r="P63" i="1" s="1"/>
  <c r="H32" i="1"/>
  <c r="P32" i="1" s="1"/>
  <c r="H16" i="1"/>
  <c r="H74" i="1"/>
  <c r="P74" i="1" s="1"/>
  <c r="H62" i="1"/>
  <c r="P62" i="1" s="1"/>
  <c r="H46" i="1"/>
  <c r="P46" i="1" s="1"/>
  <c r="H31" i="1"/>
  <c r="P31" i="1" s="1"/>
  <c r="H15" i="1"/>
  <c r="H73" i="1"/>
  <c r="P73" i="1" s="1"/>
  <c r="H61" i="1"/>
  <c r="P61" i="1" s="1"/>
  <c r="H45" i="1"/>
  <c r="P45" i="1" s="1"/>
  <c r="H14" i="1"/>
  <c r="H72" i="1"/>
  <c r="P72" i="1" s="1"/>
  <c r="H60" i="1"/>
  <c r="P60" i="1" s="1"/>
  <c r="H44" i="1"/>
  <c r="P44" i="1" s="1"/>
  <c r="H29" i="1"/>
  <c r="P29" i="1" s="1"/>
  <c r="H13" i="1"/>
  <c r="H59" i="1"/>
  <c r="P59" i="1" s="1"/>
  <c r="H43" i="1"/>
  <c r="P43" i="1" s="1"/>
  <c r="H28" i="1"/>
  <c r="P28" i="1" s="1"/>
  <c r="H12" i="1"/>
  <c r="H58" i="1"/>
  <c r="P58" i="1" s="1"/>
  <c r="H42" i="1"/>
  <c r="P42" i="1" s="1"/>
  <c r="H11" i="1"/>
  <c r="H57" i="1"/>
  <c r="P57" i="1" s="1"/>
  <c r="H41" i="1"/>
  <c r="P41" i="1" s="1"/>
  <c r="H26" i="1"/>
  <c r="P26" i="1" s="1"/>
  <c r="H10" i="1"/>
  <c r="H71" i="1"/>
  <c r="P71" i="1" s="1"/>
  <c r="H56" i="1"/>
  <c r="P56" i="1" s="1"/>
  <c r="H40" i="1"/>
  <c r="P40" i="1" s="1"/>
  <c r="H25" i="1"/>
  <c r="P25" i="1" s="1"/>
  <c r="H9" i="1"/>
  <c r="H70" i="1"/>
  <c r="P70" i="1" s="1"/>
  <c r="H55" i="1"/>
  <c r="H39" i="1"/>
  <c r="P39" i="1" s="1"/>
  <c r="H24" i="1"/>
  <c r="P24" i="1" s="1"/>
  <c r="H8" i="1"/>
  <c r="P3" i="1" l="1"/>
  <c r="I2" i="1"/>
  <c r="P21" i="1"/>
  <c r="P18" i="1"/>
  <c r="P12" i="1"/>
  <c r="P16" i="1"/>
  <c r="P13" i="1"/>
  <c r="P5" i="1"/>
  <c r="P15" i="1"/>
  <c r="P8" i="1"/>
  <c r="P6" i="1"/>
  <c r="P19" i="1"/>
  <c r="P9" i="1"/>
  <c r="P7" i="1"/>
  <c r="P20" i="1"/>
  <c r="P14" i="1"/>
  <c r="P17" i="1"/>
  <c r="P4" i="1"/>
  <c r="P11" i="1"/>
  <c r="P10" i="1"/>
  <c r="P55" i="1"/>
  <c r="P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<sst xmlns="http://schemas.openxmlformats.org/spreadsheetml/2006/main" count="203" uniqueCount="131">
  <si>
    <t>UPC Codes</t>
  </si>
  <si>
    <t>Product</t>
  </si>
  <si>
    <t>Size</t>
  </si>
  <si>
    <t>Case Count</t>
  </si>
  <si>
    <t>Units Ordered</t>
  </si>
  <si>
    <t>60 Capsules</t>
  </si>
  <si>
    <t>30 Servings</t>
  </si>
  <si>
    <t>90 Capsules</t>
  </si>
  <si>
    <t>90 Tablets</t>
  </si>
  <si>
    <t>2lbs</t>
  </si>
  <si>
    <t>5lbs</t>
  </si>
  <si>
    <t>120 Capsules</t>
  </si>
  <si>
    <t>70 Servings</t>
  </si>
  <si>
    <t>80 Capsules</t>
  </si>
  <si>
    <t>30 Capsules</t>
  </si>
  <si>
    <t>60 Servings</t>
  </si>
  <si>
    <t>4 fl oz</t>
  </si>
  <si>
    <t>1 Waist Trimmer</t>
  </si>
  <si>
    <t>19 Servings</t>
  </si>
  <si>
    <t>Price</t>
  </si>
  <si>
    <t>Total</t>
  </si>
  <si>
    <r>
      <rPr>
        <b/>
        <sz val="9"/>
        <color rgb="FFFF0000"/>
        <rFont val="Verdana"/>
        <family val="2"/>
        <charset val="204"/>
      </rPr>
      <t>Importantly!</t>
    </r>
    <r>
      <rPr>
        <sz val="9"/>
        <color theme="1"/>
        <rFont val="Verdana"/>
        <family val="2"/>
        <charset val="204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</si>
  <si>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</si>
  <si>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</si>
  <si>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</si>
  <si>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 xml:space="preserve">100% WHEY CHOCOLATE </t>
  </si>
  <si>
    <t xml:space="preserve">100% WHEY VANILLA </t>
  </si>
  <si>
    <t xml:space="preserve">EAA + HYDRATION IT'S MANGO TIME </t>
  </si>
  <si>
    <t xml:space="preserve">OUTLIFT AMPED STRAWBERRY WATERMELON </t>
  </si>
  <si>
    <t xml:space="preserve">OUTLIFT AMPED SUCKER PUNCH </t>
  </si>
  <si>
    <t xml:space="preserve">TRIBULUS 1400 </t>
  </si>
  <si>
    <t>10lbs</t>
  </si>
  <si>
    <t>22 Servings</t>
  </si>
  <si>
    <t xml:space="preserve">LIPO-6 DEFINING GEL </t>
  </si>
  <si>
    <t xml:space="preserve">ANABOL HARDCORE </t>
  </si>
  <si>
    <t>BCAA 6000 FRUIT PUNCH</t>
  </si>
  <si>
    <t xml:space="preserve">BCAA 6000 GREEN APPLE  </t>
  </si>
  <si>
    <t xml:space="preserve">BCAA 6000 WATERMELON </t>
  </si>
  <si>
    <t xml:space="preserve">CAFFEINE 200 POWDER CAPS  </t>
  </si>
  <si>
    <t xml:space="preserve">CLA 1000 </t>
  </si>
  <si>
    <t>180 Capsules</t>
  </si>
  <si>
    <t xml:space="preserve">CREATINE MONOHYDRATE 1000g </t>
  </si>
  <si>
    <t>200 Servings</t>
  </si>
  <si>
    <t xml:space="preserve">CREATINE MONOHYDRATE 300g </t>
  </si>
  <si>
    <t xml:space="preserve">EAA + HYDRATION APPLE PEAR </t>
  </si>
  <si>
    <t xml:space="preserve">EAA + HYDRATION BLOOD ORANGE </t>
  </si>
  <si>
    <t xml:space="preserve">EAA + HYDRATION BLUEBERRY LEMONADE </t>
  </si>
  <si>
    <t xml:space="preserve">EAA + HYDRATION FRUIT PUNCH </t>
  </si>
  <si>
    <t xml:space="preserve">EAA + HYDRATION MAUI TWIST </t>
  </si>
  <si>
    <t xml:space="preserve">EAA + HYDRATION STRAWBERRY WATERMELON </t>
  </si>
  <si>
    <t xml:space="preserve">GLUTAMINE PURE 1000g </t>
  </si>
  <si>
    <t xml:space="preserve">GLUTAMINE PURE 300g </t>
  </si>
  <si>
    <t xml:space="preserve">HMB 1000 </t>
  </si>
  <si>
    <t xml:space="preserve">ISOFIT BANANAS FOSTER 30srv </t>
  </si>
  <si>
    <t xml:space="preserve">ISOFIT BANANAS FOSTER 70srv </t>
  </si>
  <si>
    <t xml:space="preserve">ISOFIT CHOCOLATE SHAKE 30srv </t>
  </si>
  <si>
    <t xml:space="preserve">ISOFIT CHOCOLATE SHAKE 70srv </t>
  </si>
  <si>
    <t>ISOFIT COOKIES &amp; CREAM 30srv</t>
  </si>
  <si>
    <t xml:space="preserve">ISOFIT COOKIES &amp; CREAM 70srv </t>
  </si>
  <si>
    <t>ISOFIT STRAWBERRIES &amp; CREAM 30srv</t>
  </si>
  <si>
    <t xml:space="preserve">ISOFIT STRAWBERRIES &amp; CREAM 70srv </t>
  </si>
  <si>
    <t xml:space="preserve">ISOFIT VANILLA BEAN ICE CREAM 30srv </t>
  </si>
  <si>
    <t>ISOFIT VANILLA BEAN ICE CREAM 70srv</t>
  </si>
  <si>
    <t>L-ARGININE 1000</t>
  </si>
  <si>
    <t xml:space="preserve">L-CARNITINE 1000 </t>
  </si>
  <si>
    <t>L-CARNITINE 1000</t>
  </si>
  <si>
    <t xml:space="preserve">LIQUID CARNITINE 3000 BERRY BLAST </t>
  </si>
  <si>
    <t>31 Servings</t>
  </si>
  <si>
    <t xml:space="preserve">LIQUID CARNITINE 3000 ORANGE MANGO </t>
  </si>
  <si>
    <t>LIQUID CARNITINE 3000 PASSIONFRUIT GUAVA</t>
  </si>
  <si>
    <t>LIQUID CARNITINE 3000 STRAWBERRY WATERMELON</t>
  </si>
  <si>
    <t xml:space="preserve">MASS INFUSION CHOCOLATE </t>
  </si>
  <si>
    <t xml:space="preserve">MASS INFUSION VANILLA </t>
  </si>
  <si>
    <t xml:space="preserve">NIOX </t>
  </si>
  <si>
    <t xml:space="preserve">VITADAPT </t>
  </si>
  <si>
    <t>USA → +13-322-093-910</t>
  </si>
  <si>
    <t>Poland → +48-459-568-603</t>
  </si>
  <si>
    <t xml:space="preserve">LIPO-6 WAIST TRIMMER </t>
  </si>
  <si>
    <t xml:space="preserve">ANABOL NIGHTTIME </t>
  </si>
  <si>
    <t xml:space="preserve">ANABOL RIPPED </t>
  </si>
  <si>
    <t xml:space="preserve">CLA 1000 (INT) </t>
  </si>
  <si>
    <t xml:space="preserve">EAA + HYDRATION PINK LEMONADE </t>
  </si>
  <si>
    <t>EAA + HYDRATION LEMON LIME (2651)</t>
  </si>
  <si>
    <t>OUTLIFT CLINICAL BLUEBERRY LEMONADE 22srv</t>
  </si>
  <si>
    <t>LIPO-6 BLACK- Domestic</t>
  </si>
  <si>
    <t>LIPO-6 BLACK-International</t>
  </si>
  <si>
    <t>LIPO-6 BLACK ULTRA CONCENTRATE - EU</t>
  </si>
  <si>
    <t>LIPO-6 BLACK ULTRA CONCENTRATE - Domestic</t>
  </si>
  <si>
    <t>LIPO-6 HARDCORE - Domestic</t>
  </si>
  <si>
    <t>LIPO-6 HERS ULTRA CONCENTRATE-Domestic</t>
  </si>
  <si>
    <t>LIPO-6 INTENSE ULTRA CONCENTRATE - Domestic</t>
  </si>
  <si>
    <t>LIPO-6 INTENSE ULTRA CONCENTRATE - International</t>
  </si>
  <si>
    <t>LIPO-6 DIURETIC - Domestic</t>
  </si>
  <si>
    <t>LIPO-6 NIGHTTIME - Domestic</t>
  </si>
  <si>
    <t>OUTRAGE HIGH‑STIM PRE‑WORKOUT- LEMON LIME New</t>
  </si>
  <si>
    <t>OUTRAGE HIGH‑STIM PRE‑WORKOUT- FRUIT PUNCH  New</t>
  </si>
  <si>
    <t xml:space="preserve">OUTRAGE HIGH‑STIM PRE‑WORKOUT-STRAWBERRY WATERMELON New </t>
  </si>
  <si>
    <t>100% WHEY COOKIES &amp; CREAM  New</t>
  </si>
  <si>
    <t>100% WHEY COOKIES &amp; CREAM New</t>
  </si>
  <si>
    <t>ALPHA‑T MAGNUM New</t>
  </si>
  <si>
    <t>Weight, kg</t>
  </si>
  <si>
    <t>Unіt Freight Cost</t>
  </si>
  <si>
    <t>unit, key</t>
  </si>
  <si>
    <t>Logistic Price</t>
  </si>
  <si>
    <t>Landed Cost</t>
  </si>
  <si>
    <t>850060362828</t>
  </si>
  <si>
    <t>850026029031</t>
  </si>
  <si>
    <t>850073732014</t>
  </si>
  <si>
    <t>850073732144</t>
  </si>
  <si>
    <t>850073732175</t>
  </si>
  <si>
    <t>850073732182</t>
  </si>
  <si>
    <t>850046504969</t>
  </si>
  <si>
    <t>850073732076</t>
  </si>
  <si>
    <t>850073732069</t>
  </si>
  <si>
    <t>850073732120</t>
  </si>
  <si>
    <t>850073732137</t>
  </si>
  <si>
    <t>850073732007</t>
  </si>
  <si>
    <t xml:space="preserve">OUTLIFT CLINICAL FRUIT PUNCH 22srv </t>
  </si>
  <si>
    <t xml:space="preserve">OUTLIFT CLINICAL MIAMI VICE 22srv </t>
  </si>
  <si>
    <t xml:space="preserve">LIPO-6 STIM-FREE  V4 </t>
  </si>
  <si>
    <t xml:space="preserve">LIPO-6 NIGHTTIME </t>
  </si>
  <si>
    <t xml:space="preserve">LIQUID L-CARNITINE 3000 LUNAR POP </t>
  </si>
  <si>
    <t xml:space="preserve">LIQUID L-CARNITINE 3000 SOUR GUMMY WORMS </t>
  </si>
  <si>
    <t xml:space="preserve">CARNIBURN SOUR GUMMY WORMS </t>
  </si>
  <si>
    <t xml:space="preserve">CARNIBURN STRAWBERRY WATERMELON </t>
  </si>
  <si>
    <t xml:space="preserve">T-UP MAX </t>
  </si>
  <si>
    <t xml:space="preserve">CREATINE MONOHYDRATE FOR WOMEN PEACH MANGO </t>
  </si>
  <si>
    <t xml:space="preserve">CREATINE MONOHYDRATE FOR WOMEN PINK LEMONADE </t>
  </si>
  <si>
    <t xml:space="preserve">CREATINE MONOHYDRATE FRUIT PUNCH 300g </t>
  </si>
  <si>
    <t xml:space="preserve">CREATINE MONOHYDRATE STRAWBERRY WATERMELON 300g </t>
  </si>
  <si>
    <t xml:space="preserve">OUTRAGE BLUE RASPBERRY 30srv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</si>
</sst>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[$$-409]#,##0.00"/>
  </numFmts>
  <fonts count="11" x14ac:knownFonts="1">
    <font>
      <sz val="11"/>
      <color theme="1"/>
      <name val="Calibri"/>
      <family val="2"/>
      <scheme val="minor"/>
    </font>
    <font>
      <b/>
      <sz val="9"/>
      <name val="Verdana"/>
      <family val="2"/>
    </font>
    <font>
      <sz val="11"/>
      <color theme="1"/>
      <name val="Verdana"/>
      <family val="2"/>
    </font>
    <font>
      <sz val="8"/>
      <name val="Verdana"/>
      <family val="2"/>
    </font>
    <font>
      <sz val="9"/>
      <color theme="1"/>
      <name val="Verdana"/>
      <family val="2"/>
      <charset val="204"/>
    </font>
    <font>
      <b/>
      <sz val="9"/>
      <color rgb="FFFF0000"/>
      <name val="Verdana"/>
      <family val="2"/>
      <charset val="204"/>
    </font>
    <font>
      <sz val="11"/>
      <name val="Calibri"/>
      <family val="2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4" xfId="0" quotePrefix="1" applyFont="1" applyBorder="1" applyAlignment="1" applyProtection="1">
      <alignment horizontal="center"/>
      <protection hidden="1"/>
    </xf>
    <xf numFmtId="0" fontId="6" fillId="0" borderId="5" xfId="0" quotePrefix="1" applyFont="1" applyBorder="1" applyAlignment="1" applyProtection="1">
      <alignment horizontal="center"/>
      <protection hidden="1"/>
    </xf>
    <xf numFmtId="0" fontId="6" fillId="0" borderId="6" xfId="0" quotePrefix="1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1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164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64" fontId="1" fillId="0" borderId="1" xfId="0" applyNumberFormat="1" applyFont="1" applyBorder="1" applyAlignment="1" applyProtection="1">
      <alignment horizontal="center" vertical="center" wrapText="1"/>
      <protection hidden="1"/>
    </xf>
    <xf numFmtId="164" fontId="1" fillId="0" borderId="0" xfId="0" applyNumberFormat="1" applyFont="1" applyAlignment="1" applyProtection="1">
      <alignment horizontal="center" vertical="center" wrapText="1"/>
      <protection hidden="1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vertical="center"/>
      <protection hidden="1"/>
    </xf>
    <xf numFmtId="1" fontId="2" fillId="0" borderId="0" xfId="0" applyNumberFormat="1" applyFont="1" applyAlignment="1" applyProtection="1">
      <alignment vertical="center" wrapText="1"/>
      <protection hidden="1"/>
    </xf>
    <xf numFmtId="164" fontId="2" fillId="0" borderId="0" xfId="0" applyNumberFormat="1" applyFont="1" applyAlignment="1" applyProtection="1">
      <alignment vertical="center" wrapText="1"/>
      <protection hidden="1"/>
    </xf>
    <xf numFmtId="1" fontId="2" fillId="0" borderId="0" xfId="0" applyNumberFormat="1" applyFont="1" applyAlignment="1" applyProtection="1">
      <alignment vertical="center"/>
      <protection hidden="1"/>
    </xf>
    <xf numFmtId="164" fontId="2" fillId="0" borderId="0" xfId="0" applyNumberFormat="1" applyFont="1" applyAlignment="1" applyProtection="1">
      <alignment vertical="center"/>
      <protection hidden="1"/>
    </xf>
    <xf numFmtId="1" fontId="3" fillId="0" borderId="1" xfId="0" applyNumberFormat="1" applyFont="1" applyBorder="1" applyAlignment="1" applyProtection="1">
      <alignment horizontal="center" vertical="center"/>
      <protection locked="0"/>
    </xf>
    <xf numFmtId="14" fontId="7" fillId="0" borderId="0" xfId="0" quotePrefix="1" applyNumberFormat="1" applyFont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hidden="1"/>
    </xf>
    <xf numFmtId="1" fontId="2" fillId="0" borderId="0" xfId="0" applyNumberFormat="1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vertical="center" wrapText="1"/>
      <protection locked="0"/>
    </xf>
    <xf numFmtId="14" fontId="8" fillId="4" borderId="8" xfId="0" applyNumberFormat="1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164" fontId="9" fillId="4" borderId="8" xfId="0" applyNumberFormat="1" applyFont="1" applyFill="1" applyBorder="1" applyAlignment="1" applyProtection="1">
      <alignment horizontal="center" vertical="center" wrapText="1" readingOrder="1"/>
      <protection hidden="1"/>
    </xf>
    <xf numFmtId="165" fontId="8" fillId="4" borderId="8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 applyProtection="1">
      <alignment horizontal="center" vertical="center" wrapText="1" readingOrder="1"/>
      <protection locked="0"/>
    </xf>
    <xf numFmtId="4" fontId="8" fillId="3" borderId="7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 applyProtection="1">
      <alignment vertical="center" wrapText="1" readingOrder="1"/>
      <protection hidden="1"/>
    </xf>
    <xf numFmtId="0" fontId="8" fillId="5" borderId="8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 applyProtection="1">
      <alignment horizontal="center" vertical="center"/>
      <protection hidden="1"/>
    </xf>
    <xf numFmtId="4" fontId="3" fillId="0" borderId="1" xfId="0" applyNumberFormat="1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left" vertical="center" wrapText="1"/>
      <protection hidden="1"/>
    </xf>
    <xf numFmtId="1" fontId="2" fillId="0" borderId="3" xfId="0" applyNumberFormat="1" applyFont="1" applyBorder="1" applyAlignment="1" applyProtection="1">
      <alignment horizontal="center" vertical="center"/>
      <protection hidden="1"/>
    </xf>
    <xf numFmtId="1" fontId="2" fillId="0" borderId="7" xfId="0" applyNumberFormat="1" applyFont="1" applyBorder="1" applyAlignment="1" applyProtection="1">
      <alignment horizontal="center" vertical="center"/>
      <protection hidden="1"/>
    </xf>
    <xf numFmtId="14" fontId="8" fillId="4" borderId="3" xfId="0" applyNumberFormat="1" applyFont="1" applyFill="1" applyBorder="1" applyAlignment="1">
      <alignment horizontal="center" vertical="center" wrapText="1"/>
    </xf>
    <xf numFmtId="14" fontId="8" fillId="4" borderId="7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7">
    <dxf>
      <fill>
        <patternFill>
          <bgColor rgb="FF92D050"/>
        </patternFill>
      </fill>
    </dxf>
    <dxf>
      <fill>
        <gradientFill degree="45">
          <stop position="0">
            <color theme="1" tint="0.34900967436750391"/>
          </stop>
          <stop position="0.5">
            <color theme="0" tint="-5.0965910824915313E-2"/>
          </stop>
          <stop position="1">
            <color theme="1" tint="0.34900967436750391"/>
          </stop>
        </gradientFill>
      </fill>
    </dxf>
    <dxf>
      <fill>
        <gradientFill degree="90">
          <stop position="0">
            <color theme="0"/>
          </stop>
          <stop position="0.5">
            <color rgb="FFFEDAF8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0.5">
            <color rgb="FFFEDAF8"/>
          </stop>
          <stop position="1">
            <color theme="0"/>
          </stop>
        </gradientFill>
      </fill>
    </dxf>
    <dxf>
      <font>
        <color rgb="FFFF0000"/>
      </font>
      <numFmt numFmtId="30" formatCode="@"/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DAF8"/>
      <color rgb="FFF94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2561</xdr:colOff>
      <xdr:row>0</xdr:row>
      <xdr:rowOff>61472</xdr:rowOff>
    </xdr:from>
    <xdr:to>
      <xdr:col>7</xdr:col>
      <xdr:colOff>1154525</xdr:colOff>
      <xdr:row>0</xdr:row>
      <xdr:rowOff>1090403</xdr:rowOff>
    </xdr:to>
    <xdr:pic>
      <xdr:nvPicPr>
        <xdr:cNvPr id="4" name="Рисунок 3" descr="Nutrex Research Exclusive Discounts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704" y="61472"/>
          <a:ext cx="2926335" cy="1028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8"/>
  <sheetViews>
    <sheetView tabSelected="1" zoomScale="70" zoomScaleNormal="70" workbookViewId="0">
      <pane ySplit="2" topLeftCell="A3" activePane="bottomLeft" state="frozen"/>
      <selection pane="bottomLeft" activeCell="I12" sqref="I12"/>
    </sheetView>
  </sheetViews>
  <sheetFormatPr defaultColWidth="35" defaultRowHeight="13.8" x14ac:dyDescent="0.3"/>
  <cols>
    <col min="1" max="1" width="14.44140625" style="5" customWidth="1"/>
    <col min="2" max="2" width="63.88671875" style="5" bestFit="1" customWidth="1"/>
    <col min="3" max="3" width="14.21875" style="5" bestFit="1" customWidth="1"/>
    <col min="4" max="4" width="11.109375" style="16" customWidth="1"/>
    <col min="5" max="5" width="16.109375" style="17" bestFit="1" customWidth="1"/>
    <col min="6" max="6" width="15.77734375" style="17" customWidth="1"/>
    <col min="7" max="7" width="10.109375" style="25" customWidth="1"/>
    <col min="8" max="8" width="19.44140625" style="17" customWidth="1"/>
    <col min="9" max="9" width="14.5546875" style="17" customWidth="1"/>
    <col min="10" max="10" width="7.21875" style="17" customWidth="1"/>
    <col min="11" max="11" width="15.77734375" style="17" bestFit="1" customWidth="1"/>
    <col min="12" max="12" width="12.44140625" style="17" bestFit="1" customWidth="1"/>
    <col min="13" max="13" width="9.5546875" style="17" customWidth="1"/>
    <col min="14" max="14" width="12.77734375" style="17" customWidth="1"/>
    <col min="15" max="15" width="5.44140625" style="5" customWidth="1"/>
    <col min="16" max="16" width="10.88671875" style="5" bestFit="1" customWidth="1"/>
    <col min="17" max="23" width="8.33203125" style="5" customWidth="1"/>
    <col min="24" max="16384" width="35" style="5"/>
  </cols>
  <sheetData>
    <row r="1" spans="1:16" ht="91.8" customHeight="1" thickBot="1" x14ac:dyDescent="0.35">
      <c r="A1" s="40" t="s">
        <v>21</v>
      </c>
      <c r="B1" s="40"/>
      <c r="C1" s="40"/>
      <c r="D1" s="40"/>
      <c r="E1" s="40"/>
      <c r="F1" s="40"/>
      <c r="G1" s="40"/>
      <c r="H1" s="40"/>
      <c r="I1" s="19">
        <v>46163</v>
      </c>
      <c r="J1" s="4"/>
      <c r="K1" s="27" t="s">
        <v>101</v>
      </c>
      <c r="L1" s="43" t="s">
        <v>102</v>
      </c>
      <c r="M1" s="28" t="s">
        <v>100</v>
      </c>
      <c r="N1" s="29" t="s">
        <v>103</v>
      </c>
      <c r="O1"/>
      <c r="P1" s="30" t="str">
        <f>IFERROR(IF(SUM(P3:P88)=0, "-", I2+N2), "-")</f>
        <v>-</v>
      </c>
    </row>
    <row r="2" spans="1:16" ht="29.4" thickBot="1" x14ac:dyDescent="0.35">
      <c r="A2" s="6" t="s">
        <v>0</v>
      </c>
      <c r="B2" s="7" t="s">
        <v>1</v>
      </c>
      <c r="C2" s="7" t="s">
        <v>2</v>
      </c>
      <c r="D2" s="6" t="s">
        <v>3</v>
      </c>
      <c r="E2" s="8" t="s">
        <v>19</v>
      </c>
      <c r="F2" s="8" t="s">
        <v>100</v>
      </c>
      <c r="G2" s="6" t="s">
        <v>4</v>
      </c>
      <c r="H2" s="8" t="s">
        <v>20</v>
      </c>
      <c r="I2" s="9">
        <f>SUM(H3:H88)</f>
        <v>0</v>
      </c>
      <c r="J2" s="10"/>
      <c r="K2" s="31"/>
      <c r="L2" s="44"/>
      <c r="M2" s="32" t="str">
        <f>IF(SUM(M3:M88)=0, "-", SUM(M3:M88))</f>
        <v>-</v>
      </c>
      <c r="N2" s="32" t="str">
        <f>IF(SUM(N3:N88)=0, "-", SUM(N3:N88))</f>
        <v>-</v>
      </c>
      <c r="O2" s="33"/>
      <c r="P2" s="34" t="s">
        <v>104</v>
      </c>
    </row>
    <row r="3" spans="1:16" ht="14.4" x14ac:dyDescent="0.3">
      <c r="A3" s="20">
        <v>850005755388</v>
      </c>
      <c r="B3" s="21" t="s">
        <v>84</v>
      </c>
      <c r="C3" s="22" t="s">
        <v>11</v>
      </c>
      <c r="D3" s="20">
        <v>12</v>
      </c>
      <c r="E3" s="11">
        <v>12.5</v>
      </c>
      <c r="F3" s="39">
        <v>0.17762749999999999</v>
      </c>
      <c r="G3" s="18"/>
      <c r="H3" s="11">
        <f>E3*G3</f>
        <v>0</v>
      </c>
      <c r="I3" s="12"/>
      <c r="J3" s="12"/>
      <c r="K3" s="35" t="str">
        <f t="shared" ref="K3:K34" si="0">IFERROR(IF($K$2*F3=0, "-", $K$2*F3), "-")</f>
        <v>-</v>
      </c>
      <c r="L3" s="35" t="str">
        <f>IFERROR(IF(K3&gt;0,E3+K3,"-"),"-")</f>
        <v>-</v>
      </c>
      <c r="M3" s="36" t="str">
        <f>IF(G3&gt;0,G3*F3, "-")</f>
        <v>-</v>
      </c>
      <c r="N3" s="37" t="str">
        <f>IFERROR(IF($K$2&gt;0, $K$2*M3, "-"), "-")</f>
        <v>-</v>
      </c>
      <c r="O3"/>
      <c r="P3" s="37" t="str">
        <f>IFERROR(IF(N3+H3=0, "-", IF(N3&gt;0, N3+H3, "-")), "-")</f>
        <v>-</v>
      </c>
    </row>
    <row r="4" spans="1:16" ht="14.4" x14ac:dyDescent="0.3">
      <c r="A4" s="20">
        <v>857839006983</v>
      </c>
      <c r="B4" s="21" t="s">
        <v>85</v>
      </c>
      <c r="C4" s="22" t="s">
        <v>11</v>
      </c>
      <c r="D4" s="20">
        <v>12</v>
      </c>
      <c r="E4" s="11">
        <v>12.5</v>
      </c>
      <c r="F4" s="39">
        <v>0.16750708333333331</v>
      </c>
      <c r="G4" s="18"/>
      <c r="H4" s="11">
        <f t="shared" ref="H4:H65" si="1">E4*G4</f>
        <v>0</v>
      </c>
      <c r="I4" s="12"/>
      <c r="J4" s="12"/>
      <c r="K4" s="35" t="str">
        <f t="shared" si="0"/>
        <v>-</v>
      </c>
      <c r="L4" s="35" t="str">
        <f t="shared" ref="L4:L67" si="2">IFERROR(IF(K4&gt;0,E4+K4,"-"),"-")</f>
        <v>-</v>
      </c>
      <c r="M4" s="36" t="str">
        <f t="shared" ref="M4:M66" si="3">IF(G4&gt;0,G4*F4, "-")</f>
        <v>-</v>
      </c>
      <c r="N4" s="37" t="str">
        <f t="shared" ref="N4:N64" si="4">IFERROR(IF($K$2&gt;0, $K$2*M4, "-"), "-")</f>
        <v>-</v>
      </c>
      <c r="O4"/>
      <c r="P4" s="37" t="str">
        <f t="shared" ref="P4:P64" si="5">IFERROR(IF(N4+H4=0, "-", IF(N4&gt;0, N4+H4, "-")), "-")</f>
        <v>-</v>
      </c>
    </row>
    <row r="5" spans="1:16" ht="14.4" x14ac:dyDescent="0.3">
      <c r="A5" s="20">
        <v>859400007382</v>
      </c>
      <c r="B5" s="21" t="s">
        <v>86</v>
      </c>
      <c r="C5" s="22" t="s">
        <v>5</v>
      </c>
      <c r="D5" s="20">
        <v>12</v>
      </c>
      <c r="E5" s="11">
        <v>11.25</v>
      </c>
      <c r="F5" s="39">
        <v>0.12541750000000002</v>
      </c>
      <c r="G5" s="18"/>
      <c r="H5" s="11">
        <f t="shared" si="1"/>
        <v>0</v>
      </c>
      <c r="I5" s="12"/>
      <c r="J5" s="12"/>
      <c r="K5" s="35" t="str">
        <f t="shared" si="0"/>
        <v>-</v>
      </c>
      <c r="L5" s="35" t="str">
        <f t="shared" si="2"/>
        <v>-</v>
      </c>
      <c r="M5" s="36" t="str">
        <f t="shared" si="3"/>
        <v>-</v>
      </c>
      <c r="N5" s="37" t="str">
        <f t="shared" si="4"/>
        <v>-</v>
      </c>
      <c r="O5"/>
      <c r="P5" s="37" t="str">
        <f t="shared" si="5"/>
        <v>-</v>
      </c>
    </row>
    <row r="6" spans="1:16" ht="14.4" x14ac:dyDescent="0.3">
      <c r="A6" s="20">
        <v>853237000714</v>
      </c>
      <c r="B6" s="21" t="s">
        <v>87</v>
      </c>
      <c r="C6" s="22" t="s">
        <v>5</v>
      </c>
      <c r="D6" s="20">
        <v>12</v>
      </c>
      <c r="E6" s="11">
        <v>11.25</v>
      </c>
      <c r="F6" s="39">
        <v>0.12541750000000002</v>
      </c>
      <c r="G6" s="18"/>
      <c r="H6" s="11">
        <f t="shared" si="1"/>
        <v>0</v>
      </c>
      <c r="I6" s="12"/>
      <c r="J6" s="12"/>
      <c r="K6" s="35" t="str">
        <f t="shared" si="0"/>
        <v>-</v>
      </c>
      <c r="L6" s="35" t="str">
        <f t="shared" si="2"/>
        <v>-</v>
      </c>
      <c r="M6" s="36" t="str">
        <f t="shared" si="3"/>
        <v>-</v>
      </c>
      <c r="N6" s="37" t="str">
        <f t="shared" si="4"/>
        <v>-</v>
      </c>
      <c r="O6"/>
      <c r="P6" s="37" t="str">
        <f t="shared" si="5"/>
        <v>-</v>
      </c>
    </row>
    <row r="7" spans="1:16" ht="14.4" x14ac:dyDescent="0.3">
      <c r="A7" s="20">
        <v>850005755654</v>
      </c>
      <c r="B7" s="21" t="s">
        <v>88</v>
      </c>
      <c r="C7" s="22" t="s">
        <v>5</v>
      </c>
      <c r="D7" s="20">
        <v>12</v>
      </c>
      <c r="E7" s="11">
        <v>11.25</v>
      </c>
      <c r="F7" s="39">
        <v>0.12097208333333333</v>
      </c>
      <c r="G7" s="18"/>
      <c r="H7" s="11">
        <f t="shared" si="1"/>
        <v>0</v>
      </c>
      <c r="I7" s="12"/>
      <c r="J7" s="12"/>
      <c r="K7" s="35" t="str">
        <f t="shared" si="0"/>
        <v>-</v>
      </c>
      <c r="L7" s="35" t="str">
        <f t="shared" si="2"/>
        <v>-</v>
      </c>
      <c r="M7" s="36" t="str">
        <f t="shared" si="3"/>
        <v>-</v>
      </c>
      <c r="N7" s="37" t="str">
        <f t="shared" si="4"/>
        <v>-</v>
      </c>
      <c r="O7"/>
      <c r="P7" s="37" t="str">
        <f t="shared" si="5"/>
        <v>-</v>
      </c>
    </row>
    <row r="8" spans="1:16" ht="14.4" x14ac:dyDescent="0.3">
      <c r="A8" s="20">
        <v>853237000721</v>
      </c>
      <c r="B8" s="21" t="s">
        <v>89</v>
      </c>
      <c r="C8" s="22" t="s">
        <v>5</v>
      </c>
      <c r="D8" s="20">
        <v>12</v>
      </c>
      <c r="E8" s="11">
        <v>11.25</v>
      </c>
      <c r="F8" s="39">
        <v>0.12305291666666666</v>
      </c>
      <c r="G8" s="18"/>
      <c r="H8" s="11">
        <f t="shared" si="1"/>
        <v>0</v>
      </c>
      <c r="I8" s="12"/>
      <c r="J8" s="12"/>
      <c r="K8" s="35" t="str">
        <f t="shared" si="0"/>
        <v>-</v>
      </c>
      <c r="L8" s="35" t="str">
        <f t="shared" si="2"/>
        <v>-</v>
      </c>
      <c r="M8" s="36" t="str">
        <f t="shared" si="3"/>
        <v>-</v>
      </c>
      <c r="N8" s="37" t="str">
        <f t="shared" si="4"/>
        <v>-</v>
      </c>
      <c r="O8"/>
      <c r="P8" s="37" t="str">
        <f t="shared" si="5"/>
        <v>-</v>
      </c>
    </row>
    <row r="9" spans="1:16" ht="14.4" x14ac:dyDescent="0.3">
      <c r="A9" s="20">
        <v>859400007733</v>
      </c>
      <c r="B9" s="21" t="s">
        <v>90</v>
      </c>
      <c r="C9" s="22" t="s">
        <v>5</v>
      </c>
      <c r="D9" s="20">
        <v>12</v>
      </c>
      <c r="E9" s="11">
        <v>11.25</v>
      </c>
      <c r="F9" s="39">
        <v>0.12607958333333333</v>
      </c>
      <c r="G9" s="18"/>
      <c r="H9" s="11">
        <f t="shared" si="1"/>
        <v>0</v>
      </c>
      <c r="I9" s="12"/>
      <c r="J9" s="12"/>
      <c r="K9" s="35" t="str">
        <f t="shared" si="0"/>
        <v>-</v>
      </c>
      <c r="L9" s="35" t="str">
        <f t="shared" si="2"/>
        <v>-</v>
      </c>
      <c r="M9" s="36" t="str">
        <f t="shared" si="3"/>
        <v>-</v>
      </c>
      <c r="N9" s="37" t="str">
        <f t="shared" si="4"/>
        <v>-</v>
      </c>
      <c r="O9"/>
      <c r="P9" s="37" t="str">
        <f t="shared" si="5"/>
        <v>-</v>
      </c>
    </row>
    <row r="10" spans="1:16" ht="14.4" x14ac:dyDescent="0.3">
      <c r="A10" s="20">
        <v>859400007450</v>
      </c>
      <c r="B10" s="21" t="s">
        <v>91</v>
      </c>
      <c r="C10" s="22" t="s">
        <v>5</v>
      </c>
      <c r="D10" s="20">
        <v>12</v>
      </c>
      <c r="E10" s="11">
        <v>11.25</v>
      </c>
      <c r="F10" s="39">
        <v>0.12607958333333333</v>
      </c>
      <c r="G10" s="18"/>
      <c r="H10" s="11">
        <f t="shared" si="1"/>
        <v>0</v>
      </c>
      <c r="I10" s="24"/>
      <c r="J10" s="12"/>
      <c r="K10" s="35" t="str">
        <f t="shared" si="0"/>
        <v>-</v>
      </c>
      <c r="L10" s="35" t="str">
        <f t="shared" si="2"/>
        <v>-</v>
      </c>
      <c r="M10" s="36" t="str">
        <f t="shared" si="3"/>
        <v>-</v>
      </c>
      <c r="N10" s="37" t="str">
        <f t="shared" si="4"/>
        <v>-</v>
      </c>
      <c r="O10"/>
      <c r="P10" s="37" t="str">
        <f t="shared" si="5"/>
        <v>-</v>
      </c>
    </row>
    <row r="11" spans="1:16" ht="14.4" x14ac:dyDescent="0.3">
      <c r="A11" s="20">
        <v>850046504778</v>
      </c>
      <c r="B11" s="21" t="s">
        <v>92</v>
      </c>
      <c r="C11" s="22" t="s">
        <v>13</v>
      </c>
      <c r="D11" s="20">
        <v>12</v>
      </c>
      <c r="E11" s="11">
        <v>10.625</v>
      </c>
      <c r="F11" s="39">
        <v>0.14480708333333334</v>
      </c>
      <c r="G11" s="18"/>
      <c r="H11" s="11">
        <f t="shared" si="1"/>
        <v>0</v>
      </c>
      <c r="I11" s="12"/>
      <c r="J11" s="12"/>
      <c r="K11" s="35" t="str">
        <f t="shared" si="0"/>
        <v>-</v>
      </c>
      <c r="L11" s="35" t="str">
        <f t="shared" si="2"/>
        <v>-</v>
      </c>
      <c r="M11" s="36" t="str">
        <f t="shared" si="3"/>
        <v>-</v>
      </c>
      <c r="N11" s="37" t="str">
        <f t="shared" si="4"/>
        <v>-</v>
      </c>
      <c r="O11"/>
      <c r="P11" s="37" t="str">
        <f t="shared" si="5"/>
        <v>-</v>
      </c>
    </row>
    <row r="12" spans="1:16" ht="14.4" x14ac:dyDescent="0.3">
      <c r="A12" s="20">
        <v>850005755562</v>
      </c>
      <c r="B12" s="21" t="s">
        <v>93</v>
      </c>
      <c r="C12" s="22" t="s">
        <v>14</v>
      </c>
      <c r="D12" s="20">
        <v>12</v>
      </c>
      <c r="E12" s="11">
        <v>10.625</v>
      </c>
      <c r="F12" s="39">
        <v>8.9570416666666666E-2</v>
      </c>
      <c r="G12" s="18"/>
      <c r="H12" s="11">
        <f t="shared" si="1"/>
        <v>0</v>
      </c>
      <c r="I12" s="12"/>
      <c r="J12" s="12"/>
      <c r="K12" s="35" t="str">
        <f t="shared" si="0"/>
        <v>-</v>
      </c>
      <c r="L12" s="35" t="str">
        <f t="shared" si="2"/>
        <v>-</v>
      </c>
      <c r="M12" s="36" t="str">
        <f t="shared" si="3"/>
        <v>-</v>
      </c>
      <c r="N12" s="37" t="str">
        <f t="shared" si="4"/>
        <v>-</v>
      </c>
      <c r="O12"/>
      <c r="P12" s="37" t="str">
        <f t="shared" si="5"/>
        <v>-</v>
      </c>
    </row>
    <row r="13" spans="1:16" ht="14.4" x14ac:dyDescent="0.3">
      <c r="A13" s="20">
        <v>859400007306</v>
      </c>
      <c r="B13" s="21" t="s">
        <v>33</v>
      </c>
      <c r="C13" s="22" t="s">
        <v>16</v>
      </c>
      <c r="D13" s="20">
        <v>12</v>
      </c>
      <c r="E13" s="11">
        <v>12.5</v>
      </c>
      <c r="F13" s="39">
        <v>0.23740416666666664</v>
      </c>
      <c r="G13" s="18"/>
      <c r="H13" s="11">
        <f t="shared" si="1"/>
        <v>0</v>
      </c>
      <c r="I13" s="12"/>
      <c r="J13" s="12"/>
      <c r="K13" s="35" t="str">
        <f t="shared" si="0"/>
        <v>-</v>
      </c>
      <c r="L13" s="35" t="str">
        <f t="shared" si="2"/>
        <v>-</v>
      </c>
      <c r="M13" s="36" t="str">
        <f t="shared" si="3"/>
        <v>-</v>
      </c>
      <c r="N13" s="37" t="str">
        <f t="shared" si="4"/>
        <v>-</v>
      </c>
      <c r="O13"/>
      <c r="P13" s="37" t="str">
        <f t="shared" si="5"/>
        <v>-</v>
      </c>
    </row>
    <row r="14" spans="1:16" ht="14.4" x14ac:dyDescent="0.3">
      <c r="A14" s="20">
        <v>850046504990</v>
      </c>
      <c r="B14" s="21" t="s">
        <v>77</v>
      </c>
      <c r="C14" s="22" t="s">
        <v>17</v>
      </c>
      <c r="D14" s="20">
        <v>60</v>
      </c>
      <c r="E14" s="11">
        <v>7.5</v>
      </c>
      <c r="F14" s="39">
        <v>0.25</v>
      </c>
      <c r="G14" s="18"/>
      <c r="H14" s="11">
        <f t="shared" si="1"/>
        <v>0</v>
      </c>
      <c r="I14" s="12"/>
      <c r="J14" s="12"/>
      <c r="K14" s="35" t="str">
        <f t="shared" si="0"/>
        <v>-</v>
      </c>
      <c r="L14" s="35" t="str">
        <f t="shared" si="2"/>
        <v>-</v>
      </c>
      <c r="M14" s="36" t="str">
        <f t="shared" si="3"/>
        <v>-</v>
      </c>
      <c r="N14" s="37" t="str">
        <f t="shared" si="4"/>
        <v>-</v>
      </c>
      <c r="O14"/>
      <c r="P14" s="37" t="str">
        <f t="shared" si="5"/>
        <v>-</v>
      </c>
    </row>
    <row r="15" spans="1:16" ht="14.4" x14ac:dyDescent="0.3">
      <c r="A15" s="20">
        <v>850060362781</v>
      </c>
      <c r="B15" s="21" t="s">
        <v>94</v>
      </c>
      <c r="C15" s="22" t="s">
        <v>6</v>
      </c>
      <c r="D15" s="20">
        <v>12</v>
      </c>
      <c r="E15" s="11">
        <v>11.25</v>
      </c>
      <c r="F15" s="39">
        <v>0.34768833333333338</v>
      </c>
      <c r="G15" s="18"/>
      <c r="H15" s="11">
        <f t="shared" si="1"/>
        <v>0</v>
      </c>
      <c r="I15" s="12"/>
      <c r="J15" s="12"/>
      <c r="K15" s="35" t="str">
        <f t="shared" si="0"/>
        <v>-</v>
      </c>
      <c r="L15" s="35" t="str">
        <f t="shared" si="2"/>
        <v>-</v>
      </c>
      <c r="M15" s="36" t="str">
        <f t="shared" si="3"/>
        <v>-</v>
      </c>
      <c r="N15" s="37" t="str">
        <f t="shared" si="4"/>
        <v>-</v>
      </c>
      <c r="O15"/>
      <c r="P15" s="37" t="str">
        <f t="shared" si="5"/>
        <v>-</v>
      </c>
    </row>
    <row r="16" spans="1:16" ht="13.8" customHeight="1" x14ac:dyDescent="0.3">
      <c r="A16" s="20">
        <v>850060362774</v>
      </c>
      <c r="B16" s="21" t="s">
        <v>95</v>
      </c>
      <c r="C16" s="22" t="s">
        <v>6</v>
      </c>
      <c r="D16" s="20">
        <v>12</v>
      </c>
      <c r="E16" s="11">
        <v>11.25</v>
      </c>
      <c r="F16" s="39">
        <v>0.35326874999999996</v>
      </c>
      <c r="G16" s="18"/>
      <c r="H16" s="11">
        <f t="shared" si="1"/>
        <v>0</v>
      </c>
      <c r="I16" s="12"/>
      <c r="J16" s="12"/>
      <c r="K16" s="35" t="str">
        <f t="shared" si="0"/>
        <v>-</v>
      </c>
      <c r="L16" s="35" t="str">
        <f t="shared" si="2"/>
        <v>-</v>
      </c>
      <c r="M16" s="36" t="str">
        <f t="shared" si="3"/>
        <v>-</v>
      </c>
      <c r="N16" s="37" t="str">
        <f t="shared" si="4"/>
        <v>-</v>
      </c>
      <c r="O16"/>
      <c r="P16" s="37" t="str">
        <f t="shared" si="5"/>
        <v>-</v>
      </c>
    </row>
    <row r="17" spans="1:16" ht="14.4" x14ac:dyDescent="0.3">
      <c r="A17" s="20">
        <v>850060362767</v>
      </c>
      <c r="B17" s="21" t="s">
        <v>96</v>
      </c>
      <c r="C17" s="22" t="s">
        <v>6</v>
      </c>
      <c r="D17" s="20">
        <v>12</v>
      </c>
      <c r="E17" s="11">
        <v>20.625</v>
      </c>
      <c r="F17" s="39">
        <v>0.35326874999999996</v>
      </c>
      <c r="G17" s="18"/>
      <c r="H17" s="11">
        <f t="shared" si="1"/>
        <v>0</v>
      </c>
      <c r="I17" s="12"/>
      <c r="J17" s="12"/>
      <c r="K17" s="35" t="str">
        <f t="shared" si="0"/>
        <v>-</v>
      </c>
      <c r="L17" s="35" t="str">
        <f t="shared" si="2"/>
        <v>-</v>
      </c>
      <c r="M17" s="36" t="str">
        <f t="shared" si="3"/>
        <v>-</v>
      </c>
      <c r="N17" s="37" t="str">
        <f t="shared" si="4"/>
        <v>-</v>
      </c>
      <c r="O17"/>
      <c r="P17" s="37" t="str">
        <f t="shared" si="5"/>
        <v>-</v>
      </c>
    </row>
    <row r="18" spans="1:16" ht="14.4" x14ac:dyDescent="0.3">
      <c r="A18" s="20">
        <v>850046504662</v>
      </c>
      <c r="B18" s="21" t="s">
        <v>25</v>
      </c>
      <c r="C18" s="22" t="s">
        <v>31</v>
      </c>
      <c r="D18" s="20">
        <v>3</v>
      </c>
      <c r="E18" s="11">
        <v>110</v>
      </c>
      <c r="F18" s="39">
        <v>5.4949133333333329</v>
      </c>
      <c r="G18" s="18"/>
      <c r="H18" s="11">
        <f t="shared" si="1"/>
        <v>0</v>
      </c>
      <c r="I18" s="12"/>
      <c r="J18" s="12"/>
      <c r="K18" s="35" t="str">
        <f t="shared" si="0"/>
        <v>-</v>
      </c>
      <c r="L18" s="35" t="str">
        <f t="shared" si="2"/>
        <v>-</v>
      </c>
      <c r="M18" s="36" t="str">
        <f t="shared" si="3"/>
        <v>-</v>
      </c>
      <c r="N18" s="37" t="str">
        <f t="shared" si="4"/>
        <v>-</v>
      </c>
      <c r="O18"/>
      <c r="P18" s="37" t="str">
        <f t="shared" si="5"/>
        <v>-</v>
      </c>
    </row>
    <row r="19" spans="1:16" ht="14.4" x14ac:dyDescent="0.3">
      <c r="A19" s="20">
        <v>850026029079</v>
      </c>
      <c r="B19" s="21" t="s">
        <v>25</v>
      </c>
      <c r="C19" s="22" t="s">
        <v>9</v>
      </c>
      <c r="D19" s="20">
        <v>6</v>
      </c>
      <c r="E19" s="11">
        <v>28.737499999999997</v>
      </c>
      <c r="F19" s="39">
        <v>1.3241666666666667</v>
      </c>
      <c r="G19" s="18"/>
      <c r="H19" s="11">
        <f t="shared" si="1"/>
        <v>0</v>
      </c>
      <c r="I19" s="12"/>
      <c r="J19" s="12"/>
      <c r="K19" s="35" t="str">
        <f t="shared" si="0"/>
        <v>-</v>
      </c>
      <c r="L19" s="35" t="str">
        <f t="shared" si="2"/>
        <v>-</v>
      </c>
      <c r="M19" s="36" t="str">
        <f t="shared" si="3"/>
        <v>-</v>
      </c>
      <c r="N19" s="37" t="str">
        <f t="shared" si="4"/>
        <v>-</v>
      </c>
      <c r="O19"/>
      <c r="P19" s="37" t="str">
        <f t="shared" si="5"/>
        <v>-</v>
      </c>
    </row>
    <row r="20" spans="1:16" ht="14.4" x14ac:dyDescent="0.3">
      <c r="A20" s="20">
        <v>850026029086</v>
      </c>
      <c r="B20" s="21" t="s">
        <v>25</v>
      </c>
      <c r="C20" s="22" t="s">
        <v>10</v>
      </c>
      <c r="D20" s="20">
        <v>6</v>
      </c>
      <c r="E20" s="11">
        <v>60</v>
      </c>
      <c r="F20" s="39">
        <v>3.0323416666666669</v>
      </c>
      <c r="G20" s="18"/>
      <c r="H20" s="11">
        <f t="shared" si="1"/>
        <v>0</v>
      </c>
      <c r="I20" s="12"/>
      <c r="J20" s="12"/>
      <c r="K20" s="35" t="str">
        <f t="shared" si="0"/>
        <v>-</v>
      </c>
      <c r="L20" s="35" t="str">
        <f t="shared" si="2"/>
        <v>-</v>
      </c>
      <c r="M20" s="36" t="str">
        <f t="shared" si="3"/>
        <v>-</v>
      </c>
      <c r="N20" s="37" t="str">
        <f t="shared" si="4"/>
        <v>-</v>
      </c>
      <c r="O20"/>
      <c r="P20" s="37" t="str">
        <f t="shared" si="5"/>
        <v>-</v>
      </c>
    </row>
    <row r="21" spans="1:16" ht="14.4" x14ac:dyDescent="0.3">
      <c r="A21" s="20">
        <v>850046504679</v>
      </c>
      <c r="B21" s="21" t="s">
        <v>26</v>
      </c>
      <c r="C21" s="22" t="s">
        <v>31</v>
      </c>
      <c r="D21" s="20">
        <v>3</v>
      </c>
      <c r="E21" s="11">
        <v>110</v>
      </c>
      <c r="F21" s="39">
        <v>5.5100466666666668</v>
      </c>
      <c r="G21" s="18"/>
      <c r="H21" s="11">
        <f t="shared" si="1"/>
        <v>0</v>
      </c>
      <c r="I21" s="12"/>
      <c r="J21" s="12"/>
      <c r="K21" s="35" t="str">
        <f t="shared" si="0"/>
        <v>-</v>
      </c>
      <c r="L21" s="35" t="str">
        <f t="shared" si="2"/>
        <v>-</v>
      </c>
      <c r="M21" s="36" t="str">
        <f t="shared" si="3"/>
        <v>-</v>
      </c>
      <c r="N21" s="37" t="str">
        <f t="shared" si="4"/>
        <v>-</v>
      </c>
      <c r="O21"/>
      <c r="P21" s="37" t="str">
        <f t="shared" si="5"/>
        <v>-</v>
      </c>
    </row>
    <row r="22" spans="1:16" ht="14.4" x14ac:dyDescent="0.3">
      <c r="A22" s="20">
        <v>850026029055</v>
      </c>
      <c r="B22" s="21" t="s">
        <v>26</v>
      </c>
      <c r="C22" s="22" t="s">
        <v>9</v>
      </c>
      <c r="D22" s="20">
        <v>6</v>
      </c>
      <c r="E22" s="11">
        <v>31.25</v>
      </c>
      <c r="F22" s="39">
        <v>1.3241666666666667</v>
      </c>
      <c r="G22" s="18"/>
      <c r="H22" s="11">
        <f t="shared" si="1"/>
        <v>0</v>
      </c>
      <c r="I22" s="12"/>
      <c r="J22" s="12"/>
      <c r="K22" s="35" t="str">
        <f t="shared" si="0"/>
        <v>-</v>
      </c>
      <c r="L22" s="35" t="str">
        <f t="shared" si="2"/>
        <v>-</v>
      </c>
      <c r="M22" s="36" t="str">
        <f t="shared" si="3"/>
        <v>-</v>
      </c>
      <c r="N22" s="37" t="str">
        <f t="shared" si="4"/>
        <v>-</v>
      </c>
      <c r="O22"/>
      <c r="P22" s="37" t="str">
        <f t="shared" si="5"/>
        <v>-</v>
      </c>
    </row>
    <row r="23" spans="1:16" ht="14.4" x14ac:dyDescent="0.3">
      <c r="A23" s="20">
        <v>850026029062</v>
      </c>
      <c r="B23" s="21" t="s">
        <v>26</v>
      </c>
      <c r="C23" s="22" t="s">
        <v>10</v>
      </c>
      <c r="D23" s="20">
        <v>6</v>
      </c>
      <c r="E23" s="11">
        <v>62.5</v>
      </c>
      <c r="F23" s="39">
        <v>3.0887133333333332</v>
      </c>
      <c r="G23" s="18"/>
      <c r="H23" s="11">
        <f t="shared" si="1"/>
        <v>0</v>
      </c>
      <c r="I23" s="12"/>
      <c r="J23" s="12"/>
      <c r="K23" s="35" t="str">
        <f t="shared" si="0"/>
        <v>-</v>
      </c>
      <c r="L23" s="35" t="str">
        <f t="shared" si="2"/>
        <v>-</v>
      </c>
      <c r="M23" s="36" t="str">
        <f t="shared" si="3"/>
        <v>-</v>
      </c>
      <c r="N23" s="37" t="str">
        <f t="shared" si="4"/>
        <v>-</v>
      </c>
      <c r="O23"/>
      <c r="P23" s="37" t="str">
        <f t="shared" si="5"/>
        <v>-</v>
      </c>
    </row>
    <row r="24" spans="1:16" ht="14.4" x14ac:dyDescent="0.3">
      <c r="A24" s="20">
        <v>850060362675</v>
      </c>
      <c r="B24" s="21" t="s">
        <v>97</v>
      </c>
      <c r="C24" s="22" t="s">
        <v>9</v>
      </c>
      <c r="D24" s="20">
        <v>6</v>
      </c>
      <c r="E24" s="11">
        <v>31.25</v>
      </c>
      <c r="F24" s="39">
        <v>1.3882941666666668</v>
      </c>
      <c r="G24" s="18"/>
      <c r="H24" s="11">
        <f t="shared" si="1"/>
        <v>0</v>
      </c>
      <c r="I24" s="12"/>
      <c r="J24" s="12"/>
      <c r="K24" s="35" t="str">
        <f t="shared" si="0"/>
        <v>-</v>
      </c>
      <c r="L24" s="35" t="str">
        <f t="shared" si="2"/>
        <v>-</v>
      </c>
      <c r="M24" s="36" t="str">
        <f t="shared" si="3"/>
        <v>-</v>
      </c>
      <c r="N24" s="37" t="str">
        <f t="shared" si="4"/>
        <v>-</v>
      </c>
      <c r="O24"/>
      <c r="P24" s="37" t="str">
        <f t="shared" si="5"/>
        <v>-</v>
      </c>
    </row>
    <row r="25" spans="1:16" ht="14.4" x14ac:dyDescent="0.3">
      <c r="A25" s="20">
        <v>850060362682</v>
      </c>
      <c r="B25" s="21" t="s">
        <v>98</v>
      </c>
      <c r="C25" s="22" t="s">
        <v>10</v>
      </c>
      <c r="D25" s="20">
        <v>6</v>
      </c>
      <c r="E25" s="11">
        <v>62.5</v>
      </c>
      <c r="F25" s="39">
        <v>2.0704291666666665</v>
      </c>
      <c r="G25" s="18"/>
      <c r="H25" s="11">
        <f t="shared" si="1"/>
        <v>0</v>
      </c>
      <c r="I25" s="12"/>
      <c r="J25" s="12"/>
      <c r="K25" s="35" t="str">
        <f t="shared" si="0"/>
        <v>-</v>
      </c>
      <c r="L25" s="35" t="str">
        <f t="shared" si="2"/>
        <v>-</v>
      </c>
      <c r="M25" s="36" t="str">
        <f t="shared" si="3"/>
        <v>-</v>
      </c>
      <c r="N25" s="37" t="str">
        <f t="shared" si="4"/>
        <v>-</v>
      </c>
      <c r="O25"/>
      <c r="P25" s="37" t="str">
        <f t="shared" si="5"/>
        <v>-</v>
      </c>
    </row>
    <row r="26" spans="1:16" ht="14.4" x14ac:dyDescent="0.3">
      <c r="A26" s="20">
        <v>850046504907</v>
      </c>
      <c r="B26" s="21" t="s">
        <v>99</v>
      </c>
      <c r="C26" s="22" t="s">
        <v>11</v>
      </c>
      <c r="D26" s="20">
        <v>12</v>
      </c>
      <c r="E26" s="11">
        <v>25</v>
      </c>
      <c r="F26" s="39">
        <v>0.17431708333333332</v>
      </c>
      <c r="G26" s="18"/>
      <c r="H26" s="11">
        <f t="shared" si="1"/>
        <v>0</v>
      </c>
      <c r="I26" s="12"/>
      <c r="J26" s="12"/>
      <c r="K26" s="35" t="str">
        <f t="shared" si="0"/>
        <v>-</v>
      </c>
      <c r="L26" s="35" t="str">
        <f t="shared" si="2"/>
        <v>-</v>
      </c>
      <c r="M26" s="36" t="str">
        <f t="shared" si="3"/>
        <v>-</v>
      </c>
      <c r="N26" s="37" t="str">
        <f t="shared" si="4"/>
        <v>-</v>
      </c>
      <c r="O26"/>
      <c r="P26" s="37" t="str">
        <f t="shared" si="5"/>
        <v>-</v>
      </c>
    </row>
    <row r="27" spans="1:16" ht="14.4" x14ac:dyDescent="0.3">
      <c r="A27" s="20">
        <v>850005755876</v>
      </c>
      <c r="B27" s="21" t="s">
        <v>34</v>
      </c>
      <c r="C27" s="22" t="s">
        <v>5</v>
      </c>
      <c r="D27" s="20">
        <v>12</v>
      </c>
      <c r="E27" s="11">
        <v>15.625</v>
      </c>
      <c r="F27" s="39">
        <v>0.11510791666666667</v>
      </c>
      <c r="G27" s="18"/>
      <c r="H27" s="11">
        <f t="shared" si="1"/>
        <v>0</v>
      </c>
      <c r="I27" s="12"/>
      <c r="J27" s="12"/>
      <c r="K27" s="35" t="str">
        <f t="shared" si="0"/>
        <v>-</v>
      </c>
      <c r="L27" s="35" t="str">
        <f t="shared" si="2"/>
        <v>-</v>
      </c>
      <c r="M27" s="36" t="str">
        <f t="shared" si="3"/>
        <v>-</v>
      </c>
      <c r="N27" s="37" t="str">
        <f t="shared" si="4"/>
        <v>-</v>
      </c>
      <c r="O27"/>
      <c r="P27" s="37" t="str">
        <f t="shared" si="5"/>
        <v>-</v>
      </c>
    </row>
    <row r="28" spans="1:16" ht="14.4" x14ac:dyDescent="0.3">
      <c r="A28" s="20">
        <v>850026029512</v>
      </c>
      <c r="B28" s="21" t="s">
        <v>78</v>
      </c>
      <c r="C28" s="22" t="s">
        <v>5</v>
      </c>
      <c r="D28" s="20">
        <v>12</v>
      </c>
      <c r="E28" s="11">
        <v>17.5</v>
      </c>
      <c r="F28" s="39">
        <v>0.10602791666666667</v>
      </c>
      <c r="G28" s="18"/>
      <c r="H28" s="11">
        <f t="shared" si="1"/>
        <v>0</v>
      </c>
      <c r="I28" s="12"/>
      <c r="J28" s="12"/>
      <c r="K28" s="35" t="str">
        <f t="shared" si="0"/>
        <v>-</v>
      </c>
      <c r="L28" s="35" t="str">
        <f t="shared" si="2"/>
        <v>-</v>
      </c>
      <c r="M28" s="36" t="str">
        <f t="shared" si="3"/>
        <v>-</v>
      </c>
      <c r="N28" s="37" t="str">
        <f t="shared" si="4"/>
        <v>-</v>
      </c>
      <c r="O28"/>
      <c r="P28" s="37" t="str">
        <f t="shared" si="5"/>
        <v>-</v>
      </c>
    </row>
    <row r="29" spans="1:16" ht="14.4" x14ac:dyDescent="0.3">
      <c r="A29" s="20">
        <v>850046504501</v>
      </c>
      <c r="B29" s="21" t="s">
        <v>79</v>
      </c>
      <c r="C29" s="22" t="s">
        <v>5</v>
      </c>
      <c r="D29" s="20">
        <v>12</v>
      </c>
      <c r="E29" s="11">
        <v>17.5</v>
      </c>
      <c r="F29" s="39">
        <v>0.11472958333333334</v>
      </c>
      <c r="G29" s="18"/>
      <c r="H29" s="11">
        <f t="shared" si="1"/>
        <v>0</v>
      </c>
      <c r="I29" s="12"/>
      <c r="J29" s="12"/>
      <c r="K29" s="35" t="str">
        <f t="shared" si="0"/>
        <v>-</v>
      </c>
      <c r="L29" s="35" t="str">
        <f t="shared" si="2"/>
        <v>-</v>
      </c>
      <c r="M29" s="36" t="str">
        <f t="shared" si="3"/>
        <v>-</v>
      </c>
      <c r="N29" s="37" t="str">
        <f t="shared" si="4"/>
        <v>-</v>
      </c>
      <c r="O29"/>
      <c r="P29" s="37" t="str">
        <f t="shared" si="5"/>
        <v>-</v>
      </c>
    </row>
    <row r="30" spans="1:16" ht="14.4" x14ac:dyDescent="0.3">
      <c r="A30" s="20">
        <v>859400007726</v>
      </c>
      <c r="B30" s="21" t="s">
        <v>35</v>
      </c>
      <c r="C30" s="22" t="s">
        <v>6</v>
      </c>
      <c r="D30" s="20">
        <v>6</v>
      </c>
      <c r="E30" s="11">
        <v>9.375</v>
      </c>
      <c r="F30" s="39">
        <v>0.37852249999999998</v>
      </c>
      <c r="G30" s="18"/>
      <c r="H30" s="11">
        <f t="shared" si="1"/>
        <v>0</v>
      </c>
      <c r="I30" s="12"/>
      <c r="J30" s="12"/>
      <c r="K30" s="35" t="str">
        <f t="shared" si="0"/>
        <v>-</v>
      </c>
      <c r="L30" s="35" t="str">
        <f t="shared" si="2"/>
        <v>-</v>
      </c>
      <c r="M30" s="36" t="str">
        <f t="shared" si="3"/>
        <v>-</v>
      </c>
      <c r="N30" s="37" t="str">
        <f t="shared" si="4"/>
        <v>-</v>
      </c>
      <c r="O30"/>
      <c r="P30" s="37" t="str">
        <f t="shared" si="5"/>
        <v>-</v>
      </c>
    </row>
    <row r="31" spans="1:16" ht="14.4" x14ac:dyDescent="0.3">
      <c r="A31" s="20">
        <v>850005755807</v>
      </c>
      <c r="B31" s="21" t="s">
        <v>36</v>
      </c>
      <c r="C31" s="22" t="s">
        <v>6</v>
      </c>
      <c r="D31" s="20">
        <v>6</v>
      </c>
      <c r="E31" s="11">
        <v>9.375</v>
      </c>
      <c r="F31" s="39">
        <v>0.38192750000000003</v>
      </c>
      <c r="G31" s="18"/>
      <c r="H31" s="11">
        <f t="shared" si="1"/>
        <v>0</v>
      </c>
      <c r="I31" s="12"/>
      <c r="J31" s="12"/>
      <c r="K31" s="35" t="str">
        <f t="shared" si="0"/>
        <v>-</v>
      </c>
      <c r="L31" s="35" t="str">
        <f t="shared" si="2"/>
        <v>-</v>
      </c>
      <c r="M31" s="36" t="str">
        <f t="shared" si="3"/>
        <v>-</v>
      </c>
      <c r="N31" s="37" t="str">
        <f t="shared" si="4"/>
        <v>-</v>
      </c>
      <c r="O31"/>
      <c r="P31" s="37" t="str">
        <f t="shared" si="5"/>
        <v>-</v>
      </c>
    </row>
    <row r="32" spans="1:16" ht="14.4" x14ac:dyDescent="0.3">
      <c r="A32" s="20">
        <v>859400007719</v>
      </c>
      <c r="B32" s="21" t="s">
        <v>37</v>
      </c>
      <c r="C32" s="22" t="s">
        <v>6</v>
      </c>
      <c r="D32" s="20">
        <v>6</v>
      </c>
      <c r="E32" s="11">
        <v>9.375</v>
      </c>
      <c r="F32" s="39">
        <v>0.36811833333333333</v>
      </c>
      <c r="G32" s="18"/>
      <c r="H32" s="11">
        <f t="shared" si="1"/>
        <v>0</v>
      </c>
      <c r="I32" s="12"/>
      <c r="J32" s="12"/>
      <c r="K32" s="35" t="str">
        <f t="shared" si="0"/>
        <v>-</v>
      </c>
      <c r="L32" s="35" t="str">
        <f t="shared" si="2"/>
        <v>-</v>
      </c>
      <c r="M32" s="36" t="str">
        <f t="shared" si="3"/>
        <v>-</v>
      </c>
      <c r="N32" s="37" t="str">
        <f t="shared" si="4"/>
        <v>-</v>
      </c>
      <c r="O32"/>
      <c r="P32" s="37" t="str">
        <f t="shared" si="5"/>
        <v>-</v>
      </c>
    </row>
    <row r="33" spans="1:16" ht="14.4" x14ac:dyDescent="0.3">
      <c r="A33" s="20">
        <v>850026029147</v>
      </c>
      <c r="B33" s="21" t="s">
        <v>38</v>
      </c>
      <c r="C33" s="22" t="s">
        <v>5</v>
      </c>
      <c r="D33" s="20">
        <v>12</v>
      </c>
      <c r="E33" s="11">
        <v>4.375</v>
      </c>
      <c r="F33" s="39">
        <v>7.6517916666666672E-2</v>
      </c>
      <c r="G33" s="18"/>
      <c r="H33" s="11">
        <f t="shared" si="1"/>
        <v>0</v>
      </c>
      <c r="I33" s="12"/>
      <c r="J33" s="12"/>
      <c r="K33" s="35" t="str">
        <f t="shared" si="0"/>
        <v>-</v>
      </c>
      <c r="L33" s="35" t="str">
        <f t="shared" si="2"/>
        <v>-</v>
      </c>
      <c r="M33" s="36" t="str">
        <f t="shared" si="3"/>
        <v>-</v>
      </c>
      <c r="N33" s="37" t="str">
        <f t="shared" si="4"/>
        <v>-</v>
      </c>
      <c r="O33"/>
      <c r="P33" s="37" t="str">
        <f t="shared" si="5"/>
        <v>-</v>
      </c>
    </row>
    <row r="34" spans="1:16" ht="14.4" x14ac:dyDescent="0.3">
      <c r="A34" s="20">
        <v>853237000219</v>
      </c>
      <c r="B34" s="21" t="s">
        <v>39</v>
      </c>
      <c r="C34" s="22" t="s">
        <v>40</v>
      </c>
      <c r="D34" s="20">
        <v>12</v>
      </c>
      <c r="E34" s="11">
        <v>12.5</v>
      </c>
      <c r="F34" s="39">
        <v>0.37483374999999997</v>
      </c>
      <c r="G34" s="18"/>
      <c r="H34" s="11">
        <f t="shared" si="1"/>
        <v>0</v>
      </c>
      <c r="I34" s="12"/>
      <c r="J34" s="12"/>
      <c r="K34" s="35" t="str">
        <f t="shared" si="0"/>
        <v>-</v>
      </c>
      <c r="L34" s="35" t="str">
        <f t="shared" si="2"/>
        <v>-</v>
      </c>
      <c r="M34" s="36" t="str">
        <f t="shared" si="3"/>
        <v>-</v>
      </c>
      <c r="N34" s="37" t="str">
        <f t="shared" si="4"/>
        <v>-</v>
      </c>
      <c r="O34"/>
      <c r="P34" s="37" t="str">
        <f t="shared" si="5"/>
        <v>-</v>
      </c>
    </row>
    <row r="35" spans="1:16" ht="14.4" x14ac:dyDescent="0.3">
      <c r="A35" s="20">
        <v>850060362620</v>
      </c>
      <c r="B35" s="21" t="s">
        <v>80</v>
      </c>
      <c r="C35" s="22" t="s">
        <v>7</v>
      </c>
      <c r="D35" s="20">
        <v>12</v>
      </c>
      <c r="E35" s="11">
        <v>12.5</v>
      </c>
      <c r="F35" s="39">
        <v>0.18</v>
      </c>
      <c r="G35" s="18"/>
      <c r="H35" s="11">
        <f t="shared" si="1"/>
        <v>0</v>
      </c>
      <c r="I35" s="12"/>
      <c r="J35" s="12"/>
      <c r="K35" s="35" t="str">
        <f t="shared" ref="K35:K65" si="6">IFERROR(IF($K$2*F35=0, "-", $K$2*F35), "-")</f>
        <v>-</v>
      </c>
      <c r="L35" s="35" t="str">
        <f t="shared" si="2"/>
        <v>-</v>
      </c>
      <c r="M35" s="36" t="str">
        <f t="shared" si="3"/>
        <v>-</v>
      </c>
      <c r="N35" s="37" t="str">
        <f t="shared" si="4"/>
        <v>-</v>
      </c>
      <c r="O35"/>
      <c r="P35" s="37" t="str">
        <f t="shared" si="5"/>
        <v>-</v>
      </c>
    </row>
    <row r="36" spans="1:16" ht="14.4" x14ac:dyDescent="0.3">
      <c r="A36" s="20">
        <v>850026029925</v>
      </c>
      <c r="B36" s="21" t="s">
        <v>41</v>
      </c>
      <c r="C36" s="22" t="s">
        <v>42</v>
      </c>
      <c r="D36" s="20">
        <v>6</v>
      </c>
      <c r="E36" s="11">
        <v>20</v>
      </c>
      <c r="F36" s="39">
        <v>1.3934016666666666</v>
      </c>
      <c r="G36" s="18"/>
      <c r="H36" s="11">
        <f t="shared" si="1"/>
        <v>0</v>
      </c>
      <c r="I36" s="12"/>
      <c r="J36" s="12"/>
      <c r="K36" s="35" t="str">
        <f t="shared" si="6"/>
        <v>-</v>
      </c>
      <c r="L36" s="35" t="str">
        <f t="shared" si="2"/>
        <v>-</v>
      </c>
      <c r="M36" s="36" t="str">
        <f t="shared" si="3"/>
        <v>-</v>
      </c>
      <c r="N36" s="37" t="str">
        <f t="shared" si="4"/>
        <v>-</v>
      </c>
      <c r="O36"/>
      <c r="P36" s="37" t="str">
        <f t="shared" si="5"/>
        <v>-</v>
      </c>
    </row>
    <row r="37" spans="1:16" ht="14.4" x14ac:dyDescent="0.3">
      <c r="A37" s="20">
        <v>853237000745</v>
      </c>
      <c r="B37" s="21" t="s">
        <v>43</v>
      </c>
      <c r="C37" s="22" t="s">
        <v>15</v>
      </c>
      <c r="D37" s="20">
        <v>12</v>
      </c>
      <c r="E37" s="11">
        <v>7.5</v>
      </c>
      <c r="F37" s="39">
        <v>0.44056916666666673</v>
      </c>
      <c r="G37" s="18"/>
      <c r="H37" s="11">
        <f t="shared" si="1"/>
        <v>0</v>
      </c>
      <c r="I37" s="12"/>
      <c r="J37" s="12"/>
      <c r="K37" s="35" t="str">
        <f t="shared" si="6"/>
        <v>-</v>
      </c>
      <c r="L37" s="35" t="str">
        <f t="shared" si="2"/>
        <v>-</v>
      </c>
      <c r="M37" s="36" t="str">
        <f t="shared" si="3"/>
        <v>-</v>
      </c>
      <c r="N37" s="37" t="str">
        <f t="shared" si="4"/>
        <v>-</v>
      </c>
      <c r="O37"/>
      <c r="P37" s="37" t="str">
        <f t="shared" si="5"/>
        <v>-</v>
      </c>
    </row>
    <row r="38" spans="1:16" ht="14.4" x14ac:dyDescent="0.3">
      <c r="A38" s="20">
        <v>859400007788</v>
      </c>
      <c r="B38" s="21" t="s">
        <v>44</v>
      </c>
      <c r="C38" s="22" t="s">
        <v>6</v>
      </c>
      <c r="D38" s="20">
        <v>6</v>
      </c>
      <c r="E38" s="11">
        <v>15</v>
      </c>
      <c r="F38" s="39">
        <v>0.56560833333333338</v>
      </c>
      <c r="G38" s="18"/>
      <c r="H38" s="11">
        <f t="shared" si="1"/>
        <v>0</v>
      </c>
      <c r="I38" s="24"/>
      <c r="J38" s="12"/>
      <c r="K38" s="35" t="str">
        <f t="shared" si="6"/>
        <v>-</v>
      </c>
      <c r="L38" s="35" t="str">
        <f t="shared" si="2"/>
        <v>-</v>
      </c>
      <c r="M38" s="36" t="str">
        <f t="shared" si="3"/>
        <v>-</v>
      </c>
      <c r="N38" s="37" t="str">
        <f t="shared" si="4"/>
        <v>-</v>
      </c>
      <c r="O38"/>
      <c r="P38" s="37" t="str">
        <f t="shared" si="5"/>
        <v>-</v>
      </c>
    </row>
    <row r="39" spans="1:16" ht="14.4" x14ac:dyDescent="0.3">
      <c r="A39" s="20">
        <v>859400007764</v>
      </c>
      <c r="B39" s="21" t="s">
        <v>45</v>
      </c>
      <c r="C39" s="22" t="s">
        <v>6</v>
      </c>
      <c r="D39" s="20">
        <v>6</v>
      </c>
      <c r="E39" s="11">
        <v>15</v>
      </c>
      <c r="F39" s="39">
        <v>0.56560833333333338</v>
      </c>
      <c r="G39" s="18"/>
      <c r="H39" s="11">
        <f t="shared" si="1"/>
        <v>0</v>
      </c>
      <c r="I39" s="12"/>
      <c r="J39" s="12"/>
      <c r="K39" s="35" t="str">
        <f t="shared" si="6"/>
        <v>-</v>
      </c>
      <c r="L39" s="35" t="str">
        <f t="shared" si="2"/>
        <v>-</v>
      </c>
      <c r="M39" s="36" t="str">
        <f t="shared" si="3"/>
        <v>-</v>
      </c>
      <c r="N39" s="37" t="str">
        <f t="shared" si="4"/>
        <v>-</v>
      </c>
      <c r="O39"/>
      <c r="P39" s="37" t="str">
        <f t="shared" si="5"/>
        <v>-</v>
      </c>
    </row>
    <row r="40" spans="1:16" ht="14.4" x14ac:dyDescent="0.3">
      <c r="A40" s="20">
        <v>850005755272</v>
      </c>
      <c r="B40" s="21" t="s">
        <v>46</v>
      </c>
      <c r="C40" s="22" t="s">
        <v>6</v>
      </c>
      <c r="D40" s="20">
        <v>6</v>
      </c>
      <c r="E40" s="11">
        <v>15</v>
      </c>
      <c r="F40" s="39">
        <v>0.56560833333333338</v>
      </c>
      <c r="G40" s="18"/>
      <c r="H40" s="11">
        <f t="shared" si="1"/>
        <v>0</v>
      </c>
      <c r="I40" s="12"/>
      <c r="J40" s="12"/>
      <c r="K40" s="35" t="str">
        <f t="shared" si="6"/>
        <v>-</v>
      </c>
      <c r="L40" s="35" t="str">
        <f t="shared" si="2"/>
        <v>-</v>
      </c>
      <c r="M40" s="36" t="str">
        <f t="shared" si="3"/>
        <v>-</v>
      </c>
      <c r="N40" s="37" t="str">
        <f t="shared" si="4"/>
        <v>-</v>
      </c>
      <c r="O40"/>
      <c r="P40" s="37" t="str">
        <f t="shared" si="5"/>
        <v>-</v>
      </c>
    </row>
    <row r="41" spans="1:16" ht="14.4" x14ac:dyDescent="0.3">
      <c r="A41" s="20">
        <v>850026029239</v>
      </c>
      <c r="B41" s="21" t="s">
        <v>47</v>
      </c>
      <c r="C41" s="22" t="s">
        <v>6</v>
      </c>
      <c r="D41" s="20">
        <v>6</v>
      </c>
      <c r="E41" s="11">
        <v>15</v>
      </c>
      <c r="F41" s="39">
        <v>0.56560833333333338</v>
      </c>
      <c r="G41" s="18"/>
      <c r="H41" s="11">
        <f t="shared" si="1"/>
        <v>0</v>
      </c>
      <c r="I41" s="12"/>
      <c r="J41" s="12"/>
      <c r="K41" s="35" t="str">
        <f t="shared" si="6"/>
        <v>-</v>
      </c>
      <c r="L41" s="35" t="str">
        <f t="shared" si="2"/>
        <v>-</v>
      </c>
      <c r="M41" s="36" t="str">
        <f t="shared" si="3"/>
        <v>-</v>
      </c>
      <c r="N41" s="37" t="str">
        <f t="shared" si="4"/>
        <v>-</v>
      </c>
      <c r="O41"/>
      <c r="P41" s="37" t="str">
        <f t="shared" si="5"/>
        <v>-</v>
      </c>
    </row>
    <row r="42" spans="1:16" ht="14.4" x14ac:dyDescent="0.3">
      <c r="A42" s="20">
        <v>859400007795</v>
      </c>
      <c r="B42" s="21" t="s">
        <v>48</v>
      </c>
      <c r="C42" s="22" t="s">
        <v>6</v>
      </c>
      <c r="D42" s="20">
        <v>6</v>
      </c>
      <c r="E42" s="11">
        <v>15</v>
      </c>
      <c r="F42" s="39">
        <v>0.56560833333333338</v>
      </c>
      <c r="G42" s="18"/>
      <c r="H42" s="11">
        <f t="shared" si="1"/>
        <v>0</v>
      </c>
      <c r="I42" s="12"/>
      <c r="J42" s="12"/>
      <c r="K42" s="35" t="str">
        <f t="shared" si="6"/>
        <v>-</v>
      </c>
      <c r="L42" s="35" t="str">
        <f t="shared" si="2"/>
        <v>-</v>
      </c>
      <c r="M42" s="36" t="str">
        <f t="shared" si="3"/>
        <v>-</v>
      </c>
      <c r="N42" s="37" t="str">
        <f t="shared" si="4"/>
        <v>-</v>
      </c>
      <c r="O42"/>
      <c r="P42" s="37" t="str">
        <f t="shared" si="5"/>
        <v>-</v>
      </c>
    </row>
    <row r="43" spans="1:16" ht="14.4" x14ac:dyDescent="0.3">
      <c r="A43" s="20">
        <v>850026029161</v>
      </c>
      <c r="B43" s="21" t="s">
        <v>49</v>
      </c>
      <c r="C43" s="22" t="s">
        <v>6</v>
      </c>
      <c r="D43" s="20">
        <v>6</v>
      </c>
      <c r="E43" s="11">
        <v>15</v>
      </c>
      <c r="F43" s="39">
        <v>0.56560833333333338</v>
      </c>
      <c r="G43" s="18"/>
      <c r="H43" s="11">
        <f t="shared" si="1"/>
        <v>0</v>
      </c>
      <c r="I43" s="12"/>
      <c r="J43" s="12"/>
      <c r="K43" s="35" t="str">
        <f t="shared" si="6"/>
        <v>-</v>
      </c>
      <c r="L43" s="35" t="str">
        <f t="shared" si="2"/>
        <v>-</v>
      </c>
      <c r="M43" s="36" t="str">
        <f t="shared" si="3"/>
        <v>-</v>
      </c>
      <c r="N43" s="37" t="str">
        <f t="shared" si="4"/>
        <v>-</v>
      </c>
      <c r="O43"/>
      <c r="P43" s="37" t="str">
        <f t="shared" si="5"/>
        <v>-</v>
      </c>
    </row>
    <row r="44" spans="1:16" ht="14.4" x14ac:dyDescent="0.3">
      <c r="A44" s="20">
        <v>850046504563</v>
      </c>
      <c r="B44" s="21" t="s">
        <v>27</v>
      </c>
      <c r="C44" s="22" t="s">
        <v>6</v>
      </c>
      <c r="D44" s="20">
        <v>6</v>
      </c>
      <c r="E44" s="11">
        <v>15</v>
      </c>
      <c r="F44" s="39">
        <v>0.56560833333333338</v>
      </c>
      <c r="G44" s="18"/>
      <c r="H44" s="11">
        <f t="shared" si="1"/>
        <v>0</v>
      </c>
      <c r="I44" s="12"/>
      <c r="J44" s="12"/>
      <c r="K44" s="35" t="str">
        <f t="shared" si="6"/>
        <v>-</v>
      </c>
      <c r="L44" s="35" t="str">
        <f t="shared" si="2"/>
        <v>-</v>
      </c>
      <c r="M44" s="36" t="str">
        <f t="shared" si="3"/>
        <v>-</v>
      </c>
      <c r="N44" s="37" t="str">
        <f t="shared" si="4"/>
        <v>-</v>
      </c>
      <c r="O44"/>
      <c r="P44" s="37" t="str">
        <f t="shared" si="5"/>
        <v>-</v>
      </c>
    </row>
    <row r="45" spans="1:16" ht="14.4" x14ac:dyDescent="0.3">
      <c r="A45" s="20">
        <v>850046504587</v>
      </c>
      <c r="B45" s="21" t="s">
        <v>81</v>
      </c>
      <c r="C45" s="22" t="s">
        <v>6</v>
      </c>
      <c r="D45" s="20">
        <v>6</v>
      </c>
      <c r="E45" s="11">
        <v>15</v>
      </c>
      <c r="F45" s="39">
        <v>0.56560833333333338</v>
      </c>
      <c r="G45" s="18"/>
      <c r="H45" s="11">
        <f t="shared" si="1"/>
        <v>0</v>
      </c>
      <c r="I45" s="12"/>
      <c r="J45" s="12"/>
      <c r="K45" s="35" t="str">
        <f t="shared" si="6"/>
        <v>-</v>
      </c>
      <c r="L45" s="35" t="str">
        <f t="shared" si="2"/>
        <v>-</v>
      </c>
      <c r="M45" s="36" t="str">
        <f t="shared" si="3"/>
        <v>-</v>
      </c>
      <c r="N45" s="37" t="str">
        <f t="shared" si="4"/>
        <v>-</v>
      </c>
      <c r="O45"/>
      <c r="P45" s="37" t="str">
        <f t="shared" si="5"/>
        <v>-</v>
      </c>
    </row>
    <row r="46" spans="1:16" ht="14.4" x14ac:dyDescent="0.3">
      <c r="A46" s="20">
        <v>850060362651</v>
      </c>
      <c r="B46" s="21" t="s">
        <v>82</v>
      </c>
      <c r="C46" s="22" t="s">
        <v>6</v>
      </c>
      <c r="D46" s="20">
        <v>6</v>
      </c>
      <c r="E46" s="11">
        <v>15</v>
      </c>
      <c r="F46" s="39">
        <v>0.56560833333333338</v>
      </c>
      <c r="G46" s="18"/>
      <c r="H46" s="11">
        <f t="shared" si="1"/>
        <v>0</v>
      </c>
      <c r="I46" s="12"/>
      <c r="J46" s="12"/>
      <c r="K46" s="35" t="str">
        <f t="shared" si="6"/>
        <v>-</v>
      </c>
      <c r="L46" s="35" t="str">
        <f t="shared" si="2"/>
        <v>-</v>
      </c>
      <c r="M46" s="36" t="str">
        <f t="shared" si="3"/>
        <v>-</v>
      </c>
      <c r="N46" s="37" t="str">
        <f t="shared" si="4"/>
        <v>-</v>
      </c>
      <c r="O46"/>
      <c r="P46" s="37" t="str">
        <f t="shared" si="5"/>
        <v>-</v>
      </c>
    </row>
    <row r="47" spans="1:16" ht="14.4" x14ac:dyDescent="0.3">
      <c r="A47" s="20">
        <v>853237000974</v>
      </c>
      <c r="B47" s="21" t="s">
        <v>50</v>
      </c>
      <c r="C47" s="22" t="s">
        <v>42</v>
      </c>
      <c r="D47" s="20">
        <v>6</v>
      </c>
      <c r="E47" s="11">
        <v>22.5</v>
      </c>
      <c r="F47" s="39">
        <v>1.3712691666666665</v>
      </c>
      <c r="G47" s="18"/>
      <c r="H47" s="11">
        <f t="shared" si="1"/>
        <v>0</v>
      </c>
      <c r="I47" s="12"/>
      <c r="J47" s="12"/>
      <c r="K47" s="35" t="str">
        <f t="shared" si="6"/>
        <v>-</v>
      </c>
      <c r="L47" s="35" t="str">
        <f t="shared" si="2"/>
        <v>-</v>
      </c>
      <c r="M47" s="36" t="str">
        <f t="shared" si="3"/>
        <v>-</v>
      </c>
      <c r="N47" s="37" t="str">
        <f t="shared" si="4"/>
        <v>-</v>
      </c>
      <c r="O47"/>
      <c r="P47" s="37" t="str">
        <f t="shared" si="5"/>
        <v>-</v>
      </c>
    </row>
    <row r="48" spans="1:16" ht="14.4" x14ac:dyDescent="0.3">
      <c r="A48" s="20">
        <v>853237000967</v>
      </c>
      <c r="B48" s="21" t="s">
        <v>51</v>
      </c>
      <c r="C48" s="22" t="s">
        <v>15</v>
      </c>
      <c r="D48" s="20">
        <v>12</v>
      </c>
      <c r="E48" s="11">
        <v>8.75</v>
      </c>
      <c r="F48" s="39">
        <v>0.44898708333333337</v>
      </c>
      <c r="G48" s="18"/>
      <c r="H48" s="11">
        <f t="shared" si="1"/>
        <v>0</v>
      </c>
      <c r="I48" s="12"/>
      <c r="J48" s="12"/>
      <c r="K48" s="35" t="str">
        <f t="shared" si="6"/>
        <v>-</v>
      </c>
      <c r="L48" s="35" t="str">
        <f t="shared" si="2"/>
        <v>-</v>
      </c>
      <c r="M48" s="36" t="str">
        <f t="shared" si="3"/>
        <v>-</v>
      </c>
      <c r="N48" s="37" t="str">
        <f t="shared" si="4"/>
        <v>-</v>
      </c>
      <c r="O48"/>
      <c r="P48" s="37" t="str">
        <f t="shared" si="5"/>
        <v>-</v>
      </c>
    </row>
    <row r="49" spans="1:16" ht="13.8" customHeight="1" x14ac:dyDescent="0.3">
      <c r="A49" s="20">
        <v>850005755371</v>
      </c>
      <c r="B49" s="21" t="s">
        <v>52</v>
      </c>
      <c r="C49" s="22" t="s">
        <v>11</v>
      </c>
      <c r="D49" s="20">
        <v>12</v>
      </c>
      <c r="E49" s="11">
        <v>9.375</v>
      </c>
      <c r="F49" s="39">
        <v>0.15700833333333333</v>
      </c>
      <c r="G49" s="18"/>
      <c r="H49" s="11">
        <f t="shared" si="1"/>
        <v>0</v>
      </c>
      <c r="I49" s="12"/>
      <c r="J49" s="12"/>
      <c r="K49" s="35" t="str">
        <f t="shared" si="6"/>
        <v>-</v>
      </c>
      <c r="L49" s="35" t="str">
        <f t="shared" si="2"/>
        <v>-</v>
      </c>
      <c r="M49" s="36" t="str">
        <f t="shared" si="3"/>
        <v>-</v>
      </c>
      <c r="N49" s="37" t="str">
        <f t="shared" si="4"/>
        <v>-</v>
      </c>
      <c r="O49"/>
      <c r="P49" s="37" t="str">
        <f t="shared" si="5"/>
        <v>-</v>
      </c>
    </row>
    <row r="50" spans="1:16" ht="14.4" x14ac:dyDescent="0.3">
      <c r="A50" s="20">
        <v>859400007344</v>
      </c>
      <c r="B50" s="21" t="s">
        <v>53</v>
      </c>
      <c r="C50" s="22" t="s">
        <v>6</v>
      </c>
      <c r="D50" s="20">
        <v>6</v>
      </c>
      <c r="E50" s="11">
        <v>40</v>
      </c>
      <c r="F50" s="39">
        <v>1.3864025</v>
      </c>
      <c r="G50" s="18"/>
      <c r="H50" s="11">
        <f t="shared" si="1"/>
        <v>0</v>
      </c>
      <c r="I50" s="12"/>
      <c r="J50" s="12"/>
      <c r="K50" s="35" t="str">
        <f t="shared" si="6"/>
        <v>-</v>
      </c>
      <c r="L50" s="35" t="str">
        <f t="shared" si="2"/>
        <v>-</v>
      </c>
      <c r="M50" s="36" t="str">
        <f t="shared" si="3"/>
        <v>-</v>
      </c>
      <c r="N50" s="37" t="str">
        <f t="shared" si="4"/>
        <v>-</v>
      </c>
      <c r="O50"/>
      <c r="P50" s="37" t="str">
        <f t="shared" si="5"/>
        <v>-</v>
      </c>
    </row>
    <row r="51" spans="1:16" ht="14.4" x14ac:dyDescent="0.3">
      <c r="A51" s="20">
        <v>859400007597</v>
      </c>
      <c r="B51" s="21" t="s">
        <v>54</v>
      </c>
      <c r="C51" s="22" t="s">
        <v>12</v>
      </c>
      <c r="D51" s="20">
        <v>6</v>
      </c>
      <c r="E51" s="11">
        <v>77.5</v>
      </c>
      <c r="F51" s="39">
        <v>2.1650125</v>
      </c>
      <c r="G51" s="18"/>
      <c r="H51" s="11">
        <f t="shared" si="1"/>
        <v>0</v>
      </c>
      <c r="I51" s="12"/>
      <c r="J51" s="12"/>
      <c r="K51" s="35" t="str">
        <f t="shared" si="6"/>
        <v>-</v>
      </c>
      <c r="L51" s="35" t="str">
        <f t="shared" si="2"/>
        <v>-</v>
      </c>
      <c r="M51" s="36" t="str">
        <f t="shared" si="3"/>
        <v>-</v>
      </c>
      <c r="N51" s="37" t="str">
        <f t="shared" si="4"/>
        <v>-</v>
      </c>
      <c r="O51"/>
      <c r="P51" s="37" t="str">
        <f t="shared" si="5"/>
        <v>-</v>
      </c>
    </row>
    <row r="52" spans="1:16" ht="14.4" x14ac:dyDescent="0.3">
      <c r="A52" s="20">
        <v>859400007337</v>
      </c>
      <c r="B52" s="21" t="s">
        <v>55</v>
      </c>
      <c r="C52" s="22" t="s">
        <v>6</v>
      </c>
      <c r="D52" s="20">
        <v>6</v>
      </c>
      <c r="E52" s="11">
        <v>40</v>
      </c>
      <c r="F52" s="39">
        <v>1.4217766666666667</v>
      </c>
      <c r="G52" s="18"/>
      <c r="H52" s="11">
        <f t="shared" si="1"/>
        <v>0</v>
      </c>
      <c r="I52" s="12"/>
      <c r="J52" s="12"/>
      <c r="K52" s="35" t="str">
        <f t="shared" si="6"/>
        <v>-</v>
      </c>
      <c r="L52" s="35" t="str">
        <f t="shared" si="2"/>
        <v>-</v>
      </c>
      <c r="M52" s="36" t="str">
        <f t="shared" si="3"/>
        <v>-</v>
      </c>
      <c r="N52" s="37" t="str">
        <f t="shared" si="4"/>
        <v>-</v>
      </c>
      <c r="O52"/>
      <c r="P52" s="37" t="str">
        <f t="shared" si="5"/>
        <v>-</v>
      </c>
    </row>
    <row r="53" spans="1:16" ht="14.4" x14ac:dyDescent="0.3">
      <c r="A53" s="20">
        <v>859400007580</v>
      </c>
      <c r="B53" s="21" t="s">
        <v>56</v>
      </c>
      <c r="C53" s="22" t="s">
        <v>12</v>
      </c>
      <c r="D53" s="20">
        <v>6</v>
      </c>
      <c r="E53" s="11">
        <v>77.5</v>
      </c>
      <c r="F53" s="39">
        <v>2.1701199999999998</v>
      </c>
      <c r="G53" s="18"/>
      <c r="H53" s="11">
        <f t="shared" si="1"/>
        <v>0</v>
      </c>
      <c r="I53" s="12"/>
      <c r="J53" s="12"/>
      <c r="K53" s="35" t="str">
        <f t="shared" si="6"/>
        <v>-</v>
      </c>
      <c r="L53" s="35" t="str">
        <f t="shared" si="2"/>
        <v>-</v>
      </c>
      <c r="M53" s="36" t="str">
        <f t="shared" si="3"/>
        <v>-</v>
      </c>
      <c r="N53" s="37" t="str">
        <f t="shared" si="4"/>
        <v>-</v>
      </c>
      <c r="O53"/>
      <c r="P53" s="37" t="str">
        <f t="shared" si="5"/>
        <v>-</v>
      </c>
    </row>
    <row r="54" spans="1:16" ht="14.4" x14ac:dyDescent="0.3">
      <c r="A54" s="20">
        <v>853237000738</v>
      </c>
      <c r="B54" s="21" t="s">
        <v>57</v>
      </c>
      <c r="C54" s="22" t="s">
        <v>6</v>
      </c>
      <c r="D54" s="20">
        <v>6</v>
      </c>
      <c r="E54" s="11">
        <v>40</v>
      </c>
      <c r="F54" s="39">
        <v>1.4673658333333333</v>
      </c>
      <c r="G54" s="18"/>
      <c r="H54" s="11">
        <f t="shared" si="1"/>
        <v>0</v>
      </c>
      <c r="I54" s="12"/>
      <c r="J54" s="12"/>
      <c r="K54" s="35" t="str">
        <f t="shared" si="6"/>
        <v>-</v>
      </c>
      <c r="L54" s="35" t="str">
        <f t="shared" si="2"/>
        <v>-</v>
      </c>
      <c r="M54" s="36" t="str">
        <f t="shared" si="3"/>
        <v>-</v>
      </c>
      <c r="N54" s="37" t="str">
        <f t="shared" si="4"/>
        <v>-</v>
      </c>
      <c r="O54"/>
      <c r="P54" s="37" t="str">
        <f t="shared" si="5"/>
        <v>-</v>
      </c>
    </row>
    <row r="55" spans="1:16" ht="14.4" x14ac:dyDescent="0.3">
      <c r="A55" s="20">
        <v>853237000769</v>
      </c>
      <c r="B55" s="21" t="s">
        <v>58</v>
      </c>
      <c r="C55" s="22" t="s">
        <v>12</v>
      </c>
      <c r="D55" s="20">
        <v>4</v>
      </c>
      <c r="E55" s="11">
        <v>77.5</v>
      </c>
      <c r="F55" s="39">
        <v>3.4126612499999998</v>
      </c>
      <c r="G55" s="18"/>
      <c r="H55" s="11">
        <f t="shared" si="1"/>
        <v>0</v>
      </c>
      <c r="I55" s="12"/>
      <c r="J55" s="12"/>
      <c r="K55" s="35" t="str">
        <f t="shared" si="6"/>
        <v>-</v>
      </c>
      <c r="L55" s="35" t="str">
        <f t="shared" si="2"/>
        <v>-</v>
      </c>
      <c r="M55" s="36" t="str">
        <f t="shared" si="3"/>
        <v>-</v>
      </c>
      <c r="N55" s="37" t="str">
        <f t="shared" si="4"/>
        <v>-</v>
      </c>
      <c r="O55"/>
      <c r="P55" s="37" t="str">
        <f t="shared" si="5"/>
        <v>-</v>
      </c>
    </row>
    <row r="56" spans="1:16" ht="14.4" x14ac:dyDescent="0.3">
      <c r="A56" s="20">
        <v>853237000837</v>
      </c>
      <c r="B56" s="21" t="s">
        <v>59</v>
      </c>
      <c r="C56" s="22" t="s">
        <v>6</v>
      </c>
      <c r="D56" s="20">
        <v>6</v>
      </c>
      <c r="E56" s="11">
        <v>40</v>
      </c>
      <c r="F56" s="39">
        <v>1.3916991666666667</v>
      </c>
      <c r="G56" s="18"/>
      <c r="H56" s="11">
        <f t="shared" si="1"/>
        <v>0</v>
      </c>
      <c r="I56" s="12"/>
      <c r="J56" s="12"/>
      <c r="K56" s="35" t="str">
        <f t="shared" si="6"/>
        <v>-</v>
      </c>
      <c r="L56" s="35" t="str">
        <f t="shared" si="2"/>
        <v>-</v>
      </c>
      <c r="M56" s="36" t="str">
        <f t="shared" si="3"/>
        <v>-</v>
      </c>
      <c r="N56" s="37" t="str">
        <f t="shared" si="4"/>
        <v>-</v>
      </c>
      <c r="O56"/>
      <c r="P56" s="37" t="str">
        <f t="shared" si="5"/>
        <v>-</v>
      </c>
    </row>
    <row r="57" spans="1:16" ht="14.4" x14ac:dyDescent="0.3">
      <c r="A57" s="20">
        <v>850026029000</v>
      </c>
      <c r="B57" s="21" t="s">
        <v>60</v>
      </c>
      <c r="C57" s="22" t="s">
        <v>12</v>
      </c>
      <c r="D57" s="20">
        <v>6</v>
      </c>
      <c r="E57" s="11">
        <v>77.5</v>
      </c>
      <c r="F57" s="39">
        <v>2.1430691666666668</v>
      </c>
      <c r="G57" s="18"/>
      <c r="H57" s="11">
        <f t="shared" si="1"/>
        <v>0</v>
      </c>
      <c r="I57" s="12"/>
      <c r="J57" s="12"/>
      <c r="K57" s="35" t="str">
        <f t="shared" si="6"/>
        <v>-</v>
      </c>
      <c r="L57" s="35" t="str">
        <f t="shared" si="2"/>
        <v>-</v>
      </c>
      <c r="M57" s="36" t="str">
        <f t="shared" si="3"/>
        <v>-</v>
      </c>
      <c r="N57" s="37" t="str">
        <f t="shared" si="4"/>
        <v>-</v>
      </c>
      <c r="O57"/>
      <c r="P57" s="37" t="str">
        <f t="shared" si="5"/>
        <v>-</v>
      </c>
    </row>
    <row r="58" spans="1:16" ht="14.4" x14ac:dyDescent="0.3">
      <c r="A58" s="20">
        <v>859400007559</v>
      </c>
      <c r="B58" s="21" t="s">
        <v>61</v>
      </c>
      <c r="C58" s="22" t="s">
        <v>6</v>
      </c>
      <c r="D58" s="20">
        <v>6</v>
      </c>
      <c r="E58" s="11">
        <v>40</v>
      </c>
      <c r="F58" s="39">
        <v>1.3966174999999998</v>
      </c>
      <c r="G58" s="18"/>
      <c r="H58" s="11">
        <f t="shared" si="1"/>
        <v>0</v>
      </c>
      <c r="I58" s="12"/>
      <c r="J58" s="12"/>
      <c r="K58" s="35" t="str">
        <f t="shared" si="6"/>
        <v>-</v>
      </c>
      <c r="L58" s="35" t="str">
        <f t="shared" si="2"/>
        <v>-</v>
      </c>
      <c r="M58" s="36" t="str">
        <f t="shared" si="3"/>
        <v>-</v>
      </c>
      <c r="N58" s="37" t="str">
        <f t="shared" si="4"/>
        <v>-</v>
      </c>
      <c r="O58"/>
      <c r="P58" s="37" t="str">
        <f t="shared" si="5"/>
        <v>-</v>
      </c>
    </row>
    <row r="59" spans="1:16" ht="14.4" x14ac:dyDescent="0.3">
      <c r="A59" s="20">
        <v>859400007566</v>
      </c>
      <c r="B59" s="21" t="s">
        <v>62</v>
      </c>
      <c r="C59" s="22" t="s">
        <v>12</v>
      </c>
      <c r="D59" s="20">
        <v>6</v>
      </c>
      <c r="E59" s="11">
        <v>77.5</v>
      </c>
      <c r="F59" s="39">
        <v>2.1232066666666669</v>
      </c>
      <c r="G59" s="18"/>
      <c r="H59" s="11">
        <f t="shared" si="1"/>
        <v>0</v>
      </c>
      <c r="I59" s="12"/>
      <c r="J59" s="12"/>
      <c r="K59" s="35" t="str">
        <f t="shared" si="6"/>
        <v>-</v>
      </c>
      <c r="L59" s="35" t="str">
        <f t="shared" si="2"/>
        <v>-</v>
      </c>
      <c r="M59" s="36" t="str">
        <f t="shared" si="3"/>
        <v>-</v>
      </c>
      <c r="N59" s="37" t="str">
        <f t="shared" si="4"/>
        <v>-</v>
      </c>
      <c r="O59"/>
      <c r="P59" s="37" t="str">
        <f t="shared" si="5"/>
        <v>-</v>
      </c>
    </row>
    <row r="60" spans="1:16" ht="14.4" x14ac:dyDescent="0.3">
      <c r="A60" s="23">
        <v>850026029543</v>
      </c>
      <c r="B60" s="21" t="s">
        <v>63</v>
      </c>
      <c r="C60" s="22" t="s">
        <v>11</v>
      </c>
      <c r="D60" s="20">
        <v>12</v>
      </c>
      <c r="E60" s="11">
        <v>11.25</v>
      </c>
      <c r="F60" s="39">
        <v>0.19</v>
      </c>
      <c r="G60" s="18"/>
      <c r="H60" s="11">
        <f t="shared" si="1"/>
        <v>0</v>
      </c>
      <c r="I60" s="12"/>
      <c r="J60" s="12"/>
      <c r="K60" s="35" t="str">
        <f t="shared" si="6"/>
        <v>-</v>
      </c>
      <c r="L60" s="35" t="str">
        <f t="shared" si="2"/>
        <v>-</v>
      </c>
      <c r="M60" s="36" t="str">
        <f t="shared" si="3"/>
        <v>-</v>
      </c>
      <c r="N60" s="37" t="str">
        <f t="shared" si="4"/>
        <v>-</v>
      </c>
      <c r="O60"/>
      <c r="P60" s="37" t="str">
        <f t="shared" si="5"/>
        <v>-</v>
      </c>
    </row>
    <row r="61" spans="1:16" ht="14.4" x14ac:dyDescent="0.3">
      <c r="A61" s="23">
        <v>850026029185</v>
      </c>
      <c r="B61" s="21" t="s">
        <v>64</v>
      </c>
      <c r="C61" s="22" t="s">
        <v>11</v>
      </c>
      <c r="D61" s="20">
        <v>12</v>
      </c>
      <c r="E61" s="11">
        <v>12.5</v>
      </c>
      <c r="F61" s="39">
        <v>0.19257166666666667</v>
      </c>
      <c r="G61" s="18"/>
      <c r="H61" s="11">
        <f t="shared" si="1"/>
        <v>0</v>
      </c>
      <c r="I61" s="12"/>
      <c r="J61" s="12"/>
      <c r="K61" s="35" t="str">
        <f t="shared" si="6"/>
        <v>-</v>
      </c>
      <c r="L61" s="35" t="str">
        <f t="shared" si="2"/>
        <v>-</v>
      </c>
      <c r="M61" s="36" t="str">
        <f t="shared" si="3"/>
        <v>-</v>
      </c>
      <c r="N61" s="37" t="str">
        <f t="shared" si="4"/>
        <v>-</v>
      </c>
      <c r="O61"/>
      <c r="P61" s="37" t="str">
        <f t="shared" si="5"/>
        <v>-</v>
      </c>
    </row>
    <row r="62" spans="1:16" ht="14.4" x14ac:dyDescent="0.3">
      <c r="A62" s="23">
        <v>850026029192</v>
      </c>
      <c r="B62" s="21" t="s">
        <v>65</v>
      </c>
      <c r="C62" s="22" t="s">
        <v>5</v>
      </c>
      <c r="D62" s="20">
        <v>12</v>
      </c>
      <c r="E62" s="11">
        <v>8.75</v>
      </c>
      <c r="F62" s="39">
        <v>0.1220125</v>
      </c>
      <c r="G62" s="18"/>
      <c r="H62" s="11">
        <f t="shared" si="1"/>
        <v>0</v>
      </c>
      <c r="I62" s="12"/>
      <c r="J62" s="12"/>
      <c r="K62" s="35" t="str">
        <f t="shared" si="6"/>
        <v>-</v>
      </c>
      <c r="L62" s="35" t="str">
        <f t="shared" si="2"/>
        <v>-</v>
      </c>
      <c r="M62" s="36" t="str">
        <f t="shared" si="3"/>
        <v>-</v>
      </c>
      <c r="N62" s="37" t="str">
        <f t="shared" si="4"/>
        <v>-</v>
      </c>
      <c r="O62"/>
      <c r="P62" s="37" t="str">
        <f t="shared" si="5"/>
        <v>-</v>
      </c>
    </row>
    <row r="63" spans="1:16" ht="14.4" x14ac:dyDescent="0.3">
      <c r="A63" s="23">
        <v>857268005410</v>
      </c>
      <c r="B63" s="21" t="s">
        <v>66</v>
      </c>
      <c r="C63" s="22" t="s">
        <v>67</v>
      </c>
      <c r="D63" s="20">
        <v>12</v>
      </c>
      <c r="E63" s="11">
        <v>10</v>
      </c>
      <c r="F63" s="39">
        <v>0.64382875000000006</v>
      </c>
      <c r="G63" s="18"/>
      <c r="H63" s="11">
        <f t="shared" si="1"/>
        <v>0</v>
      </c>
      <c r="I63" s="12"/>
      <c r="J63" s="12"/>
      <c r="K63" s="35" t="str">
        <f t="shared" si="6"/>
        <v>-</v>
      </c>
      <c r="L63" s="35" t="str">
        <f t="shared" si="2"/>
        <v>-</v>
      </c>
      <c r="M63" s="36" t="str">
        <f t="shared" si="3"/>
        <v>-</v>
      </c>
      <c r="N63" s="37" t="str">
        <f t="shared" si="4"/>
        <v>-</v>
      </c>
      <c r="O63"/>
      <c r="P63" s="37" t="str">
        <f t="shared" si="5"/>
        <v>-</v>
      </c>
    </row>
    <row r="64" spans="1:16" ht="14.4" x14ac:dyDescent="0.3">
      <c r="A64" s="20">
        <v>850005755258</v>
      </c>
      <c r="B64" s="21" t="s">
        <v>68</v>
      </c>
      <c r="C64" s="22" t="s">
        <v>67</v>
      </c>
      <c r="D64" s="20">
        <v>12</v>
      </c>
      <c r="E64" s="11">
        <v>10</v>
      </c>
      <c r="F64" s="39">
        <v>0.64382875000000006</v>
      </c>
      <c r="G64" s="18"/>
      <c r="H64" s="11">
        <f t="shared" si="1"/>
        <v>0</v>
      </c>
      <c r="I64" s="12"/>
      <c r="J64" s="12"/>
      <c r="K64" s="35" t="str">
        <f t="shared" si="6"/>
        <v>-</v>
      </c>
      <c r="L64" s="35" t="str">
        <f t="shared" si="2"/>
        <v>-</v>
      </c>
      <c r="M64" s="36" t="str">
        <f t="shared" si="3"/>
        <v>-</v>
      </c>
      <c r="N64" s="37" t="str">
        <f t="shared" si="4"/>
        <v>-</v>
      </c>
      <c r="O64"/>
      <c r="P64" s="37" t="str">
        <f t="shared" si="5"/>
        <v>-</v>
      </c>
    </row>
    <row r="65" spans="1:17" ht="13.8" customHeight="1" x14ac:dyDescent="0.3">
      <c r="A65" s="20">
        <v>850060362019</v>
      </c>
      <c r="B65" s="21" t="s">
        <v>69</v>
      </c>
      <c r="C65" s="22" t="s">
        <v>67</v>
      </c>
      <c r="D65" s="20">
        <v>12</v>
      </c>
      <c r="E65" s="11">
        <v>10</v>
      </c>
      <c r="F65" s="39">
        <v>0.64240999999999993</v>
      </c>
      <c r="G65" s="18"/>
      <c r="H65" s="11">
        <f t="shared" si="1"/>
        <v>0</v>
      </c>
      <c r="I65" s="12"/>
      <c r="J65" s="12"/>
      <c r="K65" s="35" t="str">
        <f t="shared" si="6"/>
        <v>-</v>
      </c>
      <c r="L65" s="35" t="str">
        <f t="shared" si="2"/>
        <v>-</v>
      </c>
      <c r="M65" s="36" t="str">
        <f t="shared" si="3"/>
        <v>-</v>
      </c>
      <c r="N65" s="37" t="str">
        <f t="shared" ref="N65:N76" si="7">IFERROR(IF($K$2&gt;0, $K$2*M65, "-"), "-")</f>
        <v>-</v>
      </c>
      <c r="O65"/>
      <c r="P65" s="37" t="str">
        <f t="shared" ref="P65:P76" si="8">IFERROR(IF(N65+H65=0, "-", IF(N65&gt;0, N65+H65, "-")), "-")</f>
        <v>-</v>
      </c>
    </row>
    <row r="66" spans="1:17" ht="14.4" x14ac:dyDescent="0.3">
      <c r="A66" s="20">
        <v>850060362033</v>
      </c>
      <c r="B66" s="21" t="s">
        <v>70</v>
      </c>
      <c r="C66" s="22" t="s">
        <v>67</v>
      </c>
      <c r="D66" s="20">
        <v>12</v>
      </c>
      <c r="E66" s="11">
        <v>10</v>
      </c>
      <c r="F66" s="39">
        <v>0.64382875000000006</v>
      </c>
      <c r="G66" s="18"/>
      <c r="H66" s="11">
        <f t="shared" ref="H66:H88" si="9">E66*G66</f>
        <v>0</v>
      </c>
      <c r="I66" s="12"/>
      <c r="J66" s="12"/>
      <c r="K66" s="35" t="str">
        <f t="shared" ref="K66:K76" si="10">IFERROR(IF($K$2*F66=0, "-", $K$2*F66), "-")</f>
        <v>-</v>
      </c>
      <c r="L66" s="35" t="str">
        <f t="shared" si="2"/>
        <v>-</v>
      </c>
      <c r="M66" s="36" t="str">
        <f t="shared" si="3"/>
        <v>-</v>
      </c>
      <c r="N66" s="37" t="str">
        <f t="shared" si="7"/>
        <v>-</v>
      </c>
      <c r="O66"/>
      <c r="P66" s="37" t="str">
        <f t="shared" si="8"/>
        <v>-</v>
      </c>
    </row>
    <row r="67" spans="1:17" ht="14.4" x14ac:dyDescent="0.3">
      <c r="A67" s="20">
        <v>857268005984</v>
      </c>
      <c r="B67" s="21" t="s">
        <v>71</v>
      </c>
      <c r="C67" s="22" t="s">
        <v>18</v>
      </c>
      <c r="D67" s="20">
        <v>3</v>
      </c>
      <c r="E67" s="11">
        <v>58.75</v>
      </c>
      <c r="F67" s="39">
        <v>6.6215899999999994</v>
      </c>
      <c r="G67" s="18"/>
      <c r="H67" s="11">
        <f t="shared" si="9"/>
        <v>0</v>
      </c>
      <c r="I67" s="12"/>
      <c r="J67" s="12"/>
      <c r="K67" s="35" t="str">
        <f t="shared" si="10"/>
        <v>-</v>
      </c>
      <c r="L67" s="35" t="str">
        <f t="shared" si="2"/>
        <v>-</v>
      </c>
      <c r="M67" s="36" t="str">
        <f t="shared" ref="M67:M88" si="11">IF(G67&gt;0,G67*F67, "-")</f>
        <v>-</v>
      </c>
      <c r="N67" s="37" t="str">
        <f t="shared" si="7"/>
        <v>-</v>
      </c>
      <c r="O67"/>
      <c r="P67" s="37" t="str">
        <f t="shared" si="8"/>
        <v>-</v>
      </c>
    </row>
    <row r="68" spans="1:17" s="13" customFormat="1" ht="14.4" x14ac:dyDescent="0.3">
      <c r="A68" s="20">
        <v>857268005977</v>
      </c>
      <c r="B68" s="21" t="s">
        <v>72</v>
      </c>
      <c r="C68" s="22" t="s">
        <v>18</v>
      </c>
      <c r="D68" s="20">
        <v>3</v>
      </c>
      <c r="E68" s="11">
        <v>58.75</v>
      </c>
      <c r="F68" s="39">
        <v>6.649586666666667</v>
      </c>
      <c r="G68" s="18"/>
      <c r="H68" s="11">
        <f t="shared" si="9"/>
        <v>0</v>
      </c>
      <c r="I68" s="12"/>
      <c r="J68" s="12"/>
      <c r="K68" s="35" t="str">
        <f t="shared" si="10"/>
        <v>-</v>
      </c>
      <c r="L68" s="35" t="str">
        <f t="shared" ref="L68:L88" si="12">IFERROR(IF(K68&gt;0,E68+K68,"-"),"-")</f>
        <v>-</v>
      </c>
      <c r="M68" s="36" t="str">
        <f t="shared" si="11"/>
        <v>-</v>
      </c>
      <c r="N68" s="37" t="str">
        <f t="shared" si="7"/>
        <v>-</v>
      </c>
      <c r="O68"/>
      <c r="P68" s="37" t="str">
        <f t="shared" si="8"/>
        <v>-</v>
      </c>
      <c r="Q68" s="5"/>
    </row>
    <row r="69" spans="1:17" s="13" customFormat="1" ht="14.4" x14ac:dyDescent="0.3">
      <c r="A69" s="20">
        <v>850026029635</v>
      </c>
      <c r="B69" s="21" t="s">
        <v>73</v>
      </c>
      <c r="C69" s="22" t="s">
        <v>7</v>
      </c>
      <c r="D69" s="20">
        <v>12</v>
      </c>
      <c r="E69" s="11">
        <v>15</v>
      </c>
      <c r="F69" s="39">
        <v>0.15284666666666669</v>
      </c>
      <c r="G69" s="18"/>
      <c r="H69" s="11">
        <f t="shared" si="9"/>
        <v>0</v>
      </c>
      <c r="I69" s="12"/>
      <c r="J69" s="12"/>
      <c r="K69" s="35" t="str">
        <f t="shared" si="10"/>
        <v>-</v>
      </c>
      <c r="L69" s="35" t="str">
        <f t="shared" si="12"/>
        <v>-</v>
      </c>
      <c r="M69" s="36" t="str">
        <f t="shared" si="11"/>
        <v>-</v>
      </c>
      <c r="N69" s="37" t="str">
        <f t="shared" si="7"/>
        <v>-</v>
      </c>
      <c r="O69"/>
      <c r="P69" s="37" t="str">
        <f t="shared" si="8"/>
        <v>-</v>
      </c>
      <c r="Q69" s="5"/>
    </row>
    <row r="70" spans="1:17" ht="14.4" x14ac:dyDescent="0.3">
      <c r="A70" s="20">
        <v>850046504112</v>
      </c>
      <c r="B70" s="21" t="s">
        <v>28</v>
      </c>
      <c r="C70" s="22" t="s">
        <v>32</v>
      </c>
      <c r="D70" s="20">
        <v>6</v>
      </c>
      <c r="E70" s="11">
        <v>20.625</v>
      </c>
      <c r="F70" s="39">
        <v>0.64165333333333341</v>
      </c>
      <c r="G70" s="18"/>
      <c r="H70" s="11">
        <f t="shared" si="9"/>
        <v>0</v>
      </c>
      <c r="I70" s="12"/>
      <c r="J70" s="12"/>
      <c r="K70" s="35" t="str">
        <f t="shared" si="10"/>
        <v>-</v>
      </c>
      <c r="L70" s="35" t="str">
        <f t="shared" si="12"/>
        <v>-</v>
      </c>
      <c r="M70" s="36" t="str">
        <f t="shared" si="11"/>
        <v>-</v>
      </c>
      <c r="N70" s="37" t="str">
        <f t="shared" si="7"/>
        <v>-</v>
      </c>
      <c r="O70"/>
      <c r="P70" s="37" t="str">
        <f t="shared" si="8"/>
        <v>-</v>
      </c>
    </row>
    <row r="71" spans="1:17" ht="14.4" x14ac:dyDescent="0.3">
      <c r="A71" s="20">
        <v>850046504099</v>
      </c>
      <c r="B71" s="21" t="s">
        <v>29</v>
      </c>
      <c r="C71" s="22" t="s">
        <v>32</v>
      </c>
      <c r="D71" s="20">
        <v>6</v>
      </c>
      <c r="E71" s="11">
        <v>20.625</v>
      </c>
      <c r="F71" s="39">
        <v>0.64846333333333339</v>
      </c>
      <c r="G71" s="18"/>
      <c r="H71" s="11">
        <f t="shared" si="9"/>
        <v>0</v>
      </c>
      <c r="I71" s="12"/>
      <c r="J71" s="12"/>
      <c r="K71" s="35" t="str">
        <f t="shared" si="10"/>
        <v>-</v>
      </c>
      <c r="L71" s="35" t="str">
        <f t="shared" si="12"/>
        <v>-</v>
      </c>
      <c r="M71" s="36" t="str">
        <f t="shared" si="11"/>
        <v>-</v>
      </c>
      <c r="N71" s="37" t="str">
        <f t="shared" si="7"/>
        <v>-</v>
      </c>
      <c r="O71"/>
      <c r="P71" s="37" t="str">
        <f t="shared" si="8"/>
        <v>-</v>
      </c>
    </row>
    <row r="72" spans="1:17" ht="14.4" x14ac:dyDescent="0.3">
      <c r="A72" s="20">
        <v>850046504938</v>
      </c>
      <c r="B72" s="21" t="s">
        <v>83</v>
      </c>
      <c r="C72" s="22" t="s">
        <v>32</v>
      </c>
      <c r="D72" s="20">
        <v>6</v>
      </c>
      <c r="E72" s="11">
        <v>20.625</v>
      </c>
      <c r="F72" s="39">
        <v>0.97401916666666666</v>
      </c>
      <c r="G72" s="18"/>
      <c r="H72" s="11">
        <f t="shared" si="9"/>
        <v>0</v>
      </c>
      <c r="I72" s="12"/>
      <c r="J72" s="12"/>
      <c r="K72" s="35" t="str">
        <f t="shared" si="10"/>
        <v>-</v>
      </c>
      <c r="L72" s="35" t="str">
        <f t="shared" si="12"/>
        <v>-</v>
      </c>
      <c r="M72" s="36" t="str">
        <f t="shared" si="11"/>
        <v>-</v>
      </c>
      <c r="N72" s="37" t="str">
        <f t="shared" si="7"/>
        <v>-</v>
      </c>
      <c r="O72"/>
      <c r="P72" s="37" t="str">
        <f t="shared" si="8"/>
        <v>-</v>
      </c>
    </row>
    <row r="73" spans="1:17" ht="14.4" x14ac:dyDescent="0.3">
      <c r="A73" s="20">
        <v>850046504945</v>
      </c>
      <c r="B73" s="21" t="s">
        <v>117</v>
      </c>
      <c r="C73" s="22" t="s">
        <v>32</v>
      </c>
      <c r="D73" s="20">
        <v>6</v>
      </c>
      <c r="E73" s="11">
        <v>20.625</v>
      </c>
      <c r="F73" s="39">
        <v>0.94677916666666662</v>
      </c>
      <c r="G73" s="18"/>
      <c r="H73" s="11">
        <f t="shared" si="9"/>
        <v>0</v>
      </c>
      <c r="I73" s="12"/>
      <c r="J73" s="12"/>
      <c r="K73" s="35" t="str">
        <f t="shared" si="10"/>
        <v>-</v>
      </c>
      <c r="L73" s="35" t="str">
        <f t="shared" si="12"/>
        <v>-</v>
      </c>
      <c r="M73" s="36" t="str">
        <f t="shared" si="11"/>
        <v>-</v>
      </c>
      <c r="N73" s="37" t="str">
        <f t="shared" si="7"/>
        <v>-</v>
      </c>
      <c r="O73"/>
      <c r="P73" s="37" t="str">
        <f t="shared" si="8"/>
        <v>-</v>
      </c>
    </row>
    <row r="74" spans="1:17" ht="14.4" x14ac:dyDescent="0.3">
      <c r="A74" s="20">
        <v>850046504921</v>
      </c>
      <c r="B74" s="21" t="s">
        <v>118</v>
      </c>
      <c r="C74" s="22" t="s">
        <v>32</v>
      </c>
      <c r="D74" s="20">
        <v>6</v>
      </c>
      <c r="E74" s="11">
        <v>20.625</v>
      </c>
      <c r="F74" s="39">
        <v>0.9581291666666667</v>
      </c>
      <c r="G74" s="18"/>
      <c r="H74" s="11">
        <f t="shared" si="9"/>
        <v>0</v>
      </c>
      <c r="I74" s="12"/>
      <c r="J74" s="12"/>
      <c r="K74" s="35" t="str">
        <f t="shared" si="10"/>
        <v>-</v>
      </c>
      <c r="L74" s="35" t="str">
        <f t="shared" si="12"/>
        <v>-</v>
      </c>
      <c r="M74" s="36" t="str">
        <f t="shared" si="11"/>
        <v>-</v>
      </c>
      <c r="N74" s="37" t="str">
        <f t="shared" si="7"/>
        <v>-</v>
      </c>
      <c r="O74"/>
      <c r="P74" s="37" t="str">
        <f t="shared" si="8"/>
        <v>-</v>
      </c>
    </row>
    <row r="75" spans="1:17" ht="14.4" x14ac:dyDescent="0.3">
      <c r="A75" s="20">
        <v>850046504723</v>
      </c>
      <c r="B75" s="21" t="s">
        <v>30</v>
      </c>
      <c r="C75" s="22" t="s">
        <v>7</v>
      </c>
      <c r="D75" s="20">
        <v>12</v>
      </c>
      <c r="E75" s="11">
        <v>7.5</v>
      </c>
      <c r="F75" s="39">
        <v>0.15644083333333333</v>
      </c>
      <c r="G75" s="18"/>
      <c r="H75" s="11">
        <f t="shared" si="9"/>
        <v>0</v>
      </c>
      <c r="I75" s="12"/>
      <c r="J75" s="12"/>
      <c r="K75" s="35" t="str">
        <f t="shared" si="10"/>
        <v>-</v>
      </c>
      <c r="L75" s="35" t="str">
        <f t="shared" si="12"/>
        <v>-</v>
      </c>
      <c r="M75" s="36" t="str">
        <f t="shared" si="11"/>
        <v>-</v>
      </c>
      <c r="N75" s="37" t="str">
        <f t="shared" si="7"/>
        <v>-</v>
      </c>
      <c r="O75"/>
      <c r="P75" s="37" t="str">
        <f t="shared" si="8"/>
        <v>-</v>
      </c>
    </row>
    <row r="76" spans="1:17" ht="14.4" x14ac:dyDescent="0.3">
      <c r="A76" s="20">
        <v>857839006549</v>
      </c>
      <c r="B76" s="21" t="s">
        <v>74</v>
      </c>
      <c r="C76" s="22" t="s">
        <v>8</v>
      </c>
      <c r="D76" s="20">
        <v>12</v>
      </c>
      <c r="E76" s="11">
        <v>13.125</v>
      </c>
      <c r="F76" s="39">
        <v>0.16712874999999999</v>
      </c>
      <c r="G76" s="18"/>
      <c r="H76" s="11">
        <f t="shared" si="9"/>
        <v>0</v>
      </c>
      <c r="I76" s="12"/>
      <c r="J76" s="12"/>
      <c r="K76" s="35" t="str">
        <f t="shared" si="10"/>
        <v>-</v>
      </c>
      <c r="L76" s="35" t="str">
        <f t="shared" si="12"/>
        <v>-</v>
      </c>
      <c r="M76" s="36" t="str">
        <f t="shared" si="11"/>
        <v>-</v>
      </c>
      <c r="N76" s="37" t="str">
        <f t="shared" si="7"/>
        <v>-</v>
      </c>
      <c r="O76"/>
      <c r="P76" s="37" t="str">
        <f t="shared" si="8"/>
        <v>-</v>
      </c>
    </row>
    <row r="77" spans="1:17" ht="14.4" x14ac:dyDescent="0.3">
      <c r="A77" s="20" t="s">
        <v>105</v>
      </c>
      <c r="B77" s="21" t="s">
        <v>119</v>
      </c>
      <c r="C77" s="22" t="s">
        <v>5</v>
      </c>
      <c r="D77" s="20">
        <v>12</v>
      </c>
      <c r="E77" s="11">
        <v>10</v>
      </c>
      <c r="F77" s="38">
        <v>0.12049916666666667</v>
      </c>
      <c r="G77" s="18"/>
      <c r="H77" s="11">
        <f t="shared" si="9"/>
        <v>0</v>
      </c>
      <c r="I77" s="12"/>
      <c r="J77" s="12"/>
      <c r="K77" s="35" t="str">
        <f t="shared" ref="K77:K88" si="13">IFERROR(IF($K$2*F77=0, "-", $K$2*F77), "-")</f>
        <v>-</v>
      </c>
      <c r="L77" s="35" t="str">
        <f t="shared" si="12"/>
        <v>-</v>
      </c>
      <c r="M77" s="36" t="str">
        <f t="shared" si="11"/>
        <v>-</v>
      </c>
      <c r="N77" s="37" t="str">
        <f t="shared" ref="N77:N88" si="14">IFERROR(IF($K$2&gt;0, $K$2*M77, "-"), "-")</f>
        <v>-</v>
      </c>
      <c r="O77"/>
      <c r="P77" s="37" t="str">
        <f t="shared" ref="P77:P88" si="15">IFERROR(IF(N77+H77=0, "-", IF(N77&gt;0, N77+H77, "-")), "-")</f>
        <v>-</v>
      </c>
    </row>
    <row r="78" spans="1:17" ht="14.4" x14ac:dyDescent="0.3">
      <c r="A78" s="20" t="s">
        <v>106</v>
      </c>
      <c r="B78" s="21" t="s">
        <v>120</v>
      </c>
      <c r="C78" s="22" t="s">
        <v>5</v>
      </c>
      <c r="D78" s="20">
        <v>12</v>
      </c>
      <c r="E78" s="11">
        <v>10.625</v>
      </c>
      <c r="F78" s="38">
        <v>0.12049916666666667</v>
      </c>
      <c r="G78" s="18"/>
      <c r="H78" s="11">
        <f t="shared" si="9"/>
        <v>0</v>
      </c>
      <c r="I78" s="12"/>
      <c r="J78" s="12"/>
      <c r="K78" s="35" t="str">
        <f t="shared" si="13"/>
        <v>-</v>
      </c>
      <c r="L78" s="35" t="str">
        <f t="shared" si="12"/>
        <v>-</v>
      </c>
      <c r="M78" s="36" t="str">
        <f t="shared" si="11"/>
        <v>-</v>
      </c>
      <c r="N78" s="37" t="str">
        <f t="shared" si="14"/>
        <v>-</v>
      </c>
      <c r="O78"/>
      <c r="P78" s="37" t="str">
        <f t="shared" si="15"/>
        <v>-</v>
      </c>
    </row>
    <row r="79" spans="1:17" ht="14.4" x14ac:dyDescent="0.3">
      <c r="A79" s="20" t="s">
        <v>107</v>
      </c>
      <c r="B79" s="21" t="s">
        <v>121</v>
      </c>
      <c r="C79" s="22" t="s">
        <v>67</v>
      </c>
      <c r="D79" s="20">
        <v>12</v>
      </c>
      <c r="E79" s="11">
        <v>10</v>
      </c>
      <c r="F79" s="38">
        <v>0.65082791666666673</v>
      </c>
      <c r="G79" s="18"/>
      <c r="H79" s="11">
        <f t="shared" si="9"/>
        <v>0</v>
      </c>
      <c r="I79" s="12"/>
      <c r="J79" s="12"/>
      <c r="K79" s="35" t="str">
        <f t="shared" si="13"/>
        <v>-</v>
      </c>
      <c r="L79" s="35" t="str">
        <f t="shared" si="12"/>
        <v>-</v>
      </c>
      <c r="M79" s="36" t="str">
        <f t="shared" si="11"/>
        <v>-</v>
      </c>
      <c r="N79" s="37" t="str">
        <f t="shared" si="14"/>
        <v>-</v>
      </c>
      <c r="O79"/>
      <c r="P79" s="37" t="str">
        <f t="shared" si="15"/>
        <v>-</v>
      </c>
    </row>
    <row r="80" spans="1:17" ht="14.4" x14ac:dyDescent="0.3">
      <c r="A80" s="20" t="s">
        <v>108</v>
      </c>
      <c r="B80" s="21" t="s">
        <v>122</v>
      </c>
      <c r="C80" s="22" t="s">
        <v>67</v>
      </c>
      <c r="D80" s="20">
        <v>12</v>
      </c>
      <c r="E80" s="11">
        <v>10</v>
      </c>
      <c r="F80" s="38">
        <v>0.64070749999999999</v>
      </c>
      <c r="G80" s="18"/>
      <c r="H80" s="11">
        <f t="shared" si="9"/>
        <v>0</v>
      </c>
      <c r="I80" s="12"/>
      <c r="J80" s="12"/>
      <c r="K80" s="35" t="str">
        <f t="shared" si="13"/>
        <v>-</v>
      </c>
      <c r="L80" s="35" t="str">
        <f t="shared" si="12"/>
        <v>-</v>
      </c>
      <c r="M80" s="36" t="str">
        <f t="shared" si="11"/>
        <v>-</v>
      </c>
      <c r="N80" s="37" t="str">
        <f t="shared" si="14"/>
        <v>-</v>
      </c>
      <c r="O80"/>
      <c r="P80" s="37" t="str">
        <f t="shared" si="15"/>
        <v>-</v>
      </c>
    </row>
    <row r="81" spans="1:16" ht="14.4" x14ac:dyDescent="0.3">
      <c r="A81" s="20" t="s">
        <v>109</v>
      </c>
      <c r="B81" s="21" t="s">
        <v>123</v>
      </c>
      <c r="C81" s="22" t="s">
        <v>67</v>
      </c>
      <c r="D81" s="20">
        <v>12</v>
      </c>
      <c r="E81" s="11">
        <v>22.5</v>
      </c>
      <c r="F81" s="38">
        <v>0.69216083333333334</v>
      </c>
      <c r="G81" s="18"/>
      <c r="H81" s="11">
        <f t="shared" si="9"/>
        <v>0</v>
      </c>
      <c r="I81" s="12"/>
      <c r="J81" s="12"/>
      <c r="K81" s="35" t="str">
        <f t="shared" si="13"/>
        <v>-</v>
      </c>
      <c r="L81" s="35" t="str">
        <f t="shared" si="12"/>
        <v>-</v>
      </c>
      <c r="M81" s="36" t="str">
        <f t="shared" si="11"/>
        <v>-</v>
      </c>
      <c r="N81" s="37" t="str">
        <f t="shared" si="14"/>
        <v>-</v>
      </c>
      <c r="O81"/>
      <c r="P81" s="37" t="str">
        <f t="shared" si="15"/>
        <v>-</v>
      </c>
    </row>
    <row r="82" spans="1:16" ht="14.4" x14ac:dyDescent="0.3">
      <c r="A82" s="20" t="s">
        <v>110</v>
      </c>
      <c r="B82" s="21" t="s">
        <v>124</v>
      </c>
      <c r="C82" s="22" t="s">
        <v>67</v>
      </c>
      <c r="D82" s="20">
        <v>12</v>
      </c>
      <c r="E82" s="11">
        <v>22.5</v>
      </c>
      <c r="F82" s="38">
        <v>0.71136125000000006</v>
      </c>
      <c r="G82" s="18"/>
      <c r="H82" s="11">
        <f t="shared" si="9"/>
        <v>0</v>
      </c>
      <c r="I82" s="12"/>
      <c r="J82" s="12"/>
      <c r="K82" s="35" t="str">
        <f t="shared" si="13"/>
        <v>-</v>
      </c>
      <c r="L82" s="35" t="str">
        <f t="shared" si="12"/>
        <v>-</v>
      </c>
      <c r="M82" s="36" t="str">
        <f t="shared" si="11"/>
        <v>-</v>
      </c>
      <c r="N82" s="37" t="str">
        <f t="shared" si="14"/>
        <v>-</v>
      </c>
      <c r="O82"/>
      <c r="P82" s="37" t="str">
        <f t="shared" si="15"/>
        <v>-</v>
      </c>
    </row>
    <row r="83" spans="1:16" ht="14.4" x14ac:dyDescent="0.3">
      <c r="A83" s="20" t="s">
        <v>111</v>
      </c>
      <c r="B83" s="21" t="s">
        <v>125</v>
      </c>
      <c r="C83" s="22" t="s">
        <v>5</v>
      </c>
      <c r="D83" s="20">
        <v>12</v>
      </c>
      <c r="E83" s="11">
        <v>10</v>
      </c>
      <c r="F83" s="38">
        <v>0.12437708333333332</v>
      </c>
      <c r="G83" s="18"/>
      <c r="H83" s="11">
        <f t="shared" si="9"/>
        <v>0</v>
      </c>
      <c r="I83" s="12"/>
      <c r="J83" s="12"/>
      <c r="K83" s="35" t="str">
        <f t="shared" si="13"/>
        <v>-</v>
      </c>
      <c r="L83" s="35" t="str">
        <f t="shared" si="12"/>
        <v>-</v>
      </c>
      <c r="M83" s="36" t="str">
        <f t="shared" si="11"/>
        <v>-</v>
      </c>
      <c r="N83" s="37" t="str">
        <f t="shared" si="14"/>
        <v>-</v>
      </c>
      <c r="O83"/>
      <c r="P83" s="37" t="str">
        <f t="shared" si="15"/>
        <v>-</v>
      </c>
    </row>
    <row r="84" spans="1:16" ht="14.4" x14ac:dyDescent="0.3">
      <c r="A84" s="20" t="s">
        <v>112</v>
      </c>
      <c r="B84" s="21" t="s">
        <v>126</v>
      </c>
      <c r="C84" s="22" t="s">
        <v>6</v>
      </c>
      <c r="D84" s="20">
        <v>12</v>
      </c>
      <c r="E84" s="11">
        <v>15</v>
      </c>
      <c r="F84" s="38">
        <v>0.43527250000000001</v>
      </c>
      <c r="G84" s="18"/>
      <c r="H84" s="11">
        <f t="shared" si="9"/>
        <v>0</v>
      </c>
      <c r="I84" s="12"/>
      <c r="J84" s="12"/>
      <c r="K84" s="35" t="str">
        <f t="shared" si="13"/>
        <v>-</v>
      </c>
      <c r="L84" s="35" t="str">
        <f t="shared" si="12"/>
        <v>-</v>
      </c>
      <c r="M84" s="36" t="str">
        <f t="shared" si="11"/>
        <v>-</v>
      </c>
      <c r="N84" s="37" t="str">
        <f t="shared" si="14"/>
        <v>-</v>
      </c>
      <c r="O84"/>
      <c r="P84" s="37" t="str">
        <f t="shared" si="15"/>
        <v>-</v>
      </c>
    </row>
    <row r="85" spans="1:16" ht="14.4" x14ac:dyDescent="0.3">
      <c r="A85" s="20" t="s">
        <v>113</v>
      </c>
      <c r="B85" s="21" t="s">
        <v>127</v>
      </c>
      <c r="C85" s="22" t="s">
        <v>6</v>
      </c>
      <c r="D85" s="20">
        <v>12</v>
      </c>
      <c r="E85" s="11">
        <v>15</v>
      </c>
      <c r="F85" s="38">
        <v>0.44548750000000004</v>
      </c>
      <c r="G85" s="18"/>
      <c r="H85" s="11">
        <f t="shared" si="9"/>
        <v>0</v>
      </c>
      <c r="I85" s="12"/>
      <c r="J85" s="12"/>
      <c r="K85" s="35" t="str">
        <f t="shared" si="13"/>
        <v>-</v>
      </c>
      <c r="L85" s="35" t="str">
        <f t="shared" si="12"/>
        <v>-</v>
      </c>
      <c r="M85" s="36" t="str">
        <f t="shared" si="11"/>
        <v>-</v>
      </c>
      <c r="N85" s="37" t="str">
        <f t="shared" si="14"/>
        <v>-</v>
      </c>
      <c r="O85"/>
      <c r="P85" s="37" t="str">
        <f t="shared" si="15"/>
        <v>-</v>
      </c>
    </row>
    <row r="86" spans="1:16" ht="14.4" x14ac:dyDescent="0.3">
      <c r="A86" s="20" t="s">
        <v>114</v>
      </c>
      <c r="B86" s="21" t="s">
        <v>128</v>
      </c>
      <c r="C86" s="22" t="s">
        <v>15</v>
      </c>
      <c r="D86" s="20">
        <v>6</v>
      </c>
      <c r="E86" s="11">
        <v>11.25</v>
      </c>
      <c r="F86" s="38">
        <v>0.57430999999999999</v>
      </c>
      <c r="G86" s="18"/>
      <c r="H86" s="11">
        <f t="shared" si="9"/>
        <v>0</v>
      </c>
      <c r="I86" s="12"/>
      <c r="J86" s="12"/>
      <c r="K86" s="35" t="str">
        <f t="shared" si="13"/>
        <v>-</v>
      </c>
      <c r="L86" s="35" t="str">
        <f t="shared" si="12"/>
        <v>-</v>
      </c>
      <c r="M86" s="36" t="str">
        <f t="shared" si="11"/>
        <v>-</v>
      </c>
      <c r="N86" s="37" t="str">
        <f t="shared" si="14"/>
        <v>-</v>
      </c>
      <c r="O86"/>
      <c r="P86" s="37" t="str">
        <f t="shared" si="15"/>
        <v>-</v>
      </c>
    </row>
    <row r="87" spans="1:16" ht="14.4" x14ac:dyDescent="0.3">
      <c r="A87" s="20" t="s">
        <v>115</v>
      </c>
      <c r="B87" s="21" t="s">
        <v>129</v>
      </c>
      <c r="C87" s="22" t="s">
        <v>15</v>
      </c>
      <c r="D87" s="20">
        <v>6</v>
      </c>
      <c r="E87" s="11">
        <v>11.25</v>
      </c>
      <c r="F87" s="38">
        <v>0.58111999999999997</v>
      </c>
      <c r="G87" s="18"/>
      <c r="H87" s="11">
        <f t="shared" si="9"/>
        <v>0</v>
      </c>
      <c r="I87" s="12"/>
      <c r="J87" s="12"/>
      <c r="K87" s="35" t="str">
        <f t="shared" si="13"/>
        <v>-</v>
      </c>
      <c r="L87" s="35" t="str">
        <f t="shared" si="12"/>
        <v>-</v>
      </c>
      <c r="M87" s="36" t="str">
        <f t="shared" si="11"/>
        <v>-</v>
      </c>
      <c r="N87" s="37" t="str">
        <f t="shared" si="14"/>
        <v>-</v>
      </c>
      <c r="O87"/>
      <c r="P87" s="37" t="str">
        <f t="shared" si="15"/>
        <v>-</v>
      </c>
    </row>
    <row r="88" spans="1:16" ht="14.4" x14ac:dyDescent="0.3">
      <c r="A88" s="20" t="s">
        <v>116</v>
      </c>
      <c r="B88" s="21" t="s">
        <v>130</v>
      </c>
      <c r="C88" s="22" t="s">
        <v>6</v>
      </c>
      <c r="D88" s="20">
        <v>12</v>
      </c>
      <c r="E88" s="11">
        <v>11.25</v>
      </c>
      <c r="F88" s="38">
        <v>0.34778291666666666</v>
      </c>
      <c r="G88" s="18"/>
      <c r="H88" s="11">
        <f t="shared" si="9"/>
        <v>0</v>
      </c>
      <c r="I88" s="12"/>
      <c r="J88" s="12"/>
      <c r="K88" s="35" t="str">
        <f t="shared" si="13"/>
        <v>-</v>
      </c>
      <c r="L88" s="35" t="str">
        <f t="shared" si="12"/>
        <v>-</v>
      </c>
      <c r="M88" s="36" t="str">
        <f t="shared" si="11"/>
        <v>-</v>
      </c>
      <c r="N88" s="37" t="str">
        <f t="shared" si="14"/>
        <v>-</v>
      </c>
      <c r="O88"/>
      <c r="P88" s="37" t="str">
        <f t="shared" si="15"/>
        <v>-</v>
      </c>
    </row>
    <row r="91" spans="1:16" ht="14.4" thickBot="1" x14ac:dyDescent="0.35"/>
    <row r="92" spans="1:16" x14ac:dyDescent="0.3">
      <c r="B92" s="41" t="e" vm="1">
        <v>#VALUE!</v>
      </c>
      <c r="C92" s="16"/>
    </row>
    <row r="93" spans="1:16" ht="15" customHeight="1" thickBot="1" x14ac:dyDescent="0.35">
      <c r="B93" s="42"/>
      <c r="C93" s="16"/>
      <c r="D93" s="14"/>
      <c r="E93" s="15"/>
      <c r="F93" s="15"/>
      <c r="G93" s="26"/>
      <c r="H93" s="15"/>
      <c r="I93" s="15"/>
      <c r="J93" s="15"/>
      <c r="K93" s="15"/>
      <c r="L93" s="15"/>
      <c r="M93" s="15"/>
      <c r="N93" s="15"/>
    </row>
    <row r="94" spans="1:16" ht="14.4" x14ac:dyDescent="0.3">
      <c r="B94" s="1" t="s">
        <v>75</v>
      </c>
    </row>
    <row r="95" spans="1:16" ht="14.4" x14ac:dyDescent="0.3">
      <c r="B95" s="2" t="s">
        <v>76</v>
      </c>
    </row>
    <row r="96" spans="1:16" ht="15" thickBot="1" x14ac:dyDescent="0.35">
      <c r="B96" s="3" t="s">
        <v>22</v>
      </c>
    </row>
    <row r="97" spans="2:2" ht="15" thickBot="1" x14ac:dyDescent="0.35">
      <c r="B97" s="3" t="s">
        <v>23</v>
      </c>
    </row>
    <row r="98" spans="2:2" ht="15" thickBot="1" x14ac:dyDescent="0.35">
      <c r="B98" s="3" t="s">
        <v>24</v>
      </c>
    </row>
  </sheetData>
  <sheetProtection algorithmName="SHA-512" hashValue="bmxylV0BEJVM09CDJ5++gQARbXicizHdBAyaIWaPbHudL192WcW8/Mvmm1gs5gXHdl/kuPeAcqATjAdvHPQKTw==" saltValue="CfKNTGUpDyddiH7CqiQ0hg==" spinCount="100000" sheet="1" formatCells="0" formatColumns="0" formatRows="0" insertColumns="0" insertRows="0" insertHyperlinks="0" deleteColumns="0" deleteRows="0" sort="0" autoFilter="0" pivotTables="0"/>
  <autoFilter ref="A2:H88" xr:uid="{00000000-0009-0000-0000-000000000000}"/>
  <mergeCells count="3">
    <mergeCell ref="A1:H1"/>
    <mergeCell ref="B92:B93"/>
    <mergeCell ref="L1:L2"/>
  </mergeCells>
  <conditionalFormatting sqref="A1:A1048576">
    <cfRule type="duplicateValues" dxfId="6" priority="1"/>
  </conditionalFormatting>
  <conditionalFormatting sqref="B2:B88 B90:B1048576">
    <cfRule type="containsText" dxfId="5" priority="3" operator="containsText" text="*Coming Soon">
      <formula>NOT(ISERROR(SEARCH("*Coming Soon",B2)))</formula>
    </cfRule>
    <cfRule type="containsText" dxfId="4" priority="4" operator="containsText" text="*New">
      <formula>NOT(ISERROR(SEARCH("*New",B2)))</formula>
    </cfRule>
  </conditionalFormatting>
  <conditionalFormatting sqref="H2:H88 H90:H1048576">
    <cfRule type="containsText" dxfId="3" priority="10" operator="containsText" text="Please">
      <formula>NOT(ISERROR(SEARCH("Please",H2)))</formula>
    </cfRule>
  </conditionalFormatting>
  <conditionalFormatting sqref="I2">
    <cfRule type="expression" dxfId="2" priority="9">
      <formula>$I$2&gt;0</formula>
    </cfRule>
    <cfRule type="expression" dxfId="1" priority="11">
      <formula>$I$2&gt;0</formula>
    </cfRule>
  </conditionalFormatting>
  <conditionalFormatting sqref="P1">
    <cfRule type="expression" dxfId="0" priority="2">
      <formula>"&gt;0"</formula>
    </cfRule>
  </conditionalFormatting>
  <dataValidations xWindow="776" yWindow="502" count="2">
    <dataValidation allowBlank="1" showInputMessage="1" showErrorMessage="1" promptTitle="Enter value" prompt="Enter desired quantity in this column" sqref="G2" xr:uid="{00000000-0002-0000-0000-000000000000}"/>
    <dataValidation type="custom" allowBlank="1" showInputMessage="1" showErrorMessage="1" errorTitle="ERROR" error="Enter desired quantity in this column D" promptTitle="Enter value" prompt="Enter desired quantity in this column D" sqref="G3:G88" xr:uid="{1EA0C7AE-061C-4F49-A6C8-C33E3CAE222A}">
      <formula1>MOD(G3,D3)=0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(Nutrex)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Хомик</dc:creator>
  <cp:lastModifiedBy>Денис Хомик</cp:lastModifiedBy>
  <dcterms:created xsi:type="dcterms:W3CDTF">2022-12-07T22:09:51Z</dcterms:created>
  <dcterms:modified xsi:type="dcterms:W3CDTF">2026-05-21T14:37:17Z</dcterms:modified>
</cp:coreProperties>
</file>