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rices\Ryse Nutrition\Продаж\"/>
    </mc:Choice>
  </mc:AlternateContent>
  <xr:revisionPtr revIDLastSave="0" documentId="13_ncr:1_{D2D764A5-7F4B-41D9-8AFC-86FB75CBA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Ryse)" sheetId="2" r:id="rId1"/>
  </sheets>
  <definedNames>
    <definedName name="_xlnm._FilterDatabase" localSheetId="0" hidden="1">'DSN GROUP (Ryse)'!$A$2:$G$1017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3" i="2"/>
</calcChain>
</file>

<file path=xl/sharedStrings.xml><?xml version="1.0" encoding="utf-8"?>
<sst xmlns="http://schemas.openxmlformats.org/spreadsheetml/2006/main" count="151" uniqueCount="137">
  <si>
    <t>ITEM UPC</t>
  </si>
  <si>
    <t>SERVINGS</t>
  </si>
  <si>
    <t>ORDER QTY</t>
  </si>
  <si>
    <t>20/40</t>
  </si>
  <si>
    <t>PRICE</t>
  </si>
  <si>
    <t>CASE
PACK</t>
  </si>
  <si>
    <t>TOTAL</t>
  </si>
  <si>
    <t>NAME</t>
  </si>
  <si>
    <r>
      <rPr>
        <b/>
        <sz val="11"/>
        <color rgb="FFFF0000"/>
        <rFont val="Calibri"/>
        <family val="2"/>
        <charset val="204"/>
        <scheme val="minor"/>
      </rPr>
      <t>Importantly!</t>
    </r>
    <r>
      <rPr>
        <sz val="11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</si>
  <si>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BCAA + EAA -  Cherry Limeade</t>
  </si>
  <si>
    <t>BCAA + EAA -  Tropical Snocone</t>
  </si>
  <si>
    <t>BCAA + EAA -  Strawberry Pineapple</t>
  </si>
  <si>
    <t>BCAA Focus -  Koolaid® - Tropical Punch</t>
  </si>
  <si>
    <t>BCAA Focus -  Country Time® - Lemonade</t>
  </si>
  <si>
    <t xml:space="preserve">Core Hydration 16 Serving -  Blue Raspberry </t>
  </si>
  <si>
    <t>Core Hydration 16 Serving -  Lemon Lime</t>
  </si>
  <si>
    <t>Core Hydration 16 Serving -  Pink Splash</t>
  </si>
  <si>
    <t>Core Hydration 16 Serving -  Kool-Aid Grape</t>
  </si>
  <si>
    <t>Core Hydration 6 Serving -  Kool-Aid Grape</t>
  </si>
  <si>
    <t xml:space="preserve">Core Hydration 6 Serving -  Blue Raspberry </t>
  </si>
  <si>
    <t>Core Hydration 6 Serving -  Lemon Lime</t>
  </si>
  <si>
    <t>Core Hydration 6 Serving -  Pink Splash</t>
  </si>
  <si>
    <t>LOADED PRE V3 -  Freedom Rocks</t>
  </si>
  <si>
    <t>LOADED PRE V2 -  Tiger's Blood</t>
  </si>
  <si>
    <t>LOADED PRE V2 -  Pink Splash</t>
  </si>
  <si>
    <t>LOADED PRE V3 -  Ring Pop® Cherry</t>
  </si>
  <si>
    <t>LOADED PRE V2 -  Bazooka Grape</t>
  </si>
  <si>
    <t>LOADED PRE V3 -  Koolaid® - Tropical Punch</t>
  </si>
  <si>
    <t>LOADED PRE V3 -  Koolaid® - Grape</t>
  </si>
  <si>
    <t>LOADED PRE V3 -  Koolaid® - Cherry Limeade</t>
  </si>
  <si>
    <t>LOADED PRE V3 -  Jell-O® Lemon Lime</t>
  </si>
  <si>
    <t>LOADED PRE V3 -  Jell-O® Island Pineapple</t>
  </si>
  <si>
    <t>LOADED PRE V3 -  Country Time® - Lemonade</t>
  </si>
  <si>
    <t>LOADED PRE V3 -  Country Time® - BlueberryLemonade</t>
  </si>
  <si>
    <t>LOADED PRE V3 -  Sour Punch® Blue Razz</t>
  </si>
  <si>
    <t>LOADED PRE V3 -  Sour Punch® Green Apple</t>
  </si>
  <si>
    <t>LOADED PRE V3 -  Sour Punch® Watermelon</t>
  </si>
  <si>
    <t>LOADED PRE V3 -  SunnyD® Tangy Original</t>
  </si>
  <si>
    <t>GODZILLA® PRE-WORKOUT V3 - US -  Cherry Limeade</t>
  </si>
  <si>
    <t>GODZILLA® PRE-WORKOUT V3 - US -  Strawberry Mango</t>
  </si>
  <si>
    <t>GODZILLA® PRE-WORKOUT V3 - US -  Sour Watermelon</t>
  </si>
  <si>
    <t>GODZILLA® PRE-WORKOUT V3 - US -  Monsterberry Lime</t>
  </si>
  <si>
    <t>GODZILLA® PRE-WORKOUT V3 - US -  Blue Raspberry</t>
  </si>
  <si>
    <t>GODZILLA® PRE-WORKOUT V3 - US -  Strawberry Kiwi</t>
  </si>
  <si>
    <t>GODZILLA® PRE-WORKOUT V3 - US -  Blackberry Lemonade</t>
  </si>
  <si>
    <t>GODZILLA® PRE-WORKOUT V2 - INTL -  Passion Pineapple</t>
  </si>
  <si>
    <t>GODZILLA® PRE-WORKOUT V2 - INTL -  Green Apple</t>
  </si>
  <si>
    <t>STIM DADDY -  Cherry Limeade</t>
  </si>
  <si>
    <t>STIM DADDY -  Candy Watermelon</t>
  </si>
  <si>
    <t>STIM DADDY -  Blue Raspberry</t>
  </si>
  <si>
    <t>PUMP DADDY V2 -  Candy Watermelon</t>
  </si>
  <si>
    <t>PUMP DADDY V2 -  Blue Raspberry</t>
  </si>
  <si>
    <t>PUMP DADDY V2 -  Freedom Rocks</t>
  </si>
  <si>
    <t xml:space="preserve">BLACKOUT PUMP CAP MAX -  </t>
  </si>
  <si>
    <t>LOADED PLANT PROTEIN 20srv -  Cinnamon Toast</t>
  </si>
  <si>
    <t>LOADED PLANT PROTEIN 20srv -  Chocolate Cookie Blast</t>
  </si>
  <si>
    <t>LOADED PLANT PROTEIN 20srv -  Vanilla</t>
  </si>
  <si>
    <t>LOADED GREENS -  Apple Juice</t>
  </si>
  <si>
    <t>LOADED GREENS -  Orange Burst</t>
  </si>
  <si>
    <t>LOADED GREENS -  Lemon Burst</t>
  </si>
  <si>
    <t>Loaded Pancake 6 Serving -  Buttermilk</t>
  </si>
  <si>
    <t>Loaded Pancake 6 Serving -  Banana</t>
  </si>
  <si>
    <t xml:space="preserve">Loaded Pancake 6 Serving -  Blueberry </t>
  </si>
  <si>
    <t>LOADED PROTEIN 27srv -  Mint Chip Ice Cream</t>
  </si>
  <si>
    <t>LOADED PROTEIN 27srv -  Cinnamon Toast</t>
  </si>
  <si>
    <t>LOADED PROTEIN 27srv -  Vanilla Peanut Butter</t>
  </si>
  <si>
    <t>LOADED PROTEIN 27srv -  Chocolate Peanut Butter Cup</t>
  </si>
  <si>
    <t>LOADED PROTEIN 27srv -  Fruity Crunch</t>
  </si>
  <si>
    <t>LOADED PROTEIN 27srv -  Chocolate Cookie Blast</t>
  </si>
  <si>
    <t>LOADED PROTEIN 27srv -  Blueberry Muffin</t>
  </si>
  <si>
    <t>LOADED PROTEIN 27srv -  Jet-Puffed® Marshmellow</t>
  </si>
  <si>
    <t>LOADED PROTEIN 27srv -  Jet-Puffed®  Birthday Cake</t>
  </si>
  <si>
    <t xml:space="preserve">LOADED PROTEIN 27srv -  Little Debbie Cosmic Brownie® </t>
  </si>
  <si>
    <t xml:space="preserve">LOADED PROTEIN 27srv -  Little Debbie Strawberry Shortcake® </t>
  </si>
  <si>
    <t xml:space="preserve">LOADED PROTEIN 27srv - LIMITED TIME -  Little Debbie Christmas Tree® </t>
  </si>
  <si>
    <t xml:space="preserve">LOADED PROTEIN 54srv -  Little Debbie Cosmic Brownie® </t>
  </si>
  <si>
    <t>LOADED PROTEIN 54srv -  Chocolate Cookie Blast</t>
  </si>
  <si>
    <t>LOADED PROTEIN 54srv -  Cinnamon Toast</t>
  </si>
  <si>
    <t>LOADED PROTEIN 54srv -  Chocolate Peanut Butter Cup</t>
  </si>
  <si>
    <t>LOADED PROTEIN 54srv -  Blueberry Muffin</t>
  </si>
  <si>
    <t>LOADED PROTEIN 20srv -  Blueberry Muffin</t>
  </si>
  <si>
    <t>LOADED PROTEIN 20srv -  Chocolate Cookie Blast</t>
  </si>
  <si>
    <t>LOADED PROTEIN 20srv -  Cinnamon Toast</t>
  </si>
  <si>
    <t xml:space="preserve">LOADED PROTEIN 20srv -  Little Debbie Cosmic Brownie® </t>
  </si>
  <si>
    <t>LOADED PROTEIN 20srv -  Jet-Puffed® Marshmellow</t>
  </si>
  <si>
    <t xml:space="preserve">FERMENTED L-GLUTAMINE -  </t>
  </si>
  <si>
    <t xml:space="preserve">CITRULLINE -  </t>
  </si>
  <si>
    <t xml:space="preserve">CREATINE MONOHYDRATE -  </t>
  </si>
  <si>
    <t>LOADED CREATINE -  Electric Lemonade</t>
  </si>
  <si>
    <t>LOADED CREATINE -  Baja Cooler</t>
  </si>
  <si>
    <t>LOADED CREATINE -  Unflavored</t>
  </si>
  <si>
    <t xml:space="preserve">TEST -  </t>
  </si>
  <si>
    <t xml:space="preserve">VITAFOCUS -  </t>
  </si>
  <si>
    <t>Blender Bottle Pro Series 28oz  -  Black Clear Bottle | Word Mark Charcoal</t>
  </si>
  <si>
    <t>Blender Bottle Pro Series 28oz  -  Blue Clear Bottle | Logo Mark White</t>
  </si>
  <si>
    <t>Blender Bottle Pro Series 28oz  -  Blue Clear Bottle | Word Mark White</t>
  </si>
  <si>
    <t>Blender Bottle Pro Series 28oz  -  Clear Bottle | Logo Mark White</t>
  </si>
  <si>
    <t>Blender Bottle Pro Series 28oz  -  Clear Bottle | Word Mark Gray</t>
  </si>
  <si>
    <t>Sport Shaker 27oz -  Natural</t>
  </si>
  <si>
    <t>Sport Shaker 27oz -  Smoke</t>
  </si>
  <si>
    <t>Ice Shaker 26oz -  Black &amp; White</t>
  </si>
  <si>
    <t>Ice Shaker 26oz -  Black</t>
  </si>
  <si>
    <t>Ice Shaker 26oz -  White</t>
  </si>
  <si>
    <t>Fill-N-Go Funnel 100mL -  Blue &amp; Black</t>
  </si>
  <si>
    <t>Core Loaded Pre 1 Serving -  Koolaid® - Tropical Punch</t>
  </si>
  <si>
    <t>Core Loaded Pre 1 Serving -  Koolaid® - Grape</t>
  </si>
  <si>
    <t xml:space="preserve">Core Loaded Protein 1 Serving -  Little Debbie Cosmic Brownie® </t>
  </si>
  <si>
    <t xml:space="preserve">Core Loaded Protein 1 Serving -  Little Debbie Strawberry Shortcake® </t>
  </si>
  <si>
    <t>Core Loaded Protein 1 Serving -  Chocolate Cookie Blast</t>
  </si>
  <si>
    <t>Core Loaded Protein 1 Serving -  Cinnamon Toast</t>
  </si>
  <si>
    <t>RYSE Clear Whey Isolate RTD - 12pk -  Koolaid® - Tropical Punch</t>
  </si>
  <si>
    <t>RYSE Clear Whey Isolate RTD - 12pk -  Country Time® - Lemonade</t>
  </si>
  <si>
    <t>RYSE Clear Whey Isolate RTD - 12pk -  Strawberry Banana</t>
  </si>
  <si>
    <t>RYSE Clear Whey Isolate RTD - 12pk -  Key Lime Pie</t>
  </si>
  <si>
    <t>RYSE Clear Whey Isolate RTD - 12pk -  Jell-O Island Pineapple</t>
  </si>
  <si>
    <t>RYSE Clear Whey Isolate RTD - 4pk (6x4 CASE) -  Koolaid® - Tropical Punch</t>
  </si>
  <si>
    <t>RYSE Clear Whey Isolate RTD - 4pk (6x4 CASE) -  Country Time® - Lemonade</t>
  </si>
  <si>
    <t>RYSE Clear Whey Isolate RTD - 4pk (6x4 CASE) -  Strawberry Banana</t>
  </si>
  <si>
    <t>RYSE Clear Whey Isolate RTD - 4pk (6x4 CASE) -  Key Lime Pie</t>
  </si>
  <si>
    <t>Loaded Pre Workout RTD - 12pk -  Ring Pop® Cherry</t>
  </si>
  <si>
    <t>Loaded Pre Workout RTD - 12pk -  Sour Punch® Green Apple</t>
  </si>
  <si>
    <t>Loaded Pre Workout RTD - 12pk -  Pink Splash</t>
  </si>
  <si>
    <t>Loaded Pre Workout RTD - 12pk -  Baja Cooler</t>
  </si>
  <si>
    <t xml:space="preserve">Must Order Pallet Per Product Direct -  </t>
  </si>
  <si>
    <t>RYSE FUEL™ (CASE) -  Koolaid® - Tropical Punch</t>
  </si>
  <si>
    <t>RYSE FUEL™ (CASE) -  Koolaid® - Grape</t>
  </si>
  <si>
    <t>RYSE FUEL™ (CASE) -  SunnyD® Tangy Original</t>
  </si>
  <si>
    <t>RYSE FUEL™ (CASE) -  Ring Pop® Cherry</t>
  </si>
  <si>
    <t>RYSE FUEL™ (CASE) -  Sour Punch® Blue Razz</t>
  </si>
  <si>
    <t>RYSE FUEL™ (CASE) -  Sour Punch® Green Apple</t>
  </si>
  <si>
    <t>RYSE FUEL™ (CASE) -  Suga Sean® Cotton Candy</t>
  </si>
  <si>
    <t>RYSE FUEL™ (CASE) -  Cherry Limeade</t>
  </si>
  <si>
    <t>RYSE FUEL™ (CASE) -  Arctic Berry</t>
  </si>
  <si>
    <t>RYSE FUEL™ 4pk (6x4 CASE) -  Koolaid® - Tropical Punch</t>
  </si>
  <si>
    <t>RYSE FUEL™ 4pk (6x4 CASE) -  Sour Punch® Green Apple</t>
  </si>
  <si>
    <t>RYSE FUEL™ 4pk (6x4 CASE) -  SunnyD® Tangy Original</t>
  </si>
  <si>
    <t>26.06.2025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</si>
</sst>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009]* #,##0.00_-;\-[$$-1009]* #,##0.00_-;_-[$$-1009]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FFFFFF"/>
      <name val="Calibri"/>
      <family val="2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1"/>
    </font>
    <font>
      <b/>
      <sz val="11"/>
      <color rgb="FFFFFFFF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BA7F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164" fontId="5" fillId="2" borderId="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4" fontId="0" fillId="0" borderId="0" xfId="0" applyNumberFormat="1" applyProtection="1">
      <protection hidden="1"/>
    </xf>
    <xf numFmtId="1" fontId="0" fillId="0" borderId="0" xfId="0" applyNumberFormat="1" applyAlignment="1" applyProtection="1">
      <alignment horizontal="center"/>
      <protection hidden="1"/>
    </xf>
    <xf numFmtId="0" fontId="0" fillId="0" borderId="0" xfId="0" applyAlignment="1" applyProtection="1">
      <alignment vertical="center"/>
      <protection hidden="1"/>
    </xf>
    <xf numFmtId="1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/>
      <protection hidden="1"/>
    </xf>
    <xf numFmtId="1" fontId="1" fillId="0" borderId="6" xfId="0" applyNumberFormat="1" applyFont="1" applyBorder="1" applyAlignment="1" applyProtection="1">
      <alignment horizontal="left" wrapText="1"/>
      <protection hidden="1"/>
    </xf>
    <xf numFmtId="1" fontId="0" fillId="0" borderId="6" xfId="0" applyNumberFormat="1" applyBorder="1" applyAlignment="1" applyProtection="1">
      <alignment horizontal="left"/>
      <protection hidden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64" fontId="2" fillId="2" borderId="9" xfId="0" applyNumberFormat="1" applyFont="1" applyFill="1" applyBorder="1" applyAlignment="1" applyProtection="1">
      <alignment horizontal="left" vertical="center" wrapText="1"/>
      <protection hidden="1"/>
    </xf>
    <xf numFmtId="1" fontId="2" fillId="2" borderId="10" xfId="0" applyNumberFormat="1" applyFont="1" applyFill="1" applyBorder="1" applyAlignment="1" applyProtection="1">
      <alignment horizontal="center" vertical="center" wrapText="1"/>
      <protection hidden="1"/>
    </xf>
    <xf numFmtId="164" fontId="2" fillId="2" borderId="11" xfId="0" applyNumberFormat="1" applyFont="1" applyFill="1" applyBorder="1" applyAlignment="1" applyProtection="1">
      <alignment horizontal="center" vertical="center" wrapText="1"/>
      <protection hidden="1"/>
    </xf>
    <xf numFmtId="164" fontId="0" fillId="0" borderId="1" xfId="0" applyNumberFormat="1" applyBorder="1" applyProtection="1">
      <protection hidden="1"/>
    </xf>
    <xf numFmtId="1" fontId="0" fillId="0" borderId="1" xfId="0" applyNumberFormat="1" applyBorder="1" applyAlignment="1" applyProtection="1">
      <alignment horizontal="center" vertical="center" wrapText="1"/>
      <protection locked="0"/>
    </xf>
    <xf numFmtId="1" fontId="7" fillId="0" borderId="12" xfId="0" applyNumberFormat="1" applyFont="1" applyBorder="1" applyAlignment="1">
      <alignment horizontal="center"/>
    </xf>
    <xf numFmtId="0" fontId="7" fillId="0" borderId="13" xfId="0" applyFont="1" applyBorder="1"/>
    <xf numFmtId="0" fontId="7" fillId="0" borderId="13" xfId="0" applyFont="1" applyBorder="1" applyAlignment="1">
      <alignment horizontal="center" vertical="center"/>
    </xf>
    <xf numFmtId="164" fontId="0" fillId="0" borderId="13" xfId="0" applyNumberFormat="1" applyBorder="1" applyProtection="1">
      <protection hidden="1"/>
    </xf>
    <xf numFmtId="1" fontId="0" fillId="0" borderId="13" xfId="0" applyNumberFormat="1" applyBorder="1" applyAlignment="1" applyProtection="1">
      <alignment horizontal="center" vertical="center" wrapText="1"/>
      <protection locked="0"/>
    </xf>
    <xf numFmtId="164" fontId="0" fillId="0" borderId="14" xfId="0" applyNumberFormat="1" applyBorder="1" applyProtection="1">
      <protection hidden="1"/>
    </xf>
    <xf numFmtId="1" fontId="7" fillId="0" borderId="2" xfId="0" applyNumberFormat="1" applyFont="1" applyBorder="1" applyAlignment="1">
      <alignment horizontal="center"/>
    </xf>
    <xf numFmtId="164" fontId="0" fillId="0" borderId="15" xfId="0" applyNumberFormat="1" applyBorder="1" applyProtection="1">
      <protection hidden="1"/>
    </xf>
    <xf numFmtId="1" fontId="8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3" borderId="2" xfId="0" applyNumberFormat="1" applyFont="1" applyFill="1" applyBorder="1" applyAlignment="1">
      <alignment horizontal="center"/>
    </xf>
    <xf numFmtId="1" fontId="7" fillId="3" borderId="2" xfId="0" applyNumberFormat="1" applyFont="1" applyFill="1" applyBorder="1" applyAlignment="1">
      <alignment horizontal="center"/>
    </xf>
    <xf numFmtId="1" fontId="7" fillId="0" borderId="2" xfId="0" applyNumberFormat="1" applyFont="1" applyBorder="1" applyProtection="1">
      <protection locked="0"/>
    </xf>
    <xf numFmtId="1" fontId="7" fillId="3" borderId="2" xfId="0" applyNumberFormat="1" applyFont="1" applyFill="1" applyBorder="1" applyAlignment="1">
      <alignment horizontal="left"/>
    </xf>
    <xf numFmtId="1" fontId="7" fillId="0" borderId="2" xfId="0" applyNumberFormat="1" applyFont="1" applyBorder="1" applyAlignment="1">
      <alignment horizontal="left"/>
    </xf>
    <xf numFmtId="1" fontId="7" fillId="0" borderId="3" xfId="0" applyNumberFormat="1" applyFont="1" applyBorder="1" applyAlignment="1">
      <alignment horizontal="left"/>
    </xf>
    <xf numFmtId="0" fontId="7" fillId="0" borderId="4" xfId="0" applyFont="1" applyBorder="1"/>
    <xf numFmtId="0" fontId="7" fillId="0" borderId="4" xfId="0" applyFont="1" applyBorder="1" applyAlignment="1">
      <alignment horizontal="center" vertical="center"/>
    </xf>
    <xf numFmtId="164" fontId="0" fillId="0" borderId="4" xfId="0" applyNumberFormat="1" applyBorder="1" applyProtection="1">
      <protection hidden="1"/>
    </xf>
    <xf numFmtId="1" fontId="0" fillId="0" borderId="4" xfId="0" applyNumberFormat="1" applyBorder="1" applyAlignment="1" applyProtection="1">
      <alignment horizontal="center" vertical="center" wrapText="1"/>
      <protection locked="0"/>
    </xf>
    <xf numFmtId="164" fontId="0" fillId="0" borderId="16" xfId="0" applyNumberFormat="1" applyBorder="1" applyProtection="1">
      <protection hidden="1"/>
    </xf>
    <xf numFmtId="14" fontId="3" fillId="0" borderId="0" xfId="0" quotePrefix="1" applyNumberFormat="1" applyFont="1" applyAlignment="1" applyProtection="1">
      <alignment horizontal="center" vertical="center"/>
      <protection hidden="1"/>
    </xf>
    <xf numFmtId="0" fontId="0" fillId="0" borderId="0" xfId="0" applyProtection="1">
      <protection locked="0"/>
    </xf>
  </cellXfs>
  <cellStyles count="2">
    <cellStyle name="Excel Built-in Normal" xfId="1" xr:uid="{A2E8AF32-200D-4D23-BB38-C53A66EECC27}"/>
    <cellStyle name="Звичайний" xfId="0" builtinId="0"/>
  </cellStyles>
  <dxfs count="0"/>
  <tableStyles count="0" defaultTableStyle="TableStyleMedium2" defaultPivotStyle="PivotStyleMedium9"/>
  <colors>
    <mruColors>
      <color rgb="FF3BA7F1"/>
      <color rgb="FF48ADF2"/>
      <color rgb="FF53B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624840</xdr:colOff>
      <xdr:row>0</xdr:row>
      <xdr:rowOff>282800</xdr:rowOff>
    </xdr:from>
    <xdr:to>
      <xdr:col>6</xdr:col>
      <xdr:colOff>284209</xdr:colOff>
      <xdr:row>0</xdr:row>
      <xdr:rowOff>931072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10D96E3-1023-EBA3-2114-CD52331C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1680" y="282800"/>
          <a:ext cx="2113009" cy="648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11B3-16B5-46D6-9E69-8D38D5657B08}">
  <dimension ref="A1:H129"/>
  <sheetViews>
    <sheetView tabSelected="1" zoomScaleNormal="100" workbookViewId="0">
      <pane ySplit="2" topLeftCell="A3" activePane="bottomLeft" state="frozen"/>
      <selection pane="bottomLeft" activeCell="H3" sqref="H3"/>
    </sheetView>
  </sheetViews>
  <sheetFormatPr defaultRowHeight="14.4" x14ac:dyDescent="0.3"/>
  <cols>
    <col min="1" max="1" width="14.5546875" style="6" customWidth="1"/>
    <col min="2" max="2" width="61.21875" style="4" customWidth="1"/>
    <col min="3" max="3" width="10.109375" style="9" customWidth="1"/>
    <col min="4" max="4" width="7.88671875" style="4" customWidth="1"/>
    <col min="5" max="5" width="8.88671875" style="5"/>
    <col min="6" max="6" width="8.88671875" style="8"/>
    <col min="7" max="7" width="12.21875" style="5" bestFit="1" customWidth="1"/>
    <col min="8" max="8" width="13.5546875" style="4" customWidth="1"/>
  </cols>
  <sheetData>
    <row r="1" spans="1:8" ht="88.2" customHeight="1" thickBot="1" x14ac:dyDescent="0.35">
      <c r="A1" s="10" t="s">
        <v>8</v>
      </c>
      <c r="B1" s="11"/>
      <c r="C1" s="11"/>
      <c r="D1" s="11"/>
      <c r="E1" s="11"/>
      <c r="F1" s="11"/>
      <c r="G1" s="11"/>
      <c r="H1" s="43" t="s">
        <v>136</v>
      </c>
    </row>
    <row r="2" spans="1:8" s="2" customFormat="1" ht="28.2" customHeight="1" thickBot="1" x14ac:dyDescent="0.35">
      <c r="A2" s="15" t="s">
        <v>0</v>
      </c>
      <c r="B2" s="16" t="s">
        <v>7</v>
      </c>
      <c r="C2" s="16" t="s">
        <v>1</v>
      </c>
      <c r="D2" s="16" t="s">
        <v>5</v>
      </c>
      <c r="E2" s="17" t="s">
        <v>4</v>
      </c>
      <c r="F2" s="18" t="s">
        <v>2</v>
      </c>
      <c r="G2" s="19" t="s">
        <v>6</v>
      </c>
      <c r="H2" s="3">
        <f>SUM(G3:G129)</f>
        <v>0</v>
      </c>
    </row>
    <row r="3" spans="1:8" x14ac:dyDescent="0.3">
      <c r="A3" s="22">
        <v>860064000626</v>
      </c>
      <c r="B3" s="23" t="s">
        <v>9</v>
      </c>
      <c r="C3" s="24">
        <v>30</v>
      </c>
      <c r="D3" s="24">
        <v>12</v>
      </c>
      <c r="E3" s="25">
        <v>19.89</v>
      </c>
      <c r="F3" s="26"/>
      <c r="G3" s="27">
        <f>F3*E3</f>
        <v>0</v>
      </c>
    </row>
    <row r="4" spans="1:8" x14ac:dyDescent="0.3">
      <c r="A4" s="28">
        <v>860064000633</v>
      </c>
      <c r="B4" s="12" t="s">
        <v>10</v>
      </c>
      <c r="C4" s="14">
        <v>30</v>
      </c>
      <c r="D4" s="14">
        <v>12</v>
      </c>
      <c r="E4" s="20">
        <v>19.89</v>
      </c>
      <c r="F4" s="21"/>
      <c r="G4" s="29">
        <f t="shared" ref="G4:G45" si="0">F4*E4</f>
        <v>0</v>
      </c>
    </row>
    <row r="5" spans="1:8" x14ac:dyDescent="0.3">
      <c r="A5" s="28">
        <v>854050008123</v>
      </c>
      <c r="B5" s="12" t="s">
        <v>11</v>
      </c>
      <c r="C5" s="14">
        <v>30</v>
      </c>
      <c r="D5" s="14">
        <v>12</v>
      </c>
      <c r="E5" s="20">
        <v>19.89</v>
      </c>
      <c r="F5" s="21"/>
      <c r="G5" s="29">
        <f t="shared" si="0"/>
        <v>0</v>
      </c>
    </row>
    <row r="6" spans="1:8" x14ac:dyDescent="0.3">
      <c r="A6" s="30">
        <v>854050008994</v>
      </c>
      <c r="B6" s="12" t="s">
        <v>12</v>
      </c>
      <c r="C6" s="14">
        <v>30</v>
      </c>
      <c r="D6" s="14">
        <v>12</v>
      </c>
      <c r="E6" s="20">
        <v>19.89</v>
      </c>
      <c r="F6" s="21"/>
      <c r="G6" s="29">
        <f t="shared" si="0"/>
        <v>0</v>
      </c>
    </row>
    <row r="7" spans="1:8" x14ac:dyDescent="0.3">
      <c r="A7" s="31">
        <v>850041914626</v>
      </c>
      <c r="B7" s="12" t="s">
        <v>13</v>
      </c>
      <c r="C7" s="14">
        <v>30</v>
      </c>
      <c r="D7" s="14">
        <v>12</v>
      </c>
      <c r="E7" s="20">
        <v>19.89</v>
      </c>
      <c r="F7" s="21"/>
      <c r="G7" s="29">
        <f t="shared" si="0"/>
        <v>0</v>
      </c>
      <c r="H7" s="5"/>
    </row>
    <row r="8" spans="1:8" x14ac:dyDescent="0.3">
      <c r="A8" s="32">
        <v>850041914893</v>
      </c>
      <c r="B8" s="12" t="s">
        <v>14</v>
      </c>
      <c r="C8" s="14">
        <v>16</v>
      </c>
      <c r="D8" s="14">
        <v>12</v>
      </c>
      <c r="E8" s="20">
        <v>14.8005</v>
      </c>
      <c r="F8" s="21"/>
      <c r="G8" s="29">
        <f t="shared" si="0"/>
        <v>0</v>
      </c>
    </row>
    <row r="9" spans="1:8" x14ac:dyDescent="0.3">
      <c r="A9" s="32">
        <v>850041914961</v>
      </c>
      <c r="B9" s="12" t="s">
        <v>15</v>
      </c>
      <c r="C9" s="14">
        <v>16</v>
      </c>
      <c r="D9" s="14">
        <v>12</v>
      </c>
      <c r="E9" s="20">
        <v>14.8005</v>
      </c>
      <c r="F9" s="21"/>
      <c r="G9" s="29">
        <f t="shared" si="0"/>
        <v>0</v>
      </c>
    </row>
    <row r="10" spans="1:8" x14ac:dyDescent="0.3">
      <c r="A10" s="32">
        <v>810137320021</v>
      </c>
      <c r="B10" s="12" t="s">
        <v>16</v>
      </c>
      <c r="C10" s="14">
        <v>16</v>
      </c>
      <c r="D10" s="14">
        <v>12</v>
      </c>
      <c r="E10" s="20">
        <v>14.8005</v>
      </c>
      <c r="F10" s="21"/>
      <c r="G10" s="29">
        <f t="shared" si="0"/>
        <v>0</v>
      </c>
    </row>
    <row r="11" spans="1:8" x14ac:dyDescent="0.3">
      <c r="A11" s="32">
        <v>810137320052</v>
      </c>
      <c r="B11" s="12" t="s">
        <v>17</v>
      </c>
      <c r="C11" s="14">
        <v>16</v>
      </c>
      <c r="D11" s="14">
        <v>12</v>
      </c>
      <c r="E11" s="20">
        <v>14.8005</v>
      </c>
      <c r="F11" s="21"/>
      <c r="G11" s="29">
        <f t="shared" si="0"/>
        <v>0</v>
      </c>
    </row>
    <row r="12" spans="1:8" x14ac:dyDescent="0.3">
      <c r="A12" s="32">
        <v>810137320045</v>
      </c>
      <c r="B12" s="12" t="s">
        <v>18</v>
      </c>
      <c r="C12" s="14">
        <v>6</v>
      </c>
      <c r="D12" s="14">
        <v>12</v>
      </c>
      <c r="E12" s="20">
        <v>7.7219999999999995</v>
      </c>
      <c r="F12" s="21"/>
      <c r="G12" s="29">
        <f t="shared" si="0"/>
        <v>0</v>
      </c>
    </row>
    <row r="13" spans="1:8" x14ac:dyDescent="0.3">
      <c r="A13" s="32">
        <v>850041914909</v>
      </c>
      <c r="B13" s="12" t="s">
        <v>19</v>
      </c>
      <c r="C13" s="14">
        <v>6</v>
      </c>
      <c r="D13" s="14">
        <v>12</v>
      </c>
      <c r="E13" s="20">
        <v>7.7219999999999995</v>
      </c>
      <c r="F13" s="21"/>
      <c r="G13" s="29">
        <f t="shared" si="0"/>
        <v>0</v>
      </c>
    </row>
    <row r="14" spans="1:8" x14ac:dyDescent="0.3">
      <c r="A14" s="32">
        <v>850041914954</v>
      </c>
      <c r="B14" s="12" t="s">
        <v>20</v>
      </c>
      <c r="C14" s="14">
        <v>6</v>
      </c>
      <c r="D14" s="14">
        <v>12</v>
      </c>
      <c r="E14" s="20">
        <v>7.7219999999999995</v>
      </c>
      <c r="F14" s="21"/>
      <c r="G14" s="29">
        <f t="shared" si="0"/>
        <v>0</v>
      </c>
    </row>
    <row r="15" spans="1:8" x14ac:dyDescent="0.3">
      <c r="A15" s="32">
        <v>810137320014</v>
      </c>
      <c r="B15" s="12" t="s">
        <v>21</v>
      </c>
      <c r="C15" s="14">
        <v>6</v>
      </c>
      <c r="D15" s="14">
        <v>12</v>
      </c>
      <c r="E15" s="20">
        <v>7.7219999999999995</v>
      </c>
      <c r="F15" s="21"/>
      <c r="G15" s="29">
        <f t="shared" si="0"/>
        <v>0</v>
      </c>
    </row>
    <row r="16" spans="1:8" x14ac:dyDescent="0.3">
      <c r="A16" s="31">
        <v>854050008628</v>
      </c>
      <c r="B16" s="12" t="s">
        <v>22</v>
      </c>
      <c r="C16" s="14">
        <v>30</v>
      </c>
      <c r="D16" s="14">
        <v>12</v>
      </c>
      <c r="E16" s="20">
        <v>25.740000000000002</v>
      </c>
      <c r="F16" s="21"/>
      <c r="G16" s="29">
        <f t="shared" si="0"/>
        <v>0</v>
      </c>
    </row>
    <row r="17" spans="1:7" x14ac:dyDescent="0.3">
      <c r="A17" s="28">
        <v>854050008635</v>
      </c>
      <c r="B17" s="12" t="s">
        <v>23</v>
      </c>
      <c r="C17" s="14">
        <v>30</v>
      </c>
      <c r="D17" s="14">
        <v>12</v>
      </c>
      <c r="E17" s="20">
        <v>25.740000000000002</v>
      </c>
      <c r="F17" s="21"/>
      <c r="G17" s="29">
        <f t="shared" si="0"/>
        <v>0</v>
      </c>
    </row>
    <row r="18" spans="1:7" x14ac:dyDescent="0.3">
      <c r="A18" s="31">
        <v>854050008925</v>
      </c>
      <c r="B18" s="12" t="s">
        <v>24</v>
      </c>
      <c r="C18" s="14">
        <v>30</v>
      </c>
      <c r="D18" s="14">
        <v>12</v>
      </c>
      <c r="E18" s="20">
        <v>25.740000000000002</v>
      </c>
      <c r="F18" s="21"/>
      <c r="G18" s="29">
        <f t="shared" si="0"/>
        <v>0</v>
      </c>
    </row>
    <row r="19" spans="1:7" x14ac:dyDescent="0.3">
      <c r="A19" s="31">
        <v>854050008697</v>
      </c>
      <c r="B19" s="12" t="s">
        <v>25</v>
      </c>
      <c r="C19" s="14">
        <v>30</v>
      </c>
      <c r="D19" s="14">
        <v>12</v>
      </c>
      <c r="E19" s="20">
        <v>25.740000000000002</v>
      </c>
      <c r="F19" s="21"/>
      <c r="G19" s="29">
        <f t="shared" si="0"/>
        <v>0</v>
      </c>
    </row>
    <row r="20" spans="1:7" x14ac:dyDescent="0.3">
      <c r="A20" s="31">
        <v>810137320991</v>
      </c>
      <c r="B20" s="12" t="s">
        <v>26</v>
      </c>
      <c r="C20" s="14">
        <v>30</v>
      </c>
      <c r="D20" s="14">
        <v>12</v>
      </c>
      <c r="E20" s="20">
        <v>25.740000000000002</v>
      </c>
      <c r="F20" s="21"/>
      <c r="G20" s="29">
        <f t="shared" si="0"/>
        <v>0</v>
      </c>
    </row>
    <row r="21" spans="1:7" x14ac:dyDescent="0.3">
      <c r="A21" s="28">
        <v>810137321349</v>
      </c>
      <c r="B21" s="12" t="s">
        <v>27</v>
      </c>
      <c r="C21" s="14">
        <v>30</v>
      </c>
      <c r="D21" s="14">
        <v>12</v>
      </c>
      <c r="E21" s="20">
        <v>25.740000000000002</v>
      </c>
      <c r="F21" s="21"/>
      <c r="G21" s="29">
        <f t="shared" si="0"/>
        <v>0</v>
      </c>
    </row>
    <row r="22" spans="1:7" x14ac:dyDescent="0.3">
      <c r="A22" s="28">
        <v>810137320779</v>
      </c>
      <c r="B22" s="12" t="s">
        <v>28</v>
      </c>
      <c r="C22" s="14">
        <v>30</v>
      </c>
      <c r="D22" s="14">
        <v>12</v>
      </c>
      <c r="E22" s="20">
        <v>25.740000000000002</v>
      </c>
      <c r="F22" s="21"/>
      <c r="G22" s="29">
        <f t="shared" si="0"/>
        <v>0</v>
      </c>
    </row>
    <row r="23" spans="1:7" x14ac:dyDescent="0.3">
      <c r="A23" s="31">
        <v>810137321387</v>
      </c>
      <c r="B23" s="12" t="s">
        <v>29</v>
      </c>
      <c r="C23" s="14">
        <v>30</v>
      </c>
      <c r="D23" s="14">
        <v>12</v>
      </c>
      <c r="E23" s="20">
        <v>25.740000000000002</v>
      </c>
      <c r="F23" s="21"/>
      <c r="G23" s="29">
        <f t="shared" si="0"/>
        <v>0</v>
      </c>
    </row>
    <row r="24" spans="1:7" x14ac:dyDescent="0.3">
      <c r="A24" s="28">
        <v>810137320953</v>
      </c>
      <c r="B24" s="12" t="s">
        <v>30</v>
      </c>
      <c r="C24" s="14">
        <v>30</v>
      </c>
      <c r="D24" s="14">
        <v>12</v>
      </c>
      <c r="E24" s="20">
        <v>25.740000000000002</v>
      </c>
      <c r="F24" s="21"/>
      <c r="G24" s="29">
        <f t="shared" si="0"/>
        <v>0</v>
      </c>
    </row>
    <row r="25" spans="1:7" x14ac:dyDescent="0.3">
      <c r="A25" s="28">
        <v>810137320946</v>
      </c>
      <c r="B25" s="12" t="s">
        <v>31</v>
      </c>
      <c r="C25" s="14">
        <v>30</v>
      </c>
      <c r="D25" s="14">
        <v>12</v>
      </c>
      <c r="E25" s="20">
        <v>25.740000000000002</v>
      </c>
      <c r="F25" s="21"/>
      <c r="G25" s="29">
        <f t="shared" si="0"/>
        <v>0</v>
      </c>
    </row>
    <row r="26" spans="1:7" x14ac:dyDescent="0.3">
      <c r="A26" s="31">
        <v>810137321356</v>
      </c>
      <c r="B26" s="12" t="s">
        <v>32</v>
      </c>
      <c r="C26" s="14">
        <v>30</v>
      </c>
      <c r="D26" s="14">
        <v>12</v>
      </c>
      <c r="E26" s="20">
        <v>25.740000000000002</v>
      </c>
      <c r="F26" s="21"/>
      <c r="G26" s="29">
        <f t="shared" si="0"/>
        <v>0</v>
      </c>
    </row>
    <row r="27" spans="1:7" x14ac:dyDescent="0.3">
      <c r="A27" s="31">
        <v>810137321370</v>
      </c>
      <c r="B27" s="12" t="s">
        <v>33</v>
      </c>
      <c r="C27" s="14">
        <v>30</v>
      </c>
      <c r="D27" s="14">
        <v>12</v>
      </c>
      <c r="E27" s="20">
        <v>25.740000000000002</v>
      </c>
      <c r="F27" s="21"/>
      <c r="G27" s="29">
        <f t="shared" si="0"/>
        <v>0</v>
      </c>
    </row>
    <row r="28" spans="1:7" x14ac:dyDescent="0.3">
      <c r="A28" s="31">
        <v>850041914787</v>
      </c>
      <c r="B28" s="12" t="s">
        <v>34</v>
      </c>
      <c r="C28" s="14">
        <v>30</v>
      </c>
      <c r="D28" s="14">
        <v>12</v>
      </c>
      <c r="E28" s="20">
        <v>25.740000000000002</v>
      </c>
      <c r="F28" s="21"/>
      <c r="G28" s="29">
        <f t="shared" si="0"/>
        <v>0</v>
      </c>
    </row>
    <row r="29" spans="1:7" x14ac:dyDescent="0.3">
      <c r="A29" s="31">
        <v>850041914725</v>
      </c>
      <c r="B29" s="12" t="s">
        <v>35</v>
      </c>
      <c r="C29" s="14">
        <v>30</v>
      </c>
      <c r="D29" s="14">
        <v>12</v>
      </c>
      <c r="E29" s="20">
        <v>25.740000000000002</v>
      </c>
      <c r="F29" s="21"/>
      <c r="G29" s="29">
        <f t="shared" si="0"/>
        <v>0</v>
      </c>
    </row>
    <row r="30" spans="1:7" x14ac:dyDescent="0.3">
      <c r="A30" s="31">
        <v>810137321479</v>
      </c>
      <c r="B30" s="12" t="s">
        <v>36</v>
      </c>
      <c r="C30" s="14">
        <v>30</v>
      </c>
      <c r="D30" s="14">
        <v>12</v>
      </c>
      <c r="E30" s="20">
        <v>25.740000000000002</v>
      </c>
      <c r="F30" s="21"/>
      <c r="G30" s="29">
        <f t="shared" si="0"/>
        <v>0</v>
      </c>
    </row>
    <row r="31" spans="1:7" x14ac:dyDescent="0.3">
      <c r="A31" s="31">
        <v>810137321394</v>
      </c>
      <c r="B31" s="12" t="s">
        <v>37</v>
      </c>
      <c r="C31" s="14">
        <v>30</v>
      </c>
      <c r="D31" s="14">
        <v>12</v>
      </c>
      <c r="E31" s="20">
        <v>25.740000000000002</v>
      </c>
      <c r="F31" s="21"/>
      <c r="G31" s="29">
        <f t="shared" si="0"/>
        <v>0</v>
      </c>
    </row>
    <row r="32" spans="1:7" x14ac:dyDescent="0.3">
      <c r="A32" s="31">
        <v>810137321462</v>
      </c>
      <c r="B32" s="12" t="s">
        <v>38</v>
      </c>
      <c r="C32" s="14" t="s">
        <v>3</v>
      </c>
      <c r="D32" s="14">
        <v>12</v>
      </c>
      <c r="E32" s="20">
        <v>40.950000000000003</v>
      </c>
      <c r="F32" s="21"/>
      <c r="G32" s="29">
        <f t="shared" si="0"/>
        <v>0</v>
      </c>
    </row>
    <row r="33" spans="1:8" x14ac:dyDescent="0.3">
      <c r="A33" s="31">
        <v>810137321417</v>
      </c>
      <c r="B33" s="12" t="s">
        <v>39</v>
      </c>
      <c r="C33" s="14" t="s">
        <v>3</v>
      </c>
      <c r="D33" s="14">
        <v>12</v>
      </c>
      <c r="E33" s="20">
        <v>40.950000000000003</v>
      </c>
      <c r="F33" s="21"/>
      <c r="G33" s="29">
        <f t="shared" si="0"/>
        <v>0</v>
      </c>
    </row>
    <row r="34" spans="1:8" x14ac:dyDescent="0.3">
      <c r="A34" s="31">
        <v>810137321424</v>
      </c>
      <c r="B34" s="12" t="s">
        <v>40</v>
      </c>
      <c r="C34" s="14" t="s">
        <v>3</v>
      </c>
      <c r="D34" s="14">
        <v>12</v>
      </c>
      <c r="E34" s="20">
        <v>40.950000000000003</v>
      </c>
      <c r="F34" s="21"/>
      <c r="G34" s="29">
        <f t="shared" si="0"/>
        <v>0</v>
      </c>
    </row>
    <row r="35" spans="1:8" x14ac:dyDescent="0.3">
      <c r="A35" s="28">
        <v>854050008789</v>
      </c>
      <c r="B35" s="12" t="s">
        <v>41</v>
      </c>
      <c r="C35" s="14" t="s">
        <v>3</v>
      </c>
      <c r="D35" s="14">
        <v>12</v>
      </c>
      <c r="E35" s="20">
        <v>40.950000000000003</v>
      </c>
      <c r="F35" s="21"/>
      <c r="G35" s="29">
        <f t="shared" si="0"/>
        <v>0</v>
      </c>
    </row>
    <row r="36" spans="1:8" x14ac:dyDescent="0.3">
      <c r="A36" s="28">
        <v>850041914732</v>
      </c>
      <c r="B36" s="12" t="s">
        <v>42</v>
      </c>
      <c r="C36" s="14" t="s">
        <v>3</v>
      </c>
      <c r="D36" s="14">
        <v>12</v>
      </c>
      <c r="E36" s="20">
        <v>40.950000000000003</v>
      </c>
      <c r="F36" s="21"/>
      <c r="G36" s="29">
        <f t="shared" si="0"/>
        <v>0</v>
      </c>
    </row>
    <row r="37" spans="1:8" x14ac:dyDescent="0.3">
      <c r="A37" s="28">
        <v>850041914183</v>
      </c>
      <c r="B37" s="12" t="s">
        <v>43</v>
      </c>
      <c r="C37" s="14" t="s">
        <v>3</v>
      </c>
      <c r="D37" s="14">
        <v>12</v>
      </c>
      <c r="E37" s="20">
        <v>40.950000000000003</v>
      </c>
      <c r="F37" s="21"/>
      <c r="G37" s="29">
        <f t="shared" si="0"/>
        <v>0</v>
      </c>
    </row>
    <row r="38" spans="1:8" x14ac:dyDescent="0.3">
      <c r="A38" s="28">
        <v>850041914176</v>
      </c>
      <c r="B38" s="12" t="s">
        <v>44</v>
      </c>
      <c r="C38" s="14" t="s">
        <v>3</v>
      </c>
      <c r="D38" s="14">
        <v>12</v>
      </c>
      <c r="E38" s="20">
        <v>40.950000000000003</v>
      </c>
      <c r="F38" s="21"/>
      <c r="G38" s="29">
        <f t="shared" si="0"/>
        <v>0</v>
      </c>
    </row>
    <row r="39" spans="1:8" x14ac:dyDescent="0.3">
      <c r="A39" s="28">
        <v>810137320861</v>
      </c>
      <c r="B39" s="12" t="s">
        <v>45</v>
      </c>
      <c r="C39" s="14" t="s">
        <v>3</v>
      </c>
      <c r="D39" s="14">
        <v>12</v>
      </c>
      <c r="E39" s="20">
        <v>40.950000000000003</v>
      </c>
      <c r="F39" s="21"/>
      <c r="G39" s="29">
        <f t="shared" si="0"/>
        <v>0</v>
      </c>
    </row>
    <row r="40" spans="1:8" x14ac:dyDescent="0.3">
      <c r="A40" s="28">
        <v>810137320847</v>
      </c>
      <c r="B40" s="12" t="s">
        <v>46</v>
      </c>
      <c r="C40" s="14" t="s">
        <v>3</v>
      </c>
      <c r="D40" s="14">
        <v>12</v>
      </c>
      <c r="E40" s="20">
        <v>40.950000000000003</v>
      </c>
      <c r="F40" s="21"/>
      <c r="G40" s="29">
        <f t="shared" si="0"/>
        <v>0</v>
      </c>
    </row>
    <row r="41" spans="1:8" x14ac:dyDescent="0.3">
      <c r="A41" s="31">
        <v>850041914794</v>
      </c>
      <c r="B41" s="12" t="s">
        <v>47</v>
      </c>
      <c r="C41" s="14" t="s">
        <v>3</v>
      </c>
      <c r="D41" s="14">
        <v>12</v>
      </c>
      <c r="E41" s="20">
        <v>29.25</v>
      </c>
      <c r="F41" s="21"/>
      <c r="G41" s="29">
        <f t="shared" si="0"/>
        <v>0</v>
      </c>
    </row>
    <row r="42" spans="1:8" x14ac:dyDescent="0.3">
      <c r="A42" s="31">
        <v>850041914824</v>
      </c>
      <c r="B42" s="12" t="s">
        <v>48</v>
      </c>
      <c r="C42" s="14" t="s">
        <v>3</v>
      </c>
      <c r="D42" s="14">
        <v>12</v>
      </c>
      <c r="E42" s="20">
        <v>29.25</v>
      </c>
      <c r="F42" s="21"/>
      <c r="G42" s="29">
        <f t="shared" si="0"/>
        <v>0</v>
      </c>
    </row>
    <row r="43" spans="1:8" x14ac:dyDescent="0.3">
      <c r="A43" s="31">
        <v>850041914817</v>
      </c>
      <c r="B43" s="12" t="s">
        <v>49</v>
      </c>
      <c r="C43" s="14" t="s">
        <v>3</v>
      </c>
      <c r="D43" s="14">
        <v>12</v>
      </c>
      <c r="E43" s="20">
        <v>29.25</v>
      </c>
      <c r="F43" s="21"/>
      <c r="G43" s="29">
        <f t="shared" si="0"/>
        <v>0</v>
      </c>
    </row>
    <row r="44" spans="1:8" x14ac:dyDescent="0.3">
      <c r="A44" s="31">
        <v>850041914800</v>
      </c>
      <c r="B44" s="12" t="s">
        <v>50</v>
      </c>
      <c r="C44" s="14" t="s">
        <v>3</v>
      </c>
      <c r="D44" s="14">
        <v>12</v>
      </c>
      <c r="E44" s="20">
        <v>40.950000000000003</v>
      </c>
      <c r="F44" s="21"/>
      <c r="G44" s="29">
        <f t="shared" si="0"/>
        <v>0</v>
      </c>
    </row>
    <row r="45" spans="1:8" x14ac:dyDescent="0.3">
      <c r="A45" s="31">
        <v>850041914640</v>
      </c>
      <c r="B45" s="12" t="s">
        <v>51</v>
      </c>
      <c r="C45" s="14" t="s">
        <v>3</v>
      </c>
      <c r="D45" s="14">
        <v>12</v>
      </c>
      <c r="E45" s="20">
        <v>40.950000000000003</v>
      </c>
      <c r="F45" s="21"/>
      <c r="G45" s="29">
        <f t="shared" si="0"/>
        <v>0</v>
      </c>
    </row>
    <row r="46" spans="1:8" x14ac:dyDescent="0.3">
      <c r="A46" s="31">
        <v>850041914633</v>
      </c>
      <c r="B46" s="12" t="s">
        <v>52</v>
      </c>
      <c r="C46" s="14" t="s">
        <v>3</v>
      </c>
      <c r="D46" s="14">
        <v>12</v>
      </c>
      <c r="E46" s="20">
        <v>40.950000000000003</v>
      </c>
      <c r="F46" s="21"/>
      <c r="G46" s="29">
        <f t="shared" ref="G46:G109" si="1">F46*E46</f>
        <v>0</v>
      </c>
    </row>
    <row r="47" spans="1:8" s="1" customFormat="1" ht="28.8" customHeight="1" x14ac:dyDescent="0.3">
      <c r="A47" s="28">
        <v>854050008611</v>
      </c>
      <c r="B47" s="12" t="s">
        <v>53</v>
      </c>
      <c r="C47" s="14">
        <v>30</v>
      </c>
      <c r="D47" s="14">
        <v>24</v>
      </c>
      <c r="E47" s="20">
        <v>23.400000000000002</v>
      </c>
      <c r="F47" s="21"/>
      <c r="G47" s="29">
        <f t="shared" si="1"/>
        <v>0</v>
      </c>
      <c r="H47" s="7"/>
    </row>
    <row r="48" spans="1:8" x14ac:dyDescent="0.3">
      <c r="A48" s="28">
        <v>850041914701</v>
      </c>
      <c r="B48" s="12" t="s">
        <v>54</v>
      </c>
      <c r="C48" s="14">
        <v>20</v>
      </c>
      <c r="D48" s="14">
        <v>6</v>
      </c>
      <c r="E48" s="20">
        <v>30.420000000000005</v>
      </c>
      <c r="F48" s="21"/>
      <c r="G48" s="29">
        <f t="shared" si="1"/>
        <v>0</v>
      </c>
    </row>
    <row r="49" spans="1:7" x14ac:dyDescent="0.3">
      <c r="A49" s="31">
        <v>850041914688</v>
      </c>
      <c r="B49" s="12" t="s">
        <v>55</v>
      </c>
      <c r="C49" s="14">
        <v>20</v>
      </c>
      <c r="D49" s="14">
        <v>6</v>
      </c>
      <c r="E49" s="20">
        <v>30.420000000000005</v>
      </c>
      <c r="F49" s="21"/>
      <c r="G49" s="29">
        <f t="shared" si="1"/>
        <v>0</v>
      </c>
    </row>
    <row r="50" spans="1:7" x14ac:dyDescent="0.3">
      <c r="A50" s="31">
        <v>850041914831</v>
      </c>
      <c r="B50" s="12" t="s">
        <v>56</v>
      </c>
      <c r="C50" s="14">
        <v>20</v>
      </c>
      <c r="D50" s="14">
        <v>6</v>
      </c>
      <c r="E50" s="20">
        <v>30.420000000000005</v>
      </c>
      <c r="F50" s="21"/>
      <c r="G50" s="29">
        <f t="shared" si="1"/>
        <v>0</v>
      </c>
    </row>
    <row r="51" spans="1:7" x14ac:dyDescent="0.3">
      <c r="A51" s="28">
        <v>850041914671</v>
      </c>
      <c r="B51" s="12" t="s">
        <v>57</v>
      </c>
      <c r="C51" s="14">
        <v>30</v>
      </c>
      <c r="D51" s="14">
        <v>12</v>
      </c>
      <c r="E51" s="20">
        <v>25.740000000000002</v>
      </c>
      <c r="F51" s="21"/>
      <c r="G51" s="29">
        <f t="shared" si="1"/>
        <v>0</v>
      </c>
    </row>
    <row r="52" spans="1:7" x14ac:dyDescent="0.3">
      <c r="A52" s="28">
        <v>850041914589</v>
      </c>
      <c r="B52" s="12" t="s">
        <v>58</v>
      </c>
      <c r="C52" s="14">
        <v>30</v>
      </c>
      <c r="D52" s="14">
        <v>12</v>
      </c>
      <c r="E52" s="20">
        <v>25.740000000000002</v>
      </c>
      <c r="F52" s="21"/>
      <c r="G52" s="29">
        <f t="shared" si="1"/>
        <v>0</v>
      </c>
    </row>
    <row r="53" spans="1:7" x14ac:dyDescent="0.3">
      <c r="A53" s="28">
        <v>850041914664</v>
      </c>
      <c r="B53" s="12" t="s">
        <v>59</v>
      </c>
      <c r="C53" s="14">
        <v>30</v>
      </c>
      <c r="D53" s="14">
        <v>12</v>
      </c>
      <c r="E53" s="20">
        <v>25.740000000000002</v>
      </c>
      <c r="F53" s="21"/>
      <c r="G53" s="29">
        <f t="shared" si="1"/>
        <v>0</v>
      </c>
    </row>
    <row r="54" spans="1:7" x14ac:dyDescent="0.3">
      <c r="A54" s="28">
        <v>854050008406</v>
      </c>
      <c r="B54" s="12" t="s">
        <v>60</v>
      </c>
      <c r="C54" s="14">
        <v>6</v>
      </c>
      <c r="D54" s="14">
        <v>6</v>
      </c>
      <c r="E54" s="20">
        <v>12.870000000000001</v>
      </c>
      <c r="F54" s="21"/>
      <c r="G54" s="29">
        <f t="shared" si="1"/>
        <v>0</v>
      </c>
    </row>
    <row r="55" spans="1:7" x14ac:dyDescent="0.3">
      <c r="A55" s="28">
        <v>850041914848</v>
      </c>
      <c r="B55" s="12" t="s">
        <v>61</v>
      </c>
      <c r="C55" s="14">
        <v>6</v>
      </c>
      <c r="D55" s="14">
        <v>6</v>
      </c>
      <c r="E55" s="20">
        <v>12.870000000000001</v>
      </c>
      <c r="F55" s="21"/>
      <c r="G55" s="29">
        <f t="shared" si="1"/>
        <v>0</v>
      </c>
    </row>
    <row r="56" spans="1:7" ht="29.4" customHeight="1" x14ac:dyDescent="0.3">
      <c r="A56" s="28">
        <v>810137320144</v>
      </c>
      <c r="B56" s="12" t="s">
        <v>62</v>
      </c>
      <c r="C56" s="14">
        <v>6</v>
      </c>
      <c r="D56" s="14">
        <v>6</v>
      </c>
      <c r="E56" s="20">
        <v>12.870000000000001</v>
      </c>
      <c r="F56" s="21"/>
      <c r="G56" s="29">
        <f t="shared" si="1"/>
        <v>0</v>
      </c>
    </row>
    <row r="57" spans="1:7" x14ac:dyDescent="0.3">
      <c r="A57" s="28">
        <v>810137320168</v>
      </c>
      <c r="B57" s="12" t="s">
        <v>63</v>
      </c>
      <c r="C57" s="14">
        <v>27</v>
      </c>
      <c r="D57" s="14">
        <v>6</v>
      </c>
      <c r="E57" s="20">
        <v>37.050000000000004</v>
      </c>
      <c r="F57" s="21"/>
      <c r="G57" s="29">
        <f t="shared" si="1"/>
        <v>0</v>
      </c>
    </row>
    <row r="58" spans="1:7" x14ac:dyDescent="0.3">
      <c r="A58" s="28">
        <v>854050008048</v>
      </c>
      <c r="B58" s="12" t="s">
        <v>64</v>
      </c>
      <c r="C58" s="14">
        <v>27</v>
      </c>
      <c r="D58" s="14">
        <v>6</v>
      </c>
      <c r="E58" s="20">
        <v>37.050000000000004</v>
      </c>
      <c r="F58" s="21"/>
      <c r="G58" s="29">
        <f t="shared" si="1"/>
        <v>0</v>
      </c>
    </row>
    <row r="59" spans="1:7" x14ac:dyDescent="0.3">
      <c r="A59" s="28">
        <v>854050008598</v>
      </c>
      <c r="B59" s="12" t="s">
        <v>65</v>
      </c>
      <c r="C59" s="14">
        <v>27</v>
      </c>
      <c r="D59" s="14">
        <v>6</v>
      </c>
      <c r="E59" s="20">
        <v>37.050000000000004</v>
      </c>
      <c r="F59" s="21"/>
      <c r="G59" s="29">
        <f t="shared" si="1"/>
        <v>0</v>
      </c>
    </row>
    <row r="60" spans="1:7" x14ac:dyDescent="0.3">
      <c r="A60" s="28">
        <v>854050008055</v>
      </c>
      <c r="B60" s="12" t="s">
        <v>66</v>
      </c>
      <c r="C60" s="14">
        <v>27</v>
      </c>
      <c r="D60" s="14">
        <v>6</v>
      </c>
      <c r="E60" s="20">
        <v>37.050000000000004</v>
      </c>
      <c r="F60" s="21"/>
      <c r="G60" s="29">
        <f t="shared" si="1"/>
        <v>0</v>
      </c>
    </row>
    <row r="61" spans="1:7" x14ac:dyDescent="0.3">
      <c r="A61" s="28">
        <v>854050008017</v>
      </c>
      <c r="B61" s="12" t="s">
        <v>67</v>
      </c>
      <c r="C61" s="14">
        <v>27</v>
      </c>
      <c r="D61" s="14">
        <v>6</v>
      </c>
      <c r="E61" s="20">
        <v>37.050000000000004</v>
      </c>
      <c r="F61" s="21"/>
      <c r="G61" s="29">
        <f t="shared" si="1"/>
        <v>0</v>
      </c>
    </row>
    <row r="62" spans="1:7" x14ac:dyDescent="0.3">
      <c r="A62" s="28">
        <v>854050008529</v>
      </c>
      <c r="B62" s="12" t="s">
        <v>68</v>
      </c>
      <c r="C62" s="14">
        <v>27</v>
      </c>
      <c r="D62" s="14">
        <v>6</v>
      </c>
      <c r="E62" s="20">
        <v>37.050000000000004</v>
      </c>
      <c r="F62" s="21"/>
      <c r="G62" s="29">
        <f t="shared" si="1"/>
        <v>0</v>
      </c>
    </row>
    <row r="63" spans="1:7" x14ac:dyDescent="0.3">
      <c r="A63" s="33">
        <v>850041914404</v>
      </c>
      <c r="B63" s="12" t="s">
        <v>69</v>
      </c>
      <c r="C63" s="14">
        <v>27</v>
      </c>
      <c r="D63" s="14">
        <v>6</v>
      </c>
      <c r="E63" s="20">
        <v>37.050000000000004</v>
      </c>
      <c r="F63" s="21"/>
      <c r="G63" s="29">
        <f t="shared" si="1"/>
        <v>0</v>
      </c>
    </row>
    <row r="64" spans="1:7" x14ac:dyDescent="0.3">
      <c r="A64" s="31">
        <v>850041914220</v>
      </c>
      <c r="B64" s="12" t="s">
        <v>70</v>
      </c>
      <c r="C64" s="14">
        <v>27</v>
      </c>
      <c r="D64" s="14">
        <v>6</v>
      </c>
      <c r="E64" s="20">
        <v>38.285000000000004</v>
      </c>
      <c r="F64" s="21"/>
      <c r="G64" s="29">
        <f t="shared" si="1"/>
        <v>0</v>
      </c>
    </row>
    <row r="65" spans="1:7" x14ac:dyDescent="0.3">
      <c r="A65" s="31">
        <v>850041914329</v>
      </c>
      <c r="B65" s="12" t="s">
        <v>71</v>
      </c>
      <c r="C65" s="14">
        <v>27</v>
      </c>
      <c r="D65" s="14">
        <v>6</v>
      </c>
      <c r="E65" s="20">
        <v>38.285000000000004</v>
      </c>
      <c r="F65" s="21"/>
      <c r="G65" s="29">
        <f t="shared" si="1"/>
        <v>0</v>
      </c>
    </row>
    <row r="66" spans="1:7" x14ac:dyDescent="0.3">
      <c r="A66" s="28">
        <v>810137320526</v>
      </c>
      <c r="B66" s="12" t="s">
        <v>72</v>
      </c>
      <c r="C66" s="14">
        <v>27</v>
      </c>
      <c r="D66" s="14">
        <v>6</v>
      </c>
      <c r="E66" s="20">
        <v>38.285000000000004</v>
      </c>
      <c r="F66" s="21"/>
      <c r="G66" s="29">
        <f t="shared" si="1"/>
        <v>0</v>
      </c>
    </row>
    <row r="67" spans="1:7" x14ac:dyDescent="0.3">
      <c r="A67" s="28">
        <v>810137320533</v>
      </c>
      <c r="B67" s="12" t="s">
        <v>73</v>
      </c>
      <c r="C67" s="14">
        <v>27</v>
      </c>
      <c r="D67" s="14">
        <v>6</v>
      </c>
      <c r="E67" s="20">
        <v>38.285000000000004</v>
      </c>
      <c r="F67" s="21"/>
      <c r="G67" s="29">
        <f t="shared" si="1"/>
        <v>0</v>
      </c>
    </row>
    <row r="68" spans="1:7" x14ac:dyDescent="0.3">
      <c r="A68" s="28">
        <v>810137321028</v>
      </c>
      <c r="B68" s="12" t="s">
        <v>74</v>
      </c>
      <c r="C68" s="14">
        <v>27</v>
      </c>
      <c r="D68" s="14">
        <v>6</v>
      </c>
      <c r="E68" s="20">
        <v>38.285000000000004</v>
      </c>
      <c r="F68" s="21"/>
      <c r="G68" s="29">
        <f t="shared" si="1"/>
        <v>0</v>
      </c>
    </row>
    <row r="69" spans="1:7" x14ac:dyDescent="0.3">
      <c r="A69" s="28">
        <v>810137320717</v>
      </c>
      <c r="B69" s="12" t="s">
        <v>75</v>
      </c>
      <c r="C69" s="14">
        <v>54</v>
      </c>
      <c r="D69" s="14">
        <v>4</v>
      </c>
      <c r="E69" s="20">
        <v>65.454999999999998</v>
      </c>
      <c r="F69" s="21"/>
      <c r="G69" s="29">
        <f t="shared" si="1"/>
        <v>0</v>
      </c>
    </row>
    <row r="70" spans="1:7" x14ac:dyDescent="0.3">
      <c r="A70" s="28">
        <v>854050008536</v>
      </c>
      <c r="B70" s="12" t="s">
        <v>76</v>
      </c>
      <c r="C70" s="14">
        <v>54</v>
      </c>
      <c r="D70" s="14">
        <v>4</v>
      </c>
      <c r="E70" s="20">
        <v>65.454999999999998</v>
      </c>
      <c r="F70" s="21"/>
      <c r="G70" s="29">
        <f t="shared" si="1"/>
        <v>0</v>
      </c>
    </row>
    <row r="71" spans="1:7" x14ac:dyDescent="0.3">
      <c r="A71" s="28">
        <v>854050008420</v>
      </c>
      <c r="B71" s="12" t="s">
        <v>77</v>
      </c>
      <c r="C71" s="14">
        <v>54</v>
      </c>
      <c r="D71" s="14">
        <v>4</v>
      </c>
      <c r="E71" s="20">
        <v>65.454999999999998</v>
      </c>
      <c r="F71" s="21"/>
      <c r="G71" s="29">
        <f t="shared" si="1"/>
        <v>0</v>
      </c>
    </row>
    <row r="72" spans="1:7" x14ac:dyDescent="0.3">
      <c r="A72" s="28">
        <v>854050008437</v>
      </c>
      <c r="B72" s="12" t="s">
        <v>78</v>
      </c>
      <c r="C72" s="14">
        <v>54</v>
      </c>
      <c r="D72" s="14">
        <v>4</v>
      </c>
      <c r="E72" s="20">
        <v>65.454999999999998</v>
      </c>
      <c r="F72" s="21"/>
      <c r="G72" s="29">
        <f t="shared" si="1"/>
        <v>0</v>
      </c>
    </row>
    <row r="73" spans="1:7" x14ac:dyDescent="0.3">
      <c r="A73" s="28">
        <v>810137320380</v>
      </c>
      <c r="B73" s="12" t="s">
        <v>79</v>
      </c>
      <c r="C73" s="14">
        <v>54</v>
      </c>
      <c r="D73" s="14">
        <v>4</v>
      </c>
      <c r="E73" s="20">
        <v>65.454999999999998</v>
      </c>
      <c r="F73" s="21"/>
      <c r="G73" s="29">
        <f t="shared" si="1"/>
        <v>0</v>
      </c>
    </row>
    <row r="74" spans="1:7" x14ac:dyDescent="0.3">
      <c r="A74" s="28">
        <v>810137320250</v>
      </c>
      <c r="B74" s="12" t="s">
        <v>80</v>
      </c>
      <c r="C74" s="14">
        <v>20</v>
      </c>
      <c r="D74" s="14">
        <v>6</v>
      </c>
      <c r="E74" s="20">
        <v>33.344999999999999</v>
      </c>
      <c r="F74" s="21"/>
      <c r="G74" s="29">
        <f t="shared" si="1"/>
        <v>0</v>
      </c>
    </row>
    <row r="75" spans="1:7" x14ac:dyDescent="0.3">
      <c r="A75" s="28">
        <v>850041914718</v>
      </c>
      <c r="B75" s="12" t="s">
        <v>81</v>
      </c>
      <c r="C75" s="14">
        <v>20</v>
      </c>
      <c r="D75" s="14">
        <v>6</v>
      </c>
      <c r="E75" s="20">
        <v>33.344999999999999</v>
      </c>
      <c r="F75" s="21"/>
      <c r="G75" s="29">
        <f t="shared" si="1"/>
        <v>0</v>
      </c>
    </row>
    <row r="76" spans="1:7" x14ac:dyDescent="0.3">
      <c r="A76" s="28">
        <v>850041914503</v>
      </c>
      <c r="B76" s="12" t="s">
        <v>82</v>
      </c>
      <c r="C76" s="14">
        <v>20</v>
      </c>
      <c r="D76" s="14">
        <v>6</v>
      </c>
      <c r="E76" s="20">
        <v>33.344999999999999</v>
      </c>
      <c r="F76" s="21"/>
      <c r="G76" s="29">
        <f t="shared" si="1"/>
        <v>0</v>
      </c>
    </row>
    <row r="77" spans="1:7" x14ac:dyDescent="0.3">
      <c r="A77" s="28">
        <v>810137320724</v>
      </c>
      <c r="B77" s="12" t="s">
        <v>83</v>
      </c>
      <c r="C77" s="14">
        <v>20</v>
      </c>
      <c r="D77" s="14">
        <v>6</v>
      </c>
      <c r="E77" s="20">
        <v>33.344999999999999</v>
      </c>
      <c r="F77" s="21"/>
      <c r="G77" s="29">
        <f t="shared" si="1"/>
        <v>0</v>
      </c>
    </row>
    <row r="78" spans="1:7" x14ac:dyDescent="0.3">
      <c r="A78" s="31">
        <v>854050008895</v>
      </c>
      <c r="B78" s="12" t="s">
        <v>84</v>
      </c>
      <c r="C78" s="14">
        <v>20</v>
      </c>
      <c r="D78" s="14">
        <v>6</v>
      </c>
      <c r="E78" s="20">
        <v>33.344999999999999</v>
      </c>
      <c r="F78" s="21"/>
      <c r="G78" s="29">
        <f t="shared" si="1"/>
        <v>0</v>
      </c>
    </row>
    <row r="79" spans="1:7" x14ac:dyDescent="0.3">
      <c r="A79" s="28">
        <v>854050008505</v>
      </c>
      <c r="B79" s="12" t="s">
        <v>85</v>
      </c>
      <c r="C79" s="14">
        <v>60</v>
      </c>
      <c r="D79" s="14">
        <v>12</v>
      </c>
      <c r="E79" s="20">
        <v>14.040000000000001</v>
      </c>
      <c r="F79" s="21"/>
      <c r="G79" s="29">
        <f t="shared" si="1"/>
        <v>0</v>
      </c>
    </row>
    <row r="80" spans="1:7" x14ac:dyDescent="0.3">
      <c r="A80" s="28">
        <v>850041914008</v>
      </c>
      <c r="B80" s="12" t="s">
        <v>86</v>
      </c>
      <c r="C80" s="14">
        <v>60</v>
      </c>
      <c r="D80" s="14">
        <v>12</v>
      </c>
      <c r="E80" s="20">
        <v>16.38</v>
      </c>
      <c r="F80" s="21"/>
      <c r="G80" s="29">
        <f t="shared" si="1"/>
        <v>0</v>
      </c>
    </row>
    <row r="81" spans="1:7" x14ac:dyDescent="0.3">
      <c r="A81" s="28">
        <v>854050008482</v>
      </c>
      <c r="B81" s="12" t="s">
        <v>87</v>
      </c>
      <c r="C81" s="14">
        <v>60</v>
      </c>
      <c r="D81" s="14">
        <v>12</v>
      </c>
      <c r="E81" s="20">
        <v>16.38</v>
      </c>
      <c r="F81" s="21"/>
      <c r="G81" s="29">
        <f t="shared" si="1"/>
        <v>0</v>
      </c>
    </row>
    <row r="82" spans="1:7" x14ac:dyDescent="0.3">
      <c r="A82" s="31">
        <v>854050008758</v>
      </c>
      <c r="B82" s="12" t="s">
        <v>88</v>
      </c>
      <c r="C82" s="14">
        <v>30</v>
      </c>
      <c r="D82" s="14">
        <v>12</v>
      </c>
      <c r="E82" s="20">
        <v>29.25</v>
      </c>
      <c r="F82" s="21"/>
      <c r="G82" s="29">
        <f t="shared" si="1"/>
        <v>0</v>
      </c>
    </row>
    <row r="83" spans="1:7" x14ac:dyDescent="0.3">
      <c r="A83" s="31">
        <v>854050008741</v>
      </c>
      <c r="B83" s="12" t="s">
        <v>89</v>
      </c>
      <c r="C83" s="14">
        <v>30</v>
      </c>
      <c r="D83" s="14">
        <v>12</v>
      </c>
      <c r="E83" s="20">
        <v>29.25</v>
      </c>
      <c r="F83" s="21"/>
      <c r="G83" s="29">
        <f t="shared" si="1"/>
        <v>0</v>
      </c>
    </row>
    <row r="84" spans="1:7" x14ac:dyDescent="0.3">
      <c r="A84" s="31">
        <v>854050008734</v>
      </c>
      <c r="B84" s="12" t="s">
        <v>90</v>
      </c>
      <c r="C84" s="14">
        <v>30</v>
      </c>
      <c r="D84" s="14">
        <v>12</v>
      </c>
      <c r="E84" s="20">
        <v>29.25</v>
      </c>
      <c r="F84" s="21"/>
      <c r="G84" s="29">
        <f t="shared" si="1"/>
        <v>0</v>
      </c>
    </row>
    <row r="85" spans="1:7" x14ac:dyDescent="0.3">
      <c r="A85" s="28">
        <v>860064000657</v>
      </c>
      <c r="B85" s="12" t="s">
        <v>91</v>
      </c>
      <c r="C85" s="14">
        <v>30</v>
      </c>
      <c r="D85" s="14">
        <v>12</v>
      </c>
      <c r="E85" s="20">
        <v>25.740000000000002</v>
      </c>
      <c r="F85" s="21"/>
      <c r="G85" s="29">
        <f t="shared" si="1"/>
        <v>0</v>
      </c>
    </row>
    <row r="86" spans="1:7" x14ac:dyDescent="0.3">
      <c r="A86" s="28">
        <v>860064000664</v>
      </c>
      <c r="B86" s="12" t="s">
        <v>92</v>
      </c>
      <c r="C86" s="14">
        <v>30</v>
      </c>
      <c r="D86" s="14">
        <v>12</v>
      </c>
      <c r="E86" s="20">
        <v>19.89</v>
      </c>
      <c r="F86" s="21"/>
      <c r="G86" s="29">
        <f t="shared" si="1"/>
        <v>0</v>
      </c>
    </row>
    <row r="87" spans="1:7" x14ac:dyDescent="0.3">
      <c r="A87" s="28">
        <v>810137320465</v>
      </c>
      <c r="B87" s="12" t="s">
        <v>93</v>
      </c>
      <c r="C87" s="14">
        <v>1</v>
      </c>
      <c r="D87" s="14">
        <v>15</v>
      </c>
      <c r="E87" s="20">
        <v>11.700000000000001</v>
      </c>
      <c r="F87" s="21"/>
      <c r="G87" s="29">
        <f t="shared" si="1"/>
        <v>0</v>
      </c>
    </row>
    <row r="88" spans="1:7" x14ac:dyDescent="0.3">
      <c r="A88" s="28">
        <v>810137320427</v>
      </c>
      <c r="B88" s="12" t="s">
        <v>94</v>
      </c>
      <c r="C88" s="14">
        <v>1</v>
      </c>
      <c r="D88" s="14">
        <v>15</v>
      </c>
      <c r="E88" s="20">
        <v>11.700000000000001</v>
      </c>
      <c r="F88" s="21"/>
      <c r="G88" s="29">
        <f t="shared" si="1"/>
        <v>0</v>
      </c>
    </row>
    <row r="89" spans="1:7" x14ac:dyDescent="0.3">
      <c r="A89" s="28">
        <v>810137320458</v>
      </c>
      <c r="B89" s="12" t="s">
        <v>95</v>
      </c>
      <c r="C89" s="14">
        <v>1</v>
      </c>
      <c r="D89" s="14">
        <v>15</v>
      </c>
      <c r="E89" s="20">
        <v>11.700000000000001</v>
      </c>
      <c r="F89" s="21"/>
      <c r="G89" s="29">
        <f t="shared" si="1"/>
        <v>0</v>
      </c>
    </row>
    <row r="90" spans="1:7" x14ac:dyDescent="0.3">
      <c r="A90" s="28">
        <v>810137320410</v>
      </c>
      <c r="B90" s="12" t="s">
        <v>96</v>
      </c>
      <c r="C90" s="14">
        <v>1</v>
      </c>
      <c r="D90" s="14">
        <v>15</v>
      </c>
      <c r="E90" s="20">
        <v>11.700000000000001</v>
      </c>
      <c r="F90" s="21"/>
      <c r="G90" s="29">
        <f t="shared" si="1"/>
        <v>0</v>
      </c>
    </row>
    <row r="91" spans="1:7" x14ac:dyDescent="0.3">
      <c r="A91" s="28">
        <v>810137320441</v>
      </c>
      <c r="B91" s="12" t="s">
        <v>97</v>
      </c>
      <c r="C91" s="14">
        <v>1</v>
      </c>
      <c r="D91" s="14">
        <v>15</v>
      </c>
      <c r="E91" s="20">
        <v>11.700000000000001</v>
      </c>
      <c r="F91" s="21"/>
      <c r="G91" s="29">
        <f t="shared" si="1"/>
        <v>0</v>
      </c>
    </row>
    <row r="92" spans="1:7" x14ac:dyDescent="0.3">
      <c r="A92" s="28">
        <v>810137320656</v>
      </c>
      <c r="B92" s="12" t="s">
        <v>98</v>
      </c>
      <c r="C92" s="14">
        <v>1</v>
      </c>
      <c r="D92" s="14">
        <v>60</v>
      </c>
      <c r="E92" s="20">
        <v>7.0200000000000005</v>
      </c>
      <c r="F92" s="21"/>
      <c r="G92" s="29">
        <f t="shared" si="1"/>
        <v>0</v>
      </c>
    </row>
    <row r="93" spans="1:7" x14ac:dyDescent="0.3">
      <c r="A93" s="28">
        <v>810137320649</v>
      </c>
      <c r="B93" s="12" t="s">
        <v>99</v>
      </c>
      <c r="C93" s="14">
        <v>1</v>
      </c>
      <c r="D93" s="14">
        <v>60</v>
      </c>
      <c r="E93" s="20">
        <v>7.0200000000000005</v>
      </c>
      <c r="F93" s="21"/>
      <c r="G93" s="29">
        <f t="shared" si="1"/>
        <v>0</v>
      </c>
    </row>
    <row r="94" spans="1:7" x14ac:dyDescent="0.3">
      <c r="A94" s="28">
        <v>650245140735</v>
      </c>
      <c r="B94" s="12" t="s">
        <v>100</v>
      </c>
      <c r="C94" s="14">
        <v>1</v>
      </c>
      <c r="D94" s="14">
        <v>25</v>
      </c>
      <c r="E94" s="20">
        <v>28.080000000000002</v>
      </c>
      <c r="F94" s="21"/>
      <c r="G94" s="29">
        <f t="shared" si="1"/>
        <v>0</v>
      </c>
    </row>
    <row r="95" spans="1:7" x14ac:dyDescent="0.3">
      <c r="A95" s="28">
        <v>610877443680</v>
      </c>
      <c r="B95" s="12" t="s">
        <v>101</v>
      </c>
      <c r="C95" s="14">
        <v>1</v>
      </c>
      <c r="D95" s="14">
        <v>25</v>
      </c>
      <c r="E95" s="20">
        <v>28.080000000000002</v>
      </c>
      <c r="F95" s="21"/>
      <c r="G95" s="29">
        <f t="shared" si="1"/>
        <v>0</v>
      </c>
    </row>
    <row r="96" spans="1:7" x14ac:dyDescent="0.3">
      <c r="A96" s="28">
        <v>794604479606</v>
      </c>
      <c r="B96" s="12" t="s">
        <v>102</v>
      </c>
      <c r="C96" s="14">
        <v>1</v>
      </c>
      <c r="D96" s="14">
        <v>25</v>
      </c>
      <c r="E96" s="20">
        <v>28.080000000000002</v>
      </c>
      <c r="F96" s="21"/>
      <c r="G96" s="29">
        <f t="shared" si="1"/>
        <v>0</v>
      </c>
    </row>
    <row r="97" spans="1:8" x14ac:dyDescent="0.3">
      <c r="A97" s="28">
        <v>810137320267</v>
      </c>
      <c r="B97" s="12" t="s">
        <v>103</v>
      </c>
      <c r="C97" s="14">
        <v>1</v>
      </c>
      <c r="D97" s="14">
        <v>100</v>
      </c>
      <c r="E97" s="20">
        <v>3.5100000000000002</v>
      </c>
      <c r="F97" s="21"/>
      <c r="G97" s="29">
        <f t="shared" si="1"/>
        <v>0</v>
      </c>
    </row>
    <row r="98" spans="1:8" x14ac:dyDescent="0.3">
      <c r="A98" s="28">
        <v>810137320571</v>
      </c>
      <c r="B98" s="12" t="s">
        <v>104</v>
      </c>
      <c r="C98" s="14">
        <v>1</v>
      </c>
      <c r="D98" s="14">
        <v>100</v>
      </c>
      <c r="E98" s="20">
        <v>0.74099999999999999</v>
      </c>
      <c r="F98" s="21"/>
      <c r="G98" s="29">
        <f t="shared" si="1"/>
        <v>0</v>
      </c>
    </row>
    <row r="99" spans="1:8" x14ac:dyDescent="0.3">
      <c r="A99" s="28">
        <v>810137321165</v>
      </c>
      <c r="B99" s="12" t="s">
        <v>105</v>
      </c>
      <c r="C99" s="14">
        <v>1</v>
      </c>
      <c r="D99" s="14">
        <v>100</v>
      </c>
      <c r="E99" s="20">
        <v>0.74099999999999999</v>
      </c>
      <c r="F99" s="21"/>
      <c r="G99" s="29">
        <f t="shared" si="1"/>
        <v>0</v>
      </c>
    </row>
    <row r="100" spans="1:8" x14ac:dyDescent="0.3">
      <c r="A100" s="28">
        <v>810137321677</v>
      </c>
      <c r="B100" s="12" t="s">
        <v>106</v>
      </c>
      <c r="C100" s="14">
        <v>1</v>
      </c>
      <c r="D100" s="14">
        <v>100</v>
      </c>
      <c r="E100" s="20">
        <v>1.8154499999999998</v>
      </c>
      <c r="F100" s="21"/>
      <c r="G100" s="29">
        <f t="shared" si="1"/>
        <v>0</v>
      </c>
    </row>
    <row r="101" spans="1:8" x14ac:dyDescent="0.3">
      <c r="A101" s="28">
        <v>810137321691</v>
      </c>
      <c r="B101" s="12" t="s">
        <v>107</v>
      </c>
      <c r="C101" s="14">
        <v>1</v>
      </c>
      <c r="D101" s="14">
        <v>100</v>
      </c>
      <c r="E101" s="20">
        <v>1.8154499999999998</v>
      </c>
      <c r="F101" s="21"/>
      <c r="G101" s="29">
        <f t="shared" si="1"/>
        <v>0</v>
      </c>
    </row>
    <row r="102" spans="1:8" x14ac:dyDescent="0.3">
      <c r="A102" s="28">
        <v>810137320311</v>
      </c>
      <c r="B102" s="12" t="s">
        <v>108</v>
      </c>
      <c r="C102" s="14">
        <v>1</v>
      </c>
      <c r="D102" s="14">
        <v>100</v>
      </c>
      <c r="E102" s="20">
        <v>1.8154499999999998</v>
      </c>
      <c r="F102" s="21"/>
      <c r="G102" s="29">
        <f t="shared" si="1"/>
        <v>0</v>
      </c>
    </row>
    <row r="103" spans="1:8" x14ac:dyDescent="0.3">
      <c r="A103" s="28">
        <v>854050008024</v>
      </c>
      <c r="B103" s="12" t="s">
        <v>109</v>
      </c>
      <c r="C103" s="14">
        <v>1</v>
      </c>
      <c r="D103" s="14">
        <v>100</v>
      </c>
      <c r="E103" s="20">
        <v>1.8154499999999998</v>
      </c>
      <c r="F103" s="21"/>
      <c r="G103" s="29">
        <f t="shared" si="1"/>
        <v>0</v>
      </c>
    </row>
    <row r="104" spans="1:8" x14ac:dyDescent="0.3">
      <c r="A104" s="33">
        <v>810137321226</v>
      </c>
      <c r="B104" s="12" t="s">
        <v>110</v>
      </c>
      <c r="C104" s="14">
        <v>12</v>
      </c>
      <c r="D104" s="14">
        <v>12</v>
      </c>
      <c r="E104" s="20">
        <v>28.594800000000003</v>
      </c>
      <c r="F104" s="21"/>
      <c r="G104" s="29">
        <f t="shared" si="1"/>
        <v>0</v>
      </c>
      <c r="H104" s="13">
        <v>133</v>
      </c>
    </row>
    <row r="105" spans="1:8" x14ac:dyDescent="0.3">
      <c r="A105" s="33">
        <v>810137321448</v>
      </c>
      <c r="B105" s="12" t="s">
        <v>111</v>
      </c>
      <c r="C105" s="14">
        <v>12</v>
      </c>
      <c r="D105" s="14">
        <v>12</v>
      </c>
      <c r="E105" s="20">
        <v>28.594800000000003</v>
      </c>
      <c r="F105" s="21"/>
      <c r="G105" s="29">
        <f t="shared" si="1"/>
        <v>0</v>
      </c>
      <c r="H105" s="13">
        <v>133</v>
      </c>
    </row>
    <row r="106" spans="1:8" x14ac:dyDescent="0.3">
      <c r="A106" s="33">
        <v>810137321059</v>
      </c>
      <c r="B106" s="12" t="s">
        <v>112</v>
      </c>
      <c r="C106" s="14">
        <v>12</v>
      </c>
      <c r="D106" s="14">
        <v>12</v>
      </c>
      <c r="E106" s="20">
        <v>28.594800000000003</v>
      </c>
      <c r="F106" s="21"/>
      <c r="G106" s="29">
        <f t="shared" si="1"/>
        <v>0</v>
      </c>
      <c r="H106" s="13">
        <v>133</v>
      </c>
    </row>
    <row r="107" spans="1:8" x14ac:dyDescent="0.3">
      <c r="A107" s="33">
        <v>810137321196</v>
      </c>
      <c r="B107" s="12" t="s">
        <v>113</v>
      </c>
      <c r="C107" s="14">
        <v>12</v>
      </c>
      <c r="D107" s="14">
        <v>12</v>
      </c>
      <c r="E107" s="20">
        <v>28.594800000000003</v>
      </c>
      <c r="F107" s="21"/>
      <c r="G107" s="29">
        <f t="shared" si="1"/>
        <v>0</v>
      </c>
      <c r="H107" s="13">
        <v>133</v>
      </c>
    </row>
    <row r="108" spans="1:8" x14ac:dyDescent="0.3">
      <c r="A108" s="33">
        <v>810137321660</v>
      </c>
      <c r="B108" s="12" t="s">
        <v>114</v>
      </c>
      <c r="C108" s="14">
        <v>12</v>
      </c>
      <c r="D108" s="14">
        <v>12</v>
      </c>
      <c r="E108" s="20">
        <v>28.594800000000003</v>
      </c>
      <c r="F108" s="21"/>
      <c r="G108" s="29">
        <f t="shared" si="1"/>
        <v>0</v>
      </c>
      <c r="H108" s="13">
        <v>133</v>
      </c>
    </row>
    <row r="109" spans="1:8" x14ac:dyDescent="0.3">
      <c r="A109" s="33">
        <v>810137321578</v>
      </c>
      <c r="B109" s="12" t="s">
        <v>115</v>
      </c>
      <c r="C109" s="14">
        <v>4</v>
      </c>
      <c r="D109" s="14">
        <v>6</v>
      </c>
      <c r="E109" s="20">
        <v>9.9450000000000003</v>
      </c>
      <c r="F109" s="21"/>
      <c r="G109" s="29">
        <f t="shared" si="1"/>
        <v>0</v>
      </c>
      <c r="H109" s="13"/>
    </row>
    <row r="110" spans="1:8" x14ac:dyDescent="0.3">
      <c r="A110" s="33">
        <v>810137321882</v>
      </c>
      <c r="B110" s="12" t="s">
        <v>116</v>
      </c>
      <c r="C110" s="14">
        <v>4</v>
      </c>
      <c r="D110" s="14">
        <v>6</v>
      </c>
      <c r="E110" s="20">
        <v>9.9450000000000003</v>
      </c>
      <c r="F110" s="21"/>
      <c r="G110" s="29">
        <f t="shared" ref="G110:G129" si="2">F110*E110</f>
        <v>0</v>
      </c>
      <c r="H110" s="13"/>
    </row>
    <row r="111" spans="1:8" x14ac:dyDescent="0.3">
      <c r="A111" s="33">
        <v>810137321592</v>
      </c>
      <c r="B111" s="12" t="s">
        <v>117</v>
      </c>
      <c r="C111" s="14">
        <v>4</v>
      </c>
      <c r="D111" s="14">
        <v>6</v>
      </c>
      <c r="E111" s="20">
        <v>9.9450000000000003</v>
      </c>
      <c r="F111" s="21"/>
      <c r="G111" s="29">
        <f t="shared" si="2"/>
        <v>0</v>
      </c>
      <c r="H111" s="13"/>
    </row>
    <row r="112" spans="1:8" x14ac:dyDescent="0.3">
      <c r="A112" s="33">
        <v>810137321844</v>
      </c>
      <c r="B112" s="12" t="s">
        <v>118</v>
      </c>
      <c r="C112" s="14">
        <v>4</v>
      </c>
      <c r="D112" s="14">
        <v>6</v>
      </c>
      <c r="E112" s="20">
        <v>9.9450000000000003</v>
      </c>
      <c r="F112" s="21"/>
      <c r="G112" s="29">
        <f t="shared" si="2"/>
        <v>0</v>
      </c>
      <c r="H112" s="13"/>
    </row>
    <row r="113" spans="1:8" x14ac:dyDescent="0.3">
      <c r="A113" s="33">
        <v>810137321295</v>
      </c>
      <c r="B113" s="12" t="s">
        <v>119</v>
      </c>
      <c r="C113" s="14">
        <v>12</v>
      </c>
      <c r="D113" s="14">
        <v>12</v>
      </c>
      <c r="E113" s="20">
        <v>28.594800000000003</v>
      </c>
      <c r="F113" s="21"/>
      <c r="G113" s="29">
        <f t="shared" si="2"/>
        <v>0</v>
      </c>
      <c r="H113" s="13">
        <v>200</v>
      </c>
    </row>
    <row r="114" spans="1:8" x14ac:dyDescent="0.3">
      <c r="A114" s="33">
        <v>810137321271</v>
      </c>
      <c r="B114" s="12" t="s">
        <v>120</v>
      </c>
      <c r="C114" s="14">
        <v>12</v>
      </c>
      <c r="D114" s="14">
        <v>12</v>
      </c>
      <c r="E114" s="20">
        <v>28.594800000000003</v>
      </c>
      <c r="F114" s="21"/>
      <c r="G114" s="29">
        <f t="shared" si="2"/>
        <v>0</v>
      </c>
      <c r="H114" s="13">
        <v>200</v>
      </c>
    </row>
    <row r="115" spans="1:8" x14ac:dyDescent="0.3">
      <c r="A115" s="33">
        <v>810137321301</v>
      </c>
      <c r="B115" s="12" t="s">
        <v>121</v>
      </c>
      <c r="C115" s="14">
        <v>12</v>
      </c>
      <c r="D115" s="14">
        <v>12</v>
      </c>
      <c r="E115" s="20">
        <v>28.594800000000003</v>
      </c>
      <c r="F115" s="21"/>
      <c r="G115" s="29">
        <f t="shared" si="2"/>
        <v>0</v>
      </c>
      <c r="H115" s="13">
        <v>200</v>
      </c>
    </row>
    <row r="116" spans="1:8" x14ac:dyDescent="0.3">
      <c r="A116" s="33">
        <v>810137321318</v>
      </c>
      <c r="B116" s="12" t="s">
        <v>122</v>
      </c>
      <c r="C116" s="14">
        <v>12</v>
      </c>
      <c r="D116" s="14">
        <v>12</v>
      </c>
      <c r="E116" s="20">
        <v>28.594800000000003</v>
      </c>
      <c r="F116" s="21"/>
      <c r="G116" s="29">
        <f t="shared" si="2"/>
        <v>0</v>
      </c>
      <c r="H116" s="13">
        <v>200</v>
      </c>
    </row>
    <row r="117" spans="1:8" x14ac:dyDescent="0.3">
      <c r="A117" s="34"/>
      <c r="B117" s="12" t="s">
        <v>123</v>
      </c>
      <c r="C117" s="12"/>
      <c r="D117" s="12"/>
      <c r="E117" s="20">
        <v>0</v>
      </c>
      <c r="F117" s="21"/>
      <c r="G117" s="29">
        <f t="shared" si="2"/>
        <v>0</v>
      </c>
      <c r="H117" s="44"/>
    </row>
    <row r="118" spans="1:8" x14ac:dyDescent="0.3">
      <c r="A118" s="35">
        <v>850041914190</v>
      </c>
      <c r="B118" s="12" t="s">
        <v>124</v>
      </c>
      <c r="C118" s="14">
        <v>12</v>
      </c>
      <c r="D118" s="14">
        <v>12</v>
      </c>
      <c r="E118" s="20">
        <v>20.451600000000003</v>
      </c>
      <c r="F118" s="21"/>
      <c r="G118" s="29">
        <f t="shared" si="2"/>
        <v>0</v>
      </c>
      <c r="H118" s="13">
        <v>152</v>
      </c>
    </row>
    <row r="119" spans="1:8" x14ac:dyDescent="0.3">
      <c r="A119" s="35">
        <v>810137320403</v>
      </c>
      <c r="B119" s="12" t="s">
        <v>125</v>
      </c>
      <c r="C119" s="14">
        <v>12</v>
      </c>
      <c r="D119" s="14">
        <v>12</v>
      </c>
      <c r="E119" s="20">
        <v>20.451600000000003</v>
      </c>
      <c r="F119" s="21"/>
      <c r="G119" s="29">
        <f t="shared" si="2"/>
        <v>0</v>
      </c>
      <c r="H119" s="13">
        <v>152</v>
      </c>
    </row>
    <row r="120" spans="1:8" x14ac:dyDescent="0.3">
      <c r="A120" s="36">
        <v>854050008833</v>
      </c>
      <c r="B120" s="12" t="s">
        <v>126</v>
      </c>
      <c r="C120" s="14">
        <v>12</v>
      </c>
      <c r="D120" s="14">
        <v>12</v>
      </c>
      <c r="E120" s="20">
        <v>20.451600000000003</v>
      </c>
      <c r="F120" s="21"/>
      <c r="G120" s="29">
        <f t="shared" si="2"/>
        <v>0</v>
      </c>
      <c r="H120" s="13">
        <v>152</v>
      </c>
    </row>
    <row r="121" spans="1:8" x14ac:dyDescent="0.3">
      <c r="A121" s="36">
        <v>810137320977</v>
      </c>
      <c r="B121" s="12" t="s">
        <v>127</v>
      </c>
      <c r="C121" s="14">
        <v>12</v>
      </c>
      <c r="D121" s="14">
        <v>12</v>
      </c>
      <c r="E121" s="20">
        <v>20.451600000000003</v>
      </c>
      <c r="F121" s="21"/>
      <c r="G121" s="29">
        <f t="shared" si="2"/>
        <v>0</v>
      </c>
      <c r="H121" s="13">
        <v>152</v>
      </c>
    </row>
    <row r="122" spans="1:8" x14ac:dyDescent="0.3">
      <c r="A122" s="36">
        <v>850041914756</v>
      </c>
      <c r="B122" s="12" t="s">
        <v>128</v>
      </c>
      <c r="C122" s="14">
        <v>12</v>
      </c>
      <c r="D122" s="14">
        <v>12</v>
      </c>
      <c r="E122" s="20">
        <v>20.451600000000003</v>
      </c>
      <c r="F122" s="21"/>
      <c r="G122" s="29">
        <f t="shared" si="2"/>
        <v>0</v>
      </c>
      <c r="H122" s="13">
        <v>152</v>
      </c>
    </row>
    <row r="123" spans="1:8" x14ac:dyDescent="0.3">
      <c r="A123" s="36">
        <v>850041914770</v>
      </c>
      <c r="B123" s="12" t="s">
        <v>129</v>
      </c>
      <c r="C123" s="14">
        <v>12</v>
      </c>
      <c r="D123" s="14">
        <v>12</v>
      </c>
      <c r="E123" s="20">
        <v>20.451600000000003</v>
      </c>
      <c r="F123" s="21"/>
      <c r="G123" s="29">
        <f t="shared" si="2"/>
        <v>0</v>
      </c>
      <c r="H123" s="13">
        <v>152</v>
      </c>
    </row>
    <row r="124" spans="1:8" x14ac:dyDescent="0.3">
      <c r="A124" s="36">
        <v>810137320298</v>
      </c>
      <c r="B124" s="12" t="s">
        <v>130</v>
      </c>
      <c r="C124" s="14">
        <v>12</v>
      </c>
      <c r="D124" s="14">
        <v>12</v>
      </c>
      <c r="E124" s="20">
        <v>20.451600000000003</v>
      </c>
      <c r="F124" s="21"/>
      <c r="G124" s="29">
        <f t="shared" si="2"/>
        <v>0</v>
      </c>
      <c r="H124" s="13">
        <v>152</v>
      </c>
    </row>
    <row r="125" spans="1:8" x14ac:dyDescent="0.3">
      <c r="A125" s="36">
        <v>810137321554</v>
      </c>
      <c r="B125" s="12" t="s">
        <v>131</v>
      </c>
      <c r="C125" s="14">
        <v>12</v>
      </c>
      <c r="D125" s="14">
        <v>12</v>
      </c>
      <c r="E125" s="20">
        <v>20.451600000000003</v>
      </c>
      <c r="F125" s="21"/>
      <c r="G125" s="29">
        <f t="shared" si="2"/>
        <v>0</v>
      </c>
      <c r="H125" s="13">
        <v>152</v>
      </c>
    </row>
    <row r="126" spans="1:8" x14ac:dyDescent="0.3">
      <c r="A126" s="36">
        <v>810137321158</v>
      </c>
      <c r="B126" s="12" t="s">
        <v>132</v>
      </c>
      <c r="C126" s="14">
        <v>12</v>
      </c>
      <c r="D126" s="14">
        <v>12</v>
      </c>
      <c r="E126" s="20">
        <v>20.451600000000003</v>
      </c>
      <c r="F126" s="21"/>
      <c r="G126" s="29">
        <f t="shared" si="2"/>
        <v>0</v>
      </c>
      <c r="H126" s="13">
        <v>152</v>
      </c>
    </row>
    <row r="127" spans="1:8" x14ac:dyDescent="0.3">
      <c r="A127" s="36">
        <v>850041914435</v>
      </c>
      <c r="B127" s="12" t="s">
        <v>133</v>
      </c>
      <c r="C127" s="14">
        <v>4</v>
      </c>
      <c r="D127" s="14">
        <v>6</v>
      </c>
      <c r="E127" s="20">
        <v>5.8500000000000005</v>
      </c>
      <c r="F127" s="21"/>
      <c r="G127" s="29">
        <f t="shared" si="2"/>
        <v>0</v>
      </c>
      <c r="H127" s="13">
        <v>63</v>
      </c>
    </row>
    <row r="128" spans="1:8" x14ac:dyDescent="0.3">
      <c r="A128" s="36">
        <v>810137320809</v>
      </c>
      <c r="B128" s="12" t="s">
        <v>134</v>
      </c>
      <c r="C128" s="14">
        <v>4</v>
      </c>
      <c r="D128" s="14">
        <v>6</v>
      </c>
      <c r="E128" s="20">
        <v>5.8500000000000005</v>
      </c>
      <c r="F128" s="21"/>
      <c r="G128" s="29">
        <f t="shared" si="2"/>
        <v>0</v>
      </c>
      <c r="H128" s="13">
        <v>63</v>
      </c>
    </row>
    <row r="129" spans="1:8" ht="15" thickBot="1" x14ac:dyDescent="0.35">
      <c r="A129" s="37">
        <v>850041914411</v>
      </c>
      <c r="B129" s="38" t="s">
        <v>135</v>
      </c>
      <c r="C129" s="39">
        <v>4</v>
      </c>
      <c r="D129" s="39">
        <v>6</v>
      </c>
      <c r="E129" s="40">
        <v>5.8500000000000005</v>
      </c>
      <c r="F129" s="41"/>
      <c r="G129" s="42">
        <f t="shared" si="2"/>
        <v>0</v>
      </c>
      <c r="H129" s="13">
        <v>63</v>
      </c>
    </row>
  </sheetData>
  <sheetProtection algorithmName="SHA-512" hashValue="NS33AK/PpvXe2YteYxQ18WMPi2NCo9uxwSrIhMUE9G7FQhGvQx5GHRTcNjYsYgHQ0/bF35FSs182k1YS0YvPuw==" saltValue="ZRgH5RRw5iSr5ZS/EQx0zg==" spinCount="100000" sheet="1" formatCells="0" formatColumns="0" formatRows="0" insertColumns="0" insertRows="0" insertHyperlinks="0" deleteColumns="0" deleteRows="0" sort="0" autoFilter="0" pivotTables="0"/>
  <autoFilter ref="A2:G1017" xr:uid="{FDEB11B3-16B5-46D6-9E69-8D38D5657B08}"/>
  <mergeCells count="1">
    <mergeCell ref="A1:G1"/>
  </mergeCells>
  <dataValidations count="2">
    <dataValidation type="custom" allowBlank="1" showInputMessage="1" showErrorMessage="1" errorTitle="ERROR" error="Order quantity must be a multiple of Sales per Unit Case (See Column D)" prompt="Order quantity must be a multiple of Sales per Unit Case (See Column D)" sqref="F3:F129" xr:uid="{60F19EE2-C0E4-46B0-826C-2E918085F405}">
      <formula1>MOD(F3,D3)=0</formula1>
    </dataValidation>
    <dataValidation type="textLength" allowBlank="1" showInputMessage="1" showErrorMessage="1" error="UPC can only be 12 digits with no dashes." sqref="A23 A27 A31:A34" xr:uid="{C9CF8916-D62E-4189-BCAA-F0E58B66CB4F}">
      <formula1>12</formula1>
      <formula2>12</formula2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(Ryse)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Tkachuk Valia</cp:lastModifiedBy>
  <cp:revision/>
  <dcterms:created xsi:type="dcterms:W3CDTF">2022-09-29T13:40:49Z</dcterms:created>
  <dcterms:modified xsi:type="dcterms:W3CDTF">2025-06-26T10:02:59Z</dcterms:modified>
  <cp:category/>
  <cp:contentStatus/>
</cp:coreProperties>
</file>