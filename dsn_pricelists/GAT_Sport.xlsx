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A48DF8EB-8446-4C62-8E77-489F03BF86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Sheet1!$A$2:$I$69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I81" i="1"/>
  <c r="L81" i="1"/>
  <c r="M81" i="1"/>
  <c r="N81" i="1"/>
  <c r="O81" i="1"/>
  <c r="I82" i="1"/>
  <c r="L82" i="1"/>
  <c r="M82" i="1"/>
  <c r="N82" i="1"/>
  <c r="O82" i="1"/>
  <c r="I83" i="1"/>
  <c r="L83" i="1"/>
  <c r="M83" i="1"/>
  <c r="N83" i="1"/>
  <c r="O83" i="1"/>
  <c r="Q83" i="1"/>
  <c r="I70" i="1"/>
  <c r="I71" i="1"/>
  <c r="I72" i="1"/>
  <c r="I73" i="1"/>
  <c r="I74" i="1"/>
  <c r="I75" i="1"/>
  <c r="I76" i="1"/>
  <c r="I77" i="1"/>
  <c r="I78" i="1"/>
  <c r="I79" i="1"/>
  <c r="I80" i="1"/>
  <c r="L70" i="1"/>
  <c r="M70" i="1"/>
  <c r="N70" i="1"/>
  <c r="O70" i="1"/>
  <c r="Q70" i="1"/>
  <c r="L71" i="1"/>
  <c r="M71" i="1"/>
  <c r="N71" i="1"/>
  <c r="O71" i="1"/>
  <c r="Q71" i="1"/>
  <c r="L72" i="1"/>
  <c r="M72" i="1"/>
  <c r="N72" i="1"/>
  <c r="O72" i="1"/>
  <c r="Q72" i="1"/>
  <c r="L73" i="1"/>
  <c r="M73" i="1"/>
  <c r="N73" i="1"/>
  <c r="O73" i="1"/>
  <c r="Q73" i="1"/>
  <c r="L74" i="1"/>
  <c r="M74" i="1"/>
  <c r="N74" i="1"/>
  <c r="O74" i="1"/>
  <c r="Q74" i="1"/>
  <c r="L75" i="1"/>
  <c r="M75" i="1"/>
  <c r="N75" i="1"/>
  <c r="O75" i="1"/>
  <c r="Q75" i="1"/>
  <c r="L76" i="1"/>
  <c r="M76" i="1"/>
  <c r="N76" i="1"/>
  <c r="O76" i="1"/>
  <c r="Q76" i="1"/>
  <c r="L77" i="1"/>
  <c r="M77" i="1"/>
  <c r="N77" i="1"/>
  <c r="O77" i="1"/>
  <c r="Q77" i="1"/>
  <c r="L78" i="1"/>
  <c r="M78" i="1"/>
  <c r="N78" i="1"/>
  <c r="O78" i="1"/>
  <c r="Q78" i="1"/>
  <c r="L79" i="1"/>
  <c r="M79" i="1"/>
  <c r="N79" i="1"/>
  <c r="O79" i="1"/>
  <c r="Q79" i="1"/>
  <c r="L80" i="1"/>
  <c r="M80" i="1"/>
  <c r="N80" i="1"/>
  <c r="O80" i="1"/>
  <c r="Q8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3" i="1"/>
  <c r="O69" i="1"/>
  <c r="L69" i="1"/>
  <c r="M69" i="1" s="1"/>
  <c r="O68" i="1"/>
  <c r="L68" i="1"/>
  <c r="M68" i="1" s="1"/>
  <c r="O67" i="1"/>
  <c r="L67" i="1"/>
  <c r="M67" i="1" s="1"/>
  <c r="O66" i="1"/>
  <c r="L66" i="1"/>
  <c r="M66" i="1" s="1"/>
  <c r="O65" i="1"/>
  <c r="L65" i="1"/>
  <c r="M65" i="1" s="1"/>
  <c r="O64" i="1"/>
  <c r="L64" i="1"/>
  <c r="M64" i="1" s="1"/>
  <c r="O63" i="1"/>
  <c r="L63" i="1"/>
  <c r="M63" i="1" s="1"/>
  <c r="O62" i="1"/>
  <c r="L62" i="1"/>
  <c r="M62" i="1" s="1"/>
  <c r="O61" i="1"/>
  <c r="L61" i="1"/>
  <c r="M61" i="1" s="1"/>
  <c r="O60" i="1"/>
  <c r="L60" i="1"/>
  <c r="M60" i="1" s="1"/>
  <c r="O59" i="1"/>
  <c r="L59" i="1"/>
  <c r="M59" i="1" s="1"/>
  <c r="O58" i="1"/>
  <c r="L58" i="1"/>
  <c r="M58" i="1" s="1"/>
  <c r="O57" i="1"/>
  <c r="L57" i="1"/>
  <c r="M57" i="1" s="1"/>
  <c r="O56" i="1"/>
  <c r="L56" i="1"/>
  <c r="M56" i="1" s="1"/>
  <c r="O55" i="1"/>
  <c r="L55" i="1"/>
  <c r="M55" i="1" s="1"/>
  <c r="O54" i="1"/>
  <c r="L54" i="1"/>
  <c r="M54" i="1" s="1"/>
  <c r="O53" i="1"/>
  <c r="L53" i="1"/>
  <c r="M53" i="1" s="1"/>
  <c r="O52" i="1"/>
  <c r="L52" i="1"/>
  <c r="M52" i="1" s="1"/>
  <c r="O51" i="1"/>
  <c r="L51" i="1"/>
  <c r="M51" i="1" s="1"/>
  <c r="O50" i="1"/>
  <c r="L50" i="1"/>
  <c r="M50" i="1" s="1"/>
  <c r="O49" i="1"/>
  <c r="L49" i="1"/>
  <c r="M49" i="1" s="1"/>
  <c r="O48" i="1"/>
  <c r="L48" i="1"/>
  <c r="M48" i="1" s="1"/>
  <c r="O47" i="1"/>
  <c r="L47" i="1"/>
  <c r="M47" i="1" s="1"/>
  <c r="O46" i="1"/>
  <c r="L46" i="1"/>
  <c r="M46" i="1" s="1"/>
  <c r="O45" i="1"/>
  <c r="L45" i="1"/>
  <c r="M45" i="1" s="1"/>
  <c r="O44" i="1"/>
  <c r="L44" i="1"/>
  <c r="M44" i="1" s="1"/>
  <c r="O43" i="1"/>
  <c r="L43" i="1"/>
  <c r="M43" i="1" s="1"/>
  <c r="O42" i="1"/>
  <c r="L42" i="1"/>
  <c r="M42" i="1" s="1"/>
  <c r="O41" i="1"/>
  <c r="L41" i="1"/>
  <c r="M41" i="1" s="1"/>
  <c r="O40" i="1"/>
  <c r="L40" i="1"/>
  <c r="M40" i="1" s="1"/>
  <c r="O39" i="1"/>
  <c r="L39" i="1"/>
  <c r="M39" i="1" s="1"/>
  <c r="O38" i="1"/>
  <c r="L38" i="1"/>
  <c r="M38" i="1" s="1"/>
  <c r="O37" i="1"/>
  <c r="L37" i="1"/>
  <c r="M37" i="1" s="1"/>
  <c r="O36" i="1"/>
  <c r="L36" i="1"/>
  <c r="M36" i="1" s="1"/>
  <c r="O35" i="1"/>
  <c r="L35" i="1"/>
  <c r="M35" i="1" s="1"/>
  <c r="O34" i="1"/>
  <c r="L34" i="1"/>
  <c r="M34" i="1" s="1"/>
  <c r="O33" i="1"/>
  <c r="L33" i="1"/>
  <c r="M33" i="1" s="1"/>
  <c r="O32" i="1"/>
  <c r="L32" i="1"/>
  <c r="M32" i="1" s="1"/>
  <c r="O31" i="1"/>
  <c r="L31" i="1"/>
  <c r="M31" i="1" s="1"/>
  <c r="O30" i="1"/>
  <c r="L30" i="1"/>
  <c r="M30" i="1" s="1"/>
  <c r="O29" i="1"/>
  <c r="L29" i="1"/>
  <c r="M29" i="1" s="1"/>
  <c r="O28" i="1"/>
  <c r="L28" i="1"/>
  <c r="M28" i="1" s="1"/>
  <c r="O27" i="1"/>
  <c r="L27" i="1"/>
  <c r="M27" i="1" s="1"/>
  <c r="O26" i="1"/>
  <c r="Q26" i="1" s="1"/>
  <c r="L26" i="1"/>
  <c r="M26" i="1" s="1"/>
  <c r="O25" i="1"/>
  <c r="Q25" i="1" s="1"/>
  <c r="L25" i="1"/>
  <c r="M25" i="1" s="1"/>
  <c r="O24" i="1"/>
  <c r="Q24" i="1" s="1"/>
  <c r="L24" i="1"/>
  <c r="M24" i="1" s="1"/>
  <c r="O23" i="1"/>
  <c r="L23" i="1"/>
  <c r="M23" i="1" s="1"/>
  <c r="O22" i="1"/>
  <c r="L22" i="1"/>
  <c r="M22" i="1" s="1"/>
  <c r="O21" i="1"/>
  <c r="L21" i="1"/>
  <c r="M21" i="1" s="1"/>
  <c r="O20" i="1"/>
  <c r="L20" i="1"/>
  <c r="M20" i="1" s="1"/>
  <c r="O19" i="1"/>
  <c r="L19" i="1"/>
  <c r="M19" i="1" s="1"/>
  <c r="O18" i="1"/>
  <c r="L18" i="1"/>
  <c r="M18" i="1" s="1"/>
  <c r="O17" i="1"/>
  <c r="L17" i="1"/>
  <c r="M17" i="1" s="1"/>
  <c r="O16" i="1"/>
  <c r="L16" i="1"/>
  <c r="M16" i="1" s="1"/>
  <c r="O15" i="1"/>
  <c r="L15" i="1"/>
  <c r="M15" i="1" s="1"/>
  <c r="O14" i="1"/>
  <c r="L14" i="1"/>
  <c r="M14" i="1" s="1"/>
  <c r="O13" i="1"/>
  <c r="L13" i="1"/>
  <c r="M13" i="1" s="1"/>
  <c r="O12" i="1"/>
  <c r="L12" i="1"/>
  <c r="M12" i="1" s="1"/>
  <c r="O11" i="1"/>
  <c r="L11" i="1"/>
  <c r="M11" i="1" s="1"/>
  <c r="O10" i="1"/>
  <c r="L10" i="1"/>
  <c r="M10" i="1" s="1"/>
  <c r="O9" i="1"/>
  <c r="L9" i="1"/>
  <c r="M9" i="1" s="1"/>
  <c r="O8" i="1"/>
  <c r="L8" i="1"/>
  <c r="M8" i="1" s="1"/>
  <c r="O7" i="1"/>
  <c r="L7" i="1"/>
  <c r="M7" i="1" s="1"/>
  <c r="O6" i="1"/>
  <c r="L6" i="1"/>
  <c r="M6" i="1" s="1"/>
  <c r="O5" i="1"/>
  <c r="L5" i="1"/>
  <c r="M5" i="1" s="1"/>
  <c r="O4" i="1"/>
  <c r="L4" i="1"/>
  <c r="M4" i="1" s="1"/>
  <c r="O3" i="1"/>
  <c r="I69" i="1"/>
  <c r="I66" i="1"/>
  <c r="I61" i="1"/>
  <c r="I58" i="1"/>
  <c r="I54" i="1"/>
  <c r="I53" i="1"/>
  <c r="I51" i="1"/>
  <c r="I50" i="1"/>
  <c r="I46" i="1"/>
  <c r="I45" i="1"/>
  <c r="I42" i="1"/>
  <c r="I39" i="1"/>
  <c r="I38" i="1"/>
  <c r="I37" i="1"/>
  <c r="I29" i="1"/>
  <c r="I27" i="1"/>
  <c r="I19" i="1"/>
  <c r="I18" i="1"/>
  <c r="I15" i="1"/>
  <c r="I14" i="1"/>
  <c r="I11" i="1"/>
  <c r="I10" i="1"/>
  <c r="I67" i="1"/>
  <c r="I65" i="1"/>
  <c r="I59" i="1"/>
  <c r="I57" i="1"/>
  <c r="I49" i="1"/>
  <c r="I43" i="1"/>
  <c r="I41" i="1"/>
  <c r="I35" i="1"/>
  <c r="I33" i="1"/>
  <c r="I21" i="1"/>
  <c r="I17" i="1"/>
  <c r="I13" i="1"/>
  <c r="I12" i="1"/>
  <c r="I9" i="1"/>
  <c r="I5" i="1"/>
  <c r="I4" i="1"/>
  <c r="I68" i="1"/>
  <c r="I64" i="1"/>
  <c r="I63" i="1"/>
  <c r="I62" i="1"/>
  <c r="I60" i="1"/>
  <c r="I56" i="1"/>
  <c r="I55" i="1"/>
  <c r="I52" i="1"/>
  <c r="I48" i="1"/>
  <c r="I47" i="1"/>
  <c r="I44" i="1"/>
  <c r="I40" i="1"/>
  <c r="I36" i="1"/>
  <c r="I34" i="1"/>
  <c r="I32" i="1"/>
  <c r="I31" i="1"/>
  <c r="I30" i="1"/>
  <c r="I28" i="1"/>
  <c r="I23" i="1"/>
  <c r="I22" i="1"/>
  <c r="I20" i="1"/>
  <c r="I16" i="1"/>
  <c r="I8" i="1"/>
  <c r="I7" i="1"/>
  <c r="I6" i="1"/>
  <c r="Q81" i="1" l="1"/>
  <c r="Q82" i="1"/>
  <c r="I3" i="1"/>
  <c r="J2" i="1" s="1"/>
  <c r="M3" i="1"/>
  <c r="Q65" i="1"/>
  <c r="N2" i="1"/>
  <c r="Q69" i="1"/>
  <c r="Q68" i="1"/>
  <c r="Q67" i="1"/>
  <c r="Q66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4" i="1"/>
  <c r="Q3" i="1"/>
  <c r="O2" i="1"/>
  <c r="Q5" i="1"/>
  <c r="Q1" i="1" l="1"/>
</calcChain>
</file>

<file path=xl/sharedStrings.xml><?xml version="1.0" encoding="utf-8"?>
<sst xmlns="http://schemas.openxmlformats.org/spreadsheetml/2006/main" count="258" uniqueCount="212">
  <si>
    <t>Item Description</t>
  </si>
  <si>
    <t>UPC</t>
  </si>
  <si>
    <t>Case QTY</t>
  </si>
  <si>
    <t>Size</t>
  </si>
  <si>
    <t>Unit Weight</t>
  </si>
  <si>
    <t>Final Price</t>
  </si>
  <si>
    <t>GAT-1103</t>
  </si>
  <si>
    <t>GAT-1105</t>
  </si>
  <si>
    <t>GAT-1202</t>
  </si>
  <si>
    <t>GAT-1213</t>
  </si>
  <si>
    <t>GAT-1400</t>
  </si>
  <si>
    <t>GAT-1401</t>
  </si>
  <si>
    <t>GAT-1001</t>
  </si>
  <si>
    <t>GAT-1002</t>
  </si>
  <si>
    <t>GAT-1003</t>
  </si>
  <si>
    <t>GAT-1004</t>
  </si>
  <si>
    <t>GAT-1008</t>
  </si>
  <si>
    <t>GAT-1014</t>
  </si>
  <si>
    <t>GAT-1044</t>
  </si>
  <si>
    <t>GAT-1045</t>
  </si>
  <si>
    <t>GAT-1305</t>
  </si>
  <si>
    <t>GAT-1307</t>
  </si>
  <si>
    <t>GAT-1308</t>
  </si>
  <si>
    <t>GAT-8000</t>
  </si>
  <si>
    <t>GAT-8001</t>
  </si>
  <si>
    <t>GAT-8002</t>
  </si>
  <si>
    <t>GAT-8003</t>
  </si>
  <si>
    <t>GAT-8004</t>
  </si>
  <si>
    <t>GAT-1600</t>
  </si>
  <si>
    <t>GAT-1602</t>
  </si>
  <si>
    <t>GAT-2000</t>
  </si>
  <si>
    <t>GAT-2001</t>
  </si>
  <si>
    <t>GAT-2002</t>
  </si>
  <si>
    <t>GAT-2003</t>
  </si>
  <si>
    <t>GAT-2004</t>
  </si>
  <si>
    <t>GAT-2006</t>
  </si>
  <si>
    <t>GAT-2007</t>
  </si>
  <si>
    <t>GAT-2008</t>
  </si>
  <si>
    <t>GAT-2009</t>
  </si>
  <si>
    <t>GAT-2011</t>
  </si>
  <si>
    <t>GAT-2012</t>
  </si>
  <si>
    <t>GAT-2013</t>
  </si>
  <si>
    <t>GAT-2017</t>
  </si>
  <si>
    <t>GAT-2024</t>
  </si>
  <si>
    <t>GAT-2025</t>
  </si>
  <si>
    <t>GAT-2026</t>
  </si>
  <si>
    <t>GAT-2050</t>
  </si>
  <si>
    <t>GAT-2051</t>
  </si>
  <si>
    <t>GAT-2052</t>
  </si>
  <si>
    <t>GAT-4000</t>
  </si>
  <si>
    <t>GAT-4004</t>
  </si>
  <si>
    <t>GAT-4005</t>
  </si>
  <si>
    <t>Order</t>
  </si>
  <si>
    <t>Total</t>
  </si>
  <si>
    <t>Item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</si>
  <si>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</si>
  <si>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GAT-1338</t>
  </si>
  <si>
    <t>GAT-1339</t>
  </si>
  <si>
    <t>GAT-1340</t>
  </si>
  <si>
    <t>GAT-2076</t>
  </si>
  <si>
    <t>Nitraflex Burn Tropic Thunderburst 30 Serv</t>
  </si>
  <si>
    <t>Nitraflex Extreme Sport Blue Raspberry 20 Servings</t>
  </si>
  <si>
    <t>Nitraflex Extreme Sport Fruit Punch 20 Servings</t>
  </si>
  <si>
    <t>Nitraflex Extreme Sport Grape Cotton Candy 20 Servings</t>
  </si>
  <si>
    <t>180 CAPS</t>
  </si>
  <si>
    <t>120 CAPS</t>
  </si>
  <si>
    <t>Unіt Freight Cost</t>
  </si>
  <si>
    <t>unit, key</t>
  </si>
  <si>
    <t>Weight, kg</t>
  </si>
  <si>
    <t>Logistic Price</t>
  </si>
  <si>
    <t>Landed Cost</t>
  </si>
  <si>
    <t>GAT-1007</t>
  </si>
  <si>
    <t>GAT-2157-120</t>
  </si>
  <si>
    <t>GAT-2158-120</t>
  </si>
  <si>
    <t>GAT-2159-120</t>
  </si>
  <si>
    <t>GAT-2064</t>
  </si>
  <si>
    <t>GAT-2066</t>
  </si>
  <si>
    <t>GAT-2069</t>
  </si>
  <si>
    <t>GAT-2067</t>
  </si>
  <si>
    <t>GAT-2068</t>
  </si>
  <si>
    <t>GAT-2070</t>
  </si>
  <si>
    <t>GAT-2071</t>
  </si>
  <si>
    <t>GAT-2083</t>
  </si>
  <si>
    <t>GAT-2150</t>
  </si>
  <si>
    <t>GAT-2151</t>
  </si>
  <si>
    <t>GAT-2152</t>
  </si>
  <si>
    <t>GAT-2156</t>
  </si>
  <si>
    <t>GAT-2085</t>
  </si>
  <si>
    <t>GAT-3105</t>
  </si>
  <si>
    <t>GAT-3106</t>
  </si>
  <si>
    <t>GAT-3300</t>
  </si>
  <si>
    <t>GAT-3301</t>
  </si>
  <si>
    <t>GAT-3302</t>
  </si>
  <si>
    <t>GAT-T5000</t>
  </si>
  <si>
    <t>GAT-T5001</t>
  </si>
  <si>
    <t>GAT-1601</t>
  </si>
  <si>
    <t>GAT-3001</t>
  </si>
  <si>
    <t>GAT-3003</t>
  </si>
  <si>
    <t xml:space="preserve">GAT-2077 </t>
  </si>
  <si>
    <t>GAT-2078</t>
  </si>
  <si>
    <t>GAT-2086</t>
  </si>
  <si>
    <t>GAT-2087</t>
  </si>
  <si>
    <t>Nitraflex Classic Green Apple</t>
  </si>
  <si>
    <t>Nitraflex Classic Blue Raspberry</t>
  </si>
  <si>
    <t>Nitraflex Classic Fruit Punch</t>
  </si>
  <si>
    <t>Nitraflex Classic Watermelon</t>
  </si>
  <si>
    <t>Nitraflex Classic Grape</t>
  </si>
  <si>
    <t>Nitraflex Classic Pineapple **Limited time**</t>
  </si>
  <si>
    <t>Nitraflex Burn Blue Raspberry</t>
  </si>
  <si>
    <t>Nitraflex® Green Apple</t>
  </si>
  <si>
    <t>Nitraflex® Black Cherry</t>
  </si>
  <si>
    <t>Nitraflex® Blue Raspberry</t>
  </si>
  <si>
    <t>Nitraflex® Fruit Punch</t>
  </si>
  <si>
    <t>Nitraflex® Watermelon</t>
  </si>
  <si>
    <t>Nitraflex® Grape</t>
  </si>
  <si>
    <t>Nitraflex Ultra - Peach Pineapple</t>
  </si>
  <si>
    <t>Nitraflex Ultra Strawberry Watermelon</t>
  </si>
  <si>
    <t>Nitraflex Ultra Blue Raspberry</t>
  </si>
  <si>
    <t>Nitraflex pre-workout Chews Blue raspberry</t>
  </si>
  <si>
    <t>Nitraflex pre-workout Chews Fruit Punch</t>
  </si>
  <si>
    <t>Nitraflex pre-workout Chews Grape Cotton Candy</t>
  </si>
  <si>
    <t>PMP powder Raspberry Lemonade Stim</t>
  </si>
  <si>
    <t>PMP Blue Raspberry NON-STIM</t>
  </si>
  <si>
    <t xml:space="preserve">JetMASS Tropical Ice </t>
  </si>
  <si>
    <t xml:space="preserve">JetMASS Strawberry Lemonade </t>
  </si>
  <si>
    <t xml:space="preserve">Carbotein® Grape </t>
  </si>
  <si>
    <t xml:space="preserve">Carbotein® Orange </t>
  </si>
  <si>
    <t xml:space="preserve">Essentials Tribulus </t>
  </si>
  <si>
    <t>Essentials CLA 1250</t>
  </si>
  <si>
    <t xml:space="preserve">Essential BCAA Powder </t>
  </si>
  <si>
    <t xml:space="preserve">Essentials Caffeine </t>
  </si>
  <si>
    <t xml:space="preserve">Essentials Beta Alanine </t>
  </si>
  <si>
    <t xml:space="preserve">Essentials Liver Cleanse </t>
  </si>
  <si>
    <t xml:space="preserve">Essentials ZMAG-T </t>
  </si>
  <si>
    <t xml:space="preserve">Essentials Mens Multi+Test </t>
  </si>
  <si>
    <t xml:space="preserve">Essentials Joint Support </t>
  </si>
  <si>
    <t xml:space="preserve">Essentials L-Arginine </t>
  </si>
  <si>
    <t xml:space="preserve">Essentials L-Carnitine </t>
  </si>
  <si>
    <t>Essentials Omega</t>
  </si>
  <si>
    <t xml:space="preserve">Essentials Liquid L-Carnitine 3000- Green Apple </t>
  </si>
  <si>
    <t xml:space="preserve">Essentials Liquid L-Carnitine 3000- Blue Raspberry  </t>
  </si>
  <si>
    <t>Essentials Liquid L-Carnitine 3000- Mixed Berry</t>
  </si>
  <si>
    <t>Nitraflex Pro Creatine Capsules 180CT</t>
  </si>
  <si>
    <t>Nitraflex Deep Wood Capsules 240CT</t>
  </si>
  <si>
    <t>Nitraflex Magnesium Capsules 120CT</t>
  </si>
  <si>
    <t xml:space="preserve">Vitamin D3/K2 </t>
  </si>
  <si>
    <t>Nitraflex Cyclic Dextrin 30 Servings</t>
  </si>
  <si>
    <t>Nitraflex Hydration Blue Raspberry Blast  45 Servings</t>
  </si>
  <si>
    <t>Nitraflex Hydration Lemon Lime 45 Servings</t>
  </si>
  <si>
    <t>Nitraflex Liquid Glycerol Unflavored 32 Servings</t>
  </si>
  <si>
    <t>Creatine CHEWS 120ct Fruit punch</t>
  </si>
  <si>
    <t>Creatine CHEWS 120ct Lemon Lime</t>
  </si>
  <si>
    <t>Creatine CHEWS 120ct Grape Cotton Candy</t>
  </si>
  <si>
    <t>Creatine CHEWS 120ct Blue Raspberry</t>
  </si>
  <si>
    <t>Essentials Creatine Monohydrate 300g</t>
  </si>
  <si>
    <t>Essentials Creatine Monohydrate 1000g</t>
  </si>
  <si>
    <t>Essentials Creatine Monohydrate 150g</t>
  </si>
  <si>
    <t>Essentials Creatine Monohydrate 500g</t>
  </si>
  <si>
    <t xml:space="preserve">Essentials L-Glutamine </t>
  </si>
  <si>
    <t xml:space="preserve">Radical Mass® Vanilla Milkshake </t>
  </si>
  <si>
    <t xml:space="preserve">Radical Mass® Chocolate Milkshake </t>
  </si>
  <si>
    <t xml:space="preserve">NitraWhey - Vanilla Ice Cream  </t>
  </si>
  <si>
    <t xml:space="preserve">NitraWhey - Chocolate Ice Cream  </t>
  </si>
  <si>
    <t xml:space="preserve">NitraWhey - Peanut Butter Cookie  </t>
  </si>
  <si>
    <t xml:space="preserve">JetFuel® Superburn® </t>
  </si>
  <si>
    <t>JetFuel® Original</t>
  </si>
  <si>
    <t>JetFuel® Pyro</t>
  </si>
  <si>
    <t xml:space="preserve">RTD Nitraflex CASE  - Raspberry Ice </t>
  </si>
  <si>
    <t xml:space="preserve">RTD Nitraflex CASE - Orange Ice </t>
  </si>
  <si>
    <t>Testrol®</t>
  </si>
  <si>
    <t xml:space="preserve">Testrol® Gold </t>
  </si>
  <si>
    <t>Whey Protein - Chocolate</t>
  </si>
  <si>
    <t>Whey Protein - Vanilla</t>
  </si>
  <si>
    <t>Testrol Platinum *NEW*</t>
  </si>
  <si>
    <t>Flexx EAA Grape Cotton Candy</t>
  </si>
  <si>
    <t>Flexx EAA Lemon Lime</t>
  </si>
  <si>
    <t>Flexx EAAs Blue Raspberry 30 Servings</t>
  </si>
  <si>
    <t>Flexx EAAs Fruit Punch 30 Servings</t>
  </si>
  <si>
    <t xml:space="preserve">300 Grams </t>
  </si>
  <si>
    <t xml:space="preserve">225  Grams </t>
  </si>
  <si>
    <t>300 Grams Pwd</t>
  </si>
  <si>
    <t>473ml</t>
  </si>
  <si>
    <t>300 g</t>
  </si>
  <si>
    <t>120 ct</t>
  </si>
  <si>
    <t>255 Grams Pwd</t>
  </si>
  <si>
    <t>720 Grams Pwd.</t>
  </si>
  <si>
    <t>3.85 lbs. Pwd</t>
  </si>
  <si>
    <t>90 Capsules</t>
  </si>
  <si>
    <t>90 Softgels</t>
  </si>
  <si>
    <t>250 Grams Pwd</t>
  </si>
  <si>
    <t>100 Tablets</t>
  </si>
  <si>
    <t>200 Grams Pwd</t>
  </si>
  <si>
    <t>60 Capsules</t>
  </si>
  <si>
    <t>60 Tablets</t>
  </si>
  <si>
    <t>150 Tablets</t>
  </si>
  <si>
    <t>180 Tablets</t>
  </si>
  <si>
    <t>473 ML</t>
  </si>
  <si>
    <t>240 CAPS</t>
  </si>
  <si>
    <t>60ct</t>
  </si>
  <si>
    <t>30 Servings</t>
  </si>
  <si>
    <t>45 Servings</t>
  </si>
  <si>
    <t>32 Servings</t>
  </si>
  <si>
    <t>120ct</t>
  </si>
  <si>
    <t>1000 Grams Pwd</t>
  </si>
  <si>
    <t>150 grams</t>
  </si>
  <si>
    <t>500 grams</t>
  </si>
  <si>
    <t>12 lbs. Pwd</t>
  </si>
  <si>
    <t>2 lbs. Pwd</t>
  </si>
  <si>
    <t>120 Oil-Infused Caps</t>
  </si>
  <si>
    <t>144 Oil-Infused Caps</t>
  </si>
  <si>
    <t>12 pack-10 fl oz.</t>
  </si>
  <si>
    <t>5 lbs.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</si>
</sst>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-[$$-1009]* #,##0.00_-;\-[$$-1009]* #,##0.00_-;_-[$$-1009]* &quot;-&quot;??_-;_-@_-"/>
    <numFmt numFmtId="166" formatCode="_-[$$-409]* #,##0.00_ ;_-[$$-409]* \-#,##0.00\ ;_-[$$-409]* &quot;-&quot;??_ ;_-@_ "/>
    <numFmt numFmtId="167" formatCode="[$$-409]#,##0.00"/>
    <numFmt numFmtId="168" formatCode="000000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4" tint="0.79998168889431442"/>
      <name val="Calibri"/>
      <family val="2"/>
      <charset val="204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3" fillId="0" borderId="0" xfId="0" applyFont="1"/>
    <xf numFmtId="164" fontId="6" fillId="0" borderId="1" xfId="0" applyNumberFormat="1" applyFont="1" applyBorder="1"/>
    <xf numFmtId="0" fontId="7" fillId="0" borderId="0" xfId="0" applyFont="1" applyAlignment="1">
      <alignment wrapText="1"/>
    </xf>
    <xf numFmtId="0" fontId="7" fillId="0" borderId="0" xfId="0" applyFont="1"/>
    <xf numFmtId="0" fontId="10" fillId="2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14" fontId="1" fillId="0" borderId="0" xfId="0" quotePrefix="1" applyNumberFormat="1" applyFont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6" fontId="12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0" borderId="0" xfId="0" applyFont="1"/>
    <xf numFmtId="167" fontId="11" fillId="3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 applyProtection="1">
      <alignment horizontal="center" vertical="center" wrapText="1" readingOrder="1"/>
      <protection locked="0"/>
    </xf>
    <xf numFmtId="4" fontId="11" fillId="4" borderId="5" xfId="0" applyNumberFormat="1" applyFont="1" applyFill="1" applyBorder="1" applyAlignment="1">
      <alignment horizontal="center" vertical="center"/>
    </xf>
    <xf numFmtId="166" fontId="12" fillId="4" borderId="3" xfId="0" applyNumberFormat="1" applyFont="1" applyFill="1" applyBorder="1" applyAlignment="1" applyProtection="1">
      <alignment horizontal="center" vertical="center" wrapText="1" readingOrder="1"/>
      <protection hidden="1"/>
    </xf>
    <xf numFmtId="166" fontId="12" fillId="0" borderId="0" xfId="0" applyNumberFormat="1" applyFont="1" applyAlignment="1" applyProtection="1">
      <alignment vertical="center" wrapText="1" readingOrder="1"/>
      <protection hidden="1"/>
    </xf>
    <xf numFmtId="0" fontId="11" fillId="5" borderId="3" xfId="0" applyFont="1" applyFill="1" applyBorder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14" fontId="11" fillId="3" borderId="4" xfId="0" applyNumberFormat="1" applyFont="1" applyFill="1" applyBorder="1" applyAlignment="1">
      <alignment horizontal="center" vertical="center" wrapText="1"/>
    </xf>
    <xf numFmtId="14" fontId="11" fillId="3" borderId="5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2" fillId="0" borderId="1" xfId="0" quotePrefix="1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0</xdr:row>
      <xdr:rowOff>22860</xdr:rowOff>
    </xdr:from>
    <xdr:to>
      <xdr:col>6</xdr:col>
      <xdr:colOff>365760</xdr:colOff>
      <xdr:row>0</xdr:row>
      <xdr:rowOff>823359</xdr:rowOff>
    </xdr:to>
    <xdr:pic>
      <xdr:nvPicPr>
        <xdr:cNvPr id="2" name="Рисунок 1" descr="GAT Sport - مكملات ديلي مصل">
          <a:extLst>
            <a:ext uri="{FF2B5EF4-FFF2-40B4-BE49-F238E27FC236}">
              <a16:creationId xmlns:a16="http://schemas.microsoft.com/office/drawing/2014/main" id="{6BEFC7DF-1E88-9597-F22D-5641F69A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22860"/>
          <a:ext cx="1508760" cy="8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8"/>
  <sheetViews>
    <sheetView tabSelected="1" workbookViewId="0">
      <pane ySplit="2" topLeftCell="A3" activePane="bottomLeft" state="frozen"/>
      <selection pane="bottomLeft" activeCell="J10" sqref="J10"/>
    </sheetView>
  </sheetViews>
  <sheetFormatPr defaultRowHeight="14.4" x14ac:dyDescent="0.3"/>
  <cols>
    <col min="1" max="1" width="11.44140625" style="11" bestFit="1" customWidth="1"/>
    <col min="2" max="2" width="11.33203125" style="11" bestFit="1" customWidth="1"/>
    <col min="3" max="3" width="42.5546875" style="11" bestFit="1" customWidth="1"/>
    <col min="4" max="4" width="16" style="11" customWidth="1"/>
    <col min="5" max="5" width="11.109375" style="34" bestFit="1" customWidth="1"/>
    <col min="6" max="6" width="6.44140625" style="11" customWidth="1"/>
    <col min="7" max="7" width="8.33203125" style="11" customWidth="1"/>
    <col min="8" max="8" width="8.33203125" style="19" customWidth="1"/>
    <col min="9" max="9" width="9.6640625" style="11" bestFit="1" customWidth="1"/>
    <col min="10" max="10" width="12.33203125" customWidth="1"/>
    <col min="11" max="11" width="3.6640625" customWidth="1"/>
    <col min="12" max="12" width="6.77734375" style="24" bestFit="1" customWidth="1"/>
    <col min="13" max="13" width="8.33203125" style="24" customWidth="1"/>
    <col min="14" max="14" width="9" style="24" bestFit="1" customWidth="1"/>
    <col min="15" max="15" width="12.109375" style="24" bestFit="1" customWidth="1"/>
    <col min="16" max="16" width="5.5546875" style="24" customWidth="1"/>
    <col min="17" max="17" width="11.33203125" style="24" bestFit="1" customWidth="1"/>
  </cols>
  <sheetData>
    <row r="1" spans="1:17" ht="72" customHeight="1" thickBot="1" x14ac:dyDescent="0.35">
      <c r="A1" s="35" t="s">
        <v>55</v>
      </c>
      <c r="B1" s="36"/>
      <c r="C1" s="36"/>
      <c r="D1" s="36"/>
      <c r="E1" s="36"/>
      <c r="F1" s="36"/>
      <c r="G1" s="36"/>
      <c r="H1" s="37"/>
      <c r="I1" s="36"/>
      <c r="J1" s="20">
        <v>46163</v>
      </c>
      <c r="L1" s="21" t="s">
        <v>66</v>
      </c>
      <c r="M1" s="38" t="s">
        <v>67</v>
      </c>
      <c r="N1" s="22" t="s">
        <v>68</v>
      </c>
      <c r="O1" s="23" t="s">
        <v>69</v>
      </c>
      <c r="Q1" s="25" t="str">
        <f>IFERROR(IF(SUM(Q3:Q277)=0, "-", J2+O2), "-")</f>
        <v>-</v>
      </c>
    </row>
    <row r="2" spans="1:17" s="14" customFormat="1" ht="28.2" thickBot="1" x14ac:dyDescent="0.35">
      <c r="A2" s="15" t="s">
        <v>1</v>
      </c>
      <c r="B2" s="15" t="s">
        <v>54</v>
      </c>
      <c r="C2" s="15" t="s">
        <v>0</v>
      </c>
      <c r="D2" s="15" t="s">
        <v>3</v>
      </c>
      <c r="E2" s="15" t="s">
        <v>4</v>
      </c>
      <c r="F2" s="15" t="s">
        <v>2</v>
      </c>
      <c r="G2" s="15" t="s">
        <v>5</v>
      </c>
      <c r="H2" s="16" t="s">
        <v>52</v>
      </c>
      <c r="I2" s="15" t="s">
        <v>53</v>
      </c>
      <c r="J2" s="17">
        <f>SUM(I3:I83)</f>
        <v>0</v>
      </c>
      <c r="K2" s="13"/>
      <c r="L2" s="26"/>
      <c r="M2" s="39"/>
      <c r="N2" s="27" t="str">
        <f>IF(SUM(N3:N277)=0, "-", SUM(N3:N277))</f>
        <v>-</v>
      </c>
      <c r="O2" s="28" t="str">
        <f>IFERROR(IF(SUM(O3:O277)=0, "-", SUM(O3:O277)+ROUNDUP(SUM(N3:N277)/270,0)*30*L2), "-")</f>
        <v>-</v>
      </c>
      <c r="P2" s="29"/>
      <c r="Q2" s="30" t="s">
        <v>70</v>
      </c>
    </row>
    <row r="3" spans="1:17" x14ac:dyDescent="0.3">
      <c r="A3" s="40">
        <v>816170023868</v>
      </c>
      <c r="B3" s="1" t="s">
        <v>23</v>
      </c>
      <c r="C3" s="2" t="s">
        <v>102</v>
      </c>
      <c r="D3" s="5" t="s">
        <v>178</v>
      </c>
      <c r="E3" s="43">
        <v>0.45047392245625001</v>
      </c>
      <c r="F3" s="4">
        <v>12</v>
      </c>
      <c r="G3" s="12">
        <v>18.850000000000001</v>
      </c>
      <c r="H3" s="18"/>
      <c r="I3" s="12">
        <f t="shared" ref="I3:I8" si="0">H3*G3</f>
        <v>0</v>
      </c>
      <c r="L3" s="31" t="str">
        <f>IFERROR(IF($L$2*E3=0, "-", $L$2*E3), "-")</f>
        <v>-</v>
      </c>
      <c r="M3" s="31" t="str">
        <f>IFERROR(IF(L3&gt;0,G3+L3,"-"),"-")</f>
        <v>-</v>
      </c>
      <c r="N3" s="32" t="str">
        <f>IF(H3&gt;0,H3*E3, "-")</f>
        <v>-</v>
      </c>
      <c r="O3" s="33" t="str">
        <f>IFERROR(IF($L$2&gt;0, $L$2*N3, "-"), "-")</f>
        <v>-</v>
      </c>
      <c r="Q3" s="33" t="str">
        <f>IFERROR(IF(O3+I3=0, "-", IF(O3&gt;0, O3+I3, "-")), "-")</f>
        <v>-</v>
      </c>
    </row>
    <row r="4" spans="1:17" x14ac:dyDescent="0.3">
      <c r="A4" s="40">
        <v>816170023875</v>
      </c>
      <c r="B4" s="1" t="s">
        <v>24</v>
      </c>
      <c r="C4" s="2" t="s">
        <v>103</v>
      </c>
      <c r="D4" s="5" t="s">
        <v>178</v>
      </c>
      <c r="E4" s="43">
        <v>0.45047392245625001</v>
      </c>
      <c r="F4" s="4">
        <v>12</v>
      </c>
      <c r="G4" s="12">
        <v>18.850000000000001</v>
      </c>
      <c r="H4" s="18"/>
      <c r="I4" s="12">
        <f t="shared" si="0"/>
        <v>0</v>
      </c>
      <c r="L4" s="31" t="str">
        <f t="shared" ref="L4:L67" si="1">IFERROR(IF($L$2*E4=0, "-", $L$2*E4), "-")</f>
        <v>-</v>
      </c>
      <c r="M4" s="31" t="str">
        <f t="shared" ref="M4:M67" si="2">IFERROR(IF(L4&gt;0,G4+L4,"-"),"-")</f>
        <v>-</v>
      </c>
      <c r="N4" s="32" t="str">
        <f t="shared" ref="N4:N67" si="3">IF(H4&gt;0,H4*E4, "-")</f>
        <v>-</v>
      </c>
      <c r="O4" s="33" t="str">
        <f t="shared" ref="O4:O67" si="4">IFERROR(IF($L$2&gt;0, $L$2*N4, "-"), "-")</f>
        <v>-</v>
      </c>
      <c r="Q4" s="33" t="str">
        <f t="shared" ref="Q4:Q67" si="5">IFERROR(IF(O4+I4=0, "-", IF(O4&gt;0, O4+I4, "-")), "-")</f>
        <v>-</v>
      </c>
    </row>
    <row r="5" spans="1:17" x14ac:dyDescent="0.3">
      <c r="A5" s="40">
        <v>816170023882</v>
      </c>
      <c r="B5" s="1" t="s">
        <v>25</v>
      </c>
      <c r="C5" s="7" t="s">
        <v>104</v>
      </c>
      <c r="D5" s="5" t="s">
        <v>178</v>
      </c>
      <c r="E5" s="43">
        <v>0.45047392245625001</v>
      </c>
      <c r="F5" s="4">
        <v>12</v>
      </c>
      <c r="G5" s="12">
        <v>18.850000000000001</v>
      </c>
      <c r="H5" s="18"/>
      <c r="I5" s="12">
        <f t="shared" si="0"/>
        <v>0</v>
      </c>
      <c r="L5" s="31" t="str">
        <f t="shared" si="1"/>
        <v>-</v>
      </c>
      <c r="M5" s="31" t="str">
        <f t="shared" si="2"/>
        <v>-</v>
      </c>
      <c r="N5" s="32" t="str">
        <f t="shared" si="3"/>
        <v>-</v>
      </c>
      <c r="O5" s="33" t="str">
        <f t="shared" si="4"/>
        <v>-</v>
      </c>
      <c r="Q5" s="33" t="str">
        <f t="shared" si="5"/>
        <v>-</v>
      </c>
    </row>
    <row r="6" spans="1:17" x14ac:dyDescent="0.3">
      <c r="A6" s="40">
        <v>816170023899</v>
      </c>
      <c r="B6" s="1" t="s">
        <v>26</v>
      </c>
      <c r="C6" s="7" t="s">
        <v>105</v>
      </c>
      <c r="D6" s="5" t="s">
        <v>178</v>
      </c>
      <c r="E6" s="43">
        <v>0.45047392245625001</v>
      </c>
      <c r="F6" s="4">
        <v>12</v>
      </c>
      <c r="G6" s="12">
        <v>18.850000000000001</v>
      </c>
      <c r="H6" s="18"/>
      <c r="I6" s="12">
        <f t="shared" si="0"/>
        <v>0</v>
      </c>
      <c r="L6" s="31" t="str">
        <f t="shared" si="1"/>
        <v>-</v>
      </c>
      <c r="M6" s="31" t="str">
        <f t="shared" si="2"/>
        <v>-</v>
      </c>
      <c r="N6" s="32" t="str">
        <f t="shared" si="3"/>
        <v>-</v>
      </c>
      <c r="O6" s="33" t="str">
        <f t="shared" si="4"/>
        <v>-</v>
      </c>
      <c r="Q6" s="33" t="str">
        <f t="shared" si="5"/>
        <v>-</v>
      </c>
    </row>
    <row r="7" spans="1:17" x14ac:dyDescent="0.3">
      <c r="A7" s="40">
        <v>816170023905</v>
      </c>
      <c r="B7" s="1" t="s">
        <v>27</v>
      </c>
      <c r="C7" s="7" t="s">
        <v>106</v>
      </c>
      <c r="D7" s="5" t="s">
        <v>178</v>
      </c>
      <c r="E7" s="43">
        <v>0.45047392245625001</v>
      </c>
      <c r="F7" s="4">
        <v>12</v>
      </c>
      <c r="G7" s="12">
        <v>18.850000000000001</v>
      </c>
      <c r="H7" s="18"/>
      <c r="I7" s="12">
        <f t="shared" si="0"/>
        <v>0</v>
      </c>
      <c r="L7" s="31" t="str">
        <f t="shared" si="1"/>
        <v>-</v>
      </c>
      <c r="M7" s="31" t="str">
        <f t="shared" si="2"/>
        <v>-</v>
      </c>
      <c r="N7" s="32" t="str">
        <f t="shared" si="3"/>
        <v>-</v>
      </c>
      <c r="O7" s="33" t="str">
        <f t="shared" si="4"/>
        <v>-</v>
      </c>
      <c r="Q7" s="33" t="str">
        <f t="shared" si="5"/>
        <v>-</v>
      </c>
    </row>
    <row r="8" spans="1:17" x14ac:dyDescent="0.3">
      <c r="A8" s="40">
        <v>859613649072</v>
      </c>
      <c r="B8" s="1" t="s">
        <v>71</v>
      </c>
      <c r="C8" s="7" t="s">
        <v>107</v>
      </c>
      <c r="D8" s="5" t="s">
        <v>178</v>
      </c>
      <c r="E8" s="43">
        <v>0.45047392245625001</v>
      </c>
      <c r="F8" s="4">
        <v>12</v>
      </c>
      <c r="G8" s="12">
        <v>20.8</v>
      </c>
      <c r="H8" s="18"/>
      <c r="I8" s="12">
        <f t="shared" si="0"/>
        <v>0</v>
      </c>
      <c r="L8" s="31" t="str">
        <f t="shared" si="1"/>
        <v>-</v>
      </c>
      <c r="M8" s="31" t="str">
        <f t="shared" si="2"/>
        <v>-</v>
      </c>
      <c r="N8" s="32" t="str">
        <f t="shared" si="3"/>
        <v>-</v>
      </c>
      <c r="O8" s="33" t="str">
        <f t="shared" si="4"/>
        <v>-</v>
      </c>
      <c r="Q8" s="33" t="str">
        <f t="shared" si="5"/>
        <v>-</v>
      </c>
    </row>
    <row r="9" spans="1:17" x14ac:dyDescent="0.3">
      <c r="A9" s="40">
        <v>816170023486</v>
      </c>
      <c r="B9" s="1" t="s">
        <v>18</v>
      </c>
      <c r="C9" s="2" t="s">
        <v>60</v>
      </c>
      <c r="D9" s="5" t="s">
        <v>179</v>
      </c>
      <c r="E9" s="43">
        <v>0.45047392245625001</v>
      </c>
      <c r="F9" s="4">
        <v>12</v>
      </c>
      <c r="G9" s="12">
        <v>21.45</v>
      </c>
      <c r="H9" s="18"/>
      <c r="I9" s="12">
        <f t="shared" ref="I9:I35" si="6">H9*G9</f>
        <v>0</v>
      </c>
      <c r="L9" s="31" t="str">
        <f t="shared" si="1"/>
        <v>-</v>
      </c>
      <c r="M9" s="31" t="str">
        <f t="shared" si="2"/>
        <v>-</v>
      </c>
      <c r="N9" s="32" t="str">
        <f t="shared" si="3"/>
        <v>-</v>
      </c>
      <c r="O9" s="33" t="str">
        <f t="shared" si="4"/>
        <v>-</v>
      </c>
      <c r="Q9" s="33" t="str">
        <f t="shared" si="5"/>
        <v>-</v>
      </c>
    </row>
    <row r="10" spans="1:17" x14ac:dyDescent="0.3">
      <c r="A10" s="40">
        <v>816170023423</v>
      </c>
      <c r="B10" s="1" t="s">
        <v>19</v>
      </c>
      <c r="C10" s="2" t="s">
        <v>108</v>
      </c>
      <c r="D10" s="5" t="s">
        <v>179</v>
      </c>
      <c r="E10" s="43">
        <v>0.45047392245625001</v>
      </c>
      <c r="F10" s="4">
        <v>12</v>
      </c>
      <c r="G10" s="12">
        <v>21.45</v>
      </c>
      <c r="H10" s="18"/>
      <c r="I10" s="12">
        <f t="shared" si="6"/>
        <v>0</v>
      </c>
      <c r="L10" s="31" t="str">
        <f t="shared" si="1"/>
        <v>-</v>
      </c>
      <c r="M10" s="31" t="str">
        <f t="shared" si="2"/>
        <v>-</v>
      </c>
      <c r="N10" s="32" t="str">
        <f t="shared" si="3"/>
        <v>-</v>
      </c>
      <c r="O10" s="33" t="str">
        <f t="shared" si="4"/>
        <v>-</v>
      </c>
      <c r="Q10" s="33" t="str">
        <f t="shared" si="5"/>
        <v>-</v>
      </c>
    </row>
    <row r="11" spans="1:17" x14ac:dyDescent="0.3">
      <c r="A11" s="40">
        <v>859613648884</v>
      </c>
      <c r="B11" s="1" t="s">
        <v>12</v>
      </c>
      <c r="C11" s="2" t="s">
        <v>109</v>
      </c>
      <c r="D11" s="5" t="s">
        <v>180</v>
      </c>
      <c r="E11" s="43">
        <v>0.45047392245625001</v>
      </c>
      <c r="F11" s="4">
        <v>12</v>
      </c>
      <c r="G11" s="12">
        <v>21.45</v>
      </c>
      <c r="H11" s="18"/>
      <c r="I11" s="12">
        <f t="shared" si="6"/>
        <v>0</v>
      </c>
      <c r="L11" s="31" t="str">
        <f t="shared" si="1"/>
        <v>-</v>
      </c>
      <c r="M11" s="31" t="str">
        <f t="shared" si="2"/>
        <v>-</v>
      </c>
      <c r="N11" s="32" t="str">
        <f t="shared" si="3"/>
        <v>-</v>
      </c>
      <c r="O11" s="33" t="str">
        <f t="shared" si="4"/>
        <v>-</v>
      </c>
      <c r="Q11" s="33" t="str">
        <f t="shared" si="5"/>
        <v>-</v>
      </c>
    </row>
    <row r="12" spans="1:17" x14ac:dyDescent="0.3">
      <c r="A12" s="40">
        <v>859613647009</v>
      </c>
      <c r="B12" s="1" t="s">
        <v>13</v>
      </c>
      <c r="C12" s="2" t="s">
        <v>110</v>
      </c>
      <c r="D12" s="5" t="s">
        <v>180</v>
      </c>
      <c r="E12" s="43">
        <v>0.45047392245625001</v>
      </c>
      <c r="F12" s="4">
        <v>12</v>
      </c>
      <c r="G12" s="12">
        <v>21.45</v>
      </c>
      <c r="H12" s="18"/>
      <c r="I12" s="12">
        <f t="shared" si="6"/>
        <v>0</v>
      </c>
      <c r="L12" s="31" t="str">
        <f t="shared" si="1"/>
        <v>-</v>
      </c>
      <c r="M12" s="31" t="str">
        <f t="shared" si="2"/>
        <v>-</v>
      </c>
      <c r="N12" s="32" t="str">
        <f t="shared" si="3"/>
        <v>-</v>
      </c>
      <c r="O12" s="33" t="str">
        <f t="shared" si="4"/>
        <v>-</v>
      </c>
      <c r="Q12" s="33" t="str">
        <f t="shared" si="5"/>
        <v>-</v>
      </c>
    </row>
    <row r="13" spans="1:17" x14ac:dyDescent="0.3">
      <c r="A13" s="40">
        <v>859613647085</v>
      </c>
      <c r="B13" s="1" t="s">
        <v>14</v>
      </c>
      <c r="C13" s="2" t="s">
        <v>111</v>
      </c>
      <c r="D13" s="5" t="s">
        <v>180</v>
      </c>
      <c r="E13" s="43">
        <v>0.45047392245625001</v>
      </c>
      <c r="F13" s="4">
        <v>12</v>
      </c>
      <c r="G13" s="12">
        <v>21.45</v>
      </c>
      <c r="H13" s="18"/>
      <c r="I13" s="12">
        <f t="shared" si="6"/>
        <v>0</v>
      </c>
      <c r="L13" s="31" t="str">
        <f t="shared" si="1"/>
        <v>-</v>
      </c>
      <c r="M13" s="31" t="str">
        <f t="shared" si="2"/>
        <v>-</v>
      </c>
      <c r="N13" s="32" t="str">
        <f t="shared" si="3"/>
        <v>-</v>
      </c>
      <c r="O13" s="33" t="str">
        <f t="shared" si="4"/>
        <v>-</v>
      </c>
      <c r="Q13" s="33" t="str">
        <f t="shared" si="5"/>
        <v>-</v>
      </c>
    </row>
    <row r="14" spans="1:17" x14ac:dyDescent="0.3">
      <c r="A14" s="40">
        <v>859613648907</v>
      </c>
      <c r="B14" s="1" t="s">
        <v>15</v>
      </c>
      <c r="C14" s="2" t="s">
        <v>112</v>
      </c>
      <c r="D14" s="5" t="s">
        <v>180</v>
      </c>
      <c r="E14" s="43">
        <v>0.45047392245625001</v>
      </c>
      <c r="F14" s="4">
        <v>12</v>
      </c>
      <c r="G14" s="12">
        <v>21.45</v>
      </c>
      <c r="H14" s="18"/>
      <c r="I14" s="12">
        <f t="shared" si="6"/>
        <v>0</v>
      </c>
      <c r="L14" s="31" t="str">
        <f t="shared" si="1"/>
        <v>-</v>
      </c>
      <c r="M14" s="31" t="str">
        <f t="shared" si="2"/>
        <v>-</v>
      </c>
      <c r="N14" s="32" t="str">
        <f t="shared" si="3"/>
        <v>-</v>
      </c>
      <c r="O14" s="33" t="str">
        <f t="shared" si="4"/>
        <v>-</v>
      </c>
      <c r="Q14" s="33" t="str">
        <f t="shared" si="5"/>
        <v>-</v>
      </c>
    </row>
    <row r="15" spans="1:17" x14ac:dyDescent="0.3">
      <c r="A15" s="40">
        <v>859613648983</v>
      </c>
      <c r="B15" s="1" t="s">
        <v>16</v>
      </c>
      <c r="C15" s="2" t="s">
        <v>113</v>
      </c>
      <c r="D15" s="5" t="s">
        <v>180</v>
      </c>
      <c r="E15" s="43">
        <v>0.45047392245625001</v>
      </c>
      <c r="F15" s="4">
        <v>12</v>
      </c>
      <c r="G15" s="12">
        <v>21.45</v>
      </c>
      <c r="H15" s="18"/>
      <c r="I15" s="12">
        <f t="shared" si="6"/>
        <v>0</v>
      </c>
      <c r="L15" s="31" t="str">
        <f t="shared" si="1"/>
        <v>-</v>
      </c>
      <c r="M15" s="31" t="str">
        <f t="shared" si="2"/>
        <v>-</v>
      </c>
      <c r="N15" s="32" t="str">
        <f t="shared" si="3"/>
        <v>-</v>
      </c>
      <c r="O15" s="33" t="str">
        <f t="shared" si="4"/>
        <v>-</v>
      </c>
      <c r="Q15" s="33" t="str">
        <f t="shared" si="5"/>
        <v>-</v>
      </c>
    </row>
    <row r="16" spans="1:17" x14ac:dyDescent="0.3">
      <c r="A16" s="40">
        <v>816170022144</v>
      </c>
      <c r="B16" s="1" t="s">
        <v>17</v>
      </c>
      <c r="C16" s="2" t="s">
        <v>114</v>
      </c>
      <c r="D16" s="5" t="s">
        <v>180</v>
      </c>
      <c r="E16" s="43">
        <v>0.45047392245625001</v>
      </c>
      <c r="F16" s="4">
        <v>12</v>
      </c>
      <c r="G16" s="12">
        <v>21.45</v>
      </c>
      <c r="H16" s="18"/>
      <c r="I16" s="12">
        <f t="shared" si="6"/>
        <v>0</v>
      </c>
      <c r="L16" s="31" t="str">
        <f t="shared" si="1"/>
        <v>-</v>
      </c>
      <c r="M16" s="31" t="str">
        <f t="shared" si="2"/>
        <v>-</v>
      </c>
      <c r="N16" s="32" t="str">
        <f t="shared" si="3"/>
        <v>-</v>
      </c>
      <c r="O16" s="33" t="str">
        <f t="shared" si="4"/>
        <v>-</v>
      </c>
      <c r="Q16" s="33" t="str">
        <f t="shared" si="5"/>
        <v>-</v>
      </c>
    </row>
    <row r="17" spans="1:17" x14ac:dyDescent="0.3">
      <c r="A17" s="40">
        <v>816170025558</v>
      </c>
      <c r="B17" s="1" t="s">
        <v>21</v>
      </c>
      <c r="C17" s="2" t="s">
        <v>115</v>
      </c>
      <c r="D17" s="5" t="s">
        <v>181</v>
      </c>
      <c r="E17" s="43">
        <v>0.85804556658333342</v>
      </c>
      <c r="F17" s="4">
        <v>6</v>
      </c>
      <c r="G17" s="12">
        <v>25.35</v>
      </c>
      <c r="H17" s="18"/>
      <c r="I17" s="12">
        <f t="shared" si="6"/>
        <v>0</v>
      </c>
      <c r="L17" s="31" t="str">
        <f t="shared" si="1"/>
        <v>-</v>
      </c>
      <c r="M17" s="31" t="str">
        <f t="shared" si="2"/>
        <v>-</v>
      </c>
      <c r="N17" s="32" t="str">
        <f t="shared" si="3"/>
        <v>-</v>
      </c>
      <c r="O17" s="33" t="str">
        <f t="shared" si="4"/>
        <v>-</v>
      </c>
      <c r="Q17" s="33" t="str">
        <f t="shared" si="5"/>
        <v>-</v>
      </c>
    </row>
    <row r="18" spans="1:17" x14ac:dyDescent="0.3">
      <c r="A18" s="40">
        <v>816170025565</v>
      </c>
      <c r="B18" s="1" t="s">
        <v>22</v>
      </c>
      <c r="C18" s="2" t="s">
        <v>116</v>
      </c>
      <c r="D18" s="5" t="s">
        <v>181</v>
      </c>
      <c r="E18" s="43">
        <v>0.85804556658333342</v>
      </c>
      <c r="F18" s="4">
        <v>6</v>
      </c>
      <c r="G18" s="12">
        <v>25.35</v>
      </c>
      <c r="H18" s="18"/>
      <c r="I18" s="12">
        <f t="shared" si="6"/>
        <v>0</v>
      </c>
      <c r="L18" s="31" t="str">
        <f t="shared" si="1"/>
        <v>-</v>
      </c>
      <c r="M18" s="31" t="str">
        <f t="shared" si="2"/>
        <v>-</v>
      </c>
      <c r="N18" s="32" t="str">
        <f t="shared" si="3"/>
        <v>-</v>
      </c>
      <c r="O18" s="33" t="str">
        <f t="shared" si="4"/>
        <v>-</v>
      </c>
      <c r="Q18" s="33" t="str">
        <f t="shared" si="5"/>
        <v>-</v>
      </c>
    </row>
    <row r="19" spans="1:17" x14ac:dyDescent="0.3">
      <c r="A19" s="40">
        <v>816170025534</v>
      </c>
      <c r="B19" s="1" t="s">
        <v>20</v>
      </c>
      <c r="C19" s="2" t="s">
        <v>117</v>
      </c>
      <c r="D19" s="5" t="s">
        <v>181</v>
      </c>
      <c r="E19" s="43">
        <v>0.85804556658333342</v>
      </c>
      <c r="F19" s="4">
        <v>6</v>
      </c>
      <c r="G19" s="12">
        <v>25.35</v>
      </c>
      <c r="H19" s="18"/>
      <c r="I19" s="12">
        <f t="shared" si="6"/>
        <v>0</v>
      </c>
      <c r="L19" s="31" t="str">
        <f t="shared" si="1"/>
        <v>-</v>
      </c>
      <c r="M19" s="31" t="str">
        <f t="shared" si="2"/>
        <v>-</v>
      </c>
      <c r="N19" s="32" t="str">
        <f t="shared" si="3"/>
        <v>-</v>
      </c>
      <c r="O19" s="33" t="str">
        <f t="shared" si="4"/>
        <v>-</v>
      </c>
      <c r="Q19" s="33" t="str">
        <f t="shared" si="5"/>
        <v>-</v>
      </c>
    </row>
    <row r="20" spans="1:17" x14ac:dyDescent="0.3">
      <c r="A20" s="40">
        <v>816170026067</v>
      </c>
      <c r="B20" s="1" t="s">
        <v>56</v>
      </c>
      <c r="C20" s="2" t="s">
        <v>61</v>
      </c>
      <c r="D20" s="5" t="s">
        <v>182</v>
      </c>
      <c r="E20" s="43">
        <v>0.45047392245625001</v>
      </c>
      <c r="F20" s="4">
        <v>12</v>
      </c>
      <c r="G20" s="12">
        <v>13</v>
      </c>
      <c r="H20" s="18"/>
      <c r="I20" s="12">
        <f t="shared" si="6"/>
        <v>0</v>
      </c>
      <c r="L20" s="31" t="str">
        <f t="shared" si="1"/>
        <v>-</v>
      </c>
      <c r="M20" s="31" t="str">
        <f t="shared" si="2"/>
        <v>-</v>
      </c>
      <c r="N20" s="32" t="str">
        <f t="shared" si="3"/>
        <v>-</v>
      </c>
      <c r="O20" s="33" t="str">
        <f t="shared" si="4"/>
        <v>-</v>
      </c>
      <c r="Q20" s="33" t="str">
        <f t="shared" si="5"/>
        <v>-</v>
      </c>
    </row>
    <row r="21" spans="1:17" x14ac:dyDescent="0.3">
      <c r="A21" s="41">
        <v>816170026050</v>
      </c>
      <c r="B21" s="9" t="s">
        <v>57</v>
      </c>
      <c r="C21" s="10" t="s">
        <v>62</v>
      </c>
      <c r="D21" s="5" t="s">
        <v>182</v>
      </c>
      <c r="E21" s="43">
        <v>0.45047392245625001</v>
      </c>
      <c r="F21" s="4">
        <v>12</v>
      </c>
      <c r="G21" s="12">
        <v>13</v>
      </c>
      <c r="H21" s="18"/>
      <c r="I21" s="12">
        <f t="shared" si="6"/>
        <v>0</v>
      </c>
      <c r="L21" s="31" t="str">
        <f t="shared" si="1"/>
        <v>-</v>
      </c>
      <c r="M21" s="31" t="str">
        <f t="shared" si="2"/>
        <v>-</v>
      </c>
      <c r="N21" s="32" t="str">
        <f t="shared" si="3"/>
        <v>-</v>
      </c>
      <c r="O21" s="33" t="str">
        <f t="shared" si="4"/>
        <v>-</v>
      </c>
      <c r="Q21" s="33" t="str">
        <f t="shared" si="5"/>
        <v>-</v>
      </c>
    </row>
    <row r="22" spans="1:17" x14ac:dyDescent="0.3">
      <c r="A22" s="41">
        <v>816170026043</v>
      </c>
      <c r="B22" s="9" t="s">
        <v>58</v>
      </c>
      <c r="C22" s="10" t="s">
        <v>63</v>
      </c>
      <c r="D22" s="5" t="s">
        <v>182</v>
      </c>
      <c r="E22" s="43">
        <v>0.45047392245625001</v>
      </c>
      <c r="F22" s="4">
        <v>12</v>
      </c>
      <c r="G22" s="12">
        <v>13</v>
      </c>
      <c r="H22" s="18"/>
      <c r="I22" s="12">
        <f t="shared" si="6"/>
        <v>0</v>
      </c>
      <c r="L22" s="31" t="str">
        <f t="shared" si="1"/>
        <v>-</v>
      </c>
      <c r="M22" s="31" t="str">
        <f t="shared" si="2"/>
        <v>-</v>
      </c>
      <c r="N22" s="32" t="str">
        <f t="shared" si="3"/>
        <v>-</v>
      </c>
      <c r="O22" s="33" t="str">
        <f t="shared" si="4"/>
        <v>-</v>
      </c>
      <c r="Q22" s="33" t="str">
        <f t="shared" si="5"/>
        <v>-</v>
      </c>
    </row>
    <row r="23" spans="1:17" x14ac:dyDescent="0.3">
      <c r="A23" s="41">
        <v>816170026876</v>
      </c>
      <c r="B23" s="9" t="s">
        <v>72</v>
      </c>
      <c r="C23" s="10" t="s">
        <v>118</v>
      </c>
      <c r="D23" s="5" t="s">
        <v>183</v>
      </c>
      <c r="E23" s="43">
        <v>0.60964137505745841</v>
      </c>
      <c r="F23" s="4">
        <v>12</v>
      </c>
      <c r="G23" s="12">
        <v>22.75</v>
      </c>
      <c r="H23" s="18"/>
      <c r="I23" s="12">
        <f t="shared" si="6"/>
        <v>0</v>
      </c>
      <c r="L23" s="31" t="str">
        <f t="shared" si="1"/>
        <v>-</v>
      </c>
      <c r="M23" s="31" t="str">
        <f t="shared" si="2"/>
        <v>-</v>
      </c>
      <c r="N23" s="32" t="str">
        <f t="shared" si="3"/>
        <v>-</v>
      </c>
      <c r="O23" s="33" t="str">
        <f t="shared" si="4"/>
        <v>-</v>
      </c>
      <c r="Q23" s="33" t="str">
        <f t="shared" si="5"/>
        <v>-</v>
      </c>
    </row>
    <row r="24" spans="1:17" x14ac:dyDescent="0.3">
      <c r="A24" s="41">
        <v>816170026906</v>
      </c>
      <c r="B24" s="9" t="s">
        <v>73</v>
      </c>
      <c r="C24" s="10" t="s">
        <v>119</v>
      </c>
      <c r="D24" s="5" t="s">
        <v>183</v>
      </c>
      <c r="E24" s="43">
        <v>0.60964137505745841</v>
      </c>
      <c r="F24" s="4">
        <v>12</v>
      </c>
      <c r="G24" s="12">
        <v>22.75</v>
      </c>
      <c r="H24" s="18"/>
      <c r="I24" s="12">
        <v>0</v>
      </c>
      <c r="L24" s="31" t="str">
        <f t="shared" si="1"/>
        <v>-</v>
      </c>
      <c r="M24" s="31" t="str">
        <f t="shared" si="2"/>
        <v>-</v>
      </c>
      <c r="N24" s="32" t="str">
        <f t="shared" si="3"/>
        <v>-</v>
      </c>
      <c r="O24" s="33" t="str">
        <f t="shared" si="4"/>
        <v>-</v>
      </c>
      <c r="Q24" s="33" t="str">
        <f t="shared" si="5"/>
        <v>-</v>
      </c>
    </row>
    <row r="25" spans="1:17" x14ac:dyDescent="0.3">
      <c r="A25" s="41">
        <v>816170026937</v>
      </c>
      <c r="B25" s="9" t="s">
        <v>74</v>
      </c>
      <c r="C25" s="10" t="s">
        <v>120</v>
      </c>
      <c r="D25" s="5" t="s">
        <v>183</v>
      </c>
      <c r="E25" s="43">
        <v>0.60964137505745841</v>
      </c>
      <c r="F25" s="4">
        <v>12</v>
      </c>
      <c r="G25" s="12">
        <v>22.75</v>
      </c>
      <c r="H25" s="18"/>
      <c r="I25" s="12">
        <v>0</v>
      </c>
      <c r="L25" s="31" t="str">
        <f t="shared" si="1"/>
        <v>-</v>
      </c>
      <c r="M25" s="31" t="str">
        <f t="shared" si="2"/>
        <v>-</v>
      </c>
      <c r="N25" s="32" t="str">
        <f t="shared" si="3"/>
        <v>-</v>
      </c>
      <c r="O25" s="33" t="str">
        <f t="shared" si="4"/>
        <v>-</v>
      </c>
      <c r="Q25" s="33" t="str">
        <f t="shared" si="5"/>
        <v>-</v>
      </c>
    </row>
    <row r="26" spans="1:17" x14ac:dyDescent="0.3">
      <c r="A26" s="41">
        <v>859613656032</v>
      </c>
      <c r="B26" s="9" t="s">
        <v>6</v>
      </c>
      <c r="C26" s="10" t="s">
        <v>121</v>
      </c>
      <c r="D26" s="5" t="s">
        <v>184</v>
      </c>
      <c r="E26" s="43">
        <v>0.45047392245625001</v>
      </c>
      <c r="F26" s="4">
        <v>12</v>
      </c>
      <c r="G26" s="12">
        <v>20.8</v>
      </c>
      <c r="H26" s="18"/>
      <c r="I26" s="12">
        <v>0</v>
      </c>
      <c r="L26" s="31" t="str">
        <f t="shared" si="1"/>
        <v>-</v>
      </c>
      <c r="M26" s="31" t="str">
        <f t="shared" si="2"/>
        <v>-</v>
      </c>
      <c r="N26" s="32" t="str">
        <f t="shared" si="3"/>
        <v>-</v>
      </c>
      <c r="O26" s="33" t="str">
        <f t="shared" si="4"/>
        <v>-</v>
      </c>
      <c r="Q26" s="33" t="str">
        <f t="shared" si="5"/>
        <v>-</v>
      </c>
    </row>
    <row r="27" spans="1:17" x14ac:dyDescent="0.3">
      <c r="A27" s="41">
        <v>859613656001</v>
      </c>
      <c r="B27" s="9" t="s">
        <v>7</v>
      </c>
      <c r="C27" s="10" t="s">
        <v>122</v>
      </c>
      <c r="D27" s="5" t="s">
        <v>184</v>
      </c>
      <c r="E27" s="43">
        <v>0.45047392245625001</v>
      </c>
      <c r="F27" s="4">
        <v>12</v>
      </c>
      <c r="G27" s="12">
        <v>20.8</v>
      </c>
      <c r="H27" s="18"/>
      <c r="I27" s="12">
        <f t="shared" si="6"/>
        <v>0</v>
      </c>
      <c r="L27" s="31" t="str">
        <f t="shared" si="1"/>
        <v>-</v>
      </c>
      <c r="M27" s="31" t="str">
        <f t="shared" si="2"/>
        <v>-</v>
      </c>
      <c r="N27" s="32" t="str">
        <f t="shared" si="3"/>
        <v>-</v>
      </c>
      <c r="O27" s="33" t="str">
        <f t="shared" si="4"/>
        <v>-</v>
      </c>
      <c r="Q27" s="33" t="str">
        <f t="shared" si="5"/>
        <v>-</v>
      </c>
    </row>
    <row r="28" spans="1:17" x14ac:dyDescent="0.3">
      <c r="A28" s="40">
        <v>816170020959</v>
      </c>
      <c r="B28" s="1" t="s">
        <v>8</v>
      </c>
      <c r="C28" s="2" t="s">
        <v>123</v>
      </c>
      <c r="D28" s="5" t="s">
        <v>185</v>
      </c>
      <c r="E28" s="43">
        <v>0.98675240157083333</v>
      </c>
      <c r="F28" s="4">
        <v>6</v>
      </c>
      <c r="G28" s="12">
        <v>26</v>
      </c>
      <c r="H28" s="18"/>
      <c r="I28" s="12">
        <f t="shared" si="6"/>
        <v>0</v>
      </c>
      <c r="L28" s="31" t="str">
        <f t="shared" si="1"/>
        <v>-</v>
      </c>
      <c r="M28" s="31" t="str">
        <f t="shared" si="2"/>
        <v>-</v>
      </c>
      <c r="N28" s="32" t="str">
        <f t="shared" si="3"/>
        <v>-</v>
      </c>
      <c r="O28" s="33" t="str">
        <f t="shared" si="4"/>
        <v>-</v>
      </c>
      <c r="Q28" s="33" t="str">
        <f t="shared" si="5"/>
        <v>-</v>
      </c>
    </row>
    <row r="29" spans="1:17" x14ac:dyDescent="0.3">
      <c r="A29" s="40">
        <v>816170022755</v>
      </c>
      <c r="B29" s="1" t="s">
        <v>9</v>
      </c>
      <c r="C29" s="2" t="s">
        <v>124</v>
      </c>
      <c r="D29" s="5" t="s">
        <v>185</v>
      </c>
      <c r="E29" s="43">
        <v>0.98675240157083333</v>
      </c>
      <c r="F29" s="4">
        <v>6</v>
      </c>
      <c r="G29" s="12">
        <v>26</v>
      </c>
      <c r="H29" s="18"/>
      <c r="I29" s="12">
        <f t="shared" si="6"/>
        <v>0</v>
      </c>
      <c r="L29" s="31" t="str">
        <f t="shared" si="1"/>
        <v>-</v>
      </c>
      <c r="M29" s="31" t="str">
        <f t="shared" si="2"/>
        <v>-</v>
      </c>
      <c r="N29" s="32" t="str">
        <f t="shared" si="3"/>
        <v>-</v>
      </c>
      <c r="O29" s="33" t="str">
        <f t="shared" si="4"/>
        <v>-</v>
      </c>
      <c r="Q29" s="33" t="str">
        <f t="shared" si="5"/>
        <v>-</v>
      </c>
    </row>
    <row r="30" spans="1:17" x14ac:dyDescent="0.3">
      <c r="A30" s="40">
        <v>859613671110</v>
      </c>
      <c r="B30" s="1" t="s">
        <v>10</v>
      </c>
      <c r="C30" s="2" t="s">
        <v>125</v>
      </c>
      <c r="D30" s="5" t="s">
        <v>186</v>
      </c>
      <c r="E30" s="43">
        <v>2.4454298647625001</v>
      </c>
      <c r="F30" s="4">
        <v>4</v>
      </c>
      <c r="G30" s="12">
        <v>27.3</v>
      </c>
      <c r="H30" s="18"/>
      <c r="I30" s="12">
        <f t="shared" si="6"/>
        <v>0</v>
      </c>
      <c r="L30" s="31" t="str">
        <f t="shared" si="1"/>
        <v>-</v>
      </c>
      <c r="M30" s="31" t="str">
        <f t="shared" si="2"/>
        <v>-</v>
      </c>
      <c r="N30" s="32" t="str">
        <f t="shared" si="3"/>
        <v>-</v>
      </c>
      <c r="O30" s="33" t="str">
        <f t="shared" si="4"/>
        <v>-</v>
      </c>
      <c r="Q30" s="33" t="str">
        <f t="shared" si="5"/>
        <v>-</v>
      </c>
    </row>
    <row r="31" spans="1:17" x14ac:dyDescent="0.3">
      <c r="A31" s="40">
        <v>859613671219</v>
      </c>
      <c r="B31" s="1" t="s">
        <v>11</v>
      </c>
      <c r="C31" s="2" t="s">
        <v>126</v>
      </c>
      <c r="D31" s="5" t="s">
        <v>186</v>
      </c>
      <c r="E31" s="43">
        <v>2.4454298647625001</v>
      </c>
      <c r="F31" s="4">
        <v>4</v>
      </c>
      <c r="G31" s="12">
        <v>27.3</v>
      </c>
      <c r="H31" s="18"/>
      <c r="I31" s="12">
        <f t="shared" si="6"/>
        <v>0</v>
      </c>
      <c r="L31" s="31" t="str">
        <f t="shared" si="1"/>
        <v>-</v>
      </c>
      <c r="M31" s="31" t="str">
        <f t="shared" si="2"/>
        <v>-</v>
      </c>
      <c r="N31" s="32" t="str">
        <f t="shared" si="3"/>
        <v>-</v>
      </c>
      <c r="O31" s="33" t="str">
        <f t="shared" si="4"/>
        <v>-</v>
      </c>
      <c r="Q31" s="33" t="str">
        <f t="shared" si="5"/>
        <v>-</v>
      </c>
    </row>
    <row r="32" spans="1:17" x14ac:dyDescent="0.3">
      <c r="A32" s="40">
        <v>859613220011</v>
      </c>
      <c r="B32" s="1" t="s">
        <v>30</v>
      </c>
      <c r="C32" s="2" t="s">
        <v>127</v>
      </c>
      <c r="D32" s="5" t="s">
        <v>187</v>
      </c>
      <c r="E32" s="43">
        <v>0.17160911331666667</v>
      </c>
      <c r="F32" s="4">
        <v>12</v>
      </c>
      <c r="G32" s="12">
        <v>8.4500000000000011</v>
      </c>
      <c r="H32" s="18"/>
      <c r="I32" s="12">
        <f t="shared" si="6"/>
        <v>0</v>
      </c>
      <c r="L32" s="31" t="str">
        <f t="shared" si="1"/>
        <v>-</v>
      </c>
      <c r="M32" s="31" t="str">
        <f t="shared" si="2"/>
        <v>-</v>
      </c>
      <c r="N32" s="32" t="str">
        <f t="shared" si="3"/>
        <v>-</v>
      </c>
      <c r="O32" s="33" t="str">
        <f t="shared" si="4"/>
        <v>-</v>
      </c>
      <c r="Q32" s="33" t="str">
        <f t="shared" si="5"/>
        <v>-</v>
      </c>
    </row>
    <row r="33" spans="1:17" x14ac:dyDescent="0.3">
      <c r="A33" s="40">
        <v>816170020645</v>
      </c>
      <c r="B33" s="1" t="s">
        <v>31</v>
      </c>
      <c r="C33" s="2" t="s">
        <v>128</v>
      </c>
      <c r="D33" s="5" t="s">
        <v>188</v>
      </c>
      <c r="E33" s="43">
        <v>0.15444820198500003</v>
      </c>
      <c r="F33" s="4">
        <v>12</v>
      </c>
      <c r="G33" s="12">
        <v>9.5419999999999998</v>
      </c>
      <c r="H33" s="18"/>
      <c r="I33" s="12">
        <f t="shared" si="6"/>
        <v>0</v>
      </c>
      <c r="L33" s="31" t="str">
        <f t="shared" si="1"/>
        <v>-</v>
      </c>
      <c r="M33" s="31" t="str">
        <f t="shared" si="2"/>
        <v>-</v>
      </c>
      <c r="N33" s="32" t="str">
        <f t="shared" si="3"/>
        <v>-</v>
      </c>
      <c r="O33" s="33" t="str">
        <f t="shared" si="4"/>
        <v>-</v>
      </c>
      <c r="Q33" s="33" t="str">
        <f t="shared" si="5"/>
        <v>-</v>
      </c>
    </row>
    <row r="34" spans="1:17" x14ac:dyDescent="0.3">
      <c r="A34" s="40">
        <v>859613000040</v>
      </c>
      <c r="B34" s="1" t="s">
        <v>32</v>
      </c>
      <c r="C34" s="2" t="s">
        <v>129</v>
      </c>
      <c r="D34" s="5" t="s">
        <v>189</v>
      </c>
      <c r="E34" s="43">
        <v>0.39041073279541666</v>
      </c>
      <c r="F34" s="4">
        <v>12</v>
      </c>
      <c r="G34" s="12">
        <v>14.950000000000001</v>
      </c>
      <c r="H34" s="18"/>
      <c r="I34" s="12">
        <f t="shared" si="6"/>
        <v>0</v>
      </c>
      <c r="L34" s="31" t="str">
        <f t="shared" si="1"/>
        <v>-</v>
      </c>
      <c r="M34" s="31" t="str">
        <f t="shared" si="2"/>
        <v>-</v>
      </c>
      <c r="N34" s="32" t="str">
        <f t="shared" si="3"/>
        <v>-</v>
      </c>
      <c r="O34" s="33" t="str">
        <f t="shared" si="4"/>
        <v>-</v>
      </c>
      <c r="Q34" s="33" t="str">
        <f t="shared" si="5"/>
        <v>-</v>
      </c>
    </row>
    <row r="35" spans="1:17" x14ac:dyDescent="0.3">
      <c r="A35" s="40">
        <v>816170020676</v>
      </c>
      <c r="B35" s="1" t="s">
        <v>33</v>
      </c>
      <c r="C35" s="2" t="s">
        <v>130</v>
      </c>
      <c r="D35" s="5" t="s">
        <v>190</v>
      </c>
      <c r="E35" s="43">
        <v>0.15444820198500003</v>
      </c>
      <c r="F35" s="4">
        <v>12</v>
      </c>
      <c r="G35" s="12">
        <v>5.2</v>
      </c>
      <c r="H35" s="18"/>
      <c r="I35" s="12">
        <f t="shared" si="6"/>
        <v>0</v>
      </c>
      <c r="L35" s="31" t="str">
        <f t="shared" si="1"/>
        <v>-</v>
      </c>
      <c r="M35" s="31" t="str">
        <f t="shared" si="2"/>
        <v>-</v>
      </c>
      <c r="N35" s="32" t="str">
        <f t="shared" si="3"/>
        <v>-</v>
      </c>
      <c r="O35" s="33" t="str">
        <f t="shared" si="4"/>
        <v>-</v>
      </c>
      <c r="Q35" s="33" t="str">
        <f t="shared" si="5"/>
        <v>-</v>
      </c>
    </row>
    <row r="36" spans="1:17" x14ac:dyDescent="0.3">
      <c r="A36" s="40">
        <v>859613220035</v>
      </c>
      <c r="B36" s="1" t="s">
        <v>34</v>
      </c>
      <c r="C36" s="2" t="s">
        <v>131</v>
      </c>
      <c r="D36" s="5" t="s">
        <v>191</v>
      </c>
      <c r="E36" s="43">
        <v>0.34321822663333335</v>
      </c>
      <c r="F36" s="4">
        <v>12</v>
      </c>
      <c r="G36" s="12">
        <v>18.2</v>
      </c>
      <c r="H36" s="18"/>
      <c r="I36" s="12">
        <f>H36*G36</f>
        <v>0</v>
      </c>
      <c r="L36" s="31" t="str">
        <f t="shared" si="1"/>
        <v>-</v>
      </c>
      <c r="M36" s="31" t="str">
        <f t="shared" si="2"/>
        <v>-</v>
      </c>
      <c r="N36" s="32" t="str">
        <f t="shared" si="3"/>
        <v>-</v>
      </c>
      <c r="O36" s="33" t="str">
        <f t="shared" si="4"/>
        <v>-</v>
      </c>
      <c r="Q36" s="33" t="str">
        <f t="shared" si="5"/>
        <v>-</v>
      </c>
    </row>
    <row r="37" spans="1:17" x14ac:dyDescent="0.3">
      <c r="A37" s="40">
        <v>859613220028</v>
      </c>
      <c r="B37" s="1" t="s">
        <v>35</v>
      </c>
      <c r="C37" s="2" t="s">
        <v>132</v>
      </c>
      <c r="D37" s="5" t="s">
        <v>192</v>
      </c>
      <c r="E37" s="43">
        <v>0.15444820198500003</v>
      </c>
      <c r="F37" s="4">
        <v>12</v>
      </c>
      <c r="G37" s="12">
        <v>8.7750000000000004</v>
      </c>
      <c r="H37" s="18"/>
      <c r="I37" s="12">
        <f>H37*G37</f>
        <v>0</v>
      </c>
      <c r="L37" s="31" t="str">
        <f t="shared" si="1"/>
        <v>-</v>
      </c>
      <c r="M37" s="31" t="str">
        <f t="shared" si="2"/>
        <v>-</v>
      </c>
      <c r="N37" s="32" t="str">
        <f t="shared" si="3"/>
        <v>-</v>
      </c>
      <c r="O37" s="33" t="str">
        <f t="shared" si="4"/>
        <v>-</v>
      </c>
      <c r="Q37" s="33" t="str">
        <f t="shared" si="5"/>
        <v>-</v>
      </c>
    </row>
    <row r="38" spans="1:17" x14ac:dyDescent="0.3">
      <c r="A38" s="40">
        <v>859613220004</v>
      </c>
      <c r="B38" s="1" t="s">
        <v>36</v>
      </c>
      <c r="C38" s="2" t="s">
        <v>133</v>
      </c>
      <c r="D38" s="5" t="s">
        <v>187</v>
      </c>
      <c r="E38" s="43">
        <v>0.17160911331666667</v>
      </c>
      <c r="F38" s="4">
        <v>12</v>
      </c>
      <c r="G38" s="12">
        <v>8.125</v>
      </c>
      <c r="H38" s="18"/>
      <c r="I38" s="12">
        <f>H38*G38</f>
        <v>0</v>
      </c>
      <c r="L38" s="31" t="str">
        <f t="shared" si="1"/>
        <v>-</v>
      </c>
      <c r="M38" s="31" t="str">
        <f t="shared" si="2"/>
        <v>-</v>
      </c>
      <c r="N38" s="32" t="str">
        <f t="shared" si="3"/>
        <v>-</v>
      </c>
      <c r="O38" s="33" t="str">
        <f t="shared" si="4"/>
        <v>-</v>
      </c>
      <c r="Q38" s="33" t="str">
        <f t="shared" si="5"/>
        <v>-</v>
      </c>
    </row>
    <row r="39" spans="1:17" x14ac:dyDescent="0.3">
      <c r="A39" s="40">
        <v>859613220066</v>
      </c>
      <c r="B39" s="1" t="s">
        <v>37</v>
      </c>
      <c r="C39" s="2" t="s">
        <v>134</v>
      </c>
      <c r="D39" s="5" t="s">
        <v>193</v>
      </c>
      <c r="E39" s="43">
        <v>0.15444820198500003</v>
      </c>
      <c r="F39" s="4">
        <v>12</v>
      </c>
      <c r="G39" s="12">
        <v>9.4250000000000007</v>
      </c>
      <c r="H39" s="18"/>
      <c r="I39" s="12">
        <f>H39*G39</f>
        <v>0</v>
      </c>
      <c r="L39" s="31" t="str">
        <f t="shared" si="1"/>
        <v>-</v>
      </c>
      <c r="M39" s="31" t="str">
        <f t="shared" si="2"/>
        <v>-</v>
      </c>
      <c r="N39" s="32" t="str">
        <f t="shared" si="3"/>
        <v>-</v>
      </c>
      <c r="O39" s="33" t="str">
        <f t="shared" si="4"/>
        <v>-</v>
      </c>
      <c r="Q39" s="33" t="str">
        <f t="shared" si="5"/>
        <v>-</v>
      </c>
    </row>
    <row r="40" spans="1:17" x14ac:dyDescent="0.3">
      <c r="A40" s="40">
        <v>816170021109</v>
      </c>
      <c r="B40" s="1" t="s">
        <v>38</v>
      </c>
      <c r="C40" s="2" t="s">
        <v>134</v>
      </c>
      <c r="D40" s="5" t="s">
        <v>194</v>
      </c>
      <c r="E40" s="43">
        <v>0.34536334054979173</v>
      </c>
      <c r="F40" s="4">
        <v>12</v>
      </c>
      <c r="G40" s="12">
        <v>18.850000000000001</v>
      </c>
      <c r="H40" s="18"/>
      <c r="I40" s="12">
        <f>H40*G40</f>
        <v>0</v>
      </c>
      <c r="L40" s="31" t="str">
        <f t="shared" si="1"/>
        <v>-</v>
      </c>
      <c r="M40" s="31" t="str">
        <f t="shared" si="2"/>
        <v>-</v>
      </c>
      <c r="N40" s="32" t="str">
        <f t="shared" si="3"/>
        <v>-</v>
      </c>
      <c r="O40" s="33" t="str">
        <f t="shared" si="4"/>
        <v>-</v>
      </c>
      <c r="Q40" s="33" t="str">
        <f t="shared" si="5"/>
        <v>-</v>
      </c>
    </row>
    <row r="41" spans="1:17" x14ac:dyDescent="0.3">
      <c r="A41" s="40">
        <v>859613220059</v>
      </c>
      <c r="B41" s="1" t="s">
        <v>39</v>
      </c>
      <c r="C41" s="2" t="s">
        <v>135</v>
      </c>
      <c r="D41" s="5" t="s">
        <v>193</v>
      </c>
      <c r="E41" s="43">
        <v>0.17160911331666667</v>
      </c>
      <c r="F41" s="4">
        <v>12</v>
      </c>
      <c r="G41" s="12">
        <v>13.069419999999997</v>
      </c>
      <c r="H41" s="18"/>
      <c r="I41" s="12">
        <f t="shared" ref="I41:I62" si="7">H41*G41</f>
        <v>0</v>
      </c>
      <c r="L41" s="31" t="str">
        <f t="shared" si="1"/>
        <v>-</v>
      </c>
      <c r="M41" s="31" t="str">
        <f t="shared" si="2"/>
        <v>-</v>
      </c>
      <c r="N41" s="32" t="str">
        <f t="shared" si="3"/>
        <v>-</v>
      </c>
      <c r="O41" s="33" t="str">
        <f t="shared" si="4"/>
        <v>-</v>
      </c>
      <c r="Q41" s="33" t="str">
        <f t="shared" si="5"/>
        <v>-</v>
      </c>
    </row>
    <row r="42" spans="1:17" x14ac:dyDescent="0.3">
      <c r="A42" s="40">
        <v>816170020652</v>
      </c>
      <c r="B42" s="1" t="s">
        <v>40</v>
      </c>
      <c r="C42" s="7" t="s">
        <v>136</v>
      </c>
      <c r="D42" s="5" t="s">
        <v>195</v>
      </c>
      <c r="E42" s="43">
        <v>0.34536334054979173</v>
      </c>
      <c r="F42" s="4">
        <v>12</v>
      </c>
      <c r="G42" s="12">
        <v>14.3</v>
      </c>
      <c r="H42" s="18"/>
      <c r="I42" s="12">
        <f t="shared" si="7"/>
        <v>0</v>
      </c>
      <c r="L42" s="31" t="str">
        <f t="shared" si="1"/>
        <v>-</v>
      </c>
      <c r="M42" s="31" t="str">
        <f t="shared" si="2"/>
        <v>-</v>
      </c>
      <c r="N42" s="32" t="str">
        <f t="shared" si="3"/>
        <v>-</v>
      </c>
      <c r="O42" s="33" t="str">
        <f t="shared" si="4"/>
        <v>-</v>
      </c>
      <c r="Q42" s="33" t="str">
        <f t="shared" si="5"/>
        <v>-</v>
      </c>
    </row>
    <row r="43" spans="1:17" x14ac:dyDescent="0.3">
      <c r="A43" s="40">
        <v>816170020669</v>
      </c>
      <c r="B43" s="1" t="s">
        <v>41</v>
      </c>
      <c r="C43" s="7" t="s">
        <v>137</v>
      </c>
      <c r="D43" s="5" t="s">
        <v>192</v>
      </c>
      <c r="E43" s="43">
        <v>0.10725569582291668</v>
      </c>
      <c r="F43" s="4">
        <v>12</v>
      </c>
      <c r="G43" s="12">
        <v>9.1</v>
      </c>
      <c r="H43" s="18"/>
      <c r="I43" s="12">
        <f t="shared" si="7"/>
        <v>0</v>
      </c>
      <c r="L43" s="31" t="str">
        <f t="shared" si="1"/>
        <v>-</v>
      </c>
      <c r="M43" s="31" t="str">
        <f t="shared" si="2"/>
        <v>-</v>
      </c>
      <c r="N43" s="32" t="str">
        <f t="shared" si="3"/>
        <v>-</v>
      </c>
      <c r="O43" s="33" t="str">
        <f t="shared" si="4"/>
        <v>-</v>
      </c>
      <c r="Q43" s="33" t="str">
        <f t="shared" si="5"/>
        <v>-</v>
      </c>
    </row>
    <row r="44" spans="1:17" x14ac:dyDescent="0.3">
      <c r="A44" s="40">
        <v>816170021468</v>
      </c>
      <c r="B44" s="1" t="s">
        <v>43</v>
      </c>
      <c r="C44" s="7" t="s">
        <v>138</v>
      </c>
      <c r="D44" s="5" t="s">
        <v>188</v>
      </c>
      <c r="E44" s="43">
        <v>0.15444820198500003</v>
      </c>
      <c r="F44" s="4">
        <v>12</v>
      </c>
      <c r="G44" s="12">
        <v>15.600000000000001</v>
      </c>
      <c r="H44" s="18"/>
      <c r="I44" s="12">
        <f t="shared" si="7"/>
        <v>0</v>
      </c>
      <c r="L44" s="31" t="str">
        <f t="shared" si="1"/>
        <v>-</v>
      </c>
      <c r="M44" s="31" t="str">
        <f t="shared" si="2"/>
        <v>-</v>
      </c>
      <c r="N44" s="32" t="str">
        <f t="shared" si="3"/>
        <v>-</v>
      </c>
      <c r="O44" s="33" t="str">
        <f t="shared" si="4"/>
        <v>-</v>
      </c>
      <c r="Q44" s="33" t="str">
        <f t="shared" si="5"/>
        <v>-</v>
      </c>
    </row>
    <row r="45" spans="1:17" x14ac:dyDescent="0.3">
      <c r="A45" s="40">
        <v>816170022854</v>
      </c>
      <c r="B45" s="1" t="s">
        <v>46</v>
      </c>
      <c r="C45" s="2" t="s">
        <v>139</v>
      </c>
      <c r="D45" s="5" t="s">
        <v>196</v>
      </c>
      <c r="E45" s="43">
        <v>0.61993792185645824</v>
      </c>
      <c r="F45" s="4">
        <v>12</v>
      </c>
      <c r="G45" s="12">
        <v>13.65</v>
      </c>
      <c r="H45" s="18"/>
      <c r="I45" s="12">
        <f t="shared" si="7"/>
        <v>0</v>
      </c>
      <c r="L45" s="31" t="str">
        <f t="shared" si="1"/>
        <v>-</v>
      </c>
      <c r="M45" s="31" t="str">
        <f t="shared" si="2"/>
        <v>-</v>
      </c>
      <c r="N45" s="32" t="str">
        <f t="shared" si="3"/>
        <v>-</v>
      </c>
      <c r="O45" s="33" t="str">
        <f t="shared" si="4"/>
        <v>-</v>
      </c>
      <c r="Q45" s="33" t="str">
        <f t="shared" si="5"/>
        <v>-</v>
      </c>
    </row>
    <row r="46" spans="1:17" x14ac:dyDescent="0.3">
      <c r="A46" s="40">
        <v>816170022847</v>
      </c>
      <c r="B46" s="1" t="s">
        <v>47</v>
      </c>
      <c r="C46" s="2" t="s">
        <v>140</v>
      </c>
      <c r="D46" s="5" t="s">
        <v>196</v>
      </c>
      <c r="E46" s="43">
        <v>0.61993792185645824</v>
      </c>
      <c r="F46" s="4">
        <v>12</v>
      </c>
      <c r="G46" s="12">
        <v>13.65</v>
      </c>
      <c r="H46" s="18"/>
      <c r="I46" s="12">
        <f t="shared" si="7"/>
        <v>0</v>
      </c>
      <c r="L46" s="31" t="str">
        <f t="shared" si="1"/>
        <v>-</v>
      </c>
      <c r="M46" s="31" t="str">
        <f t="shared" si="2"/>
        <v>-</v>
      </c>
      <c r="N46" s="32" t="str">
        <f t="shared" si="3"/>
        <v>-</v>
      </c>
      <c r="O46" s="33" t="str">
        <f t="shared" si="4"/>
        <v>-</v>
      </c>
      <c r="Q46" s="33" t="str">
        <f t="shared" si="5"/>
        <v>-</v>
      </c>
    </row>
    <row r="47" spans="1:17" x14ac:dyDescent="0.3">
      <c r="A47" s="40">
        <v>816170025725</v>
      </c>
      <c r="B47" s="1" t="s">
        <v>48</v>
      </c>
      <c r="C47" s="2" t="s">
        <v>141</v>
      </c>
      <c r="D47" s="5" t="s">
        <v>196</v>
      </c>
      <c r="E47" s="43">
        <v>0.61993792185645824</v>
      </c>
      <c r="F47" s="4">
        <v>12</v>
      </c>
      <c r="G47" s="12">
        <v>13.65</v>
      </c>
      <c r="H47" s="18"/>
      <c r="I47" s="12">
        <f t="shared" si="7"/>
        <v>0</v>
      </c>
      <c r="L47" s="31" t="str">
        <f t="shared" si="1"/>
        <v>-</v>
      </c>
      <c r="M47" s="31" t="str">
        <f t="shared" si="2"/>
        <v>-</v>
      </c>
      <c r="N47" s="32" t="str">
        <f t="shared" si="3"/>
        <v>-</v>
      </c>
      <c r="O47" s="33" t="str">
        <f t="shared" si="4"/>
        <v>-</v>
      </c>
      <c r="Q47" s="33" t="str">
        <f t="shared" si="5"/>
        <v>-</v>
      </c>
    </row>
    <row r="48" spans="1:17" x14ac:dyDescent="0.3">
      <c r="A48" s="40">
        <v>816170026166</v>
      </c>
      <c r="B48" s="1" t="s">
        <v>75</v>
      </c>
      <c r="C48" s="2" t="s">
        <v>142</v>
      </c>
      <c r="D48" s="5" t="s">
        <v>64</v>
      </c>
      <c r="E48" s="43">
        <v>0.28530015088895838</v>
      </c>
      <c r="F48" s="4">
        <v>12</v>
      </c>
      <c r="G48" s="12">
        <v>14.950000000000001</v>
      </c>
      <c r="H48" s="18"/>
      <c r="I48" s="12">
        <f t="shared" si="7"/>
        <v>0</v>
      </c>
      <c r="L48" s="31" t="str">
        <f t="shared" si="1"/>
        <v>-</v>
      </c>
      <c r="M48" s="31" t="str">
        <f t="shared" si="2"/>
        <v>-</v>
      </c>
      <c r="N48" s="32" t="str">
        <f t="shared" si="3"/>
        <v>-</v>
      </c>
      <c r="O48" s="33" t="str">
        <f t="shared" si="4"/>
        <v>-</v>
      </c>
      <c r="Q48" s="33" t="str">
        <f t="shared" si="5"/>
        <v>-</v>
      </c>
    </row>
    <row r="49" spans="1:17" x14ac:dyDescent="0.3">
      <c r="A49" s="40">
        <v>816170026173</v>
      </c>
      <c r="B49" s="1" t="s">
        <v>76</v>
      </c>
      <c r="C49" s="2" t="s">
        <v>143</v>
      </c>
      <c r="D49" s="5" t="s">
        <v>197</v>
      </c>
      <c r="E49" s="43">
        <v>0.28959037872187504</v>
      </c>
      <c r="F49" s="4">
        <v>12</v>
      </c>
      <c r="G49" s="12">
        <v>28.6</v>
      </c>
      <c r="H49" s="18"/>
      <c r="I49" s="12">
        <f t="shared" si="7"/>
        <v>0</v>
      </c>
      <c r="L49" s="31" t="str">
        <f t="shared" si="1"/>
        <v>-</v>
      </c>
      <c r="M49" s="31" t="str">
        <f t="shared" si="2"/>
        <v>-</v>
      </c>
      <c r="N49" s="32" t="str">
        <f t="shared" si="3"/>
        <v>-</v>
      </c>
      <c r="O49" s="33" t="str">
        <f t="shared" si="4"/>
        <v>-</v>
      </c>
      <c r="Q49" s="33" t="str">
        <f t="shared" si="5"/>
        <v>-</v>
      </c>
    </row>
    <row r="50" spans="1:17" x14ac:dyDescent="0.3">
      <c r="A50" s="40">
        <v>816170026197</v>
      </c>
      <c r="B50" s="1" t="s">
        <v>77</v>
      </c>
      <c r="C50" s="2" t="s">
        <v>144</v>
      </c>
      <c r="D50" s="5" t="s">
        <v>65</v>
      </c>
      <c r="E50" s="43">
        <v>0.16731888548375001</v>
      </c>
      <c r="F50" s="4">
        <v>12</v>
      </c>
      <c r="G50" s="12">
        <v>14.3</v>
      </c>
      <c r="H50" s="18"/>
      <c r="I50" s="12">
        <f t="shared" si="7"/>
        <v>0</v>
      </c>
      <c r="L50" s="31" t="str">
        <f t="shared" si="1"/>
        <v>-</v>
      </c>
      <c r="M50" s="31" t="str">
        <f t="shared" si="2"/>
        <v>-</v>
      </c>
      <c r="N50" s="32" t="str">
        <f t="shared" si="3"/>
        <v>-</v>
      </c>
      <c r="O50" s="33" t="str">
        <f t="shared" si="4"/>
        <v>-</v>
      </c>
      <c r="Q50" s="33" t="str">
        <f t="shared" si="5"/>
        <v>-</v>
      </c>
    </row>
    <row r="51" spans="1:17" x14ac:dyDescent="0.3">
      <c r="A51" s="40">
        <v>816170026159</v>
      </c>
      <c r="B51" s="1" t="s">
        <v>78</v>
      </c>
      <c r="C51" s="2" t="s">
        <v>145</v>
      </c>
      <c r="D51" s="5" t="s">
        <v>198</v>
      </c>
      <c r="E51" s="43">
        <v>7.5078987076041673E-2</v>
      </c>
      <c r="F51" s="4">
        <v>12</v>
      </c>
      <c r="G51" s="12">
        <v>11.375</v>
      </c>
      <c r="H51" s="18"/>
      <c r="I51" s="12">
        <f t="shared" si="7"/>
        <v>0</v>
      </c>
      <c r="L51" s="31" t="str">
        <f t="shared" si="1"/>
        <v>-</v>
      </c>
      <c r="M51" s="31" t="str">
        <f t="shared" si="2"/>
        <v>-</v>
      </c>
      <c r="N51" s="32" t="str">
        <f t="shared" si="3"/>
        <v>-</v>
      </c>
      <c r="O51" s="33" t="str">
        <f t="shared" si="4"/>
        <v>-</v>
      </c>
      <c r="Q51" s="33" t="str">
        <f t="shared" si="5"/>
        <v>-</v>
      </c>
    </row>
    <row r="52" spans="1:17" x14ac:dyDescent="0.3">
      <c r="A52" s="40">
        <v>816170026142</v>
      </c>
      <c r="B52" s="1" t="s">
        <v>79</v>
      </c>
      <c r="C52" s="7" t="s">
        <v>146</v>
      </c>
      <c r="D52" s="5" t="s">
        <v>199</v>
      </c>
      <c r="E52" s="43">
        <v>1.0897178695608332</v>
      </c>
      <c r="F52" s="4">
        <v>6</v>
      </c>
      <c r="G52" s="12">
        <v>26</v>
      </c>
      <c r="H52" s="18"/>
      <c r="I52" s="12">
        <f t="shared" si="7"/>
        <v>0</v>
      </c>
      <c r="L52" s="31" t="str">
        <f t="shared" si="1"/>
        <v>-</v>
      </c>
      <c r="M52" s="31" t="str">
        <f t="shared" si="2"/>
        <v>-</v>
      </c>
      <c r="N52" s="32" t="str">
        <f t="shared" si="3"/>
        <v>-</v>
      </c>
      <c r="O52" s="33" t="str">
        <f t="shared" si="4"/>
        <v>-</v>
      </c>
      <c r="Q52" s="33" t="str">
        <f t="shared" si="5"/>
        <v>-</v>
      </c>
    </row>
    <row r="53" spans="1:17" x14ac:dyDescent="0.3">
      <c r="A53" s="40">
        <v>816170026203</v>
      </c>
      <c r="B53" s="1" t="s">
        <v>80</v>
      </c>
      <c r="C53" s="7" t="s">
        <v>147</v>
      </c>
      <c r="D53" s="5" t="s">
        <v>200</v>
      </c>
      <c r="E53" s="43">
        <v>0.40328141629416675</v>
      </c>
      <c r="F53" s="4">
        <v>12</v>
      </c>
      <c r="G53" s="12">
        <v>18.2</v>
      </c>
      <c r="H53" s="18"/>
      <c r="I53" s="12">
        <f t="shared" si="7"/>
        <v>0</v>
      </c>
      <c r="L53" s="31" t="str">
        <f t="shared" si="1"/>
        <v>-</v>
      </c>
      <c r="M53" s="31" t="str">
        <f t="shared" si="2"/>
        <v>-</v>
      </c>
      <c r="N53" s="32" t="str">
        <f t="shared" si="3"/>
        <v>-</v>
      </c>
      <c r="O53" s="33" t="str">
        <f t="shared" si="4"/>
        <v>-</v>
      </c>
      <c r="Q53" s="33" t="str">
        <f t="shared" si="5"/>
        <v>-</v>
      </c>
    </row>
    <row r="54" spans="1:17" x14ac:dyDescent="0.3">
      <c r="A54" s="40">
        <v>816170026210</v>
      </c>
      <c r="B54" s="1" t="s">
        <v>81</v>
      </c>
      <c r="C54" s="7" t="s">
        <v>148</v>
      </c>
      <c r="D54" s="5" t="s">
        <v>200</v>
      </c>
      <c r="E54" s="43">
        <v>0.41186187195999996</v>
      </c>
      <c r="F54" s="4">
        <v>12</v>
      </c>
      <c r="G54" s="12">
        <v>18.2</v>
      </c>
      <c r="H54" s="18"/>
      <c r="I54" s="12">
        <f t="shared" si="7"/>
        <v>0</v>
      </c>
      <c r="L54" s="31" t="str">
        <f t="shared" si="1"/>
        <v>-</v>
      </c>
      <c r="M54" s="31" t="str">
        <f t="shared" si="2"/>
        <v>-</v>
      </c>
      <c r="N54" s="32" t="str">
        <f t="shared" si="3"/>
        <v>-</v>
      </c>
      <c r="O54" s="33" t="str">
        <f t="shared" si="4"/>
        <v>-</v>
      </c>
      <c r="Q54" s="33" t="str">
        <f t="shared" si="5"/>
        <v>-</v>
      </c>
    </row>
    <row r="55" spans="1:17" x14ac:dyDescent="0.3">
      <c r="A55" s="40">
        <v>816170026302</v>
      </c>
      <c r="B55" s="1" t="s">
        <v>82</v>
      </c>
      <c r="C55" s="2" t="s">
        <v>149</v>
      </c>
      <c r="D55" s="5" t="s">
        <v>201</v>
      </c>
      <c r="E55" s="43">
        <v>0.79369214908958341</v>
      </c>
      <c r="F55" s="4">
        <v>12</v>
      </c>
      <c r="G55" s="12">
        <v>17.55</v>
      </c>
      <c r="H55" s="18"/>
      <c r="I55" s="12">
        <f t="shared" si="7"/>
        <v>0</v>
      </c>
      <c r="L55" s="31" t="str">
        <f t="shared" si="1"/>
        <v>-</v>
      </c>
      <c r="M55" s="31" t="str">
        <f t="shared" si="2"/>
        <v>-</v>
      </c>
      <c r="N55" s="32" t="str">
        <f t="shared" si="3"/>
        <v>-</v>
      </c>
      <c r="O55" s="33" t="str">
        <f t="shared" si="4"/>
        <v>-</v>
      </c>
      <c r="Q55" s="33" t="str">
        <f t="shared" si="5"/>
        <v>-</v>
      </c>
    </row>
    <row r="56" spans="1:17" x14ac:dyDescent="0.3">
      <c r="A56" s="40">
        <v>816170026722</v>
      </c>
      <c r="B56" s="1" t="s">
        <v>83</v>
      </c>
      <c r="C56" s="2" t="s">
        <v>150</v>
      </c>
      <c r="D56" s="5" t="s">
        <v>202</v>
      </c>
      <c r="E56" s="43">
        <v>0.40328141629416675</v>
      </c>
      <c r="F56" s="4">
        <v>12</v>
      </c>
      <c r="G56" s="12">
        <v>17.55</v>
      </c>
      <c r="H56" s="18"/>
      <c r="I56" s="12">
        <f t="shared" si="7"/>
        <v>0</v>
      </c>
      <c r="L56" s="31" t="str">
        <f t="shared" si="1"/>
        <v>-</v>
      </c>
      <c r="M56" s="31" t="str">
        <f t="shared" si="2"/>
        <v>-</v>
      </c>
      <c r="N56" s="32" t="str">
        <f t="shared" si="3"/>
        <v>-</v>
      </c>
      <c r="O56" s="33" t="str">
        <f t="shared" si="4"/>
        <v>-</v>
      </c>
      <c r="Q56" s="33" t="str">
        <f t="shared" si="5"/>
        <v>-</v>
      </c>
    </row>
    <row r="57" spans="1:17" x14ac:dyDescent="0.3">
      <c r="A57" s="40">
        <v>816170026678</v>
      </c>
      <c r="B57" s="1" t="s">
        <v>84</v>
      </c>
      <c r="C57" s="2" t="s">
        <v>151</v>
      </c>
      <c r="D57" s="5" t="s">
        <v>202</v>
      </c>
      <c r="E57" s="43">
        <v>0.40328141629416675</v>
      </c>
      <c r="F57" s="4">
        <v>12</v>
      </c>
      <c r="G57" s="12">
        <v>17.55</v>
      </c>
      <c r="H57" s="18"/>
      <c r="I57" s="12">
        <f t="shared" si="7"/>
        <v>0</v>
      </c>
      <c r="L57" s="31" t="str">
        <f t="shared" si="1"/>
        <v>-</v>
      </c>
      <c r="M57" s="31" t="str">
        <f t="shared" si="2"/>
        <v>-</v>
      </c>
      <c r="N57" s="32" t="str">
        <f t="shared" si="3"/>
        <v>-</v>
      </c>
      <c r="O57" s="33" t="str">
        <f t="shared" si="4"/>
        <v>-</v>
      </c>
      <c r="Q57" s="33" t="str">
        <f t="shared" si="5"/>
        <v>-</v>
      </c>
    </row>
    <row r="58" spans="1:17" x14ac:dyDescent="0.3">
      <c r="A58" s="40">
        <v>816170026715</v>
      </c>
      <c r="B58" s="1" t="s">
        <v>85</v>
      </c>
      <c r="C58" s="7" t="s">
        <v>152</v>
      </c>
      <c r="D58" s="5" t="s">
        <v>202</v>
      </c>
      <c r="E58" s="43">
        <v>0.40328141629416675</v>
      </c>
      <c r="F58" s="4">
        <v>12</v>
      </c>
      <c r="G58" s="12">
        <v>17.55</v>
      </c>
      <c r="H58" s="18"/>
      <c r="I58" s="12">
        <f t="shared" si="7"/>
        <v>0</v>
      </c>
      <c r="L58" s="31" t="str">
        <f t="shared" si="1"/>
        <v>-</v>
      </c>
      <c r="M58" s="31" t="str">
        <f t="shared" si="2"/>
        <v>-</v>
      </c>
      <c r="N58" s="32" t="str">
        <f t="shared" si="3"/>
        <v>-</v>
      </c>
      <c r="O58" s="33" t="str">
        <f t="shared" si="4"/>
        <v>-</v>
      </c>
      <c r="Q58" s="33" t="str">
        <f t="shared" si="5"/>
        <v>-</v>
      </c>
    </row>
    <row r="59" spans="1:17" x14ac:dyDescent="0.3">
      <c r="A59" s="40">
        <v>816170026845</v>
      </c>
      <c r="B59" s="1" t="s">
        <v>86</v>
      </c>
      <c r="C59" s="8" t="s">
        <v>153</v>
      </c>
      <c r="D59" s="5" t="s">
        <v>202</v>
      </c>
      <c r="E59" s="43">
        <v>0.40328141629416675</v>
      </c>
      <c r="F59" s="4">
        <v>12</v>
      </c>
      <c r="G59" s="12">
        <v>17.55</v>
      </c>
      <c r="H59" s="18"/>
      <c r="I59" s="12">
        <f t="shared" si="7"/>
        <v>0</v>
      </c>
      <c r="L59" s="31" t="str">
        <f t="shared" si="1"/>
        <v>-</v>
      </c>
      <c r="M59" s="31" t="str">
        <f t="shared" si="2"/>
        <v>-</v>
      </c>
      <c r="N59" s="32" t="str">
        <f t="shared" si="3"/>
        <v>-</v>
      </c>
      <c r="O59" s="33" t="str">
        <f t="shared" si="4"/>
        <v>-</v>
      </c>
      <c r="Q59" s="33" t="str">
        <f t="shared" si="5"/>
        <v>-</v>
      </c>
    </row>
    <row r="60" spans="1:17" x14ac:dyDescent="0.3">
      <c r="A60" s="40">
        <v>816170021673</v>
      </c>
      <c r="B60" s="1" t="s">
        <v>44</v>
      </c>
      <c r="C60" s="7" t="s">
        <v>154</v>
      </c>
      <c r="D60" s="5" t="s">
        <v>180</v>
      </c>
      <c r="E60" s="43">
        <v>0.47192506162083342</v>
      </c>
      <c r="F60" s="4">
        <v>12</v>
      </c>
      <c r="G60" s="12">
        <v>11.375</v>
      </c>
      <c r="H60" s="18"/>
      <c r="I60" s="12">
        <f t="shared" si="7"/>
        <v>0</v>
      </c>
      <c r="L60" s="31" t="str">
        <f t="shared" si="1"/>
        <v>-</v>
      </c>
      <c r="M60" s="31" t="str">
        <f t="shared" si="2"/>
        <v>-</v>
      </c>
      <c r="N60" s="32" t="str">
        <f t="shared" si="3"/>
        <v>-</v>
      </c>
      <c r="O60" s="33" t="str">
        <f t="shared" si="4"/>
        <v>-</v>
      </c>
      <c r="Q60" s="33" t="str">
        <f t="shared" si="5"/>
        <v>-</v>
      </c>
    </row>
    <row r="61" spans="1:17" x14ac:dyDescent="0.3">
      <c r="A61" s="40">
        <v>816170025435</v>
      </c>
      <c r="B61" s="1" t="s">
        <v>42</v>
      </c>
      <c r="C61" s="2" t="s">
        <v>155</v>
      </c>
      <c r="D61" s="5" t="s">
        <v>203</v>
      </c>
      <c r="E61" s="43">
        <v>1.1369103757229169</v>
      </c>
      <c r="F61" s="4">
        <v>6</v>
      </c>
      <c r="G61" s="12">
        <v>32.5</v>
      </c>
      <c r="H61" s="18"/>
      <c r="I61" s="12">
        <f t="shared" si="7"/>
        <v>0</v>
      </c>
      <c r="L61" s="31" t="str">
        <f t="shared" si="1"/>
        <v>-</v>
      </c>
      <c r="M61" s="31" t="str">
        <f t="shared" si="2"/>
        <v>-</v>
      </c>
      <c r="N61" s="32" t="str">
        <f t="shared" si="3"/>
        <v>-</v>
      </c>
      <c r="O61" s="33" t="str">
        <f t="shared" si="4"/>
        <v>-</v>
      </c>
      <c r="Q61" s="33" t="str">
        <f t="shared" si="5"/>
        <v>-</v>
      </c>
    </row>
    <row r="62" spans="1:17" x14ac:dyDescent="0.3">
      <c r="A62" s="40">
        <v>816170025268</v>
      </c>
      <c r="B62" s="1" t="s">
        <v>59</v>
      </c>
      <c r="C62" s="2" t="s">
        <v>156</v>
      </c>
      <c r="D62" s="6" t="s">
        <v>204</v>
      </c>
      <c r="E62" s="43">
        <v>0.24454298647625003</v>
      </c>
      <c r="F62" s="4">
        <v>12</v>
      </c>
      <c r="G62" s="12">
        <v>8.125</v>
      </c>
      <c r="H62" s="18"/>
      <c r="I62" s="12">
        <f t="shared" si="7"/>
        <v>0</v>
      </c>
      <c r="L62" s="31" t="str">
        <f t="shared" si="1"/>
        <v>-</v>
      </c>
      <c r="M62" s="31" t="str">
        <f t="shared" si="2"/>
        <v>-</v>
      </c>
      <c r="N62" s="32" t="str">
        <f t="shared" si="3"/>
        <v>-</v>
      </c>
      <c r="O62" s="33" t="str">
        <f t="shared" si="4"/>
        <v>-</v>
      </c>
      <c r="Q62" s="33" t="str">
        <f t="shared" si="5"/>
        <v>-</v>
      </c>
    </row>
    <row r="63" spans="1:17" x14ac:dyDescent="0.3">
      <c r="A63" s="42">
        <v>816170026647</v>
      </c>
      <c r="B63" s="1" t="s">
        <v>87</v>
      </c>
      <c r="C63" s="7" t="s">
        <v>157</v>
      </c>
      <c r="D63" s="5" t="s">
        <v>205</v>
      </c>
      <c r="E63" s="43">
        <v>0.73791918726166672</v>
      </c>
      <c r="F63" s="4">
        <v>6</v>
      </c>
      <c r="G63" s="12">
        <v>15.600000000000001</v>
      </c>
      <c r="H63" s="18"/>
      <c r="I63" s="12">
        <f t="shared" ref="I63:I69" si="8">H63*G63</f>
        <v>0</v>
      </c>
      <c r="L63" s="31" t="str">
        <f t="shared" si="1"/>
        <v>-</v>
      </c>
      <c r="M63" s="31" t="str">
        <f t="shared" si="2"/>
        <v>-</v>
      </c>
      <c r="N63" s="32" t="str">
        <f t="shared" si="3"/>
        <v>-</v>
      </c>
      <c r="O63" s="33" t="str">
        <f t="shared" si="4"/>
        <v>-</v>
      </c>
      <c r="Q63" s="33" t="str">
        <f t="shared" si="5"/>
        <v>-</v>
      </c>
    </row>
    <row r="64" spans="1:17" x14ac:dyDescent="0.3">
      <c r="A64" s="42">
        <v>816170021680</v>
      </c>
      <c r="B64" s="1" t="s">
        <v>45</v>
      </c>
      <c r="C64" s="7" t="s">
        <v>158</v>
      </c>
      <c r="D64" s="5" t="s">
        <v>180</v>
      </c>
      <c r="E64" s="43">
        <v>0.45047392245625001</v>
      </c>
      <c r="F64" s="4">
        <v>12</v>
      </c>
      <c r="G64" s="12">
        <v>11.700000000000001</v>
      </c>
      <c r="H64" s="18"/>
      <c r="I64" s="12">
        <f t="shared" si="8"/>
        <v>0</v>
      </c>
      <c r="L64" s="31" t="str">
        <f t="shared" si="1"/>
        <v>-</v>
      </c>
      <c r="M64" s="31" t="str">
        <f t="shared" si="2"/>
        <v>-</v>
      </c>
      <c r="N64" s="32" t="str">
        <f t="shared" si="3"/>
        <v>-</v>
      </c>
      <c r="O64" s="33" t="str">
        <f t="shared" si="4"/>
        <v>-</v>
      </c>
      <c r="Q64" s="33" t="str">
        <f t="shared" si="5"/>
        <v>-</v>
      </c>
    </row>
    <row r="65" spans="1:17" x14ac:dyDescent="0.3">
      <c r="A65" s="42">
        <v>816170022991</v>
      </c>
      <c r="B65" s="1" t="s">
        <v>88</v>
      </c>
      <c r="C65" s="7" t="s">
        <v>159</v>
      </c>
      <c r="D65" s="5" t="s">
        <v>206</v>
      </c>
      <c r="E65" s="43">
        <v>6.3495371927166673</v>
      </c>
      <c r="F65" s="4">
        <v>3</v>
      </c>
      <c r="G65" s="12">
        <v>39.195</v>
      </c>
      <c r="H65" s="18"/>
      <c r="I65" s="12">
        <f t="shared" si="8"/>
        <v>0</v>
      </c>
      <c r="L65" s="31" t="str">
        <f t="shared" si="1"/>
        <v>-</v>
      </c>
      <c r="M65" s="31" t="str">
        <f t="shared" si="2"/>
        <v>-</v>
      </c>
      <c r="N65" s="32" t="str">
        <f t="shared" si="3"/>
        <v>-</v>
      </c>
      <c r="O65" s="33" t="str">
        <f t="shared" si="4"/>
        <v>-</v>
      </c>
      <c r="Q65" s="33" t="str">
        <f t="shared" si="5"/>
        <v>-</v>
      </c>
    </row>
    <row r="66" spans="1:17" x14ac:dyDescent="0.3">
      <c r="A66" s="42">
        <v>816170023011</v>
      </c>
      <c r="B66" s="1" t="s">
        <v>89</v>
      </c>
      <c r="C66" s="7" t="s">
        <v>160</v>
      </c>
      <c r="D66" s="5" t="s">
        <v>206</v>
      </c>
      <c r="E66" s="43">
        <v>6.3495371927166673</v>
      </c>
      <c r="F66" s="4">
        <v>3</v>
      </c>
      <c r="G66" s="12">
        <v>39.195</v>
      </c>
      <c r="H66" s="18"/>
      <c r="I66" s="12">
        <f t="shared" si="8"/>
        <v>0</v>
      </c>
      <c r="L66" s="31" t="str">
        <f t="shared" si="1"/>
        <v>-</v>
      </c>
      <c r="M66" s="31" t="str">
        <f t="shared" si="2"/>
        <v>-</v>
      </c>
      <c r="N66" s="32" t="str">
        <f t="shared" si="3"/>
        <v>-</v>
      </c>
      <c r="O66" s="33" t="str">
        <f t="shared" si="4"/>
        <v>-</v>
      </c>
      <c r="Q66" s="33" t="str">
        <f t="shared" si="5"/>
        <v>-</v>
      </c>
    </row>
    <row r="67" spans="1:17" x14ac:dyDescent="0.3">
      <c r="A67" s="40">
        <v>816170022625</v>
      </c>
      <c r="B67" s="1" t="s">
        <v>90</v>
      </c>
      <c r="C67" s="2" t="s">
        <v>161</v>
      </c>
      <c r="D67" s="5" t="s">
        <v>207</v>
      </c>
      <c r="E67" s="43">
        <v>1.2012637932166668</v>
      </c>
      <c r="F67" s="4">
        <v>6</v>
      </c>
      <c r="G67" s="12">
        <v>24.803999999999998</v>
      </c>
      <c r="H67" s="18"/>
      <c r="I67" s="12">
        <f t="shared" si="8"/>
        <v>0</v>
      </c>
      <c r="L67" s="31" t="str">
        <f t="shared" si="1"/>
        <v>-</v>
      </c>
      <c r="M67" s="31" t="str">
        <f t="shared" si="2"/>
        <v>-</v>
      </c>
      <c r="N67" s="32" t="str">
        <f t="shared" si="3"/>
        <v>-</v>
      </c>
      <c r="O67" s="33" t="str">
        <f t="shared" si="4"/>
        <v>-</v>
      </c>
      <c r="Q67" s="33" t="str">
        <f t="shared" si="5"/>
        <v>-</v>
      </c>
    </row>
    <row r="68" spans="1:17" x14ac:dyDescent="0.3">
      <c r="A68" s="40">
        <v>816170022632</v>
      </c>
      <c r="B68" s="1" t="s">
        <v>91</v>
      </c>
      <c r="C68" s="2" t="s">
        <v>162</v>
      </c>
      <c r="D68" s="5" t="s">
        <v>207</v>
      </c>
      <c r="E68" s="43">
        <v>1.2012637932166668</v>
      </c>
      <c r="F68" s="4">
        <v>6</v>
      </c>
      <c r="G68" s="12">
        <v>24.803999999999998</v>
      </c>
      <c r="H68" s="18"/>
      <c r="I68" s="12">
        <f t="shared" si="8"/>
        <v>0</v>
      </c>
      <c r="L68" s="31" t="str">
        <f t="shared" ref="L68:L69" si="9">IFERROR(IF($L$2*E68=0, "-", $L$2*E68), "-")</f>
        <v>-</v>
      </c>
      <c r="M68" s="31" t="str">
        <f t="shared" ref="M68:M69" si="10">IFERROR(IF(L68&gt;0,G68+L68,"-"),"-")</f>
        <v>-</v>
      </c>
      <c r="N68" s="32" t="str">
        <f t="shared" ref="N68:N69" si="11">IF(H68&gt;0,H68*E68, "-")</f>
        <v>-</v>
      </c>
      <c r="O68" s="33" t="str">
        <f t="shared" ref="O68:O69" si="12">IFERROR(IF($L$2&gt;0, $L$2*N68, "-"), "-")</f>
        <v>-</v>
      </c>
      <c r="Q68" s="33" t="str">
        <f t="shared" ref="Q68:Q69" si="13">IFERROR(IF(O68+I68=0, "-", IF(O68&gt;0, O68+I68, "-")), "-")</f>
        <v>-</v>
      </c>
    </row>
    <row r="69" spans="1:17" x14ac:dyDescent="0.3">
      <c r="A69" s="40">
        <v>816170022649</v>
      </c>
      <c r="B69" s="1" t="s">
        <v>92</v>
      </c>
      <c r="C69" s="2" t="s">
        <v>163</v>
      </c>
      <c r="D69" s="5" t="s">
        <v>207</v>
      </c>
      <c r="E69" s="43">
        <v>1.2012637932166668</v>
      </c>
      <c r="F69" s="4">
        <v>6</v>
      </c>
      <c r="G69" s="12">
        <v>24.803999999999998</v>
      </c>
      <c r="H69" s="18"/>
      <c r="I69" s="12">
        <f t="shared" si="8"/>
        <v>0</v>
      </c>
      <c r="L69" s="31" t="str">
        <f t="shared" si="9"/>
        <v>-</v>
      </c>
      <c r="M69" s="31" t="str">
        <f t="shared" si="10"/>
        <v>-</v>
      </c>
      <c r="N69" s="32" t="str">
        <f t="shared" si="11"/>
        <v>-</v>
      </c>
      <c r="O69" s="33" t="str">
        <f t="shared" si="12"/>
        <v>-</v>
      </c>
      <c r="Q69" s="33" t="str">
        <f t="shared" si="13"/>
        <v>-</v>
      </c>
    </row>
    <row r="70" spans="1:17" x14ac:dyDescent="0.3">
      <c r="A70" s="40">
        <v>859613002105</v>
      </c>
      <c r="B70" s="1" t="s">
        <v>49</v>
      </c>
      <c r="C70" s="2" t="s">
        <v>164</v>
      </c>
      <c r="D70" s="5" t="s">
        <v>208</v>
      </c>
      <c r="E70" s="43">
        <v>0.19306025248125</v>
      </c>
      <c r="F70" s="4">
        <v>12</v>
      </c>
      <c r="G70" s="12">
        <v>16.900000000000002</v>
      </c>
      <c r="H70" s="18"/>
      <c r="I70" s="12">
        <f t="shared" ref="I70:I81" si="14">H70*G70</f>
        <v>0</v>
      </c>
      <c r="L70" s="31" t="str">
        <f t="shared" ref="L70:L81" si="15">IFERROR(IF($L$2*E70=0, "-", $L$2*E70), "-")</f>
        <v>-</v>
      </c>
      <c r="M70" s="31" t="str">
        <f t="shared" ref="M70:M81" si="16">IFERROR(IF(L70&gt;0,G70+L70,"-"),"-")</f>
        <v>-</v>
      </c>
      <c r="N70" s="32" t="str">
        <f t="shared" ref="N70:N81" si="17">IF(H70&gt;0,H70*E70, "-")</f>
        <v>-</v>
      </c>
      <c r="O70" s="33" t="str">
        <f t="shared" ref="O70:O81" si="18">IFERROR(IF($L$2&gt;0, $L$2*N70, "-"), "-")</f>
        <v>-</v>
      </c>
      <c r="Q70" s="33" t="str">
        <f t="shared" ref="Q70:Q81" si="19">IFERROR(IF(O70+I70=0, "-", IF(O70&gt;0, O70+I70, "-")), "-")</f>
        <v>-</v>
      </c>
    </row>
    <row r="71" spans="1:17" x14ac:dyDescent="0.3">
      <c r="A71" s="40">
        <v>859613000774</v>
      </c>
      <c r="B71" s="1" t="s">
        <v>50</v>
      </c>
      <c r="C71" s="2" t="s">
        <v>165</v>
      </c>
      <c r="D71" s="5" t="s">
        <v>209</v>
      </c>
      <c r="E71" s="43">
        <v>0.19306025248125</v>
      </c>
      <c r="F71" s="4">
        <v>12</v>
      </c>
      <c r="G71" s="12">
        <v>14.950000000000001</v>
      </c>
      <c r="H71" s="18"/>
      <c r="I71" s="12">
        <f t="shared" si="14"/>
        <v>0</v>
      </c>
      <c r="L71" s="31" t="str">
        <f t="shared" si="15"/>
        <v>-</v>
      </c>
      <c r="M71" s="31" t="str">
        <f t="shared" si="16"/>
        <v>-</v>
      </c>
      <c r="N71" s="32" t="str">
        <f t="shared" si="17"/>
        <v>-</v>
      </c>
      <c r="O71" s="33" t="str">
        <f t="shared" si="18"/>
        <v>-</v>
      </c>
      <c r="Q71" s="33" t="str">
        <f t="shared" si="19"/>
        <v>-</v>
      </c>
    </row>
    <row r="72" spans="1:17" x14ac:dyDescent="0.3">
      <c r="A72" s="40">
        <v>859613000781</v>
      </c>
      <c r="B72" s="1" t="s">
        <v>51</v>
      </c>
      <c r="C72" s="2" t="s">
        <v>166</v>
      </c>
      <c r="D72" s="5" t="s">
        <v>208</v>
      </c>
      <c r="E72" s="43">
        <v>0.18447979681541668</v>
      </c>
      <c r="F72" s="4">
        <v>12</v>
      </c>
      <c r="G72" s="12">
        <v>16.900000000000002</v>
      </c>
      <c r="H72" s="18"/>
      <c r="I72" s="12">
        <f t="shared" si="14"/>
        <v>0</v>
      </c>
      <c r="L72" s="31" t="str">
        <f t="shared" si="15"/>
        <v>-</v>
      </c>
      <c r="M72" s="31" t="str">
        <f t="shared" si="16"/>
        <v>-</v>
      </c>
      <c r="N72" s="32" t="str">
        <f t="shared" si="17"/>
        <v>-</v>
      </c>
      <c r="O72" s="33" t="str">
        <f t="shared" si="18"/>
        <v>-</v>
      </c>
      <c r="Q72" s="33" t="str">
        <f t="shared" si="19"/>
        <v>-</v>
      </c>
    </row>
    <row r="73" spans="1:17" x14ac:dyDescent="0.3">
      <c r="A73" s="40">
        <v>816170020638</v>
      </c>
      <c r="B73" s="1" t="s">
        <v>93</v>
      </c>
      <c r="C73" s="2" t="s">
        <v>167</v>
      </c>
      <c r="D73" s="5" t="s">
        <v>210</v>
      </c>
      <c r="E73" s="43"/>
      <c r="F73" s="4">
        <v>12</v>
      </c>
      <c r="G73" s="12">
        <v>19.89</v>
      </c>
      <c r="H73" s="18"/>
      <c r="I73" s="12">
        <f t="shared" si="14"/>
        <v>0</v>
      </c>
      <c r="L73" s="31" t="str">
        <f t="shared" si="15"/>
        <v>-</v>
      </c>
      <c r="M73" s="31" t="str">
        <f t="shared" si="16"/>
        <v>-</v>
      </c>
      <c r="N73" s="32" t="str">
        <f t="shared" si="17"/>
        <v>-</v>
      </c>
      <c r="O73" s="33" t="str">
        <f t="shared" si="18"/>
        <v>-</v>
      </c>
      <c r="Q73" s="33" t="str">
        <f t="shared" si="19"/>
        <v>-</v>
      </c>
    </row>
    <row r="74" spans="1:17" x14ac:dyDescent="0.3">
      <c r="A74" s="40">
        <v>816170020591</v>
      </c>
      <c r="B74" s="1" t="s">
        <v>94</v>
      </c>
      <c r="C74" s="2" t="s">
        <v>168</v>
      </c>
      <c r="D74" s="5" t="s">
        <v>210</v>
      </c>
      <c r="E74" s="43"/>
      <c r="F74" s="4">
        <v>12</v>
      </c>
      <c r="G74" s="12">
        <v>20.994999999999997</v>
      </c>
      <c r="H74" s="18"/>
      <c r="I74" s="12">
        <f t="shared" si="14"/>
        <v>0</v>
      </c>
      <c r="L74" s="31" t="str">
        <f t="shared" si="15"/>
        <v>-</v>
      </c>
      <c r="M74" s="31" t="str">
        <f t="shared" si="16"/>
        <v>-</v>
      </c>
      <c r="N74" s="32" t="str">
        <f t="shared" si="17"/>
        <v>-</v>
      </c>
      <c r="O74" s="33" t="str">
        <f t="shared" si="18"/>
        <v>-</v>
      </c>
      <c r="Q74" s="33" t="str">
        <f t="shared" si="19"/>
        <v>-</v>
      </c>
    </row>
    <row r="75" spans="1:17" x14ac:dyDescent="0.3">
      <c r="A75" s="40">
        <v>859613000071</v>
      </c>
      <c r="B75" s="1" t="s">
        <v>28</v>
      </c>
      <c r="C75" s="2" t="s">
        <v>169</v>
      </c>
      <c r="D75" s="5" t="s">
        <v>193</v>
      </c>
      <c r="E75" s="43"/>
      <c r="F75" s="4">
        <v>12</v>
      </c>
      <c r="G75" s="12">
        <v>11.05</v>
      </c>
      <c r="H75" s="18"/>
      <c r="I75" s="12">
        <f t="shared" si="14"/>
        <v>0</v>
      </c>
      <c r="L75" s="31" t="str">
        <f t="shared" si="15"/>
        <v>-</v>
      </c>
      <c r="M75" s="31" t="str">
        <f t="shared" si="16"/>
        <v>-</v>
      </c>
      <c r="N75" s="32" t="str">
        <f t="shared" si="17"/>
        <v>-</v>
      </c>
      <c r="O75" s="33" t="str">
        <f t="shared" si="18"/>
        <v>-</v>
      </c>
      <c r="Q75" s="33" t="str">
        <f t="shared" si="19"/>
        <v>-</v>
      </c>
    </row>
    <row r="76" spans="1:17" x14ac:dyDescent="0.3">
      <c r="A76" s="40">
        <v>816170021390</v>
      </c>
      <c r="B76" s="1" t="s">
        <v>95</v>
      </c>
      <c r="C76" s="2" t="s">
        <v>170</v>
      </c>
      <c r="D76" s="5" t="s">
        <v>193</v>
      </c>
      <c r="E76" s="43"/>
      <c r="F76" s="4">
        <v>12</v>
      </c>
      <c r="G76" s="12">
        <v>14.950000000000001</v>
      </c>
      <c r="H76" s="18"/>
      <c r="I76" s="12">
        <f t="shared" si="14"/>
        <v>0</v>
      </c>
      <c r="L76" s="31" t="str">
        <f t="shared" si="15"/>
        <v>-</v>
      </c>
      <c r="M76" s="31" t="str">
        <f t="shared" si="16"/>
        <v>-</v>
      </c>
      <c r="N76" s="32" t="str">
        <f t="shared" si="17"/>
        <v>-</v>
      </c>
      <c r="O76" s="33" t="str">
        <f t="shared" si="18"/>
        <v>-</v>
      </c>
      <c r="Q76" s="33" t="str">
        <f t="shared" si="19"/>
        <v>-</v>
      </c>
    </row>
    <row r="77" spans="1:17" x14ac:dyDescent="0.3">
      <c r="A77" s="40">
        <v>816170020881</v>
      </c>
      <c r="B77" s="1" t="s">
        <v>96</v>
      </c>
      <c r="C77" s="2" t="s">
        <v>171</v>
      </c>
      <c r="D77" s="5" t="s">
        <v>211</v>
      </c>
      <c r="E77" s="43"/>
      <c r="F77" s="4">
        <v>4</v>
      </c>
      <c r="G77" s="12">
        <v>40.481999999999999</v>
      </c>
      <c r="H77" s="18"/>
      <c r="I77" s="12">
        <f t="shared" si="14"/>
        <v>0</v>
      </c>
      <c r="L77" s="31" t="str">
        <f t="shared" si="15"/>
        <v>-</v>
      </c>
      <c r="M77" s="31" t="str">
        <f t="shared" si="16"/>
        <v>-</v>
      </c>
      <c r="N77" s="32" t="str">
        <f t="shared" si="17"/>
        <v>-</v>
      </c>
      <c r="O77" s="33" t="str">
        <f t="shared" si="18"/>
        <v>-</v>
      </c>
      <c r="Q77" s="33" t="str">
        <f t="shared" si="19"/>
        <v>-</v>
      </c>
    </row>
    <row r="78" spans="1:17" x14ac:dyDescent="0.3">
      <c r="A78" s="40">
        <v>816170020911</v>
      </c>
      <c r="B78" s="1" t="s">
        <v>97</v>
      </c>
      <c r="C78" s="2" t="s">
        <v>172</v>
      </c>
      <c r="D78" s="5" t="s">
        <v>211</v>
      </c>
      <c r="E78" s="43"/>
      <c r="F78" s="4">
        <v>4</v>
      </c>
      <c r="G78" s="12">
        <v>38.35</v>
      </c>
      <c r="H78" s="18"/>
      <c r="I78" s="12">
        <f t="shared" si="14"/>
        <v>0</v>
      </c>
      <c r="L78" s="31" t="str">
        <f t="shared" si="15"/>
        <v>-</v>
      </c>
      <c r="M78" s="31" t="str">
        <f t="shared" si="16"/>
        <v>-</v>
      </c>
      <c r="N78" s="32" t="str">
        <f t="shared" si="17"/>
        <v>-</v>
      </c>
      <c r="O78" s="33" t="str">
        <f t="shared" si="18"/>
        <v>-</v>
      </c>
      <c r="Q78" s="33" t="str">
        <f t="shared" si="19"/>
        <v>-</v>
      </c>
    </row>
    <row r="79" spans="1:17" x14ac:dyDescent="0.3">
      <c r="A79" s="40">
        <v>816170023783</v>
      </c>
      <c r="B79" s="1" t="s">
        <v>29</v>
      </c>
      <c r="C79" s="2" t="s">
        <v>173</v>
      </c>
      <c r="D79" s="5" t="s">
        <v>193</v>
      </c>
      <c r="E79" s="43">
        <v>0.16560279435058334</v>
      </c>
      <c r="F79" s="4">
        <v>12</v>
      </c>
      <c r="G79" s="12">
        <v>28.6</v>
      </c>
      <c r="H79" s="18"/>
      <c r="I79" s="12">
        <f t="shared" si="14"/>
        <v>0</v>
      </c>
      <c r="L79" s="31" t="str">
        <f t="shared" si="15"/>
        <v>-</v>
      </c>
      <c r="M79" s="31" t="str">
        <f t="shared" si="16"/>
        <v>-</v>
      </c>
      <c r="N79" s="32" t="str">
        <f t="shared" si="17"/>
        <v>-</v>
      </c>
      <c r="O79" s="33" t="str">
        <f t="shared" si="18"/>
        <v>-</v>
      </c>
      <c r="Q79" s="33" t="str">
        <f t="shared" si="19"/>
        <v>-</v>
      </c>
    </row>
    <row r="80" spans="1:17" x14ac:dyDescent="0.3">
      <c r="A80" s="40">
        <v>816170026227</v>
      </c>
      <c r="B80" s="1" t="s">
        <v>98</v>
      </c>
      <c r="C80" s="2" t="s">
        <v>174</v>
      </c>
      <c r="D80" s="5" t="s">
        <v>199</v>
      </c>
      <c r="E80" s="43">
        <v>0.72504850376291674</v>
      </c>
      <c r="F80" s="4">
        <v>6</v>
      </c>
      <c r="G80" s="12">
        <v>19.5</v>
      </c>
      <c r="H80" s="18"/>
      <c r="I80" s="12">
        <f t="shared" si="14"/>
        <v>0</v>
      </c>
      <c r="L80" s="31" t="str">
        <f t="shared" si="15"/>
        <v>-</v>
      </c>
      <c r="M80" s="31" t="str">
        <f t="shared" si="16"/>
        <v>-</v>
      </c>
      <c r="N80" s="32" t="str">
        <f t="shared" si="17"/>
        <v>-</v>
      </c>
      <c r="O80" s="33" t="str">
        <f t="shared" si="18"/>
        <v>-</v>
      </c>
      <c r="Q80" s="33" t="str">
        <f t="shared" si="19"/>
        <v>-</v>
      </c>
    </row>
    <row r="81" spans="1:17" x14ac:dyDescent="0.3">
      <c r="A81" s="40">
        <v>816170026234</v>
      </c>
      <c r="B81" s="1" t="s">
        <v>99</v>
      </c>
      <c r="C81" s="2" t="s">
        <v>175</v>
      </c>
      <c r="D81" s="5" t="s">
        <v>199</v>
      </c>
      <c r="E81" s="43">
        <v>0.73362895942875017</v>
      </c>
      <c r="F81" s="4">
        <v>6</v>
      </c>
      <c r="G81" s="12">
        <v>19.5</v>
      </c>
      <c r="H81" s="18"/>
      <c r="I81" s="12">
        <f t="shared" ref="I81:I83" si="20">H81*G81</f>
        <v>0</v>
      </c>
      <c r="L81" s="31" t="str">
        <f t="shared" ref="L81:L83" si="21">IFERROR(IF($L$2*E81=0, "-", $L$2*E81), "-")</f>
        <v>-</v>
      </c>
      <c r="M81" s="31" t="str">
        <f t="shared" ref="M81:M83" si="22">IFERROR(IF(L81&gt;0,G81+L81,"-"),"-")</f>
        <v>-</v>
      </c>
      <c r="N81" s="32" t="str">
        <f t="shared" ref="N81:N83" si="23">IF(H81&gt;0,H81*E81, "-")</f>
        <v>-</v>
      </c>
      <c r="O81" s="33" t="str">
        <f t="shared" ref="O81:O83" si="24">IFERROR(IF($L$2&gt;0, $L$2*N81, "-"), "-")</f>
        <v>-</v>
      </c>
      <c r="Q81" s="33" t="str">
        <f t="shared" ref="Q81:Q83" si="25">IFERROR(IF(O81+I81=0, "-", IF(O81&gt;0, O81+I81, "-")), "-")</f>
        <v>-</v>
      </c>
    </row>
    <row r="82" spans="1:17" x14ac:dyDescent="0.3">
      <c r="A82" s="3"/>
      <c r="B82" s="1" t="s">
        <v>100</v>
      </c>
      <c r="C82" s="2" t="s">
        <v>176</v>
      </c>
      <c r="D82" s="5" t="s">
        <v>199</v>
      </c>
      <c r="E82" s="43">
        <v>0.73362895942875017</v>
      </c>
      <c r="F82" s="4">
        <v>6</v>
      </c>
      <c r="G82" s="12">
        <v>19.5</v>
      </c>
      <c r="H82" s="18"/>
      <c r="I82" s="12">
        <f t="shared" si="20"/>
        <v>0</v>
      </c>
      <c r="L82" s="31" t="str">
        <f t="shared" si="21"/>
        <v>-</v>
      </c>
      <c r="M82" s="31" t="str">
        <f t="shared" si="22"/>
        <v>-</v>
      </c>
      <c r="N82" s="32" t="str">
        <f t="shared" si="23"/>
        <v>-</v>
      </c>
      <c r="O82" s="33" t="str">
        <f t="shared" si="24"/>
        <v>-</v>
      </c>
      <c r="Q82" s="33" t="str">
        <f t="shared" si="25"/>
        <v>-</v>
      </c>
    </row>
    <row r="83" spans="1:17" x14ac:dyDescent="0.3">
      <c r="A83" s="3"/>
      <c r="B83" s="1" t="s">
        <v>101</v>
      </c>
      <c r="C83" s="2" t="s">
        <v>177</v>
      </c>
      <c r="D83" s="5" t="s">
        <v>199</v>
      </c>
      <c r="E83" s="43">
        <v>0.73362895942875017</v>
      </c>
      <c r="F83" s="4">
        <v>6</v>
      </c>
      <c r="G83" s="12">
        <v>19.5</v>
      </c>
      <c r="H83" s="18"/>
      <c r="I83" s="12">
        <f t="shared" si="20"/>
        <v>0</v>
      </c>
      <c r="L83" s="31" t="str">
        <f t="shared" si="21"/>
        <v>-</v>
      </c>
      <c r="M83" s="31" t="str">
        <f t="shared" si="22"/>
        <v>-</v>
      </c>
      <c r="N83" s="32" t="str">
        <f t="shared" si="23"/>
        <v>-</v>
      </c>
      <c r="O83" s="33" t="str">
        <f t="shared" si="24"/>
        <v>-</v>
      </c>
      <c r="Q83" s="33" t="str">
        <f t="shared" si="25"/>
        <v>-</v>
      </c>
    </row>
    <row r="84" spans="1:17" x14ac:dyDescent="0.3">
      <c r="L84" s="31"/>
      <c r="M84" s="31"/>
      <c r="N84" s="32"/>
      <c r="O84" s="33"/>
      <c r="Q84" s="33"/>
    </row>
    <row r="85" spans="1:17" x14ac:dyDescent="0.3">
      <c r="L85" s="31"/>
      <c r="M85" s="31"/>
      <c r="N85" s="32"/>
      <c r="O85" s="33"/>
      <c r="Q85" s="33"/>
    </row>
    <row r="86" spans="1:17" x14ac:dyDescent="0.3">
      <c r="L86" s="31"/>
      <c r="M86" s="31"/>
      <c r="N86" s="32"/>
      <c r="O86" s="33"/>
      <c r="Q86" s="33"/>
    </row>
    <row r="87" spans="1:17" x14ac:dyDescent="0.3">
      <c r="L87" s="31"/>
      <c r="M87" s="31"/>
      <c r="N87" s="32"/>
      <c r="O87" s="33"/>
      <c r="Q87" s="33"/>
    </row>
    <row r="88" spans="1:17" x14ac:dyDescent="0.3">
      <c r="L88" s="31"/>
      <c r="M88" s="31"/>
      <c r="N88" s="32"/>
      <c r="O88" s="33"/>
      <c r="Q88" s="33"/>
    </row>
    <row r="89" spans="1:17" x14ac:dyDescent="0.3">
      <c r="L89" s="31"/>
      <c r="M89" s="31"/>
      <c r="N89" s="32"/>
      <c r="O89" s="33"/>
      <c r="Q89" s="33"/>
    </row>
    <row r="90" spans="1:17" x14ac:dyDescent="0.3">
      <c r="L90" s="31"/>
      <c r="M90" s="31"/>
      <c r="N90" s="32"/>
      <c r="O90" s="33"/>
      <c r="Q90" s="33"/>
    </row>
    <row r="91" spans="1:17" x14ac:dyDescent="0.3">
      <c r="L91" s="31"/>
      <c r="M91" s="31"/>
      <c r="N91" s="32"/>
      <c r="O91" s="33"/>
      <c r="Q91" s="33"/>
    </row>
    <row r="92" spans="1:17" x14ac:dyDescent="0.3">
      <c r="L92" s="31"/>
      <c r="M92" s="31"/>
      <c r="N92" s="32"/>
      <c r="O92" s="33"/>
      <c r="Q92" s="33"/>
    </row>
    <row r="93" spans="1:17" x14ac:dyDescent="0.3">
      <c r="L93" s="31"/>
      <c r="M93" s="31"/>
      <c r="N93" s="32"/>
      <c r="O93" s="33"/>
      <c r="Q93" s="33"/>
    </row>
    <row r="94" spans="1:17" x14ac:dyDescent="0.3">
      <c r="L94" s="31"/>
      <c r="M94" s="31"/>
      <c r="N94" s="32"/>
      <c r="O94" s="33"/>
      <c r="Q94" s="33"/>
    </row>
    <row r="95" spans="1:17" x14ac:dyDescent="0.3">
      <c r="L95" s="31"/>
      <c r="M95" s="31"/>
      <c r="N95" s="32"/>
      <c r="O95" s="33"/>
      <c r="Q95" s="33"/>
    </row>
    <row r="96" spans="1:17" x14ac:dyDescent="0.3">
      <c r="L96" s="31"/>
      <c r="M96" s="31"/>
      <c r="N96" s="32"/>
      <c r="O96" s="33"/>
      <c r="Q96" s="33"/>
    </row>
    <row r="97" spans="12:17" x14ac:dyDescent="0.3">
      <c r="L97" s="31"/>
      <c r="M97" s="31"/>
      <c r="N97" s="32"/>
      <c r="O97" s="33"/>
      <c r="Q97" s="33"/>
    </row>
    <row r="98" spans="12:17" x14ac:dyDescent="0.3">
      <c r="L98" s="31"/>
      <c r="M98" s="31"/>
      <c r="N98" s="32"/>
      <c r="O98" s="33"/>
      <c r="Q98" s="33"/>
    </row>
    <row r="99" spans="12:17" x14ac:dyDescent="0.3">
      <c r="L99" s="31"/>
      <c r="M99" s="31"/>
      <c r="N99" s="32"/>
      <c r="O99" s="33"/>
      <c r="Q99" s="33"/>
    </row>
    <row r="100" spans="12:17" x14ac:dyDescent="0.3">
      <c r="L100" s="31"/>
      <c r="M100" s="31"/>
      <c r="N100" s="32"/>
      <c r="O100" s="33"/>
      <c r="Q100" s="33"/>
    </row>
    <row r="101" spans="12:17" x14ac:dyDescent="0.3">
      <c r="L101" s="31"/>
      <c r="M101" s="31"/>
      <c r="N101" s="32"/>
      <c r="O101" s="33"/>
      <c r="Q101" s="33"/>
    </row>
    <row r="102" spans="12:17" x14ac:dyDescent="0.3">
      <c r="L102" s="31"/>
      <c r="M102" s="31"/>
      <c r="N102" s="32"/>
      <c r="O102" s="33"/>
      <c r="Q102" s="33"/>
    </row>
    <row r="103" spans="12:17" x14ac:dyDescent="0.3">
      <c r="L103" s="31"/>
      <c r="M103" s="31"/>
      <c r="N103" s="32"/>
      <c r="O103" s="33"/>
      <c r="Q103" s="33"/>
    </row>
    <row r="104" spans="12:17" x14ac:dyDescent="0.3">
      <c r="L104" s="31"/>
      <c r="M104" s="31"/>
      <c r="N104" s="32"/>
      <c r="O104" s="33"/>
      <c r="Q104" s="33"/>
    </row>
    <row r="105" spans="12:17" x14ac:dyDescent="0.3">
      <c r="L105" s="31"/>
      <c r="M105" s="31"/>
      <c r="N105" s="32"/>
      <c r="O105" s="33"/>
      <c r="Q105" s="33"/>
    </row>
    <row r="106" spans="12:17" x14ac:dyDescent="0.3">
      <c r="L106" s="31"/>
      <c r="M106" s="31"/>
      <c r="N106" s="32"/>
      <c r="O106" s="33"/>
      <c r="Q106" s="33"/>
    </row>
    <row r="107" spans="12:17" x14ac:dyDescent="0.3">
      <c r="L107" s="31"/>
      <c r="M107" s="31"/>
      <c r="N107" s="32"/>
      <c r="O107" s="33"/>
      <c r="Q107" s="33"/>
    </row>
    <row r="108" spans="12:17" x14ac:dyDescent="0.3">
      <c r="L108" s="31"/>
      <c r="M108" s="31"/>
      <c r="N108" s="32"/>
      <c r="O108" s="33"/>
      <c r="Q108" s="33"/>
    </row>
    <row r="109" spans="12:17" x14ac:dyDescent="0.3">
      <c r="L109" s="31"/>
      <c r="M109" s="31"/>
      <c r="N109" s="32"/>
      <c r="O109" s="33"/>
      <c r="Q109" s="33"/>
    </row>
    <row r="110" spans="12:17" x14ac:dyDescent="0.3">
      <c r="L110" s="31"/>
      <c r="M110" s="31"/>
      <c r="N110" s="32"/>
      <c r="O110" s="33"/>
      <c r="Q110" s="33"/>
    </row>
    <row r="111" spans="12:17" x14ac:dyDescent="0.3">
      <c r="L111" s="31"/>
      <c r="M111" s="31"/>
      <c r="N111" s="32"/>
      <c r="O111" s="33"/>
      <c r="Q111" s="33"/>
    </row>
    <row r="112" spans="12:17" x14ac:dyDescent="0.3">
      <c r="L112" s="31"/>
      <c r="M112" s="31"/>
      <c r="N112" s="32"/>
      <c r="O112" s="33"/>
      <c r="Q112" s="33"/>
    </row>
    <row r="113" spans="12:17" x14ac:dyDescent="0.3">
      <c r="L113" s="31"/>
      <c r="M113" s="31"/>
      <c r="N113" s="32"/>
      <c r="O113" s="33"/>
      <c r="Q113" s="33"/>
    </row>
    <row r="114" spans="12:17" x14ac:dyDescent="0.3">
      <c r="L114" s="31"/>
      <c r="M114" s="31"/>
      <c r="N114" s="32"/>
      <c r="O114" s="33"/>
      <c r="Q114" s="33"/>
    </row>
    <row r="115" spans="12:17" x14ac:dyDescent="0.3">
      <c r="L115" s="31"/>
      <c r="M115" s="31"/>
      <c r="N115" s="32"/>
      <c r="O115" s="33"/>
      <c r="Q115" s="33"/>
    </row>
    <row r="116" spans="12:17" x14ac:dyDescent="0.3">
      <c r="L116" s="31"/>
      <c r="M116" s="31"/>
      <c r="N116" s="32"/>
      <c r="O116" s="33"/>
      <c r="Q116" s="33"/>
    </row>
    <row r="117" spans="12:17" x14ac:dyDescent="0.3">
      <c r="L117" s="31"/>
      <c r="M117" s="31"/>
      <c r="N117" s="32"/>
      <c r="O117" s="33"/>
      <c r="Q117" s="33"/>
    </row>
    <row r="118" spans="12:17" x14ac:dyDescent="0.3">
      <c r="L118" s="31"/>
      <c r="M118" s="31"/>
      <c r="N118" s="32"/>
      <c r="O118" s="33"/>
      <c r="Q118" s="33"/>
    </row>
    <row r="119" spans="12:17" x14ac:dyDescent="0.3">
      <c r="L119" s="31"/>
      <c r="M119" s="31"/>
      <c r="N119" s="32"/>
      <c r="O119" s="33"/>
      <c r="Q119" s="33"/>
    </row>
    <row r="120" spans="12:17" x14ac:dyDescent="0.3">
      <c r="L120" s="31"/>
      <c r="M120" s="31"/>
      <c r="N120" s="32"/>
      <c r="O120" s="33"/>
      <c r="Q120" s="33"/>
    </row>
    <row r="121" spans="12:17" x14ac:dyDescent="0.3">
      <c r="L121" s="31"/>
      <c r="M121" s="31"/>
      <c r="N121" s="32"/>
      <c r="O121" s="33"/>
      <c r="Q121" s="33"/>
    </row>
    <row r="122" spans="12:17" x14ac:dyDescent="0.3">
      <c r="L122" s="31"/>
      <c r="M122" s="31"/>
      <c r="N122" s="32"/>
      <c r="O122" s="33"/>
      <c r="Q122" s="33"/>
    </row>
    <row r="123" spans="12:17" x14ac:dyDescent="0.3">
      <c r="L123" s="31"/>
      <c r="M123" s="31"/>
      <c r="N123" s="32"/>
      <c r="O123" s="33"/>
      <c r="Q123" s="33"/>
    </row>
    <row r="124" spans="12:17" x14ac:dyDescent="0.3">
      <c r="L124" s="31"/>
      <c r="M124" s="31"/>
      <c r="N124" s="32"/>
      <c r="O124" s="33"/>
      <c r="Q124" s="33"/>
    </row>
    <row r="125" spans="12:17" x14ac:dyDescent="0.3">
      <c r="L125" s="31"/>
      <c r="M125" s="31"/>
      <c r="N125" s="32"/>
      <c r="O125" s="33"/>
      <c r="Q125" s="33"/>
    </row>
    <row r="126" spans="12:17" x14ac:dyDescent="0.3">
      <c r="L126" s="31"/>
      <c r="M126" s="31"/>
      <c r="N126" s="32"/>
      <c r="O126" s="33"/>
      <c r="Q126" s="33"/>
    </row>
    <row r="127" spans="12:17" x14ac:dyDescent="0.3">
      <c r="L127" s="31"/>
      <c r="M127" s="31"/>
      <c r="N127" s="32"/>
      <c r="O127" s="33"/>
      <c r="Q127" s="33"/>
    </row>
    <row r="128" spans="12:17" x14ac:dyDescent="0.3">
      <c r="L128" s="31"/>
      <c r="M128" s="31"/>
      <c r="N128" s="32"/>
      <c r="O128" s="33"/>
      <c r="Q128" s="33"/>
    </row>
    <row r="129" spans="12:17" x14ac:dyDescent="0.3">
      <c r="L129" s="31"/>
      <c r="M129" s="31"/>
      <c r="N129" s="32"/>
      <c r="O129" s="33"/>
      <c r="Q129" s="33"/>
    </row>
    <row r="130" spans="12:17" x14ac:dyDescent="0.3">
      <c r="L130" s="31"/>
      <c r="M130" s="31"/>
      <c r="N130" s="32"/>
      <c r="O130" s="33"/>
      <c r="Q130" s="33"/>
    </row>
    <row r="131" spans="12:17" x14ac:dyDescent="0.3">
      <c r="L131" s="31"/>
      <c r="M131" s="31"/>
      <c r="N131" s="32"/>
      <c r="O131" s="33"/>
      <c r="Q131" s="33"/>
    </row>
    <row r="132" spans="12:17" x14ac:dyDescent="0.3">
      <c r="L132" s="31"/>
      <c r="M132" s="31"/>
      <c r="N132" s="32"/>
      <c r="O132" s="33"/>
      <c r="Q132" s="33"/>
    </row>
    <row r="133" spans="12:17" x14ac:dyDescent="0.3">
      <c r="L133" s="31"/>
      <c r="M133" s="31"/>
      <c r="N133" s="32"/>
      <c r="O133" s="33"/>
      <c r="Q133" s="33"/>
    </row>
    <row r="134" spans="12:17" x14ac:dyDescent="0.3">
      <c r="L134" s="31"/>
      <c r="M134" s="31"/>
      <c r="N134" s="32"/>
      <c r="O134" s="33"/>
      <c r="Q134" s="33"/>
    </row>
    <row r="135" spans="12:17" x14ac:dyDescent="0.3">
      <c r="L135" s="31"/>
      <c r="M135" s="31"/>
      <c r="N135" s="32"/>
      <c r="O135" s="33"/>
      <c r="Q135" s="33"/>
    </row>
    <row r="136" spans="12:17" x14ac:dyDescent="0.3">
      <c r="L136" s="31"/>
      <c r="M136" s="31"/>
      <c r="N136" s="32"/>
      <c r="O136" s="33"/>
      <c r="Q136" s="33"/>
    </row>
    <row r="137" spans="12:17" x14ac:dyDescent="0.3">
      <c r="L137" s="31"/>
      <c r="M137" s="31"/>
      <c r="N137" s="32"/>
      <c r="O137" s="33"/>
      <c r="Q137" s="33"/>
    </row>
    <row r="138" spans="12:17" x14ac:dyDescent="0.3">
      <c r="L138" s="31"/>
      <c r="M138" s="31"/>
      <c r="N138" s="32"/>
      <c r="O138" s="33"/>
      <c r="Q138" s="33"/>
    </row>
    <row r="139" spans="12:17" x14ac:dyDescent="0.3">
      <c r="L139" s="31"/>
      <c r="M139" s="31"/>
      <c r="N139" s="32"/>
      <c r="O139" s="33"/>
      <c r="Q139" s="33"/>
    </row>
    <row r="140" spans="12:17" x14ac:dyDescent="0.3">
      <c r="L140" s="31"/>
      <c r="M140" s="31"/>
      <c r="N140" s="32"/>
      <c r="O140" s="33"/>
      <c r="Q140" s="33"/>
    </row>
    <row r="141" spans="12:17" x14ac:dyDescent="0.3">
      <c r="L141" s="31"/>
      <c r="M141" s="31"/>
      <c r="N141" s="32"/>
      <c r="O141" s="33"/>
      <c r="Q141" s="33"/>
    </row>
    <row r="142" spans="12:17" x14ac:dyDescent="0.3">
      <c r="L142" s="31"/>
      <c r="M142" s="31"/>
      <c r="N142" s="32"/>
      <c r="O142" s="33"/>
      <c r="Q142" s="33"/>
    </row>
    <row r="143" spans="12:17" x14ac:dyDescent="0.3">
      <c r="L143" s="31"/>
      <c r="M143" s="31"/>
      <c r="N143" s="32"/>
      <c r="O143" s="33"/>
      <c r="Q143" s="33"/>
    </row>
    <row r="144" spans="12:17" x14ac:dyDescent="0.3">
      <c r="L144" s="31"/>
      <c r="M144" s="31"/>
      <c r="N144" s="32"/>
      <c r="O144" s="33"/>
      <c r="Q144" s="33"/>
    </row>
    <row r="145" spans="12:17" x14ac:dyDescent="0.3">
      <c r="L145" s="31"/>
      <c r="M145" s="31"/>
      <c r="N145" s="32"/>
      <c r="O145" s="33"/>
      <c r="Q145" s="33"/>
    </row>
    <row r="146" spans="12:17" x14ac:dyDescent="0.3">
      <c r="L146" s="31"/>
      <c r="M146" s="31"/>
      <c r="N146" s="32"/>
      <c r="O146" s="33"/>
      <c r="Q146" s="33"/>
    </row>
    <row r="147" spans="12:17" x14ac:dyDescent="0.3">
      <c r="L147" s="31"/>
      <c r="M147" s="31"/>
      <c r="N147" s="32"/>
      <c r="O147" s="33"/>
      <c r="Q147" s="33"/>
    </row>
    <row r="148" spans="12:17" x14ac:dyDescent="0.3">
      <c r="L148" s="31"/>
      <c r="M148" s="31"/>
      <c r="N148" s="32"/>
      <c r="O148" s="33"/>
      <c r="Q148" s="33"/>
    </row>
    <row r="149" spans="12:17" x14ac:dyDescent="0.3">
      <c r="L149" s="31"/>
      <c r="M149" s="31"/>
      <c r="N149" s="32"/>
      <c r="O149" s="33"/>
      <c r="Q149" s="33"/>
    </row>
    <row r="150" spans="12:17" x14ac:dyDescent="0.3">
      <c r="L150" s="31"/>
      <c r="M150" s="31"/>
      <c r="N150" s="32"/>
      <c r="O150" s="33"/>
      <c r="Q150" s="33"/>
    </row>
    <row r="151" spans="12:17" x14ac:dyDescent="0.3">
      <c r="L151" s="31"/>
      <c r="M151" s="31"/>
      <c r="N151" s="32"/>
      <c r="O151" s="33"/>
      <c r="Q151" s="33"/>
    </row>
    <row r="152" spans="12:17" x14ac:dyDescent="0.3">
      <c r="L152" s="31"/>
      <c r="M152" s="31"/>
      <c r="N152" s="32"/>
      <c r="O152" s="33"/>
      <c r="Q152" s="33"/>
    </row>
    <row r="153" spans="12:17" x14ac:dyDescent="0.3">
      <c r="L153" s="31"/>
      <c r="M153" s="31"/>
      <c r="N153" s="32"/>
      <c r="O153" s="33"/>
      <c r="Q153" s="33"/>
    </row>
    <row r="154" spans="12:17" x14ac:dyDescent="0.3">
      <c r="L154" s="31"/>
      <c r="M154" s="31"/>
      <c r="N154" s="32"/>
      <c r="O154" s="33"/>
      <c r="Q154" s="33"/>
    </row>
    <row r="155" spans="12:17" x14ac:dyDescent="0.3">
      <c r="L155" s="31"/>
      <c r="M155" s="31"/>
      <c r="N155" s="32"/>
      <c r="O155" s="33"/>
      <c r="Q155" s="33"/>
    </row>
    <row r="156" spans="12:17" x14ac:dyDescent="0.3">
      <c r="L156" s="31"/>
      <c r="M156" s="31"/>
      <c r="N156" s="32"/>
      <c r="O156" s="33"/>
      <c r="Q156" s="33"/>
    </row>
    <row r="157" spans="12:17" x14ac:dyDescent="0.3">
      <c r="L157" s="31"/>
      <c r="M157" s="31"/>
      <c r="N157" s="32"/>
      <c r="O157" s="33"/>
      <c r="Q157" s="33"/>
    </row>
    <row r="158" spans="12:17" x14ac:dyDescent="0.3">
      <c r="L158" s="31"/>
      <c r="M158" s="31"/>
      <c r="N158" s="32"/>
      <c r="O158" s="33"/>
      <c r="Q158" s="33"/>
    </row>
    <row r="159" spans="12:17" x14ac:dyDescent="0.3">
      <c r="L159" s="31"/>
      <c r="M159" s="31"/>
      <c r="N159" s="32"/>
      <c r="O159" s="33"/>
      <c r="Q159" s="33"/>
    </row>
    <row r="160" spans="12:17" x14ac:dyDescent="0.3">
      <c r="L160" s="31"/>
      <c r="M160" s="31"/>
      <c r="N160" s="32"/>
      <c r="O160" s="33"/>
      <c r="Q160" s="33"/>
    </row>
    <row r="161" spans="12:17" x14ac:dyDescent="0.3">
      <c r="L161" s="31"/>
      <c r="M161" s="31"/>
      <c r="N161" s="32"/>
      <c r="O161" s="33"/>
      <c r="Q161" s="33"/>
    </row>
    <row r="162" spans="12:17" x14ac:dyDescent="0.3">
      <c r="L162" s="31"/>
      <c r="M162" s="31"/>
      <c r="N162" s="32"/>
      <c r="O162" s="33"/>
      <c r="Q162" s="33"/>
    </row>
    <row r="163" spans="12:17" x14ac:dyDescent="0.3">
      <c r="L163" s="31"/>
      <c r="M163" s="31"/>
      <c r="N163" s="32"/>
      <c r="O163" s="33"/>
      <c r="Q163" s="33"/>
    </row>
    <row r="164" spans="12:17" x14ac:dyDescent="0.3">
      <c r="L164" s="31"/>
      <c r="M164" s="31"/>
      <c r="N164" s="32"/>
      <c r="O164" s="33"/>
      <c r="Q164" s="33"/>
    </row>
    <row r="165" spans="12:17" x14ac:dyDescent="0.3">
      <c r="L165" s="31"/>
      <c r="M165" s="31"/>
      <c r="N165" s="32"/>
      <c r="O165" s="33"/>
      <c r="Q165" s="33"/>
    </row>
    <row r="166" spans="12:17" x14ac:dyDescent="0.3">
      <c r="L166" s="31"/>
      <c r="M166" s="31"/>
      <c r="N166" s="32"/>
      <c r="O166" s="33"/>
      <c r="Q166" s="33"/>
    </row>
    <row r="167" spans="12:17" x14ac:dyDescent="0.3">
      <c r="L167" s="31"/>
      <c r="M167" s="31"/>
      <c r="N167" s="32"/>
      <c r="O167" s="33"/>
      <c r="Q167" s="33"/>
    </row>
    <row r="168" spans="12:17" x14ac:dyDescent="0.3">
      <c r="L168" s="31"/>
      <c r="M168" s="31"/>
      <c r="N168" s="32"/>
      <c r="O168" s="33"/>
      <c r="Q168" s="33"/>
    </row>
    <row r="169" spans="12:17" x14ac:dyDescent="0.3">
      <c r="L169" s="31"/>
      <c r="M169" s="31"/>
      <c r="N169" s="32"/>
      <c r="O169" s="33"/>
      <c r="Q169" s="33"/>
    </row>
    <row r="170" spans="12:17" x14ac:dyDescent="0.3">
      <c r="L170" s="31"/>
      <c r="M170" s="31"/>
      <c r="N170" s="32"/>
      <c r="O170" s="33"/>
      <c r="Q170" s="33"/>
    </row>
    <row r="171" spans="12:17" x14ac:dyDescent="0.3">
      <c r="L171" s="31"/>
      <c r="M171" s="31"/>
      <c r="N171" s="32"/>
      <c r="O171" s="33"/>
      <c r="Q171" s="33"/>
    </row>
    <row r="172" spans="12:17" x14ac:dyDescent="0.3">
      <c r="L172" s="31"/>
      <c r="M172" s="31"/>
      <c r="N172" s="32"/>
      <c r="O172" s="33"/>
      <c r="Q172" s="33"/>
    </row>
    <row r="173" spans="12:17" x14ac:dyDescent="0.3">
      <c r="L173" s="31"/>
      <c r="M173" s="31"/>
      <c r="N173" s="32"/>
      <c r="O173" s="33"/>
      <c r="Q173" s="33"/>
    </row>
    <row r="174" spans="12:17" x14ac:dyDescent="0.3">
      <c r="L174" s="31"/>
      <c r="M174" s="31"/>
      <c r="N174" s="32"/>
      <c r="O174" s="33"/>
      <c r="Q174" s="33"/>
    </row>
    <row r="175" spans="12:17" x14ac:dyDescent="0.3">
      <c r="L175" s="31"/>
      <c r="M175" s="31"/>
      <c r="N175" s="32"/>
      <c r="O175" s="33"/>
      <c r="Q175" s="33"/>
    </row>
    <row r="176" spans="12:17" x14ac:dyDescent="0.3">
      <c r="L176" s="31"/>
      <c r="M176" s="31"/>
      <c r="N176" s="32"/>
      <c r="O176" s="33"/>
      <c r="Q176" s="33"/>
    </row>
    <row r="177" spans="12:17" x14ac:dyDescent="0.3">
      <c r="L177" s="31"/>
      <c r="M177" s="31"/>
      <c r="N177" s="32"/>
      <c r="O177" s="33"/>
      <c r="Q177" s="33"/>
    </row>
    <row r="178" spans="12:17" x14ac:dyDescent="0.3">
      <c r="L178" s="31"/>
      <c r="M178" s="31"/>
      <c r="N178" s="32"/>
      <c r="O178" s="33"/>
      <c r="Q178" s="33"/>
    </row>
    <row r="179" spans="12:17" x14ac:dyDescent="0.3">
      <c r="L179" s="31"/>
      <c r="M179" s="31"/>
      <c r="N179" s="32"/>
      <c r="O179" s="33"/>
      <c r="Q179" s="33"/>
    </row>
    <row r="180" spans="12:17" x14ac:dyDescent="0.3">
      <c r="L180" s="31"/>
      <c r="M180" s="31"/>
      <c r="N180" s="32"/>
      <c r="O180" s="33"/>
      <c r="Q180" s="33"/>
    </row>
    <row r="181" spans="12:17" x14ac:dyDescent="0.3">
      <c r="L181" s="31"/>
      <c r="M181" s="31"/>
      <c r="N181" s="32"/>
      <c r="O181" s="33"/>
      <c r="Q181" s="33"/>
    </row>
    <row r="182" spans="12:17" x14ac:dyDescent="0.3">
      <c r="L182" s="31"/>
      <c r="M182" s="31"/>
      <c r="N182" s="32"/>
      <c r="O182" s="33"/>
      <c r="Q182" s="33"/>
    </row>
    <row r="183" spans="12:17" x14ac:dyDescent="0.3">
      <c r="L183" s="31"/>
      <c r="M183" s="31"/>
      <c r="N183" s="32"/>
      <c r="O183" s="33"/>
      <c r="Q183" s="33"/>
    </row>
    <row r="184" spans="12:17" x14ac:dyDescent="0.3">
      <c r="L184" s="31"/>
      <c r="M184" s="31"/>
      <c r="N184" s="32"/>
      <c r="O184" s="33"/>
      <c r="Q184" s="33"/>
    </row>
    <row r="185" spans="12:17" x14ac:dyDescent="0.3">
      <c r="L185" s="31"/>
      <c r="M185" s="31"/>
      <c r="N185" s="32"/>
      <c r="O185" s="33"/>
      <c r="Q185" s="33"/>
    </row>
    <row r="186" spans="12:17" x14ac:dyDescent="0.3">
      <c r="L186" s="31"/>
      <c r="M186" s="31"/>
      <c r="N186" s="32"/>
      <c r="O186" s="33"/>
      <c r="Q186" s="33"/>
    </row>
    <row r="187" spans="12:17" x14ac:dyDescent="0.3">
      <c r="L187" s="31"/>
      <c r="M187" s="31"/>
      <c r="N187" s="32"/>
      <c r="O187" s="33"/>
      <c r="Q187" s="33"/>
    </row>
    <row r="188" spans="12:17" x14ac:dyDescent="0.3">
      <c r="L188" s="31"/>
      <c r="M188" s="31"/>
      <c r="N188" s="32"/>
      <c r="O188" s="33"/>
      <c r="Q188" s="33"/>
    </row>
    <row r="189" spans="12:17" x14ac:dyDescent="0.3">
      <c r="L189" s="31"/>
      <c r="M189" s="31"/>
      <c r="N189" s="32"/>
      <c r="O189" s="33"/>
      <c r="Q189" s="33"/>
    </row>
    <row r="190" spans="12:17" x14ac:dyDescent="0.3">
      <c r="L190" s="31"/>
      <c r="M190" s="31"/>
      <c r="N190" s="32"/>
      <c r="O190" s="33"/>
      <c r="Q190" s="33"/>
    </row>
    <row r="191" spans="12:17" x14ac:dyDescent="0.3">
      <c r="L191" s="31"/>
      <c r="M191" s="31"/>
      <c r="N191" s="32"/>
      <c r="O191" s="33"/>
      <c r="Q191" s="33"/>
    </row>
    <row r="192" spans="12:17" x14ac:dyDescent="0.3">
      <c r="L192" s="31"/>
      <c r="M192" s="31"/>
      <c r="N192" s="32"/>
      <c r="O192" s="33"/>
      <c r="Q192" s="33"/>
    </row>
    <row r="193" spans="12:17" x14ac:dyDescent="0.3">
      <c r="L193" s="31"/>
      <c r="M193" s="31"/>
      <c r="N193" s="32"/>
      <c r="O193" s="33"/>
      <c r="Q193" s="33"/>
    </row>
    <row r="194" spans="12:17" x14ac:dyDescent="0.3">
      <c r="L194" s="31"/>
      <c r="M194" s="31"/>
      <c r="N194" s="32"/>
      <c r="O194" s="33"/>
      <c r="Q194" s="33"/>
    </row>
    <row r="195" spans="12:17" x14ac:dyDescent="0.3">
      <c r="L195" s="31"/>
      <c r="M195" s="31"/>
      <c r="N195" s="32"/>
      <c r="O195" s="33"/>
      <c r="Q195" s="33"/>
    </row>
    <row r="196" spans="12:17" x14ac:dyDescent="0.3">
      <c r="L196" s="31"/>
      <c r="M196" s="31"/>
      <c r="N196" s="32"/>
      <c r="O196" s="33"/>
      <c r="Q196" s="33"/>
    </row>
    <row r="197" spans="12:17" x14ac:dyDescent="0.3">
      <c r="L197" s="31"/>
      <c r="M197" s="31"/>
      <c r="N197" s="32"/>
      <c r="O197" s="33"/>
      <c r="Q197" s="33"/>
    </row>
    <row r="198" spans="12:17" x14ac:dyDescent="0.3">
      <c r="L198" s="31"/>
      <c r="M198" s="31"/>
      <c r="N198" s="32"/>
      <c r="O198" s="33"/>
      <c r="Q198" s="33"/>
    </row>
    <row r="199" spans="12:17" x14ac:dyDescent="0.3">
      <c r="L199" s="31"/>
      <c r="M199" s="31"/>
      <c r="N199" s="32"/>
      <c r="O199" s="33"/>
      <c r="Q199" s="33"/>
    </row>
    <row r="200" spans="12:17" x14ac:dyDescent="0.3">
      <c r="L200" s="31"/>
      <c r="M200" s="31"/>
      <c r="N200" s="32"/>
      <c r="O200" s="33"/>
      <c r="Q200" s="33"/>
    </row>
    <row r="201" spans="12:17" x14ac:dyDescent="0.3">
      <c r="L201" s="31"/>
      <c r="M201" s="31"/>
      <c r="N201" s="32"/>
      <c r="O201" s="33"/>
      <c r="Q201" s="33"/>
    </row>
    <row r="202" spans="12:17" x14ac:dyDescent="0.3">
      <c r="L202" s="31"/>
      <c r="M202" s="31"/>
      <c r="N202" s="32"/>
      <c r="O202" s="33"/>
      <c r="Q202" s="33"/>
    </row>
    <row r="203" spans="12:17" x14ac:dyDescent="0.3">
      <c r="L203" s="31"/>
      <c r="M203" s="31"/>
      <c r="N203" s="32"/>
      <c r="O203" s="33"/>
      <c r="Q203" s="33"/>
    </row>
    <row r="204" spans="12:17" x14ac:dyDescent="0.3">
      <c r="L204" s="31"/>
      <c r="M204" s="31"/>
      <c r="N204" s="32"/>
      <c r="O204" s="33"/>
      <c r="Q204" s="33"/>
    </row>
    <row r="205" spans="12:17" x14ac:dyDescent="0.3">
      <c r="L205" s="31"/>
      <c r="M205" s="31"/>
      <c r="N205" s="32"/>
      <c r="O205" s="33"/>
      <c r="Q205" s="33"/>
    </row>
    <row r="206" spans="12:17" x14ac:dyDescent="0.3">
      <c r="L206" s="31"/>
      <c r="M206" s="31"/>
      <c r="N206" s="32"/>
      <c r="O206" s="33"/>
      <c r="Q206" s="33"/>
    </row>
    <row r="207" spans="12:17" x14ac:dyDescent="0.3">
      <c r="L207" s="31"/>
      <c r="M207" s="31"/>
      <c r="N207" s="32"/>
      <c r="O207" s="33"/>
      <c r="Q207" s="33"/>
    </row>
    <row r="208" spans="12:17" x14ac:dyDescent="0.3">
      <c r="L208" s="31"/>
      <c r="M208" s="31"/>
      <c r="N208" s="32"/>
      <c r="O208" s="33"/>
      <c r="Q208" s="33"/>
    </row>
    <row r="209" spans="12:17" x14ac:dyDescent="0.3">
      <c r="L209" s="31"/>
      <c r="M209" s="31"/>
      <c r="N209" s="32"/>
      <c r="O209" s="33"/>
      <c r="Q209" s="33"/>
    </row>
    <row r="210" spans="12:17" x14ac:dyDescent="0.3">
      <c r="L210" s="31"/>
      <c r="M210" s="31"/>
      <c r="N210" s="32"/>
      <c r="O210" s="33"/>
      <c r="Q210" s="33"/>
    </row>
    <row r="211" spans="12:17" x14ac:dyDescent="0.3">
      <c r="L211" s="31"/>
      <c r="M211" s="31"/>
      <c r="N211" s="32"/>
      <c r="O211" s="33"/>
      <c r="Q211" s="33"/>
    </row>
    <row r="212" spans="12:17" x14ac:dyDescent="0.3">
      <c r="L212" s="31"/>
      <c r="M212" s="31"/>
      <c r="N212" s="32"/>
      <c r="O212" s="33"/>
      <c r="Q212" s="33"/>
    </row>
    <row r="213" spans="12:17" x14ac:dyDescent="0.3">
      <c r="L213" s="31"/>
      <c r="M213" s="31"/>
      <c r="N213" s="32"/>
      <c r="O213" s="33"/>
      <c r="Q213" s="33"/>
    </row>
    <row r="214" spans="12:17" x14ac:dyDescent="0.3">
      <c r="L214" s="31"/>
      <c r="M214" s="31"/>
      <c r="N214" s="32"/>
      <c r="O214" s="33"/>
      <c r="Q214" s="33"/>
    </row>
    <row r="215" spans="12:17" x14ac:dyDescent="0.3">
      <c r="L215" s="31"/>
      <c r="M215" s="31"/>
      <c r="N215" s="32"/>
      <c r="O215" s="33"/>
      <c r="Q215" s="33"/>
    </row>
    <row r="216" spans="12:17" x14ac:dyDescent="0.3">
      <c r="L216" s="31"/>
      <c r="M216" s="31"/>
      <c r="N216" s="32"/>
      <c r="O216" s="33"/>
      <c r="Q216" s="33"/>
    </row>
    <row r="217" spans="12:17" x14ac:dyDescent="0.3">
      <c r="L217" s="31"/>
      <c r="M217" s="31"/>
      <c r="N217" s="32"/>
      <c r="O217" s="33"/>
      <c r="Q217" s="33"/>
    </row>
    <row r="218" spans="12:17" x14ac:dyDescent="0.3">
      <c r="L218" s="31"/>
      <c r="M218" s="31"/>
      <c r="N218" s="32"/>
      <c r="O218" s="33"/>
      <c r="Q218" s="33"/>
    </row>
    <row r="219" spans="12:17" x14ac:dyDescent="0.3">
      <c r="L219" s="31"/>
      <c r="M219" s="31"/>
      <c r="N219" s="32"/>
      <c r="O219" s="33"/>
      <c r="Q219" s="33"/>
    </row>
    <row r="220" spans="12:17" x14ac:dyDescent="0.3">
      <c r="L220" s="31"/>
      <c r="M220" s="31"/>
      <c r="N220" s="32"/>
      <c r="O220" s="33"/>
      <c r="Q220" s="33"/>
    </row>
    <row r="221" spans="12:17" x14ac:dyDescent="0.3">
      <c r="L221" s="31"/>
      <c r="M221" s="31"/>
      <c r="N221" s="32"/>
      <c r="O221" s="33"/>
      <c r="Q221" s="33"/>
    </row>
    <row r="222" spans="12:17" x14ac:dyDescent="0.3">
      <c r="L222" s="31"/>
      <c r="M222" s="31"/>
      <c r="N222" s="32"/>
      <c r="O222" s="33"/>
      <c r="Q222" s="33"/>
    </row>
    <row r="223" spans="12:17" x14ac:dyDescent="0.3">
      <c r="L223" s="31"/>
      <c r="M223" s="31"/>
      <c r="N223" s="32"/>
      <c r="O223" s="33"/>
      <c r="Q223" s="33"/>
    </row>
    <row r="224" spans="12:17" x14ac:dyDescent="0.3">
      <c r="L224" s="31"/>
      <c r="M224" s="31"/>
      <c r="N224" s="32"/>
      <c r="O224" s="33"/>
      <c r="Q224" s="33"/>
    </row>
    <row r="225" spans="12:17" x14ac:dyDescent="0.3">
      <c r="L225" s="31"/>
      <c r="M225" s="31"/>
      <c r="N225" s="32"/>
      <c r="O225" s="33"/>
      <c r="Q225" s="33"/>
    </row>
    <row r="226" spans="12:17" x14ac:dyDescent="0.3">
      <c r="L226" s="31"/>
      <c r="M226" s="31"/>
      <c r="N226" s="32"/>
      <c r="O226" s="33"/>
      <c r="Q226" s="33"/>
    </row>
    <row r="227" spans="12:17" x14ac:dyDescent="0.3">
      <c r="L227" s="31"/>
      <c r="M227" s="31"/>
      <c r="N227" s="32"/>
      <c r="O227" s="33"/>
      <c r="Q227" s="33"/>
    </row>
    <row r="228" spans="12:17" x14ac:dyDescent="0.3">
      <c r="L228" s="31"/>
      <c r="M228" s="31"/>
      <c r="N228" s="32"/>
      <c r="O228" s="33"/>
      <c r="Q228" s="33"/>
    </row>
    <row r="229" spans="12:17" x14ac:dyDescent="0.3">
      <c r="L229" s="31"/>
      <c r="M229" s="31"/>
      <c r="N229" s="32"/>
      <c r="O229" s="33"/>
      <c r="Q229" s="33"/>
    </row>
    <row r="230" spans="12:17" x14ac:dyDescent="0.3">
      <c r="L230" s="31"/>
      <c r="M230" s="31"/>
      <c r="N230" s="32"/>
      <c r="O230" s="33"/>
      <c r="Q230" s="33"/>
    </row>
    <row r="231" spans="12:17" x14ac:dyDescent="0.3">
      <c r="L231" s="31"/>
      <c r="M231" s="31"/>
      <c r="N231" s="32"/>
      <c r="O231" s="33"/>
      <c r="Q231" s="33"/>
    </row>
    <row r="232" spans="12:17" x14ac:dyDescent="0.3">
      <c r="L232" s="31"/>
      <c r="M232" s="31"/>
      <c r="N232" s="32"/>
      <c r="O232" s="33"/>
      <c r="Q232" s="33"/>
    </row>
    <row r="233" spans="12:17" x14ac:dyDescent="0.3">
      <c r="L233" s="31"/>
      <c r="M233" s="31"/>
      <c r="N233" s="32"/>
      <c r="O233" s="33"/>
      <c r="Q233" s="33"/>
    </row>
    <row r="234" spans="12:17" x14ac:dyDescent="0.3">
      <c r="L234" s="31"/>
      <c r="M234" s="31"/>
      <c r="N234" s="32"/>
      <c r="O234" s="33"/>
      <c r="Q234" s="33"/>
    </row>
    <row r="235" spans="12:17" x14ac:dyDescent="0.3">
      <c r="L235" s="31"/>
      <c r="M235" s="31"/>
      <c r="N235" s="32"/>
      <c r="O235" s="33"/>
      <c r="Q235" s="33"/>
    </row>
    <row r="236" spans="12:17" x14ac:dyDescent="0.3">
      <c r="L236" s="31"/>
      <c r="M236" s="31"/>
      <c r="N236" s="32"/>
      <c r="O236" s="33"/>
      <c r="Q236" s="33"/>
    </row>
    <row r="237" spans="12:17" x14ac:dyDescent="0.3">
      <c r="L237" s="31"/>
      <c r="M237" s="31"/>
      <c r="N237" s="32"/>
      <c r="O237" s="33"/>
      <c r="Q237" s="33"/>
    </row>
    <row r="238" spans="12:17" x14ac:dyDescent="0.3">
      <c r="L238" s="31"/>
      <c r="M238" s="31"/>
      <c r="N238" s="32"/>
      <c r="O238" s="33"/>
      <c r="Q238" s="33"/>
    </row>
    <row r="239" spans="12:17" x14ac:dyDescent="0.3">
      <c r="L239" s="31"/>
      <c r="M239" s="31"/>
      <c r="N239" s="32"/>
      <c r="O239" s="33"/>
      <c r="Q239" s="33"/>
    </row>
    <row r="240" spans="12:17" x14ac:dyDescent="0.3">
      <c r="L240" s="31"/>
      <c r="M240" s="31"/>
      <c r="N240" s="32"/>
      <c r="O240" s="33"/>
      <c r="Q240" s="33"/>
    </row>
    <row r="241" spans="12:17" x14ac:dyDescent="0.3">
      <c r="L241" s="31"/>
      <c r="M241" s="31"/>
      <c r="N241" s="32"/>
      <c r="O241" s="33"/>
      <c r="Q241" s="33"/>
    </row>
    <row r="242" spans="12:17" x14ac:dyDescent="0.3">
      <c r="L242" s="31"/>
      <c r="M242" s="31"/>
      <c r="N242" s="32"/>
      <c r="O242" s="33"/>
      <c r="Q242" s="33"/>
    </row>
    <row r="243" spans="12:17" x14ac:dyDescent="0.3">
      <c r="L243" s="31"/>
      <c r="M243" s="31"/>
      <c r="N243" s="32"/>
      <c r="O243" s="33"/>
      <c r="Q243" s="33"/>
    </row>
    <row r="244" spans="12:17" x14ac:dyDescent="0.3">
      <c r="L244" s="31"/>
      <c r="M244" s="31"/>
      <c r="N244" s="32"/>
      <c r="O244" s="33"/>
      <c r="Q244" s="33"/>
    </row>
    <row r="245" spans="12:17" x14ac:dyDescent="0.3">
      <c r="L245" s="31"/>
      <c r="M245" s="31"/>
      <c r="N245" s="32"/>
      <c r="O245" s="33"/>
      <c r="Q245" s="33"/>
    </row>
    <row r="246" spans="12:17" x14ac:dyDescent="0.3">
      <c r="L246" s="31"/>
      <c r="M246" s="31"/>
      <c r="N246" s="32"/>
      <c r="O246" s="33"/>
      <c r="Q246" s="33"/>
    </row>
    <row r="247" spans="12:17" x14ac:dyDescent="0.3">
      <c r="L247" s="31"/>
      <c r="M247" s="31"/>
      <c r="N247" s="32"/>
      <c r="O247" s="33"/>
      <c r="Q247" s="33"/>
    </row>
    <row r="248" spans="12:17" x14ac:dyDescent="0.3">
      <c r="L248" s="31"/>
      <c r="M248" s="31"/>
      <c r="N248" s="32"/>
      <c r="O248" s="33"/>
      <c r="Q248" s="33"/>
    </row>
    <row r="249" spans="12:17" x14ac:dyDescent="0.3">
      <c r="L249" s="31"/>
      <c r="M249" s="31"/>
      <c r="N249" s="32"/>
      <c r="O249" s="33"/>
      <c r="Q249" s="33"/>
    </row>
    <row r="250" spans="12:17" x14ac:dyDescent="0.3">
      <c r="L250" s="31"/>
      <c r="M250" s="31"/>
      <c r="N250" s="32"/>
      <c r="O250" s="33"/>
      <c r="Q250" s="33"/>
    </row>
    <row r="251" spans="12:17" x14ac:dyDescent="0.3">
      <c r="L251" s="31"/>
      <c r="M251" s="31"/>
      <c r="N251" s="32"/>
      <c r="O251" s="33"/>
      <c r="Q251" s="33"/>
    </row>
    <row r="252" spans="12:17" x14ac:dyDescent="0.3">
      <c r="L252" s="31"/>
      <c r="M252" s="31"/>
      <c r="N252" s="32"/>
      <c r="O252" s="33"/>
      <c r="Q252" s="33"/>
    </row>
    <row r="253" spans="12:17" x14ac:dyDescent="0.3">
      <c r="L253" s="31"/>
      <c r="M253" s="31"/>
      <c r="N253" s="32"/>
      <c r="O253" s="33"/>
      <c r="Q253" s="33"/>
    </row>
    <row r="254" spans="12:17" x14ac:dyDescent="0.3">
      <c r="L254" s="31"/>
      <c r="M254" s="31"/>
      <c r="N254" s="32"/>
      <c r="O254" s="33"/>
      <c r="Q254" s="33"/>
    </row>
    <row r="255" spans="12:17" x14ac:dyDescent="0.3">
      <c r="L255" s="31"/>
      <c r="M255" s="31"/>
      <c r="N255" s="32"/>
      <c r="O255" s="33"/>
      <c r="Q255" s="33"/>
    </row>
    <row r="256" spans="12:17" x14ac:dyDescent="0.3">
      <c r="L256" s="31"/>
      <c r="M256" s="31"/>
      <c r="N256" s="32"/>
      <c r="O256" s="33"/>
      <c r="Q256" s="33"/>
    </row>
    <row r="257" spans="12:17" x14ac:dyDescent="0.3">
      <c r="L257" s="31"/>
      <c r="M257" s="31"/>
      <c r="N257" s="32"/>
      <c r="O257" s="33"/>
      <c r="Q257" s="33"/>
    </row>
    <row r="258" spans="12:17" x14ac:dyDescent="0.3">
      <c r="L258" s="31"/>
      <c r="M258" s="31"/>
      <c r="N258" s="32"/>
      <c r="O258" s="33"/>
      <c r="Q258" s="33"/>
    </row>
    <row r="259" spans="12:17" x14ac:dyDescent="0.3">
      <c r="L259" s="31"/>
      <c r="M259" s="31"/>
      <c r="N259" s="32"/>
      <c r="O259" s="33"/>
      <c r="Q259" s="33"/>
    </row>
    <row r="260" spans="12:17" x14ac:dyDescent="0.3">
      <c r="L260" s="31"/>
      <c r="M260" s="31"/>
      <c r="N260" s="32"/>
      <c r="O260" s="33"/>
      <c r="Q260" s="33"/>
    </row>
    <row r="261" spans="12:17" x14ac:dyDescent="0.3">
      <c r="L261" s="31"/>
      <c r="M261" s="31"/>
      <c r="N261" s="32"/>
      <c r="O261" s="33"/>
      <c r="Q261" s="33"/>
    </row>
    <row r="262" spans="12:17" x14ac:dyDescent="0.3">
      <c r="L262" s="31"/>
      <c r="M262" s="31"/>
      <c r="N262" s="32"/>
      <c r="O262" s="33"/>
      <c r="Q262" s="33"/>
    </row>
    <row r="263" spans="12:17" x14ac:dyDescent="0.3">
      <c r="L263" s="31"/>
      <c r="M263" s="31"/>
      <c r="N263" s="32"/>
      <c r="O263" s="33"/>
      <c r="Q263" s="33"/>
    </row>
    <row r="264" spans="12:17" x14ac:dyDescent="0.3">
      <c r="L264" s="31"/>
      <c r="M264" s="31"/>
      <c r="N264" s="32"/>
      <c r="O264" s="33"/>
      <c r="Q264" s="33"/>
    </row>
    <row r="265" spans="12:17" x14ac:dyDescent="0.3">
      <c r="L265" s="31"/>
      <c r="M265" s="31"/>
      <c r="N265" s="32"/>
      <c r="O265" s="33"/>
      <c r="Q265" s="33"/>
    </row>
    <row r="266" spans="12:17" x14ac:dyDescent="0.3">
      <c r="L266" s="31"/>
      <c r="M266" s="31"/>
      <c r="N266" s="32"/>
      <c r="O266" s="33"/>
      <c r="Q266" s="33"/>
    </row>
    <row r="267" spans="12:17" x14ac:dyDescent="0.3">
      <c r="L267" s="31"/>
      <c r="M267" s="31"/>
      <c r="N267" s="32"/>
      <c r="O267" s="33"/>
      <c r="Q267" s="33"/>
    </row>
    <row r="268" spans="12:17" x14ac:dyDescent="0.3">
      <c r="L268" s="31"/>
      <c r="M268" s="31"/>
      <c r="N268" s="32"/>
      <c r="O268" s="33"/>
      <c r="Q268" s="33"/>
    </row>
    <row r="269" spans="12:17" x14ac:dyDescent="0.3">
      <c r="L269" s="31"/>
      <c r="M269" s="31"/>
      <c r="N269" s="32"/>
      <c r="O269" s="33"/>
      <c r="Q269" s="33"/>
    </row>
    <row r="270" spans="12:17" x14ac:dyDescent="0.3">
      <c r="L270" s="31"/>
      <c r="M270" s="31"/>
      <c r="N270" s="32"/>
      <c r="O270" s="33"/>
      <c r="Q270" s="33"/>
    </row>
    <row r="271" spans="12:17" x14ac:dyDescent="0.3">
      <c r="L271" s="31"/>
      <c r="M271" s="31"/>
      <c r="N271" s="32"/>
      <c r="O271" s="33"/>
      <c r="Q271" s="33"/>
    </row>
    <row r="272" spans="12:17" x14ac:dyDescent="0.3">
      <c r="L272" s="31"/>
      <c r="M272" s="31"/>
      <c r="N272" s="32"/>
      <c r="O272" s="33"/>
      <c r="Q272" s="33"/>
    </row>
    <row r="273" spans="12:17" x14ac:dyDescent="0.3">
      <c r="L273" s="31"/>
      <c r="M273" s="31"/>
      <c r="N273" s="32"/>
      <c r="O273" s="33"/>
      <c r="Q273" s="33"/>
    </row>
    <row r="274" spans="12:17" x14ac:dyDescent="0.3">
      <c r="L274" s="31"/>
      <c r="M274" s="31"/>
      <c r="N274" s="32"/>
      <c r="O274" s="33"/>
      <c r="Q274" s="33"/>
    </row>
    <row r="275" spans="12:17" x14ac:dyDescent="0.3">
      <c r="L275" s="31"/>
      <c r="M275" s="31"/>
      <c r="N275" s="32"/>
      <c r="O275" s="33"/>
      <c r="Q275" s="33"/>
    </row>
    <row r="276" spans="12:17" x14ac:dyDescent="0.3">
      <c r="L276" s="31"/>
      <c r="M276" s="31"/>
      <c r="N276" s="32"/>
      <c r="O276" s="33"/>
      <c r="Q276" s="33"/>
    </row>
    <row r="277" spans="12:17" x14ac:dyDescent="0.3">
      <c r="L277" s="31"/>
      <c r="M277" s="31"/>
      <c r="N277" s="32"/>
      <c r="O277" s="33"/>
      <c r="Q277" s="33"/>
    </row>
    <row r="278" spans="12:17" x14ac:dyDescent="0.3">
      <c r="L278" s="31"/>
      <c r="M278" s="31"/>
      <c r="N278" s="32"/>
      <c r="O278" s="33"/>
      <c r="Q278" s="33"/>
    </row>
    <row r="279" spans="12:17" x14ac:dyDescent="0.3">
      <c r="L279" s="31"/>
      <c r="M279" s="31"/>
      <c r="N279" s="32"/>
      <c r="O279" s="33"/>
      <c r="Q279" s="33"/>
    </row>
    <row r="280" spans="12:17" x14ac:dyDescent="0.3">
      <c r="L280" s="31"/>
      <c r="M280" s="31"/>
      <c r="N280" s="32"/>
      <c r="O280" s="33"/>
      <c r="Q280" s="33"/>
    </row>
    <row r="281" spans="12:17" x14ac:dyDescent="0.3">
      <c r="L281" s="31"/>
      <c r="M281" s="31"/>
      <c r="N281" s="32"/>
      <c r="O281" s="33"/>
      <c r="Q281" s="33"/>
    </row>
    <row r="282" spans="12:17" x14ac:dyDescent="0.3">
      <c r="L282" s="31"/>
      <c r="M282" s="31"/>
      <c r="N282" s="32"/>
      <c r="O282" s="33"/>
      <c r="Q282" s="33"/>
    </row>
    <row r="283" spans="12:17" x14ac:dyDescent="0.3">
      <c r="L283" s="31"/>
      <c r="M283" s="31"/>
      <c r="N283" s="32"/>
      <c r="O283" s="33"/>
      <c r="Q283" s="33"/>
    </row>
    <row r="284" spans="12:17" x14ac:dyDescent="0.3">
      <c r="L284" s="31"/>
      <c r="M284" s="31"/>
      <c r="N284" s="32"/>
      <c r="O284" s="33"/>
      <c r="Q284" s="33"/>
    </row>
    <row r="285" spans="12:17" x14ac:dyDescent="0.3">
      <c r="L285" s="31"/>
      <c r="M285" s="31"/>
      <c r="N285" s="32"/>
      <c r="O285" s="33"/>
      <c r="Q285" s="33"/>
    </row>
    <row r="286" spans="12:17" x14ac:dyDescent="0.3">
      <c r="L286" s="31"/>
      <c r="M286" s="31"/>
      <c r="N286" s="32"/>
      <c r="O286" s="33"/>
      <c r="Q286" s="33"/>
    </row>
    <row r="287" spans="12:17" x14ac:dyDescent="0.3">
      <c r="L287" s="31"/>
      <c r="M287" s="31"/>
      <c r="N287" s="32"/>
      <c r="O287" s="33"/>
      <c r="Q287" s="33"/>
    </row>
    <row r="288" spans="12:17" x14ac:dyDescent="0.3">
      <c r="L288" s="31"/>
      <c r="M288" s="31"/>
      <c r="N288" s="32"/>
      <c r="O288" s="33"/>
      <c r="Q288" s="33"/>
    </row>
    <row r="289" spans="12:17" x14ac:dyDescent="0.3">
      <c r="L289" s="31"/>
      <c r="M289" s="31"/>
      <c r="N289" s="32"/>
      <c r="O289" s="33"/>
      <c r="Q289" s="33"/>
    </row>
    <row r="290" spans="12:17" x14ac:dyDescent="0.3">
      <c r="L290" s="31"/>
      <c r="M290" s="31"/>
      <c r="N290" s="32"/>
      <c r="O290" s="33"/>
      <c r="Q290" s="33"/>
    </row>
    <row r="291" spans="12:17" x14ac:dyDescent="0.3">
      <c r="L291" s="31"/>
      <c r="M291" s="31"/>
      <c r="N291" s="32"/>
      <c r="O291" s="33"/>
      <c r="Q291" s="33"/>
    </row>
    <row r="292" spans="12:17" x14ac:dyDescent="0.3">
      <c r="L292" s="31"/>
      <c r="M292" s="31"/>
      <c r="N292" s="32"/>
      <c r="O292" s="33"/>
      <c r="Q292" s="33"/>
    </row>
    <row r="293" spans="12:17" x14ac:dyDescent="0.3">
      <c r="L293" s="31"/>
      <c r="M293" s="31"/>
      <c r="N293" s="32"/>
      <c r="O293" s="33"/>
      <c r="Q293" s="33"/>
    </row>
    <row r="294" spans="12:17" x14ac:dyDescent="0.3">
      <c r="L294" s="31"/>
      <c r="M294" s="31"/>
      <c r="N294" s="32"/>
      <c r="O294" s="33"/>
      <c r="Q294" s="33"/>
    </row>
    <row r="295" spans="12:17" x14ac:dyDescent="0.3">
      <c r="L295" s="31"/>
      <c r="M295" s="31"/>
      <c r="N295" s="32"/>
      <c r="O295" s="33"/>
      <c r="Q295" s="33"/>
    </row>
    <row r="296" spans="12:17" x14ac:dyDescent="0.3">
      <c r="L296" s="31"/>
      <c r="M296" s="31"/>
      <c r="N296" s="32"/>
      <c r="O296" s="33"/>
      <c r="Q296" s="33"/>
    </row>
    <row r="297" spans="12:17" x14ac:dyDescent="0.3">
      <c r="L297" s="31"/>
      <c r="M297" s="31"/>
      <c r="N297" s="32"/>
      <c r="O297" s="33"/>
      <c r="Q297" s="33"/>
    </row>
    <row r="298" spans="12:17" x14ac:dyDescent="0.3">
      <c r="L298" s="31"/>
      <c r="M298" s="31"/>
      <c r="N298" s="32"/>
      <c r="O298" s="33"/>
      <c r="Q298" s="33"/>
    </row>
    <row r="299" spans="12:17" x14ac:dyDescent="0.3">
      <c r="L299" s="31"/>
      <c r="M299" s="31"/>
      <c r="N299" s="32"/>
      <c r="O299" s="33"/>
      <c r="Q299" s="33"/>
    </row>
    <row r="300" spans="12:17" x14ac:dyDescent="0.3">
      <c r="L300" s="31"/>
      <c r="M300" s="31"/>
      <c r="N300" s="32"/>
      <c r="O300" s="33"/>
      <c r="Q300" s="33"/>
    </row>
    <row r="301" spans="12:17" x14ac:dyDescent="0.3">
      <c r="L301" s="31"/>
      <c r="M301" s="31"/>
      <c r="N301" s="32"/>
      <c r="O301" s="33"/>
      <c r="Q301" s="33"/>
    </row>
    <row r="302" spans="12:17" x14ac:dyDescent="0.3">
      <c r="L302" s="31"/>
      <c r="M302" s="31"/>
      <c r="N302" s="32"/>
      <c r="O302" s="33"/>
      <c r="Q302" s="33"/>
    </row>
    <row r="303" spans="12:17" x14ac:dyDescent="0.3">
      <c r="L303" s="31"/>
      <c r="M303" s="31"/>
      <c r="N303" s="32"/>
      <c r="O303" s="33"/>
      <c r="Q303" s="33"/>
    </row>
    <row r="304" spans="12:17" x14ac:dyDescent="0.3">
      <c r="L304" s="31"/>
      <c r="M304" s="31"/>
      <c r="N304" s="32"/>
      <c r="O304" s="33"/>
      <c r="Q304" s="33"/>
    </row>
    <row r="305" spans="12:17" x14ac:dyDescent="0.3">
      <c r="L305" s="31"/>
      <c r="M305" s="31"/>
      <c r="N305" s="32"/>
      <c r="O305" s="33"/>
      <c r="Q305" s="33"/>
    </row>
    <row r="306" spans="12:17" x14ac:dyDescent="0.3">
      <c r="L306" s="31"/>
      <c r="M306" s="31"/>
      <c r="N306" s="32"/>
      <c r="O306" s="33"/>
      <c r="Q306" s="33"/>
    </row>
    <row r="307" spans="12:17" x14ac:dyDescent="0.3">
      <c r="L307" s="31"/>
      <c r="M307" s="31"/>
      <c r="N307" s="32"/>
      <c r="O307" s="33"/>
      <c r="Q307" s="33"/>
    </row>
    <row r="308" spans="12:17" x14ac:dyDescent="0.3">
      <c r="L308" s="31"/>
      <c r="M308" s="31"/>
      <c r="N308" s="32"/>
      <c r="O308" s="33"/>
      <c r="Q308" s="33"/>
    </row>
    <row r="309" spans="12:17" x14ac:dyDescent="0.3">
      <c r="L309" s="31"/>
      <c r="M309" s="31"/>
      <c r="N309" s="32"/>
      <c r="O309" s="33"/>
      <c r="Q309" s="33"/>
    </row>
    <row r="310" spans="12:17" x14ac:dyDescent="0.3">
      <c r="L310" s="31"/>
      <c r="M310" s="31"/>
      <c r="N310" s="32"/>
      <c r="O310" s="33"/>
      <c r="Q310" s="33"/>
    </row>
    <row r="311" spans="12:17" x14ac:dyDescent="0.3">
      <c r="L311" s="31"/>
      <c r="M311" s="31"/>
      <c r="N311" s="32"/>
      <c r="O311" s="33"/>
      <c r="Q311" s="33"/>
    </row>
    <row r="312" spans="12:17" x14ac:dyDescent="0.3">
      <c r="L312" s="31"/>
      <c r="M312" s="31"/>
      <c r="N312" s="32"/>
      <c r="O312" s="33"/>
      <c r="Q312" s="33"/>
    </row>
    <row r="313" spans="12:17" x14ac:dyDescent="0.3">
      <c r="L313" s="31"/>
      <c r="M313" s="31"/>
      <c r="N313" s="32"/>
      <c r="O313" s="33"/>
      <c r="Q313" s="33"/>
    </row>
    <row r="314" spans="12:17" x14ac:dyDescent="0.3">
      <c r="L314" s="31"/>
      <c r="M314" s="31"/>
      <c r="N314" s="32"/>
      <c r="O314" s="33"/>
      <c r="Q314" s="33"/>
    </row>
    <row r="315" spans="12:17" x14ac:dyDescent="0.3">
      <c r="L315" s="31"/>
      <c r="M315" s="31"/>
      <c r="N315" s="32"/>
      <c r="O315" s="33"/>
      <c r="Q315" s="33"/>
    </row>
    <row r="316" spans="12:17" x14ac:dyDescent="0.3">
      <c r="L316" s="31"/>
      <c r="M316" s="31"/>
      <c r="N316" s="32"/>
      <c r="O316" s="33"/>
      <c r="Q316" s="33"/>
    </row>
    <row r="317" spans="12:17" x14ac:dyDescent="0.3">
      <c r="L317" s="31"/>
      <c r="M317" s="31"/>
      <c r="N317" s="32"/>
      <c r="O317" s="33"/>
      <c r="Q317" s="33"/>
    </row>
    <row r="318" spans="12:17" x14ac:dyDescent="0.3">
      <c r="L318" s="31"/>
      <c r="M318" s="31"/>
      <c r="N318" s="32"/>
      <c r="O318" s="33"/>
      <c r="Q318" s="33"/>
    </row>
    <row r="319" spans="12:17" x14ac:dyDescent="0.3">
      <c r="L319" s="31"/>
      <c r="M319" s="31"/>
      <c r="N319" s="32"/>
      <c r="O319" s="33"/>
      <c r="Q319" s="33"/>
    </row>
    <row r="320" spans="12:17" x14ac:dyDescent="0.3">
      <c r="L320" s="31"/>
      <c r="M320" s="31"/>
      <c r="N320" s="32"/>
      <c r="O320" s="33"/>
      <c r="Q320" s="33"/>
    </row>
    <row r="321" spans="12:17" x14ac:dyDescent="0.3">
      <c r="L321" s="31"/>
      <c r="M321" s="31"/>
      <c r="N321" s="32"/>
      <c r="O321" s="33"/>
      <c r="Q321" s="33"/>
    </row>
    <row r="322" spans="12:17" x14ac:dyDescent="0.3">
      <c r="L322" s="31"/>
      <c r="M322" s="31"/>
      <c r="N322" s="32"/>
      <c r="O322" s="33"/>
      <c r="Q322" s="33"/>
    </row>
    <row r="323" spans="12:17" x14ac:dyDescent="0.3">
      <c r="L323" s="31"/>
      <c r="M323" s="31"/>
      <c r="N323" s="32"/>
      <c r="O323" s="33"/>
      <c r="Q323" s="33"/>
    </row>
    <row r="324" spans="12:17" x14ac:dyDescent="0.3">
      <c r="L324" s="31"/>
      <c r="M324" s="31"/>
      <c r="N324" s="32"/>
      <c r="O324" s="33"/>
      <c r="Q324" s="33"/>
    </row>
    <row r="325" spans="12:17" x14ac:dyDescent="0.3">
      <c r="L325" s="31"/>
      <c r="M325" s="31"/>
      <c r="N325" s="32"/>
      <c r="O325" s="33"/>
      <c r="Q325" s="33"/>
    </row>
    <row r="326" spans="12:17" x14ac:dyDescent="0.3">
      <c r="L326" s="31"/>
      <c r="M326" s="31"/>
      <c r="N326" s="32"/>
      <c r="O326" s="33"/>
      <c r="Q326" s="33"/>
    </row>
    <row r="327" spans="12:17" x14ac:dyDescent="0.3">
      <c r="L327" s="31"/>
      <c r="M327" s="31"/>
      <c r="N327" s="32"/>
      <c r="O327" s="33"/>
      <c r="Q327" s="33"/>
    </row>
    <row r="328" spans="12:17" x14ac:dyDescent="0.3">
      <c r="L328" s="31"/>
      <c r="M328" s="31"/>
      <c r="N328" s="32"/>
      <c r="O328" s="33"/>
      <c r="Q328" s="33"/>
    </row>
    <row r="329" spans="12:17" x14ac:dyDescent="0.3">
      <c r="L329" s="31"/>
      <c r="M329" s="31"/>
      <c r="N329" s="32"/>
      <c r="O329" s="33"/>
      <c r="Q329" s="33"/>
    </row>
    <row r="330" spans="12:17" x14ac:dyDescent="0.3">
      <c r="L330" s="31"/>
      <c r="M330" s="31"/>
      <c r="N330" s="32"/>
      <c r="O330" s="33"/>
      <c r="Q330" s="33"/>
    </row>
    <row r="331" spans="12:17" x14ac:dyDescent="0.3">
      <c r="L331" s="31"/>
      <c r="M331" s="31"/>
      <c r="N331" s="32"/>
      <c r="O331" s="33"/>
      <c r="Q331" s="33"/>
    </row>
    <row r="332" spans="12:17" x14ac:dyDescent="0.3">
      <c r="L332" s="31"/>
      <c r="M332" s="31"/>
      <c r="N332" s="32"/>
      <c r="O332" s="33"/>
      <c r="Q332" s="33"/>
    </row>
    <row r="333" spans="12:17" x14ac:dyDescent="0.3">
      <c r="L333" s="31"/>
      <c r="M333" s="31"/>
      <c r="N333" s="32"/>
      <c r="O333" s="33"/>
      <c r="Q333" s="33"/>
    </row>
    <row r="334" spans="12:17" x14ac:dyDescent="0.3">
      <c r="L334" s="31"/>
      <c r="M334" s="31"/>
      <c r="N334" s="32"/>
      <c r="O334" s="33"/>
      <c r="Q334" s="33"/>
    </row>
    <row r="335" spans="12:17" x14ac:dyDescent="0.3">
      <c r="L335" s="31"/>
      <c r="M335" s="31"/>
      <c r="N335" s="32"/>
      <c r="O335" s="33"/>
      <c r="Q335" s="33"/>
    </row>
    <row r="336" spans="12:17" x14ac:dyDescent="0.3">
      <c r="L336" s="31"/>
      <c r="M336" s="31"/>
      <c r="N336" s="32"/>
      <c r="O336" s="33"/>
      <c r="Q336" s="33"/>
    </row>
    <row r="337" spans="12:17" x14ac:dyDescent="0.3">
      <c r="L337" s="31"/>
      <c r="M337" s="31"/>
      <c r="N337" s="32"/>
      <c r="O337" s="33"/>
      <c r="Q337" s="33"/>
    </row>
    <row r="338" spans="12:17" x14ac:dyDescent="0.3">
      <c r="L338" s="31"/>
      <c r="M338" s="31"/>
      <c r="N338" s="32"/>
      <c r="O338" s="33"/>
      <c r="Q338" s="33"/>
    </row>
    <row r="339" spans="12:17" x14ac:dyDescent="0.3">
      <c r="L339" s="31"/>
      <c r="M339" s="31"/>
      <c r="N339" s="32"/>
      <c r="O339" s="33"/>
      <c r="Q339" s="33"/>
    </row>
    <row r="340" spans="12:17" x14ac:dyDescent="0.3">
      <c r="L340" s="31"/>
      <c r="M340" s="31"/>
      <c r="N340" s="32"/>
      <c r="O340" s="33"/>
      <c r="Q340" s="33"/>
    </row>
    <row r="341" spans="12:17" x14ac:dyDescent="0.3">
      <c r="L341" s="31"/>
      <c r="M341" s="31"/>
      <c r="N341" s="32"/>
      <c r="O341" s="33"/>
      <c r="Q341" s="33"/>
    </row>
    <row r="342" spans="12:17" x14ac:dyDescent="0.3">
      <c r="L342" s="31"/>
      <c r="M342" s="31"/>
      <c r="N342" s="32"/>
      <c r="O342" s="33"/>
      <c r="Q342" s="33"/>
    </row>
    <row r="343" spans="12:17" x14ac:dyDescent="0.3">
      <c r="L343" s="31"/>
      <c r="M343" s="31"/>
      <c r="N343" s="32"/>
      <c r="O343" s="33"/>
      <c r="Q343" s="33"/>
    </row>
    <row r="344" spans="12:17" x14ac:dyDescent="0.3">
      <c r="L344" s="31"/>
      <c r="M344" s="31"/>
      <c r="N344" s="32"/>
      <c r="O344" s="33"/>
      <c r="Q344" s="33"/>
    </row>
    <row r="345" spans="12:17" x14ac:dyDescent="0.3">
      <c r="L345" s="31"/>
      <c r="M345" s="31"/>
      <c r="N345" s="32"/>
      <c r="O345" s="33"/>
      <c r="Q345" s="33"/>
    </row>
    <row r="346" spans="12:17" x14ac:dyDescent="0.3">
      <c r="L346" s="31"/>
      <c r="M346" s="31"/>
      <c r="N346" s="32"/>
      <c r="O346" s="33"/>
      <c r="Q346" s="33"/>
    </row>
    <row r="347" spans="12:17" x14ac:dyDescent="0.3">
      <c r="L347" s="31"/>
      <c r="M347" s="31"/>
      <c r="N347" s="32"/>
      <c r="O347" s="33"/>
      <c r="Q347" s="33"/>
    </row>
    <row r="348" spans="12:17" x14ac:dyDescent="0.3">
      <c r="L348" s="31"/>
      <c r="M348" s="31"/>
      <c r="N348" s="32"/>
      <c r="O348" s="33"/>
      <c r="Q348" s="33"/>
    </row>
    <row r="349" spans="12:17" x14ac:dyDescent="0.3">
      <c r="L349" s="31"/>
      <c r="M349" s="31"/>
      <c r="N349" s="32"/>
      <c r="O349" s="33"/>
      <c r="Q349" s="33"/>
    </row>
    <row r="350" spans="12:17" x14ac:dyDescent="0.3">
      <c r="L350" s="31"/>
      <c r="M350" s="31"/>
      <c r="N350" s="32"/>
      <c r="O350" s="33"/>
      <c r="Q350" s="33"/>
    </row>
    <row r="351" spans="12:17" x14ac:dyDescent="0.3">
      <c r="L351" s="31"/>
      <c r="M351" s="31"/>
      <c r="N351" s="32"/>
      <c r="O351" s="33"/>
      <c r="Q351" s="33"/>
    </row>
    <row r="352" spans="12:17" x14ac:dyDescent="0.3">
      <c r="L352" s="31"/>
      <c r="M352" s="31"/>
      <c r="N352" s="32"/>
      <c r="O352" s="33"/>
      <c r="Q352" s="33"/>
    </row>
    <row r="353" spans="12:17" x14ac:dyDescent="0.3">
      <c r="L353" s="31"/>
      <c r="M353" s="31"/>
      <c r="N353" s="32"/>
      <c r="O353" s="33"/>
      <c r="Q353" s="33"/>
    </row>
    <row r="354" spans="12:17" x14ac:dyDescent="0.3">
      <c r="L354" s="31"/>
      <c r="M354" s="31"/>
      <c r="N354" s="32"/>
      <c r="O354" s="33"/>
      <c r="Q354" s="33"/>
    </row>
    <row r="355" spans="12:17" x14ac:dyDescent="0.3">
      <c r="L355" s="31"/>
      <c r="M355" s="31"/>
      <c r="N355" s="32"/>
      <c r="O355" s="33"/>
      <c r="Q355" s="33"/>
    </row>
    <row r="356" spans="12:17" x14ac:dyDescent="0.3">
      <c r="L356" s="31"/>
      <c r="M356" s="31"/>
      <c r="N356" s="32"/>
      <c r="O356" s="33"/>
      <c r="Q356" s="33"/>
    </row>
    <row r="357" spans="12:17" x14ac:dyDescent="0.3">
      <c r="L357" s="31"/>
      <c r="M357" s="31"/>
      <c r="N357" s="32"/>
      <c r="O357" s="33"/>
      <c r="Q357" s="33"/>
    </row>
    <row r="358" spans="12:17" x14ac:dyDescent="0.3">
      <c r="L358" s="31"/>
      <c r="M358" s="31"/>
      <c r="N358" s="32"/>
      <c r="O358" s="33"/>
      <c r="Q358" s="33"/>
    </row>
    <row r="359" spans="12:17" x14ac:dyDescent="0.3">
      <c r="L359" s="31"/>
      <c r="M359" s="31"/>
      <c r="N359" s="32"/>
      <c r="O359" s="33"/>
      <c r="Q359" s="33"/>
    </row>
    <row r="360" spans="12:17" x14ac:dyDescent="0.3">
      <c r="L360" s="31"/>
      <c r="M360" s="31"/>
      <c r="N360" s="32"/>
      <c r="O360" s="33"/>
      <c r="Q360" s="33"/>
    </row>
    <row r="361" spans="12:17" x14ac:dyDescent="0.3">
      <c r="L361" s="31"/>
      <c r="M361" s="31"/>
      <c r="N361" s="32"/>
      <c r="O361" s="33"/>
      <c r="Q361" s="33"/>
    </row>
    <row r="362" spans="12:17" x14ac:dyDescent="0.3">
      <c r="L362" s="31"/>
      <c r="M362" s="31"/>
      <c r="N362" s="32"/>
      <c r="O362" s="33"/>
      <c r="Q362" s="33"/>
    </row>
    <row r="363" spans="12:17" x14ac:dyDescent="0.3">
      <c r="L363" s="31"/>
      <c r="M363" s="31"/>
      <c r="N363" s="32"/>
      <c r="O363" s="33"/>
      <c r="Q363" s="33"/>
    </row>
    <row r="364" spans="12:17" x14ac:dyDescent="0.3">
      <c r="L364" s="31"/>
      <c r="M364" s="31"/>
      <c r="N364" s="32"/>
      <c r="O364" s="33"/>
      <c r="Q364" s="33"/>
    </row>
    <row r="365" spans="12:17" x14ac:dyDescent="0.3">
      <c r="L365" s="31"/>
      <c r="M365" s="31"/>
      <c r="N365" s="32"/>
      <c r="O365" s="33"/>
      <c r="Q365" s="33"/>
    </row>
    <row r="366" spans="12:17" x14ac:dyDescent="0.3">
      <c r="L366" s="31"/>
      <c r="M366" s="31"/>
      <c r="N366" s="32"/>
      <c r="O366" s="33"/>
      <c r="Q366" s="33"/>
    </row>
    <row r="367" spans="12:17" x14ac:dyDescent="0.3">
      <c r="L367" s="31"/>
      <c r="M367" s="31"/>
      <c r="N367" s="32"/>
      <c r="O367" s="33"/>
      <c r="Q367" s="33"/>
    </row>
    <row r="368" spans="12:17" x14ac:dyDescent="0.3">
      <c r="L368" s="31"/>
      <c r="M368" s="31"/>
      <c r="N368" s="32"/>
      <c r="O368" s="33"/>
      <c r="Q368" s="33"/>
    </row>
    <row r="369" spans="12:17" x14ac:dyDescent="0.3">
      <c r="L369" s="31"/>
      <c r="M369" s="31"/>
      <c r="N369" s="32"/>
      <c r="O369" s="33"/>
      <c r="Q369" s="33"/>
    </row>
    <row r="370" spans="12:17" x14ac:dyDescent="0.3">
      <c r="L370" s="31"/>
      <c r="M370" s="31"/>
      <c r="N370" s="32"/>
      <c r="O370" s="33"/>
      <c r="Q370" s="33"/>
    </row>
    <row r="371" spans="12:17" x14ac:dyDescent="0.3">
      <c r="L371" s="31"/>
      <c r="M371" s="31"/>
      <c r="N371" s="32"/>
      <c r="O371" s="33"/>
      <c r="Q371" s="33"/>
    </row>
    <row r="372" spans="12:17" x14ac:dyDescent="0.3">
      <c r="L372" s="31"/>
      <c r="M372" s="31"/>
      <c r="N372" s="32"/>
      <c r="O372" s="33"/>
      <c r="Q372" s="33"/>
    </row>
    <row r="373" spans="12:17" x14ac:dyDescent="0.3">
      <c r="L373" s="31"/>
      <c r="M373" s="31"/>
      <c r="N373" s="32"/>
      <c r="O373" s="33"/>
      <c r="Q373" s="33"/>
    </row>
    <row r="374" spans="12:17" x14ac:dyDescent="0.3">
      <c r="L374" s="31"/>
      <c r="M374" s="31"/>
      <c r="N374" s="32"/>
      <c r="O374" s="33"/>
      <c r="Q374" s="33"/>
    </row>
    <row r="375" spans="12:17" x14ac:dyDescent="0.3">
      <c r="L375" s="31"/>
      <c r="M375" s="31"/>
      <c r="N375" s="32"/>
      <c r="O375" s="33"/>
      <c r="Q375" s="33"/>
    </row>
    <row r="376" spans="12:17" x14ac:dyDescent="0.3">
      <c r="L376" s="31"/>
      <c r="M376" s="31"/>
      <c r="N376" s="32"/>
      <c r="O376" s="33"/>
      <c r="Q376" s="33"/>
    </row>
    <row r="377" spans="12:17" x14ac:dyDescent="0.3">
      <c r="L377" s="31"/>
      <c r="M377" s="31"/>
      <c r="N377" s="32"/>
      <c r="O377" s="33"/>
      <c r="Q377" s="33"/>
    </row>
    <row r="378" spans="12:17" x14ac:dyDescent="0.3">
      <c r="L378" s="31"/>
      <c r="M378" s="31"/>
      <c r="N378" s="32"/>
      <c r="O378" s="33"/>
      <c r="Q378" s="33"/>
    </row>
    <row r="379" spans="12:17" x14ac:dyDescent="0.3">
      <c r="L379" s="31"/>
      <c r="M379" s="31"/>
      <c r="N379" s="32"/>
      <c r="O379" s="33"/>
      <c r="Q379" s="33"/>
    </row>
    <row r="380" spans="12:17" x14ac:dyDescent="0.3">
      <c r="L380" s="31"/>
      <c r="M380" s="31"/>
      <c r="N380" s="32"/>
      <c r="O380" s="33"/>
      <c r="Q380" s="33"/>
    </row>
    <row r="381" spans="12:17" x14ac:dyDescent="0.3">
      <c r="L381" s="31"/>
      <c r="M381" s="31"/>
      <c r="N381" s="32"/>
      <c r="O381" s="33"/>
      <c r="Q381" s="33"/>
    </row>
    <row r="382" spans="12:17" x14ac:dyDescent="0.3">
      <c r="L382" s="31"/>
      <c r="M382" s="31"/>
      <c r="N382" s="32"/>
      <c r="O382" s="33"/>
      <c r="Q382" s="33"/>
    </row>
    <row r="383" spans="12:17" x14ac:dyDescent="0.3">
      <c r="L383" s="31"/>
      <c r="M383" s="31"/>
      <c r="N383" s="32"/>
      <c r="O383" s="33"/>
      <c r="Q383" s="33"/>
    </row>
    <row r="384" spans="12:17" x14ac:dyDescent="0.3">
      <c r="L384" s="31"/>
      <c r="M384" s="31"/>
      <c r="N384" s="32"/>
      <c r="O384" s="33"/>
      <c r="Q384" s="33"/>
    </row>
    <row r="385" spans="12:17" x14ac:dyDescent="0.3">
      <c r="L385" s="31"/>
      <c r="M385" s="31"/>
      <c r="N385" s="32"/>
      <c r="O385" s="33"/>
      <c r="Q385" s="33"/>
    </row>
    <row r="386" spans="12:17" x14ac:dyDescent="0.3">
      <c r="L386" s="31"/>
      <c r="M386" s="31"/>
      <c r="N386" s="32"/>
      <c r="O386" s="33"/>
      <c r="Q386" s="33"/>
    </row>
    <row r="387" spans="12:17" x14ac:dyDescent="0.3">
      <c r="L387" s="31"/>
      <c r="M387" s="31"/>
      <c r="N387" s="32"/>
      <c r="O387" s="33"/>
      <c r="Q387" s="33"/>
    </row>
    <row r="388" spans="12:17" x14ac:dyDescent="0.3">
      <c r="L388" s="31"/>
      <c r="M388" s="31"/>
      <c r="N388" s="32"/>
      <c r="O388" s="33"/>
      <c r="Q388" s="33"/>
    </row>
    <row r="389" spans="12:17" x14ac:dyDescent="0.3">
      <c r="L389" s="31"/>
      <c r="M389" s="31"/>
      <c r="N389" s="32"/>
      <c r="O389" s="33"/>
      <c r="Q389" s="33"/>
    </row>
    <row r="390" spans="12:17" x14ac:dyDescent="0.3">
      <c r="L390" s="31"/>
      <c r="M390" s="31"/>
      <c r="N390" s="32"/>
      <c r="O390" s="33"/>
      <c r="Q390" s="33"/>
    </row>
    <row r="391" spans="12:17" x14ac:dyDescent="0.3">
      <c r="L391" s="31"/>
      <c r="M391" s="31"/>
      <c r="N391" s="32"/>
      <c r="O391" s="33"/>
      <c r="Q391" s="33"/>
    </row>
    <row r="392" spans="12:17" x14ac:dyDescent="0.3">
      <c r="L392" s="31"/>
      <c r="M392" s="31"/>
      <c r="N392" s="32"/>
      <c r="O392" s="33"/>
      <c r="Q392" s="33"/>
    </row>
    <row r="393" spans="12:17" x14ac:dyDescent="0.3">
      <c r="L393" s="31"/>
      <c r="M393" s="31"/>
      <c r="N393" s="32"/>
      <c r="O393" s="33"/>
      <c r="Q393" s="33"/>
    </row>
    <row r="394" spans="12:17" x14ac:dyDescent="0.3">
      <c r="L394" s="31"/>
      <c r="M394" s="31"/>
      <c r="N394" s="32"/>
      <c r="O394" s="33"/>
      <c r="Q394" s="33"/>
    </row>
    <row r="395" spans="12:17" x14ac:dyDescent="0.3">
      <c r="L395" s="31"/>
      <c r="M395" s="31"/>
      <c r="N395" s="32"/>
      <c r="O395" s="33"/>
      <c r="Q395" s="33"/>
    </row>
    <row r="396" spans="12:17" x14ac:dyDescent="0.3">
      <c r="L396" s="31"/>
      <c r="M396" s="31"/>
      <c r="N396" s="32"/>
      <c r="O396" s="33"/>
      <c r="Q396" s="33"/>
    </row>
    <row r="397" spans="12:17" x14ac:dyDescent="0.3">
      <c r="L397" s="31"/>
      <c r="M397" s="31"/>
      <c r="N397" s="32"/>
      <c r="O397" s="33"/>
      <c r="Q397" s="33"/>
    </row>
    <row r="398" spans="12:17" x14ac:dyDescent="0.3">
      <c r="L398" s="31"/>
      <c r="M398" s="31"/>
      <c r="N398" s="32"/>
      <c r="O398" s="33"/>
      <c r="Q398" s="33"/>
    </row>
    <row r="399" spans="12:17" x14ac:dyDescent="0.3">
      <c r="L399" s="31"/>
      <c r="M399" s="31"/>
      <c r="N399" s="32"/>
      <c r="O399" s="33"/>
      <c r="Q399" s="33"/>
    </row>
    <row r="400" spans="12:17" x14ac:dyDescent="0.3">
      <c r="L400" s="31"/>
      <c r="M400" s="31"/>
      <c r="N400" s="32"/>
      <c r="O400" s="33"/>
      <c r="Q400" s="33"/>
    </row>
    <row r="401" spans="12:17" x14ac:dyDescent="0.3">
      <c r="L401" s="31"/>
      <c r="M401" s="31"/>
      <c r="N401" s="32"/>
      <c r="O401" s="33"/>
      <c r="Q401" s="33"/>
    </row>
    <row r="402" spans="12:17" x14ac:dyDescent="0.3">
      <c r="L402" s="31"/>
      <c r="M402" s="31"/>
      <c r="N402" s="32"/>
      <c r="O402" s="33"/>
      <c r="Q402" s="33"/>
    </row>
    <row r="403" spans="12:17" x14ac:dyDescent="0.3">
      <c r="L403" s="31"/>
      <c r="M403" s="31"/>
      <c r="N403" s="32"/>
      <c r="O403" s="33"/>
      <c r="Q403" s="33"/>
    </row>
    <row r="404" spans="12:17" x14ac:dyDescent="0.3">
      <c r="L404" s="31"/>
      <c r="M404" s="31"/>
      <c r="N404" s="32"/>
      <c r="O404" s="33"/>
      <c r="Q404" s="33"/>
    </row>
    <row r="405" spans="12:17" x14ac:dyDescent="0.3">
      <c r="L405" s="31"/>
      <c r="M405" s="31"/>
      <c r="N405" s="32"/>
      <c r="O405" s="33"/>
      <c r="Q405" s="33"/>
    </row>
    <row r="406" spans="12:17" x14ac:dyDescent="0.3">
      <c r="L406" s="31"/>
      <c r="M406" s="31"/>
      <c r="N406" s="32"/>
      <c r="O406" s="33"/>
      <c r="Q406" s="33"/>
    </row>
    <row r="407" spans="12:17" x14ac:dyDescent="0.3">
      <c r="L407" s="31"/>
      <c r="M407" s="31"/>
      <c r="N407" s="32"/>
      <c r="O407" s="33"/>
      <c r="Q407" s="33"/>
    </row>
    <row r="408" spans="12:17" x14ac:dyDescent="0.3">
      <c r="L408" s="31"/>
      <c r="M408" s="31"/>
      <c r="N408" s="32"/>
      <c r="O408" s="33"/>
      <c r="Q408" s="33"/>
    </row>
    <row r="409" spans="12:17" x14ac:dyDescent="0.3">
      <c r="L409" s="31"/>
      <c r="M409" s="31"/>
      <c r="N409" s="32"/>
      <c r="O409" s="33"/>
      <c r="Q409" s="33"/>
    </row>
    <row r="410" spans="12:17" x14ac:dyDescent="0.3">
      <c r="L410" s="31"/>
      <c r="M410" s="31"/>
      <c r="N410" s="32"/>
      <c r="O410" s="33"/>
      <c r="Q410" s="33"/>
    </row>
    <row r="411" spans="12:17" x14ac:dyDescent="0.3">
      <c r="L411" s="31"/>
      <c r="M411" s="31"/>
      <c r="N411" s="32"/>
      <c r="O411" s="33"/>
      <c r="Q411" s="33"/>
    </row>
    <row r="412" spans="12:17" x14ac:dyDescent="0.3">
      <c r="L412" s="31"/>
      <c r="M412" s="31"/>
      <c r="N412" s="32"/>
      <c r="O412" s="33"/>
      <c r="Q412" s="33"/>
    </row>
    <row r="413" spans="12:17" x14ac:dyDescent="0.3">
      <c r="L413" s="31"/>
      <c r="M413" s="31"/>
      <c r="N413" s="32"/>
      <c r="O413" s="33"/>
      <c r="Q413" s="33"/>
    </row>
    <row r="414" spans="12:17" x14ac:dyDescent="0.3">
      <c r="L414" s="31"/>
      <c r="M414" s="31"/>
      <c r="N414" s="32"/>
      <c r="O414" s="33"/>
      <c r="Q414" s="33"/>
    </row>
    <row r="415" spans="12:17" x14ac:dyDescent="0.3">
      <c r="L415" s="31"/>
      <c r="M415" s="31"/>
      <c r="N415" s="32"/>
      <c r="O415" s="33"/>
      <c r="Q415" s="33"/>
    </row>
    <row r="416" spans="12:17" x14ac:dyDescent="0.3">
      <c r="L416" s="31"/>
      <c r="M416" s="31"/>
      <c r="N416" s="32"/>
      <c r="O416" s="33"/>
      <c r="Q416" s="33"/>
    </row>
    <row r="417" spans="12:17" x14ac:dyDescent="0.3">
      <c r="L417" s="31"/>
      <c r="M417" s="31"/>
      <c r="N417" s="32"/>
      <c r="O417" s="33"/>
      <c r="Q417" s="33"/>
    </row>
    <row r="418" spans="12:17" x14ac:dyDescent="0.3">
      <c r="L418" s="31"/>
      <c r="M418" s="31"/>
      <c r="N418" s="32"/>
      <c r="O418" s="33"/>
      <c r="Q418" s="33"/>
    </row>
    <row r="419" spans="12:17" x14ac:dyDescent="0.3">
      <c r="L419" s="31"/>
      <c r="M419" s="31"/>
      <c r="N419" s="32"/>
      <c r="O419" s="33"/>
      <c r="Q419" s="33"/>
    </row>
    <row r="420" spans="12:17" x14ac:dyDescent="0.3">
      <c r="L420" s="31"/>
      <c r="M420" s="31"/>
      <c r="N420" s="32"/>
      <c r="O420" s="33"/>
      <c r="Q420" s="33"/>
    </row>
    <row r="421" spans="12:17" x14ac:dyDescent="0.3">
      <c r="L421" s="31"/>
      <c r="M421" s="31"/>
      <c r="N421" s="32"/>
      <c r="O421" s="33"/>
      <c r="Q421" s="33"/>
    </row>
    <row r="422" spans="12:17" x14ac:dyDescent="0.3">
      <c r="L422" s="31"/>
      <c r="M422" s="31"/>
      <c r="N422" s="32"/>
      <c r="O422" s="33"/>
      <c r="Q422" s="33"/>
    </row>
    <row r="423" spans="12:17" x14ac:dyDescent="0.3">
      <c r="L423" s="31"/>
      <c r="M423" s="31"/>
      <c r="N423" s="32"/>
      <c r="O423" s="33"/>
      <c r="Q423" s="33"/>
    </row>
    <row r="424" spans="12:17" x14ac:dyDescent="0.3">
      <c r="L424" s="31"/>
      <c r="M424" s="31"/>
      <c r="N424" s="32"/>
      <c r="O424" s="33"/>
      <c r="Q424" s="33"/>
    </row>
    <row r="425" spans="12:17" x14ac:dyDescent="0.3">
      <c r="L425" s="31"/>
      <c r="M425" s="31"/>
      <c r="N425" s="32"/>
      <c r="O425" s="33"/>
      <c r="Q425" s="33"/>
    </row>
    <row r="426" spans="12:17" x14ac:dyDescent="0.3">
      <c r="L426" s="31"/>
      <c r="M426" s="31"/>
      <c r="N426" s="32"/>
      <c r="O426" s="33"/>
      <c r="Q426" s="33"/>
    </row>
    <row r="427" spans="12:17" x14ac:dyDescent="0.3">
      <c r="L427" s="31"/>
      <c r="M427" s="31"/>
      <c r="N427" s="32"/>
      <c r="O427" s="33"/>
      <c r="Q427" s="33"/>
    </row>
    <row r="428" spans="12:17" x14ac:dyDescent="0.3">
      <c r="L428" s="31"/>
      <c r="M428" s="31"/>
      <c r="N428" s="32"/>
      <c r="O428" s="33"/>
      <c r="Q428" s="33"/>
    </row>
    <row r="429" spans="12:17" x14ac:dyDescent="0.3">
      <c r="L429" s="31"/>
      <c r="M429" s="31"/>
      <c r="N429" s="32"/>
      <c r="O429" s="33"/>
      <c r="Q429" s="33"/>
    </row>
    <row r="430" spans="12:17" x14ac:dyDescent="0.3">
      <c r="L430" s="31"/>
      <c r="M430" s="31"/>
      <c r="N430" s="32"/>
      <c r="O430" s="33"/>
      <c r="Q430" s="33"/>
    </row>
    <row r="431" spans="12:17" x14ac:dyDescent="0.3">
      <c r="L431" s="31"/>
      <c r="M431" s="31"/>
      <c r="N431" s="32"/>
      <c r="O431" s="33"/>
      <c r="Q431" s="33"/>
    </row>
    <row r="432" spans="12:17" x14ac:dyDescent="0.3">
      <c r="L432" s="31"/>
      <c r="M432" s="31"/>
      <c r="N432" s="32"/>
      <c r="O432" s="33"/>
      <c r="Q432" s="33"/>
    </row>
    <row r="433" spans="12:17" x14ac:dyDescent="0.3">
      <c r="L433" s="31"/>
      <c r="M433" s="31"/>
      <c r="N433" s="32"/>
      <c r="O433" s="33"/>
      <c r="Q433" s="33"/>
    </row>
    <row r="434" spans="12:17" x14ac:dyDescent="0.3">
      <c r="L434" s="31"/>
      <c r="M434" s="31"/>
      <c r="N434" s="32"/>
      <c r="O434" s="33"/>
      <c r="Q434" s="33"/>
    </row>
    <row r="435" spans="12:17" x14ac:dyDescent="0.3">
      <c r="L435" s="31"/>
      <c r="M435" s="31"/>
      <c r="N435" s="32"/>
      <c r="O435" s="33"/>
      <c r="Q435" s="33"/>
    </row>
    <row r="436" spans="12:17" x14ac:dyDescent="0.3">
      <c r="L436" s="31"/>
      <c r="M436" s="31"/>
      <c r="N436" s="32"/>
      <c r="O436" s="33"/>
      <c r="Q436" s="33"/>
    </row>
    <row r="437" spans="12:17" x14ac:dyDescent="0.3">
      <c r="L437" s="31"/>
      <c r="M437" s="31"/>
      <c r="N437" s="32"/>
      <c r="O437" s="33"/>
      <c r="Q437" s="33"/>
    </row>
    <row r="438" spans="12:17" x14ac:dyDescent="0.3">
      <c r="L438" s="31"/>
      <c r="M438" s="31"/>
      <c r="N438" s="32"/>
      <c r="O438" s="33"/>
      <c r="Q438" s="33"/>
    </row>
    <row r="439" spans="12:17" x14ac:dyDescent="0.3">
      <c r="L439" s="31"/>
      <c r="M439" s="31"/>
      <c r="N439" s="32"/>
      <c r="O439" s="33"/>
      <c r="Q439" s="33"/>
    </row>
    <row r="440" spans="12:17" x14ac:dyDescent="0.3">
      <c r="L440" s="31"/>
      <c r="M440" s="31"/>
      <c r="N440" s="32"/>
      <c r="O440" s="33"/>
      <c r="Q440" s="33"/>
    </row>
    <row r="441" spans="12:17" x14ac:dyDescent="0.3">
      <c r="L441" s="31"/>
      <c r="M441" s="31"/>
      <c r="N441" s="32"/>
      <c r="O441" s="33"/>
      <c r="Q441" s="33"/>
    </row>
    <row r="442" spans="12:17" x14ac:dyDescent="0.3">
      <c r="L442" s="31"/>
      <c r="M442" s="31"/>
      <c r="N442" s="32"/>
      <c r="O442" s="33"/>
      <c r="Q442" s="33"/>
    </row>
    <row r="443" spans="12:17" x14ac:dyDescent="0.3">
      <c r="L443" s="31"/>
      <c r="M443" s="31"/>
      <c r="N443" s="32"/>
      <c r="O443" s="33"/>
      <c r="Q443" s="33"/>
    </row>
    <row r="444" spans="12:17" x14ac:dyDescent="0.3">
      <c r="L444" s="31"/>
      <c r="M444" s="31"/>
      <c r="N444" s="32"/>
      <c r="O444" s="33"/>
      <c r="Q444" s="33"/>
    </row>
    <row r="445" spans="12:17" x14ac:dyDescent="0.3">
      <c r="L445" s="31"/>
      <c r="M445" s="31"/>
      <c r="N445" s="32"/>
      <c r="O445" s="33"/>
      <c r="Q445" s="33"/>
    </row>
    <row r="446" spans="12:17" x14ac:dyDescent="0.3">
      <c r="L446" s="31"/>
      <c r="M446" s="31"/>
      <c r="N446" s="32"/>
      <c r="O446" s="33"/>
      <c r="Q446" s="33"/>
    </row>
    <row r="447" spans="12:17" x14ac:dyDescent="0.3">
      <c r="L447" s="31"/>
      <c r="M447" s="31"/>
      <c r="N447" s="32"/>
      <c r="O447" s="33"/>
      <c r="Q447" s="33"/>
    </row>
    <row r="448" spans="12:17" x14ac:dyDescent="0.3">
      <c r="L448" s="31"/>
      <c r="M448" s="31"/>
      <c r="N448" s="32"/>
      <c r="O448" s="33"/>
      <c r="Q448" s="33"/>
    </row>
    <row r="449" spans="12:17" x14ac:dyDescent="0.3">
      <c r="L449" s="31"/>
      <c r="M449" s="31"/>
      <c r="N449" s="32"/>
      <c r="O449" s="33"/>
      <c r="Q449" s="33"/>
    </row>
    <row r="450" spans="12:17" x14ac:dyDescent="0.3">
      <c r="L450" s="31"/>
      <c r="M450" s="31"/>
      <c r="N450" s="32"/>
      <c r="O450" s="33"/>
      <c r="Q450" s="33"/>
    </row>
    <row r="451" spans="12:17" x14ac:dyDescent="0.3">
      <c r="L451" s="31"/>
      <c r="M451" s="31"/>
      <c r="N451" s="32"/>
      <c r="O451" s="33"/>
      <c r="Q451" s="33"/>
    </row>
    <row r="452" spans="12:17" x14ac:dyDescent="0.3">
      <c r="L452" s="31"/>
      <c r="M452" s="31"/>
      <c r="N452" s="32"/>
      <c r="O452" s="33"/>
      <c r="Q452" s="33"/>
    </row>
    <row r="453" spans="12:17" x14ac:dyDescent="0.3">
      <c r="L453" s="31"/>
      <c r="M453" s="31"/>
      <c r="N453" s="32"/>
      <c r="O453" s="33"/>
      <c r="Q453" s="33"/>
    </row>
    <row r="454" spans="12:17" x14ac:dyDescent="0.3">
      <c r="L454" s="31"/>
      <c r="M454" s="31"/>
      <c r="N454" s="32"/>
      <c r="O454" s="33"/>
      <c r="Q454" s="33"/>
    </row>
    <row r="455" spans="12:17" x14ac:dyDescent="0.3">
      <c r="L455" s="31"/>
      <c r="M455" s="31"/>
      <c r="N455" s="32"/>
      <c r="O455" s="33"/>
      <c r="Q455" s="33"/>
    </row>
    <row r="456" spans="12:17" x14ac:dyDescent="0.3">
      <c r="L456" s="31"/>
      <c r="M456" s="31"/>
      <c r="N456" s="32"/>
      <c r="O456" s="33"/>
      <c r="Q456" s="33"/>
    </row>
    <row r="457" spans="12:17" x14ac:dyDescent="0.3">
      <c r="L457" s="31"/>
      <c r="M457" s="31"/>
      <c r="N457" s="32"/>
      <c r="O457" s="33"/>
      <c r="Q457" s="33"/>
    </row>
    <row r="458" spans="12:17" x14ac:dyDescent="0.3">
      <c r="L458" s="31"/>
      <c r="M458" s="31"/>
      <c r="N458" s="32"/>
      <c r="O458" s="33"/>
      <c r="Q458" s="33"/>
    </row>
    <row r="459" spans="12:17" x14ac:dyDescent="0.3">
      <c r="L459" s="31"/>
      <c r="M459" s="31"/>
      <c r="N459" s="32"/>
      <c r="O459" s="33"/>
      <c r="Q459" s="33"/>
    </row>
    <row r="460" spans="12:17" x14ac:dyDescent="0.3">
      <c r="L460" s="31"/>
      <c r="M460" s="31"/>
      <c r="N460" s="32"/>
      <c r="O460" s="33"/>
      <c r="Q460" s="33"/>
    </row>
    <row r="461" spans="12:17" x14ac:dyDescent="0.3">
      <c r="L461" s="31"/>
      <c r="M461" s="31"/>
      <c r="N461" s="32"/>
      <c r="O461" s="33"/>
      <c r="Q461" s="33"/>
    </row>
    <row r="462" spans="12:17" x14ac:dyDescent="0.3">
      <c r="L462" s="31"/>
      <c r="M462" s="31"/>
      <c r="N462" s="32"/>
      <c r="O462" s="33"/>
      <c r="Q462" s="33"/>
    </row>
    <row r="463" spans="12:17" x14ac:dyDescent="0.3">
      <c r="L463" s="31"/>
      <c r="M463" s="31"/>
      <c r="N463" s="32"/>
      <c r="O463" s="33"/>
      <c r="Q463" s="33"/>
    </row>
    <row r="464" spans="12:17" x14ac:dyDescent="0.3">
      <c r="L464" s="31"/>
      <c r="M464" s="31"/>
      <c r="N464" s="32"/>
      <c r="O464" s="33"/>
      <c r="Q464" s="33"/>
    </row>
    <row r="465" spans="12:17" x14ac:dyDescent="0.3">
      <c r="L465" s="31"/>
      <c r="M465" s="31"/>
      <c r="N465" s="32"/>
      <c r="O465" s="33"/>
      <c r="Q465" s="33"/>
    </row>
    <row r="466" spans="12:17" x14ac:dyDescent="0.3">
      <c r="L466" s="31"/>
      <c r="M466" s="31"/>
      <c r="N466" s="32"/>
      <c r="O466" s="33"/>
      <c r="Q466" s="33"/>
    </row>
    <row r="467" spans="12:17" x14ac:dyDescent="0.3">
      <c r="L467" s="31"/>
      <c r="M467" s="31"/>
      <c r="N467" s="32"/>
      <c r="O467" s="33"/>
      <c r="Q467" s="33"/>
    </row>
    <row r="468" spans="12:17" x14ac:dyDescent="0.3">
      <c r="L468" s="31"/>
      <c r="M468" s="31"/>
      <c r="N468" s="32"/>
      <c r="O468" s="33"/>
      <c r="Q468" s="33"/>
    </row>
    <row r="469" spans="12:17" x14ac:dyDescent="0.3">
      <c r="L469" s="31"/>
      <c r="M469" s="31"/>
      <c r="N469" s="32"/>
      <c r="O469" s="33"/>
      <c r="Q469" s="33"/>
    </row>
    <row r="470" spans="12:17" x14ac:dyDescent="0.3">
      <c r="L470" s="31"/>
      <c r="M470" s="31"/>
      <c r="N470" s="32"/>
      <c r="O470" s="33"/>
      <c r="Q470" s="33"/>
    </row>
    <row r="471" spans="12:17" x14ac:dyDescent="0.3">
      <c r="L471" s="31"/>
      <c r="M471" s="31"/>
      <c r="N471" s="32"/>
      <c r="O471" s="33"/>
      <c r="Q471" s="33"/>
    </row>
    <row r="472" spans="12:17" x14ac:dyDescent="0.3">
      <c r="L472" s="31"/>
      <c r="M472" s="31"/>
      <c r="N472" s="32"/>
      <c r="O472" s="33"/>
      <c r="Q472" s="33"/>
    </row>
    <row r="473" spans="12:17" x14ac:dyDescent="0.3">
      <c r="L473" s="31"/>
      <c r="M473" s="31"/>
      <c r="N473" s="32"/>
      <c r="O473" s="33"/>
      <c r="Q473" s="33"/>
    </row>
    <row r="474" spans="12:17" x14ac:dyDescent="0.3">
      <c r="L474" s="31"/>
      <c r="M474" s="31"/>
      <c r="N474" s="32"/>
      <c r="O474" s="33"/>
      <c r="Q474" s="33"/>
    </row>
    <row r="475" spans="12:17" x14ac:dyDescent="0.3">
      <c r="L475" s="31"/>
      <c r="M475" s="31"/>
      <c r="N475" s="32"/>
      <c r="O475" s="33"/>
      <c r="Q475" s="33"/>
    </row>
    <row r="476" spans="12:17" x14ac:dyDescent="0.3">
      <c r="L476" s="31"/>
      <c r="M476" s="31"/>
      <c r="N476" s="32"/>
      <c r="O476" s="33"/>
      <c r="Q476" s="33"/>
    </row>
    <row r="477" spans="12:17" x14ac:dyDescent="0.3">
      <c r="L477" s="31"/>
      <c r="M477" s="31"/>
      <c r="N477" s="32"/>
      <c r="O477" s="33"/>
      <c r="Q477" s="33"/>
    </row>
    <row r="478" spans="12:17" x14ac:dyDescent="0.3">
      <c r="L478" s="31"/>
      <c r="M478" s="31"/>
      <c r="N478" s="32"/>
      <c r="O478" s="33"/>
      <c r="Q478" s="33"/>
    </row>
    <row r="479" spans="12:17" x14ac:dyDescent="0.3">
      <c r="L479" s="31"/>
      <c r="M479" s="31"/>
      <c r="N479" s="32"/>
      <c r="O479" s="33"/>
      <c r="Q479" s="33"/>
    </row>
    <row r="480" spans="12:17" x14ac:dyDescent="0.3">
      <c r="L480" s="31"/>
      <c r="M480" s="31"/>
      <c r="N480" s="32"/>
      <c r="O480" s="33"/>
      <c r="Q480" s="33"/>
    </row>
    <row r="481" spans="12:17" x14ac:dyDescent="0.3">
      <c r="L481" s="31"/>
      <c r="M481" s="31"/>
      <c r="N481" s="32"/>
      <c r="O481" s="33"/>
      <c r="Q481" s="33"/>
    </row>
    <row r="482" spans="12:17" x14ac:dyDescent="0.3">
      <c r="L482" s="31"/>
      <c r="M482" s="31"/>
      <c r="N482" s="32"/>
      <c r="O482" s="33"/>
      <c r="Q482" s="33"/>
    </row>
    <row r="483" spans="12:17" x14ac:dyDescent="0.3">
      <c r="L483" s="31"/>
      <c r="M483" s="31"/>
      <c r="N483" s="32"/>
      <c r="O483" s="33"/>
      <c r="Q483" s="33"/>
    </row>
    <row r="484" spans="12:17" x14ac:dyDescent="0.3">
      <c r="L484" s="31"/>
      <c r="M484" s="31"/>
      <c r="N484" s="32"/>
      <c r="O484" s="33"/>
      <c r="Q484" s="33"/>
    </row>
    <row r="485" spans="12:17" x14ac:dyDescent="0.3">
      <c r="L485" s="31"/>
      <c r="M485" s="31"/>
      <c r="N485" s="32"/>
      <c r="O485" s="33"/>
      <c r="Q485" s="33"/>
    </row>
    <row r="486" spans="12:17" x14ac:dyDescent="0.3">
      <c r="L486" s="31"/>
      <c r="M486" s="31"/>
      <c r="N486" s="32"/>
      <c r="O486" s="33"/>
      <c r="Q486" s="33"/>
    </row>
    <row r="487" spans="12:17" x14ac:dyDescent="0.3">
      <c r="L487" s="31"/>
      <c r="M487" s="31"/>
      <c r="N487" s="32"/>
      <c r="O487" s="33"/>
      <c r="Q487" s="33"/>
    </row>
    <row r="488" spans="12:17" x14ac:dyDescent="0.3">
      <c r="L488" s="31"/>
      <c r="M488" s="31"/>
      <c r="N488" s="32"/>
      <c r="O488" s="33"/>
      <c r="Q488" s="33"/>
    </row>
    <row r="489" spans="12:17" x14ac:dyDescent="0.3">
      <c r="L489" s="31"/>
      <c r="M489" s="31"/>
      <c r="N489" s="32"/>
      <c r="O489" s="33"/>
      <c r="Q489" s="33"/>
    </row>
    <row r="490" spans="12:17" x14ac:dyDescent="0.3">
      <c r="L490" s="31"/>
      <c r="M490" s="31"/>
      <c r="N490" s="32"/>
      <c r="O490" s="33"/>
      <c r="Q490" s="33"/>
    </row>
    <row r="491" spans="12:17" x14ac:dyDescent="0.3">
      <c r="L491" s="31"/>
      <c r="M491" s="31"/>
      <c r="N491" s="32"/>
      <c r="O491" s="33"/>
      <c r="Q491" s="33"/>
    </row>
    <row r="492" spans="12:17" x14ac:dyDescent="0.3">
      <c r="L492" s="31"/>
      <c r="M492" s="31"/>
      <c r="N492" s="32"/>
      <c r="O492" s="33"/>
      <c r="Q492" s="33"/>
    </row>
    <row r="493" spans="12:17" x14ac:dyDescent="0.3">
      <c r="L493" s="31"/>
      <c r="M493" s="31"/>
      <c r="N493" s="32"/>
      <c r="O493" s="33"/>
      <c r="Q493" s="33"/>
    </row>
    <row r="494" spans="12:17" x14ac:dyDescent="0.3">
      <c r="L494" s="31"/>
      <c r="M494" s="31"/>
      <c r="N494" s="32"/>
      <c r="O494" s="33"/>
      <c r="Q494" s="33"/>
    </row>
    <row r="495" spans="12:17" x14ac:dyDescent="0.3">
      <c r="L495" s="31"/>
      <c r="M495" s="31"/>
      <c r="N495" s="32"/>
      <c r="O495" s="33"/>
      <c r="Q495" s="33"/>
    </row>
    <row r="496" spans="12:17" x14ac:dyDescent="0.3">
      <c r="L496" s="31"/>
      <c r="M496" s="31"/>
      <c r="N496" s="32"/>
      <c r="O496" s="33"/>
      <c r="Q496" s="33"/>
    </row>
    <row r="497" spans="12:17" x14ac:dyDescent="0.3">
      <c r="L497" s="31"/>
      <c r="M497" s="31"/>
      <c r="N497" s="32"/>
      <c r="O497" s="33"/>
      <c r="Q497" s="33"/>
    </row>
    <row r="498" spans="12:17" x14ac:dyDescent="0.3">
      <c r="L498" s="31"/>
      <c r="M498" s="31"/>
      <c r="N498" s="32"/>
      <c r="O498" s="33"/>
      <c r="Q498" s="33"/>
    </row>
    <row r="499" spans="12:17" x14ac:dyDescent="0.3">
      <c r="L499" s="31"/>
      <c r="M499" s="31"/>
      <c r="N499" s="32"/>
      <c r="O499" s="33"/>
      <c r="Q499" s="33"/>
    </row>
    <row r="500" spans="12:17" x14ac:dyDescent="0.3">
      <c r="L500" s="31"/>
      <c r="M500" s="31"/>
      <c r="N500" s="32"/>
      <c r="O500" s="33"/>
      <c r="Q500" s="33"/>
    </row>
    <row r="501" spans="12:17" x14ac:dyDescent="0.3">
      <c r="L501" s="31"/>
      <c r="M501" s="31"/>
      <c r="N501" s="32"/>
      <c r="O501" s="33"/>
      <c r="Q501" s="33"/>
    </row>
    <row r="502" spans="12:17" x14ac:dyDescent="0.3">
      <c r="L502" s="31"/>
      <c r="M502" s="31"/>
      <c r="N502" s="32"/>
      <c r="O502" s="33"/>
      <c r="Q502" s="33"/>
    </row>
    <row r="503" spans="12:17" x14ac:dyDescent="0.3">
      <c r="L503" s="31"/>
      <c r="M503" s="31"/>
      <c r="N503" s="32"/>
      <c r="O503" s="33"/>
      <c r="Q503" s="33"/>
    </row>
    <row r="504" spans="12:17" x14ac:dyDescent="0.3">
      <c r="L504" s="31"/>
      <c r="M504" s="31"/>
      <c r="N504" s="32"/>
      <c r="O504" s="33"/>
      <c r="Q504" s="33"/>
    </row>
    <row r="505" spans="12:17" x14ac:dyDescent="0.3">
      <c r="L505" s="31"/>
      <c r="M505" s="31"/>
      <c r="N505" s="32"/>
      <c r="O505" s="33"/>
      <c r="Q505" s="33"/>
    </row>
    <row r="506" spans="12:17" x14ac:dyDescent="0.3">
      <c r="L506" s="31"/>
      <c r="M506" s="31"/>
      <c r="N506" s="32"/>
      <c r="O506" s="33"/>
      <c r="Q506" s="33"/>
    </row>
    <row r="507" spans="12:17" x14ac:dyDescent="0.3">
      <c r="L507" s="31"/>
      <c r="M507" s="31"/>
      <c r="N507" s="32"/>
      <c r="O507" s="33"/>
      <c r="Q507" s="33"/>
    </row>
    <row r="508" spans="12:17" x14ac:dyDescent="0.3">
      <c r="L508" s="31"/>
      <c r="M508" s="31"/>
      <c r="N508" s="32"/>
      <c r="O508" s="33"/>
      <c r="Q508" s="33"/>
    </row>
    <row r="509" spans="12:17" x14ac:dyDescent="0.3">
      <c r="L509" s="31"/>
      <c r="M509" s="31"/>
      <c r="N509" s="32"/>
      <c r="O509" s="33"/>
      <c r="Q509" s="33"/>
    </row>
    <row r="510" spans="12:17" x14ac:dyDescent="0.3">
      <c r="L510" s="31"/>
      <c r="M510" s="31"/>
      <c r="N510" s="32"/>
      <c r="O510" s="33"/>
      <c r="Q510" s="33"/>
    </row>
    <row r="511" spans="12:17" x14ac:dyDescent="0.3">
      <c r="L511" s="31"/>
      <c r="M511" s="31"/>
      <c r="N511" s="32"/>
      <c r="O511" s="33"/>
      <c r="Q511" s="33"/>
    </row>
    <row r="512" spans="12:17" x14ac:dyDescent="0.3">
      <c r="L512" s="31"/>
      <c r="M512" s="31"/>
      <c r="N512" s="32"/>
      <c r="O512" s="33"/>
      <c r="Q512" s="33"/>
    </row>
    <row r="513" spans="12:17" x14ac:dyDescent="0.3">
      <c r="L513" s="31"/>
      <c r="M513" s="31"/>
      <c r="N513" s="32"/>
      <c r="O513" s="33"/>
      <c r="Q513" s="33"/>
    </row>
    <row r="514" spans="12:17" x14ac:dyDescent="0.3">
      <c r="L514" s="31"/>
      <c r="M514" s="31"/>
      <c r="N514" s="32"/>
      <c r="O514" s="33"/>
      <c r="Q514" s="33"/>
    </row>
    <row r="515" spans="12:17" x14ac:dyDescent="0.3">
      <c r="L515" s="31"/>
      <c r="M515" s="31"/>
      <c r="N515" s="32"/>
      <c r="O515" s="33"/>
      <c r="Q515" s="33"/>
    </row>
    <row r="516" spans="12:17" x14ac:dyDescent="0.3">
      <c r="L516" s="31"/>
      <c r="M516" s="31"/>
      <c r="N516" s="32"/>
      <c r="O516" s="33"/>
      <c r="Q516" s="33"/>
    </row>
    <row r="517" spans="12:17" x14ac:dyDescent="0.3">
      <c r="L517" s="31"/>
      <c r="M517" s="31"/>
      <c r="N517" s="32"/>
      <c r="O517" s="33"/>
      <c r="Q517" s="33"/>
    </row>
    <row r="518" spans="12:17" x14ac:dyDescent="0.3">
      <c r="L518" s="31"/>
      <c r="M518" s="31"/>
      <c r="N518" s="32"/>
      <c r="O518" s="33"/>
      <c r="Q518" s="33"/>
    </row>
    <row r="519" spans="12:17" x14ac:dyDescent="0.3">
      <c r="L519" s="31"/>
      <c r="M519" s="31"/>
      <c r="N519" s="32"/>
      <c r="O519" s="33"/>
      <c r="Q519" s="33"/>
    </row>
    <row r="520" spans="12:17" x14ac:dyDescent="0.3">
      <c r="L520" s="31"/>
      <c r="M520" s="31"/>
      <c r="N520" s="32"/>
      <c r="O520" s="33"/>
      <c r="Q520" s="33"/>
    </row>
    <row r="521" spans="12:17" x14ac:dyDescent="0.3">
      <c r="L521" s="31"/>
      <c r="M521" s="31"/>
      <c r="N521" s="32"/>
      <c r="O521" s="33"/>
      <c r="Q521" s="33"/>
    </row>
    <row r="522" spans="12:17" x14ac:dyDescent="0.3">
      <c r="L522" s="31"/>
      <c r="M522" s="31"/>
      <c r="N522" s="32"/>
      <c r="O522" s="33"/>
      <c r="Q522" s="33"/>
    </row>
    <row r="523" spans="12:17" x14ac:dyDescent="0.3">
      <c r="L523" s="31"/>
      <c r="M523" s="31"/>
      <c r="N523" s="32"/>
      <c r="O523" s="33"/>
      <c r="Q523" s="33"/>
    </row>
    <row r="524" spans="12:17" x14ac:dyDescent="0.3">
      <c r="L524" s="31"/>
      <c r="M524" s="31"/>
      <c r="N524" s="32"/>
      <c r="O524" s="33"/>
      <c r="Q524" s="33"/>
    </row>
    <row r="525" spans="12:17" x14ac:dyDescent="0.3">
      <c r="L525" s="31"/>
      <c r="M525" s="31"/>
      <c r="N525" s="32"/>
      <c r="O525" s="33"/>
      <c r="Q525" s="33"/>
    </row>
    <row r="526" spans="12:17" x14ac:dyDescent="0.3">
      <c r="L526" s="31"/>
      <c r="M526" s="31"/>
      <c r="N526" s="32"/>
      <c r="O526" s="33"/>
      <c r="Q526" s="33"/>
    </row>
    <row r="527" spans="12:17" x14ac:dyDescent="0.3">
      <c r="L527" s="31"/>
      <c r="M527" s="31"/>
      <c r="N527" s="32"/>
      <c r="O527" s="33"/>
      <c r="Q527" s="33"/>
    </row>
    <row r="528" spans="12:17" x14ac:dyDescent="0.3">
      <c r="L528" s="31"/>
      <c r="M528" s="31"/>
      <c r="N528" s="32"/>
      <c r="O528" s="33"/>
      <c r="Q528" s="33"/>
    </row>
    <row r="529" spans="12:17" x14ac:dyDescent="0.3">
      <c r="L529" s="31"/>
      <c r="M529" s="31"/>
      <c r="N529" s="32"/>
      <c r="O529" s="33"/>
      <c r="Q529" s="33"/>
    </row>
    <row r="530" spans="12:17" x14ac:dyDescent="0.3">
      <c r="L530" s="31"/>
      <c r="M530" s="31"/>
      <c r="N530" s="32"/>
      <c r="O530" s="33"/>
      <c r="Q530" s="33"/>
    </row>
    <row r="531" spans="12:17" x14ac:dyDescent="0.3">
      <c r="L531" s="31"/>
      <c r="M531" s="31"/>
      <c r="N531" s="32"/>
      <c r="O531" s="33"/>
      <c r="Q531" s="33"/>
    </row>
    <row r="532" spans="12:17" x14ac:dyDescent="0.3">
      <c r="L532" s="31"/>
      <c r="M532" s="31"/>
      <c r="N532" s="32"/>
      <c r="O532" s="33"/>
      <c r="Q532" s="33"/>
    </row>
    <row r="533" spans="12:17" x14ac:dyDescent="0.3">
      <c r="L533" s="31"/>
      <c r="M533" s="31"/>
      <c r="N533" s="32"/>
      <c r="O533" s="33"/>
      <c r="Q533" s="33"/>
    </row>
    <row r="534" spans="12:17" x14ac:dyDescent="0.3">
      <c r="L534" s="31"/>
      <c r="M534" s="31"/>
      <c r="N534" s="32"/>
      <c r="O534" s="33"/>
      <c r="Q534" s="33"/>
    </row>
    <row r="535" spans="12:17" x14ac:dyDescent="0.3">
      <c r="L535" s="31"/>
      <c r="M535" s="31"/>
      <c r="N535" s="32"/>
      <c r="O535" s="33"/>
      <c r="Q535" s="33"/>
    </row>
    <row r="536" spans="12:17" x14ac:dyDescent="0.3">
      <c r="L536" s="31"/>
      <c r="M536" s="31"/>
      <c r="N536" s="32"/>
      <c r="O536" s="33"/>
      <c r="Q536" s="33"/>
    </row>
    <row r="537" spans="12:17" x14ac:dyDescent="0.3">
      <c r="L537" s="31"/>
      <c r="M537" s="31"/>
      <c r="N537" s="32"/>
      <c r="O537" s="33"/>
      <c r="Q537" s="33"/>
    </row>
    <row r="538" spans="12:17" x14ac:dyDescent="0.3">
      <c r="L538" s="31"/>
      <c r="M538" s="31"/>
      <c r="N538" s="32"/>
      <c r="O538" s="33"/>
      <c r="Q538" s="33"/>
    </row>
    <row r="539" spans="12:17" x14ac:dyDescent="0.3">
      <c r="L539" s="31"/>
      <c r="M539" s="31"/>
      <c r="N539" s="32"/>
      <c r="O539" s="33"/>
      <c r="Q539" s="33"/>
    </row>
    <row r="540" spans="12:17" x14ac:dyDescent="0.3">
      <c r="L540" s="31"/>
      <c r="M540" s="31"/>
      <c r="N540" s="32"/>
      <c r="O540" s="33"/>
      <c r="Q540" s="33"/>
    </row>
    <row r="541" spans="12:17" x14ac:dyDescent="0.3">
      <c r="L541" s="31"/>
      <c r="M541" s="31"/>
      <c r="N541" s="32"/>
      <c r="O541" s="33"/>
      <c r="Q541" s="33"/>
    </row>
    <row r="542" spans="12:17" x14ac:dyDescent="0.3">
      <c r="L542" s="31"/>
      <c r="M542" s="31"/>
      <c r="N542" s="32"/>
      <c r="O542" s="33"/>
      <c r="Q542" s="33"/>
    </row>
    <row r="543" spans="12:17" x14ac:dyDescent="0.3">
      <c r="L543" s="31"/>
      <c r="M543" s="31"/>
      <c r="N543" s="32"/>
      <c r="O543" s="33"/>
      <c r="Q543" s="33"/>
    </row>
    <row r="544" spans="12:17" x14ac:dyDescent="0.3">
      <c r="L544" s="31"/>
      <c r="M544" s="31"/>
      <c r="N544" s="32"/>
      <c r="O544" s="33"/>
      <c r="Q544" s="33"/>
    </row>
    <row r="545" spans="12:17" x14ac:dyDescent="0.3">
      <c r="L545" s="31"/>
      <c r="M545" s="31"/>
      <c r="N545" s="32"/>
      <c r="O545" s="33"/>
      <c r="Q545" s="33"/>
    </row>
    <row r="546" spans="12:17" x14ac:dyDescent="0.3">
      <c r="L546" s="31"/>
      <c r="M546" s="31"/>
      <c r="N546" s="32"/>
      <c r="O546" s="33"/>
      <c r="Q546" s="33"/>
    </row>
    <row r="547" spans="12:17" x14ac:dyDescent="0.3">
      <c r="L547" s="31"/>
      <c r="M547" s="31"/>
      <c r="N547" s="32"/>
      <c r="O547" s="33"/>
      <c r="Q547" s="33"/>
    </row>
    <row r="548" spans="12:17" x14ac:dyDescent="0.3">
      <c r="L548" s="31"/>
      <c r="M548" s="31"/>
      <c r="N548" s="32"/>
      <c r="O548" s="33"/>
      <c r="Q548" s="33"/>
    </row>
    <row r="549" spans="12:17" x14ac:dyDescent="0.3">
      <c r="L549" s="31"/>
      <c r="M549" s="31"/>
      <c r="N549" s="32"/>
      <c r="O549" s="33"/>
      <c r="Q549" s="33"/>
    </row>
    <row r="550" spans="12:17" x14ac:dyDescent="0.3">
      <c r="L550" s="31"/>
      <c r="M550" s="31"/>
      <c r="N550" s="32"/>
      <c r="O550" s="33"/>
      <c r="Q550" s="33"/>
    </row>
    <row r="551" spans="12:17" x14ac:dyDescent="0.3">
      <c r="L551" s="31"/>
      <c r="M551" s="31"/>
      <c r="N551" s="32"/>
      <c r="O551" s="33"/>
      <c r="Q551" s="33"/>
    </row>
    <row r="552" spans="12:17" x14ac:dyDescent="0.3">
      <c r="L552" s="31"/>
      <c r="M552" s="31"/>
      <c r="N552" s="32"/>
      <c r="O552" s="33"/>
      <c r="Q552" s="33"/>
    </row>
    <row r="553" spans="12:17" x14ac:dyDescent="0.3">
      <c r="L553" s="31"/>
      <c r="M553" s="31"/>
      <c r="N553" s="32"/>
      <c r="O553" s="33"/>
      <c r="Q553" s="33"/>
    </row>
    <row r="554" spans="12:17" x14ac:dyDescent="0.3">
      <c r="L554" s="31"/>
      <c r="M554" s="31"/>
      <c r="N554" s="32"/>
      <c r="O554" s="33"/>
      <c r="Q554" s="33"/>
    </row>
    <row r="555" spans="12:17" x14ac:dyDescent="0.3">
      <c r="L555" s="31"/>
      <c r="M555" s="31"/>
      <c r="N555" s="32"/>
      <c r="O555" s="33"/>
      <c r="Q555" s="33"/>
    </row>
    <row r="556" spans="12:17" x14ac:dyDescent="0.3">
      <c r="L556" s="31"/>
      <c r="M556" s="31"/>
      <c r="N556" s="32"/>
      <c r="O556" s="33"/>
      <c r="Q556" s="33"/>
    </row>
    <row r="557" spans="12:17" x14ac:dyDescent="0.3">
      <c r="L557" s="31"/>
      <c r="M557" s="31"/>
      <c r="N557" s="32"/>
      <c r="O557" s="33"/>
      <c r="Q557" s="33"/>
    </row>
    <row r="558" spans="12:17" x14ac:dyDescent="0.3">
      <c r="L558" s="31"/>
      <c r="M558" s="31"/>
      <c r="N558" s="32"/>
      <c r="O558" s="33"/>
      <c r="Q558" s="33"/>
    </row>
    <row r="559" spans="12:17" x14ac:dyDescent="0.3">
      <c r="L559" s="31"/>
      <c r="M559" s="31"/>
      <c r="N559" s="32"/>
      <c r="O559" s="33"/>
      <c r="Q559" s="33"/>
    </row>
    <row r="560" spans="12:17" x14ac:dyDescent="0.3">
      <c r="L560" s="31"/>
      <c r="M560" s="31"/>
      <c r="N560" s="32"/>
      <c r="O560" s="33"/>
      <c r="Q560" s="33"/>
    </row>
    <row r="561" spans="12:17" x14ac:dyDescent="0.3">
      <c r="L561" s="31"/>
      <c r="M561" s="31"/>
      <c r="N561" s="32"/>
      <c r="O561" s="33"/>
      <c r="Q561" s="33"/>
    </row>
    <row r="562" spans="12:17" x14ac:dyDescent="0.3">
      <c r="L562" s="31"/>
      <c r="M562" s="31"/>
      <c r="N562" s="32"/>
      <c r="O562" s="33"/>
      <c r="Q562" s="33"/>
    </row>
    <row r="563" spans="12:17" x14ac:dyDescent="0.3">
      <c r="L563" s="31"/>
      <c r="M563" s="31"/>
      <c r="N563" s="32"/>
      <c r="O563" s="33"/>
      <c r="Q563" s="33"/>
    </row>
    <row r="564" spans="12:17" x14ac:dyDescent="0.3">
      <c r="L564" s="31"/>
      <c r="M564" s="31"/>
      <c r="N564" s="32"/>
      <c r="O564" s="33"/>
      <c r="Q564" s="33"/>
    </row>
    <row r="565" spans="12:17" x14ac:dyDescent="0.3">
      <c r="L565" s="31"/>
      <c r="M565" s="31"/>
      <c r="N565" s="32"/>
      <c r="O565" s="33"/>
      <c r="Q565" s="33"/>
    </row>
    <row r="566" spans="12:17" x14ac:dyDescent="0.3">
      <c r="L566" s="31"/>
      <c r="M566" s="31"/>
      <c r="N566" s="32"/>
      <c r="O566" s="33"/>
      <c r="Q566" s="33"/>
    </row>
    <row r="567" spans="12:17" x14ac:dyDescent="0.3">
      <c r="L567" s="31"/>
      <c r="M567" s="31"/>
      <c r="N567" s="32"/>
      <c r="O567" s="33"/>
      <c r="Q567" s="33"/>
    </row>
    <row r="568" spans="12:17" x14ac:dyDescent="0.3">
      <c r="L568" s="31"/>
      <c r="M568" s="31"/>
      <c r="N568" s="32"/>
      <c r="O568" s="33"/>
      <c r="Q568" s="33"/>
    </row>
    <row r="569" spans="12:17" x14ac:dyDescent="0.3">
      <c r="L569" s="31"/>
      <c r="M569" s="31"/>
      <c r="N569" s="32"/>
      <c r="O569" s="33"/>
      <c r="Q569" s="33"/>
    </row>
    <row r="570" spans="12:17" x14ac:dyDescent="0.3">
      <c r="L570" s="31"/>
      <c r="M570" s="31"/>
      <c r="N570" s="32"/>
      <c r="O570" s="33"/>
      <c r="Q570" s="33"/>
    </row>
    <row r="571" spans="12:17" x14ac:dyDescent="0.3">
      <c r="L571" s="31"/>
      <c r="M571" s="31"/>
      <c r="N571" s="32"/>
      <c r="O571" s="33"/>
      <c r="Q571" s="33"/>
    </row>
    <row r="572" spans="12:17" x14ac:dyDescent="0.3">
      <c r="L572" s="31"/>
      <c r="M572" s="31"/>
      <c r="N572" s="32"/>
      <c r="O572" s="33"/>
      <c r="Q572" s="33"/>
    </row>
    <row r="573" spans="12:17" x14ac:dyDescent="0.3">
      <c r="L573" s="31"/>
      <c r="M573" s="31"/>
      <c r="N573" s="32"/>
      <c r="O573" s="33"/>
      <c r="Q573" s="33"/>
    </row>
    <row r="574" spans="12:17" x14ac:dyDescent="0.3">
      <c r="L574" s="31"/>
      <c r="M574" s="31"/>
      <c r="N574" s="32"/>
      <c r="O574" s="33"/>
      <c r="Q574" s="33"/>
    </row>
    <row r="575" spans="12:17" x14ac:dyDescent="0.3">
      <c r="L575" s="31"/>
      <c r="M575" s="31"/>
      <c r="N575" s="32"/>
      <c r="O575" s="33"/>
      <c r="Q575" s="33"/>
    </row>
    <row r="576" spans="12:17" x14ac:dyDescent="0.3">
      <c r="L576" s="31"/>
      <c r="M576" s="31"/>
      <c r="N576" s="32"/>
      <c r="O576" s="33"/>
      <c r="Q576" s="33"/>
    </row>
    <row r="577" spans="12:17" x14ac:dyDescent="0.3">
      <c r="L577" s="31"/>
      <c r="M577" s="31"/>
      <c r="N577" s="32"/>
      <c r="O577" s="33"/>
      <c r="Q577" s="33"/>
    </row>
    <row r="578" spans="12:17" x14ac:dyDescent="0.3">
      <c r="L578" s="31"/>
      <c r="M578" s="31"/>
      <c r="N578" s="32"/>
      <c r="O578" s="33"/>
      <c r="Q578" s="33"/>
    </row>
    <row r="579" spans="12:17" x14ac:dyDescent="0.3">
      <c r="L579" s="31"/>
      <c r="M579" s="31"/>
      <c r="N579" s="32"/>
      <c r="O579" s="33"/>
      <c r="Q579" s="33"/>
    </row>
    <row r="580" spans="12:17" x14ac:dyDescent="0.3">
      <c r="L580" s="31"/>
      <c r="M580" s="31"/>
      <c r="N580" s="32"/>
      <c r="O580" s="33"/>
      <c r="Q580" s="33"/>
    </row>
    <row r="581" spans="12:17" x14ac:dyDescent="0.3">
      <c r="L581" s="31"/>
      <c r="M581" s="31"/>
      <c r="N581" s="32"/>
      <c r="O581" s="33"/>
      <c r="Q581" s="33"/>
    </row>
    <row r="582" spans="12:17" x14ac:dyDescent="0.3">
      <c r="L582" s="31"/>
      <c r="M582" s="31"/>
      <c r="N582" s="32"/>
      <c r="O582" s="33"/>
      <c r="Q582" s="33"/>
    </row>
    <row r="583" spans="12:17" x14ac:dyDescent="0.3">
      <c r="L583" s="31"/>
      <c r="M583" s="31"/>
      <c r="N583" s="32"/>
      <c r="O583" s="33"/>
      <c r="Q583" s="33"/>
    </row>
    <row r="584" spans="12:17" x14ac:dyDescent="0.3">
      <c r="L584" s="31"/>
      <c r="M584" s="31"/>
      <c r="N584" s="32"/>
      <c r="O584" s="33"/>
      <c r="Q584" s="33"/>
    </row>
    <row r="585" spans="12:17" x14ac:dyDescent="0.3">
      <c r="L585" s="31"/>
      <c r="M585" s="31"/>
      <c r="N585" s="32"/>
      <c r="O585" s="33"/>
      <c r="Q585" s="33"/>
    </row>
    <row r="586" spans="12:17" x14ac:dyDescent="0.3">
      <c r="L586" s="31"/>
      <c r="M586" s="31"/>
      <c r="N586" s="32"/>
      <c r="O586" s="33"/>
      <c r="Q586" s="33"/>
    </row>
    <row r="587" spans="12:17" x14ac:dyDescent="0.3">
      <c r="L587" s="31"/>
      <c r="M587" s="31"/>
      <c r="N587" s="32"/>
      <c r="O587" s="33"/>
      <c r="Q587" s="33"/>
    </row>
    <row r="588" spans="12:17" x14ac:dyDescent="0.3">
      <c r="L588" s="31"/>
      <c r="M588" s="31"/>
      <c r="N588" s="32"/>
      <c r="O588" s="33"/>
      <c r="Q588" s="33"/>
    </row>
    <row r="589" spans="12:17" x14ac:dyDescent="0.3">
      <c r="L589" s="31"/>
      <c r="M589" s="31"/>
      <c r="N589" s="32"/>
      <c r="O589" s="33"/>
      <c r="Q589" s="33"/>
    </row>
    <row r="590" spans="12:17" x14ac:dyDescent="0.3">
      <c r="L590" s="31"/>
      <c r="M590" s="31"/>
      <c r="N590" s="32"/>
      <c r="O590" s="33"/>
      <c r="Q590" s="33"/>
    </row>
    <row r="591" spans="12:17" x14ac:dyDescent="0.3">
      <c r="L591" s="31"/>
      <c r="M591" s="31"/>
      <c r="N591" s="32"/>
      <c r="O591" s="33"/>
      <c r="Q591" s="33"/>
    </row>
    <row r="592" spans="12:17" x14ac:dyDescent="0.3">
      <c r="L592" s="31"/>
      <c r="M592" s="31"/>
      <c r="N592" s="32"/>
      <c r="O592" s="33"/>
      <c r="Q592" s="33"/>
    </row>
    <row r="593" spans="12:17" x14ac:dyDescent="0.3">
      <c r="L593" s="31"/>
      <c r="M593" s="31"/>
      <c r="N593" s="32"/>
      <c r="O593" s="33"/>
      <c r="Q593" s="33"/>
    </row>
    <row r="594" spans="12:17" x14ac:dyDescent="0.3">
      <c r="L594" s="31"/>
      <c r="M594" s="31"/>
      <c r="N594" s="32"/>
      <c r="O594" s="33"/>
      <c r="Q594" s="33"/>
    </row>
    <row r="595" spans="12:17" x14ac:dyDescent="0.3">
      <c r="L595" s="31"/>
      <c r="M595" s="31"/>
      <c r="N595" s="32"/>
      <c r="O595" s="33"/>
      <c r="Q595" s="33"/>
    </row>
    <row r="596" spans="12:17" x14ac:dyDescent="0.3">
      <c r="L596" s="31"/>
      <c r="M596" s="31"/>
      <c r="N596" s="32"/>
      <c r="O596" s="33"/>
      <c r="Q596" s="33"/>
    </row>
    <row r="597" spans="12:17" x14ac:dyDescent="0.3">
      <c r="L597" s="31"/>
      <c r="M597" s="31"/>
      <c r="N597" s="32"/>
      <c r="O597" s="33"/>
      <c r="Q597" s="33"/>
    </row>
    <row r="598" spans="12:17" x14ac:dyDescent="0.3">
      <c r="L598" s="31"/>
      <c r="M598" s="31"/>
      <c r="N598" s="32"/>
      <c r="O598" s="33"/>
      <c r="Q598" s="33"/>
    </row>
    <row r="599" spans="12:17" x14ac:dyDescent="0.3">
      <c r="L599" s="31"/>
      <c r="M599" s="31"/>
      <c r="N599" s="32"/>
      <c r="O599" s="33"/>
      <c r="Q599" s="33"/>
    </row>
    <row r="600" spans="12:17" x14ac:dyDescent="0.3">
      <c r="L600" s="31"/>
      <c r="M600" s="31"/>
      <c r="N600" s="32"/>
      <c r="O600" s="33"/>
      <c r="Q600" s="33"/>
    </row>
    <row r="601" spans="12:17" x14ac:dyDescent="0.3">
      <c r="L601" s="31"/>
      <c r="M601" s="31"/>
      <c r="N601" s="32"/>
      <c r="O601" s="33"/>
      <c r="Q601" s="33"/>
    </row>
    <row r="602" spans="12:17" x14ac:dyDescent="0.3">
      <c r="L602" s="31"/>
      <c r="M602" s="31"/>
      <c r="N602" s="32"/>
      <c r="O602" s="33"/>
      <c r="Q602" s="33"/>
    </row>
    <row r="603" spans="12:17" x14ac:dyDescent="0.3">
      <c r="L603" s="31"/>
      <c r="M603" s="31"/>
      <c r="N603" s="32"/>
      <c r="O603" s="33"/>
      <c r="Q603" s="33"/>
    </row>
    <row r="604" spans="12:17" x14ac:dyDescent="0.3">
      <c r="L604" s="31"/>
      <c r="M604" s="31"/>
      <c r="N604" s="32"/>
      <c r="O604" s="33"/>
      <c r="Q604" s="33"/>
    </row>
    <row r="605" spans="12:17" x14ac:dyDescent="0.3">
      <c r="L605" s="31"/>
      <c r="M605" s="31"/>
      <c r="N605" s="32"/>
      <c r="O605" s="33"/>
      <c r="Q605" s="33"/>
    </row>
    <row r="606" spans="12:17" x14ac:dyDescent="0.3">
      <c r="L606" s="31"/>
      <c r="M606" s="31"/>
      <c r="N606" s="32"/>
      <c r="O606" s="33"/>
      <c r="Q606" s="33"/>
    </row>
    <row r="607" spans="12:17" x14ac:dyDescent="0.3">
      <c r="L607" s="31"/>
      <c r="M607" s="31"/>
      <c r="N607" s="32"/>
      <c r="O607" s="33"/>
      <c r="Q607" s="33"/>
    </row>
    <row r="608" spans="12:17" x14ac:dyDescent="0.3">
      <c r="L608" s="31"/>
      <c r="M608" s="31"/>
      <c r="N608" s="32"/>
      <c r="O608" s="33"/>
      <c r="Q608" s="33"/>
    </row>
    <row r="609" spans="12:17" x14ac:dyDescent="0.3">
      <c r="L609" s="31"/>
      <c r="M609" s="31"/>
      <c r="N609" s="32"/>
      <c r="O609" s="33"/>
      <c r="Q609" s="33"/>
    </row>
    <row r="610" spans="12:17" x14ac:dyDescent="0.3">
      <c r="L610" s="31"/>
      <c r="M610" s="31"/>
      <c r="N610" s="32"/>
      <c r="O610" s="33"/>
      <c r="Q610" s="33"/>
    </row>
    <row r="611" spans="12:17" x14ac:dyDescent="0.3">
      <c r="L611" s="31"/>
      <c r="M611" s="31"/>
      <c r="N611" s="32"/>
      <c r="O611" s="33"/>
      <c r="Q611" s="33"/>
    </row>
    <row r="612" spans="12:17" x14ac:dyDescent="0.3">
      <c r="L612" s="31"/>
      <c r="M612" s="31"/>
      <c r="N612" s="32"/>
      <c r="O612" s="33"/>
      <c r="Q612" s="33"/>
    </row>
    <row r="613" spans="12:17" x14ac:dyDescent="0.3">
      <c r="L613" s="31"/>
      <c r="M613" s="31"/>
      <c r="N613" s="32"/>
      <c r="O613" s="33"/>
      <c r="Q613" s="33"/>
    </row>
    <row r="614" spans="12:17" x14ac:dyDescent="0.3">
      <c r="L614" s="31"/>
      <c r="M614" s="31"/>
      <c r="N614" s="32"/>
      <c r="O614" s="33"/>
      <c r="Q614" s="33"/>
    </row>
    <row r="615" spans="12:17" x14ac:dyDescent="0.3">
      <c r="L615" s="31"/>
      <c r="M615" s="31"/>
      <c r="N615" s="32"/>
      <c r="O615" s="33"/>
      <c r="Q615" s="33"/>
    </row>
    <row r="616" spans="12:17" x14ac:dyDescent="0.3">
      <c r="L616" s="31"/>
      <c r="M616" s="31"/>
      <c r="N616" s="32"/>
      <c r="O616" s="33"/>
      <c r="Q616" s="33"/>
    </row>
    <row r="617" spans="12:17" x14ac:dyDescent="0.3">
      <c r="L617" s="31"/>
      <c r="M617" s="31"/>
      <c r="N617" s="32"/>
      <c r="O617" s="33"/>
      <c r="Q617" s="33"/>
    </row>
    <row r="618" spans="12:17" x14ac:dyDescent="0.3">
      <c r="L618" s="31"/>
      <c r="M618" s="31"/>
      <c r="N618" s="32"/>
      <c r="O618" s="33"/>
      <c r="Q618" s="33"/>
    </row>
    <row r="619" spans="12:17" x14ac:dyDescent="0.3">
      <c r="L619" s="31"/>
      <c r="M619" s="31"/>
      <c r="N619" s="32"/>
      <c r="O619" s="33"/>
      <c r="Q619" s="33"/>
    </row>
    <row r="620" spans="12:17" x14ac:dyDescent="0.3">
      <c r="L620" s="31"/>
      <c r="M620" s="31"/>
      <c r="N620" s="32"/>
      <c r="O620" s="33"/>
      <c r="Q620" s="33"/>
    </row>
    <row r="621" spans="12:17" x14ac:dyDescent="0.3">
      <c r="L621" s="31"/>
      <c r="M621" s="31"/>
      <c r="N621" s="32"/>
      <c r="O621" s="33"/>
      <c r="Q621" s="33"/>
    </row>
    <row r="622" spans="12:17" x14ac:dyDescent="0.3">
      <c r="L622" s="31"/>
      <c r="M622" s="31"/>
      <c r="N622" s="32"/>
      <c r="O622" s="33"/>
      <c r="Q622" s="33"/>
    </row>
    <row r="623" spans="12:17" x14ac:dyDescent="0.3">
      <c r="L623" s="31"/>
      <c r="M623" s="31"/>
      <c r="N623" s="32"/>
      <c r="O623" s="33"/>
      <c r="Q623" s="33"/>
    </row>
    <row r="624" spans="12:17" x14ac:dyDescent="0.3">
      <c r="L624" s="31"/>
      <c r="M624" s="31"/>
      <c r="N624" s="32"/>
      <c r="O624" s="33"/>
      <c r="Q624" s="33"/>
    </row>
    <row r="625" spans="12:17" x14ac:dyDescent="0.3">
      <c r="L625" s="31"/>
      <c r="M625" s="31"/>
      <c r="N625" s="32"/>
      <c r="O625" s="33"/>
      <c r="Q625" s="33"/>
    </row>
    <row r="626" spans="12:17" x14ac:dyDescent="0.3">
      <c r="L626" s="31"/>
      <c r="M626" s="31"/>
      <c r="N626" s="32"/>
      <c r="O626" s="33"/>
      <c r="Q626" s="33"/>
    </row>
    <row r="627" spans="12:17" x14ac:dyDescent="0.3">
      <c r="L627" s="31"/>
      <c r="M627" s="31"/>
      <c r="N627" s="32"/>
      <c r="O627" s="33"/>
      <c r="Q627" s="33"/>
    </row>
    <row r="628" spans="12:17" x14ac:dyDescent="0.3">
      <c r="L628" s="31"/>
      <c r="M628" s="31"/>
      <c r="N628" s="32"/>
      <c r="O628" s="33"/>
      <c r="Q628" s="33"/>
    </row>
    <row r="629" spans="12:17" x14ac:dyDescent="0.3">
      <c r="L629" s="31"/>
      <c r="M629" s="31"/>
      <c r="N629" s="32"/>
      <c r="O629" s="33"/>
      <c r="Q629" s="33"/>
    </row>
    <row r="630" spans="12:17" x14ac:dyDescent="0.3">
      <c r="L630" s="31"/>
      <c r="M630" s="31"/>
      <c r="N630" s="32"/>
      <c r="O630" s="33"/>
      <c r="Q630" s="33"/>
    </row>
    <row r="631" spans="12:17" x14ac:dyDescent="0.3">
      <c r="L631" s="31"/>
      <c r="M631" s="31"/>
      <c r="N631" s="32"/>
      <c r="O631" s="33"/>
      <c r="Q631" s="33"/>
    </row>
    <row r="632" spans="12:17" x14ac:dyDescent="0.3">
      <c r="L632" s="31"/>
      <c r="M632" s="31"/>
      <c r="N632" s="32"/>
      <c r="O632" s="33"/>
      <c r="Q632" s="33"/>
    </row>
    <row r="633" spans="12:17" x14ac:dyDescent="0.3">
      <c r="L633" s="31"/>
      <c r="M633" s="31"/>
      <c r="N633" s="32"/>
      <c r="O633" s="33"/>
      <c r="Q633" s="33"/>
    </row>
    <row r="634" spans="12:17" x14ac:dyDescent="0.3">
      <c r="L634" s="31"/>
      <c r="M634" s="31"/>
      <c r="N634" s="32"/>
      <c r="O634" s="33"/>
      <c r="Q634" s="33"/>
    </row>
    <row r="635" spans="12:17" x14ac:dyDescent="0.3">
      <c r="L635" s="31"/>
      <c r="M635" s="31"/>
      <c r="N635" s="32"/>
      <c r="O635" s="33"/>
      <c r="Q635" s="33"/>
    </row>
    <row r="636" spans="12:17" x14ac:dyDescent="0.3">
      <c r="L636" s="31"/>
      <c r="M636" s="31"/>
      <c r="N636" s="32"/>
      <c r="O636" s="33"/>
      <c r="Q636" s="33"/>
    </row>
    <row r="637" spans="12:17" x14ac:dyDescent="0.3">
      <c r="L637" s="31"/>
      <c r="M637" s="31"/>
      <c r="N637" s="32"/>
      <c r="O637" s="33"/>
      <c r="Q637" s="33"/>
    </row>
    <row r="638" spans="12:17" x14ac:dyDescent="0.3">
      <c r="L638" s="31"/>
      <c r="M638" s="31"/>
      <c r="N638" s="32"/>
      <c r="O638" s="33"/>
      <c r="Q638" s="33"/>
    </row>
    <row r="639" spans="12:17" x14ac:dyDescent="0.3">
      <c r="L639" s="31"/>
      <c r="M639" s="31"/>
      <c r="N639" s="32"/>
      <c r="O639" s="33"/>
      <c r="Q639" s="33"/>
    </row>
    <row r="640" spans="12:17" x14ac:dyDescent="0.3">
      <c r="L640" s="31"/>
      <c r="M640" s="31"/>
      <c r="N640" s="32"/>
      <c r="O640" s="33"/>
      <c r="Q640" s="33"/>
    </row>
    <row r="641" spans="12:17" x14ac:dyDescent="0.3">
      <c r="L641" s="31"/>
      <c r="M641" s="31"/>
      <c r="N641" s="32"/>
      <c r="O641" s="33"/>
      <c r="Q641" s="33"/>
    </row>
    <row r="642" spans="12:17" x14ac:dyDescent="0.3">
      <c r="L642" s="31"/>
      <c r="M642" s="31"/>
      <c r="N642" s="32"/>
      <c r="O642" s="33"/>
      <c r="Q642" s="33"/>
    </row>
    <row r="643" spans="12:17" x14ac:dyDescent="0.3">
      <c r="L643" s="31"/>
      <c r="M643" s="31"/>
      <c r="N643" s="32"/>
      <c r="O643" s="33"/>
      <c r="Q643" s="33"/>
    </row>
    <row r="644" spans="12:17" x14ac:dyDescent="0.3">
      <c r="L644" s="31"/>
      <c r="M644" s="31"/>
      <c r="N644" s="32"/>
      <c r="O644" s="33"/>
      <c r="Q644" s="33"/>
    </row>
    <row r="645" spans="12:17" x14ac:dyDescent="0.3">
      <c r="L645" s="31"/>
      <c r="M645" s="31"/>
      <c r="N645" s="32"/>
      <c r="O645" s="33"/>
      <c r="Q645" s="33"/>
    </row>
    <row r="646" spans="12:17" x14ac:dyDescent="0.3">
      <c r="L646" s="31"/>
      <c r="M646" s="31"/>
      <c r="N646" s="32"/>
      <c r="O646" s="33"/>
      <c r="Q646" s="33"/>
    </row>
    <row r="647" spans="12:17" x14ac:dyDescent="0.3">
      <c r="L647" s="31"/>
      <c r="M647" s="31"/>
      <c r="N647" s="32"/>
      <c r="O647" s="33"/>
      <c r="Q647" s="33"/>
    </row>
    <row r="648" spans="12:17" x14ac:dyDescent="0.3">
      <c r="L648" s="31"/>
      <c r="M648" s="31"/>
      <c r="N648" s="32"/>
      <c r="O648" s="33"/>
      <c r="Q648" s="33"/>
    </row>
    <row r="649" spans="12:17" x14ac:dyDescent="0.3">
      <c r="L649" s="31"/>
      <c r="M649" s="31"/>
      <c r="N649" s="32"/>
      <c r="O649" s="33"/>
      <c r="Q649" s="33"/>
    </row>
    <row r="650" spans="12:17" x14ac:dyDescent="0.3">
      <c r="L650" s="31"/>
      <c r="M650" s="31"/>
      <c r="N650" s="32"/>
      <c r="O650" s="33"/>
      <c r="Q650" s="33"/>
    </row>
    <row r="651" spans="12:17" x14ac:dyDescent="0.3">
      <c r="L651" s="31"/>
      <c r="M651" s="31"/>
      <c r="N651" s="32"/>
      <c r="O651" s="33"/>
      <c r="Q651" s="33"/>
    </row>
    <row r="652" spans="12:17" x14ac:dyDescent="0.3">
      <c r="L652" s="31"/>
      <c r="M652" s="31"/>
      <c r="N652" s="32"/>
      <c r="O652" s="33"/>
      <c r="Q652" s="33"/>
    </row>
    <row r="653" spans="12:17" x14ac:dyDescent="0.3">
      <c r="L653" s="31"/>
      <c r="M653" s="31"/>
      <c r="N653" s="32"/>
      <c r="O653" s="33"/>
      <c r="Q653" s="33"/>
    </row>
    <row r="654" spans="12:17" x14ac:dyDescent="0.3">
      <c r="L654" s="31"/>
      <c r="M654" s="31"/>
      <c r="N654" s="32"/>
      <c r="O654" s="33"/>
      <c r="Q654" s="33"/>
    </row>
    <row r="655" spans="12:17" x14ac:dyDescent="0.3">
      <c r="L655" s="31"/>
      <c r="M655" s="31"/>
      <c r="N655" s="32"/>
      <c r="O655" s="33"/>
      <c r="Q655" s="33"/>
    </row>
    <row r="656" spans="12:17" x14ac:dyDescent="0.3">
      <c r="L656" s="31"/>
      <c r="M656" s="31"/>
      <c r="N656" s="32"/>
      <c r="O656" s="33"/>
      <c r="Q656" s="33"/>
    </row>
    <row r="657" spans="12:17" x14ac:dyDescent="0.3">
      <c r="L657" s="31"/>
      <c r="M657" s="31"/>
      <c r="N657" s="32"/>
      <c r="O657" s="33"/>
      <c r="Q657" s="33"/>
    </row>
    <row r="658" spans="12:17" x14ac:dyDescent="0.3">
      <c r="L658" s="31"/>
      <c r="M658" s="31"/>
      <c r="N658" s="32"/>
      <c r="O658" s="33"/>
      <c r="Q658" s="33"/>
    </row>
    <row r="659" spans="12:17" x14ac:dyDescent="0.3">
      <c r="L659" s="31"/>
      <c r="M659" s="31"/>
      <c r="N659" s="32"/>
      <c r="O659" s="33"/>
      <c r="Q659" s="33"/>
    </row>
    <row r="660" spans="12:17" x14ac:dyDescent="0.3">
      <c r="L660" s="31"/>
      <c r="M660" s="31"/>
      <c r="N660" s="32"/>
      <c r="O660" s="33"/>
      <c r="Q660" s="33"/>
    </row>
    <row r="661" spans="12:17" x14ac:dyDescent="0.3">
      <c r="L661" s="31"/>
      <c r="M661" s="31"/>
      <c r="N661" s="32"/>
      <c r="O661" s="33"/>
      <c r="Q661" s="33"/>
    </row>
    <row r="662" spans="12:17" x14ac:dyDescent="0.3">
      <c r="L662" s="31"/>
      <c r="M662" s="31"/>
      <c r="N662" s="32"/>
      <c r="O662" s="33"/>
      <c r="Q662" s="33"/>
    </row>
    <row r="663" spans="12:17" x14ac:dyDescent="0.3">
      <c r="L663" s="31"/>
      <c r="M663" s="31"/>
      <c r="N663" s="32"/>
      <c r="O663" s="33"/>
      <c r="Q663" s="33"/>
    </row>
    <row r="664" spans="12:17" x14ac:dyDescent="0.3">
      <c r="L664" s="31"/>
      <c r="M664" s="31"/>
      <c r="N664" s="32"/>
      <c r="O664" s="33"/>
      <c r="Q664" s="33"/>
    </row>
    <row r="665" spans="12:17" x14ac:dyDescent="0.3">
      <c r="L665" s="31"/>
      <c r="M665" s="31"/>
      <c r="N665" s="32"/>
      <c r="O665" s="33"/>
      <c r="Q665" s="33"/>
    </row>
    <row r="666" spans="12:17" x14ac:dyDescent="0.3">
      <c r="L666" s="31"/>
      <c r="M666" s="31"/>
      <c r="N666" s="32"/>
      <c r="O666" s="33"/>
      <c r="Q666" s="33"/>
    </row>
    <row r="667" spans="12:17" x14ac:dyDescent="0.3">
      <c r="L667" s="31"/>
      <c r="M667" s="31"/>
      <c r="N667" s="32"/>
      <c r="O667" s="33"/>
      <c r="Q667" s="33"/>
    </row>
    <row r="668" spans="12:17" x14ac:dyDescent="0.3">
      <c r="L668" s="31"/>
      <c r="M668" s="31"/>
      <c r="N668" s="32"/>
      <c r="O668" s="33"/>
      <c r="Q668" s="33"/>
    </row>
    <row r="669" spans="12:17" x14ac:dyDescent="0.3">
      <c r="L669" s="31"/>
      <c r="M669" s="31"/>
      <c r="N669" s="32"/>
      <c r="O669" s="33"/>
      <c r="Q669" s="33"/>
    </row>
    <row r="670" spans="12:17" x14ac:dyDescent="0.3">
      <c r="L670" s="31"/>
      <c r="M670" s="31"/>
      <c r="N670" s="32"/>
      <c r="O670" s="33"/>
      <c r="Q670" s="33"/>
    </row>
    <row r="671" spans="12:17" x14ac:dyDescent="0.3">
      <c r="L671" s="31"/>
      <c r="M671" s="31"/>
      <c r="N671" s="32"/>
      <c r="O671" s="33"/>
      <c r="Q671" s="33"/>
    </row>
    <row r="672" spans="12:17" x14ac:dyDescent="0.3">
      <c r="L672" s="31"/>
      <c r="M672" s="31"/>
      <c r="N672" s="32"/>
      <c r="O672" s="33"/>
      <c r="Q672" s="33"/>
    </row>
    <row r="673" spans="12:17" x14ac:dyDescent="0.3">
      <c r="L673" s="31"/>
      <c r="M673" s="31"/>
      <c r="N673" s="32"/>
      <c r="O673" s="33"/>
      <c r="Q673" s="33"/>
    </row>
    <row r="674" spans="12:17" x14ac:dyDescent="0.3">
      <c r="L674" s="31"/>
      <c r="M674" s="31"/>
      <c r="N674" s="32"/>
      <c r="O674" s="33"/>
      <c r="Q674" s="33"/>
    </row>
    <row r="675" spans="12:17" x14ac:dyDescent="0.3">
      <c r="L675" s="31"/>
      <c r="M675" s="31"/>
      <c r="N675" s="32"/>
      <c r="O675" s="33"/>
      <c r="Q675" s="33"/>
    </row>
    <row r="676" spans="12:17" x14ac:dyDescent="0.3">
      <c r="L676" s="31"/>
      <c r="M676" s="31"/>
      <c r="N676" s="32"/>
      <c r="O676" s="33"/>
      <c r="Q676" s="33"/>
    </row>
    <row r="677" spans="12:17" x14ac:dyDescent="0.3">
      <c r="L677" s="31"/>
      <c r="M677" s="31"/>
      <c r="N677" s="32"/>
      <c r="O677" s="33"/>
      <c r="Q677" s="33"/>
    </row>
    <row r="678" spans="12:17" x14ac:dyDescent="0.3">
      <c r="L678" s="31"/>
      <c r="M678" s="31"/>
      <c r="N678" s="32"/>
      <c r="O678" s="33"/>
      <c r="Q678" s="33"/>
    </row>
    <row r="679" spans="12:17" x14ac:dyDescent="0.3">
      <c r="L679" s="31"/>
      <c r="M679" s="31"/>
      <c r="N679" s="32"/>
      <c r="O679" s="33"/>
      <c r="Q679" s="33"/>
    </row>
    <row r="680" spans="12:17" x14ac:dyDescent="0.3">
      <c r="L680" s="31"/>
      <c r="M680" s="31"/>
      <c r="N680" s="32"/>
      <c r="O680" s="33"/>
      <c r="Q680" s="33"/>
    </row>
    <row r="681" spans="12:17" x14ac:dyDescent="0.3">
      <c r="L681" s="31"/>
      <c r="M681" s="31"/>
      <c r="N681" s="32"/>
      <c r="O681" s="33"/>
      <c r="Q681" s="33"/>
    </row>
    <row r="682" spans="12:17" x14ac:dyDescent="0.3">
      <c r="L682" s="31"/>
      <c r="M682" s="31"/>
      <c r="N682" s="32"/>
      <c r="O682" s="33"/>
      <c r="Q682" s="33"/>
    </row>
    <row r="683" spans="12:17" x14ac:dyDescent="0.3">
      <c r="L683" s="31"/>
      <c r="M683" s="31"/>
      <c r="N683" s="32"/>
      <c r="O683" s="33"/>
      <c r="Q683" s="33"/>
    </row>
    <row r="684" spans="12:17" x14ac:dyDescent="0.3">
      <c r="L684" s="31"/>
      <c r="M684" s="31"/>
      <c r="N684" s="32"/>
      <c r="O684" s="33"/>
      <c r="Q684" s="33"/>
    </row>
    <row r="685" spans="12:17" x14ac:dyDescent="0.3">
      <c r="L685" s="31"/>
      <c r="M685" s="31"/>
      <c r="N685" s="32"/>
      <c r="O685" s="33"/>
      <c r="Q685" s="33"/>
    </row>
    <row r="686" spans="12:17" x14ac:dyDescent="0.3">
      <c r="L686" s="31"/>
      <c r="M686" s="31"/>
      <c r="N686" s="32"/>
      <c r="O686" s="33"/>
      <c r="Q686" s="33"/>
    </row>
    <row r="687" spans="12:17" x14ac:dyDescent="0.3">
      <c r="L687" s="31"/>
      <c r="M687" s="31"/>
      <c r="N687" s="32"/>
      <c r="O687" s="33"/>
      <c r="Q687" s="33"/>
    </row>
    <row r="688" spans="12:17" x14ac:dyDescent="0.3">
      <c r="L688" s="31"/>
      <c r="M688" s="31"/>
      <c r="N688" s="32"/>
      <c r="O688" s="33"/>
      <c r="Q688" s="33"/>
    </row>
    <row r="689" spans="12:17" x14ac:dyDescent="0.3">
      <c r="L689" s="31"/>
      <c r="M689" s="31"/>
      <c r="N689" s="32"/>
      <c r="O689" s="33"/>
      <c r="Q689" s="33"/>
    </row>
    <row r="690" spans="12:17" x14ac:dyDescent="0.3">
      <c r="L690" s="31"/>
      <c r="M690" s="31"/>
      <c r="N690" s="32"/>
      <c r="O690" s="33"/>
      <c r="Q690" s="33"/>
    </row>
    <row r="691" spans="12:17" x14ac:dyDescent="0.3">
      <c r="L691" s="31"/>
      <c r="M691" s="31"/>
      <c r="N691" s="32"/>
      <c r="O691" s="33"/>
      <c r="Q691" s="33"/>
    </row>
    <row r="692" spans="12:17" x14ac:dyDescent="0.3">
      <c r="L692" s="31"/>
      <c r="M692" s="31"/>
      <c r="N692" s="32"/>
      <c r="O692" s="33"/>
      <c r="Q692" s="33"/>
    </row>
    <row r="693" spans="12:17" x14ac:dyDescent="0.3">
      <c r="L693" s="31"/>
      <c r="M693" s="31"/>
      <c r="N693" s="32"/>
      <c r="O693" s="33"/>
      <c r="Q693" s="33"/>
    </row>
    <row r="694" spans="12:17" x14ac:dyDescent="0.3">
      <c r="L694" s="31"/>
      <c r="M694" s="31"/>
      <c r="N694" s="32"/>
      <c r="O694" s="33"/>
      <c r="Q694" s="33"/>
    </row>
    <row r="695" spans="12:17" x14ac:dyDescent="0.3">
      <c r="L695" s="31"/>
      <c r="M695" s="31"/>
      <c r="N695" s="32"/>
      <c r="O695" s="33"/>
      <c r="Q695" s="33"/>
    </row>
    <row r="696" spans="12:17" x14ac:dyDescent="0.3">
      <c r="L696" s="31"/>
      <c r="M696" s="31"/>
      <c r="N696" s="32"/>
      <c r="O696" s="33"/>
      <c r="Q696" s="33"/>
    </row>
    <row r="697" spans="12:17" x14ac:dyDescent="0.3">
      <c r="L697" s="31"/>
      <c r="M697" s="31"/>
      <c r="N697" s="32"/>
      <c r="O697" s="33"/>
      <c r="Q697" s="33"/>
    </row>
    <row r="698" spans="12:17" x14ac:dyDescent="0.3">
      <c r="L698" s="31"/>
      <c r="M698" s="31"/>
      <c r="N698" s="32"/>
      <c r="O698" s="33"/>
      <c r="Q698" s="33"/>
    </row>
    <row r="699" spans="12:17" x14ac:dyDescent="0.3">
      <c r="L699" s="31"/>
      <c r="M699" s="31"/>
      <c r="N699" s="32"/>
      <c r="O699" s="33"/>
      <c r="Q699" s="33"/>
    </row>
    <row r="700" spans="12:17" x14ac:dyDescent="0.3">
      <c r="L700" s="31"/>
      <c r="M700" s="31"/>
      <c r="N700" s="32"/>
      <c r="O700" s="33"/>
      <c r="Q700" s="33"/>
    </row>
    <row r="701" spans="12:17" x14ac:dyDescent="0.3">
      <c r="L701" s="31"/>
      <c r="M701" s="31"/>
      <c r="N701" s="32"/>
      <c r="O701" s="33"/>
      <c r="Q701" s="33"/>
    </row>
    <row r="702" spans="12:17" x14ac:dyDescent="0.3">
      <c r="L702" s="31"/>
      <c r="M702" s="31"/>
      <c r="N702" s="32"/>
      <c r="O702" s="33"/>
      <c r="Q702" s="33"/>
    </row>
    <row r="703" spans="12:17" x14ac:dyDescent="0.3">
      <c r="L703" s="31"/>
      <c r="M703" s="31"/>
      <c r="N703" s="32"/>
      <c r="O703" s="33"/>
      <c r="Q703" s="33"/>
    </row>
    <row r="704" spans="12:17" x14ac:dyDescent="0.3">
      <c r="L704" s="31"/>
      <c r="M704" s="31"/>
      <c r="N704" s="32"/>
      <c r="O704" s="33"/>
      <c r="Q704" s="33"/>
    </row>
    <row r="705" spans="12:17" x14ac:dyDescent="0.3">
      <c r="L705" s="31"/>
      <c r="M705" s="31"/>
      <c r="N705" s="32"/>
      <c r="O705" s="33"/>
      <c r="Q705" s="33"/>
    </row>
    <row r="706" spans="12:17" x14ac:dyDescent="0.3">
      <c r="L706" s="31"/>
      <c r="M706" s="31"/>
      <c r="N706" s="32"/>
      <c r="O706" s="33"/>
      <c r="Q706" s="33"/>
    </row>
    <row r="707" spans="12:17" x14ac:dyDescent="0.3">
      <c r="L707" s="31"/>
      <c r="M707" s="31"/>
      <c r="N707" s="32"/>
      <c r="O707" s="33"/>
      <c r="Q707" s="33"/>
    </row>
    <row r="708" spans="12:17" x14ac:dyDescent="0.3">
      <c r="L708" s="31"/>
      <c r="M708" s="31"/>
      <c r="N708" s="32"/>
      <c r="O708" s="33"/>
      <c r="Q708" s="33"/>
    </row>
    <row r="709" spans="12:17" x14ac:dyDescent="0.3">
      <c r="L709" s="31"/>
      <c r="M709" s="31"/>
      <c r="N709" s="32"/>
      <c r="O709" s="33"/>
      <c r="Q709" s="33"/>
    </row>
    <row r="710" spans="12:17" x14ac:dyDescent="0.3">
      <c r="L710" s="31"/>
      <c r="M710" s="31"/>
      <c r="N710" s="32"/>
      <c r="O710" s="33"/>
      <c r="Q710" s="33"/>
    </row>
    <row r="711" spans="12:17" x14ac:dyDescent="0.3">
      <c r="L711" s="31"/>
      <c r="M711" s="31"/>
      <c r="N711" s="32"/>
      <c r="O711" s="33"/>
      <c r="Q711" s="33"/>
    </row>
    <row r="712" spans="12:17" x14ac:dyDescent="0.3">
      <c r="L712" s="31"/>
      <c r="M712" s="31"/>
      <c r="N712" s="32"/>
      <c r="O712" s="33"/>
      <c r="Q712" s="33"/>
    </row>
    <row r="713" spans="12:17" x14ac:dyDescent="0.3">
      <c r="L713" s="31"/>
      <c r="M713" s="31"/>
      <c r="N713" s="32"/>
      <c r="O713" s="33"/>
      <c r="Q713" s="33"/>
    </row>
    <row r="714" spans="12:17" x14ac:dyDescent="0.3">
      <c r="L714" s="31"/>
      <c r="M714" s="31"/>
      <c r="N714" s="32"/>
      <c r="O714" s="33"/>
      <c r="Q714" s="33"/>
    </row>
    <row r="715" spans="12:17" x14ac:dyDescent="0.3">
      <c r="L715" s="31"/>
      <c r="M715" s="31"/>
      <c r="N715" s="32"/>
      <c r="O715" s="33"/>
      <c r="Q715" s="33"/>
    </row>
    <row r="716" spans="12:17" x14ac:dyDescent="0.3">
      <c r="L716" s="31"/>
      <c r="M716" s="31"/>
      <c r="N716" s="32"/>
      <c r="O716" s="33"/>
      <c r="Q716" s="33"/>
    </row>
    <row r="717" spans="12:17" x14ac:dyDescent="0.3">
      <c r="L717" s="31"/>
      <c r="M717" s="31"/>
      <c r="N717" s="32"/>
      <c r="O717" s="33"/>
      <c r="Q717" s="33"/>
    </row>
    <row r="718" spans="12:17" x14ac:dyDescent="0.3">
      <c r="L718" s="31"/>
      <c r="M718" s="31"/>
      <c r="N718" s="32"/>
      <c r="O718" s="33"/>
      <c r="Q718" s="33"/>
    </row>
    <row r="719" spans="12:17" x14ac:dyDescent="0.3">
      <c r="L719" s="31"/>
      <c r="M719" s="31"/>
      <c r="N719" s="32"/>
      <c r="O719" s="33"/>
      <c r="Q719" s="33"/>
    </row>
    <row r="720" spans="12:17" x14ac:dyDescent="0.3">
      <c r="L720" s="31"/>
      <c r="M720" s="31"/>
      <c r="N720" s="32"/>
      <c r="O720" s="33"/>
      <c r="Q720" s="33"/>
    </row>
    <row r="721" spans="12:17" x14ac:dyDescent="0.3">
      <c r="L721" s="31"/>
      <c r="M721" s="31"/>
      <c r="N721" s="32"/>
      <c r="O721" s="33"/>
      <c r="Q721" s="33"/>
    </row>
    <row r="722" spans="12:17" x14ac:dyDescent="0.3">
      <c r="L722" s="31"/>
      <c r="M722" s="31"/>
      <c r="N722" s="32"/>
      <c r="O722" s="33"/>
      <c r="Q722" s="33"/>
    </row>
    <row r="723" spans="12:17" x14ac:dyDescent="0.3">
      <c r="L723" s="31"/>
      <c r="M723" s="31"/>
      <c r="N723" s="32"/>
      <c r="O723" s="33"/>
      <c r="Q723" s="33"/>
    </row>
    <row r="724" spans="12:17" x14ac:dyDescent="0.3">
      <c r="L724" s="31"/>
      <c r="M724" s="31"/>
      <c r="N724" s="32"/>
      <c r="O724" s="33"/>
      <c r="Q724" s="33"/>
    </row>
    <row r="725" spans="12:17" x14ac:dyDescent="0.3">
      <c r="L725" s="31"/>
      <c r="M725" s="31"/>
      <c r="N725" s="32"/>
      <c r="O725" s="33"/>
      <c r="Q725" s="33"/>
    </row>
    <row r="726" spans="12:17" x14ac:dyDescent="0.3">
      <c r="L726" s="31"/>
      <c r="M726" s="31"/>
      <c r="N726" s="32"/>
      <c r="O726" s="33"/>
      <c r="Q726" s="33"/>
    </row>
    <row r="727" spans="12:17" x14ac:dyDescent="0.3">
      <c r="L727" s="31"/>
      <c r="M727" s="31"/>
      <c r="N727" s="32"/>
      <c r="O727" s="33"/>
      <c r="Q727" s="33"/>
    </row>
    <row r="728" spans="12:17" x14ac:dyDescent="0.3">
      <c r="L728" s="31"/>
      <c r="M728" s="31"/>
      <c r="N728" s="32"/>
      <c r="O728" s="33"/>
      <c r="Q728" s="33"/>
    </row>
  </sheetData>
  <sheetProtection algorithmName="SHA-512" hashValue="SnRs2QSDm9axJNBEBbGgEOzOytwvA21bWOFJcmIFhUzDrftb6YqozlX5JBOac6RAKG3SMWkkHk4B+Aa4w30jKw==" saltValue="l8I3Ndtg0+Lui6gt4BiX/g==" spinCount="100000" sheet="1" formatCells="0" formatColumns="0" formatRows="0" insertColumns="0" insertRows="0" insertHyperlinks="0" deleteColumns="0" deleteRows="0" sort="0" autoFilter="0" pivotTables="0"/>
  <autoFilter ref="A2:I69" xr:uid="{00000000-0001-0000-0000-000000000000}"/>
  <mergeCells count="2">
    <mergeCell ref="A1:I1"/>
    <mergeCell ref="M1:M2"/>
  </mergeCells>
  <conditionalFormatting sqref="Q1">
    <cfRule type="expression" dxfId="0" priority="1">
      <formula>"&gt;0"</formula>
    </cfRule>
  </conditionalFormatting>
  <dataValidations count="1">
    <dataValidation type="custom" allowBlank="1" showInputMessage="1" showErrorMessage="1" error="Order quantity must be a multiple of Sales per Unit Case (See Column F)" prompt="Order quantity must be a multiple of Sales per Unit Case (See Column F)" sqref="H3:H83" xr:uid="{D0BE1C0F-1E1E-4B63-8AD4-BE3A0BE1CF0E}">
      <formula1>MOD(H3,F3)=0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dcterms:created xsi:type="dcterms:W3CDTF">2015-06-05T18:17:20Z</dcterms:created>
  <dcterms:modified xsi:type="dcterms:W3CDTF">2026-05-21T08:09:32Z</dcterms:modified>
</cp:coreProperties>
</file>