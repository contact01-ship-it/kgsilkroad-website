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Nutribiotic\Продаж\"/>
    </mc:Choice>
  </mc:AlternateContent>
  <xr:revisionPtr revIDLastSave="0" documentId="13_ncr:1_{AFB91B9E-1907-4473-A562-B09304479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NutriBiotic)" sheetId="1" r:id="rId1"/>
  </sheets>
  <definedNames>
    <definedName name="_xlnm._FilterDatabase" localSheetId="0" hidden="1">'(NutriBiotic)'!$A$2:$P$141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3" i="1"/>
  <c r="S4" i="1"/>
  <c r="T4" i="1"/>
  <c r="V4" i="1"/>
  <c r="X4" i="1" s="1"/>
  <c r="S5" i="1"/>
  <c r="T5" i="1"/>
  <c r="V5" i="1"/>
  <c r="S6" i="1"/>
  <c r="T6" i="1"/>
  <c r="V6" i="1"/>
  <c r="S7" i="1"/>
  <c r="T7" i="1"/>
  <c r="V7" i="1"/>
  <c r="S8" i="1"/>
  <c r="T8" i="1"/>
  <c r="V8" i="1"/>
  <c r="S9" i="1"/>
  <c r="T9" i="1"/>
  <c r="V9" i="1"/>
  <c r="S10" i="1"/>
  <c r="T10" i="1"/>
  <c r="V10" i="1"/>
  <c r="S11" i="1"/>
  <c r="T11" i="1"/>
  <c r="V11" i="1"/>
  <c r="S12" i="1"/>
  <c r="T12" i="1"/>
  <c r="V12" i="1"/>
  <c r="S13" i="1"/>
  <c r="T13" i="1"/>
  <c r="V13" i="1"/>
  <c r="S14" i="1"/>
  <c r="T14" i="1"/>
  <c r="V14" i="1"/>
  <c r="S15" i="1"/>
  <c r="T15" i="1"/>
  <c r="V15" i="1"/>
  <c r="S16" i="1"/>
  <c r="T16" i="1"/>
  <c r="V16" i="1"/>
  <c r="S17" i="1"/>
  <c r="T17" i="1"/>
  <c r="V17" i="1"/>
  <c r="S18" i="1"/>
  <c r="T18" i="1"/>
  <c r="V18" i="1"/>
  <c r="S19" i="1"/>
  <c r="T19" i="1"/>
  <c r="V19" i="1"/>
  <c r="S20" i="1"/>
  <c r="T20" i="1"/>
  <c r="V20" i="1"/>
  <c r="S21" i="1"/>
  <c r="T21" i="1"/>
  <c r="V21" i="1"/>
  <c r="S22" i="1"/>
  <c r="T22" i="1"/>
  <c r="V22" i="1"/>
  <c r="S23" i="1"/>
  <c r="T23" i="1"/>
  <c r="V23" i="1"/>
  <c r="S24" i="1"/>
  <c r="T24" i="1"/>
  <c r="V24" i="1"/>
  <c r="S25" i="1"/>
  <c r="T25" i="1"/>
  <c r="V25" i="1"/>
  <c r="S26" i="1"/>
  <c r="T26" i="1"/>
  <c r="V26" i="1"/>
  <c r="X26" i="1" s="1"/>
  <c r="S27" i="1"/>
  <c r="T27" i="1"/>
  <c r="V27" i="1"/>
  <c r="S28" i="1"/>
  <c r="T28" i="1"/>
  <c r="V28" i="1"/>
  <c r="S29" i="1"/>
  <c r="T29" i="1"/>
  <c r="V29" i="1"/>
  <c r="S30" i="1"/>
  <c r="T30" i="1"/>
  <c r="V30" i="1"/>
  <c r="S31" i="1"/>
  <c r="T31" i="1"/>
  <c r="V31" i="1"/>
  <c r="S32" i="1"/>
  <c r="T32" i="1"/>
  <c r="V32" i="1"/>
  <c r="S33" i="1"/>
  <c r="T33" i="1"/>
  <c r="V33" i="1"/>
  <c r="S34" i="1"/>
  <c r="T34" i="1"/>
  <c r="V34" i="1"/>
  <c r="X34" i="1" s="1"/>
  <c r="S35" i="1"/>
  <c r="T35" i="1"/>
  <c r="V35" i="1"/>
  <c r="S36" i="1"/>
  <c r="T36" i="1"/>
  <c r="V36" i="1"/>
  <c r="S37" i="1"/>
  <c r="T37" i="1"/>
  <c r="V37" i="1"/>
  <c r="S38" i="1"/>
  <c r="T38" i="1"/>
  <c r="V38" i="1"/>
  <c r="S39" i="1"/>
  <c r="T39" i="1"/>
  <c r="V39" i="1"/>
  <c r="S40" i="1"/>
  <c r="T40" i="1"/>
  <c r="V40" i="1"/>
  <c r="S41" i="1"/>
  <c r="T41" i="1"/>
  <c r="V41" i="1"/>
  <c r="S42" i="1"/>
  <c r="T42" i="1"/>
  <c r="V42" i="1"/>
  <c r="S43" i="1"/>
  <c r="T43" i="1"/>
  <c r="V43" i="1"/>
  <c r="S44" i="1"/>
  <c r="T44" i="1"/>
  <c r="V44" i="1"/>
  <c r="X44" i="1" s="1"/>
  <c r="S45" i="1"/>
  <c r="T45" i="1"/>
  <c r="V45" i="1"/>
  <c r="S46" i="1"/>
  <c r="T46" i="1"/>
  <c r="V46" i="1"/>
  <c r="S47" i="1"/>
  <c r="T47" i="1"/>
  <c r="V47" i="1"/>
  <c r="S48" i="1"/>
  <c r="T48" i="1"/>
  <c r="V48" i="1"/>
  <c r="S49" i="1"/>
  <c r="T49" i="1"/>
  <c r="V49" i="1"/>
  <c r="S50" i="1"/>
  <c r="T50" i="1"/>
  <c r="V50" i="1"/>
  <c r="S51" i="1"/>
  <c r="T51" i="1"/>
  <c r="V51" i="1"/>
  <c r="S52" i="1"/>
  <c r="T52" i="1"/>
  <c r="V52" i="1"/>
  <c r="S53" i="1"/>
  <c r="T53" i="1"/>
  <c r="V53" i="1"/>
  <c r="S54" i="1"/>
  <c r="T54" i="1"/>
  <c r="V54" i="1"/>
  <c r="S55" i="1"/>
  <c r="T55" i="1"/>
  <c r="V55" i="1"/>
  <c r="S56" i="1"/>
  <c r="T56" i="1"/>
  <c r="V56" i="1"/>
  <c r="S57" i="1"/>
  <c r="T57" i="1"/>
  <c r="V57" i="1"/>
  <c r="S58" i="1"/>
  <c r="T58" i="1"/>
  <c r="V58" i="1"/>
  <c r="X58" i="1" s="1"/>
  <c r="S59" i="1"/>
  <c r="T59" i="1"/>
  <c r="V59" i="1"/>
  <c r="S60" i="1"/>
  <c r="T60" i="1"/>
  <c r="V60" i="1"/>
  <c r="S61" i="1"/>
  <c r="T61" i="1"/>
  <c r="V61" i="1"/>
  <c r="S62" i="1"/>
  <c r="T62" i="1"/>
  <c r="V62" i="1"/>
  <c r="S63" i="1"/>
  <c r="T63" i="1"/>
  <c r="V63" i="1"/>
  <c r="S64" i="1"/>
  <c r="T64" i="1"/>
  <c r="V64" i="1"/>
  <c r="S65" i="1"/>
  <c r="T65" i="1"/>
  <c r="V65" i="1"/>
  <c r="S66" i="1"/>
  <c r="T66" i="1"/>
  <c r="V66" i="1"/>
  <c r="S67" i="1"/>
  <c r="T67" i="1"/>
  <c r="V67" i="1"/>
  <c r="S68" i="1"/>
  <c r="T68" i="1"/>
  <c r="V68" i="1"/>
  <c r="S69" i="1"/>
  <c r="T69" i="1"/>
  <c r="V69" i="1"/>
  <c r="S70" i="1"/>
  <c r="T70" i="1"/>
  <c r="V70" i="1"/>
  <c r="S71" i="1"/>
  <c r="T71" i="1"/>
  <c r="V71" i="1"/>
  <c r="S72" i="1"/>
  <c r="T72" i="1"/>
  <c r="V72" i="1"/>
  <c r="S73" i="1"/>
  <c r="T73" i="1"/>
  <c r="V73" i="1"/>
  <c r="S74" i="1"/>
  <c r="T74" i="1"/>
  <c r="V74" i="1"/>
  <c r="S75" i="1"/>
  <c r="T75" i="1"/>
  <c r="V75" i="1"/>
  <c r="S76" i="1"/>
  <c r="T76" i="1"/>
  <c r="V76" i="1"/>
  <c r="X76" i="1"/>
  <c r="S77" i="1"/>
  <c r="T77" i="1"/>
  <c r="V77" i="1"/>
  <c r="S78" i="1"/>
  <c r="T78" i="1"/>
  <c r="V78" i="1"/>
  <c r="S79" i="1"/>
  <c r="T79" i="1"/>
  <c r="V79" i="1"/>
  <c r="S80" i="1"/>
  <c r="T80" i="1"/>
  <c r="V80" i="1"/>
  <c r="S81" i="1"/>
  <c r="T81" i="1"/>
  <c r="V81" i="1"/>
  <c r="S82" i="1"/>
  <c r="T82" i="1"/>
  <c r="V82" i="1"/>
  <c r="S83" i="1"/>
  <c r="T83" i="1"/>
  <c r="V83" i="1"/>
  <c r="S84" i="1"/>
  <c r="T84" i="1"/>
  <c r="V84" i="1"/>
  <c r="X84" i="1" s="1"/>
  <c r="S85" i="1"/>
  <c r="T85" i="1"/>
  <c r="V85" i="1"/>
  <c r="S86" i="1"/>
  <c r="T86" i="1"/>
  <c r="V86" i="1"/>
  <c r="S87" i="1"/>
  <c r="T87" i="1"/>
  <c r="V87" i="1"/>
  <c r="S88" i="1"/>
  <c r="T88" i="1"/>
  <c r="V88" i="1"/>
  <c r="S89" i="1"/>
  <c r="T89" i="1"/>
  <c r="V89" i="1"/>
  <c r="X89" i="1" s="1"/>
  <c r="S90" i="1"/>
  <c r="T90" i="1"/>
  <c r="V90" i="1"/>
  <c r="S91" i="1"/>
  <c r="T91" i="1"/>
  <c r="V91" i="1"/>
  <c r="S92" i="1"/>
  <c r="T92" i="1"/>
  <c r="V92" i="1"/>
  <c r="S93" i="1"/>
  <c r="T93" i="1"/>
  <c r="V93" i="1"/>
  <c r="S94" i="1"/>
  <c r="T94" i="1"/>
  <c r="V94" i="1"/>
  <c r="S95" i="1"/>
  <c r="T95" i="1"/>
  <c r="V95" i="1"/>
  <c r="S96" i="1"/>
  <c r="T96" i="1"/>
  <c r="V96" i="1"/>
  <c r="S97" i="1"/>
  <c r="T97" i="1"/>
  <c r="V97" i="1"/>
  <c r="S98" i="1"/>
  <c r="T98" i="1"/>
  <c r="V98" i="1"/>
  <c r="X98" i="1" s="1"/>
  <c r="S99" i="1"/>
  <c r="T99" i="1"/>
  <c r="V99" i="1"/>
  <c r="S100" i="1"/>
  <c r="T100" i="1"/>
  <c r="V100" i="1"/>
  <c r="S101" i="1"/>
  <c r="T101" i="1"/>
  <c r="V101" i="1"/>
  <c r="S102" i="1"/>
  <c r="T102" i="1"/>
  <c r="V102" i="1"/>
  <c r="S103" i="1"/>
  <c r="T103" i="1"/>
  <c r="V103" i="1"/>
  <c r="S104" i="1"/>
  <c r="T104" i="1"/>
  <c r="V104" i="1"/>
  <c r="S105" i="1"/>
  <c r="T105" i="1"/>
  <c r="V105" i="1"/>
  <c r="S106" i="1"/>
  <c r="T106" i="1"/>
  <c r="V106" i="1"/>
  <c r="S107" i="1"/>
  <c r="T107" i="1"/>
  <c r="V107" i="1"/>
  <c r="S108" i="1"/>
  <c r="T108" i="1"/>
  <c r="V108" i="1"/>
  <c r="S109" i="1"/>
  <c r="T109" i="1"/>
  <c r="V109" i="1"/>
  <c r="S110" i="1"/>
  <c r="T110" i="1"/>
  <c r="V110" i="1"/>
  <c r="S111" i="1"/>
  <c r="T111" i="1"/>
  <c r="V111" i="1"/>
  <c r="S112" i="1"/>
  <c r="T112" i="1"/>
  <c r="V112" i="1"/>
  <c r="S113" i="1"/>
  <c r="T113" i="1"/>
  <c r="V113" i="1"/>
  <c r="S114" i="1"/>
  <c r="T114" i="1"/>
  <c r="V114" i="1"/>
  <c r="S115" i="1"/>
  <c r="T115" i="1"/>
  <c r="V115" i="1"/>
  <c r="S116" i="1"/>
  <c r="T116" i="1"/>
  <c r="V116" i="1"/>
  <c r="S117" i="1"/>
  <c r="T117" i="1"/>
  <c r="V117" i="1"/>
  <c r="S118" i="1"/>
  <c r="T118" i="1"/>
  <c r="V118" i="1"/>
  <c r="S119" i="1"/>
  <c r="T119" i="1"/>
  <c r="V119" i="1"/>
  <c r="S120" i="1"/>
  <c r="T120" i="1"/>
  <c r="V120" i="1"/>
  <c r="S121" i="1"/>
  <c r="T121" i="1"/>
  <c r="V121" i="1"/>
  <c r="S122" i="1"/>
  <c r="T122" i="1"/>
  <c r="V122" i="1"/>
  <c r="S123" i="1"/>
  <c r="T123" i="1"/>
  <c r="V123" i="1"/>
  <c r="S124" i="1"/>
  <c r="T124" i="1"/>
  <c r="V124" i="1"/>
  <c r="S125" i="1"/>
  <c r="T125" i="1"/>
  <c r="V125" i="1"/>
  <c r="S126" i="1"/>
  <c r="T126" i="1"/>
  <c r="V126" i="1"/>
  <c r="S127" i="1"/>
  <c r="T127" i="1"/>
  <c r="V127" i="1"/>
  <c r="X127" i="1" s="1"/>
  <c r="S128" i="1"/>
  <c r="T128" i="1"/>
  <c r="V128" i="1"/>
  <c r="X128" i="1" s="1"/>
  <c r="S129" i="1"/>
  <c r="T129" i="1"/>
  <c r="V129" i="1"/>
  <c r="S130" i="1"/>
  <c r="T130" i="1"/>
  <c r="V130" i="1"/>
  <c r="S131" i="1"/>
  <c r="T131" i="1"/>
  <c r="V131" i="1"/>
  <c r="S132" i="1"/>
  <c r="T132" i="1"/>
  <c r="V132" i="1"/>
  <c r="S133" i="1"/>
  <c r="T133" i="1"/>
  <c r="V133" i="1"/>
  <c r="S134" i="1"/>
  <c r="T134" i="1"/>
  <c r="V134" i="1"/>
  <c r="S135" i="1"/>
  <c r="T135" i="1"/>
  <c r="V135" i="1"/>
  <c r="X135" i="1" s="1"/>
  <c r="S136" i="1"/>
  <c r="T136" i="1"/>
  <c r="V136" i="1"/>
  <c r="S137" i="1"/>
  <c r="T137" i="1"/>
  <c r="V137" i="1"/>
  <c r="S138" i="1"/>
  <c r="T138" i="1"/>
  <c r="V138" i="1"/>
  <c r="S139" i="1"/>
  <c r="T139" i="1"/>
  <c r="V139" i="1"/>
  <c r="S140" i="1"/>
  <c r="T140" i="1"/>
  <c r="V140" i="1"/>
  <c r="V3" i="1"/>
  <c r="S3" i="1"/>
  <c r="O4" i="1"/>
  <c r="O5" i="1"/>
  <c r="O6" i="1"/>
  <c r="O7" i="1"/>
  <c r="O8" i="1"/>
  <c r="X8" i="1" s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X33" i="1" s="1"/>
  <c r="O34" i="1"/>
  <c r="O35" i="1"/>
  <c r="O36" i="1"/>
  <c r="O37" i="1"/>
  <c r="O38" i="1"/>
  <c r="O39" i="1"/>
  <c r="O40" i="1"/>
  <c r="X40" i="1" s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X57" i="1" s="1"/>
  <c r="O58" i="1"/>
  <c r="O59" i="1"/>
  <c r="O60" i="1"/>
  <c r="O61" i="1"/>
  <c r="O62" i="1"/>
  <c r="O63" i="1"/>
  <c r="O64" i="1"/>
  <c r="X64" i="1" s="1"/>
  <c r="O65" i="1"/>
  <c r="O66" i="1"/>
  <c r="O67" i="1"/>
  <c r="O68" i="1"/>
  <c r="O69" i="1"/>
  <c r="O70" i="1"/>
  <c r="O71" i="1"/>
  <c r="O72" i="1"/>
  <c r="O73" i="1"/>
  <c r="X73" i="1" s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X88" i="1" s="1"/>
  <c r="O89" i="1"/>
  <c r="O90" i="1"/>
  <c r="O91" i="1"/>
  <c r="O92" i="1"/>
  <c r="O93" i="1"/>
  <c r="O94" i="1"/>
  <c r="O95" i="1"/>
  <c r="O96" i="1"/>
  <c r="X96" i="1" s="1"/>
  <c r="O97" i="1"/>
  <c r="O98" i="1"/>
  <c r="O99" i="1"/>
  <c r="O100" i="1"/>
  <c r="O101" i="1"/>
  <c r="O102" i="1"/>
  <c r="O103" i="1"/>
  <c r="O104" i="1"/>
  <c r="O105" i="1"/>
  <c r="O106" i="1"/>
  <c r="O107" i="1"/>
  <c r="O108" i="1"/>
  <c r="X108" i="1" s="1"/>
  <c r="O109" i="1"/>
  <c r="O110" i="1"/>
  <c r="O111" i="1"/>
  <c r="O112" i="1"/>
  <c r="O113" i="1"/>
  <c r="O114" i="1"/>
  <c r="O115" i="1"/>
  <c r="O116" i="1"/>
  <c r="X116" i="1" s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X129" i="1" s="1"/>
  <c r="O130" i="1"/>
  <c r="O131" i="1"/>
  <c r="O132" i="1"/>
  <c r="O133" i="1"/>
  <c r="O134" i="1"/>
  <c r="O135" i="1"/>
  <c r="O136" i="1"/>
  <c r="O137" i="1"/>
  <c r="O138" i="1"/>
  <c r="O139" i="1"/>
  <c r="O140" i="1"/>
  <c r="X140" i="1" s="1"/>
  <c r="O3" i="1"/>
  <c r="X125" i="1" l="1"/>
  <c r="X117" i="1"/>
  <c r="X104" i="1"/>
  <c r="X91" i="1"/>
  <c r="X65" i="1"/>
  <c r="X52" i="1"/>
  <c r="X31" i="1"/>
  <c r="X15" i="1"/>
  <c r="X68" i="1"/>
  <c r="X130" i="1"/>
  <c r="X28" i="1"/>
  <c r="X20" i="1"/>
  <c r="X25" i="1"/>
  <c r="X120" i="1"/>
  <c r="X112" i="1"/>
  <c r="X103" i="1"/>
  <c r="X59" i="1"/>
  <c r="X51" i="1"/>
  <c r="X9" i="1"/>
  <c r="X137" i="1"/>
  <c r="X121" i="1"/>
  <c r="X100" i="1"/>
  <c r="X69" i="1"/>
  <c r="X56" i="1"/>
  <c r="X27" i="1"/>
  <c r="X19" i="1"/>
  <c r="X118" i="1"/>
  <c r="X97" i="1"/>
  <c r="X92" i="1"/>
  <c r="X79" i="1"/>
  <c r="X74" i="1"/>
  <c r="X66" i="1"/>
  <c r="X32" i="1"/>
  <c r="X24" i="1"/>
  <c r="X16" i="1"/>
  <c r="X5" i="1"/>
  <c r="X54" i="1"/>
  <c r="X49" i="1"/>
  <c r="X39" i="1"/>
  <c r="X29" i="1"/>
  <c r="X22" i="1"/>
  <c r="X17" i="1"/>
  <c r="V2" i="1"/>
  <c r="X132" i="1"/>
  <c r="X122" i="1"/>
  <c r="X115" i="1"/>
  <c r="X110" i="1"/>
  <c r="X105" i="1"/>
  <c r="X93" i="1"/>
  <c r="X86" i="1"/>
  <c r="X81" i="1"/>
  <c r="X71" i="1"/>
  <c r="X61" i="1"/>
  <c r="X46" i="1"/>
  <c r="X41" i="1"/>
  <c r="X36" i="1"/>
  <c r="X7" i="1"/>
  <c r="X139" i="1"/>
  <c r="X134" i="1"/>
  <c r="X124" i="1"/>
  <c r="X107" i="1"/>
  <c r="X102" i="1"/>
  <c r="X95" i="1"/>
  <c r="X90" i="1"/>
  <c r="X83" i="1"/>
  <c r="X63" i="1"/>
  <c r="X53" i="1"/>
  <c r="X48" i="1"/>
  <c r="X43" i="1"/>
  <c r="X38" i="1"/>
  <c r="X21" i="1"/>
  <c r="X11" i="1"/>
  <c r="X131" i="1"/>
  <c r="X119" i="1"/>
  <c r="X114" i="1"/>
  <c r="X109" i="1"/>
  <c r="X85" i="1"/>
  <c r="X80" i="1"/>
  <c r="X75" i="1"/>
  <c r="X70" i="1"/>
  <c r="X60" i="1"/>
  <c r="X45" i="1"/>
  <c r="X35" i="1"/>
  <c r="X6" i="1"/>
  <c r="X78" i="1"/>
  <c r="X136" i="1"/>
  <c r="X126" i="1"/>
  <c r="X99" i="1"/>
  <c r="X77" i="1"/>
  <c r="X67" i="1"/>
  <c r="X55" i="1"/>
  <c r="X50" i="1"/>
  <c r="X30" i="1"/>
  <c r="X23" i="1"/>
  <c r="X18" i="1"/>
  <c r="X13" i="1"/>
  <c r="X113" i="1"/>
  <c r="X14" i="1"/>
  <c r="X3" i="1"/>
  <c r="X138" i="1"/>
  <c r="X133" i="1"/>
  <c r="X123" i="1"/>
  <c r="X111" i="1"/>
  <c r="X106" i="1"/>
  <c r="X101" i="1"/>
  <c r="X94" i="1"/>
  <c r="X87" i="1"/>
  <c r="X82" i="1"/>
  <c r="X72" i="1"/>
  <c r="X62" i="1"/>
  <c r="X47" i="1"/>
  <c r="X42" i="1"/>
  <c r="X37" i="1"/>
  <c r="X10" i="1"/>
  <c r="U2" i="1"/>
  <c r="X12" i="1"/>
  <c r="O141" i="1"/>
  <c r="X1" i="1" l="1"/>
  <c r="T3" i="1"/>
  <c r="P3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7" i="1"/>
  <c r="P9" i="1"/>
  <c r="P17" i="1"/>
  <c r="P25" i="1"/>
  <c r="P33" i="1"/>
  <c r="P41" i="1"/>
  <c r="P49" i="1"/>
  <c r="P57" i="1"/>
  <c r="P65" i="1"/>
  <c r="P73" i="1"/>
  <c r="P81" i="1"/>
  <c r="P89" i="1"/>
  <c r="P97" i="1"/>
  <c r="P105" i="1"/>
  <c r="P113" i="1"/>
  <c r="P121" i="1"/>
  <c r="P129" i="1"/>
  <c r="P137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1" i="1"/>
  <c r="P19" i="1"/>
  <c r="P27" i="1"/>
  <c r="P35" i="1"/>
  <c r="P43" i="1"/>
  <c r="P51" i="1"/>
  <c r="P59" i="1"/>
  <c r="P67" i="1"/>
  <c r="P75" i="1"/>
  <c r="P83" i="1"/>
  <c r="P91" i="1"/>
  <c r="P99" i="1"/>
  <c r="P107" i="1"/>
  <c r="P115" i="1"/>
  <c r="P123" i="1"/>
  <c r="P131" i="1"/>
  <c r="P139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3" i="1"/>
  <c r="P31" i="1"/>
  <c r="P54" i="1"/>
  <c r="P77" i="1"/>
  <c r="P95" i="1"/>
  <c r="P118" i="1"/>
  <c r="P140" i="1"/>
  <c r="P14" i="1"/>
  <c r="P37" i="1"/>
  <c r="P55" i="1"/>
  <c r="P78" i="1"/>
  <c r="P101" i="1"/>
  <c r="P119" i="1"/>
  <c r="P4" i="1"/>
  <c r="P15" i="1"/>
  <c r="P38" i="1"/>
  <c r="P61" i="1"/>
  <c r="P79" i="1"/>
  <c r="P102" i="1"/>
  <c r="P125" i="1"/>
  <c r="P5" i="1"/>
  <c r="P21" i="1"/>
  <c r="P39" i="1"/>
  <c r="P62" i="1"/>
  <c r="P85" i="1"/>
  <c r="P103" i="1"/>
  <c r="P126" i="1"/>
  <c r="P6" i="1"/>
  <c r="P22" i="1"/>
  <c r="P45" i="1"/>
  <c r="P63" i="1"/>
  <c r="P86" i="1"/>
  <c r="P109" i="1"/>
  <c r="P127" i="1"/>
  <c r="P23" i="1"/>
  <c r="P46" i="1"/>
  <c r="P69" i="1"/>
  <c r="P87" i="1"/>
  <c r="P110" i="1"/>
  <c r="P133" i="1"/>
  <c r="P29" i="1"/>
  <c r="P70" i="1"/>
  <c r="P93" i="1"/>
  <c r="P111" i="1"/>
  <c r="P134" i="1"/>
  <c r="P30" i="1"/>
  <c r="P53" i="1"/>
  <c r="P71" i="1"/>
  <c r="P94" i="1"/>
  <c r="P117" i="1"/>
  <c r="P135" i="1"/>
  <c r="P47" i="1"/>
  <c r="P141" i="1" l="1"/>
  <c r="Q2" i="1" s="1"/>
</calcChain>
</file>

<file path=xl/sharedStrings.xml><?xml version="1.0" encoding="utf-8"?>
<sst xmlns="http://schemas.openxmlformats.org/spreadsheetml/2006/main" count="299" uniqueCount="106">
  <si>
    <t>UPC</t>
  </si>
  <si>
    <t>VIN</t>
  </si>
  <si>
    <t>Description</t>
  </si>
  <si>
    <t>Size</t>
  </si>
  <si>
    <t>UOM</t>
  </si>
  <si>
    <t>Length (in.)</t>
  </si>
  <si>
    <t>Width (in.)</t>
  </si>
  <si>
    <t>Chlorella 500 mg</t>
  </si>
  <si>
    <t>Tabs</t>
  </si>
  <si>
    <t>Multi Vitamins &amp; Minerals</t>
  </si>
  <si>
    <t>Caps</t>
  </si>
  <si>
    <t>Rice Protein, Plain</t>
  </si>
  <si>
    <t>Oz</t>
  </si>
  <si>
    <t>Lb</t>
  </si>
  <si>
    <t xml:space="preserve">Rice Protein, Vanilla </t>
  </si>
  <si>
    <t>Rice Protein, Chocolate</t>
  </si>
  <si>
    <t>Rice Protein, Mixed Berry</t>
  </si>
  <si>
    <t>Meta-C 500 mg</t>
  </si>
  <si>
    <t>Meta-C 1000 mg</t>
  </si>
  <si>
    <t>Meta-C Powder</t>
  </si>
  <si>
    <t>Ascorbic Acid Powder</t>
  </si>
  <si>
    <t>Vitamin C 1000 mg</t>
  </si>
  <si>
    <t xml:space="preserve">Ascorbic Acid Powder with Bioflavonoids  </t>
  </si>
  <si>
    <t>Ascorbate Bio-C Powder</t>
  </si>
  <si>
    <t>Calcium Ascorbate Powder</t>
  </si>
  <si>
    <t>Sodium Ascorbate Powder</t>
  </si>
  <si>
    <t>Sodium Ascorbate Capsules</t>
  </si>
  <si>
    <t>Hypo-Aller C Powder</t>
  </si>
  <si>
    <t xml:space="preserve">Buffered C-500 </t>
  </si>
  <si>
    <t>Vitamin C + D3 &amp; Zinc</t>
  </si>
  <si>
    <t>Electro-C Powder, Cherry</t>
  </si>
  <si>
    <t>Electro-C Powder, Lemon</t>
  </si>
  <si>
    <t>Essential Electrolytes</t>
  </si>
  <si>
    <t>Amla Vitamin C</t>
  </si>
  <si>
    <t>Calcium Magnesium</t>
  </si>
  <si>
    <t>Multi Mineral</t>
  </si>
  <si>
    <t>Everyday Clean Shampoo</t>
  </si>
  <si>
    <t>Everyday Clean Conditioner</t>
  </si>
  <si>
    <t>Everyday Volume Shampoo</t>
  </si>
  <si>
    <t>Everyday Volume Conditioner</t>
  </si>
  <si>
    <t>Everyday Nourish Shampoo</t>
  </si>
  <si>
    <t>Everyday Nourish Conditioner</t>
  </si>
  <si>
    <t>Everyday Pure Shampoo</t>
  </si>
  <si>
    <t>Everyday Pure Conditioner</t>
  </si>
  <si>
    <t>Maximum GSE Liquid Concentrate</t>
  </si>
  <si>
    <t>GSE Liquid Concentrate</t>
  </si>
  <si>
    <t>Skin &amp; Wound Spray</t>
  </si>
  <si>
    <t>GSE Capsules 250 mg</t>
  </si>
  <si>
    <t>GSE CapsulesPlus 125 mg</t>
  </si>
  <si>
    <t xml:space="preserve">GSE Tablets 125 mg </t>
  </si>
  <si>
    <t>DefensePlus 250 mg Tablets</t>
  </si>
  <si>
    <t>Throat Spray</t>
  </si>
  <si>
    <t>Skin Cleanser, Fresh Fruit</t>
  </si>
  <si>
    <t>Gal</t>
  </si>
  <si>
    <t>Skin Cleanser, Sensitive Skin</t>
  </si>
  <si>
    <t>Skin Cleanser, Original</t>
  </si>
  <si>
    <t>DentalGel</t>
  </si>
  <si>
    <t xml:space="preserve">DentalGel Plus, Whitening </t>
  </si>
  <si>
    <t>MouthFresh</t>
  </si>
  <si>
    <t>Bubble Bath</t>
  </si>
  <si>
    <t>Super Shower Gel, Fresh Fruit</t>
  </si>
  <si>
    <t>Super Shower Gel, Fragrance Free</t>
  </si>
  <si>
    <t>Super Shower Gel, Vanilla Chai</t>
  </si>
  <si>
    <t>Skin Ointment</t>
  </si>
  <si>
    <t>Nasal Spray</t>
  </si>
  <si>
    <t>Nasal Spray Plus</t>
  </si>
  <si>
    <t>Ear Drops</t>
  </si>
  <si>
    <t>Body &amp; Foot Powder, Unscented</t>
  </si>
  <si>
    <t>Body &amp; Foot Powder, Lavender</t>
  </si>
  <si>
    <t>Body &amp; Foot Powder, Citrus Mint</t>
  </si>
  <si>
    <t>Deodorant, Unscented</t>
  </si>
  <si>
    <t xml:space="preserve">Deodorant, Lavender </t>
  </si>
  <si>
    <t>Deodorant, Mango Melon</t>
  </si>
  <si>
    <t>Deodorant, Tea Tree</t>
  </si>
  <si>
    <t>Hand &amp; Body Lotion, Citrus</t>
  </si>
  <si>
    <t>Face Crème</t>
  </si>
  <si>
    <t>Peptide Face Crème</t>
  </si>
  <si>
    <t>Body Crème</t>
  </si>
  <si>
    <t>Skin Serum</t>
  </si>
  <si>
    <t>Foaming Facial Cleanser</t>
  </si>
  <si>
    <t>Hydrating Facial Toner</t>
  </si>
  <si>
    <t>Pure Coconut Oil Soap, Unscented</t>
  </si>
  <si>
    <t>Pure Coconut Oil Soap, Peppermint &amp; Bergamot</t>
  </si>
  <si>
    <t>Pure Coconut Oil Soap, Lavender Lemongrass</t>
  </si>
  <si>
    <t>Pure Coconut Oil Soap, Lavender &amp; Mint</t>
  </si>
  <si>
    <t>MetaRest Capsules</t>
  </si>
  <si>
    <t>Organic Rice Protein, Plain</t>
  </si>
  <si>
    <t>Organic Rice Protein, Vanilla</t>
  </si>
  <si>
    <t>Organic Rice Protein, Chocolate</t>
  </si>
  <si>
    <t>Pea Protein, Plain</t>
  </si>
  <si>
    <t>Pea Protein, Vanilla</t>
  </si>
  <si>
    <t>Price</t>
  </si>
  <si>
    <t>Your order</t>
  </si>
  <si>
    <t>Units Per Case Pack</t>
  </si>
  <si>
    <t xml:space="preserve">Total (from SKU Q-ty) </t>
  </si>
  <si>
    <t>22.01.2025</t>
  </si>
  <si>
    <t>Weight, kg</t>
  </si>
  <si>
    <t>Price -10%
for &gt; 144 pieces
of SKU</t>
  </si>
  <si>
    <t>Price -15%
for &gt; 288 pieces
of SKU</t>
  </si>
  <si>
    <t xml:space="preserve">Price -20%
for &gt; 576 pieces
of SKU </t>
  </si>
  <si>
    <t>Total  for orders from 14000$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</si>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</sst>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₴&quot;_-;\-* #,##0.00\ &quot;₴&quot;_-;_-* &quot;-&quot;??\ &quot;₴&quot;_-;_-@_-"/>
    <numFmt numFmtId="164" formatCode="_-[$$-2809]* #,##0.00_-;\-[$$-2809]* #,##0.00_-;_-[$$-2809]* &quot;-&quot;??_-;_-@_-"/>
    <numFmt numFmtId="165" formatCode="_-[$$-3C09]* #,##0.00_-;\-[$$-3C09]* #,##0.00_-;_-[$$-3C09]* &quot;-&quot;??_-;_-@_-"/>
    <numFmt numFmtId="166" formatCode="_-[$$-409]* #,##0.00_ ;_-[$$-409]* \-#,##0.00\ ;_-[$$-409]* &quot;-&quot;??_ ;_-@_ "/>
    <numFmt numFmtId="167" formatCode="[$$-409]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i/>
      <sz val="9"/>
      <color indexed="16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charset val="204"/>
      <scheme val="minor"/>
    </font>
    <font>
      <b/>
      <i/>
      <sz val="10"/>
      <color indexed="16"/>
      <name val="Calibri"/>
      <family val="2"/>
      <scheme val="minor"/>
    </font>
    <font>
      <b/>
      <sz val="9.5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name val="Arial"/>
      <family val="2"/>
      <charset val="1"/>
    </font>
    <font>
      <sz val="8"/>
      <name val="Calibri"/>
      <family val="2"/>
      <charset val="204"/>
    </font>
    <font>
      <sz val="8"/>
      <name val="Tahoma"/>
      <family val="2"/>
      <charset val="204"/>
    </font>
    <font>
      <b/>
      <sz val="9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1D5"/>
        <bgColor indexed="64"/>
      </patternFill>
    </fill>
    <fill>
      <patternFill patternType="solid">
        <fgColor rgb="FFF6FBBB"/>
        <bgColor indexed="64"/>
      </patternFill>
    </fill>
    <fill>
      <patternFill patternType="solid">
        <fgColor rgb="FFCEFACE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164" fontId="4" fillId="3" borderId="3" xfId="1" applyNumberFormat="1" applyFont="1" applyFill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64" fontId="5" fillId="0" borderId="11" xfId="1" applyNumberFormat="1" applyFont="1" applyBorder="1"/>
    <xf numFmtId="164" fontId="5" fillId="0" borderId="12" xfId="1" applyNumberFormat="1" applyFont="1" applyBorder="1"/>
    <xf numFmtId="164" fontId="5" fillId="0" borderId="13" xfId="1" applyNumberFormat="1" applyFont="1" applyBorder="1"/>
    <xf numFmtId="165" fontId="6" fillId="0" borderId="4" xfId="0" applyNumberFormat="1" applyFont="1" applyBorder="1" applyAlignment="1">
      <alignment horizontal="center" vertical="center"/>
    </xf>
    <xf numFmtId="164" fontId="2" fillId="0" borderId="0" xfId="0" applyNumberFormat="1" applyFont="1"/>
    <xf numFmtId="14" fontId="7" fillId="0" borderId="0" xfId="0" quotePrefix="1" applyNumberFormat="1" applyFont="1" applyAlignment="1">
      <alignment horizontal="center" vertical="center"/>
    </xf>
    <xf numFmtId="164" fontId="4" fillId="3" borderId="17" xfId="1" applyNumberFormat="1" applyFont="1" applyFill="1" applyBorder="1"/>
    <xf numFmtId="0" fontId="2" fillId="0" borderId="0" xfId="0" applyFont="1" applyAlignment="1">
      <alignment horizontal="left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2" fontId="2" fillId="0" borderId="15" xfId="0" applyNumberFormat="1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 applyProtection="1">
      <alignment horizontal="center"/>
      <protection locked="0"/>
    </xf>
    <xf numFmtId="0" fontId="3" fillId="0" borderId="18" xfId="0" applyFont="1" applyBorder="1" applyAlignment="1">
      <alignment horizontal="center" vertical="center" wrapText="1"/>
    </xf>
    <xf numFmtId="164" fontId="4" fillId="2" borderId="19" xfId="1" applyNumberFormat="1" applyFont="1" applyFill="1" applyBorder="1"/>
    <xf numFmtId="164" fontId="4" fillId="3" borderId="20" xfId="1" applyNumberFormat="1" applyFont="1" applyFill="1" applyBorder="1"/>
    <xf numFmtId="164" fontId="4" fillId="2" borderId="5" xfId="1" applyNumberFormat="1" applyFont="1" applyFill="1" applyBorder="1"/>
    <xf numFmtId="164" fontId="4" fillId="2" borderId="21" xfId="1" applyNumberFormat="1" applyFont="1" applyFill="1" applyBorder="1"/>
    <xf numFmtId="164" fontId="4" fillId="0" borderId="11" xfId="1" applyNumberFormat="1" applyFont="1" applyBorder="1"/>
    <xf numFmtId="164" fontId="4" fillId="0" borderId="12" xfId="1" applyNumberFormat="1" applyFont="1" applyBorder="1"/>
    <xf numFmtId="164" fontId="4" fillId="0" borderId="13" xfId="1" applyNumberFormat="1" applyFont="1" applyBorder="1"/>
    <xf numFmtId="164" fontId="2" fillId="0" borderId="22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center"/>
      <protection hidden="1"/>
    </xf>
    <xf numFmtId="0" fontId="11" fillId="0" borderId="0" xfId="2" applyFont="1" applyAlignment="1" applyProtection="1">
      <alignment horizontal="center"/>
      <protection hidden="1"/>
    </xf>
    <xf numFmtId="164" fontId="4" fillId="4" borderId="24" xfId="1" applyNumberFormat="1" applyFont="1" applyFill="1" applyBorder="1"/>
    <xf numFmtId="164" fontId="4" fillId="4" borderId="14" xfId="1" applyNumberFormat="1" applyFont="1" applyFill="1" applyBorder="1"/>
    <xf numFmtId="164" fontId="4" fillId="4" borderId="25" xfId="1" applyNumberFormat="1" applyFont="1" applyFill="1" applyBorder="1"/>
    <xf numFmtId="0" fontId="3" fillId="0" borderId="26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164" fontId="4" fillId="0" borderId="29" xfId="1" applyNumberFormat="1" applyFont="1" applyBorder="1"/>
    <xf numFmtId="164" fontId="4" fillId="0" borderId="30" xfId="1" applyNumberFormat="1" applyFont="1" applyBorder="1"/>
    <xf numFmtId="164" fontId="4" fillId="0" borderId="31" xfId="1" applyNumberFormat="1" applyFont="1" applyBorder="1"/>
    <xf numFmtId="1" fontId="4" fillId="0" borderId="5" xfId="0" applyNumberFormat="1" applyFont="1" applyBorder="1"/>
    <xf numFmtId="1" fontId="4" fillId="0" borderId="6" xfId="0" applyNumberFormat="1" applyFont="1" applyBorder="1"/>
    <xf numFmtId="1" fontId="4" fillId="0" borderId="7" xfId="0" applyNumberFormat="1" applyFont="1" applyBorder="1"/>
    <xf numFmtId="14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14" fillId="5" borderId="2" xfId="0" applyNumberFormat="1" applyFont="1" applyFill="1" applyBorder="1" applyAlignment="1" applyProtection="1">
      <alignment horizontal="center" vertical="center" wrapText="1" readingOrder="1"/>
      <protection hidden="1"/>
    </xf>
    <xf numFmtId="167" fontId="13" fillId="5" borderId="2" xfId="0" applyNumberFormat="1" applyFont="1" applyFill="1" applyBorder="1" applyAlignment="1">
      <alignment horizontal="center" vertical="center"/>
    </xf>
    <xf numFmtId="0" fontId="15" fillId="6" borderId="2" xfId="0" applyFont="1" applyFill="1" applyBorder="1" applyAlignment="1" applyProtection="1">
      <alignment horizontal="center" vertical="center" wrapText="1" readingOrder="1"/>
      <protection locked="0"/>
    </xf>
    <xf numFmtId="4" fontId="13" fillId="6" borderId="22" xfId="0" applyNumberFormat="1" applyFont="1" applyFill="1" applyBorder="1" applyAlignment="1">
      <alignment horizontal="center" vertical="center"/>
    </xf>
    <xf numFmtId="166" fontId="14" fillId="6" borderId="2" xfId="0" applyNumberFormat="1" applyFont="1" applyFill="1" applyBorder="1" applyAlignment="1" applyProtection="1">
      <alignment horizontal="center" vertical="center" wrapText="1" readingOrder="1"/>
      <protection hidden="1"/>
    </xf>
    <xf numFmtId="166" fontId="14" fillId="0" borderId="0" xfId="0" applyNumberFormat="1" applyFont="1" applyAlignment="1" applyProtection="1">
      <alignment vertical="center" wrapText="1" readingOrder="1"/>
      <protection hidden="1"/>
    </xf>
    <xf numFmtId="0" fontId="13" fillId="7" borderId="2" xfId="0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14" fontId="13" fillId="5" borderId="23" xfId="0" applyNumberFormat="1" applyFont="1" applyFill="1" applyBorder="1" applyAlignment="1">
      <alignment horizontal="center" vertical="center" wrapText="1"/>
    </xf>
    <xf numFmtId="14" fontId="13" fillId="5" borderId="22" xfId="0" applyNumberFormat="1" applyFont="1" applyFill="1" applyBorder="1" applyAlignment="1">
      <alignment horizontal="center" vertical="center" wrapText="1"/>
    </xf>
  </cellXfs>
  <cellStyles count="3">
    <cellStyle name="Excel Built-in Normal" xfId="2" xr:uid="{00000000-0005-0000-0000-000000000000}"/>
    <cellStyle name="Грошовий" xfId="1" builtinId="4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CEFACE"/>
      <color rgb="FFF6FBBB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167640</xdr:rowOff>
    </xdr:from>
    <xdr:to>
      <xdr:col>14</xdr:col>
      <xdr:colOff>176837</xdr:colOff>
      <xdr:row>0</xdr:row>
      <xdr:rowOff>800841</xdr:rowOff>
    </xdr:to>
    <xdr:pic>
      <xdr:nvPicPr>
        <xdr:cNvPr id="3" name="Рисунок 2" descr="Amazon.com: NutriBiotic">
          <a:extLst>
            <a:ext uri="{FF2B5EF4-FFF2-40B4-BE49-F238E27FC236}">
              <a16:creationId xmlns:a16="http://schemas.microsoft.com/office/drawing/2014/main" id="{23F7767A-2DB3-4F18-BC68-CB8D48504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4680" y="167640"/>
          <a:ext cx="2891462" cy="633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8"/>
  <sheetViews>
    <sheetView tabSelected="1" zoomScale="80" zoomScaleNormal="80" workbookViewId="0">
      <pane ySplit="2" topLeftCell="A3" activePane="bottomLeft" state="frozen"/>
      <selection pane="bottomLeft" activeCell="R21" sqref="R21"/>
    </sheetView>
  </sheetViews>
  <sheetFormatPr defaultColWidth="9.77734375" defaultRowHeight="14.4" x14ac:dyDescent="0.3"/>
  <cols>
    <col min="1" max="1" width="12.44140625" style="1" bestFit="1" customWidth="1"/>
    <col min="2" max="2" width="8.21875" style="2" bestFit="1" customWidth="1"/>
    <col min="3" max="3" width="33.21875" style="1" customWidth="1"/>
    <col min="4" max="4" width="8.33203125" style="2" bestFit="1" customWidth="1"/>
    <col min="5" max="5" width="10.33203125" style="2" bestFit="1" customWidth="1"/>
    <col min="6" max="7" width="7.77734375" style="31" hidden="1" customWidth="1"/>
    <col min="8" max="8" width="7.77734375" style="31" customWidth="1"/>
    <col min="9" max="10" width="7.77734375" style="5" customWidth="1"/>
    <col min="11" max="11" width="11" style="1" customWidth="1"/>
    <col min="12" max="12" width="9.77734375" style="1" customWidth="1"/>
    <col min="13" max="13" width="10" style="1" customWidth="1"/>
    <col min="14" max="14" width="8.88671875" style="32" customWidth="1"/>
    <col min="15" max="15" width="13" style="2" customWidth="1"/>
    <col min="16" max="16" width="10.44140625" style="2" customWidth="1"/>
    <col min="17" max="17" width="14.21875" style="1" customWidth="1"/>
    <col min="18" max="18" width="5.21875" style="1" customWidth="1"/>
    <col min="19" max="19" width="10.21875" customWidth="1"/>
    <col min="20" max="20" width="10" customWidth="1"/>
    <col min="21" max="21" width="9.88671875" customWidth="1"/>
    <col min="22" max="22" width="12.88671875" customWidth="1"/>
    <col min="23" max="23" width="5.5546875" customWidth="1"/>
    <col min="24" max="24" width="13.88671875" customWidth="1"/>
    <col min="25" max="16384" width="9.77734375" style="1"/>
  </cols>
  <sheetData>
    <row r="1" spans="1:24" ht="73.8" customHeight="1" thickBot="1" x14ac:dyDescent="0.35">
      <c r="A1" s="70" t="s">
        <v>101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23"/>
      <c r="Q1" s="21" t="s">
        <v>95</v>
      </c>
      <c r="S1" s="58" t="s">
        <v>102</v>
      </c>
      <c r="T1" s="72" t="s">
        <v>103</v>
      </c>
      <c r="U1" s="59" t="s">
        <v>96</v>
      </c>
      <c r="V1" s="60" t="s">
        <v>104</v>
      </c>
      <c r="X1" s="61" t="str">
        <f>IFERROR(IF(SUM(X3:X277)=0, "-", Q2+V2), "-")</f>
        <v>-</v>
      </c>
    </row>
    <row r="2" spans="1:24" s="6" customFormat="1" ht="48" customHeight="1" thickBot="1" x14ac:dyDescent="0.35">
      <c r="A2" s="13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5" t="s">
        <v>5</v>
      </c>
      <c r="G2" s="15" t="s">
        <v>6</v>
      </c>
      <c r="H2" s="15" t="s">
        <v>96</v>
      </c>
      <c r="I2" s="15" t="s">
        <v>93</v>
      </c>
      <c r="J2" s="33" t="s">
        <v>91</v>
      </c>
      <c r="K2" s="12" t="s">
        <v>97</v>
      </c>
      <c r="L2" s="12" t="s">
        <v>98</v>
      </c>
      <c r="M2" s="48" t="s">
        <v>99</v>
      </c>
      <c r="N2" s="49" t="s">
        <v>92</v>
      </c>
      <c r="O2" s="42" t="s">
        <v>94</v>
      </c>
      <c r="P2" s="42" t="s">
        <v>100</v>
      </c>
      <c r="Q2" s="19">
        <f>SUM(P141)</f>
        <v>0</v>
      </c>
      <c r="S2" s="62"/>
      <c r="T2" s="73"/>
      <c r="U2" s="63" t="str">
        <f>IF(SUM(U3:U277)=0, "-", SUM(U3:U277))</f>
        <v>-</v>
      </c>
      <c r="V2" s="64" t="str">
        <f>IF(SUM(V3:V277)=0, "-", SUM(V3:V277))</f>
        <v>-</v>
      </c>
      <c r="W2" s="65"/>
      <c r="X2" s="66" t="s">
        <v>105</v>
      </c>
    </row>
    <row r="3" spans="1:24" x14ac:dyDescent="0.3">
      <c r="A3" s="55">
        <v>728177000905</v>
      </c>
      <c r="B3" s="9">
        <v>90</v>
      </c>
      <c r="C3" s="8" t="s">
        <v>7</v>
      </c>
      <c r="D3" s="9">
        <v>150</v>
      </c>
      <c r="E3" s="9" t="s">
        <v>8</v>
      </c>
      <c r="F3" s="28">
        <v>2.5</v>
      </c>
      <c r="G3" s="28">
        <v>2.5</v>
      </c>
      <c r="H3" s="28">
        <v>0.15</v>
      </c>
      <c r="I3" s="24">
        <v>12</v>
      </c>
      <c r="J3" s="16">
        <v>16.785999999999998</v>
      </c>
      <c r="K3" s="34">
        <v>15.107399999999998</v>
      </c>
      <c r="L3" s="35">
        <v>14.268099999999997</v>
      </c>
      <c r="M3" s="45">
        <v>13.428799999999999</v>
      </c>
      <c r="N3" s="50"/>
      <c r="O3" s="38">
        <f>IF(N3&gt;=576,N3*M3,IF(N3&gt;=288,N3*L3,IF(N3&gt;=144,N3*K3,N3*J3)))</f>
        <v>0</v>
      </c>
      <c r="P3" s="52">
        <f>IF($O$141&gt;=14000,N3*M3,0)</f>
        <v>0</v>
      </c>
      <c r="Q3" s="20"/>
      <c r="R3" s="20"/>
      <c r="S3" s="67" t="str">
        <f>IFERROR(IF($S$2*H3=0, "-", $S$2*H3), "-")</f>
        <v>-</v>
      </c>
      <c r="T3" s="67" t="str">
        <f>IF(N3&gt;0,(O3/N3)+H3*N3/$U$2*$V$2/N3,"-")</f>
        <v>-</v>
      </c>
      <c r="U3" s="68" t="str">
        <f>IF(N3&gt;0,N3*H3*1.113, "-")</f>
        <v>-</v>
      </c>
      <c r="V3" s="69" t="str">
        <f>IFERROR(IF($S$2&gt;0, $S$2*U3, "-"), "-")</f>
        <v>-</v>
      </c>
      <c r="X3" s="69" t="str">
        <f>IFERROR(IF(V3+O3=0, "-", IF(V3&gt;0, V3+O3, "-")), "-")</f>
        <v>-</v>
      </c>
    </row>
    <row r="4" spans="1:24" x14ac:dyDescent="0.3">
      <c r="A4" s="56">
        <v>728177000912</v>
      </c>
      <c r="B4" s="4">
        <v>91</v>
      </c>
      <c r="C4" s="3" t="s">
        <v>7</v>
      </c>
      <c r="D4" s="4">
        <v>300</v>
      </c>
      <c r="E4" s="4" t="s">
        <v>8</v>
      </c>
      <c r="F4" s="29">
        <v>3</v>
      </c>
      <c r="G4" s="29">
        <v>3</v>
      </c>
      <c r="H4" s="28">
        <v>0.23</v>
      </c>
      <c r="I4" s="25">
        <v>12</v>
      </c>
      <c r="J4" s="17">
        <v>31.849999999999998</v>
      </c>
      <c r="K4" s="36">
        <v>28.664999999999999</v>
      </c>
      <c r="L4" s="7">
        <v>27.072499999999998</v>
      </c>
      <c r="M4" s="46">
        <v>25.48</v>
      </c>
      <c r="N4" s="50"/>
      <c r="O4" s="39">
        <f t="shared" ref="O4:O67" si="0">IF(N4&gt;=576,N4*M4,IF(N4&gt;=288,N4*L4,IF(N4&gt;=144,N4*K4,N4*J4)))</f>
        <v>0</v>
      </c>
      <c r="P4" s="53">
        <f t="shared" ref="P4:P67" si="1">IF($O$141&gt;=14000,N4*M4,0)</f>
        <v>0</v>
      </c>
      <c r="Q4" s="20"/>
      <c r="R4" s="20"/>
      <c r="S4" s="67" t="str">
        <f t="shared" ref="S4:S67" si="2">IFERROR(IF($S$2*H4=0, "-", $S$2*H4), "-")</f>
        <v>-</v>
      </c>
      <c r="T4" s="67" t="str">
        <f t="shared" ref="T4:T67" si="3">IF(N4&gt;0,(O4/N4)+H4*N4/$U$2*$V$2/N4,"-")</f>
        <v>-</v>
      </c>
      <c r="U4" s="68" t="str">
        <f t="shared" ref="U4:U67" si="4">IF(N4&gt;0,N4*H4*1.113, "-")</f>
        <v>-</v>
      </c>
      <c r="V4" s="69" t="str">
        <f t="shared" ref="V4:V67" si="5">IFERROR(IF($S$2&gt;0, $S$2*U4, "-"), "-")</f>
        <v>-</v>
      </c>
      <c r="X4" s="69" t="str">
        <f t="shared" ref="X4:X67" si="6">IFERROR(IF(V4+O4=0, "-", IF(V4&gt;0, V4+O4, "-")), "-")</f>
        <v>-</v>
      </c>
    </row>
    <row r="5" spans="1:24" x14ac:dyDescent="0.3">
      <c r="A5" s="56">
        <v>728177001209</v>
      </c>
      <c r="B5" s="4">
        <v>120</v>
      </c>
      <c r="C5" s="3" t="s">
        <v>9</v>
      </c>
      <c r="D5" s="4">
        <v>90</v>
      </c>
      <c r="E5" s="4" t="s">
        <v>10</v>
      </c>
      <c r="F5" s="29">
        <v>2.5</v>
      </c>
      <c r="G5" s="29">
        <v>2.5</v>
      </c>
      <c r="H5" s="28">
        <v>0.14000000000000001</v>
      </c>
      <c r="I5" s="25">
        <v>12</v>
      </c>
      <c r="J5" s="17">
        <v>13.985999999999999</v>
      </c>
      <c r="K5" s="36">
        <v>12.587399999999999</v>
      </c>
      <c r="L5" s="7">
        <v>11.888099999999998</v>
      </c>
      <c r="M5" s="46">
        <v>11.188800000000001</v>
      </c>
      <c r="N5" s="50"/>
      <c r="O5" s="39">
        <f t="shared" si="0"/>
        <v>0</v>
      </c>
      <c r="P5" s="53">
        <f t="shared" si="1"/>
        <v>0</v>
      </c>
      <c r="Q5" s="20"/>
      <c r="R5" s="20"/>
      <c r="S5" s="67" t="str">
        <f t="shared" si="2"/>
        <v>-</v>
      </c>
      <c r="T5" s="67" t="str">
        <f t="shared" si="3"/>
        <v>-</v>
      </c>
      <c r="U5" s="68" t="str">
        <f t="shared" si="4"/>
        <v>-</v>
      </c>
      <c r="V5" s="69" t="str">
        <f t="shared" si="5"/>
        <v>-</v>
      </c>
      <c r="X5" s="69" t="str">
        <f t="shared" si="6"/>
        <v>-</v>
      </c>
    </row>
    <row r="6" spans="1:24" x14ac:dyDescent="0.3">
      <c r="A6" s="56">
        <v>728177001216</v>
      </c>
      <c r="B6" s="4">
        <v>121</v>
      </c>
      <c r="C6" s="3" t="s">
        <v>9</v>
      </c>
      <c r="D6" s="4">
        <v>180</v>
      </c>
      <c r="E6" s="4" t="s">
        <v>10</v>
      </c>
      <c r="F6" s="29">
        <v>3</v>
      </c>
      <c r="G6" s="29">
        <v>3</v>
      </c>
      <c r="H6" s="28">
        <v>0.27</v>
      </c>
      <c r="I6" s="25">
        <v>12</v>
      </c>
      <c r="J6" s="17">
        <v>27.985999999999997</v>
      </c>
      <c r="K6" s="36">
        <v>25.187399999999997</v>
      </c>
      <c r="L6" s="7">
        <v>23.788099999999996</v>
      </c>
      <c r="M6" s="46">
        <v>22.3888</v>
      </c>
      <c r="N6" s="50"/>
      <c r="O6" s="39">
        <f t="shared" si="0"/>
        <v>0</v>
      </c>
      <c r="P6" s="53">
        <f t="shared" si="1"/>
        <v>0</v>
      </c>
      <c r="Q6" s="20"/>
      <c r="R6" s="20"/>
      <c r="S6" s="67" t="str">
        <f t="shared" si="2"/>
        <v>-</v>
      </c>
      <c r="T6" s="67" t="str">
        <f t="shared" si="3"/>
        <v>-</v>
      </c>
      <c r="U6" s="68" t="str">
        <f t="shared" si="4"/>
        <v>-</v>
      </c>
      <c r="V6" s="69" t="str">
        <f t="shared" si="5"/>
        <v>-</v>
      </c>
      <c r="X6" s="69" t="str">
        <f t="shared" si="6"/>
        <v>-</v>
      </c>
    </row>
    <row r="7" spans="1:24" x14ac:dyDescent="0.3">
      <c r="A7" s="56">
        <v>728177001506</v>
      </c>
      <c r="B7" s="4">
        <v>150</v>
      </c>
      <c r="C7" s="3" t="s">
        <v>11</v>
      </c>
      <c r="D7" s="4">
        <v>21</v>
      </c>
      <c r="E7" s="4" t="s">
        <v>12</v>
      </c>
      <c r="F7" s="29">
        <v>4.75</v>
      </c>
      <c r="G7" s="29">
        <v>4.75</v>
      </c>
      <c r="H7" s="28">
        <v>0.7</v>
      </c>
      <c r="I7" s="25">
        <v>12</v>
      </c>
      <c r="J7" s="17">
        <v>23.085999999999995</v>
      </c>
      <c r="K7" s="36">
        <v>20.777399999999997</v>
      </c>
      <c r="L7" s="7">
        <v>19.623099999999994</v>
      </c>
      <c r="M7" s="46">
        <v>18.468799999999998</v>
      </c>
      <c r="N7" s="50"/>
      <c r="O7" s="39">
        <f t="shared" si="0"/>
        <v>0</v>
      </c>
      <c r="P7" s="53">
        <f t="shared" si="1"/>
        <v>0</v>
      </c>
      <c r="Q7" s="20"/>
      <c r="R7" s="20"/>
      <c r="S7" s="67" t="str">
        <f t="shared" si="2"/>
        <v>-</v>
      </c>
      <c r="T7" s="67" t="str">
        <f t="shared" si="3"/>
        <v>-</v>
      </c>
      <c r="U7" s="68" t="str">
        <f t="shared" si="4"/>
        <v>-</v>
      </c>
      <c r="V7" s="69" t="str">
        <f t="shared" si="5"/>
        <v>-</v>
      </c>
      <c r="X7" s="69" t="str">
        <f t="shared" si="6"/>
        <v>-</v>
      </c>
    </row>
    <row r="8" spans="1:24" x14ac:dyDescent="0.3">
      <c r="A8" s="56">
        <v>728177001513</v>
      </c>
      <c r="B8" s="4">
        <v>151</v>
      </c>
      <c r="C8" s="3" t="s">
        <v>11</v>
      </c>
      <c r="D8" s="4">
        <v>3</v>
      </c>
      <c r="E8" s="4" t="s">
        <v>13</v>
      </c>
      <c r="F8" s="29">
        <v>6</v>
      </c>
      <c r="G8" s="29">
        <v>6</v>
      </c>
      <c r="H8" s="28">
        <v>1.54</v>
      </c>
      <c r="I8" s="25">
        <v>4</v>
      </c>
      <c r="J8" s="17">
        <v>43.245999999999995</v>
      </c>
      <c r="K8" s="36">
        <v>38.921399999999998</v>
      </c>
      <c r="L8" s="7">
        <v>36.759099999999997</v>
      </c>
      <c r="M8" s="46">
        <v>34.596799999999995</v>
      </c>
      <c r="N8" s="50"/>
      <c r="O8" s="39">
        <f t="shared" si="0"/>
        <v>0</v>
      </c>
      <c r="P8" s="53">
        <f t="shared" si="1"/>
        <v>0</v>
      </c>
      <c r="Q8" s="20"/>
      <c r="R8" s="20"/>
      <c r="S8" s="67" t="str">
        <f t="shared" si="2"/>
        <v>-</v>
      </c>
      <c r="T8" s="67" t="str">
        <f t="shared" si="3"/>
        <v>-</v>
      </c>
      <c r="U8" s="68" t="str">
        <f t="shared" si="4"/>
        <v>-</v>
      </c>
      <c r="V8" s="69" t="str">
        <f t="shared" si="5"/>
        <v>-</v>
      </c>
      <c r="X8" s="69" t="str">
        <f t="shared" si="6"/>
        <v>-</v>
      </c>
    </row>
    <row r="9" spans="1:24" x14ac:dyDescent="0.3">
      <c r="A9" s="56">
        <v>728177001551</v>
      </c>
      <c r="B9" s="4">
        <v>155</v>
      </c>
      <c r="C9" s="3" t="s">
        <v>14</v>
      </c>
      <c r="D9" s="4">
        <v>21</v>
      </c>
      <c r="E9" s="4" t="s">
        <v>12</v>
      </c>
      <c r="F9" s="29">
        <v>4.75</v>
      </c>
      <c r="G9" s="29">
        <v>4.75</v>
      </c>
      <c r="H9" s="28">
        <v>0.7</v>
      </c>
      <c r="I9" s="25">
        <v>12</v>
      </c>
      <c r="J9" s="17">
        <v>23.085999999999995</v>
      </c>
      <c r="K9" s="36">
        <v>20.777399999999997</v>
      </c>
      <c r="L9" s="7">
        <v>19.623099999999994</v>
      </c>
      <c r="M9" s="46">
        <v>18.468799999999998</v>
      </c>
      <c r="N9" s="50"/>
      <c r="O9" s="39">
        <f t="shared" si="0"/>
        <v>0</v>
      </c>
      <c r="P9" s="53">
        <f t="shared" si="1"/>
        <v>0</v>
      </c>
      <c r="Q9" s="20"/>
      <c r="S9" s="67" t="str">
        <f t="shared" si="2"/>
        <v>-</v>
      </c>
      <c r="T9" s="67" t="str">
        <f t="shared" si="3"/>
        <v>-</v>
      </c>
      <c r="U9" s="68" t="str">
        <f t="shared" si="4"/>
        <v>-</v>
      </c>
      <c r="V9" s="69" t="str">
        <f t="shared" si="5"/>
        <v>-</v>
      </c>
      <c r="X9" s="69" t="str">
        <f t="shared" si="6"/>
        <v>-</v>
      </c>
    </row>
    <row r="10" spans="1:24" x14ac:dyDescent="0.3">
      <c r="A10" s="56">
        <v>728177001568</v>
      </c>
      <c r="B10" s="4">
        <v>156</v>
      </c>
      <c r="C10" s="3" t="s">
        <v>14</v>
      </c>
      <c r="D10" s="4">
        <v>3</v>
      </c>
      <c r="E10" s="4" t="s">
        <v>13</v>
      </c>
      <c r="F10" s="29">
        <v>6</v>
      </c>
      <c r="G10" s="29">
        <v>6</v>
      </c>
      <c r="H10" s="28">
        <v>1.54</v>
      </c>
      <c r="I10" s="25">
        <v>4</v>
      </c>
      <c r="J10" s="17">
        <v>43.245999999999995</v>
      </c>
      <c r="K10" s="36">
        <v>38.921399999999998</v>
      </c>
      <c r="L10" s="7">
        <v>36.759099999999997</v>
      </c>
      <c r="M10" s="46">
        <v>34.596799999999995</v>
      </c>
      <c r="N10" s="50"/>
      <c r="O10" s="39">
        <f t="shared" si="0"/>
        <v>0</v>
      </c>
      <c r="P10" s="53">
        <f t="shared" si="1"/>
        <v>0</v>
      </c>
      <c r="Q10" s="20"/>
      <c r="S10" s="67" t="str">
        <f t="shared" si="2"/>
        <v>-</v>
      </c>
      <c r="T10" s="67" t="str">
        <f t="shared" si="3"/>
        <v>-</v>
      </c>
      <c r="U10" s="68" t="str">
        <f t="shared" si="4"/>
        <v>-</v>
      </c>
      <c r="V10" s="69" t="str">
        <f t="shared" si="5"/>
        <v>-</v>
      </c>
      <c r="X10" s="69" t="str">
        <f t="shared" si="6"/>
        <v>-</v>
      </c>
    </row>
    <row r="11" spans="1:24" x14ac:dyDescent="0.3">
      <c r="A11" s="56">
        <v>728177001605</v>
      </c>
      <c r="B11" s="4">
        <v>160</v>
      </c>
      <c r="C11" s="3" t="s">
        <v>15</v>
      </c>
      <c r="D11" s="4">
        <v>22.9</v>
      </c>
      <c r="E11" s="4" t="s">
        <v>12</v>
      </c>
      <c r="F11" s="29">
        <v>4.75</v>
      </c>
      <c r="G11" s="29">
        <v>4.75</v>
      </c>
      <c r="H11" s="28">
        <v>0.75</v>
      </c>
      <c r="I11" s="25">
        <v>12</v>
      </c>
      <c r="J11" s="17">
        <v>23.085999999999995</v>
      </c>
      <c r="K11" s="36">
        <v>20.777399999999997</v>
      </c>
      <c r="L11" s="7">
        <v>19.623099999999994</v>
      </c>
      <c r="M11" s="46">
        <v>18.468799999999998</v>
      </c>
      <c r="N11" s="50"/>
      <c r="O11" s="39">
        <f t="shared" si="0"/>
        <v>0</v>
      </c>
      <c r="P11" s="53">
        <f t="shared" si="1"/>
        <v>0</v>
      </c>
      <c r="Q11" s="20"/>
      <c r="S11" s="67" t="str">
        <f t="shared" si="2"/>
        <v>-</v>
      </c>
      <c r="T11" s="67" t="str">
        <f t="shared" si="3"/>
        <v>-</v>
      </c>
      <c r="U11" s="68" t="str">
        <f t="shared" si="4"/>
        <v>-</v>
      </c>
      <c r="V11" s="69" t="str">
        <f t="shared" si="5"/>
        <v>-</v>
      </c>
      <c r="X11" s="69" t="str">
        <f t="shared" si="6"/>
        <v>-</v>
      </c>
    </row>
    <row r="12" spans="1:24" x14ac:dyDescent="0.3">
      <c r="A12" s="56">
        <v>728177001612</v>
      </c>
      <c r="B12" s="4">
        <v>161</v>
      </c>
      <c r="C12" s="3" t="s">
        <v>15</v>
      </c>
      <c r="D12" s="4">
        <v>3</v>
      </c>
      <c r="E12" s="4" t="s">
        <v>13</v>
      </c>
      <c r="F12" s="29">
        <v>6</v>
      </c>
      <c r="G12" s="29">
        <v>6</v>
      </c>
      <c r="H12" s="28">
        <v>1.54</v>
      </c>
      <c r="I12" s="25">
        <v>4</v>
      </c>
      <c r="J12" s="17">
        <v>43.245999999999995</v>
      </c>
      <c r="K12" s="36">
        <v>38.921399999999998</v>
      </c>
      <c r="L12" s="7">
        <v>36.759099999999997</v>
      </c>
      <c r="M12" s="46">
        <v>34.596799999999995</v>
      </c>
      <c r="N12" s="50"/>
      <c r="O12" s="39">
        <f t="shared" si="0"/>
        <v>0</v>
      </c>
      <c r="P12" s="53">
        <f t="shared" si="1"/>
        <v>0</v>
      </c>
      <c r="Q12" s="20"/>
      <c r="S12" s="67" t="str">
        <f t="shared" si="2"/>
        <v>-</v>
      </c>
      <c r="T12" s="67" t="str">
        <f t="shared" si="3"/>
        <v>-</v>
      </c>
      <c r="U12" s="68" t="str">
        <f t="shared" si="4"/>
        <v>-</v>
      </c>
      <c r="V12" s="69" t="str">
        <f t="shared" si="5"/>
        <v>-</v>
      </c>
      <c r="X12" s="69" t="str">
        <f t="shared" si="6"/>
        <v>-</v>
      </c>
    </row>
    <row r="13" spans="1:24" x14ac:dyDescent="0.3">
      <c r="A13" s="56">
        <v>728177001650</v>
      </c>
      <c r="B13" s="4">
        <v>165</v>
      </c>
      <c r="C13" s="3" t="s">
        <v>16</v>
      </c>
      <c r="D13" s="4">
        <v>21</v>
      </c>
      <c r="E13" s="4" t="s">
        <v>12</v>
      </c>
      <c r="F13" s="29">
        <v>4.75</v>
      </c>
      <c r="G13" s="29">
        <v>4.75</v>
      </c>
      <c r="H13" s="28">
        <v>0.7</v>
      </c>
      <c r="I13" s="25">
        <v>12</v>
      </c>
      <c r="J13" s="17">
        <v>23.085999999999995</v>
      </c>
      <c r="K13" s="36">
        <v>20.777399999999997</v>
      </c>
      <c r="L13" s="7">
        <v>19.623099999999994</v>
      </c>
      <c r="M13" s="46">
        <v>18.468799999999998</v>
      </c>
      <c r="N13" s="50"/>
      <c r="O13" s="39">
        <f t="shared" si="0"/>
        <v>0</v>
      </c>
      <c r="P13" s="53">
        <f t="shared" si="1"/>
        <v>0</v>
      </c>
      <c r="Q13" s="20"/>
      <c r="S13" s="67" t="str">
        <f t="shared" si="2"/>
        <v>-</v>
      </c>
      <c r="T13" s="67" t="str">
        <f t="shared" si="3"/>
        <v>-</v>
      </c>
      <c r="U13" s="68" t="str">
        <f t="shared" si="4"/>
        <v>-</v>
      </c>
      <c r="V13" s="69" t="str">
        <f t="shared" si="5"/>
        <v>-</v>
      </c>
      <c r="X13" s="69" t="str">
        <f t="shared" si="6"/>
        <v>-</v>
      </c>
    </row>
    <row r="14" spans="1:24" x14ac:dyDescent="0.3">
      <c r="A14" s="56">
        <v>728177001803</v>
      </c>
      <c r="B14" s="4">
        <v>180</v>
      </c>
      <c r="C14" s="3" t="s">
        <v>17</v>
      </c>
      <c r="D14" s="4">
        <v>100</v>
      </c>
      <c r="E14" s="4" t="s">
        <v>10</v>
      </c>
      <c r="F14" s="29">
        <v>2.5</v>
      </c>
      <c r="G14" s="29">
        <v>2.5</v>
      </c>
      <c r="H14" s="28">
        <v>0.14000000000000001</v>
      </c>
      <c r="I14" s="25">
        <v>12</v>
      </c>
      <c r="J14" s="17">
        <v>11.549999999999999</v>
      </c>
      <c r="K14" s="36">
        <v>10.395</v>
      </c>
      <c r="L14" s="7">
        <v>9.817499999999999</v>
      </c>
      <c r="M14" s="46">
        <v>9.24</v>
      </c>
      <c r="N14" s="50"/>
      <c r="O14" s="39">
        <f t="shared" si="0"/>
        <v>0</v>
      </c>
      <c r="P14" s="53">
        <f t="shared" si="1"/>
        <v>0</v>
      </c>
      <c r="Q14" s="20"/>
      <c r="S14" s="67" t="str">
        <f t="shared" si="2"/>
        <v>-</v>
      </c>
      <c r="T14" s="67" t="str">
        <f t="shared" si="3"/>
        <v>-</v>
      </c>
      <c r="U14" s="68" t="str">
        <f t="shared" si="4"/>
        <v>-</v>
      </c>
      <c r="V14" s="69" t="str">
        <f t="shared" si="5"/>
        <v>-</v>
      </c>
      <c r="X14" s="69" t="str">
        <f t="shared" si="6"/>
        <v>-</v>
      </c>
    </row>
    <row r="15" spans="1:24" x14ac:dyDescent="0.3">
      <c r="A15" s="56">
        <v>728177001810</v>
      </c>
      <c r="B15" s="4">
        <v>181</v>
      </c>
      <c r="C15" s="3" t="s">
        <v>17</v>
      </c>
      <c r="D15" s="4">
        <v>250</v>
      </c>
      <c r="E15" s="4" t="s">
        <v>10</v>
      </c>
      <c r="F15" s="29">
        <v>3.125</v>
      </c>
      <c r="G15" s="29">
        <v>3.125</v>
      </c>
      <c r="H15" s="28">
        <v>0.34</v>
      </c>
      <c r="I15" s="25">
        <v>12</v>
      </c>
      <c r="J15" s="17">
        <v>27.285999999999998</v>
      </c>
      <c r="K15" s="36">
        <v>24.557399999999998</v>
      </c>
      <c r="L15" s="7">
        <v>23.193099999999998</v>
      </c>
      <c r="M15" s="46">
        <v>21.828800000000001</v>
      </c>
      <c r="N15" s="50"/>
      <c r="O15" s="39">
        <f t="shared" si="0"/>
        <v>0</v>
      </c>
      <c r="P15" s="53">
        <f t="shared" si="1"/>
        <v>0</v>
      </c>
      <c r="Q15" s="20"/>
      <c r="S15" s="67" t="str">
        <f t="shared" si="2"/>
        <v>-</v>
      </c>
      <c r="T15" s="67" t="str">
        <f t="shared" si="3"/>
        <v>-</v>
      </c>
      <c r="U15" s="68" t="str">
        <f t="shared" si="4"/>
        <v>-</v>
      </c>
      <c r="V15" s="69" t="str">
        <f t="shared" si="5"/>
        <v>-</v>
      </c>
      <c r="X15" s="69" t="str">
        <f t="shared" si="6"/>
        <v>-</v>
      </c>
    </row>
    <row r="16" spans="1:24" x14ac:dyDescent="0.3">
      <c r="A16" s="56">
        <v>728177001858</v>
      </c>
      <c r="B16" s="4">
        <v>185</v>
      </c>
      <c r="C16" s="3" t="s">
        <v>18</v>
      </c>
      <c r="D16" s="4">
        <v>100</v>
      </c>
      <c r="E16" s="4" t="s">
        <v>8</v>
      </c>
      <c r="F16" s="29">
        <v>2.5</v>
      </c>
      <c r="G16" s="29">
        <v>2.5</v>
      </c>
      <c r="H16" s="28">
        <v>0.23</v>
      </c>
      <c r="I16" s="25">
        <v>12</v>
      </c>
      <c r="J16" s="17">
        <v>16.085999999999999</v>
      </c>
      <c r="K16" s="36">
        <v>14.477399999999999</v>
      </c>
      <c r="L16" s="7">
        <v>13.673099999999998</v>
      </c>
      <c r="M16" s="46">
        <v>12.8688</v>
      </c>
      <c r="N16" s="50"/>
      <c r="O16" s="39">
        <f t="shared" si="0"/>
        <v>0</v>
      </c>
      <c r="P16" s="53">
        <f t="shared" si="1"/>
        <v>0</v>
      </c>
      <c r="Q16" s="20"/>
      <c r="S16" s="67" t="str">
        <f t="shared" si="2"/>
        <v>-</v>
      </c>
      <c r="T16" s="67" t="str">
        <f t="shared" si="3"/>
        <v>-</v>
      </c>
      <c r="U16" s="68" t="str">
        <f t="shared" si="4"/>
        <v>-</v>
      </c>
      <c r="V16" s="69" t="str">
        <f t="shared" si="5"/>
        <v>-</v>
      </c>
      <c r="X16" s="69" t="str">
        <f t="shared" si="6"/>
        <v>-</v>
      </c>
    </row>
    <row r="17" spans="1:24" x14ac:dyDescent="0.3">
      <c r="A17" s="56">
        <v>728177001865</v>
      </c>
      <c r="B17" s="4">
        <v>186</v>
      </c>
      <c r="C17" s="3" t="s">
        <v>18</v>
      </c>
      <c r="D17" s="4">
        <v>250</v>
      </c>
      <c r="E17" s="4" t="s">
        <v>8</v>
      </c>
      <c r="F17" s="29">
        <v>3.125</v>
      </c>
      <c r="G17" s="29">
        <v>3.125</v>
      </c>
      <c r="H17" s="28">
        <v>0.57999999999999996</v>
      </c>
      <c r="I17" s="25">
        <v>12</v>
      </c>
      <c r="J17" s="17">
        <v>37.085999999999999</v>
      </c>
      <c r="K17" s="36">
        <v>33.377400000000002</v>
      </c>
      <c r="L17" s="7">
        <v>31.523099999999999</v>
      </c>
      <c r="M17" s="46">
        <v>29.668800000000001</v>
      </c>
      <c r="N17" s="50"/>
      <c r="O17" s="39">
        <f t="shared" si="0"/>
        <v>0</v>
      </c>
      <c r="P17" s="53">
        <f t="shared" si="1"/>
        <v>0</v>
      </c>
      <c r="Q17" s="20"/>
      <c r="S17" s="67" t="str">
        <f t="shared" si="2"/>
        <v>-</v>
      </c>
      <c r="T17" s="67" t="str">
        <f t="shared" si="3"/>
        <v>-</v>
      </c>
      <c r="U17" s="68" t="str">
        <f t="shared" si="4"/>
        <v>-</v>
      </c>
      <c r="V17" s="69" t="str">
        <f t="shared" si="5"/>
        <v>-</v>
      </c>
      <c r="X17" s="69" t="str">
        <f t="shared" si="6"/>
        <v>-</v>
      </c>
    </row>
    <row r="18" spans="1:24" x14ac:dyDescent="0.3">
      <c r="A18" s="56">
        <v>728177001902</v>
      </c>
      <c r="B18" s="4">
        <v>190</v>
      </c>
      <c r="C18" s="3" t="s">
        <v>19</v>
      </c>
      <c r="D18" s="4">
        <v>8</v>
      </c>
      <c r="E18" s="4" t="s">
        <v>12</v>
      </c>
      <c r="F18" s="29">
        <v>3</v>
      </c>
      <c r="G18" s="29">
        <v>3</v>
      </c>
      <c r="H18" s="28">
        <v>0.28999999999999998</v>
      </c>
      <c r="I18" s="25">
        <v>12</v>
      </c>
      <c r="J18" s="17">
        <v>16.785999999999998</v>
      </c>
      <c r="K18" s="36">
        <v>15.107399999999998</v>
      </c>
      <c r="L18" s="7">
        <v>14.268099999999997</v>
      </c>
      <c r="M18" s="46">
        <v>13.428799999999999</v>
      </c>
      <c r="N18" s="50"/>
      <c r="O18" s="39">
        <f t="shared" si="0"/>
        <v>0</v>
      </c>
      <c r="P18" s="53">
        <f t="shared" si="1"/>
        <v>0</v>
      </c>
      <c r="Q18" s="20"/>
      <c r="S18" s="67" t="str">
        <f t="shared" si="2"/>
        <v>-</v>
      </c>
      <c r="T18" s="67" t="str">
        <f t="shared" si="3"/>
        <v>-</v>
      </c>
      <c r="U18" s="68" t="str">
        <f t="shared" si="4"/>
        <v>-</v>
      </c>
      <c r="V18" s="69" t="str">
        <f t="shared" si="5"/>
        <v>-</v>
      </c>
      <c r="X18" s="69" t="str">
        <f t="shared" si="6"/>
        <v>-</v>
      </c>
    </row>
    <row r="19" spans="1:24" x14ac:dyDescent="0.3">
      <c r="A19" s="56">
        <v>728177002008</v>
      </c>
      <c r="B19" s="4">
        <v>200</v>
      </c>
      <c r="C19" s="3" t="s">
        <v>20</v>
      </c>
      <c r="D19" s="4">
        <v>8</v>
      </c>
      <c r="E19" s="4" t="s">
        <v>12</v>
      </c>
      <c r="F19" s="29">
        <v>2.5</v>
      </c>
      <c r="G19" s="29">
        <v>2.5</v>
      </c>
      <c r="H19" s="28">
        <v>0.27</v>
      </c>
      <c r="I19" s="25">
        <v>12</v>
      </c>
      <c r="J19" s="17">
        <v>10.485999999999999</v>
      </c>
      <c r="K19" s="36">
        <v>9.4373999999999985</v>
      </c>
      <c r="L19" s="7">
        <v>8.9130999999999982</v>
      </c>
      <c r="M19" s="46">
        <v>8.3887999999999998</v>
      </c>
      <c r="N19" s="50"/>
      <c r="O19" s="39">
        <f t="shared" si="0"/>
        <v>0</v>
      </c>
      <c r="P19" s="53">
        <f t="shared" si="1"/>
        <v>0</v>
      </c>
      <c r="Q19" s="20"/>
      <c r="S19" s="67" t="str">
        <f t="shared" si="2"/>
        <v>-</v>
      </c>
      <c r="T19" s="67" t="str">
        <f t="shared" si="3"/>
        <v>-</v>
      </c>
      <c r="U19" s="68" t="str">
        <f t="shared" si="4"/>
        <v>-</v>
      </c>
      <c r="V19" s="69" t="str">
        <f t="shared" si="5"/>
        <v>-</v>
      </c>
      <c r="X19" s="69" t="str">
        <f t="shared" si="6"/>
        <v>-</v>
      </c>
    </row>
    <row r="20" spans="1:24" x14ac:dyDescent="0.3">
      <c r="A20" s="56">
        <v>728177002015</v>
      </c>
      <c r="B20" s="4">
        <v>201</v>
      </c>
      <c r="C20" s="3" t="s">
        <v>20</v>
      </c>
      <c r="D20" s="4">
        <v>16</v>
      </c>
      <c r="E20" s="4" t="s">
        <v>12</v>
      </c>
      <c r="F20" s="29">
        <v>3.125</v>
      </c>
      <c r="G20" s="29">
        <v>3.125</v>
      </c>
      <c r="H20" s="28">
        <v>0.52</v>
      </c>
      <c r="I20" s="25">
        <v>12</v>
      </c>
      <c r="J20" s="17">
        <v>18.186</v>
      </c>
      <c r="K20" s="36">
        <v>16.3674</v>
      </c>
      <c r="L20" s="7">
        <v>15.4581</v>
      </c>
      <c r="M20" s="46">
        <v>14.5488</v>
      </c>
      <c r="N20" s="50"/>
      <c r="O20" s="39">
        <f t="shared" si="0"/>
        <v>0</v>
      </c>
      <c r="P20" s="53">
        <f t="shared" si="1"/>
        <v>0</v>
      </c>
      <c r="Q20" s="20"/>
      <c r="S20" s="67" t="str">
        <f t="shared" si="2"/>
        <v>-</v>
      </c>
      <c r="T20" s="67" t="str">
        <f t="shared" si="3"/>
        <v>-</v>
      </c>
      <c r="U20" s="68" t="str">
        <f t="shared" si="4"/>
        <v>-</v>
      </c>
      <c r="V20" s="69" t="str">
        <f t="shared" si="5"/>
        <v>-</v>
      </c>
      <c r="X20" s="69" t="str">
        <f t="shared" si="6"/>
        <v>-</v>
      </c>
    </row>
    <row r="21" spans="1:24" x14ac:dyDescent="0.3">
      <c r="A21" s="56">
        <v>728177002022</v>
      </c>
      <c r="B21" s="4">
        <v>202</v>
      </c>
      <c r="C21" s="3" t="s">
        <v>20</v>
      </c>
      <c r="D21" s="4">
        <v>2.2000000000000002</v>
      </c>
      <c r="E21" s="4" t="s">
        <v>13</v>
      </c>
      <c r="F21" s="29">
        <v>5</v>
      </c>
      <c r="G21" s="29">
        <v>5</v>
      </c>
      <c r="H21" s="28">
        <v>1.08</v>
      </c>
      <c r="I21" s="25">
        <v>12</v>
      </c>
      <c r="J21" s="17">
        <v>37.785999999999994</v>
      </c>
      <c r="K21" s="36">
        <v>34.007399999999997</v>
      </c>
      <c r="L21" s="7">
        <v>32.118099999999991</v>
      </c>
      <c r="M21" s="46">
        <v>30.228799999999996</v>
      </c>
      <c r="N21" s="50"/>
      <c r="O21" s="39">
        <f t="shared" si="0"/>
        <v>0</v>
      </c>
      <c r="P21" s="53">
        <f t="shared" si="1"/>
        <v>0</v>
      </c>
      <c r="Q21" s="20"/>
      <c r="S21" s="67" t="str">
        <f t="shared" si="2"/>
        <v>-</v>
      </c>
      <c r="T21" s="67" t="str">
        <f t="shared" si="3"/>
        <v>-</v>
      </c>
      <c r="U21" s="68" t="str">
        <f t="shared" si="4"/>
        <v>-</v>
      </c>
      <c r="V21" s="69" t="str">
        <f t="shared" si="5"/>
        <v>-</v>
      </c>
      <c r="X21" s="69" t="str">
        <f t="shared" si="6"/>
        <v>-</v>
      </c>
    </row>
    <row r="22" spans="1:24" x14ac:dyDescent="0.3">
      <c r="A22" s="56">
        <v>728177002039</v>
      </c>
      <c r="B22" s="4">
        <v>203</v>
      </c>
      <c r="C22" s="3" t="s">
        <v>20</v>
      </c>
      <c r="D22" s="4">
        <v>5</v>
      </c>
      <c r="E22" s="4" t="s">
        <v>13</v>
      </c>
      <c r="F22" s="29">
        <v>6</v>
      </c>
      <c r="G22" s="29">
        <v>6</v>
      </c>
      <c r="H22" s="28">
        <v>2.4700000000000002</v>
      </c>
      <c r="I22" s="25">
        <v>4</v>
      </c>
      <c r="J22" s="17">
        <v>83.286000000000001</v>
      </c>
      <c r="K22" s="36">
        <v>74.957400000000007</v>
      </c>
      <c r="L22" s="7">
        <v>70.793099999999995</v>
      </c>
      <c r="M22" s="46">
        <v>66.628799999999998</v>
      </c>
      <c r="N22" s="50"/>
      <c r="O22" s="39">
        <f t="shared" si="0"/>
        <v>0</v>
      </c>
      <c r="P22" s="53">
        <f t="shared" si="1"/>
        <v>0</v>
      </c>
      <c r="Q22" s="20"/>
      <c r="S22" s="67" t="str">
        <f t="shared" si="2"/>
        <v>-</v>
      </c>
      <c r="T22" s="67" t="str">
        <f t="shared" si="3"/>
        <v>-</v>
      </c>
      <c r="U22" s="68" t="str">
        <f t="shared" si="4"/>
        <v>-</v>
      </c>
      <c r="V22" s="69" t="str">
        <f t="shared" si="5"/>
        <v>-</v>
      </c>
      <c r="X22" s="69" t="str">
        <f t="shared" si="6"/>
        <v>-</v>
      </c>
    </row>
    <row r="23" spans="1:24" x14ac:dyDescent="0.3">
      <c r="A23" s="56">
        <v>728177002701</v>
      </c>
      <c r="B23" s="4">
        <v>270</v>
      </c>
      <c r="C23" s="3" t="s">
        <v>21</v>
      </c>
      <c r="D23" s="4">
        <v>100</v>
      </c>
      <c r="E23" s="4" t="s">
        <v>10</v>
      </c>
      <c r="F23" s="29">
        <v>2.5</v>
      </c>
      <c r="G23" s="29">
        <v>2.5</v>
      </c>
      <c r="H23" s="28">
        <v>0.16</v>
      </c>
      <c r="I23" s="25">
        <v>12</v>
      </c>
      <c r="J23" s="17">
        <v>8.0499999999999989</v>
      </c>
      <c r="K23" s="36">
        <v>7.2449999999999992</v>
      </c>
      <c r="L23" s="7">
        <v>6.8424999999999985</v>
      </c>
      <c r="M23" s="46">
        <v>6.4399999999999995</v>
      </c>
      <c r="N23" s="50"/>
      <c r="O23" s="39">
        <f t="shared" si="0"/>
        <v>0</v>
      </c>
      <c r="P23" s="53">
        <f t="shared" si="1"/>
        <v>0</v>
      </c>
      <c r="Q23" s="20"/>
      <c r="S23" s="67" t="str">
        <f t="shared" si="2"/>
        <v>-</v>
      </c>
      <c r="T23" s="67" t="str">
        <f t="shared" si="3"/>
        <v>-</v>
      </c>
      <c r="U23" s="68" t="str">
        <f t="shared" si="4"/>
        <v>-</v>
      </c>
      <c r="V23" s="69" t="str">
        <f t="shared" si="5"/>
        <v>-</v>
      </c>
      <c r="X23" s="69" t="str">
        <f t="shared" si="6"/>
        <v>-</v>
      </c>
    </row>
    <row r="24" spans="1:24" x14ac:dyDescent="0.3">
      <c r="A24" s="56">
        <v>728177002718</v>
      </c>
      <c r="B24" s="4">
        <v>271</v>
      </c>
      <c r="C24" s="3" t="s">
        <v>21</v>
      </c>
      <c r="D24" s="4">
        <v>250</v>
      </c>
      <c r="E24" s="4" t="s">
        <v>10</v>
      </c>
      <c r="F24" s="29">
        <v>3.125</v>
      </c>
      <c r="G24" s="29">
        <v>3.125</v>
      </c>
      <c r="H24" s="28">
        <v>0.34</v>
      </c>
      <c r="I24" s="25">
        <v>12</v>
      </c>
      <c r="J24" s="17">
        <v>17.486000000000001</v>
      </c>
      <c r="K24" s="36">
        <v>15.737400000000001</v>
      </c>
      <c r="L24" s="7">
        <v>14.863099999999999</v>
      </c>
      <c r="M24" s="46">
        <v>13.988800000000001</v>
      </c>
      <c r="N24" s="50"/>
      <c r="O24" s="39">
        <f t="shared" si="0"/>
        <v>0</v>
      </c>
      <c r="P24" s="53">
        <f t="shared" si="1"/>
        <v>0</v>
      </c>
      <c r="Q24" s="20"/>
      <c r="S24" s="67" t="str">
        <f t="shared" si="2"/>
        <v>-</v>
      </c>
      <c r="T24" s="67" t="str">
        <f t="shared" si="3"/>
        <v>-</v>
      </c>
      <c r="U24" s="68" t="str">
        <f t="shared" si="4"/>
        <v>-</v>
      </c>
      <c r="V24" s="69" t="str">
        <f t="shared" si="5"/>
        <v>-</v>
      </c>
      <c r="X24" s="69" t="str">
        <f t="shared" si="6"/>
        <v>-</v>
      </c>
    </row>
    <row r="25" spans="1:24" x14ac:dyDescent="0.3">
      <c r="A25" s="56">
        <v>728177002725</v>
      </c>
      <c r="B25" s="4">
        <v>272</v>
      </c>
      <c r="C25" s="3" t="s">
        <v>21</v>
      </c>
      <c r="D25" s="4">
        <v>500</v>
      </c>
      <c r="E25" s="4" t="s">
        <v>10</v>
      </c>
      <c r="F25" s="29">
        <v>4</v>
      </c>
      <c r="G25" s="29">
        <v>4</v>
      </c>
      <c r="H25" s="28">
        <v>0.66</v>
      </c>
      <c r="I25" s="25">
        <v>12</v>
      </c>
      <c r="J25" s="17">
        <v>31.849999999999998</v>
      </c>
      <c r="K25" s="36">
        <v>28.664999999999999</v>
      </c>
      <c r="L25" s="7">
        <v>27.072499999999998</v>
      </c>
      <c r="M25" s="46">
        <v>25.48</v>
      </c>
      <c r="N25" s="50"/>
      <c r="O25" s="39">
        <f t="shared" si="0"/>
        <v>0</v>
      </c>
      <c r="P25" s="53">
        <f t="shared" si="1"/>
        <v>0</v>
      </c>
      <c r="Q25" s="20"/>
      <c r="S25" s="67" t="str">
        <f t="shared" si="2"/>
        <v>-</v>
      </c>
      <c r="T25" s="67" t="str">
        <f t="shared" si="3"/>
        <v>-</v>
      </c>
      <c r="U25" s="68" t="str">
        <f t="shared" si="4"/>
        <v>-</v>
      </c>
      <c r="V25" s="69" t="str">
        <f t="shared" si="5"/>
        <v>-</v>
      </c>
      <c r="X25" s="69" t="str">
        <f t="shared" si="6"/>
        <v>-</v>
      </c>
    </row>
    <row r="26" spans="1:24" x14ac:dyDescent="0.3">
      <c r="A26" s="56">
        <v>728177002800</v>
      </c>
      <c r="B26" s="4">
        <v>280</v>
      </c>
      <c r="C26" s="3" t="s">
        <v>21</v>
      </c>
      <c r="D26" s="4">
        <v>100</v>
      </c>
      <c r="E26" s="4" t="s">
        <v>8</v>
      </c>
      <c r="F26" s="29">
        <v>2.5</v>
      </c>
      <c r="G26" s="29">
        <v>2.5</v>
      </c>
      <c r="H26" s="28">
        <v>0.16</v>
      </c>
      <c r="I26" s="25">
        <v>12</v>
      </c>
      <c r="J26" s="17">
        <v>7.3359999999999994</v>
      </c>
      <c r="K26" s="36">
        <v>6.6023999999999994</v>
      </c>
      <c r="L26" s="7">
        <v>6.2355999999999989</v>
      </c>
      <c r="M26" s="46">
        <v>5.8688000000000002</v>
      </c>
      <c r="N26" s="50"/>
      <c r="O26" s="39">
        <f t="shared" si="0"/>
        <v>0</v>
      </c>
      <c r="P26" s="53">
        <f t="shared" si="1"/>
        <v>0</v>
      </c>
      <c r="Q26" s="20"/>
      <c r="S26" s="67" t="str">
        <f t="shared" si="2"/>
        <v>-</v>
      </c>
      <c r="T26" s="67" t="str">
        <f t="shared" si="3"/>
        <v>-</v>
      </c>
      <c r="U26" s="68" t="str">
        <f t="shared" si="4"/>
        <v>-</v>
      </c>
      <c r="V26" s="69" t="str">
        <f t="shared" si="5"/>
        <v>-</v>
      </c>
      <c r="X26" s="69" t="str">
        <f t="shared" si="6"/>
        <v>-</v>
      </c>
    </row>
    <row r="27" spans="1:24" x14ac:dyDescent="0.3">
      <c r="A27" s="56">
        <v>728177002817</v>
      </c>
      <c r="B27" s="4">
        <v>281</v>
      </c>
      <c r="C27" s="3" t="s">
        <v>21</v>
      </c>
      <c r="D27" s="4">
        <v>250</v>
      </c>
      <c r="E27" s="4" t="s">
        <v>8</v>
      </c>
      <c r="F27" s="29">
        <v>3.125</v>
      </c>
      <c r="G27" s="29">
        <v>3.125</v>
      </c>
      <c r="H27" s="28">
        <v>0.36</v>
      </c>
      <c r="I27" s="25">
        <v>12</v>
      </c>
      <c r="J27" s="17">
        <v>16.785999999999998</v>
      </c>
      <c r="K27" s="36">
        <v>15.107399999999998</v>
      </c>
      <c r="L27" s="7">
        <v>14.268099999999997</v>
      </c>
      <c r="M27" s="46">
        <v>13.428799999999999</v>
      </c>
      <c r="N27" s="50"/>
      <c r="O27" s="39">
        <f t="shared" si="0"/>
        <v>0</v>
      </c>
      <c r="P27" s="53">
        <f t="shared" si="1"/>
        <v>0</v>
      </c>
      <c r="Q27" s="20"/>
      <c r="S27" s="67" t="str">
        <f t="shared" si="2"/>
        <v>-</v>
      </c>
      <c r="T27" s="67" t="str">
        <f t="shared" si="3"/>
        <v>-</v>
      </c>
      <c r="U27" s="68" t="str">
        <f t="shared" si="4"/>
        <v>-</v>
      </c>
      <c r="V27" s="69" t="str">
        <f t="shared" si="5"/>
        <v>-</v>
      </c>
      <c r="X27" s="69" t="str">
        <f t="shared" si="6"/>
        <v>-</v>
      </c>
    </row>
    <row r="28" spans="1:24" x14ac:dyDescent="0.3">
      <c r="A28" s="56">
        <v>728177002824</v>
      </c>
      <c r="B28" s="4">
        <v>282</v>
      </c>
      <c r="C28" s="3" t="s">
        <v>21</v>
      </c>
      <c r="D28" s="4">
        <v>500</v>
      </c>
      <c r="E28" s="4" t="s">
        <v>8</v>
      </c>
      <c r="F28" s="29">
        <v>4</v>
      </c>
      <c r="G28" s="29">
        <v>4</v>
      </c>
      <c r="H28" s="28">
        <v>0.68</v>
      </c>
      <c r="I28" s="25">
        <v>12</v>
      </c>
      <c r="J28" s="17">
        <v>32.549999999999997</v>
      </c>
      <c r="K28" s="36">
        <v>29.294999999999998</v>
      </c>
      <c r="L28" s="7">
        <v>27.667499999999997</v>
      </c>
      <c r="M28" s="46">
        <v>26.04</v>
      </c>
      <c r="N28" s="50"/>
      <c r="O28" s="39">
        <f t="shared" si="0"/>
        <v>0</v>
      </c>
      <c r="P28" s="53">
        <f t="shared" si="1"/>
        <v>0</v>
      </c>
      <c r="Q28" s="20"/>
      <c r="S28" s="67" t="str">
        <f t="shared" si="2"/>
        <v>-</v>
      </c>
      <c r="T28" s="67" t="str">
        <f t="shared" si="3"/>
        <v>-</v>
      </c>
      <c r="U28" s="68" t="str">
        <f t="shared" si="4"/>
        <v>-</v>
      </c>
      <c r="V28" s="69" t="str">
        <f t="shared" si="5"/>
        <v>-</v>
      </c>
      <c r="X28" s="69" t="str">
        <f t="shared" si="6"/>
        <v>-</v>
      </c>
    </row>
    <row r="29" spans="1:24" x14ac:dyDescent="0.3">
      <c r="A29" s="56">
        <v>728177003005</v>
      </c>
      <c r="B29" s="4">
        <v>300</v>
      </c>
      <c r="C29" s="3" t="s">
        <v>22</v>
      </c>
      <c r="D29" s="4">
        <v>8</v>
      </c>
      <c r="E29" s="4" t="s">
        <v>12</v>
      </c>
      <c r="F29" s="29">
        <v>3</v>
      </c>
      <c r="G29" s="29">
        <v>3</v>
      </c>
      <c r="H29" s="28">
        <v>0.28999999999999998</v>
      </c>
      <c r="I29" s="25">
        <v>12</v>
      </c>
      <c r="J29" s="17">
        <v>11.549999999999999</v>
      </c>
      <c r="K29" s="36">
        <v>10.395</v>
      </c>
      <c r="L29" s="7">
        <v>9.817499999999999</v>
      </c>
      <c r="M29" s="46">
        <v>9.24</v>
      </c>
      <c r="N29" s="50"/>
      <c r="O29" s="39">
        <f t="shared" si="0"/>
        <v>0</v>
      </c>
      <c r="P29" s="53">
        <f t="shared" si="1"/>
        <v>0</v>
      </c>
      <c r="Q29" s="20"/>
      <c r="S29" s="67" t="str">
        <f t="shared" si="2"/>
        <v>-</v>
      </c>
      <c r="T29" s="67" t="str">
        <f t="shared" si="3"/>
        <v>-</v>
      </c>
      <c r="U29" s="68" t="str">
        <f t="shared" si="4"/>
        <v>-</v>
      </c>
      <c r="V29" s="69" t="str">
        <f t="shared" si="5"/>
        <v>-</v>
      </c>
      <c r="X29" s="69" t="str">
        <f t="shared" si="6"/>
        <v>-</v>
      </c>
    </row>
    <row r="30" spans="1:24" x14ac:dyDescent="0.3">
      <c r="A30" s="56">
        <v>728177003012</v>
      </c>
      <c r="B30" s="4">
        <v>301</v>
      </c>
      <c r="C30" s="3" t="s">
        <v>22</v>
      </c>
      <c r="D30" s="4">
        <v>16</v>
      </c>
      <c r="E30" s="4" t="s">
        <v>12</v>
      </c>
      <c r="F30" s="29">
        <v>3.125</v>
      </c>
      <c r="G30" s="29">
        <v>3.125</v>
      </c>
      <c r="H30" s="28">
        <v>0.52</v>
      </c>
      <c r="I30" s="25">
        <v>12</v>
      </c>
      <c r="J30" s="17">
        <v>20.285999999999998</v>
      </c>
      <c r="K30" s="36">
        <v>18.257399999999997</v>
      </c>
      <c r="L30" s="7">
        <v>17.243099999999998</v>
      </c>
      <c r="M30" s="46">
        <v>16.2288</v>
      </c>
      <c r="N30" s="50"/>
      <c r="O30" s="39">
        <f t="shared" si="0"/>
        <v>0</v>
      </c>
      <c r="P30" s="53">
        <f t="shared" si="1"/>
        <v>0</v>
      </c>
      <c r="Q30" s="20"/>
      <c r="S30" s="67" t="str">
        <f t="shared" si="2"/>
        <v>-</v>
      </c>
      <c r="T30" s="67" t="str">
        <f t="shared" si="3"/>
        <v>-</v>
      </c>
      <c r="U30" s="68" t="str">
        <f t="shared" si="4"/>
        <v>-</v>
      </c>
      <c r="V30" s="69" t="str">
        <f t="shared" si="5"/>
        <v>-</v>
      </c>
      <c r="X30" s="69" t="str">
        <f t="shared" si="6"/>
        <v>-</v>
      </c>
    </row>
    <row r="31" spans="1:24" x14ac:dyDescent="0.3">
      <c r="A31" s="56">
        <v>728177003029</v>
      </c>
      <c r="B31" s="4">
        <v>302</v>
      </c>
      <c r="C31" s="3" t="s">
        <v>22</v>
      </c>
      <c r="D31" s="4">
        <v>2.2000000000000002</v>
      </c>
      <c r="E31" s="4" t="s">
        <v>13</v>
      </c>
      <c r="F31" s="29">
        <v>4.75</v>
      </c>
      <c r="G31" s="29">
        <v>4.75</v>
      </c>
      <c r="H31" s="28">
        <v>1.0900000000000001</v>
      </c>
      <c r="I31" s="25">
        <v>12</v>
      </c>
      <c r="J31" s="17">
        <v>41.285999999999994</v>
      </c>
      <c r="K31" s="36">
        <v>37.157399999999996</v>
      </c>
      <c r="L31" s="7">
        <v>35.093099999999993</v>
      </c>
      <c r="M31" s="46">
        <v>33.028799999999997</v>
      </c>
      <c r="N31" s="50"/>
      <c r="O31" s="39">
        <f t="shared" si="0"/>
        <v>0</v>
      </c>
      <c r="P31" s="53">
        <f t="shared" si="1"/>
        <v>0</v>
      </c>
      <c r="Q31" s="20"/>
      <c r="S31" s="67" t="str">
        <f t="shared" si="2"/>
        <v>-</v>
      </c>
      <c r="T31" s="67" t="str">
        <f t="shared" si="3"/>
        <v>-</v>
      </c>
      <c r="U31" s="68" t="str">
        <f t="shared" si="4"/>
        <v>-</v>
      </c>
      <c r="V31" s="69" t="str">
        <f t="shared" si="5"/>
        <v>-</v>
      </c>
      <c r="X31" s="69" t="str">
        <f t="shared" si="6"/>
        <v>-</v>
      </c>
    </row>
    <row r="32" spans="1:24" x14ac:dyDescent="0.3">
      <c r="A32" s="56">
        <v>728177003036</v>
      </c>
      <c r="B32" s="4">
        <v>303</v>
      </c>
      <c r="C32" s="3" t="s">
        <v>22</v>
      </c>
      <c r="D32" s="4">
        <v>5</v>
      </c>
      <c r="E32" s="4" t="s">
        <v>13</v>
      </c>
      <c r="F32" s="29">
        <v>6</v>
      </c>
      <c r="G32" s="29">
        <v>6</v>
      </c>
      <c r="H32" s="28">
        <v>2.4</v>
      </c>
      <c r="I32" s="25">
        <v>4</v>
      </c>
      <c r="J32" s="17">
        <v>90.285999999999987</v>
      </c>
      <c r="K32" s="36">
        <v>81.25739999999999</v>
      </c>
      <c r="L32" s="7">
        <v>76.743099999999984</v>
      </c>
      <c r="M32" s="46">
        <v>72.228799999999993</v>
      </c>
      <c r="N32" s="50"/>
      <c r="O32" s="39">
        <f t="shared" si="0"/>
        <v>0</v>
      </c>
      <c r="P32" s="53">
        <f t="shared" si="1"/>
        <v>0</v>
      </c>
      <c r="Q32" s="20"/>
      <c r="S32" s="67" t="str">
        <f t="shared" si="2"/>
        <v>-</v>
      </c>
      <c r="T32" s="67" t="str">
        <f t="shared" si="3"/>
        <v>-</v>
      </c>
      <c r="U32" s="68" t="str">
        <f t="shared" si="4"/>
        <v>-</v>
      </c>
      <c r="V32" s="69" t="str">
        <f t="shared" si="5"/>
        <v>-</v>
      </c>
      <c r="X32" s="69" t="str">
        <f t="shared" si="6"/>
        <v>-</v>
      </c>
    </row>
    <row r="33" spans="1:24" x14ac:dyDescent="0.3">
      <c r="A33" s="56">
        <v>728177003500</v>
      </c>
      <c r="B33" s="4">
        <v>350</v>
      </c>
      <c r="C33" s="3" t="s">
        <v>23</v>
      </c>
      <c r="D33" s="4">
        <v>8</v>
      </c>
      <c r="E33" s="4" t="s">
        <v>12</v>
      </c>
      <c r="F33" s="29">
        <v>3</v>
      </c>
      <c r="G33" s="29">
        <v>3</v>
      </c>
      <c r="H33" s="28">
        <v>0.28999999999999998</v>
      </c>
      <c r="I33" s="25">
        <v>12</v>
      </c>
      <c r="J33" s="17">
        <v>11.186</v>
      </c>
      <c r="K33" s="36">
        <v>10.067400000000001</v>
      </c>
      <c r="L33" s="7">
        <v>9.5080999999999989</v>
      </c>
      <c r="M33" s="46">
        <v>8.9488000000000003</v>
      </c>
      <c r="N33" s="50"/>
      <c r="O33" s="39">
        <f t="shared" si="0"/>
        <v>0</v>
      </c>
      <c r="P33" s="53">
        <f t="shared" si="1"/>
        <v>0</v>
      </c>
      <c r="Q33" s="20"/>
      <c r="S33" s="67" t="str">
        <f t="shared" si="2"/>
        <v>-</v>
      </c>
      <c r="T33" s="67" t="str">
        <f t="shared" si="3"/>
        <v>-</v>
      </c>
      <c r="U33" s="68" t="str">
        <f t="shared" si="4"/>
        <v>-</v>
      </c>
      <c r="V33" s="69" t="str">
        <f t="shared" si="5"/>
        <v>-</v>
      </c>
      <c r="X33" s="69" t="str">
        <f t="shared" si="6"/>
        <v>-</v>
      </c>
    </row>
    <row r="34" spans="1:24" x14ac:dyDescent="0.3">
      <c r="A34" s="56">
        <v>728177003517</v>
      </c>
      <c r="B34" s="4">
        <v>351</v>
      </c>
      <c r="C34" s="3" t="s">
        <v>23</v>
      </c>
      <c r="D34" s="4">
        <v>16</v>
      </c>
      <c r="E34" s="4" t="s">
        <v>12</v>
      </c>
      <c r="F34" s="29">
        <v>3.125</v>
      </c>
      <c r="G34" s="29">
        <v>3.125</v>
      </c>
      <c r="H34" s="28">
        <v>0.52</v>
      </c>
      <c r="I34" s="25">
        <v>12</v>
      </c>
      <c r="J34" s="17">
        <v>19.25</v>
      </c>
      <c r="K34" s="36">
        <v>17.324999999999999</v>
      </c>
      <c r="L34" s="7">
        <v>16.362500000000001</v>
      </c>
      <c r="M34" s="46">
        <v>15.4</v>
      </c>
      <c r="N34" s="50"/>
      <c r="O34" s="39">
        <f t="shared" si="0"/>
        <v>0</v>
      </c>
      <c r="P34" s="53">
        <f t="shared" si="1"/>
        <v>0</v>
      </c>
      <c r="Q34" s="20"/>
      <c r="S34" s="67" t="str">
        <f t="shared" si="2"/>
        <v>-</v>
      </c>
      <c r="T34" s="67" t="str">
        <f t="shared" si="3"/>
        <v>-</v>
      </c>
      <c r="U34" s="68" t="str">
        <f t="shared" si="4"/>
        <v>-</v>
      </c>
      <c r="V34" s="69" t="str">
        <f t="shared" si="5"/>
        <v>-</v>
      </c>
      <c r="X34" s="69" t="str">
        <f t="shared" si="6"/>
        <v>-</v>
      </c>
    </row>
    <row r="35" spans="1:24" x14ac:dyDescent="0.3">
      <c r="A35" s="56">
        <v>728177003524</v>
      </c>
      <c r="B35" s="4">
        <v>352</v>
      </c>
      <c r="C35" s="3" t="s">
        <v>23</v>
      </c>
      <c r="D35" s="4">
        <v>2.2000000000000002</v>
      </c>
      <c r="E35" s="4" t="s">
        <v>13</v>
      </c>
      <c r="F35" s="29">
        <v>4.75</v>
      </c>
      <c r="G35" s="29">
        <v>4.75</v>
      </c>
      <c r="H35" s="28">
        <v>1.0900000000000001</v>
      </c>
      <c r="I35" s="25">
        <v>12</v>
      </c>
      <c r="J35" s="17">
        <v>37.085999999999999</v>
      </c>
      <c r="K35" s="36">
        <v>33.377400000000002</v>
      </c>
      <c r="L35" s="7">
        <v>31.523099999999999</v>
      </c>
      <c r="M35" s="46">
        <v>29.668800000000001</v>
      </c>
      <c r="N35" s="50"/>
      <c r="O35" s="39">
        <f t="shared" si="0"/>
        <v>0</v>
      </c>
      <c r="P35" s="53">
        <f t="shared" si="1"/>
        <v>0</v>
      </c>
      <c r="Q35" s="20"/>
      <c r="S35" s="67" t="str">
        <f t="shared" si="2"/>
        <v>-</v>
      </c>
      <c r="T35" s="67" t="str">
        <f t="shared" si="3"/>
        <v>-</v>
      </c>
      <c r="U35" s="68" t="str">
        <f t="shared" si="4"/>
        <v>-</v>
      </c>
      <c r="V35" s="69" t="str">
        <f t="shared" si="5"/>
        <v>-</v>
      </c>
      <c r="X35" s="69" t="str">
        <f t="shared" si="6"/>
        <v>-</v>
      </c>
    </row>
    <row r="36" spans="1:24" x14ac:dyDescent="0.3">
      <c r="A36" s="56">
        <v>728177004002</v>
      </c>
      <c r="B36" s="4">
        <v>400</v>
      </c>
      <c r="C36" s="3" t="s">
        <v>24</v>
      </c>
      <c r="D36" s="4">
        <v>8</v>
      </c>
      <c r="E36" s="4" t="s">
        <v>12</v>
      </c>
      <c r="F36" s="29">
        <v>2.5</v>
      </c>
      <c r="G36" s="29">
        <v>2.5</v>
      </c>
      <c r="H36" s="28">
        <v>0.27</v>
      </c>
      <c r="I36" s="25">
        <v>12</v>
      </c>
      <c r="J36" s="17">
        <v>12.25</v>
      </c>
      <c r="K36" s="36">
        <v>11.025</v>
      </c>
      <c r="L36" s="7">
        <v>10.4125</v>
      </c>
      <c r="M36" s="46">
        <v>9.8000000000000007</v>
      </c>
      <c r="N36" s="50"/>
      <c r="O36" s="39">
        <f t="shared" si="0"/>
        <v>0</v>
      </c>
      <c r="P36" s="53">
        <f t="shared" si="1"/>
        <v>0</v>
      </c>
      <c r="Q36" s="20"/>
      <c r="S36" s="67" t="str">
        <f t="shared" si="2"/>
        <v>-</v>
      </c>
      <c r="T36" s="67" t="str">
        <f t="shared" si="3"/>
        <v>-</v>
      </c>
      <c r="U36" s="68" t="str">
        <f t="shared" si="4"/>
        <v>-</v>
      </c>
      <c r="V36" s="69" t="str">
        <f t="shared" si="5"/>
        <v>-</v>
      </c>
      <c r="X36" s="69" t="str">
        <f t="shared" si="6"/>
        <v>-</v>
      </c>
    </row>
    <row r="37" spans="1:24" x14ac:dyDescent="0.3">
      <c r="A37" s="56">
        <v>728177004019</v>
      </c>
      <c r="B37" s="4">
        <v>401</v>
      </c>
      <c r="C37" s="3" t="s">
        <v>24</v>
      </c>
      <c r="D37" s="4">
        <v>16</v>
      </c>
      <c r="E37" s="4" t="s">
        <v>12</v>
      </c>
      <c r="F37" s="29">
        <v>3.125</v>
      </c>
      <c r="G37" s="29">
        <v>3.125</v>
      </c>
      <c r="H37" s="28">
        <v>0.52</v>
      </c>
      <c r="I37" s="25">
        <v>12</v>
      </c>
      <c r="J37" s="17">
        <v>23.099999999999998</v>
      </c>
      <c r="K37" s="36">
        <v>20.79</v>
      </c>
      <c r="L37" s="7">
        <v>19.634999999999998</v>
      </c>
      <c r="M37" s="46">
        <v>18.48</v>
      </c>
      <c r="N37" s="50"/>
      <c r="O37" s="39">
        <f t="shared" si="0"/>
        <v>0</v>
      </c>
      <c r="P37" s="53">
        <f t="shared" si="1"/>
        <v>0</v>
      </c>
      <c r="Q37" s="20"/>
      <c r="S37" s="67" t="str">
        <f t="shared" si="2"/>
        <v>-</v>
      </c>
      <c r="T37" s="67" t="str">
        <f t="shared" si="3"/>
        <v>-</v>
      </c>
      <c r="U37" s="68" t="str">
        <f t="shared" si="4"/>
        <v>-</v>
      </c>
      <c r="V37" s="69" t="str">
        <f t="shared" si="5"/>
        <v>-</v>
      </c>
      <c r="X37" s="69" t="str">
        <f t="shared" si="6"/>
        <v>-</v>
      </c>
    </row>
    <row r="38" spans="1:24" x14ac:dyDescent="0.3">
      <c r="A38" s="56">
        <v>728177004026</v>
      </c>
      <c r="B38" s="4">
        <v>402</v>
      </c>
      <c r="C38" s="3" t="s">
        <v>24</v>
      </c>
      <c r="D38" s="4">
        <v>2.2000000000000002</v>
      </c>
      <c r="E38" s="4" t="s">
        <v>13</v>
      </c>
      <c r="F38" s="29">
        <v>5</v>
      </c>
      <c r="G38" s="29">
        <v>5</v>
      </c>
      <c r="H38" s="28">
        <v>1.07</v>
      </c>
      <c r="I38" s="25">
        <v>12</v>
      </c>
      <c r="J38" s="17">
        <v>48.3</v>
      </c>
      <c r="K38" s="36">
        <v>43.47</v>
      </c>
      <c r="L38" s="7">
        <v>41.055</v>
      </c>
      <c r="M38" s="46">
        <v>38.64</v>
      </c>
      <c r="N38" s="50"/>
      <c r="O38" s="39">
        <f t="shared" si="0"/>
        <v>0</v>
      </c>
      <c r="P38" s="53">
        <f t="shared" si="1"/>
        <v>0</v>
      </c>
      <c r="Q38" s="20"/>
      <c r="S38" s="67" t="str">
        <f t="shared" si="2"/>
        <v>-</v>
      </c>
      <c r="T38" s="67" t="str">
        <f t="shared" si="3"/>
        <v>-</v>
      </c>
      <c r="U38" s="68" t="str">
        <f t="shared" si="4"/>
        <v>-</v>
      </c>
      <c r="V38" s="69" t="str">
        <f t="shared" si="5"/>
        <v>-</v>
      </c>
      <c r="X38" s="69" t="str">
        <f t="shared" si="6"/>
        <v>-</v>
      </c>
    </row>
    <row r="39" spans="1:24" x14ac:dyDescent="0.3">
      <c r="A39" s="56">
        <v>728177004033</v>
      </c>
      <c r="B39" s="4">
        <v>403</v>
      </c>
      <c r="C39" s="3" t="s">
        <v>24</v>
      </c>
      <c r="D39" s="4">
        <v>5</v>
      </c>
      <c r="E39" s="4" t="s">
        <v>13</v>
      </c>
      <c r="F39" s="29">
        <v>6</v>
      </c>
      <c r="G39" s="29">
        <v>6</v>
      </c>
      <c r="H39" s="28">
        <v>0</v>
      </c>
      <c r="I39" s="25">
        <v>4</v>
      </c>
      <c r="J39" s="17">
        <v>96.6</v>
      </c>
      <c r="K39" s="36">
        <v>86.94</v>
      </c>
      <c r="L39" s="7">
        <v>82.11</v>
      </c>
      <c r="M39" s="46">
        <v>77.28</v>
      </c>
      <c r="N39" s="50"/>
      <c r="O39" s="39">
        <f t="shared" si="0"/>
        <v>0</v>
      </c>
      <c r="P39" s="53">
        <f t="shared" si="1"/>
        <v>0</v>
      </c>
      <c r="Q39" s="20"/>
      <c r="S39" s="67" t="str">
        <f t="shared" si="2"/>
        <v>-</v>
      </c>
      <c r="T39" s="67" t="str">
        <f t="shared" si="3"/>
        <v>-</v>
      </c>
      <c r="U39" s="68" t="str">
        <f t="shared" si="4"/>
        <v>-</v>
      </c>
      <c r="V39" s="69" t="str">
        <f t="shared" si="5"/>
        <v>-</v>
      </c>
      <c r="X39" s="69" t="str">
        <f t="shared" si="6"/>
        <v>-</v>
      </c>
    </row>
    <row r="40" spans="1:24" x14ac:dyDescent="0.3">
      <c r="A40" s="56">
        <v>728177004507</v>
      </c>
      <c r="B40" s="4">
        <v>450</v>
      </c>
      <c r="C40" s="3" t="s">
        <v>25</v>
      </c>
      <c r="D40" s="4">
        <v>8</v>
      </c>
      <c r="E40" s="4" t="s">
        <v>12</v>
      </c>
      <c r="F40" s="29">
        <v>3</v>
      </c>
      <c r="G40" s="29">
        <v>3</v>
      </c>
      <c r="H40" s="28">
        <v>0.28999999999999998</v>
      </c>
      <c r="I40" s="25">
        <v>12</v>
      </c>
      <c r="J40" s="17">
        <v>10.85</v>
      </c>
      <c r="K40" s="36">
        <v>9.7650000000000006</v>
      </c>
      <c r="L40" s="7">
        <v>9.2225000000000001</v>
      </c>
      <c r="M40" s="46">
        <v>8.68</v>
      </c>
      <c r="N40" s="50"/>
      <c r="O40" s="39">
        <f t="shared" si="0"/>
        <v>0</v>
      </c>
      <c r="P40" s="53">
        <f t="shared" si="1"/>
        <v>0</v>
      </c>
      <c r="Q40" s="20"/>
      <c r="R40" s="20"/>
      <c r="S40" s="67" t="str">
        <f t="shared" si="2"/>
        <v>-</v>
      </c>
      <c r="T40" s="67" t="str">
        <f t="shared" si="3"/>
        <v>-</v>
      </c>
      <c r="U40" s="68" t="str">
        <f t="shared" si="4"/>
        <v>-</v>
      </c>
      <c r="V40" s="69" t="str">
        <f t="shared" si="5"/>
        <v>-</v>
      </c>
      <c r="X40" s="69" t="str">
        <f t="shared" si="6"/>
        <v>-</v>
      </c>
    </row>
    <row r="41" spans="1:24" x14ac:dyDescent="0.3">
      <c r="A41" s="56">
        <v>728177004514</v>
      </c>
      <c r="B41" s="4">
        <v>451</v>
      </c>
      <c r="C41" s="3" t="s">
        <v>25</v>
      </c>
      <c r="D41" s="4">
        <v>16</v>
      </c>
      <c r="E41" s="4" t="s">
        <v>12</v>
      </c>
      <c r="F41" s="29">
        <v>3.125</v>
      </c>
      <c r="G41" s="29">
        <v>3.125</v>
      </c>
      <c r="H41" s="28">
        <v>0.52</v>
      </c>
      <c r="I41" s="25">
        <v>12</v>
      </c>
      <c r="J41" s="17">
        <v>18.549999999999997</v>
      </c>
      <c r="K41" s="36">
        <v>16.694999999999997</v>
      </c>
      <c r="L41" s="7">
        <v>15.767499999999997</v>
      </c>
      <c r="M41" s="46">
        <v>14.839999999999998</v>
      </c>
      <c r="N41" s="50"/>
      <c r="O41" s="39">
        <f t="shared" si="0"/>
        <v>0</v>
      </c>
      <c r="P41" s="53">
        <f t="shared" si="1"/>
        <v>0</v>
      </c>
      <c r="Q41" s="20"/>
      <c r="S41" s="67" t="str">
        <f t="shared" si="2"/>
        <v>-</v>
      </c>
      <c r="T41" s="67" t="str">
        <f t="shared" si="3"/>
        <v>-</v>
      </c>
      <c r="U41" s="68" t="str">
        <f t="shared" si="4"/>
        <v>-</v>
      </c>
      <c r="V41" s="69" t="str">
        <f t="shared" si="5"/>
        <v>-</v>
      </c>
      <c r="X41" s="69" t="str">
        <f t="shared" si="6"/>
        <v>-</v>
      </c>
    </row>
    <row r="42" spans="1:24" x14ac:dyDescent="0.3">
      <c r="A42" s="56">
        <v>728177004521</v>
      </c>
      <c r="B42" s="4">
        <v>452</v>
      </c>
      <c r="C42" s="3" t="s">
        <v>25</v>
      </c>
      <c r="D42" s="4">
        <v>2.2000000000000002</v>
      </c>
      <c r="E42" s="4" t="s">
        <v>13</v>
      </c>
      <c r="F42" s="29">
        <v>5</v>
      </c>
      <c r="G42" s="29">
        <v>5</v>
      </c>
      <c r="H42" s="28">
        <v>1.0900000000000001</v>
      </c>
      <c r="I42" s="25">
        <v>12</v>
      </c>
      <c r="J42" s="17">
        <v>37.099999999999994</v>
      </c>
      <c r="K42" s="36">
        <v>33.389999999999993</v>
      </c>
      <c r="L42" s="7">
        <v>31.534999999999993</v>
      </c>
      <c r="M42" s="46">
        <v>29.679999999999996</v>
      </c>
      <c r="N42" s="50"/>
      <c r="O42" s="39">
        <f t="shared" si="0"/>
        <v>0</v>
      </c>
      <c r="P42" s="53">
        <f t="shared" si="1"/>
        <v>0</v>
      </c>
      <c r="Q42" s="20"/>
      <c r="S42" s="67" t="str">
        <f t="shared" si="2"/>
        <v>-</v>
      </c>
      <c r="T42" s="67" t="str">
        <f t="shared" si="3"/>
        <v>-</v>
      </c>
      <c r="U42" s="68" t="str">
        <f t="shared" si="4"/>
        <v>-</v>
      </c>
      <c r="V42" s="69" t="str">
        <f t="shared" si="5"/>
        <v>-</v>
      </c>
      <c r="X42" s="69" t="str">
        <f t="shared" si="6"/>
        <v>-</v>
      </c>
    </row>
    <row r="43" spans="1:24" x14ac:dyDescent="0.3">
      <c r="A43" s="56">
        <v>728177004538</v>
      </c>
      <c r="B43" s="4">
        <v>453</v>
      </c>
      <c r="C43" s="3" t="s">
        <v>25</v>
      </c>
      <c r="D43" s="4">
        <v>5</v>
      </c>
      <c r="E43" s="4" t="s">
        <v>13</v>
      </c>
      <c r="F43" s="29">
        <v>6</v>
      </c>
      <c r="G43" s="29">
        <v>6</v>
      </c>
      <c r="H43" s="28">
        <v>0</v>
      </c>
      <c r="I43" s="25">
        <v>4</v>
      </c>
      <c r="J43" s="17">
        <v>80.5</v>
      </c>
      <c r="K43" s="36">
        <v>72.45</v>
      </c>
      <c r="L43" s="7">
        <v>68.424999999999997</v>
      </c>
      <c r="M43" s="46">
        <v>64.400000000000006</v>
      </c>
      <c r="N43" s="50"/>
      <c r="O43" s="39">
        <f t="shared" si="0"/>
        <v>0</v>
      </c>
      <c r="P43" s="53">
        <f t="shared" si="1"/>
        <v>0</v>
      </c>
      <c r="Q43" s="20"/>
      <c r="S43" s="67" t="str">
        <f t="shared" si="2"/>
        <v>-</v>
      </c>
      <c r="T43" s="67" t="str">
        <f t="shared" si="3"/>
        <v>-</v>
      </c>
      <c r="U43" s="68" t="str">
        <f t="shared" si="4"/>
        <v>-</v>
      </c>
      <c r="V43" s="69" t="str">
        <f t="shared" si="5"/>
        <v>-</v>
      </c>
      <c r="X43" s="69" t="str">
        <f t="shared" si="6"/>
        <v>-</v>
      </c>
    </row>
    <row r="44" spans="1:24" x14ac:dyDescent="0.3">
      <c r="A44" s="56">
        <v>728177004606</v>
      </c>
      <c r="B44" s="4">
        <v>460</v>
      </c>
      <c r="C44" s="3" t="s">
        <v>26</v>
      </c>
      <c r="D44" s="4">
        <v>100</v>
      </c>
      <c r="E44" s="4" t="s">
        <v>10</v>
      </c>
      <c r="F44" s="29">
        <v>2.5</v>
      </c>
      <c r="G44" s="29">
        <v>2.5</v>
      </c>
      <c r="H44" s="28">
        <v>0.15</v>
      </c>
      <c r="I44" s="25">
        <v>12</v>
      </c>
      <c r="J44" s="17">
        <v>11.186</v>
      </c>
      <c r="K44" s="36">
        <v>10.067400000000001</v>
      </c>
      <c r="L44" s="7">
        <v>9.5080999999999989</v>
      </c>
      <c r="M44" s="46">
        <v>8.9488000000000003</v>
      </c>
      <c r="N44" s="50"/>
      <c r="O44" s="39">
        <f t="shared" si="0"/>
        <v>0</v>
      </c>
      <c r="P44" s="53">
        <f t="shared" si="1"/>
        <v>0</v>
      </c>
      <c r="Q44" s="20"/>
      <c r="R44" s="20"/>
      <c r="S44" s="67" t="str">
        <f t="shared" si="2"/>
        <v>-</v>
      </c>
      <c r="T44" s="67" t="str">
        <f t="shared" si="3"/>
        <v>-</v>
      </c>
      <c r="U44" s="68" t="str">
        <f t="shared" si="4"/>
        <v>-</v>
      </c>
      <c r="V44" s="69" t="str">
        <f t="shared" si="5"/>
        <v>-</v>
      </c>
      <c r="X44" s="69" t="str">
        <f t="shared" si="6"/>
        <v>-</v>
      </c>
    </row>
    <row r="45" spans="1:24" x14ac:dyDescent="0.3">
      <c r="A45" s="56">
        <v>728177004613</v>
      </c>
      <c r="B45" s="4">
        <v>461</v>
      </c>
      <c r="C45" s="3" t="s">
        <v>26</v>
      </c>
      <c r="D45" s="4">
        <v>250</v>
      </c>
      <c r="E45" s="4" t="s">
        <v>10</v>
      </c>
      <c r="F45" s="29">
        <v>3.125</v>
      </c>
      <c r="G45" s="29">
        <v>3.125</v>
      </c>
      <c r="H45" s="28">
        <v>0.36</v>
      </c>
      <c r="I45" s="25">
        <v>12</v>
      </c>
      <c r="J45" s="17">
        <v>24.485999999999997</v>
      </c>
      <c r="K45" s="36">
        <v>22.037399999999998</v>
      </c>
      <c r="L45" s="7">
        <v>20.813099999999999</v>
      </c>
      <c r="M45" s="46">
        <v>19.588799999999999</v>
      </c>
      <c r="N45" s="50"/>
      <c r="O45" s="39">
        <f t="shared" si="0"/>
        <v>0</v>
      </c>
      <c r="P45" s="53">
        <f t="shared" si="1"/>
        <v>0</v>
      </c>
      <c r="S45" s="67" t="str">
        <f t="shared" si="2"/>
        <v>-</v>
      </c>
      <c r="T45" s="67" t="str">
        <f t="shared" si="3"/>
        <v>-</v>
      </c>
      <c r="U45" s="68" t="str">
        <f t="shared" si="4"/>
        <v>-</v>
      </c>
      <c r="V45" s="69" t="str">
        <f t="shared" si="5"/>
        <v>-</v>
      </c>
      <c r="X45" s="69" t="str">
        <f t="shared" si="6"/>
        <v>-</v>
      </c>
    </row>
    <row r="46" spans="1:24" x14ac:dyDescent="0.3">
      <c r="A46" s="56">
        <v>728177005009</v>
      </c>
      <c r="B46" s="4">
        <v>500</v>
      </c>
      <c r="C46" s="3" t="s">
        <v>27</v>
      </c>
      <c r="D46" s="4">
        <v>8</v>
      </c>
      <c r="E46" s="4" t="s">
        <v>12</v>
      </c>
      <c r="F46" s="29">
        <v>3</v>
      </c>
      <c r="G46" s="29">
        <v>3</v>
      </c>
      <c r="H46" s="28">
        <v>0.28999999999999998</v>
      </c>
      <c r="I46" s="25">
        <v>12</v>
      </c>
      <c r="J46" s="17">
        <v>9.7859999999999996</v>
      </c>
      <c r="K46" s="36">
        <v>8.8073999999999995</v>
      </c>
      <c r="L46" s="7">
        <v>8.3180999999999994</v>
      </c>
      <c r="M46" s="46">
        <v>7.8288000000000002</v>
      </c>
      <c r="N46" s="50"/>
      <c r="O46" s="39">
        <f t="shared" si="0"/>
        <v>0</v>
      </c>
      <c r="P46" s="53">
        <f t="shared" si="1"/>
        <v>0</v>
      </c>
      <c r="S46" s="67" t="str">
        <f t="shared" si="2"/>
        <v>-</v>
      </c>
      <c r="T46" s="67" t="str">
        <f t="shared" si="3"/>
        <v>-</v>
      </c>
      <c r="U46" s="68" t="str">
        <f t="shared" si="4"/>
        <v>-</v>
      </c>
      <c r="V46" s="69" t="str">
        <f t="shared" si="5"/>
        <v>-</v>
      </c>
      <c r="X46" s="69" t="str">
        <f t="shared" si="6"/>
        <v>-</v>
      </c>
    </row>
    <row r="47" spans="1:24" x14ac:dyDescent="0.3">
      <c r="A47" s="56">
        <v>728177005016</v>
      </c>
      <c r="B47" s="4">
        <v>501</v>
      </c>
      <c r="C47" s="3" t="s">
        <v>27</v>
      </c>
      <c r="D47" s="4">
        <v>16</v>
      </c>
      <c r="E47" s="4" t="s">
        <v>12</v>
      </c>
      <c r="F47" s="29">
        <v>3.125</v>
      </c>
      <c r="G47" s="29">
        <v>3.125</v>
      </c>
      <c r="H47" s="28">
        <v>0.52</v>
      </c>
      <c r="I47" s="25">
        <v>12</v>
      </c>
      <c r="J47" s="17">
        <v>17.849999999999998</v>
      </c>
      <c r="K47" s="36">
        <v>16.064999999999998</v>
      </c>
      <c r="L47" s="7">
        <v>15.172499999999998</v>
      </c>
      <c r="M47" s="46">
        <v>14.28</v>
      </c>
      <c r="N47" s="50"/>
      <c r="O47" s="39">
        <f t="shared" si="0"/>
        <v>0</v>
      </c>
      <c r="P47" s="53">
        <f t="shared" si="1"/>
        <v>0</v>
      </c>
      <c r="S47" s="67" t="str">
        <f t="shared" si="2"/>
        <v>-</v>
      </c>
      <c r="T47" s="67" t="str">
        <f t="shared" si="3"/>
        <v>-</v>
      </c>
      <c r="U47" s="68" t="str">
        <f t="shared" si="4"/>
        <v>-</v>
      </c>
      <c r="V47" s="69" t="str">
        <f t="shared" si="5"/>
        <v>-</v>
      </c>
      <c r="X47" s="69" t="str">
        <f t="shared" si="6"/>
        <v>-</v>
      </c>
    </row>
    <row r="48" spans="1:24" x14ac:dyDescent="0.3">
      <c r="A48" s="56">
        <v>728177005023</v>
      </c>
      <c r="B48" s="4">
        <v>502</v>
      </c>
      <c r="C48" s="3" t="s">
        <v>27</v>
      </c>
      <c r="D48" s="4">
        <v>2.2000000000000002</v>
      </c>
      <c r="E48" s="4" t="s">
        <v>13</v>
      </c>
      <c r="F48" s="29">
        <v>4.75</v>
      </c>
      <c r="G48" s="29">
        <v>4.75</v>
      </c>
      <c r="H48" s="28">
        <v>1.0900000000000001</v>
      </c>
      <c r="I48" s="25">
        <v>12</v>
      </c>
      <c r="J48" s="17">
        <v>35.349999999999994</v>
      </c>
      <c r="K48" s="36">
        <v>31.814999999999994</v>
      </c>
      <c r="L48" s="7">
        <v>30.047499999999996</v>
      </c>
      <c r="M48" s="46">
        <v>28.279999999999998</v>
      </c>
      <c r="N48" s="50"/>
      <c r="O48" s="39">
        <f t="shared" si="0"/>
        <v>0</v>
      </c>
      <c r="P48" s="53">
        <f t="shared" si="1"/>
        <v>0</v>
      </c>
      <c r="S48" s="67" t="str">
        <f t="shared" si="2"/>
        <v>-</v>
      </c>
      <c r="T48" s="67" t="str">
        <f t="shared" si="3"/>
        <v>-</v>
      </c>
      <c r="U48" s="68" t="str">
        <f t="shared" si="4"/>
        <v>-</v>
      </c>
      <c r="V48" s="69" t="str">
        <f t="shared" si="5"/>
        <v>-</v>
      </c>
      <c r="X48" s="69" t="str">
        <f t="shared" si="6"/>
        <v>-</v>
      </c>
    </row>
    <row r="49" spans="1:24" x14ac:dyDescent="0.3">
      <c r="A49" s="56">
        <v>728177005108</v>
      </c>
      <c r="B49" s="4">
        <v>510</v>
      </c>
      <c r="C49" s="3" t="s">
        <v>28</v>
      </c>
      <c r="D49" s="4">
        <v>100</v>
      </c>
      <c r="E49" s="4" t="s">
        <v>10</v>
      </c>
      <c r="F49" s="29">
        <v>2.5</v>
      </c>
      <c r="G49" s="29">
        <v>2.5</v>
      </c>
      <c r="H49" s="28">
        <v>0.16</v>
      </c>
      <c r="I49" s="25">
        <v>12</v>
      </c>
      <c r="J49" s="17">
        <v>7.35</v>
      </c>
      <c r="K49" s="36">
        <v>6.6150000000000002</v>
      </c>
      <c r="L49" s="7">
        <v>6.2474999999999996</v>
      </c>
      <c r="M49" s="46">
        <v>5.88</v>
      </c>
      <c r="N49" s="50"/>
      <c r="O49" s="39">
        <f t="shared" si="0"/>
        <v>0</v>
      </c>
      <c r="P49" s="53">
        <f t="shared" si="1"/>
        <v>0</v>
      </c>
      <c r="S49" s="67" t="str">
        <f t="shared" si="2"/>
        <v>-</v>
      </c>
      <c r="T49" s="67" t="str">
        <f t="shared" si="3"/>
        <v>-</v>
      </c>
      <c r="U49" s="68" t="str">
        <f t="shared" si="4"/>
        <v>-</v>
      </c>
      <c r="V49" s="69" t="str">
        <f t="shared" si="5"/>
        <v>-</v>
      </c>
      <c r="X49" s="69" t="str">
        <f t="shared" si="6"/>
        <v>-</v>
      </c>
    </row>
    <row r="50" spans="1:24" x14ac:dyDescent="0.3">
      <c r="A50" s="56">
        <v>728177005115</v>
      </c>
      <c r="B50" s="4">
        <v>511</v>
      </c>
      <c r="C50" s="3" t="s">
        <v>28</v>
      </c>
      <c r="D50" s="4">
        <v>250</v>
      </c>
      <c r="E50" s="4" t="s">
        <v>10</v>
      </c>
      <c r="F50" s="29">
        <v>3.125</v>
      </c>
      <c r="G50" s="29">
        <v>3.125</v>
      </c>
      <c r="H50" s="28">
        <v>0.36</v>
      </c>
      <c r="I50" s="25">
        <v>12</v>
      </c>
      <c r="J50" s="17">
        <v>16.45</v>
      </c>
      <c r="K50" s="36">
        <v>14.805</v>
      </c>
      <c r="L50" s="7">
        <v>13.982499999999998</v>
      </c>
      <c r="M50" s="46">
        <v>13.16</v>
      </c>
      <c r="N50" s="50"/>
      <c r="O50" s="39">
        <f t="shared" si="0"/>
        <v>0</v>
      </c>
      <c r="P50" s="53">
        <f t="shared" si="1"/>
        <v>0</v>
      </c>
      <c r="S50" s="67" t="str">
        <f t="shared" si="2"/>
        <v>-</v>
      </c>
      <c r="T50" s="67" t="str">
        <f t="shared" si="3"/>
        <v>-</v>
      </c>
      <c r="U50" s="68" t="str">
        <f t="shared" si="4"/>
        <v>-</v>
      </c>
      <c r="V50" s="69" t="str">
        <f t="shared" si="5"/>
        <v>-</v>
      </c>
      <c r="X50" s="69" t="str">
        <f t="shared" si="6"/>
        <v>-</v>
      </c>
    </row>
    <row r="51" spans="1:24" x14ac:dyDescent="0.3">
      <c r="A51" s="56">
        <v>728177005207</v>
      </c>
      <c r="B51" s="4">
        <v>520</v>
      </c>
      <c r="C51" s="3" t="s">
        <v>29</v>
      </c>
      <c r="D51" s="4">
        <v>100</v>
      </c>
      <c r="E51" s="4" t="s">
        <v>10</v>
      </c>
      <c r="F51" s="29">
        <v>2.5</v>
      </c>
      <c r="G51" s="29">
        <v>2.5</v>
      </c>
      <c r="H51" s="28">
        <v>0.14000000000000001</v>
      </c>
      <c r="I51" s="25">
        <v>12</v>
      </c>
      <c r="J51" s="17">
        <v>9.7859999999999996</v>
      </c>
      <c r="K51" s="36">
        <v>8.8073999999999995</v>
      </c>
      <c r="L51" s="7">
        <v>8.3180999999999994</v>
      </c>
      <c r="M51" s="46">
        <v>7.8288000000000002</v>
      </c>
      <c r="N51" s="50"/>
      <c r="O51" s="39">
        <f t="shared" si="0"/>
        <v>0</v>
      </c>
      <c r="P51" s="53">
        <f t="shared" si="1"/>
        <v>0</v>
      </c>
      <c r="R51" s="20"/>
      <c r="S51" s="67" t="str">
        <f t="shared" si="2"/>
        <v>-</v>
      </c>
      <c r="T51" s="67" t="str">
        <f t="shared" si="3"/>
        <v>-</v>
      </c>
      <c r="U51" s="68" t="str">
        <f t="shared" si="4"/>
        <v>-</v>
      </c>
      <c r="V51" s="69" t="str">
        <f t="shared" si="5"/>
        <v>-</v>
      </c>
      <c r="X51" s="69" t="str">
        <f t="shared" si="6"/>
        <v>-</v>
      </c>
    </row>
    <row r="52" spans="1:24" x14ac:dyDescent="0.3">
      <c r="A52" s="56">
        <v>728177005214</v>
      </c>
      <c r="B52" s="4">
        <v>521</v>
      </c>
      <c r="C52" s="3" t="s">
        <v>29</v>
      </c>
      <c r="D52" s="4">
        <v>250</v>
      </c>
      <c r="E52" s="4" t="s">
        <v>10</v>
      </c>
      <c r="F52" s="29">
        <v>3.125</v>
      </c>
      <c r="G52" s="29">
        <v>3.125</v>
      </c>
      <c r="H52" s="28">
        <v>0.34</v>
      </c>
      <c r="I52" s="25">
        <v>12</v>
      </c>
      <c r="J52" s="17">
        <v>20.986000000000001</v>
      </c>
      <c r="K52" s="36">
        <v>18.8874</v>
      </c>
      <c r="L52" s="7">
        <v>17.838100000000001</v>
      </c>
      <c r="M52" s="46">
        <v>16.788800000000002</v>
      </c>
      <c r="N52" s="50"/>
      <c r="O52" s="39">
        <f t="shared" si="0"/>
        <v>0</v>
      </c>
      <c r="P52" s="53">
        <f t="shared" si="1"/>
        <v>0</v>
      </c>
      <c r="S52" s="67" t="str">
        <f t="shared" si="2"/>
        <v>-</v>
      </c>
      <c r="T52" s="67" t="str">
        <f t="shared" si="3"/>
        <v>-</v>
      </c>
      <c r="U52" s="68" t="str">
        <f t="shared" si="4"/>
        <v>-</v>
      </c>
      <c r="V52" s="69" t="str">
        <f t="shared" si="5"/>
        <v>-</v>
      </c>
      <c r="X52" s="69" t="str">
        <f t="shared" si="6"/>
        <v>-</v>
      </c>
    </row>
    <row r="53" spans="1:24" x14ac:dyDescent="0.3">
      <c r="A53" s="56">
        <v>728177005504</v>
      </c>
      <c r="B53" s="4">
        <v>550</v>
      </c>
      <c r="C53" s="3" t="s">
        <v>30</v>
      </c>
      <c r="D53" s="4">
        <v>8</v>
      </c>
      <c r="E53" s="4" t="s">
        <v>12</v>
      </c>
      <c r="F53" s="29">
        <v>2.5</v>
      </c>
      <c r="G53" s="29">
        <v>2.5</v>
      </c>
      <c r="H53" s="28">
        <v>0.27</v>
      </c>
      <c r="I53" s="25">
        <v>12</v>
      </c>
      <c r="J53" s="17">
        <v>10.485999999999999</v>
      </c>
      <c r="K53" s="36">
        <v>9.4373999999999985</v>
      </c>
      <c r="L53" s="7">
        <v>8.9130999999999982</v>
      </c>
      <c r="M53" s="46">
        <v>8.3887999999999998</v>
      </c>
      <c r="N53" s="50"/>
      <c r="O53" s="39">
        <f t="shared" si="0"/>
        <v>0</v>
      </c>
      <c r="P53" s="53">
        <f t="shared" si="1"/>
        <v>0</v>
      </c>
      <c r="S53" s="67" t="str">
        <f t="shared" si="2"/>
        <v>-</v>
      </c>
      <c r="T53" s="67" t="str">
        <f t="shared" si="3"/>
        <v>-</v>
      </c>
      <c r="U53" s="68" t="str">
        <f t="shared" si="4"/>
        <v>-</v>
      </c>
      <c r="V53" s="69" t="str">
        <f t="shared" si="5"/>
        <v>-</v>
      </c>
      <c r="X53" s="69" t="str">
        <f t="shared" si="6"/>
        <v>-</v>
      </c>
    </row>
    <row r="54" spans="1:24" x14ac:dyDescent="0.3">
      <c r="A54" s="56">
        <v>728177005511</v>
      </c>
      <c r="B54" s="4">
        <v>551</v>
      </c>
      <c r="C54" s="3" t="s">
        <v>30</v>
      </c>
      <c r="D54" s="4">
        <v>16</v>
      </c>
      <c r="E54" s="4" t="s">
        <v>12</v>
      </c>
      <c r="F54" s="29">
        <v>3.125</v>
      </c>
      <c r="G54" s="29">
        <v>3.125</v>
      </c>
      <c r="H54" s="28">
        <v>0.52</v>
      </c>
      <c r="I54" s="25">
        <v>12</v>
      </c>
      <c r="J54" s="17">
        <v>17.849999999999998</v>
      </c>
      <c r="K54" s="36">
        <v>16.064999999999998</v>
      </c>
      <c r="L54" s="7">
        <v>15.172499999999998</v>
      </c>
      <c r="M54" s="46">
        <v>14.28</v>
      </c>
      <c r="N54" s="50"/>
      <c r="O54" s="39">
        <f t="shared" si="0"/>
        <v>0</v>
      </c>
      <c r="P54" s="53">
        <f t="shared" si="1"/>
        <v>0</v>
      </c>
      <c r="S54" s="67" t="str">
        <f t="shared" si="2"/>
        <v>-</v>
      </c>
      <c r="T54" s="67" t="str">
        <f t="shared" si="3"/>
        <v>-</v>
      </c>
      <c r="U54" s="68" t="str">
        <f t="shared" si="4"/>
        <v>-</v>
      </c>
      <c r="V54" s="69" t="str">
        <f t="shared" si="5"/>
        <v>-</v>
      </c>
      <c r="X54" s="69" t="str">
        <f t="shared" si="6"/>
        <v>-</v>
      </c>
    </row>
    <row r="55" spans="1:24" x14ac:dyDescent="0.3">
      <c r="A55" s="56">
        <v>728177005528</v>
      </c>
      <c r="B55" s="4">
        <v>552</v>
      </c>
      <c r="C55" s="3" t="s">
        <v>30</v>
      </c>
      <c r="D55" s="4">
        <v>2.2000000000000002</v>
      </c>
      <c r="E55" s="4" t="s">
        <v>13</v>
      </c>
      <c r="F55" s="29">
        <v>4.75</v>
      </c>
      <c r="G55" s="29">
        <v>4.75</v>
      </c>
      <c r="H55" s="28">
        <v>1.0900000000000001</v>
      </c>
      <c r="I55" s="25">
        <v>12</v>
      </c>
      <c r="J55" s="17">
        <v>37.085999999999999</v>
      </c>
      <c r="K55" s="36">
        <v>33.377400000000002</v>
      </c>
      <c r="L55" s="7">
        <v>31.523099999999999</v>
      </c>
      <c r="M55" s="46">
        <v>29.668800000000001</v>
      </c>
      <c r="N55" s="50"/>
      <c r="O55" s="39">
        <f t="shared" si="0"/>
        <v>0</v>
      </c>
      <c r="P55" s="53">
        <f t="shared" si="1"/>
        <v>0</v>
      </c>
      <c r="S55" s="67" t="str">
        <f t="shared" si="2"/>
        <v>-</v>
      </c>
      <c r="T55" s="67" t="str">
        <f t="shared" si="3"/>
        <v>-</v>
      </c>
      <c r="U55" s="68" t="str">
        <f t="shared" si="4"/>
        <v>-</v>
      </c>
      <c r="V55" s="69" t="str">
        <f t="shared" si="5"/>
        <v>-</v>
      </c>
      <c r="X55" s="69" t="str">
        <f t="shared" si="6"/>
        <v>-</v>
      </c>
    </row>
    <row r="56" spans="1:24" x14ac:dyDescent="0.3">
      <c r="A56" s="56">
        <v>728177005559</v>
      </c>
      <c r="B56" s="4">
        <v>555</v>
      </c>
      <c r="C56" s="3" t="s">
        <v>31</v>
      </c>
      <c r="D56" s="4">
        <v>8</v>
      </c>
      <c r="E56" s="4" t="s">
        <v>12</v>
      </c>
      <c r="F56" s="29">
        <v>2.5</v>
      </c>
      <c r="G56" s="29">
        <v>2.5</v>
      </c>
      <c r="H56" s="28">
        <v>0.27</v>
      </c>
      <c r="I56" s="25">
        <v>12</v>
      </c>
      <c r="J56" s="17">
        <v>10.485999999999999</v>
      </c>
      <c r="K56" s="36">
        <v>9.4373999999999985</v>
      </c>
      <c r="L56" s="7">
        <v>8.9130999999999982</v>
      </c>
      <c r="M56" s="46">
        <v>8.3887999999999998</v>
      </c>
      <c r="N56" s="50"/>
      <c r="O56" s="39">
        <f t="shared" si="0"/>
        <v>0</v>
      </c>
      <c r="P56" s="53">
        <f t="shared" si="1"/>
        <v>0</v>
      </c>
      <c r="S56" s="67" t="str">
        <f t="shared" si="2"/>
        <v>-</v>
      </c>
      <c r="T56" s="67" t="str">
        <f t="shared" si="3"/>
        <v>-</v>
      </c>
      <c r="U56" s="68" t="str">
        <f t="shared" si="4"/>
        <v>-</v>
      </c>
      <c r="V56" s="69" t="str">
        <f t="shared" si="5"/>
        <v>-</v>
      </c>
      <c r="X56" s="69" t="str">
        <f t="shared" si="6"/>
        <v>-</v>
      </c>
    </row>
    <row r="57" spans="1:24" x14ac:dyDescent="0.3">
      <c r="A57" s="56">
        <v>728177005566</v>
      </c>
      <c r="B57" s="4">
        <v>556</v>
      </c>
      <c r="C57" s="3" t="s">
        <v>31</v>
      </c>
      <c r="D57" s="4">
        <v>16</v>
      </c>
      <c r="E57" s="4" t="s">
        <v>12</v>
      </c>
      <c r="F57" s="29">
        <v>3.125</v>
      </c>
      <c r="G57" s="29">
        <v>3.125</v>
      </c>
      <c r="H57" s="28">
        <v>0.52</v>
      </c>
      <c r="I57" s="25">
        <v>12</v>
      </c>
      <c r="J57" s="17">
        <v>17.849999999999998</v>
      </c>
      <c r="K57" s="36">
        <v>16.064999999999998</v>
      </c>
      <c r="L57" s="7">
        <v>15.172499999999998</v>
      </c>
      <c r="M57" s="46">
        <v>14.28</v>
      </c>
      <c r="N57" s="50"/>
      <c r="O57" s="39">
        <f t="shared" si="0"/>
        <v>0</v>
      </c>
      <c r="P57" s="53">
        <f t="shared" si="1"/>
        <v>0</v>
      </c>
      <c r="S57" s="67" t="str">
        <f t="shared" si="2"/>
        <v>-</v>
      </c>
      <c r="T57" s="67" t="str">
        <f t="shared" si="3"/>
        <v>-</v>
      </c>
      <c r="U57" s="68" t="str">
        <f t="shared" si="4"/>
        <v>-</v>
      </c>
      <c r="V57" s="69" t="str">
        <f t="shared" si="5"/>
        <v>-</v>
      </c>
      <c r="X57" s="69" t="str">
        <f t="shared" si="6"/>
        <v>-</v>
      </c>
    </row>
    <row r="58" spans="1:24" x14ac:dyDescent="0.3">
      <c r="A58" s="56">
        <v>728177005573</v>
      </c>
      <c r="B58" s="4">
        <v>557</v>
      </c>
      <c r="C58" s="3" t="s">
        <v>31</v>
      </c>
      <c r="D58" s="4">
        <v>2.2000000000000002</v>
      </c>
      <c r="E58" s="4" t="s">
        <v>13</v>
      </c>
      <c r="F58" s="29">
        <v>4.75</v>
      </c>
      <c r="G58" s="29">
        <v>4.75</v>
      </c>
      <c r="H58" s="28">
        <v>0</v>
      </c>
      <c r="I58" s="25">
        <v>12</v>
      </c>
      <c r="J58" s="17">
        <v>37.085999999999999</v>
      </c>
      <c r="K58" s="36">
        <v>33.377400000000002</v>
      </c>
      <c r="L58" s="7">
        <v>31.523099999999999</v>
      </c>
      <c r="M58" s="46">
        <v>29.668800000000001</v>
      </c>
      <c r="N58" s="50"/>
      <c r="O58" s="39">
        <f t="shared" si="0"/>
        <v>0</v>
      </c>
      <c r="P58" s="53">
        <f t="shared" si="1"/>
        <v>0</v>
      </c>
      <c r="S58" s="67" t="str">
        <f t="shared" si="2"/>
        <v>-</v>
      </c>
      <c r="T58" s="67" t="str">
        <f t="shared" si="3"/>
        <v>-</v>
      </c>
      <c r="U58" s="68" t="str">
        <f t="shared" si="4"/>
        <v>-</v>
      </c>
      <c r="V58" s="69" t="str">
        <f t="shared" si="5"/>
        <v>-</v>
      </c>
      <c r="X58" s="69" t="str">
        <f t="shared" si="6"/>
        <v>-</v>
      </c>
    </row>
    <row r="59" spans="1:24" x14ac:dyDescent="0.3">
      <c r="A59" s="56">
        <v>728177005603</v>
      </c>
      <c r="B59" s="4">
        <v>560</v>
      </c>
      <c r="C59" s="3" t="s">
        <v>32</v>
      </c>
      <c r="D59" s="4">
        <v>100</v>
      </c>
      <c r="E59" s="4" t="s">
        <v>10</v>
      </c>
      <c r="F59" s="29">
        <v>2.5</v>
      </c>
      <c r="G59" s="29">
        <v>2.5</v>
      </c>
      <c r="H59" s="28">
        <v>0.16</v>
      </c>
      <c r="I59" s="25">
        <v>12</v>
      </c>
      <c r="J59" s="17">
        <v>11.885999999999999</v>
      </c>
      <c r="K59" s="36">
        <v>10.6974</v>
      </c>
      <c r="L59" s="7">
        <v>10.1031</v>
      </c>
      <c r="M59" s="46">
        <v>9.508799999999999</v>
      </c>
      <c r="N59" s="50"/>
      <c r="O59" s="39">
        <f t="shared" si="0"/>
        <v>0</v>
      </c>
      <c r="P59" s="53">
        <f t="shared" si="1"/>
        <v>0</v>
      </c>
      <c r="S59" s="67" t="str">
        <f t="shared" si="2"/>
        <v>-</v>
      </c>
      <c r="T59" s="67" t="str">
        <f t="shared" si="3"/>
        <v>-</v>
      </c>
      <c r="U59" s="68" t="str">
        <f t="shared" si="4"/>
        <v>-</v>
      </c>
      <c r="V59" s="69" t="str">
        <f t="shared" si="5"/>
        <v>-</v>
      </c>
      <c r="X59" s="69" t="str">
        <f t="shared" si="6"/>
        <v>-</v>
      </c>
    </row>
    <row r="60" spans="1:24" x14ac:dyDescent="0.3">
      <c r="A60" s="56">
        <v>728177005627</v>
      </c>
      <c r="B60" s="4">
        <v>562</v>
      </c>
      <c r="C60" s="3" t="s">
        <v>32</v>
      </c>
      <c r="D60" s="4">
        <v>30</v>
      </c>
      <c r="E60" s="4" t="s">
        <v>10</v>
      </c>
      <c r="F60" s="29">
        <v>1.75</v>
      </c>
      <c r="G60" s="29">
        <v>1.75</v>
      </c>
      <c r="H60" s="28">
        <v>7.0000000000000007E-2</v>
      </c>
      <c r="I60" s="25">
        <v>12</v>
      </c>
      <c r="J60" s="17">
        <v>5.5860000000000003</v>
      </c>
      <c r="K60" s="36">
        <v>5.0274000000000001</v>
      </c>
      <c r="L60" s="7">
        <v>4.7481</v>
      </c>
      <c r="M60" s="46">
        <v>4.4688000000000008</v>
      </c>
      <c r="N60" s="50"/>
      <c r="O60" s="39">
        <f t="shared" si="0"/>
        <v>0</v>
      </c>
      <c r="P60" s="53">
        <f t="shared" si="1"/>
        <v>0</v>
      </c>
      <c r="S60" s="67" t="str">
        <f t="shared" si="2"/>
        <v>-</v>
      </c>
      <c r="T60" s="67" t="str">
        <f t="shared" si="3"/>
        <v>-</v>
      </c>
      <c r="U60" s="68" t="str">
        <f t="shared" si="4"/>
        <v>-</v>
      </c>
      <c r="V60" s="69" t="str">
        <f t="shared" si="5"/>
        <v>-</v>
      </c>
      <c r="X60" s="69" t="str">
        <f t="shared" si="6"/>
        <v>-</v>
      </c>
    </row>
    <row r="61" spans="1:24" x14ac:dyDescent="0.3">
      <c r="A61" s="56">
        <v>728177005856</v>
      </c>
      <c r="B61" s="4">
        <v>585</v>
      </c>
      <c r="C61" s="3" t="s">
        <v>33</v>
      </c>
      <c r="D61" s="4">
        <v>30</v>
      </c>
      <c r="E61" s="4" t="s">
        <v>8</v>
      </c>
      <c r="F61" s="29">
        <v>2</v>
      </c>
      <c r="G61" s="29">
        <v>2</v>
      </c>
      <c r="H61" s="28">
        <v>0.09</v>
      </c>
      <c r="I61" s="26">
        <v>12</v>
      </c>
      <c r="J61" s="17">
        <v>26.585999999999995</v>
      </c>
      <c r="K61" s="36">
        <v>23.927399999999995</v>
      </c>
      <c r="L61" s="7">
        <v>22.598099999999995</v>
      </c>
      <c r="M61" s="46">
        <v>21.268799999999999</v>
      </c>
      <c r="N61" s="50"/>
      <c r="O61" s="39">
        <f t="shared" si="0"/>
        <v>0</v>
      </c>
      <c r="P61" s="53">
        <f t="shared" si="1"/>
        <v>0</v>
      </c>
      <c r="S61" s="67" t="str">
        <f t="shared" si="2"/>
        <v>-</v>
      </c>
      <c r="T61" s="67" t="str">
        <f t="shared" si="3"/>
        <v>-</v>
      </c>
      <c r="U61" s="68" t="str">
        <f t="shared" si="4"/>
        <v>-</v>
      </c>
      <c r="V61" s="69" t="str">
        <f t="shared" si="5"/>
        <v>-</v>
      </c>
      <c r="X61" s="69" t="str">
        <f t="shared" si="6"/>
        <v>-</v>
      </c>
    </row>
    <row r="62" spans="1:24" x14ac:dyDescent="0.3">
      <c r="A62" s="56">
        <v>728177005863</v>
      </c>
      <c r="B62" s="4">
        <v>586</v>
      </c>
      <c r="C62" s="3" t="s">
        <v>33</v>
      </c>
      <c r="D62" s="4">
        <v>60</v>
      </c>
      <c r="E62" s="4" t="s">
        <v>8</v>
      </c>
      <c r="F62" s="29">
        <v>2.5</v>
      </c>
      <c r="G62" s="29">
        <v>2.5</v>
      </c>
      <c r="H62" s="28">
        <v>0.18</v>
      </c>
      <c r="I62" s="26">
        <v>12</v>
      </c>
      <c r="J62" s="17">
        <v>50.386000000000003</v>
      </c>
      <c r="K62" s="36">
        <v>45.3474</v>
      </c>
      <c r="L62" s="7">
        <v>42.828099999999999</v>
      </c>
      <c r="M62" s="46">
        <v>40.308800000000005</v>
      </c>
      <c r="N62" s="50"/>
      <c r="O62" s="39">
        <f t="shared" si="0"/>
        <v>0</v>
      </c>
      <c r="P62" s="53">
        <f t="shared" si="1"/>
        <v>0</v>
      </c>
      <c r="S62" s="67" t="str">
        <f t="shared" si="2"/>
        <v>-</v>
      </c>
      <c r="T62" s="67" t="str">
        <f t="shared" si="3"/>
        <v>-</v>
      </c>
      <c r="U62" s="68" t="str">
        <f t="shared" si="4"/>
        <v>-</v>
      </c>
      <c r="V62" s="69" t="str">
        <f t="shared" si="5"/>
        <v>-</v>
      </c>
      <c r="X62" s="69" t="str">
        <f t="shared" si="6"/>
        <v>-</v>
      </c>
    </row>
    <row r="63" spans="1:24" x14ac:dyDescent="0.3">
      <c r="A63" s="56">
        <v>728177006105</v>
      </c>
      <c r="B63" s="4">
        <v>610</v>
      </c>
      <c r="C63" s="3" t="s">
        <v>34</v>
      </c>
      <c r="D63" s="4">
        <v>100</v>
      </c>
      <c r="E63" s="4" t="s">
        <v>10</v>
      </c>
      <c r="F63" s="29">
        <v>2.5</v>
      </c>
      <c r="G63" s="29">
        <v>2.5</v>
      </c>
      <c r="H63" s="28">
        <v>0.14000000000000001</v>
      </c>
      <c r="I63" s="25">
        <v>12</v>
      </c>
      <c r="J63" s="17">
        <v>8.3859999999999992</v>
      </c>
      <c r="K63" s="36">
        <v>7.5473999999999997</v>
      </c>
      <c r="L63" s="7">
        <v>7.128099999999999</v>
      </c>
      <c r="M63" s="46">
        <v>6.7088000000000001</v>
      </c>
      <c r="N63" s="50"/>
      <c r="O63" s="39">
        <f t="shared" si="0"/>
        <v>0</v>
      </c>
      <c r="P63" s="53">
        <f t="shared" si="1"/>
        <v>0</v>
      </c>
      <c r="R63" s="20"/>
      <c r="S63" s="67" t="str">
        <f t="shared" si="2"/>
        <v>-</v>
      </c>
      <c r="T63" s="67" t="str">
        <f t="shared" si="3"/>
        <v>-</v>
      </c>
      <c r="U63" s="68" t="str">
        <f t="shared" si="4"/>
        <v>-</v>
      </c>
      <c r="V63" s="69" t="str">
        <f t="shared" si="5"/>
        <v>-</v>
      </c>
      <c r="X63" s="69" t="str">
        <f t="shared" si="6"/>
        <v>-</v>
      </c>
    </row>
    <row r="64" spans="1:24" x14ac:dyDescent="0.3">
      <c r="A64" s="56">
        <v>728177006112</v>
      </c>
      <c r="B64" s="4">
        <v>611</v>
      </c>
      <c r="C64" s="3" t="s">
        <v>34</v>
      </c>
      <c r="D64" s="4">
        <v>250</v>
      </c>
      <c r="E64" s="4" t="s">
        <v>10</v>
      </c>
      <c r="F64" s="29">
        <v>3.125</v>
      </c>
      <c r="G64" s="29">
        <v>3.125</v>
      </c>
      <c r="H64" s="28">
        <v>0.34</v>
      </c>
      <c r="I64" s="25">
        <v>12</v>
      </c>
      <c r="J64" s="17">
        <v>18.186</v>
      </c>
      <c r="K64" s="36">
        <v>16.3674</v>
      </c>
      <c r="L64" s="7">
        <v>15.4581</v>
      </c>
      <c r="M64" s="46">
        <v>14.5488</v>
      </c>
      <c r="N64" s="50"/>
      <c r="O64" s="39">
        <f t="shared" si="0"/>
        <v>0</v>
      </c>
      <c r="P64" s="53">
        <f t="shared" si="1"/>
        <v>0</v>
      </c>
      <c r="S64" s="67" t="str">
        <f t="shared" si="2"/>
        <v>-</v>
      </c>
      <c r="T64" s="67" t="str">
        <f t="shared" si="3"/>
        <v>-</v>
      </c>
      <c r="U64" s="68" t="str">
        <f t="shared" si="4"/>
        <v>-</v>
      </c>
      <c r="V64" s="69" t="str">
        <f t="shared" si="5"/>
        <v>-</v>
      </c>
      <c r="X64" s="69" t="str">
        <f t="shared" si="6"/>
        <v>-</v>
      </c>
    </row>
    <row r="65" spans="1:24" x14ac:dyDescent="0.3">
      <c r="A65" s="56">
        <v>728177006402</v>
      </c>
      <c r="B65" s="4">
        <v>640</v>
      </c>
      <c r="C65" s="3" t="s">
        <v>35</v>
      </c>
      <c r="D65" s="4">
        <v>100</v>
      </c>
      <c r="E65" s="4" t="s">
        <v>10</v>
      </c>
      <c r="F65" s="29">
        <v>2.5</v>
      </c>
      <c r="G65" s="29">
        <v>2.5</v>
      </c>
      <c r="H65" s="28">
        <v>0.16</v>
      </c>
      <c r="I65" s="25">
        <v>12</v>
      </c>
      <c r="J65" s="17">
        <v>12.586</v>
      </c>
      <c r="K65" s="36">
        <v>11.327400000000001</v>
      </c>
      <c r="L65" s="7">
        <v>10.6981</v>
      </c>
      <c r="M65" s="46">
        <v>10.068800000000001</v>
      </c>
      <c r="N65" s="50"/>
      <c r="O65" s="39">
        <f t="shared" si="0"/>
        <v>0</v>
      </c>
      <c r="P65" s="53">
        <f t="shared" si="1"/>
        <v>0</v>
      </c>
      <c r="S65" s="67" t="str">
        <f t="shared" si="2"/>
        <v>-</v>
      </c>
      <c r="T65" s="67" t="str">
        <f t="shared" si="3"/>
        <v>-</v>
      </c>
      <c r="U65" s="68" t="str">
        <f t="shared" si="4"/>
        <v>-</v>
      </c>
      <c r="V65" s="69" t="str">
        <f t="shared" si="5"/>
        <v>-</v>
      </c>
      <c r="X65" s="69" t="str">
        <f t="shared" si="6"/>
        <v>-</v>
      </c>
    </row>
    <row r="66" spans="1:24" x14ac:dyDescent="0.3">
      <c r="A66" s="56">
        <v>728177006419</v>
      </c>
      <c r="B66" s="4">
        <v>641</v>
      </c>
      <c r="C66" s="3" t="s">
        <v>35</v>
      </c>
      <c r="D66" s="4">
        <v>250</v>
      </c>
      <c r="E66" s="4" t="s">
        <v>10</v>
      </c>
      <c r="F66" s="29">
        <v>3</v>
      </c>
      <c r="G66" s="29">
        <v>3</v>
      </c>
      <c r="H66" s="28">
        <v>0.36</v>
      </c>
      <c r="I66" s="25">
        <v>12</v>
      </c>
      <c r="J66" s="17">
        <v>27.985999999999997</v>
      </c>
      <c r="K66" s="36">
        <v>25.187399999999997</v>
      </c>
      <c r="L66" s="7">
        <v>23.788099999999996</v>
      </c>
      <c r="M66" s="46">
        <v>22.3888</v>
      </c>
      <c r="N66" s="50"/>
      <c r="O66" s="39">
        <f t="shared" si="0"/>
        <v>0</v>
      </c>
      <c r="P66" s="53">
        <f t="shared" si="1"/>
        <v>0</v>
      </c>
      <c r="S66" s="67" t="str">
        <f t="shared" si="2"/>
        <v>-</v>
      </c>
      <c r="T66" s="67" t="str">
        <f t="shared" si="3"/>
        <v>-</v>
      </c>
      <c r="U66" s="68" t="str">
        <f t="shared" si="4"/>
        <v>-</v>
      </c>
      <c r="V66" s="69" t="str">
        <f t="shared" si="5"/>
        <v>-</v>
      </c>
      <c r="X66" s="69" t="str">
        <f t="shared" si="6"/>
        <v>-</v>
      </c>
    </row>
    <row r="67" spans="1:24" x14ac:dyDescent="0.3">
      <c r="A67" s="56">
        <v>728177009007</v>
      </c>
      <c r="B67" s="4">
        <v>900</v>
      </c>
      <c r="C67" s="3" t="s">
        <v>36</v>
      </c>
      <c r="D67" s="4">
        <v>10</v>
      </c>
      <c r="E67" s="4" t="s">
        <v>12</v>
      </c>
      <c r="F67" s="29">
        <v>2</v>
      </c>
      <c r="G67" s="29">
        <v>2</v>
      </c>
      <c r="H67" s="28">
        <v>0.34</v>
      </c>
      <c r="I67" s="25">
        <v>12</v>
      </c>
      <c r="J67" s="17">
        <v>6.9859999999999998</v>
      </c>
      <c r="K67" s="36">
        <v>6.2873999999999999</v>
      </c>
      <c r="L67" s="7">
        <v>5.9380999999999995</v>
      </c>
      <c r="M67" s="46">
        <v>5.5888</v>
      </c>
      <c r="N67" s="50"/>
      <c r="O67" s="39">
        <f t="shared" si="0"/>
        <v>0</v>
      </c>
      <c r="P67" s="53">
        <f t="shared" si="1"/>
        <v>0</v>
      </c>
      <c r="S67" s="67" t="str">
        <f t="shared" si="2"/>
        <v>-</v>
      </c>
      <c r="T67" s="67" t="str">
        <f t="shared" si="3"/>
        <v>-</v>
      </c>
      <c r="U67" s="68" t="str">
        <f t="shared" si="4"/>
        <v>-</v>
      </c>
      <c r="V67" s="69" t="str">
        <f t="shared" si="5"/>
        <v>-</v>
      </c>
      <c r="X67" s="69" t="str">
        <f t="shared" si="6"/>
        <v>-</v>
      </c>
    </row>
    <row r="68" spans="1:24" x14ac:dyDescent="0.3">
      <c r="A68" s="56">
        <v>728177009038</v>
      </c>
      <c r="B68" s="4">
        <v>903</v>
      </c>
      <c r="C68" s="3" t="s">
        <v>37</v>
      </c>
      <c r="D68" s="4">
        <v>10</v>
      </c>
      <c r="E68" s="4" t="s">
        <v>12</v>
      </c>
      <c r="F68" s="29">
        <v>2</v>
      </c>
      <c r="G68" s="29">
        <v>2</v>
      </c>
      <c r="H68" s="28">
        <v>0.34</v>
      </c>
      <c r="I68" s="25">
        <v>12</v>
      </c>
      <c r="J68" s="17">
        <v>6.9859999999999998</v>
      </c>
      <c r="K68" s="36">
        <v>6.2873999999999999</v>
      </c>
      <c r="L68" s="7">
        <v>5.9380999999999995</v>
      </c>
      <c r="M68" s="46">
        <v>5.5888</v>
      </c>
      <c r="N68" s="50"/>
      <c r="O68" s="39">
        <f t="shared" ref="O68:O131" si="7">IF(N68&gt;=576,N68*M68,IF(N68&gt;=288,N68*L68,IF(N68&gt;=144,N68*K68,N68*J68)))</f>
        <v>0</v>
      </c>
      <c r="P68" s="53">
        <f t="shared" ref="P68:P131" si="8">IF($O$141&gt;=14000,N68*M68,0)</f>
        <v>0</v>
      </c>
      <c r="S68" s="67" t="str">
        <f t="shared" ref="S68:S131" si="9">IFERROR(IF($S$2*H68=0, "-", $S$2*H68), "-")</f>
        <v>-</v>
      </c>
      <c r="T68" s="67" t="str">
        <f t="shared" ref="T68:T131" si="10">IF(N68&gt;0,(O68/N68)+H68*N68/$U$2*$V$2/N68,"-")</f>
        <v>-</v>
      </c>
      <c r="U68" s="68" t="str">
        <f t="shared" ref="U68:U131" si="11">IF(N68&gt;0,N68*H68*1.113, "-")</f>
        <v>-</v>
      </c>
      <c r="V68" s="69" t="str">
        <f t="shared" ref="V68:V131" si="12">IFERROR(IF($S$2&gt;0, $S$2*U68, "-"), "-")</f>
        <v>-</v>
      </c>
      <c r="X68" s="69" t="str">
        <f t="shared" ref="X68:X131" si="13">IFERROR(IF(V68+O68=0, "-", IF(V68&gt;0, V68+O68, "-")), "-")</f>
        <v>-</v>
      </c>
    </row>
    <row r="69" spans="1:24" x14ac:dyDescent="0.3">
      <c r="A69" s="56">
        <v>728177009106</v>
      </c>
      <c r="B69" s="4">
        <v>910</v>
      </c>
      <c r="C69" s="3" t="s">
        <v>38</v>
      </c>
      <c r="D69" s="4">
        <v>10</v>
      </c>
      <c r="E69" s="4" t="s">
        <v>12</v>
      </c>
      <c r="F69" s="29">
        <v>2</v>
      </c>
      <c r="G69" s="29">
        <v>2</v>
      </c>
      <c r="H69" s="28">
        <v>0.34</v>
      </c>
      <c r="I69" s="25">
        <v>12</v>
      </c>
      <c r="J69" s="17">
        <v>6.9859999999999998</v>
      </c>
      <c r="K69" s="36">
        <v>6.2873999999999999</v>
      </c>
      <c r="L69" s="7">
        <v>5.9380999999999995</v>
      </c>
      <c r="M69" s="46">
        <v>5.5888</v>
      </c>
      <c r="N69" s="50"/>
      <c r="O69" s="39">
        <f t="shared" si="7"/>
        <v>0</v>
      </c>
      <c r="P69" s="53">
        <f t="shared" si="8"/>
        <v>0</v>
      </c>
      <c r="S69" s="67" t="str">
        <f t="shared" si="9"/>
        <v>-</v>
      </c>
      <c r="T69" s="67" t="str">
        <f t="shared" si="10"/>
        <v>-</v>
      </c>
      <c r="U69" s="68" t="str">
        <f t="shared" si="11"/>
        <v>-</v>
      </c>
      <c r="V69" s="69" t="str">
        <f t="shared" si="12"/>
        <v>-</v>
      </c>
      <c r="X69" s="69" t="str">
        <f t="shared" si="13"/>
        <v>-</v>
      </c>
    </row>
    <row r="70" spans="1:24" x14ac:dyDescent="0.3">
      <c r="A70" s="56">
        <v>728177009137</v>
      </c>
      <c r="B70" s="4">
        <v>913</v>
      </c>
      <c r="C70" s="3" t="s">
        <v>39</v>
      </c>
      <c r="D70" s="4">
        <v>10</v>
      </c>
      <c r="E70" s="4" t="s">
        <v>12</v>
      </c>
      <c r="F70" s="29">
        <v>2</v>
      </c>
      <c r="G70" s="29">
        <v>2</v>
      </c>
      <c r="H70" s="28">
        <v>0.34</v>
      </c>
      <c r="I70" s="25">
        <v>12</v>
      </c>
      <c r="J70" s="17">
        <v>6.9859999999999998</v>
      </c>
      <c r="K70" s="36">
        <v>6.2873999999999999</v>
      </c>
      <c r="L70" s="7">
        <v>5.9380999999999995</v>
      </c>
      <c r="M70" s="46">
        <v>5.5888</v>
      </c>
      <c r="N70" s="50"/>
      <c r="O70" s="39">
        <f t="shared" si="7"/>
        <v>0</v>
      </c>
      <c r="P70" s="53">
        <f t="shared" si="8"/>
        <v>0</v>
      </c>
      <c r="S70" s="67" t="str">
        <f t="shared" si="9"/>
        <v>-</v>
      </c>
      <c r="T70" s="67" t="str">
        <f t="shared" si="10"/>
        <v>-</v>
      </c>
      <c r="U70" s="68" t="str">
        <f t="shared" si="11"/>
        <v>-</v>
      </c>
      <c r="V70" s="69" t="str">
        <f t="shared" si="12"/>
        <v>-</v>
      </c>
      <c r="X70" s="69" t="str">
        <f t="shared" si="13"/>
        <v>-</v>
      </c>
    </row>
    <row r="71" spans="1:24" x14ac:dyDescent="0.3">
      <c r="A71" s="56">
        <v>728177009205</v>
      </c>
      <c r="B71" s="4">
        <v>920</v>
      </c>
      <c r="C71" s="3" t="s">
        <v>40</v>
      </c>
      <c r="D71" s="4">
        <v>10</v>
      </c>
      <c r="E71" s="4" t="s">
        <v>12</v>
      </c>
      <c r="F71" s="29">
        <v>2</v>
      </c>
      <c r="G71" s="29">
        <v>2</v>
      </c>
      <c r="H71" s="28">
        <v>0.34</v>
      </c>
      <c r="I71" s="25">
        <v>12</v>
      </c>
      <c r="J71" s="17">
        <v>6.9859999999999998</v>
      </c>
      <c r="K71" s="36">
        <v>6.2873999999999999</v>
      </c>
      <c r="L71" s="7">
        <v>5.9380999999999995</v>
      </c>
      <c r="M71" s="46">
        <v>5.5888</v>
      </c>
      <c r="N71" s="50"/>
      <c r="O71" s="39">
        <f t="shared" si="7"/>
        <v>0</v>
      </c>
      <c r="P71" s="53">
        <f t="shared" si="8"/>
        <v>0</v>
      </c>
      <c r="S71" s="67" t="str">
        <f t="shared" si="9"/>
        <v>-</v>
      </c>
      <c r="T71" s="67" t="str">
        <f t="shared" si="10"/>
        <v>-</v>
      </c>
      <c r="U71" s="68" t="str">
        <f t="shared" si="11"/>
        <v>-</v>
      </c>
      <c r="V71" s="69" t="str">
        <f t="shared" si="12"/>
        <v>-</v>
      </c>
      <c r="X71" s="69" t="str">
        <f t="shared" si="13"/>
        <v>-</v>
      </c>
    </row>
    <row r="72" spans="1:24" x14ac:dyDescent="0.3">
      <c r="A72" s="56">
        <v>728177009236</v>
      </c>
      <c r="B72" s="4">
        <v>923</v>
      </c>
      <c r="C72" s="3" t="s">
        <v>41</v>
      </c>
      <c r="D72" s="4">
        <v>10</v>
      </c>
      <c r="E72" s="4" t="s">
        <v>12</v>
      </c>
      <c r="F72" s="29">
        <v>2</v>
      </c>
      <c r="G72" s="29">
        <v>2</v>
      </c>
      <c r="H72" s="28">
        <v>0.34</v>
      </c>
      <c r="I72" s="25">
        <v>12</v>
      </c>
      <c r="J72" s="17">
        <v>6.9859999999999998</v>
      </c>
      <c r="K72" s="36">
        <v>6.2873999999999999</v>
      </c>
      <c r="L72" s="7">
        <v>5.9380999999999995</v>
      </c>
      <c r="M72" s="46">
        <v>5.5888</v>
      </c>
      <c r="N72" s="50"/>
      <c r="O72" s="39">
        <f t="shared" si="7"/>
        <v>0</v>
      </c>
      <c r="P72" s="53">
        <f t="shared" si="8"/>
        <v>0</v>
      </c>
      <c r="S72" s="67" t="str">
        <f t="shared" si="9"/>
        <v>-</v>
      </c>
      <c r="T72" s="67" t="str">
        <f t="shared" si="10"/>
        <v>-</v>
      </c>
      <c r="U72" s="68" t="str">
        <f t="shared" si="11"/>
        <v>-</v>
      </c>
      <c r="V72" s="69" t="str">
        <f t="shared" si="12"/>
        <v>-</v>
      </c>
      <c r="X72" s="69" t="str">
        <f t="shared" si="13"/>
        <v>-</v>
      </c>
    </row>
    <row r="73" spans="1:24" x14ac:dyDescent="0.3">
      <c r="A73" s="56">
        <v>728177009304</v>
      </c>
      <c r="B73" s="4">
        <v>930</v>
      </c>
      <c r="C73" s="3" t="s">
        <v>42</v>
      </c>
      <c r="D73" s="4">
        <v>10</v>
      </c>
      <c r="E73" s="4" t="s">
        <v>12</v>
      </c>
      <c r="F73" s="29">
        <v>2</v>
      </c>
      <c r="G73" s="29">
        <v>2</v>
      </c>
      <c r="H73" s="28">
        <v>0.35</v>
      </c>
      <c r="I73" s="25">
        <v>12</v>
      </c>
      <c r="J73" s="17">
        <v>6.9859999999999998</v>
      </c>
      <c r="K73" s="36">
        <v>6.2873999999999999</v>
      </c>
      <c r="L73" s="7">
        <v>5.9380999999999995</v>
      </c>
      <c r="M73" s="46">
        <v>5.5888</v>
      </c>
      <c r="N73" s="50"/>
      <c r="O73" s="39">
        <f t="shared" si="7"/>
        <v>0</v>
      </c>
      <c r="P73" s="53">
        <f t="shared" si="8"/>
        <v>0</v>
      </c>
      <c r="S73" s="67" t="str">
        <f t="shared" si="9"/>
        <v>-</v>
      </c>
      <c r="T73" s="67" t="str">
        <f t="shared" si="10"/>
        <v>-</v>
      </c>
      <c r="U73" s="68" t="str">
        <f t="shared" si="11"/>
        <v>-</v>
      </c>
      <c r="V73" s="69" t="str">
        <f t="shared" si="12"/>
        <v>-</v>
      </c>
      <c r="X73" s="69" t="str">
        <f t="shared" si="13"/>
        <v>-</v>
      </c>
    </row>
    <row r="74" spans="1:24" x14ac:dyDescent="0.3">
      <c r="A74" s="56">
        <v>728177009335</v>
      </c>
      <c r="B74" s="4">
        <v>933</v>
      </c>
      <c r="C74" s="3" t="s">
        <v>43</v>
      </c>
      <c r="D74" s="4">
        <v>10</v>
      </c>
      <c r="E74" s="4" t="s">
        <v>12</v>
      </c>
      <c r="F74" s="29">
        <v>2</v>
      </c>
      <c r="G74" s="29">
        <v>2</v>
      </c>
      <c r="H74" s="28">
        <v>0.32</v>
      </c>
      <c r="I74" s="25">
        <v>12</v>
      </c>
      <c r="J74" s="17">
        <v>6.9859999999999998</v>
      </c>
      <c r="K74" s="36">
        <v>6.2873999999999999</v>
      </c>
      <c r="L74" s="7">
        <v>5.9380999999999995</v>
      </c>
      <c r="M74" s="46">
        <v>5.5888</v>
      </c>
      <c r="N74" s="50"/>
      <c r="O74" s="39">
        <f t="shared" si="7"/>
        <v>0</v>
      </c>
      <c r="P74" s="53">
        <f t="shared" si="8"/>
        <v>0</v>
      </c>
      <c r="S74" s="67" t="str">
        <f t="shared" si="9"/>
        <v>-</v>
      </c>
      <c r="T74" s="67" t="str">
        <f t="shared" si="10"/>
        <v>-</v>
      </c>
      <c r="U74" s="68" t="str">
        <f t="shared" si="11"/>
        <v>-</v>
      </c>
      <c r="V74" s="69" t="str">
        <f t="shared" si="12"/>
        <v>-</v>
      </c>
      <c r="X74" s="69" t="str">
        <f t="shared" si="13"/>
        <v>-</v>
      </c>
    </row>
    <row r="75" spans="1:24" x14ac:dyDescent="0.3">
      <c r="A75" s="56">
        <v>728177009953</v>
      </c>
      <c r="B75" s="4">
        <v>995</v>
      </c>
      <c r="C75" s="3" t="s">
        <v>44</v>
      </c>
      <c r="D75" s="4">
        <v>1</v>
      </c>
      <c r="E75" s="4" t="s">
        <v>12</v>
      </c>
      <c r="F75" s="29">
        <v>1.25</v>
      </c>
      <c r="G75" s="29">
        <v>1.25</v>
      </c>
      <c r="H75" s="28">
        <v>0.05</v>
      </c>
      <c r="I75" s="25">
        <v>24</v>
      </c>
      <c r="J75" s="17">
        <v>13.985999999999999</v>
      </c>
      <c r="K75" s="36">
        <v>12.587399999999999</v>
      </c>
      <c r="L75" s="7">
        <v>11.888099999999998</v>
      </c>
      <c r="M75" s="46">
        <v>11.188800000000001</v>
      </c>
      <c r="N75" s="50"/>
      <c r="O75" s="39">
        <f t="shared" si="7"/>
        <v>0</v>
      </c>
      <c r="P75" s="53">
        <f t="shared" si="8"/>
        <v>0</v>
      </c>
      <c r="S75" s="67" t="str">
        <f t="shared" si="9"/>
        <v>-</v>
      </c>
      <c r="T75" s="67" t="str">
        <f t="shared" si="10"/>
        <v>-</v>
      </c>
      <c r="U75" s="68" t="str">
        <f t="shared" si="11"/>
        <v>-</v>
      </c>
      <c r="V75" s="69" t="str">
        <f t="shared" si="12"/>
        <v>-</v>
      </c>
      <c r="X75" s="69" t="str">
        <f t="shared" si="13"/>
        <v>-</v>
      </c>
    </row>
    <row r="76" spans="1:24" x14ac:dyDescent="0.3">
      <c r="A76" s="56">
        <v>728177010003</v>
      </c>
      <c r="B76" s="4">
        <v>1000</v>
      </c>
      <c r="C76" s="3" t="s">
        <v>45</v>
      </c>
      <c r="D76" s="4">
        <v>2</v>
      </c>
      <c r="E76" s="4" t="s">
        <v>12</v>
      </c>
      <c r="F76" s="29">
        <v>2</v>
      </c>
      <c r="G76" s="29">
        <v>2</v>
      </c>
      <c r="H76" s="28">
        <v>0.09</v>
      </c>
      <c r="I76" s="25">
        <v>24</v>
      </c>
      <c r="J76" s="17">
        <v>12.11</v>
      </c>
      <c r="K76" s="36">
        <v>10.898999999999999</v>
      </c>
      <c r="L76" s="7">
        <v>10.2935</v>
      </c>
      <c r="M76" s="46">
        <v>9.6880000000000006</v>
      </c>
      <c r="N76" s="50"/>
      <c r="O76" s="39">
        <f t="shared" si="7"/>
        <v>0</v>
      </c>
      <c r="P76" s="53">
        <f t="shared" si="8"/>
        <v>0</v>
      </c>
      <c r="Q76" s="20"/>
      <c r="R76" s="20"/>
      <c r="S76" s="67" t="str">
        <f t="shared" si="9"/>
        <v>-</v>
      </c>
      <c r="T76" s="67" t="str">
        <f t="shared" si="10"/>
        <v>-</v>
      </c>
      <c r="U76" s="68" t="str">
        <f t="shared" si="11"/>
        <v>-</v>
      </c>
      <c r="V76" s="69" t="str">
        <f t="shared" si="12"/>
        <v>-</v>
      </c>
      <c r="X76" s="69" t="str">
        <f t="shared" si="13"/>
        <v>-</v>
      </c>
    </row>
    <row r="77" spans="1:24" x14ac:dyDescent="0.3">
      <c r="A77" s="56">
        <v>728177010010</v>
      </c>
      <c r="B77" s="4">
        <v>1001</v>
      </c>
      <c r="C77" s="3" t="s">
        <v>45</v>
      </c>
      <c r="D77" s="4">
        <v>4</v>
      </c>
      <c r="E77" s="4" t="s">
        <v>12</v>
      </c>
      <c r="F77" s="29">
        <v>1.25</v>
      </c>
      <c r="G77" s="29">
        <v>2.5</v>
      </c>
      <c r="H77" s="28">
        <v>0.16</v>
      </c>
      <c r="I77" s="25">
        <v>24</v>
      </c>
      <c r="J77" s="17">
        <v>18.899999999999999</v>
      </c>
      <c r="K77" s="36">
        <v>17.009999999999998</v>
      </c>
      <c r="L77" s="7">
        <v>16.064999999999998</v>
      </c>
      <c r="M77" s="46">
        <v>15.12</v>
      </c>
      <c r="N77" s="50"/>
      <c r="O77" s="39">
        <f t="shared" si="7"/>
        <v>0</v>
      </c>
      <c r="P77" s="53">
        <f t="shared" si="8"/>
        <v>0</v>
      </c>
      <c r="Q77" s="20"/>
      <c r="S77" s="67" t="str">
        <f t="shared" si="9"/>
        <v>-</v>
      </c>
      <c r="T77" s="67" t="str">
        <f t="shared" si="10"/>
        <v>-</v>
      </c>
      <c r="U77" s="68" t="str">
        <f t="shared" si="11"/>
        <v>-</v>
      </c>
      <c r="V77" s="69" t="str">
        <f t="shared" si="12"/>
        <v>-</v>
      </c>
      <c r="X77" s="69" t="str">
        <f t="shared" si="13"/>
        <v>-</v>
      </c>
    </row>
    <row r="78" spans="1:24" x14ac:dyDescent="0.3">
      <c r="A78" s="56">
        <v>728177010058</v>
      </c>
      <c r="B78" s="4">
        <v>1005</v>
      </c>
      <c r="C78" s="3" t="s">
        <v>46</v>
      </c>
      <c r="D78" s="4">
        <v>4</v>
      </c>
      <c r="E78" s="4" t="s">
        <v>12</v>
      </c>
      <c r="F78" s="29">
        <v>1.625</v>
      </c>
      <c r="G78" s="29">
        <v>1.625</v>
      </c>
      <c r="H78" s="28">
        <v>0.14000000000000001</v>
      </c>
      <c r="I78" s="25">
        <v>12</v>
      </c>
      <c r="J78" s="17">
        <v>6.2859999999999996</v>
      </c>
      <c r="K78" s="36">
        <v>5.6574</v>
      </c>
      <c r="L78" s="7">
        <v>5.3430999999999997</v>
      </c>
      <c r="M78" s="46">
        <v>5.0288000000000004</v>
      </c>
      <c r="N78" s="50"/>
      <c r="O78" s="39">
        <f t="shared" si="7"/>
        <v>0</v>
      </c>
      <c r="P78" s="53">
        <f t="shared" si="8"/>
        <v>0</v>
      </c>
      <c r="S78" s="67" t="str">
        <f t="shared" si="9"/>
        <v>-</v>
      </c>
      <c r="T78" s="67" t="str">
        <f t="shared" si="10"/>
        <v>-</v>
      </c>
      <c r="U78" s="68" t="str">
        <f t="shared" si="11"/>
        <v>-</v>
      </c>
      <c r="V78" s="69" t="str">
        <f t="shared" si="12"/>
        <v>-</v>
      </c>
      <c r="X78" s="69" t="str">
        <f t="shared" si="13"/>
        <v>-</v>
      </c>
    </row>
    <row r="79" spans="1:24" x14ac:dyDescent="0.3">
      <c r="A79" s="56">
        <v>728177010065</v>
      </c>
      <c r="B79" s="4">
        <v>1006</v>
      </c>
      <c r="C79" s="3" t="s">
        <v>47</v>
      </c>
      <c r="D79" s="4">
        <v>60</v>
      </c>
      <c r="E79" s="4" t="s">
        <v>10</v>
      </c>
      <c r="F79" s="29">
        <v>2</v>
      </c>
      <c r="G79" s="29">
        <v>2</v>
      </c>
      <c r="H79" s="28">
        <v>0.06</v>
      </c>
      <c r="I79" s="25">
        <v>12</v>
      </c>
      <c r="J79" s="17">
        <v>11.186</v>
      </c>
      <c r="K79" s="36">
        <v>10.067400000000001</v>
      </c>
      <c r="L79" s="7">
        <v>9.5080999999999989</v>
      </c>
      <c r="M79" s="46">
        <v>8.9488000000000003</v>
      </c>
      <c r="N79" s="50"/>
      <c r="O79" s="39">
        <f t="shared" si="7"/>
        <v>0</v>
      </c>
      <c r="P79" s="53">
        <f t="shared" si="8"/>
        <v>0</v>
      </c>
      <c r="S79" s="67" t="str">
        <f t="shared" si="9"/>
        <v>-</v>
      </c>
      <c r="T79" s="67" t="str">
        <f t="shared" si="10"/>
        <v>-</v>
      </c>
      <c r="U79" s="68" t="str">
        <f t="shared" si="11"/>
        <v>-</v>
      </c>
      <c r="V79" s="69" t="str">
        <f t="shared" si="12"/>
        <v>-</v>
      </c>
      <c r="X79" s="69" t="str">
        <f t="shared" si="13"/>
        <v>-</v>
      </c>
    </row>
    <row r="80" spans="1:24" x14ac:dyDescent="0.3">
      <c r="A80" s="56">
        <v>728177010102</v>
      </c>
      <c r="B80" s="4">
        <v>1010</v>
      </c>
      <c r="C80" s="3" t="s">
        <v>48</v>
      </c>
      <c r="D80" s="4">
        <v>90</v>
      </c>
      <c r="E80" s="4" t="s">
        <v>10</v>
      </c>
      <c r="F80" s="29">
        <v>2.5</v>
      </c>
      <c r="G80" s="29">
        <v>2.5</v>
      </c>
      <c r="H80" s="28">
        <v>0.09</v>
      </c>
      <c r="I80" s="25">
        <v>12</v>
      </c>
      <c r="J80" s="17">
        <v>17.486000000000001</v>
      </c>
      <c r="K80" s="36">
        <v>15.737400000000001</v>
      </c>
      <c r="L80" s="7">
        <v>14.863099999999999</v>
      </c>
      <c r="M80" s="46">
        <v>13.988800000000001</v>
      </c>
      <c r="N80" s="50"/>
      <c r="O80" s="39">
        <f t="shared" si="7"/>
        <v>0</v>
      </c>
      <c r="P80" s="53">
        <f t="shared" si="8"/>
        <v>0</v>
      </c>
      <c r="S80" s="67" t="str">
        <f t="shared" si="9"/>
        <v>-</v>
      </c>
      <c r="T80" s="67" t="str">
        <f t="shared" si="10"/>
        <v>-</v>
      </c>
      <c r="U80" s="68" t="str">
        <f t="shared" si="11"/>
        <v>-</v>
      </c>
      <c r="V80" s="69" t="str">
        <f t="shared" si="12"/>
        <v>-</v>
      </c>
      <c r="X80" s="69" t="str">
        <f t="shared" si="13"/>
        <v>-</v>
      </c>
    </row>
    <row r="81" spans="1:24" x14ac:dyDescent="0.3">
      <c r="A81" s="56">
        <v>728177010133</v>
      </c>
      <c r="B81" s="4">
        <v>1013</v>
      </c>
      <c r="C81" s="3" t="s">
        <v>49</v>
      </c>
      <c r="D81" s="4">
        <v>100</v>
      </c>
      <c r="E81" s="4" t="s">
        <v>8</v>
      </c>
      <c r="F81" s="29">
        <v>1.75</v>
      </c>
      <c r="G81" s="29">
        <v>1.75</v>
      </c>
      <c r="H81" s="28">
        <v>0.06</v>
      </c>
      <c r="I81" s="25">
        <v>12</v>
      </c>
      <c r="J81" s="17">
        <v>10.485999999999999</v>
      </c>
      <c r="K81" s="36">
        <v>9.4373999999999985</v>
      </c>
      <c r="L81" s="7">
        <v>8.9130999999999982</v>
      </c>
      <c r="M81" s="46">
        <v>8.3887999999999998</v>
      </c>
      <c r="N81" s="50"/>
      <c r="O81" s="39">
        <f t="shared" si="7"/>
        <v>0</v>
      </c>
      <c r="P81" s="53">
        <f t="shared" si="8"/>
        <v>0</v>
      </c>
      <c r="S81" s="67" t="str">
        <f t="shared" si="9"/>
        <v>-</v>
      </c>
      <c r="T81" s="67" t="str">
        <f t="shared" si="10"/>
        <v>-</v>
      </c>
      <c r="U81" s="68" t="str">
        <f t="shared" si="11"/>
        <v>-</v>
      </c>
      <c r="V81" s="69" t="str">
        <f t="shared" si="12"/>
        <v>-</v>
      </c>
      <c r="X81" s="69" t="str">
        <f t="shared" si="13"/>
        <v>-</v>
      </c>
    </row>
    <row r="82" spans="1:24" x14ac:dyDescent="0.3">
      <c r="A82" s="56">
        <v>728177010140</v>
      </c>
      <c r="B82" s="4">
        <v>1014</v>
      </c>
      <c r="C82" s="3" t="s">
        <v>50</v>
      </c>
      <c r="D82" s="4">
        <v>45</v>
      </c>
      <c r="E82" s="4" t="s">
        <v>8</v>
      </c>
      <c r="F82" s="29">
        <v>1.75</v>
      </c>
      <c r="G82" s="29">
        <v>1.75</v>
      </c>
      <c r="H82" s="28">
        <v>0.09</v>
      </c>
      <c r="I82" s="25">
        <v>12</v>
      </c>
      <c r="J82" s="17">
        <v>12.25</v>
      </c>
      <c r="K82" s="36">
        <v>11.025</v>
      </c>
      <c r="L82" s="7">
        <v>10.4125</v>
      </c>
      <c r="M82" s="46">
        <v>9.8000000000000007</v>
      </c>
      <c r="N82" s="50"/>
      <c r="O82" s="39">
        <f t="shared" si="7"/>
        <v>0</v>
      </c>
      <c r="P82" s="53">
        <f t="shared" si="8"/>
        <v>0</v>
      </c>
      <c r="S82" s="67" t="str">
        <f t="shared" si="9"/>
        <v>-</v>
      </c>
      <c r="T82" s="67" t="str">
        <f t="shared" si="10"/>
        <v>-</v>
      </c>
      <c r="U82" s="68" t="str">
        <f t="shared" si="11"/>
        <v>-</v>
      </c>
      <c r="V82" s="69" t="str">
        <f t="shared" si="12"/>
        <v>-</v>
      </c>
      <c r="X82" s="69" t="str">
        <f t="shared" si="13"/>
        <v>-</v>
      </c>
    </row>
    <row r="83" spans="1:24" x14ac:dyDescent="0.3">
      <c r="A83" s="56">
        <v>728177010157</v>
      </c>
      <c r="B83" s="4">
        <v>1015</v>
      </c>
      <c r="C83" s="3" t="s">
        <v>50</v>
      </c>
      <c r="D83" s="4">
        <v>90</v>
      </c>
      <c r="E83" s="4" t="s">
        <v>8</v>
      </c>
      <c r="F83" s="29">
        <v>2.5</v>
      </c>
      <c r="G83" s="29">
        <v>2.5</v>
      </c>
      <c r="H83" s="28">
        <v>0.18</v>
      </c>
      <c r="I83" s="25">
        <v>12</v>
      </c>
      <c r="J83" s="17">
        <v>20.986000000000001</v>
      </c>
      <c r="K83" s="36">
        <v>18.8874</v>
      </c>
      <c r="L83" s="7">
        <v>17.838100000000001</v>
      </c>
      <c r="M83" s="46">
        <v>16.788800000000002</v>
      </c>
      <c r="N83" s="50"/>
      <c r="O83" s="39">
        <f t="shared" si="7"/>
        <v>0</v>
      </c>
      <c r="P83" s="53">
        <f t="shared" si="8"/>
        <v>0</v>
      </c>
      <c r="S83" s="67" t="str">
        <f t="shared" si="9"/>
        <v>-</v>
      </c>
      <c r="T83" s="67" t="str">
        <f t="shared" si="10"/>
        <v>-</v>
      </c>
      <c r="U83" s="68" t="str">
        <f t="shared" si="11"/>
        <v>-</v>
      </c>
      <c r="V83" s="69" t="str">
        <f t="shared" si="12"/>
        <v>-</v>
      </c>
      <c r="X83" s="69" t="str">
        <f t="shared" si="13"/>
        <v>-</v>
      </c>
    </row>
    <row r="84" spans="1:24" x14ac:dyDescent="0.3">
      <c r="A84" s="56">
        <v>728177010164</v>
      </c>
      <c r="B84" s="4">
        <v>1016</v>
      </c>
      <c r="C84" s="3" t="s">
        <v>51</v>
      </c>
      <c r="D84" s="4">
        <v>4</v>
      </c>
      <c r="E84" s="4" t="s">
        <v>12</v>
      </c>
      <c r="F84" s="29">
        <v>1.75</v>
      </c>
      <c r="G84" s="29">
        <v>1.75</v>
      </c>
      <c r="H84" s="28">
        <v>0.15</v>
      </c>
      <c r="I84" s="25">
        <v>12</v>
      </c>
      <c r="J84" s="17">
        <v>8.3859999999999992</v>
      </c>
      <c r="K84" s="36">
        <v>7.5473999999999997</v>
      </c>
      <c r="L84" s="7">
        <v>7.128099999999999</v>
      </c>
      <c r="M84" s="46">
        <v>6.7088000000000001</v>
      </c>
      <c r="N84" s="50"/>
      <c r="O84" s="39">
        <f t="shared" si="7"/>
        <v>0</v>
      </c>
      <c r="P84" s="53">
        <f t="shared" si="8"/>
        <v>0</v>
      </c>
      <c r="R84" s="20"/>
      <c r="S84" s="67" t="str">
        <f t="shared" si="9"/>
        <v>-</v>
      </c>
      <c r="T84" s="67" t="str">
        <f t="shared" si="10"/>
        <v>-</v>
      </c>
      <c r="U84" s="68" t="str">
        <f t="shared" si="11"/>
        <v>-</v>
      </c>
      <c r="V84" s="69" t="str">
        <f t="shared" si="12"/>
        <v>-</v>
      </c>
      <c r="X84" s="69" t="str">
        <f t="shared" si="13"/>
        <v>-</v>
      </c>
    </row>
    <row r="85" spans="1:24" x14ac:dyDescent="0.3">
      <c r="A85" s="56">
        <v>728177010218</v>
      </c>
      <c r="B85" s="4">
        <v>1021</v>
      </c>
      <c r="C85" s="3" t="s">
        <v>52</v>
      </c>
      <c r="D85" s="4">
        <v>16</v>
      </c>
      <c r="E85" s="4" t="s">
        <v>12</v>
      </c>
      <c r="F85" s="29">
        <v>2.5</v>
      </c>
      <c r="G85" s="29">
        <v>2.5</v>
      </c>
      <c r="H85" s="28">
        <v>0.54</v>
      </c>
      <c r="I85" s="25">
        <v>12</v>
      </c>
      <c r="J85" s="17">
        <v>6.9859999999999998</v>
      </c>
      <c r="K85" s="36">
        <v>6.2873999999999999</v>
      </c>
      <c r="L85" s="7">
        <v>5.9380999999999995</v>
      </c>
      <c r="M85" s="46">
        <v>5.5888</v>
      </c>
      <c r="N85" s="50"/>
      <c r="O85" s="39">
        <f t="shared" si="7"/>
        <v>0</v>
      </c>
      <c r="P85" s="53">
        <f t="shared" si="8"/>
        <v>0</v>
      </c>
      <c r="S85" s="67" t="str">
        <f t="shared" si="9"/>
        <v>-</v>
      </c>
      <c r="T85" s="67" t="str">
        <f t="shared" si="10"/>
        <v>-</v>
      </c>
      <c r="U85" s="68" t="str">
        <f t="shared" si="11"/>
        <v>-</v>
      </c>
      <c r="V85" s="69" t="str">
        <f t="shared" si="12"/>
        <v>-</v>
      </c>
      <c r="X85" s="69" t="str">
        <f t="shared" si="13"/>
        <v>-</v>
      </c>
    </row>
    <row r="86" spans="1:24" x14ac:dyDescent="0.3">
      <c r="A86" s="56">
        <v>728177010225</v>
      </c>
      <c r="B86" s="4">
        <v>1022</v>
      </c>
      <c r="C86" s="3" t="s">
        <v>52</v>
      </c>
      <c r="D86" s="4">
        <v>1</v>
      </c>
      <c r="E86" s="4" t="s">
        <v>53</v>
      </c>
      <c r="F86" s="29">
        <v>6.25</v>
      </c>
      <c r="G86" s="29">
        <v>6.25</v>
      </c>
      <c r="H86" s="28">
        <v>0</v>
      </c>
      <c r="I86" s="25">
        <v>4</v>
      </c>
      <c r="J86" s="17">
        <v>44.73</v>
      </c>
      <c r="K86" s="36">
        <v>40.256999999999998</v>
      </c>
      <c r="L86" s="7">
        <v>38.020499999999998</v>
      </c>
      <c r="M86" s="46">
        <v>35.783999999999999</v>
      </c>
      <c r="N86" s="50"/>
      <c r="O86" s="39">
        <f t="shared" si="7"/>
        <v>0</v>
      </c>
      <c r="P86" s="53">
        <f t="shared" si="8"/>
        <v>0</v>
      </c>
      <c r="S86" s="67" t="str">
        <f t="shared" si="9"/>
        <v>-</v>
      </c>
      <c r="T86" s="67" t="str">
        <f t="shared" si="10"/>
        <v>-</v>
      </c>
      <c r="U86" s="68" t="str">
        <f t="shared" si="11"/>
        <v>-</v>
      </c>
      <c r="V86" s="69" t="str">
        <f t="shared" si="12"/>
        <v>-</v>
      </c>
      <c r="X86" s="69" t="str">
        <f t="shared" si="13"/>
        <v>-</v>
      </c>
    </row>
    <row r="87" spans="1:24" x14ac:dyDescent="0.3">
      <c r="A87" s="56">
        <v>728177010232</v>
      </c>
      <c r="B87" s="4">
        <v>1023</v>
      </c>
      <c r="C87" s="3" t="s">
        <v>54</v>
      </c>
      <c r="D87" s="4">
        <v>16</v>
      </c>
      <c r="E87" s="4" t="s">
        <v>12</v>
      </c>
      <c r="F87" s="29">
        <v>2.5</v>
      </c>
      <c r="G87" s="29">
        <v>2.5</v>
      </c>
      <c r="H87" s="28">
        <v>0.54</v>
      </c>
      <c r="I87" s="25">
        <v>12</v>
      </c>
      <c r="J87" s="17">
        <v>6.9859999999999998</v>
      </c>
      <c r="K87" s="36">
        <v>6.2873999999999999</v>
      </c>
      <c r="L87" s="7">
        <v>5.9380999999999995</v>
      </c>
      <c r="M87" s="46">
        <v>5.5888</v>
      </c>
      <c r="N87" s="50"/>
      <c r="O87" s="39">
        <f t="shared" si="7"/>
        <v>0</v>
      </c>
      <c r="P87" s="53">
        <f t="shared" si="8"/>
        <v>0</v>
      </c>
      <c r="S87" s="67" t="str">
        <f t="shared" si="9"/>
        <v>-</v>
      </c>
      <c r="T87" s="67" t="str">
        <f t="shared" si="10"/>
        <v>-</v>
      </c>
      <c r="U87" s="68" t="str">
        <f t="shared" si="11"/>
        <v>-</v>
      </c>
      <c r="V87" s="69" t="str">
        <f t="shared" si="12"/>
        <v>-</v>
      </c>
      <c r="X87" s="69" t="str">
        <f t="shared" si="13"/>
        <v>-</v>
      </c>
    </row>
    <row r="88" spans="1:24" x14ac:dyDescent="0.3">
      <c r="A88" s="56">
        <v>728177010249</v>
      </c>
      <c r="B88" s="4">
        <v>1024</v>
      </c>
      <c r="C88" s="3" t="s">
        <v>54</v>
      </c>
      <c r="D88" s="4">
        <v>1</v>
      </c>
      <c r="E88" s="4" t="s">
        <v>53</v>
      </c>
      <c r="F88" s="29">
        <v>6.25</v>
      </c>
      <c r="G88" s="29">
        <v>6.25</v>
      </c>
      <c r="H88" s="28">
        <v>0</v>
      </c>
      <c r="I88" s="25">
        <v>4</v>
      </c>
      <c r="J88" s="17">
        <v>44.73</v>
      </c>
      <c r="K88" s="36">
        <v>40.256999999999998</v>
      </c>
      <c r="L88" s="7">
        <v>38.020499999999998</v>
      </c>
      <c r="M88" s="46">
        <v>35.783999999999999</v>
      </c>
      <c r="N88" s="50"/>
      <c r="O88" s="39">
        <f t="shared" si="7"/>
        <v>0</v>
      </c>
      <c r="P88" s="53">
        <f t="shared" si="8"/>
        <v>0</v>
      </c>
      <c r="S88" s="67" t="str">
        <f t="shared" si="9"/>
        <v>-</v>
      </c>
      <c r="T88" s="67" t="str">
        <f t="shared" si="10"/>
        <v>-</v>
      </c>
      <c r="U88" s="68" t="str">
        <f t="shared" si="11"/>
        <v>-</v>
      </c>
      <c r="V88" s="69" t="str">
        <f t="shared" si="12"/>
        <v>-</v>
      </c>
      <c r="X88" s="69" t="str">
        <f t="shared" si="13"/>
        <v>-</v>
      </c>
    </row>
    <row r="89" spans="1:24" x14ac:dyDescent="0.3">
      <c r="A89" s="56">
        <v>728177010263</v>
      </c>
      <c r="B89" s="4">
        <v>1026</v>
      </c>
      <c r="C89" s="3" t="s">
        <v>55</v>
      </c>
      <c r="D89" s="4">
        <v>16</v>
      </c>
      <c r="E89" s="4" t="s">
        <v>12</v>
      </c>
      <c r="F89" s="29">
        <v>2.5</v>
      </c>
      <c r="G89" s="29">
        <v>2.5</v>
      </c>
      <c r="H89" s="28">
        <v>0.54</v>
      </c>
      <c r="I89" s="25">
        <v>12</v>
      </c>
      <c r="J89" s="17">
        <v>6.9859999999999998</v>
      </c>
      <c r="K89" s="36">
        <v>6.2873999999999999</v>
      </c>
      <c r="L89" s="7">
        <v>5.9380999999999995</v>
      </c>
      <c r="M89" s="46">
        <v>5.5888</v>
      </c>
      <c r="N89" s="50"/>
      <c r="O89" s="39">
        <f t="shared" si="7"/>
        <v>0</v>
      </c>
      <c r="P89" s="53">
        <f t="shared" si="8"/>
        <v>0</v>
      </c>
      <c r="S89" s="67" t="str">
        <f t="shared" si="9"/>
        <v>-</v>
      </c>
      <c r="T89" s="67" t="str">
        <f t="shared" si="10"/>
        <v>-</v>
      </c>
      <c r="U89" s="68" t="str">
        <f t="shared" si="11"/>
        <v>-</v>
      </c>
      <c r="V89" s="69" t="str">
        <f t="shared" si="12"/>
        <v>-</v>
      </c>
      <c r="X89" s="69" t="str">
        <f t="shared" si="13"/>
        <v>-</v>
      </c>
    </row>
    <row r="90" spans="1:24" x14ac:dyDescent="0.3">
      <c r="A90" s="56">
        <v>728177010270</v>
      </c>
      <c r="B90" s="4">
        <v>1027</v>
      </c>
      <c r="C90" s="3" t="s">
        <v>55</v>
      </c>
      <c r="D90" s="4">
        <v>1</v>
      </c>
      <c r="E90" s="4" t="s">
        <v>53</v>
      </c>
      <c r="F90" s="29">
        <v>6.25</v>
      </c>
      <c r="G90" s="29">
        <v>6.25</v>
      </c>
      <c r="H90" s="28">
        <v>0</v>
      </c>
      <c r="I90" s="25">
        <v>4</v>
      </c>
      <c r="J90" s="17">
        <v>44.73</v>
      </c>
      <c r="K90" s="36">
        <v>40.256999999999998</v>
      </c>
      <c r="L90" s="7">
        <v>38.020499999999998</v>
      </c>
      <c r="M90" s="46">
        <v>35.783999999999999</v>
      </c>
      <c r="N90" s="50"/>
      <c r="O90" s="39">
        <f t="shared" si="7"/>
        <v>0</v>
      </c>
      <c r="P90" s="53">
        <f t="shared" si="8"/>
        <v>0</v>
      </c>
      <c r="S90" s="67" t="str">
        <f t="shared" si="9"/>
        <v>-</v>
      </c>
      <c r="T90" s="67" t="str">
        <f t="shared" si="10"/>
        <v>-</v>
      </c>
      <c r="U90" s="68" t="str">
        <f t="shared" si="11"/>
        <v>-</v>
      </c>
      <c r="V90" s="69" t="str">
        <f t="shared" si="12"/>
        <v>-</v>
      </c>
      <c r="X90" s="69" t="str">
        <f t="shared" si="13"/>
        <v>-</v>
      </c>
    </row>
    <row r="91" spans="1:24" x14ac:dyDescent="0.3">
      <c r="A91" s="56">
        <v>728177010300</v>
      </c>
      <c r="B91" s="4">
        <v>1030</v>
      </c>
      <c r="C91" s="3" t="s">
        <v>56</v>
      </c>
      <c r="D91" s="4">
        <v>4.5</v>
      </c>
      <c r="E91" s="4" t="s">
        <v>12</v>
      </c>
      <c r="F91" s="29">
        <v>1.75</v>
      </c>
      <c r="G91" s="29">
        <v>6.625</v>
      </c>
      <c r="H91" s="28">
        <v>0.16</v>
      </c>
      <c r="I91" s="25">
        <v>24</v>
      </c>
      <c r="J91" s="17">
        <v>6.9859999999999998</v>
      </c>
      <c r="K91" s="36">
        <v>6.2873999999999999</v>
      </c>
      <c r="L91" s="7">
        <v>5.9380999999999995</v>
      </c>
      <c r="M91" s="46">
        <v>5.5888</v>
      </c>
      <c r="N91" s="50"/>
      <c r="O91" s="39">
        <f t="shared" si="7"/>
        <v>0</v>
      </c>
      <c r="P91" s="53">
        <f t="shared" si="8"/>
        <v>0</v>
      </c>
      <c r="S91" s="67" t="str">
        <f t="shared" si="9"/>
        <v>-</v>
      </c>
      <c r="T91" s="67" t="str">
        <f t="shared" si="10"/>
        <v>-</v>
      </c>
      <c r="U91" s="68" t="str">
        <f t="shared" si="11"/>
        <v>-</v>
      </c>
      <c r="V91" s="69" t="str">
        <f t="shared" si="12"/>
        <v>-</v>
      </c>
      <c r="X91" s="69" t="str">
        <f t="shared" si="13"/>
        <v>-</v>
      </c>
    </row>
    <row r="92" spans="1:24" x14ac:dyDescent="0.3">
      <c r="A92" s="56">
        <v>728177010317</v>
      </c>
      <c r="B92" s="4">
        <v>1031</v>
      </c>
      <c r="C92" s="3" t="s">
        <v>57</v>
      </c>
      <c r="D92" s="4">
        <v>4.5</v>
      </c>
      <c r="E92" s="4" t="s">
        <v>12</v>
      </c>
      <c r="F92" s="29">
        <v>1.75</v>
      </c>
      <c r="G92" s="29">
        <v>6.625</v>
      </c>
      <c r="H92" s="28">
        <v>0.16</v>
      </c>
      <c r="I92" s="25">
        <v>24</v>
      </c>
      <c r="J92" s="17">
        <v>7.6859999999999999</v>
      </c>
      <c r="K92" s="36">
        <v>6.9173999999999998</v>
      </c>
      <c r="L92" s="7">
        <v>6.5331000000000001</v>
      </c>
      <c r="M92" s="46">
        <v>6.1488000000000005</v>
      </c>
      <c r="N92" s="50"/>
      <c r="O92" s="39">
        <f t="shared" si="7"/>
        <v>0</v>
      </c>
      <c r="P92" s="53">
        <f t="shared" si="8"/>
        <v>0</v>
      </c>
      <c r="S92" s="67" t="str">
        <f t="shared" si="9"/>
        <v>-</v>
      </c>
      <c r="T92" s="67" t="str">
        <f t="shared" si="10"/>
        <v>-</v>
      </c>
      <c r="U92" s="68" t="str">
        <f t="shared" si="11"/>
        <v>-</v>
      </c>
      <c r="V92" s="69" t="str">
        <f t="shared" si="12"/>
        <v>-</v>
      </c>
      <c r="X92" s="69" t="str">
        <f t="shared" si="13"/>
        <v>-</v>
      </c>
    </row>
    <row r="93" spans="1:24" x14ac:dyDescent="0.3">
      <c r="A93" s="56">
        <v>728177010331</v>
      </c>
      <c r="B93" s="4">
        <v>1033</v>
      </c>
      <c r="C93" s="3" t="s">
        <v>58</v>
      </c>
      <c r="D93" s="4">
        <v>16</v>
      </c>
      <c r="E93" s="4" t="s">
        <v>12</v>
      </c>
      <c r="F93" s="29">
        <v>2</v>
      </c>
      <c r="G93" s="29">
        <v>3.5</v>
      </c>
      <c r="H93" s="28">
        <v>0.54</v>
      </c>
      <c r="I93" s="25">
        <v>12</v>
      </c>
      <c r="J93" s="17">
        <v>6.9859999999999998</v>
      </c>
      <c r="K93" s="36">
        <v>6.2873999999999999</v>
      </c>
      <c r="L93" s="7">
        <v>5.9380999999999995</v>
      </c>
      <c r="M93" s="46">
        <v>5.5888</v>
      </c>
      <c r="N93" s="50"/>
      <c r="O93" s="39">
        <f t="shared" si="7"/>
        <v>0</v>
      </c>
      <c r="P93" s="53">
        <f t="shared" si="8"/>
        <v>0</v>
      </c>
      <c r="S93" s="67" t="str">
        <f t="shared" si="9"/>
        <v>-</v>
      </c>
      <c r="T93" s="67" t="str">
        <f t="shared" si="10"/>
        <v>-</v>
      </c>
      <c r="U93" s="68" t="str">
        <f t="shared" si="11"/>
        <v>-</v>
      </c>
      <c r="V93" s="69" t="str">
        <f t="shared" si="12"/>
        <v>-</v>
      </c>
      <c r="X93" s="69" t="str">
        <f t="shared" si="13"/>
        <v>-</v>
      </c>
    </row>
    <row r="94" spans="1:24" x14ac:dyDescent="0.3">
      <c r="A94" s="56">
        <v>728177010355</v>
      </c>
      <c r="B94" s="4">
        <v>1035</v>
      </c>
      <c r="C94" s="3" t="s">
        <v>59</v>
      </c>
      <c r="D94" s="4">
        <v>16</v>
      </c>
      <c r="E94" s="4" t="s">
        <v>12</v>
      </c>
      <c r="F94" s="29">
        <v>2.5</v>
      </c>
      <c r="G94" s="29">
        <v>2.5</v>
      </c>
      <c r="H94" s="28">
        <v>0.52</v>
      </c>
      <c r="I94" s="25">
        <v>12</v>
      </c>
      <c r="J94" s="17">
        <v>6.2859999999999996</v>
      </c>
      <c r="K94" s="36">
        <v>5.6574</v>
      </c>
      <c r="L94" s="7">
        <v>5.3430999999999997</v>
      </c>
      <c r="M94" s="46">
        <v>5.0288000000000004</v>
      </c>
      <c r="N94" s="50"/>
      <c r="O94" s="39">
        <f t="shared" si="7"/>
        <v>0</v>
      </c>
      <c r="P94" s="53">
        <f t="shared" si="8"/>
        <v>0</v>
      </c>
      <c r="S94" s="67" t="str">
        <f t="shared" si="9"/>
        <v>-</v>
      </c>
      <c r="T94" s="67" t="str">
        <f t="shared" si="10"/>
        <v>-</v>
      </c>
      <c r="U94" s="68" t="str">
        <f t="shared" si="11"/>
        <v>-</v>
      </c>
      <c r="V94" s="69" t="str">
        <f t="shared" si="12"/>
        <v>-</v>
      </c>
      <c r="X94" s="69" t="str">
        <f t="shared" si="13"/>
        <v>-</v>
      </c>
    </row>
    <row r="95" spans="1:24" x14ac:dyDescent="0.3">
      <c r="A95" s="56">
        <v>728177010379</v>
      </c>
      <c r="B95" s="4">
        <v>1037</v>
      </c>
      <c r="C95" s="3" t="s">
        <v>60</v>
      </c>
      <c r="D95" s="4">
        <v>12</v>
      </c>
      <c r="E95" s="4" t="s">
        <v>12</v>
      </c>
      <c r="F95" s="29">
        <v>2.5</v>
      </c>
      <c r="G95" s="29">
        <v>2.5</v>
      </c>
      <c r="H95" s="28">
        <v>0.41</v>
      </c>
      <c r="I95" s="25">
        <v>12</v>
      </c>
      <c r="J95" s="17">
        <v>7.6859999999999999</v>
      </c>
      <c r="K95" s="36">
        <v>6.9173999999999998</v>
      </c>
      <c r="L95" s="7">
        <v>6.5331000000000001</v>
      </c>
      <c r="M95" s="46">
        <v>6.1488000000000005</v>
      </c>
      <c r="N95" s="50"/>
      <c r="O95" s="39">
        <f t="shared" si="7"/>
        <v>0</v>
      </c>
      <c r="P95" s="53">
        <f t="shared" si="8"/>
        <v>0</v>
      </c>
      <c r="S95" s="67" t="str">
        <f t="shared" si="9"/>
        <v>-</v>
      </c>
      <c r="T95" s="67" t="str">
        <f t="shared" si="10"/>
        <v>-</v>
      </c>
      <c r="U95" s="68" t="str">
        <f t="shared" si="11"/>
        <v>-</v>
      </c>
      <c r="V95" s="69" t="str">
        <f t="shared" si="12"/>
        <v>-</v>
      </c>
      <c r="X95" s="69" t="str">
        <f t="shared" si="13"/>
        <v>-</v>
      </c>
    </row>
    <row r="96" spans="1:24" x14ac:dyDescent="0.3">
      <c r="A96" s="56">
        <v>728177010386</v>
      </c>
      <c r="B96" s="4">
        <v>1038</v>
      </c>
      <c r="C96" s="3" t="s">
        <v>60</v>
      </c>
      <c r="D96" s="4">
        <v>1</v>
      </c>
      <c r="E96" s="4" t="s">
        <v>53</v>
      </c>
      <c r="F96" s="29">
        <v>6</v>
      </c>
      <c r="G96" s="29">
        <v>6</v>
      </c>
      <c r="H96" s="28">
        <v>0</v>
      </c>
      <c r="I96" s="25">
        <v>4</v>
      </c>
      <c r="J96" s="17">
        <v>55.985999999999997</v>
      </c>
      <c r="K96" s="36">
        <v>50.3874</v>
      </c>
      <c r="L96" s="7">
        <v>47.588099999999997</v>
      </c>
      <c r="M96" s="46">
        <v>44.788800000000002</v>
      </c>
      <c r="N96" s="50"/>
      <c r="O96" s="39">
        <f t="shared" si="7"/>
        <v>0</v>
      </c>
      <c r="P96" s="53">
        <f t="shared" si="8"/>
        <v>0</v>
      </c>
      <c r="S96" s="67" t="str">
        <f t="shared" si="9"/>
        <v>-</v>
      </c>
      <c r="T96" s="67" t="str">
        <f t="shared" si="10"/>
        <v>-</v>
      </c>
      <c r="U96" s="68" t="str">
        <f t="shared" si="11"/>
        <v>-</v>
      </c>
      <c r="V96" s="69" t="str">
        <f t="shared" si="12"/>
        <v>-</v>
      </c>
      <c r="X96" s="69" t="str">
        <f t="shared" si="13"/>
        <v>-</v>
      </c>
    </row>
    <row r="97" spans="1:24" x14ac:dyDescent="0.3">
      <c r="A97" s="56">
        <v>728177010393</v>
      </c>
      <c r="B97" s="4">
        <v>1039</v>
      </c>
      <c r="C97" s="3" t="s">
        <v>61</v>
      </c>
      <c r="D97" s="4">
        <v>12</v>
      </c>
      <c r="E97" s="4" t="s">
        <v>12</v>
      </c>
      <c r="F97" s="29">
        <v>2.5</v>
      </c>
      <c r="G97" s="29">
        <v>2.5</v>
      </c>
      <c r="H97" s="28">
        <v>0.41</v>
      </c>
      <c r="I97" s="25">
        <v>12</v>
      </c>
      <c r="J97" s="17">
        <v>7.6859999999999999</v>
      </c>
      <c r="K97" s="36">
        <v>6.9173999999999998</v>
      </c>
      <c r="L97" s="7">
        <v>6.5331000000000001</v>
      </c>
      <c r="M97" s="46">
        <v>6.1488000000000005</v>
      </c>
      <c r="N97" s="50"/>
      <c r="O97" s="39">
        <f t="shared" si="7"/>
        <v>0</v>
      </c>
      <c r="P97" s="53">
        <f t="shared" si="8"/>
        <v>0</v>
      </c>
      <c r="S97" s="67" t="str">
        <f t="shared" si="9"/>
        <v>-</v>
      </c>
      <c r="T97" s="67" t="str">
        <f t="shared" si="10"/>
        <v>-</v>
      </c>
      <c r="U97" s="68" t="str">
        <f t="shared" si="11"/>
        <v>-</v>
      </c>
      <c r="V97" s="69" t="str">
        <f t="shared" si="12"/>
        <v>-</v>
      </c>
      <c r="X97" s="69" t="str">
        <f t="shared" si="13"/>
        <v>-</v>
      </c>
    </row>
    <row r="98" spans="1:24" x14ac:dyDescent="0.3">
      <c r="A98" s="56">
        <v>728177010409</v>
      </c>
      <c r="B98" s="4">
        <v>1040</v>
      </c>
      <c r="C98" s="3" t="s">
        <v>61</v>
      </c>
      <c r="D98" s="4">
        <v>1</v>
      </c>
      <c r="E98" s="4" t="s">
        <v>53</v>
      </c>
      <c r="F98" s="29">
        <v>6</v>
      </c>
      <c r="G98" s="29">
        <v>6</v>
      </c>
      <c r="H98" s="28">
        <v>0</v>
      </c>
      <c r="I98" s="25">
        <v>4</v>
      </c>
      <c r="J98" s="17">
        <v>55.985999999999997</v>
      </c>
      <c r="K98" s="36">
        <v>50.3874</v>
      </c>
      <c r="L98" s="7">
        <v>47.588099999999997</v>
      </c>
      <c r="M98" s="46">
        <v>44.788800000000002</v>
      </c>
      <c r="N98" s="50"/>
      <c r="O98" s="39">
        <f t="shared" si="7"/>
        <v>0</v>
      </c>
      <c r="P98" s="53">
        <f t="shared" si="8"/>
        <v>0</v>
      </c>
      <c r="S98" s="67" t="str">
        <f t="shared" si="9"/>
        <v>-</v>
      </c>
      <c r="T98" s="67" t="str">
        <f t="shared" si="10"/>
        <v>-</v>
      </c>
      <c r="U98" s="68" t="str">
        <f t="shared" si="11"/>
        <v>-</v>
      </c>
      <c r="V98" s="69" t="str">
        <f t="shared" si="12"/>
        <v>-</v>
      </c>
      <c r="X98" s="69" t="str">
        <f t="shared" si="13"/>
        <v>-</v>
      </c>
    </row>
    <row r="99" spans="1:24" x14ac:dyDescent="0.3">
      <c r="A99" s="56">
        <v>728177010416</v>
      </c>
      <c r="B99" s="4">
        <v>1041</v>
      </c>
      <c r="C99" s="3" t="s">
        <v>62</v>
      </c>
      <c r="D99" s="4">
        <v>12</v>
      </c>
      <c r="E99" s="4" t="s">
        <v>12</v>
      </c>
      <c r="F99" s="29">
        <v>2.5</v>
      </c>
      <c r="G99" s="29">
        <v>2.5</v>
      </c>
      <c r="H99" s="28">
        <v>0.41</v>
      </c>
      <c r="I99" s="25">
        <v>12</v>
      </c>
      <c r="J99" s="17">
        <v>7.6859999999999999</v>
      </c>
      <c r="K99" s="36">
        <v>6.9173999999999998</v>
      </c>
      <c r="L99" s="7">
        <v>6.5331000000000001</v>
      </c>
      <c r="M99" s="46">
        <v>6.1488000000000005</v>
      </c>
      <c r="N99" s="50"/>
      <c r="O99" s="39">
        <f t="shared" si="7"/>
        <v>0</v>
      </c>
      <c r="P99" s="53">
        <f t="shared" si="8"/>
        <v>0</v>
      </c>
      <c r="S99" s="67" t="str">
        <f t="shared" si="9"/>
        <v>-</v>
      </c>
      <c r="T99" s="67" t="str">
        <f t="shared" si="10"/>
        <v>-</v>
      </c>
      <c r="U99" s="68" t="str">
        <f t="shared" si="11"/>
        <v>-</v>
      </c>
      <c r="V99" s="69" t="str">
        <f t="shared" si="12"/>
        <v>-</v>
      </c>
      <c r="X99" s="69" t="str">
        <f t="shared" si="13"/>
        <v>-</v>
      </c>
    </row>
    <row r="100" spans="1:24" x14ac:dyDescent="0.3">
      <c r="A100" s="56">
        <v>728177010423</v>
      </c>
      <c r="B100" s="4">
        <v>1042</v>
      </c>
      <c r="C100" s="3" t="s">
        <v>62</v>
      </c>
      <c r="D100" s="4">
        <v>1</v>
      </c>
      <c r="E100" s="4" t="s">
        <v>53</v>
      </c>
      <c r="F100" s="29">
        <v>6</v>
      </c>
      <c r="G100" s="29">
        <v>6</v>
      </c>
      <c r="H100" s="28">
        <v>0</v>
      </c>
      <c r="I100" s="25">
        <v>4</v>
      </c>
      <c r="J100" s="17">
        <v>55.985999999999997</v>
      </c>
      <c r="K100" s="36">
        <v>50.3874</v>
      </c>
      <c r="L100" s="7">
        <v>47.588099999999997</v>
      </c>
      <c r="M100" s="46">
        <v>44.788800000000002</v>
      </c>
      <c r="N100" s="50"/>
      <c r="O100" s="39">
        <f t="shared" si="7"/>
        <v>0</v>
      </c>
      <c r="P100" s="53">
        <f t="shared" si="8"/>
        <v>0</v>
      </c>
      <c r="S100" s="67" t="str">
        <f t="shared" si="9"/>
        <v>-</v>
      </c>
      <c r="T100" s="67" t="str">
        <f t="shared" si="10"/>
        <v>-</v>
      </c>
      <c r="U100" s="68" t="str">
        <f t="shared" si="11"/>
        <v>-</v>
      </c>
      <c r="V100" s="69" t="str">
        <f t="shared" si="12"/>
        <v>-</v>
      </c>
      <c r="X100" s="69" t="str">
        <f t="shared" si="13"/>
        <v>-</v>
      </c>
    </row>
    <row r="101" spans="1:24" x14ac:dyDescent="0.3">
      <c r="A101" s="56">
        <v>728177010454</v>
      </c>
      <c r="B101" s="4">
        <v>1045</v>
      </c>
      <c r="C101" s="3" t="s">
        <v>63</v>
      </c>
      <c r="D101" s="4">
        <v>0.5</v>
      </c>
      <c r="E101" s="4" t="s">
        <v>12</v>
      </c>
      <c r="F101" s="29">
        <v>3.25</v>
      </c>
      <c r="G101" s="29">
        <v>1</v>
      </c>
      <c r="H101" s="28">
        <v>0.04</v>
      </c>
      <c r="I101" s="25">
        <v>24</v>
      </c>
      <c r="J101" s="17">
        <v>6.9859999999999998</v>
      </c>
      <c r="K101" s="36">
        <v>6.2873999999999999</v>
      </c>
      <c r="L101" s="7">
        <v>5.9380999999999995</v>
      </c>
      <c r="M101" s="46">
        <v>5.5888</v>
      </c>
      <c r="N101" s="50"/>
      <c r="O101" s="39">
        <f t="shared" si="7"/>
        <v>0</v>
      </c>
      <c r="P101" s="53">
        <f t="shared" si="8"/>
        <v>0</v>
      </c>
      <c r="S101" s="67" t="str">
        <f t="shared" si="9"/>
        <v>-</v>
      </c>
      <c r="T101" s="67" t="str">
        <f t="shared" si="10"/>
        <v>-</v>
      </c>
      <c r="U101" s="68" t="str">
        <f t="shared" si="11"/>
        <v>-</v>
      </c>
      <c r="V101" s="69" t="str">
        <f t="shared" si="12"/>
        <v>-</v>
      </c>
      <c r="X101" s="69" t="str">
        <f t="shared" si="13"/>
        <v>-</v>
      </c>
    </row>
    <row r="102" spans="1:24" x14ac:dyDescent="0.3">
      <c r="A102" s="56">
        <v>728177010508</v>
      </c>
      <c r="B102" s="4">
        <v>1050</v>
      </c>
      <c r="C102" s="3" t="s">
        <v>64</v>
      </c>
      <c r="D102" s="4">
        <v>1</v>
      </c>
      <c r="E102" s="4" t="s">
        <v>12</v>
      </c>
      <c r="F102" s="29">
        <v>1.5</v>
      </c>
      <c r="G102" s="29">
        <v>1.5</v>
      </c>
      <c r="H102" s="28">
        <v>0.06</v>
      </c>
      <c r="I102" s="25">
        <v>24</v>
      </c>
      <c r="J102" s="17">
        <v>8.3859999999999992</v>
      </c>
      <c r="K102" s="36">
        <v>7.5473999999999997</v>
      </c>
      <c r="L102" s="7">
        <v>7.128099999999999</v>
      </c>
      <c r="M102" s="46">
        <v>6.7088000000000001</v>
      </c>
      <c r="N102" s="50"/>
      <c r="O102" s="39">
        <f t="shared" si="7"/>
        <v>0</v>
      </c>
      <c r="P102" s="53">
        <f t="shared" si="8"/>
        <v>0</v>
      </c>
      <c r="S102" s="67" t="str">
        <f t="shared" si="9"/>
        <v>-</v>
      </c>
      <c r="T102" s="67" t="str">
        <f t="shared" si="10"/>
        <v>-</v>
      </c>
      <c r="U102" s="68" t="str">
        <f t="shared" si="11"/>
        <v>-</v>
      </c>
      <c r="V102" s="69" t="str">
        <f t="shared" si="12"/>
        <v>-</v>
      </c>
      <c r="X102" s="69" t="str">
        <f t="shared" si="13"/>
        <v>-</v>
      </c>
    </row>
    <row r="103" spans="1:24" x14ac:dyDescent="0.3">
      <c r="A103" s="56">
        <v>728177010515</v>
      </c>
      <c r="B103" s="4">
        <v>1051</v>
      </c>
      <c r="C103" s="3" t="s">
        <v>65</v>
      </c>
      <c r="D103" s="4">
        <v>1</v>
      </c>
      <c r="E103" s="4" t="s">
        <v>12</v>
      </c>
      <c r="F103" s="29">
        <v>1.5</v>
      </c>
      <c r="G103" s="29">
        <v>1.5</v>
      </c>
      <c r="H103" s="28">
        <v>0.05</v>
      </c>
      <c r="I103" s="25">
        <v>24</v>
      </c>
      <c r="J103" s="17">
        <v>9.0860000000000003</v>
      </c>
      <c r="K103" s="36">
        <v>8.1774000000000004</v>
      </c>
      <c r="L103" s="7">
        <v>7.7230999999999996</v>
      </c>
      <c r="M103" s="46">
        <v>7.2688000000000006</v>
      </c>
      <c r="N103" s="50"/>
      <c r="O103" s="39">
        <f t="shared" si="7"/>
        <v>0</v>
      </c>
      <c r="P103" s="53">
        <f t="shared" si="8"/>
        <v>0</v>
      </c>
      <c r="S103" s="67" t="str">
        <f t="shared" si="9"/>
        <v>-</v>
      </c>
      <c r="T103" s="67" t="str">
        <f t="shared" si="10"/>
        <v>-</v>
      </c>
      <c r="U103" s="68" t="str">
        <f t="shared" si="11"/>
        <v>-</v>
      </c>
      <c r="V103" s="69" t="str">
        <f t="shared" si="12"/>
        <v>-</v>
      </c>
      <c r="X103" s="69" t="str">
        <f t="shared" si="13"/>
        <v>-</v>
      </c>
    </row>
    <row r="104" spans="1:24" x14ac:dyDescent="0.3">
      <c r="A104" s="56">
        <v>728177010553</v>
      </c>
      <c r="B104" s="4">
        <v>1055</v>
      </c>
      <c r="C104" s="3" t="s">
        <v>66</v>
      </c>
      <c r="D104" s="4">
        <v>1</v>
      </c>
      <c r="E104" s="4" t="s">
        <v>12</v>
      </c>
      <c r="F104" s="29">
        <v>1.25</v>
      </c>
      <c r="G104" s="29">
        <v>1.25</v>
      </c>
      <c r="H104" s="28">
        <v>0.05</v>
      </c>
      <c r="I104" s="25">
        <v>24</v>
      </c>
      <c r="J104" s="17">
        <v>5.9499999999999993</v>
      </c>
      <c r="K104" s="36">
        <v>5.3549999999999995</v>
      </c>
      <c r="L104" s="7">
        <v>5.0574999999999992</v>
      </c>
      <c r="M104" s="46">
        <v>4.76</v>
      </c>
      <c r="N104" s="50"/>
      <c r="O104" s="39">
        <f t="shared" si="7"/>
        <v>0</v>
      </c>
      <c r="P104" s="53">
        <f t="shared" si="8"/>
        <v>0</v>
      </c>
      <c r="S104" s="67" t="str">
        <f t="shared" si="9"/>
        <v>-</v>
      </c>
      <c r="T104" s="67" t="str">
        <f t="shared" si="10"/>
        <v>-</v>
      </c>
      <c r="U104" s="68" t="str">
        <f t="shared" si="11"/>
        <v>-</v>
      </c>
      <c r="V104" s="69" t="str">
        <f t="shared" si="12"/>
        <v>-</v>
      </c>
      <c r="X104" s="69" t="str">
        <f t="shared" si="13"/>
        <v>-</v>
      </c>
    </row>
    <row r="105" spans="1:24" x14ac:dyDescent="0.3">
      <c r="A105" s="56">
        <v>728177010607</v>
      </c>
      <c r="B105" s="4">
        <v>1060</v>
      </c>
      <c r="C105" s="3" t="s">
        <v>67</v>
      </c>
      <c r="D105" s="4">
        <v>4</v>
      </c>
      <c r="E105" s="4" t="s">
        <v>12</v>
      </c>
      <c r="F105" s="29">
        <v>2</v>
      </c>
      <c r="G105" s="29">
        <v>2</v>
      </c>
      <c r="H105" s="28">
        <v>0.14000000000000001</v>
      </c>
      <c r="I105" s="25">
        <v>24</v>
      </c>
      <c r="J105" s="17">
        <v>6.2859999999999996</v>
      </c>
      <c r="K105" s="36">
        <v>5.6574</v>
      </c>
      <c r="L105" s="7">
        <v>5.3430999999999997</v>
      </c>
      <c r="M105" s="46">
        <v>5.0288000000000004</v>
      </c>
      <c r="N105" s="50"/>
      <c r="O105" s="39">
        <f t="shared" si="7"/>
        <v>0</v>
      </c>
      <c r="P105" s="53">
        <f t="shared" si="8"/>
        <v>0</v>
      </c>
      <c r="S105" s="67" t="str">
        <f t="shared" si="9"/>
        <v>-</v>
      </c>
      <c r="T105" s="67" t="str">
        <f t="shared" si="10"/>
        <v>-</v>
      </c>
      <c r="U105" s="68" t="str">
        <f t="shared" si="11"/>
        <v>-</v>
      </c>
      <c r="V105" s="69" t="str">
        <f t="shared" si="12"/>
        <v>-</v>
      </c>
      <c r="X105" s="69" t="str">
        <f t="shared" si="13"/>
        <v>-</v>
      </c>
    </row>
    <row r="106" spans="1:24" x14ac:dyDescent="0.3">
      <c r="A106" s="56">
        <v>728177010614</v>
      </c>
      <c r="B106" s="4">
        <v>1061</v>
      </c>
      <c r="C106" s="3" t="s">
        <v>68</v>
      </c>
      <c r="D106" s="4">
        <v>4</v>
      </c>
      <c r="E106" s="4" t="s">
        <v>12</v>
      </c>
      <c r="F106" s="29">
        <v>2</v>
      </c>
      <c r="G106" s="29">
        <v>2</v>
      </c>
      <c r="H106" s="28">
        <v>0.16</v>
      </c>
      <c r="I106" s="25">
        <v>24</v>
      </c>
      <c r="J106" s="17">
        <v>6.2859999999999996</v>
      </c>
      <c r="K106" s="36">
        <v>5.6574</v>
      </c>
      <c r="L106" s="7">
        <v>5.3430999999999997</v>
      </c>
      <c r="M106" s="46">
        <v>5.0288000000000004</v>
      </c>
      <c r="N106" s="50"/>
      <c r="O106" s="39">
        <f t="shared" si="7"/>
        <v>0</v>
      </c>
      <c r="P106" s="53">
        <f t="shared" si="8"/>
        <v>0</v>
      </c>
      <c r="S106" s="67" t="str">
        <f t="shared" si="9"/>
        <v>-</v>
      </c>
      <c r="T106" s="67" t="str">
        <f t="shared" si="10"/>
        <v>-</v>
      </c>
      <c r="U106" s="68" t="str">
        <f t="shared" si="11"/>
        <v>-</v>
      </c>
      <c r="V106" s="69" t="str">
        <f t="shared" si="12"/>
        <v>-</v>
      </c>
      <c r="X106" s="69" t="str">
        <f t="shared" si="13"/>
        <v>-</v>
      </c>
    </row>
    <row r="107" spans="1:24" x14ac:dyDescent="0.3">
      <c r="A107" s="56">
        <v>728177010621</v>
      </c>
      <c r="B107" s="4">
        <v>1062</v>
      </c>
      <c r="C107" s="3" t="s">
        <v>69</v>
      </c>
      <c r="D107" s="4">
        <v>4</v>
      </c>
      <c r="E107" s="4" t="s">
        <v>12</v>
      </c>
      <c r="F107" s="29">
        <v>2</v>
      </c>
      <c r="G107" s="29">
        <v>2</v>
      </c>
      <c r="H107" s="28">
        <v>0.14000000000000001</v>
      </c>
      <c r="I107" s="25">
        <v>24</v>
      </c>
      <c r="J107" s="17">
        <v>6.2859999999999996</v>
      </c>
      <c r="K107" s="36">
        <v>5.6574</v>
      </c>
      <c r="L107" s="7">
        <v>5.3430999999999997</v>
      </c>
      <c r="M107" s="46">
        <v>5.0288000000000004</v>
      </c>
      <c r="N107" s="50"/>
      <c r="O107" s="39">
        <f t="shared" si="7"/>
        <v>0</v>
      </c>
      <c r="P107" s="53">
        <f t="shared" si="8"/>
        <v>0</v>
      </c>
      <c r="S107" s="67" t="str">
        <f t="shared" si="9"/>
        <v>-</v>
      </c>
      <c r="T107" s="67" t="str">
        <f t="shared" si="10"/>
        <v>-</v>
      </c>
      <c r="U107" s="68" t="str">
        <f t="shared" si="11"/>
        <v>-</v>
      </c>
      <c r="V107" s="69" t="str">
        <f t="shared" si="12"/>
        <v>-</v>
      </c>
      <c r="X107" s="69" t="str">
        <f t="shared" si="13"/>
        <v>-</v>
      </c>
    </row>
    <row r="108" spans="1:24" x14ac:dyDescent="0.3">
      <c r="A108" s="56">
        <v>728177010652</v>
      </c>
      <c r="B108" s="4">
        <v>1065</v>
      </c>
      <c r="C108" s="3" t="s">
        <v>70</v>
      </c>
      <c r="D108" s="4">
        <v>2.6</v>
      </c>
      <c r="E108" s="4" t="s">
        <v>12</v>
      </c>
      <c r="F108" s="29">
        <v>1.125</v>
      </c>
      <c r="G108" s="29">
        <v>2.125</v>
      </c>
      <c r="H108" s="28">
        <v>0.11</v>
      </c>
      <c r="I108" s="25">
        <v>24</v>
      </c>
      <c r="J108" s="17">
        <v>5.25</v>
      </c>
      <c r="K108" s="36">
        <v>4.7250000000000005</v>
      </c>
      <c r="L108" s="7">
        <v>4.4624999999999995</v>
      </c>
      <c r="M108" s="46">
        <v>4.2</v>
      </c>
      <c r="N108" s="50"/>
      <c r="O108" s="39">
        <f t="shared" si="7"/>
        <v>0</v>
      </c>
      <c r="P108" s="53">
        <f t="shared" si="8"/>
        <v>0</v>
      </c>
      <c r="S108" s="67" t="str">
        <f t="shared" si="9"/>
        <v>-</v>
      </c>
      <c r="T108" s="67" t="str">
        <f t="shared" si="10"/>
        <v>-</v>
      </c>
      <c r="U108" s="68" t="str">
        <f t="shared" si="11"/>
        <v>-</v>
      </c>
      <c r="V108" s="69" t="str">
        <f t="shared" si="12"/>
        <v>-</v>
      </c>
      <c r="X108" s="69" t="str">
        <f t="shared" si="13"/>
        <v>-</v>
      </c>
    </row>
    <row r="109" spans="1:24" x14ac:dyDescent="0.3">
      <c r="A109" s="56">
        <v>728177010669</v>
      </c>
      <c r="B109" s="4">
        <v>1066</v>
      </c>
      <c r="C109" s="3" t="s">
        <v>71</v>
      </c>
      <c r="D109" s="4">
        <v>2.6</v>
      </c>
      <c r="E109" s="4" t="s">
        <v>12</v>
      </c>
      <c r="F109" s="29">
        <v>1.125</v>
      </c>
      <c r="G109" s="29">
        <v>2.125</v>
      </c>
      <c r="H109" s="28">
        <v>0.11</v>
      </c>
      <c r="I109" s="25">
        <v>24</v>
      </c>
      <c r="J109" s="17">
        <v>5.25</v>
      </c>
      <c r="K109" s="36">
        <v>4.7250000000000005</v>
      </c>
      <c r="L109" s="7">
        <v>4.4624999999999995</v>
      </c>
      <c r="M109" s="46">
        <v>4.2</v>
      </c>
      <c r="N109" s="50"/>
      <c r="O109" s="39">
        <f t="shared" si="7"/>
        <v>0</v>
      </c>
      <c r="P109" s="53">
        <f t="shared" si="8"/>
        <v>0</v>
      </c>
      <c r="S109" s="67" t="str">
        <f t="shared" si="9"/>
        <v>-</v>
      </c>
      <c r="T109" s="67" t="str">
        <f t="shared" si="10"/>
        <v>-</v>
      </c>
      <c r="U109" s="68" t="str">
        <f t="shared" si="11"/>
        <v>-</v>
      </c>
      <c r="V109" s="69" t="str">
        <f t="shared" si="12"/>
        <v>-</v>
      </c>
      <c r="X109" s="69" t="str">
        <f t="shared" si="13"/>
        <v>-</v>
      </c>
    </row>
    <row r="110" spans="1:24" x14ac:dyDescent="0.3">
      <c r="A110" s="56">
        <v>728177010676</v>
      </c>
      <c r="B110" s="4">
        <v>1067</v>
      </c>
      <c r="C110" s="3" t="s">
        <v>72</v>
      </c>
      <c r="D110" s="4">
        <v>2.6</v>
      </c>
      <c r="E110" s="4" t="s">
        <v>12</v>
      </c>
      <c r="F110" s="29">
        <v>1.125</v>
      </c>
      <c r="G110" s="29">
        <v>2.125</v>
      </c>
      <c r="H110" s="28">
        <v>0.11</v>
      </c>
      <c r="I110" s="25">
        <v>24</v>
      </c>
      <c r="J110" s="17">
        <v>5.25</v>
      </c>
      <c r="K110" s="36">
        <v>4.7250000000000005</v>
      </c>
      <c r="L110" s="7">
        <v>4.4624999999999995</v>
      </c>
      <c r="M110" s="46">
        <v>4.2</v>
      </c>
      <c r="N110" s="50"/>
      <c r="O110" s="39">
        <f t="shared" si="7"/>
        <v>0</v>
      </c>
      <c r="P110" s="53">
        <f t="shared" si="8"/>
        <v>0</v>
      </c>
      <c r="S110" s="67" t="str">
        <f t="shared" si="9"/>
        <v>-</v>
      </c>
      <c r="T110" s="67" t="str">
        <f t="shared" si="10"/>
        <v>-</v>
      </c>
      <c r="U110" s="68" t="str">
        <f t="shared" si="11"/>
        <v>-</v>
      </c>
      <c r="V110" s="69" t="str">
        <f t="shared" si="12"/>
        <v>-</v>
      </c>
      <c r="X110" s="69" t="str">
        <f t="shared" si="13"/>
        <v>-</v>
      </c>
    </row>
    <row r="111" spans="1:24" x14ac:dyDescent="0.3">
      <c r="A111" s="56">
        <v>728177010805</v>
      </c>
      <c r="B111" s="4">
        <v>1080</v>
      </c>
      <c r="C111" s="3" t="s">
        <v>73</v>
      </c>
      <c r="D111" s="4">
        <v>2.6</v>
      </c>
      <c r="E111" s="4" t="s">
        <v>12</v>
      </c>
      <c r="F111" s="29">
        <v>1.125</v>
      </c>
      <c r="G111" s="29">
        <v>2.125</v>
      </c>
      <c r="H111" s="28">
        <v>0.11</v>
      </c>
      <c r="I111" s="25">
        <v>24</v>
      </c>
      <c r="J111" s="17">
        <v>5.9499999999999993</v>
      </c>
      <c r="K111" s="36">
        <v>5.3549999999999995</v>
      </c>
      <c r="L111" s="7">
        <v>5.0574999999999992</v>
      </c>
      <c r="M111" s="46">
        <v>4.76</v>
      </c>
      <c r="N111" s="50"/>
      <c r="O111" s="39">
        <f t="shared" si="7"/>
        <v>0</v>
      </c>
      <c r="P111" s="53">
        <f t="shared" si="8"/>
        <v>0</v>
      </c>
      <c r="S111" s="67" t="str">
        <f t="shared" si="9"/>
        <v>-</v>
      </c>
      <c r="T111" s="67" t="str">
        <f t="shared" si="10"/>
        <v>-</v>
      </c>
      <c r="U111" s="68" t="str">
        <f t="shared" si="11"/>
        <v>-</v>
      </c>
      <c r="V111" s="69" t="str">
        <f t="shared" si="12"/>
        <v>-</v>
      </c>
      <c r="X111" s="69" t="str">
        <f t="shared" si="13"/>
        <v>-</v>
      </c>
    </row>
    <row r="112" spans="1:24" x14ac:dyDescent="0.3">
      <c r="A112" s="56">
        <v>728177010850</v>
      </c>
      <c r="B112" s="4">
        <v>1085</v>
      </c>
      <c r="C112" s="3" t="s">
        <v>74</v>
      </c>
      <c r="D112" s="4">
        <v>8</v>
      </c>
      <c r="E112" s="4" t="s">
        <v>12</v>
      </c>
      <c r="F112" s="29">
        <v>2</v>
      </c>
      <c r="G112" s="29">
        <v>2</v>
      </c>
      <c r="H112" s="28">
        <v>0.27</v>
      </c>
      <c r="I112" s="25">
        <v>12</v>
      </c>
      <c r="J112" s="17">
        <v>7.6859999999999999</v>
      </c>
      <c r="K112" s="36">
        <v>6.9173999999999998</v>
      </c>
      <c r="L112" s="7">
        <v>6.5331000000000001</v>
      </c>
      <c r="M112" s="46">
        <v>6.1488000000000005</v>
      </c>
      <c r="N112" s="50"/>
      <c r="O112" s="39">
        <f t="shared" si="7"/>
        <v>0</v>
      </c>
      <c r="P112" s="53">
        <f t="shared" si="8"/>
        <v>0</v>
      </c>
      <c r="S112" s="67" t="str">
        <f t="shared" si="9"/>
        <v>-</v>
      </c>
      <c r="T112" s="67" t="str">
        <f t="shared" si="10"/>
        <v>-</v>
      </c>
      <c r="U112" s="68" t="str">
        <f t="shared" si="11"/>
        <v>-</v>
      </c>
      <c r="V112" s="69" t="str">
        <f t="shared" si="12"/>
        <v>-</v>
      </c>
      <c r="X112" s="69" t="str">
        <f t="shared" si="13"/>
        <v>-</v>
      </c>
    </row>
    <row r="113" spans="1:24" x14ac:dyDescent="0.3">
      <c r="A113" s="56">
        <v>728177010904</v>
      </c>
      <c r="B113" s="4">
        <v>1090</v>
      </c>
      <c r="C113" s="3" t="s">
        <v>75</v>
      </c>
      <c r="D113" s="4">
        <v>2</v>
      </c>
      <c r="E113" s="4" t="s">
        <v>12</v>
      </c>
      <c r="F113" s="29">
        <v>2.375</v>
      </c>
      <c r="G113" s="29">
        <v>2.375</v>
      </c>
      <c r="H113" s="28">
        <v>0.09</v>
      </c>
      <c r="I113" s="25">
        <v>24</v>
      </c>
      <c r="J113" s="17">
        <v>16.785999999999998</v>
      </c>
      <c r="K113" s="36">
        <v>15.107399999999998</v>
      </c>
      <c r="L113" s="7">
        <v>14.268099999999997</v>
      </c>
      <c r="M113" s="46">
        <v>13.428799999999999</v>
      </c>
      <c r="N113" s="50"/>
      <c r="O113" s="39">
        <f t="shared" si="7"/>
        <v>0</v>
      </c>
      <c r="P113" s="53">
        <f t="shared" si="8"/>
        <v>0</v>
      </c>
      <c r="S113" s="67" t="str">
        <f t="shared" si="9"/>
        <v>-</v>
      </c>
      <c r="T113" s="67" t="str">
        <f t="shared" si="10"/>
        <v>-</v>
      </c>
      <c r="U113" s="68" t="str">
        <f t="shared" si="11"/>
        <v>-</v>
      </c>
      <c r="V113" s="69" t="str">
        <f t="shared" si="12"/>
        <v>-</v>
      </c>
      <c r="X113" s="69" t="str">
        <f t="shared" si="13"/>
        <v>-</v>
      </c>
    </row>
    <row r="114" spans="1:24" x14ac:dyDescent="0.3">
      <c r="A114" s="56">
        <v>728177010911</v>
      </c>
      <c r="B114" s="4">
        <v>1091</v>
      </c>
      <c r="C114" s="3" t="s">
        <v>76</v>
      </c>
      <c r="D114" s="4">
        <v>2</v>
      </c>
      <c r="E114" s="4" t="s">
        <v>12</v>
      </c>
      <c r="F114" s="29">
        <v>2.375</v>
      </c>
      <c r="G114" s="29">
        <v>2.375</v>
      </c>
      <c r="H114" s="28">
        <v>0.09</v>
      </c>
      <c r="I114" s="25">
        <v>24</v>
      </c>
      <c r="J114" s="17">
        <v>18.186</v>
      </c>
      <c r="K114" s="36">
        <v>16.3674</v>
      </c>
      <c r="L114" s="7">
        <v>15.4581</v>
      </c>
      <c r="M114" s="46">
        <v>14.5488</v>
      </c>
      <c r="N114" s="50"/>
      <c r="O114" s="39">
        <f t="shared" si="7"/>
        <v>0</v>
      </c>
      <c r="P114" s="53">
        <f t="shared" si="8"/>
        <v>0</v>
      </c>
      <c r="S114" s="67" t="str">
        <f t="shared" si="9"/>
        <v>-</v>
      </c>
      <c r="T114" s="67" t="str">
        <f t="shared" si="10"/>
        <v>-</v>
      </c>
      <c r="U114" s="68" t="str">
        <f t="shared" si="11"/>
        <v>-</v>
      </c>
      <c r="V114" s="69" t="str">
        <f t="shared" si="12"/>
        <v>-</v>
      </c>
      <c r="X114" s="69" t="str">
        <f t="shared" si="13"/>
        <v>-</v>
      </c>
    </row>
    <row r="115" spans="1:24" x14ac:dyDescent="0.3">
      <c r="A115" s="56">
        <v>728177010928</v>
      </c>
      <c r="B115" s="4">
        <v>1092</v>
      </c>
      <c r="C115" s="3" t="s">
        <v>77</v>
      </c>
      <c r="D115" s="4">
        <v>8</v>
      </c>
      <c r="E115" s="4" t="s">
        <v>12</v>
      </c>
      <c r="F115" s="29">
        <v>2</v>
      </c>
      <c r="G115" s="29">
        <v>3</v>
      </c>
      <c r="H115" s="28">
        <v>0.25</v>
      </c>
      <c r="I115" s="25">
        <v>12</v>
      </c>
      <c r="J115" s="17">
        <v>13.846</v>
      </c>
      <c r="K115" s="36">
        <v>12.461400000000001</v>
      </c>
      <c r="L115" s="7">
        <v>11.7691</v>
      </c>
      <c r="M115" s="46">
        <v>11.0768</v>
      </c>
      <c r="N115" s="50"/>
      <c r="O115" s="39">
        <f t="shared" si="7"/>
        <v>0</v>
      </c>
      <c r="P115" s="53">
        <f t="shared" si="8"/>
        <v>0</v>
      </c>
      <c r="S115" s="67" t="str">
        <f t="shared" si="9"/>
        <v>-</v>
      </c>
      <c r="T115" s="67" t="str">
        <f t="shared" si="10"/>
        <v>-</v>
      </c>
      <c r="U115" s="68" t="str">
        <f t="shared" si="11"/>
        <v>-</v>
      </c>
      <c r="V115" s="69" t="str">
        <f t="shared" si="12"/>
        <v>-</v>
      </c>
      <c r="X115" s="69" t="str">
        <f t="shared" si="13"/>
        <v>-</v>
      </c>
    </row>
    <row r="116" spans="1:24" x14ac:dyDescent="0.3">
      <c r="A116" s="56">
        <v>728177010935</v>
      </c>
      <c r="B116" s="4">
        <v>1093</v>
      </c>
      <c r="C116" s="3" t="s">
        <v>78</v>
      </c>
      <c r="D116" s="4">
        <v>1</v>
      </c>
      <c r="E116" s="4" t="s">
        <v>12</v>
      </c>
      <c r="F116" s="29">
        <v>1.375</v>
      </c>
      <c r="G116" s="29">
        <v>1.375</v>
      </c>
      <c r="H116" s="28">
        <v>0.09</v>
      </c>
      <c r="I116" s="25">
        <v>24</v>
      </c>
      <c r="J116" s="17">
        <v>18.186</v>
      </c>
      <c r="K116" s="36">
        <v>16.3674</v>
      </c>
      <c r="L116" s="7">
        <v>15.4581</v>
      </c>
      <c r="M116" s="46">
        <v>14.5488</v>
      </c>
      <c r="N116" s="50"/>
      <c r="O116" s="39">
        <f t="shared" si="7"/>
        <v>0</v>
      </c>
      <c r="P116" s="53">
        <f t="shared" si="8"/>
        <v>0</v>
      </c>
      <c r="S116" s="67" t="str">
        <f t="shared" si="9"/>
        <v>-</v>
      </c>
      <c r="T116" s="67" t="str">
        <f t="shared" si="10"/>
        <v>-</v>
      </c>
      <c r="U116" s="68" t="str">
        <f t="shared" si="11"/>
        <v>-</v>
      </c>
      <c r="V116" s="69" t="str">
        <f t="shared" si="12"/>
        <v>-</v>
      </c>
      <c r="X116" s="69" t="str">
        <f t="shared" si="13"/>
        <v>-</v>
      </c>
    </row>
    <row r="117" spans="1:24" x14ac:dyDescent="0.3">
      <c r="A117" s="56">
        <v>728177010966</v>
      </c>
      <c r="B117" s="4">
        <v>1096</v>
      </c>
      <c r="C117" s="3" t="s">
        <v>79</v>
      </c>
      <c r="D117" s="4">
        <v>4.2</v>
      </c>
      <c r="E117" s="4" t="s">
        <v>12</v>
      </c>
      <c r="F117" s="29">
        <v>1.75</v>
      </c>
      <c r="G117" s="29">
        <v>1.75</v>
      </c>
      <c r="H117" s="28">
        <v>0.16</v>
      </c>
      <c r="I117" s="25">
        <v>24</v>
      </c>
      <c r="J117" s="17">
        <v>11.885999999999999</v>
      </c>
      <c r="K117" s="36">
        <v>10.6974</v>
      </c>
      <c r="L117" s="7">
        <v>10.1031</v>
      </c>
      <c r="M117" s="46">
        <v>9.508799999999999</v>
      </c>
      <c r="N117" s="50"/>
      <c r="O117" s="39">
        <f t="shared" si="7"/>
        <v>0</v>
      </c>
      <c r="P117" s="53">
        <f t="shared" si="8"/>
        <v>0</v>
      </c>
      <c r="S117" s="67" t="str">
        <f t="shared" si="9"/>
        <v>-</v>
      </c>
      <c r="T117" s="67" t="str">
        <f t="shared" si="10"/>
        <v>-</v>
      </c>
      <c r="U117" s="68" t="str">
        <f t="shared" si="11"/>
        <v>-</v>
      </c>
      <c r="V117" s="69" t="str">
        <f t="shared" si="12"/>
        <v>-</v>
      </c>
      <c r="X117" s="69" t="str">
        <f t="shared" si="13"/>
        <v>-</v>
      </c>
    </row>
    <row r="118" spans="1:24" x14ac:dyDescent="0.3">
      <c r="A118" s="56">
        <v>728177010973</v>
      </c>
      <c r="B118" s="4">
        <v>1097</v>
      </c>
      <c r="C118" s="3" t="s">
        <v>80</v>
      </c>
      <c r="D118" s="4">
        <v>4.2</v>
      </c>
      <c r="E118" s="4" t="s">
        <v>12</v>
      </c>
      <c r="F118" s="29">
        <v>1.75</v>
      </c>
      <c r="G118" s="29">
        <v>1.75</v>
      </c>
      <c r="H118" s="28">
        <v>0.16</v>
      </c>
      <c r="I118" s="25">
        <v>24</v>
      </c>
      <c r="J118" s="17">
        <v>10.485999999999999</v>
      </c>
      <c r="K118" s="36">
        <v>9.4373999999999985</v>
      </c>
      <c r="L118" s="7">
        <v>8.9130999999999982</v>
      </c>
      <c r="M118" s="46">
        <v>8.3887999999999998</v>
      </c>
      <c r="N118" s="50"/>
      <c r="O118" s="39">
        <f t="shared" si="7"/>
        <v>0</v>
      </c>
      <c r="P118" s="53">
        <f t="shared" si="8"/>
        <v>0</v>
      </c>
      <c r="S118" s="67" t="str">
        <f t="shared" si="9"/>
        <v>-</v>
      </c>
      <c r="T118" s="67" t="str">
        <f t="shared" si="10"/>
        <v>-</v>
      </c>
      <c r="U118" s="68" t="str">
        <f t="shared" si="11"/>
        <v>-</v>
      </c>
      <c r="V118" s="69" t="str">
        <f t="shared" si="12"/>
        <v>-</v>
      </c>
      <c r="X118" s="69" t="str">
        <f t="shared" si="13"/>
        <v>-</v>
      </c>
    </row>
    <row r="119" spans="1:24" x14ac:dyDescent="0.3">
      <c r="A119" s="56">
        <v>728177015008</v>
      </c>
      <c r="B119" s="4">
        <v>1500</v>
      </c>
      <c r="C119" s="3" t="s">
        <v>81</v>
      </c>
      <c r="D119" s="4">
        <v>2</v>
      </c>
      <c r="E119" s="4" t="s">
        <v>12</v>
      </c>
      <c r="F119" s="29">
        <v>1.375</v>
      </c>
      <c r="G119" s="29">
        <v>1.375</v>
      </c>
      <c r="H119" s="28">
        <v>0</v>
      </c>
      <c r="I119" s="25">
        <v>12</v>
      </c>
      <c r="J119" s="17">
        <v>2.0859999999999999</v>
      </c>
      <c r="K119" s="36">
        <v>1.8774</v>
      </c>
      <c r="L119" s="7">
        <v>1.7730999999999999</v>
      </c>
      <c r="M119" s="46">
        <v>1.6688000000000001</v>
      </c>
      <c r="N119" s="50"/>
      <c r="O119" s="39">
        <f t="shared" si="7"/>
        <v>0</v>
      </c>
      <c r="P119" s="53">
        <f t="shared" si="8"/>
        <v>0</v>
      </c>
      <c r="S119" s="67" t="str">
        <f t="shared" si="9"/>
        <v>-</v>
      </c>
      <c r="T119" s="67" t="str">
        <f t="shared" si="10"/>
        <v>-</v>
      </c>
      <c r="U119" s="68" t="str">
        <f t="shared" si="11"/>
        <v>-</v>
      </c>
      <c r="V119" s="69" t="str">
        <f t="shared" si="12"/>
        <v>-</v>
      </c>
      <c r="X119" s="69" t="str">
        <f t="shared" si="13"/>
        <v>-</v>
      </c>
    </row>
    <row r="120" spans="1:24" x14ac:dyDescent="0.3">
      <c r="A120" s="56">
        <v>728177015022</v>
      </c>
      <c r="B120" s="4">
        <v>1502</v>
      </c>
      <c r="C120" s="3" t="s">
        <v>81</v>
      </c>
      <c r="D120" s="4">
        <v>8</v>
      </c>
      <c r="E120" s="4" t="s">
        <v>12</v>
      </c>
      <c r="F120" s="29">
        <v>2</v>
      </c>
      <c r="G120" s="29">
        <v>2</v>
      </c>
      <c r="H120" s="28">
        <v>0.28999999999999998</v>
      </c>
      <c r="I120" s="25">
        <v>12</v>
      </c>
      <c r="J120" s="17">
        <v>6.2859999999999996</v>
      </c>
      <c r="K120" s="36">
        <v>5.6574</v>
      </c>
      <c r="L120" s="7">
        <v>5.3430999999999997</v>
      </c>
      <c r="M120" s="46">
        <v>5.0288000000000004</v>
      </c>
      <c r="N120" s="50"/>
      <c r="O120" s="39">
        <f t="shared" si="7"/>
        <v>0</v>
      </c>
      <c r="P120" s="53">
        <f t="shared" si="8"/>
        <v>0</v>
      </c>
      <c r="S120" s="67" t="str">
        <f t="shared" si="9"/>
        <v>-</v>
      </c>
      <c r="T120" s="67" t="str">
        <f t="shared" si="10"/>
        <v>-</v>
      </c>
      <c r="U120" s="68" t="str">
        <f t="shared" si="11"/>
        <v>-</v>
      </c>
      <c r="V120" s="69" t="str">
        <f t="shared" si="12"/>
        <v>-</v>
      </c>
      <c r="X120" s="69" t="str">
        <f t="shared" si="13"/>
        <v>-</v>
      </c>
    </row>
    <row r="121" spans="1:24" x14ac:dyDescent="0.3">
      <c r="A121" s="56">
        <v>728177015046</v>
      </c>
      <c r="B121" s="4">
        <v>1504</v>
      </c>
      <c r="C121" s="3" t="s">
        <v>81</v>
      </c>
      <c r="D121" s="4">
        <v>32</v>
      </c>
      <c r="E121" s="4" t="s">
        <v>12</v>
      </c>
      <c r="F121" s="29">
        <v>3.25</v>
      </c>
      <c r="G121" s="29">
        <v>3.25</v>
      </c>
      <c r="H121" s="28">
        <v>0</v>
      </c>
      <c r="I121" s="25">
        <v>12</v>
      </c>
      <c r="J121" s="17">
        <v>16.085999999999999</v>
      </c>
      <c r="K121" s="36">
        <v>14.477399999999999</v>
      </c>
      <c r="L121" s="7">
        <v>13.673099999999998</v>
      </c>
      <c r="M121" s="46">
        <v>12.8688</v>
      </c>
      <c r="N121" s="50"/>
      <c r="O121" s="39">
        <f t="shared" si="7"/>
        <v>0</v>
      </c>
      <c r="P121" s="53">
        <f t="shared" si="8"/>
        <v>0</v>
      </c>
      <c r="S121" s="67" t="str">
        <f t="shared" si="9"/>
        <v>-</v>
      </c>
      <c r="T121" s="67" t="str">
        <f t="shared" si="10"/>
        <v>-</v>
      </c>
      <c r="U121" s="68" t="str">
        <f t="shared" si="11"/>
        <v>-</v>
      </c>
      <c r="V121" s="69" t="str">
        <f t="shared" si="12"/>
        <v>-</v>
      </c>
      <c r="X121" s="69" t="str">
        <f t="shared" si="13"/>
        <v>-</v>
      </c>
    </row>
    <row r="122" spans="1:24" x14ac:dyDescent="0.3">
      <c r="A122" s="56">
        <v>728177015060</v>
      </c>
      <c r="B122" s="4">
        <v>1506</v>
      </c>
      <c r="C122" s="3" t="s">
        <v>81</v>
      </c>
      <c r="D122" s="4">
        <v>1</v>
      </c>
      <c r="E122" s="4" t="s">
        <v>53</v>
      </c>
      <c r="F122" s="29">
        <v>6</v>
      </c>
      <c r="G122" s="29">
        <v>6</v>
      </c>
      <c r="H122" s="28">
        <v>0</v>
      </c>
      <c r="I122" s="25">
        <v>4</v>
      </c>
      <c r="J122" s="17">
        <v>44.785999999999994</v>
      </c>
      <c r="K122" s="36">
        <v>40.307399999999994</v>
      </c>
      <c r="L122" s="7">
        <v>38.068099999999994</v>
      </c>
      <c r="M122" s="46">
        <v>35.828799999999994</v>
      </c>
      <c r="N122" s="50"/>
      <c r="O122" s="39">
        <f t="shared" si="7"/>
        <v>0</v>
      </c>
      <c r="P122" s="53">
        <f t="shared" si="8"/>
        <v>0</v>
      </c>
      <c r="S122" s="67" t="str">
        <f t="shared" si="9"/>
        <v>-</v>
      </c>
      <c r="T122" s="67" t="str">
        <f t="shared" si="10"/>
        <v>-</v>
      </c>
      <c r="U122" s="68" t="str">
        <f t="shared" si="11"/>
        <v>-</v>
      </c>
      <c r="V122" s="69" t="str">
        <f t="shared" si="12"/>
        <v>-</v>
      </c>
      <c r="X122" s="69" t="str">
        <f t="shared" si="13"/>
        <v>-</v>
      </c>
    </row>
    <row r="123" spans="1:24" x14ac:dyDescent="0.3">
      <c r="A123" s="56">
        <v>728177015107</v>
      </c>
      <c r="B123" s="4">
        <v>1510</v>
      </c>
      <c r="C123" s="3" t="s">
        <v>82</v>
      </c>
      <c r="D123" s="4">
        <v>2</v>
      </c>
      <c r="E123" s="4" t="s">
        <v>12</v>
      </c>
      <c r="F123" s="29">
        <v>1.375</v>
      </c>
      <c r="G123" s="29">
        <v>1.375</v>
      </c>
      <c r="H123" s="28">
        <v>0</v>
      </c>
      <c r="I123" s="25">
        <v>12</v>
      </c>
      <c r="J123" s="17">
        <v>2.0859999999999999</v>
      </c>
      <c r="K123" s="36">
        <v>1.8774</v>
      </c>
      <c r="L123" s="7">
        <v>1.7730999999999999</v>
      </c>
      <c r="M123" s="46">
        <v>1.6688000000000001</v>
      </c>
      <c r="N123" s="50"/>
      <c r="O123" s="39">
        <f t="shared" si="7"/>
        <v>0</v>
      </c>
      <c r="P123" s="53">
        <f t="shared" si="8"/>
        <v>0</v>
      </c>
      <c r="S123" s="67" t="str">
        <f t="shared" si="9"/>
        <v>-</v>
      </c>
      <c r="T123" s="67" t="str">
        <f t="shared" si="10"/>
        <v>-</v>
      </c>
      <c r="U123" s="68" t="str">
        <f t="shared" si="11"/>
        <v>-</v>
      </c>
      <c r="V123" s="69" t="str">
        <f t="shared" si="12"/>
        <v>-</v>
      </c>
      <c r="X123" s="69" t="str">
        <f t="shared" si="13"/>
        <v>-</v>
      </c>
    </row>
    <row r="124" spans="1:24" x14ac:dyDescent="0.3">
      <c r="A124" s="56">
        <v>728177015121</v>
      </c>
      <c r="B124" s="4">
        <v>1512</v>
      </c>
      <c r="C124" s="3" t="s">
        <v>82</v>
      </c>
      <c r="D124" s="4">
        <v>8</v>
      </c>
      <c r="E124" s="4" t="s">
        <v>12</v>
      </c>
      <c r="F124" s="29">
        <v>2</v>
      </c>
      <c r="G124" s="29">
        <v>2</v>
      </c>
      <c r="H124" s="28">
        <v>0</v>
      </c>
      <c r="I124" s="25">
        <v>12</v>
      </c>
      <c r="J124" s="17">
        <v>6.2859999999999996</v>
      </c>
      <c r="K124" s="36">
        <v>5.6574</v>
      </c>
      <c r="L124" s="7">
        <v>5.3430999999999997</v>
      </c>
      <c r="M124" s="46">
        <v>5.0288000000000004</v>
      </c>
      <c r="N124" s="50"/>
      <c r="O124" s="39">
        <f t="shared" si="7"/>
        <v>0</v>
      </c>
      <c r="P124" s="53">
        <f t="shared" si="8"/>
        <v>0</v>
      </c>
      <c r="S124" s="67" t="str">
        <f t="shared" si="9"/>
        <v>-</v>
      </c>
      <c r="T124" s="67" t="str">
        <f t="shared" si="10"/>
        <v>-</v>
      </c>
      <c r="U124" s="68" t="str">
        <f t="shared" si="11"/>
        <v>-</v>
      </c>
      <c r="V124" s="69" t="str">
        <f t="shared" si="12"/>
        <v>-</v>
      </c>
      <c r="X124" s="69" t="str">
        <f t="shared" si="13"/>
        <v>-</v>
      </c>
    </row>
    <row r="125" spans="1:24" x14ac:dyDescent="0.3">
      <c r="A125" s="56">
        <v>728177015145</v>
      </c>
      <c r="B125" s="4">
        <v>1514</v>
      </c>
      <c r="C125" s="3" t="s">
        <v>82</v>
      </c>
      <c r="D125" s="4">
        <v>32</v>
      </c>
      <c r="E125" s="4" t="s">
        <v>12</v>
      </c>
      <c r="F125" s="29">
        <v>3.25</v>
      </c>
      <c r="G125" s="29">
        <v>3.25</v>
      </c>
      <c r="H125" s="28">
        <v>0</v>
      </c>
      <c r="I125" s="25">
        <v>12</v>
      </c>
      <c r="J125" s="17">
        <v>16.085999999999999</v>
      </c>
      <c r="K125" s="36">
        <v>14.477399999999999</v>
      </c>
      <c r="L125" s="7">
        <v>13.673099999999998</v>
      </c>
      <c r="M125" s="46">
        <v>12.8688</v>
      </c>
      <c r="N125" s="50"/>
      <c r="O125" s="39">
        <f t="shared" si="7"/>
        <v>0</v>
      </c>
      <c r="P125" s="53">
        <f t="shared" si="8"/>
        <v>0</v>
      </c>
      <c r="S125" s="67" t="str">
        <f t="shared" si="9"/>
        <v>-</v>
      </c>
      <c r="T125" s="67" t="str">
        <f t="shared" si="10"/>
        <v>-</v>
      </c>
      <c r="U125" s="68" t="str">
        <f t="shared" si="11"/>
        <v>-</v>
      </c>
      <c r="V125" s="69" t="str">
        <f t="shared" si="12"/>
        <v>-</v>
      </c>
      <c r="X125" s="69" t="str">
        <f t="shared" si="13"/>
        <v>-</v>
      </c>
    </row>
    <row r="126" spans="1:24" x14ac:dyDescent="0.3">
      <c r="A126" s="56">
        <v>728177015169</v>
      </c>
      <c r="B126" s="4">
        <v>1516</v>
      </c>
      <c r="C126" s="3" t="s">
        <v>82</v>
      </c>
      <c r="D126" s="4">
        <v>1</v>
      </c>
      <c r="E126" s="4" t="s">
        <v>53</v>
      </c>
      <c r="F126" s="29">
        <v>6</v>
      </c>
      <c r="G126" s="29">
        <v>6</v>
      </c>
      <c r="H126" s="28">
        <v>0</v>
      </c>
      <c r="I126" s="25">
        <v>4</v>
      </c>
      <c r="J126" s="17">
        <v>44.785999999999994</v>
      </c>
      <c r="K126" s="36">
        <v>40.307399999999994</v>
      </c>
      <c r="L126" s="7">
        <v>38.068099999999994</v>
      </c>
      <c r="M126" s="46">
        <v>35.828799999999994</v>
      </c>
      <c r="N126" s="50"/>
      <c r="O126" s="39">
        <f t="shared" si="7"/>
        <v>0</v>
      </c>
      <c r="P126" s="53">
        <f t="shared" si="8"/>
        <v>0</v>
      </c>
      <c r="S126" s="67" t="str">
        <f t="shared" si="9"/>
        <v>-</v>
      </c>
      <c r="T126" s="67" t="str">
        <f t="shared" si="10"/>
        <v>-</v>
      </c>
      <c r="U126" s="68" t="str">
        <f t="shared" si="11"/>
        <v>-</v>
      </c>
      <c r="V126" s="69" t="str">
        <f t="shared" si="12"/>
        <v>-</v>
      </c>
      <c r="X126" s="69" t="str">
        <f t="shared" si="13"/>
        <v>-</v>
      </c>
    </row>
    <row r="127" spans="1:24" x14ac:dyDescent="0.3">
      <c r="A127" s="56">
        <v>728177015206</v>
      </c>
      <c r="B127" s="4">
        <v>1520</v>
      </c>
      <c r="C127" s="3" t="s">
        <v>83</v>
      </c>
      <c r="D127" s="4">
        <v>2</v>
      </c>
      <c r="E127" s="4" t="s">
        <v>12</v>
      </c>
      <c r="F127" s="29">
        <v>1.375</v>
      </c>
      <c r="G127" s="29">
        <v>1.375</v>
      </c>
      <c r="H127" s="28">
        <v>0</v>
      </c>
      <c r="I127" s="25">
        <v>12</v>
      </c>
      <c r="J127" s="17">
        <v>2.0859999999999999</v>
      </c>
      <c r="K127" s="36">
        <v>1.8774</v>
      </c>
      <c r="L127" s="7">
        <v>1.7730999999999999</v>
      </c>
      <c r="M127" s="46">
        <v>1.6688000000000001</v>
      </c>
      <c r="N127" s="50"/>
      <c r="O127" s="39">
        <f t="shared" si="7"/>
        <v>0</v>
      </c>
      <c r="P127" s="53">
        <f t="shared" si="8"/>
        <v>0</v>
      </c>
      <c r="S127" s="67" t="str">
        <f t="shared" si="9"/>
        <v>-</v>
      </c>
      <c r="T127" s="67" t="str">
        <f t="shared" si="10"/>
        <v>-</v>
      </c>
      <c r="U127" s="68" t="str">
        <f t="shared" si="11"/>
        <v>-</v>
      </c>
      <c r="V127" s="69" t="str">
        <f t="shared" si="12"/>
        <v>-</v>
      </c>
      <c r="X127" s="69" t="str">
        <f t="shared" si="13"/>
        <v>-</v>
      </c>
    </row>
    <row r="128" spans="1:24" x14ac:dyDescent="0.3">
      <c r="A128" s="56">
        <v>728177015220</v>
      </c>
      <c r="B128" s="4">
        <v>1522</v>
      </c>
      <c r="C128" s="3" t="s">
        <v>83</v>
      </c>
      <c r="D128" s="4">
        <v>8</v>
      </c>
      <c r="E128" s="4" t="s">
        <v>12</v>
      </c>
      <c r="F128" s="29">
        <v>2</v>
      </c>
      <c r="G128" s="29">
        <v>2</v>
      </c>
      <c r="H128" s="28">
        <v>0.27</v>
      </c>
      <c r="I128" s="25">
        <v>12</v>
      </c>
      <c r="J128" s="17">
        <v>6.2859999999999996</v>
      </c>
      <c r="K128" s="36">
        <v>5.6574</v>
      </c>
      <c r="L128" s="7">
        <v>5.3430999999999997</v>
      </c>
      <c r="M128" s="46">
        <v>5.0288000000000004</v>
      </c>
      <c r="N128" s="50"/>
      <c r="O128" s="39">
        <f t="shared" si="7"/>
        <v>0</v>
      </c>
      <c r="P128" s="53">
        <f t="shared" si="8"/>
        <v>0</v>
      </c>
      <c r="S128" s="67" t="str">
        <f t="shared" si="9"/>
        <v>-</v>
      </c>
      <c r="T128" s="67" t="str">
        <f t="shared" si="10"/>
        <v>-</v>
      </c>
      <c r="U128" s="68" t="str">
        <f t="shared" si="11"/>
        <v>-</v>
      </c>
      <c r="V128" s="69" t="str">
        <f t="shared" si="12"/>
        <v>-</v>
      </c>
      <c r="X128" s="69" t="str">
        <f t="shared" si="13"/>
        <v>-</v>
      </c>
    </row>
    <row r="129" spans="1:24" x14ac:dyDescent="0.3">
      <c r="A129" s="56">
        <v>728177015244</v>
      </c>
      <c r="B129" s="4">
        <v>1524</v>
      </c>
      <c r="C129" s="3" t="s">
        <v>83</v>
      </c>
      <c r="D129" s="4">
        <v>32</v>
      </c>
      <c r="E129" s="4" t="s">
        <v>12</v>
      </c>
      <c r="F129" s="29">
        <v>3.25</v>
      </c>
      <c r="G129" s="29">
        <v>3.25</v>
      </c>
      <c r="H129" s="28">
        <v>0</v>
      </c>
      <c r="I129" s="25">
        <v>12</v>
      </c>
      <c r="J129" s="17">
        <v>16.085999999999999</v>
      </c>
      <c r="K129" s="36">
        <v>14.477399999999999</v>
      </c>
      <c r="L129" s="7">
        <v>13.673099999999998</v>
      </c>
      <c r="M129" s="46">
        <v>12.8688</v>
      </c>
      <c r="N129" s="50"/>
      <c r="O129" s="39">
        <f t="shared" si="7"/>
        <v>0</v>
      </c>
      <c r="P129" s="53">
        <f t="shared" si="8"/>
        <v>0</v>
      </c>
      <c r="S129" s="67" t="str">
        <f t="shared" si="9"/>
        <v>-</v>
      </c>
      <c r="T129" s="67" t="str">
        <f t="shared" si="10"/>
        <v>-</v>
      </c>
      <c r="U129" s="68" t="str">
        <f t="shared" si="11"/>
        <v>-</v>
      </c>
      <c r="V129" s="69" t="str">
        <f t="shared" si="12"/>
        <v>-</v>
      </c>
      <c r="X129" s="69" t="str">
        <f t="shared" si="13"/>
        <v>-</v>
      </c>
    </row>
    <row r="130" spans="1:24" x14ac:dyDescent="0.3">
      <c r="A130" s="56">
        <v>728177015404</v>
      </c>
      <c r="B130" s="4">
        <v>1540</v>
      </c>
      <c r="C130" s="3" t="s">
        <v>84</v>
      </c>
      <c r="D130" s="4">
        <v>2</v>
      </c>
      <c r="E130" s="4" t="s">
        <v>12</v>
      </c>
      <c r="F130" s="29">
        <v>1.375</v>
      </c>
      <c r="G130" s="29">
        <v>1.375</v>
      </c>
      <c r="H130" s="28">
        <v>0</v>
      </c>
      <c r="I130" s="25">
        <v>12</v>
      </c>
      <c r="J130" s="17">
        <v>2.0859999999999999</v>
      </c>
      <c r="K130" s="36">
        <v>1.8774</v>
      </c>
      <c r="L130" s="7">
        <v>1.7730999999999999</v>
      </c>
      <c r="M130" s="46">
        <v>1.6688000000000001</v>
      </c>
      <c r="N130" s="50"/>
      <c r="O130" s="39">
        <f t="shared" si="7"/>
        <v>0</v>
      </c>
      <c r="P130" s="53">
        <f t="shared" si="8"/>
        <v>0</v>
      </c>
      <c r="S130" s="67" t="str">
        <f t="shared" si="9"/>
        <v>-</v>
      </c>
      <c r="T130" s="67" t="str">
        <f t="shared" si="10"/>
        <v>-</v>
      </c>
      <c r="U130" s="68" t="str">
        <f t="shared" si="11"/>
        <v>-</v>
      </c>
      <c r="V130" s="69" t="str">
        <f t="shared" si="12"/>
        <v>-</v>
      </c>
      <c r="X130" s="69" t="str">
        <f t="shared" si="13"/>
        <v>-</v>
      </c>
    </row>
    <row r="131" spans="1:24" x14ac:dyDescent="0.3">
      <c r="A131" s="56">
        <v>728177015428</v>
      </c>
      <c r="B131" s="4">
        <v>1542</v>
      </c>
      <c r="C131" s="3" t="s">
        <v>84</v>
      </c>
      <c r="D131" s="4">
        <v>8</v>
      </c>
      <c r="E131" s="4" t="s">
        <v>12</v>
      </c>
      <c r="F131" s="29">
        <v>2</v>
      </c>
      <c r="G131" s="29">
        <v>2</v>
      </c>
      <c r="H131" s="28">
        <v>0</v>
      </c>
      <c r="I131" s="25">
        <v>12</v>
      </c>
      <c r="J131" s="17">
        <v>6.2859999999999996</v>
      </c>
      <c r="K131" s="36">
        <v>5.6574</v>
      </c>
      <c r="L131" s="7">
        <v>5.3430999999999997</v>
      </c>
      <c r="M131" s="46">
        <v>5.0288000000000004</v>
      </c>
      <c r="N131" s="50"/>
      <c r="O131" s="39">
        <f t="shared" si="7"/>
        <v>0</v>
      </c>
      <c r="P131" s="53">
        <f t="shared" si="8"/>
        <v>0</v>
      </c>
      <c r="S131" s="67" t="str">
        <f t="shared" si="9"/>
        <v>-</v>
      </c>
      <c r="T131" s="67" t="str">
        <f t="shared" si="10"/>
        <v>-</v>
      </c>
      <c r="U131" s="68" t="str">
        <f t="shared" si="11"/>
        <v>-</v>
      </c>
      <c r="V131" s="69" t="str">
        <f t="shared" si="12"/>
        <v>-</v>
      </c>
      <c r="X131" s="69" t="str">
        <f t="shared" si="13"/>
        <v>-</v>
      </c>
    </row>
    <row r="132" spans="1:24" x14ac:dyDescent="0.3">
      <c r="A132" s="56">
        <v>728177015442</v>
      </c>
      <c r="B132" s="4">
        <v>1544</v>
      </c>
      <c r="C132" s="3" t="s">
        <v>84</v>
      </c>
      <c r="D132" s="4">
        <v>32</v>
      </c>
      <c r="E132" s="4" t="s">
        <v>12</v>
      </c>
      <c r="F132" s="29">
        <v>3.25</v>
      </c>
      <c r="G132" s="29">
        <v>3.25</v>
      </c>
      <c r="H132" s="28">
        <v>0</v>
      </c>
      <c r="I132" s="25">
        <v>12</v>
      </c>
      <c r="J132" s="17">
        <v>16.085999999999999</v>
      </c>
      <c r="K132" s="36">
        <v>14.477399999999999</v>
      </c>
      <c r="L132" s="7">
        <v>13.673099999999998</v>
      </c>
      <c r="M132" s="46">
        <v>12.8688</v>
      </c>
      <c r="N132" s="50"/>
      <c r="O132" s="39">
        <f t="shared" ref="O132:O140" si="14">IF(N132&gt;=576,N132*M132,IF(N132&gt;=288,N132*L132,IF(N132&gt;=144,N132*K132,N132*J132)))</f>
        <v>0</v>
      </c>
      <c r="P132" s="53">
        <f t="shared" ref="P132:P140" si="15">IF($O$141&gt;=14000,N132*M132,0)</f>
        <v>0</v>
      </c>
      <c r="S132" s="67" t="str">
        <f t="shared" ref="S132:S140" si="16">IFERROR(IF($S$2*H132=0, "-", $S$2*H132), "-")</f>
        <v>-</v>
      </c>
      <c r="T132" s="67" t="str">
        <f t="shared" ref="T132:T140" si="17">IF(N132&gt;0,(O132/N132)+H132*N132/$U$2*$V$2/N132,"-")</f>
        <v>-</v>
      </c>
      <c r="U132" s="68" t="str">
        <f t="shared" ref="U132:U140" si="18">IF(N132&gt;0,N132*H132*1.113, "-")</f>
        <v>-</v>
      </c>
      <c r="V132" s="69" t="str">
        <f t="shared" ref="V132:V140" si="19">IFERROR(IF($S$2&gt;0, $S$2*U132, "-"), "-")</f>
        <v>-</v>
      </c>
      <c r="X132" s="69" t="str">
        <f t="shared" ref="X132:X140" si="20">IFERROR(IF(V132+O132=0, "-", IF(V132&gt;0, V132+O132, "-")), "-")</f>
        <v>-</v>
      </c>
    </row>
    <row r="133" spans="1:24" x14ac:dyDescent="0.3">
      <c r="A133" s="56">
        <v>728177020132</v>
      </c>
      <c r="B133" s="4">
        <v>2013</v>
      </c>
      <c r="C133" s="3" t="s">
        <v>85</v>
      </c>
      <c r="D133" s="4">
        <v>60</v>
      </c>
      <c r="E133" s="4" t="s">
        <v>10</v>
      </c>
      <c r="F133" s="29">
        <v>1.75</v>
      </c>
      <c r="G133" s="29">
        <v>1.75</v>
      </c>
      <c r="H133" s="28">
        <v>0.05</v>
      </c>
      <c r="I133" s="25">
        <v>12</v>
      </c>
      <c r="J133" s="17">
        <v>9.7720000000000002</v>
      </c>
      <c r="K133" s="36">
        <v>8.7948000000000004</v>
      </c>
      <c r="L133" s="7">
        <v>8.3062000000000005</v>
      </c>
      <c r="M133" s="46">
        <v>7.8176000000000005</v>
      </c>
      <c r="N133" s="50"/>
      <c r="O133" s="39">
        <f t="shared" si="14"/>
        <v>0</v>
      </c>
      <c r="P133" s="53">
        <f t="shared" si="15"/>
        <v>0</v>
      </c>
      <c r="S133" s="67" t="str">
        <f t="shared" si="16"/>
        <v>-</v>
      </c>
      <c r="T133" s="67" t="str">
        <f t="shared" si="17"/>
        <v>-</v>
      </c>
      <c r="U133" s="68" t="str">
        <f t="shared" si="18"/>
        <v>-</v>
      </c>
      <c r="V133" s="69" t="str">
        <f t="shared" si="19"/>
        <v>-</v>
      </c>
      <c r="X133" s="69" t="str">
        <f t="shared" si="20"/>
        <v>-</v>
      </c>
    </row>
    <row r="134" spans="1:24" x14ac:dyDescent="0.3">
      <c r="A134" s="56">
        <v>728177030001</v>
      </c>
      <c r="B134" s="4">
        <v>3000</v>
      </c>
      <c r="C134" s="3" t="s">
        <v>86</v>
      </c>
      <c r="D134" s="4">
        <v>21</v>
      </c>
      <c r="E134" s="4" t="s">
        <v>12</v>
      </c>
      <c r="F134" s="29">
        <v>4.75</v>
      </c>
      <c r="G134" s="29">
        <v>4.75</v>
      </c>
      <c r="H134" s="28">
        <v>0.7</v>
      </c>
      <c r="I134" s="25">
        <v>12</v>
      </c>
      <c r="J134" s="17">
        <v>24.485999999999997</v>
      </c>
      <c r="K134" s="36">
        <v>22.037399999999998</v>
      </c>
      <c r="L134" s="7">
        <v>20.813099999999999</v>
      </c>
      <c r="M134" s="46">
        <v>19.588799999999999</v>
      </c>
      <c r="N134" s="50"/>
      <c r="O134" s="39">
        <f t="shared" si="14"/>
        <v>0</v>
      </c>
      <c r="P134" s="53">
        <f t="shared" si="15"/>
        <v>0</v>
      </c>
      <c r="S134" s="67" t="str">
        <f t="shared" si="16"/>
        <v>-</v>
      </c>
      <c r="T134" s="67" t="str">
        <f t="shared" si="17"/>
        <v>-</v>
      </c>
      <c r="U134" s="68" t="str">
        <f t="shared" si="18"/>
        <v>-</v>
      </c>
      <c r="V134" s="69" t="str">
        <f t="shared" si="19"/>
        <v>-</v>
      </c>
      <c r="X134" s="69" t="str">
        <f t="shared" si="20"/>
        <v>-</v>
      </c>
    </row>
    <row r="135" spans="1:24" x14ac:dyDescent="0.3">
      <c r="A135" s="56">
        <v>728177030018</v>
      </c>
      <c r="B135" s="4">
        <v>3001</v>
      </c>
      <c r="C135" s="3" t="s">
        <v>86</v>
      </c>
      <c r="D135" s="4">
        <v>3</v>
      </c>
      <c r="E135" s="4" t="s">
        <v>13</v>
      </c>
      <c r="F135" s="29">
        <v>6</v>
      </c>
      <c r="G135" s="29">
        <v>6</v>
      </c>
      <c r="H135" s="28">
        <v>1.5</v>
      </c>
      <c r="I135" s="25">
        <v>4</v>
      </c>
      <c r="J135" s="17">
        <v>48.985999999999997</v>
      </c>
      <c r="K135" s="36">
        <v>44.087399999999995</v>
      </c>
      <c r="L135" s="7">
        <v>41.638099999999994</v>
      </c>
      <c r="M135" s="46">
        <v>39.188800000000001</v>
      </c>
      <c r="N135" s="50"/>
      <c r="O135" s="39">
        <f t="shared" si="14"/>
        <v>0</v>
      </c>
      <c r="P135" s="53">
        <f t="shared" si="15"/>
        <v>0</v>
      </c>
      <c r="S135" s="67" t="str">
        <f t="shared" si="16"/>
        <v>-</v>
      </c>
      <c r="T135" s="67" t="str">
        <f t="shared" si="17"/>
        <v>-</v>
      </c>
      <c r="U135" s="68" t="str">
        <f t="shared" si="18"/>
        <v>-</v>
      </c>
      <c r="V135" s="69" t="str">
        <f t="shared" si="19"/>
        <v>-</v>
      </c>
      <c r="X135" s="69" t="str">
        <f t="shared" si="20"/>
        <v>-</v>
      </c>
    </row>
    <row r="136" spans="1:24" x14ac:dyDescent="0.3">
      <c r="A136" s="56">
        <v>728177030056</v>
      </c>
      <c r="B136" s="4">
        <v>3005</v>
      </c>
      <c r="C136" s="3" t="s">
        <v>87</v>
      </c>
      <c r="D136" s="4">
        <v>21</v>
      </c>
      <c r="E136" s="4" t="s">
        <v>12</v>
      </c>
      <c r="F136" s="29">
        <v>4.75</v>
      </c>
      <c r="G136" s="29">
        <v>4.75</v>
      </c>
      <c r="H136" s="28">
        <v>0.7</v>
      </c>
      <c r="I136" s="25">
        <v>12</v>
      </c>
      <c r="J136" s="17">
        <v>25.885999999999996</v>
      </c>
      <c r="K136" s="36">
        <v>23.297399999999996</v>
      </c>
      <c r="L136" s="7">
        <v>22.003099999999996</v>
      </c>
      <c r="M136" s="46">
        <v>20.708799999999997</v>
      </c>
      <c r="N136" s="50"/>
      <c r="O136" s="39">
        <f t="shared" si="14"/>
        <v>0</v>
      </c>
      <c r="P136" s="53">
        <f t="shared" si="15"/>
        <v>0</v>
      </c>
      <c r="S136" s="67" t="str">
        <f t="shared" si="16"/>
        <v>-</v>
      </c>
      <c r="T136" s="67" t="str">
        <f t="shared" si="17"/>
        <v>-</v>
      </c>
      <c r="U136" s="68" t="str">
        <f t="shared" si="18"/>
        <v>-</v>
      </c>
      <c r="V136" s="69" t="str">
        <f t="shared" si="19"/>
        <v>-</v>
      </c>
      <c r="X136" s="69" t="str">
        <f t="shared" si="20"/>
        <v>-</v>
      </c>
    </row>
    <row r="137" spans="1:24" x14ac:dyDescent="0.3">
      <c r="A137" s="56">
        <v>728177030063</v>
      </c>
      <c r="B137" s="4">
        <v>3006</v>
      </c>
      <c r="C137" s="3" t="s">
        <v>87</v>
      </c>
      <c r="D137" s="4">
        <v>3</v>
      </c>
      <c r="E137" s="4" t="s">
        <v>13</v>
      </c>
      <c r="F137" s="29">
        <v>6</v>
      </c>
      <c r="G137" s="29">
        <v>6</v>
      </c>
      <c r="H137" s="28">
        <v>1.52</v>
      </c>
      <c r="I137" s="25">
        <v>4</v>
      </c>
      <c r="J137" s="17">
        <v>50.386000000000003</v>
      </c>
      <c r="K137" s="36">
        <v>45.3474</v>
      </c>
      <c r="L137" s="7">
        <v>42.828099999999999</v>
      </c>
      <c r="M137" s="46">
        <v>40.308800000000005</v>
      </c>
      <c r="N137" s="50"/>
      <c r="O137" s="39">
        <f t="shared" si="14"/>
        <v>0</v>
      </c>
      <c r="P137" s="53">
        <f t="shared" si="15"/>
        <v>0</v>
      </c>
      <c r="S137" s="67" t="str">
        <f t="shared" si="16"/>
        <v>-</v>
      </c>
      <c r="T137" s="67" t="str">
        <f t="shared" si="17"/>
        <v>-</v>
      </c>
      <c r="U137" s="68" t="str">
        <f t="shared" si="18"/>
        <v>-</v>
      </c>
      <c r="V137" s="69" t="str">
        <f t="shared" si="19"/>
        <v>-</v>
      </c>
      <c r="X137" s="69" t="str">
        <f t="shared" si="20"/>
        <v>-</v>
      </c>
    </row>
    <row r="138" spans="1:24" x14ac:dyDescent="0.3">
      <c r="A138" s="56">
        <v>728177030100</v>
      </c>
      <c r="B138" s="4">
        <v>3010</v>
      </c>
      <c r="C138" s="3" t="s">
        <v>88</v>
      </c>
      <c r="D138" s="4">
        <v>22.9</v>
      </c>
      <c r="E138" s="4" t="s">
        <v>12</v>
      </c>
      <c r="F138" s="29">
        <v>4.75</v>
      </c>
      <c r="G138" s="29">
        <v>4.75</v>
      </c>
      <c r="H138" s="28">
        <v>0.73</v>
      </c>
      <c r="I138" s="25">
        <v>12</v>
      </c>
      <c r="J138" s="17">
        <v>25.885999999999996</v>
      </c>
      <c r="K138" s="36">
        <v>23.297399999999996</v>
      </c>
      <c r="L138" s="7">
        <v>22.003099999999996</v>
      </c>
      <c r="M138" s="46">
        <v>20.708799999999997</v>
      </c>
      <c r="N138" s="50"/>
      <c r="O138" s="39">
        <f t="shared" si="14"/>
        <v>0</v>
      </c>
      <c r="P138" s="53">
        <f t="shared" si="15"/>
        <v>0</v>
      </c>
      <c r="S138" s="67" t="str">
        <f t="shared" si="16"/>
        <v>-</v>
      </c>
      <c r="T138" s="67" t="str">
        <f t="shared" si="17"/>
        <v>-</v>
      </c>
      <c r="U138" s="68" t="str">
        <f t="shared" si="18"/>
        <v>-</v>
      </c>
      <c r="V138" s="69" t="str">
        <f t="shared" si="19"/>
        <v>-</v>
      </c>
      <c r="X138" s="69" t="str">
        <f t="shared" si="20"/>
        <v>-</v>
      </c>
    </row>
    <row r="139" spans="1:24" x14ac:dyDescent="0.3">
      <c r="A139" s="56">
        <v>728177032005</v>
      </c>
      <c r="B139" s="4">
        <v>3200</v>
      </c>
      <c r="C139" s="3" t="s">
        <v>89</v>
      </c>
      <c r="D139" s="4">
        <v>21</v>
      </c>
      <c r="E139" s="4" t="s">
        <v>12</v>
      </c>
      <c r="F139" s="29">
        <v>4.75</v>
      </c>
      <c r="G139" s="29">
        <v>4.75</v>
      </c>
      <c r="H139" s="28">
        <v>0.7</v>
      </c>
      <c r="I139" s="25">
        <v>12</v>
      </c>
      <c r="J139" s="17">
        <v>21.686</v>
      </c>
      <c r="K139" s="36">
        <v>19.517400000000002</v>
      </c>
      <c r="L139" s="7">
        <v>18.4331</v>
      </c>
      <c r="M139" s="46">
        <v>17.348800000000001</v>
      </c>
      <c r="N139" s="50"/>
      <c r="O139" s="39">
        <f t="shared" si="14"/>
        <v>0</v>
      </c>
      <c r="P139" s="53">
        <f t="shared" si="15"/>
        <v>0</v>
      </c>
      <c r="S139" s="67" t="str">
        <f t="shared" si="16"/>
        <v>-</v>
      </c>
      <c r="T139" s="67" t="str">
        <f t="shared" si="17"/>
        <v>-</v>
      </c>
      <c r="U139" s="68" t="str">
        <f t="shared" si="18"/>
        <v>-</v>
      </c>
      <c r="V139" s="69" t="str">
        <f t="shared" si="19"/>
        <v>-</v>
      </c>
      <c r="X139" s="69" t="str">
        <f t="shared" si="20"/>
        <v>-</v>
      </c>
    </row>
    <row r="140" spans="1:24" ht="15" thickBot="1" x14ac:dyDescent="0.35">
      <c r="A140" s="57">
        <v>728177032050</v>
      </c>
      <c r="B140" s="10">
        <v>3205</v>
      </c>
      <c r="C140" s="11" t="s">
        <v>90</v>
      </c>
      <c r="D140" s="10">
        <v>21</v>
      </c>
      <c r="E140" s="10" t="s">
        <v>12</v>
      </c>
      <c r="F140" s="30">
        <v>4.75</v>
      </c>
      <c r="G140" s="30">
        <v>4.75</v>
      </c>
      <c r="H140" s="28">
        <v>0.7</v>
      </c>
      <c r="I140" s="27">
        <v>12</v>
      </c>
      <c r="J140" s="18">
        <v>21.686</v>
      </c>
      <c r="K140" s="37">
        <v>19.517400000000002</v>
      </c>
      <c r="L140" s="22">
        <v>18.4331</v>
      </c>
      <c r="M140" s="47">
        <v>17.348800000000001</v>
      </c>
      <c r="N140" s="51"/>
      <c r="O140" s="40">
        <f t="shared" si="14"/>
        <v>0</v>
      </c>
      <c r="P140" s="54">
        <f t="shared" si="15"/>
        <v>0</v>
      </c>
      <c r="S140" s="67" t="str">
        <f t="shared" si="16"/>
        <v>-</v>
      </c>
      <c r="T140" s="67" t="str">
        <f t="shared" si="17"/>
        <v>-</v>
      </c>
      <c r="U140" s="68" t="str">
        <f t="shared" si="18"/>
        <v>-</v>
      </c>
      <c r="V140" s="69" t="str">
        <f t="shared" si="19"/>
        <v>-</v>
      </c>
      <c r="X140" s="69" t="str">
        <f t="shared" si="20"/>
        <v>-</v>
      </c>
    </row>
    <row r="141" spans="1:24" ht="15" thickBot="1" x14ac:dyDescent="0.35">
      <c r="O141" s="41">
        <f>SUM(O3:O140)</f>
        <v>0</v>
      </c>
      <c r="P141" s="41">
        <f>SUM(P3:P140)</f>
        <v>0</v>
      </c>
      <c r="S141" s="67"/>
      <c r="T141" s="67"/>
      <c r="U141" s="68"/>
      <c r="V141" s="69"/>
      <c r="X141" s="69"/>
    </row>
    <row r="142" spans="1:24" x14ac:dyDescent="0.3">
      <c r="S142" s="67"/>
      <c r="T142" s="67"/>
      <c r="U142" s="68"/>
      <c r="V142" s="69"/>
      <c r="X142" s="69"/>
    </row>
    <row r="143" spans="1:24" ht="24.6" customHeight="1" x14ac:dyDescent="0.3">
      <c r="C143" s="43"/>
      <c r="S143" s="67"/>
      <c r="T143" s="67"/>
      <c r="U143" s="68"/>
      <c r="V143" s="69"/>
      <c r="X143" s="69"/>
    </row>
    <row r="144" spans="1:24" x14ac:dyDescent="0.3">
      <c r="C144" s="44"/>
      <c r="S144" s="67"/>
      <c r="T144" s="67"/>
      <c r="U144" s="68"/>
      <c r="V144" s="69"/>
      <c r="X144" s="69"/>
    </row>
    <row r="145" spans="3:24" x14ac:dyDescent="0.3">
      <c r="C145" s="44"/>
      <c r="S145" s="67"/>
      <c r="T145" s="67"/>
      <c r="U145" s="68"/>
      <c r="V145" s="69"/>
      <c r="X145" s="69"/>
    </row>
    <row r="146" spans="3:24" x14ac:dyDescent="0.3">
      <c r="C146" s="44"/>
      <c r="S146" s="67"/>
      <c r="T146" s="67"/>
      <c r="U146" s="68"/>
      <c r="V146" s="69"/>
      <c r="X146" s="69"/>
    </row>
    <row r="147" spans="3:24" x14ac:dyDescent="0.3">
      <c r="C147" s="44"/>
      <c r="S147" s="67"/>
      <c r="T147" s="67"/>
      <c r="U147" s="68"/>
      <c r="V147" s="69"/>
      <c r="X147" s="69"/>
    </row>
    <row r="148" spans="3:24" x14ac:dyDescent="0.3">
      <c r="C148" s="44"/>
      <c r="S148" s="67"/>
      <c r="T148" s="67"/>
      <c r="U148" s="68"/>
      <c r="V148" s="69"/>
      <c r="X148" s="69"/>
    </row>
    <row r="149" spans="3:24" x14ac:dyDescent="0.3">
      <c r="S149" s="67"/>
      <c r="T149" s="67"/>
      <c r="U149" s="68"/>
      <c r="V149" s="69"/>
      <c r="X149" s="69"/>
    </row>
    <row r="150" spans="3:24" x14ac:dyDescent="0.3">
      <c r="S150" s="67"/>
      <c r="T150" s="67"/>
      <c r="U150" s="68"/>
      <c r="V150" s="69"/>
      <c r="X150" s="69"/>
    </row>
    <row r="151" spans="3:24" x14ac:dyDescent="0.3">
      <c r="S151" s="67"/>
      <c r="T151" s="67"/>
      <c r="U151" s="68"/>
      <c r="V151" s="69"/>
      <c r="X151" s="69"/>
    </row>
    <row r="152" spans="3:24" x14ac:dyDescent="0.3">
      <c r="S152" s="67"/>
      <c r="T152" s="67"/>
      <c r="U152" s="68"/>
      <c r="V152" s="69"/>
      <c r="X152" s="69"/>
    </row>
    <row r="153" spans="3:24" x14ac:dyDescent="0.3">
      <c r="S153" s="67"/>
      <c r="T153" s="67"/>
      <c r="U153" s="68"/>
      <c r="V153" s="69"/>
      <c r="X153" s="69"/>
    </row>
    <row r="154" spans="3:24" x14ac:dyDescent="0.3">
      <c r="S154" s="67"/>
      <c r="T154" s="67"/>
      <c r="U154" s="68"/>
      <c r="V154" s="69"/>
      <c r="X154" s="69"/>
    </row>
    <row r="155" spans="3:24" x14ac:dyDescent="0.3">
      <c r="S155" s="67"/>
      <c r="T155" s="67"/>
      <c r="U155" s="68"/>
      <c r="V155" s="69"/>
      <c r="X155" s="69"/>
    </row>
    <row r="156" spans="3:24" x14ac:dyDescent="0.3">
      <c r="S156" s="67"/>
      <c r="T156" s="67"/>
      <c r="U156" s="68"/>
      <c r="V156" s="69"/>
      <c r="X156" s="69"/>
    </row>
    <row r="157" spans="3:24" x14ac:dyDescent="0.3">
      <c r="S157" s="67"/>
      <c r="T157" s="67"/>
      <c r="U157" s="68"/>
      <c r="V157" s="69"/>
      <c r="X157" s="69"/>
    </row>
    <row r="158" spans="3:24" x14ac:dyDescent="0.3">
      <c r="S158" s="67"/>
      <c r="T158" s="67"/>
      <c r="U158" s="68"/>
      <c r="V158" s="69"/>
      <c r="X158" s="69"/>
    </row>
    <row r="159" spans="3:24" x14ac:dyDescent="0.3">
      <c r="S159" s="67"/>
      <c r="T159" s="67"/>
      <c r="U159" s="68"/>
      <c r="V159" s="69"/>
      <c r="X159" s="69"/>
    </row>
    <row r="160" spans="3:24" x14ac:dyDescent="0.3">
      <c r="S160" s="67"/>
      <c r="T160" s="67"/>
      <c r="U160" s="68"/>
      <c r="V160" s="69"/>
      <c r="X160" s="69"/>
    </row>
    <row r="161" spans="19:24" x14ac:dyDescent="0.3">
      <c r="S161" s="67"/>
      <c r="T161" s="67"/>
      <c r="U161" s="68"/>
      <c r="V161" s="69"/>
      <c r="X161" s="69"/>
    </row>
    <row r="162" spans="19:24" x14ac:dyDescent="0.3">
      <c r="S162" s="67"/>
      <c r="T162" s="67"/>
      <c r="U162" s="68"/>
      <c r="V162" s="69"/>
      <c r="X162" s="69"/>
    </row>
    <row r="163" spans="19:24" x14ac:dyDescent="0.3">
      <c r="S163" s="67"/>
      <c r="T163" s="67"/>
      <c r="U163" s="68"/>
      <c r="V163" s="69"/>
      <c r="X163" s="69"/>
    </row>
    <row r="164" spans="19:24" x14ac:dyDescent="0.3">
      <c r="S164" s="67"/>
      <c r="T164" s="67"/>
      <c r="U164" s="68"/>
      <c r="V164" s="69"/>
      <c r="X164" s="69"/>
    </row>
    <row r="165" spans="19:24" x14ac:dyDescent="0.3">
      <c r="S165" s="67"/>
      <c r="T165" s="67"/>
      <c r="U165" s="68"/>
      <c r="V165" s="69"/>
      <c r="X165" s="69"/>
    </row>
    <row r="166" spans="19:24" x14ac:dyDescent="0.3">
      <c r="S166" s="67"/>
      <c r="T166" s="67"/>
      <c r="U166" s="68"/>
      <c r="V166" s="69"/>
      <c r="X166" s="69"/>
    </row>
    <row r="167" spans="19:24" x14ac:dyDescent="0.3">
      <c r="S167" s="67"/>
      <c r="T167" s="67"/>
      <c r="U167" s="68"/>
      <c r="V167" s="69"/>
      <c r="X167" s="69"/>
    </row>
    <row r="168" spans="19:24" x14ac:dyDescent="0.3">
      <c r="S168" s="67"/>
      <c r="T168" s="67"/>
      <c r="U168" s="68"/>
      <c r="V168" s="69"/>
      <c r="X168" s="69"/>
    </row>
    <row r="169" spans="19:24" x14ac:dyDescent="0.3">
      <c r="S169" s="67"/>
      <c r="T169" s="67"/>
      <c r="U169" s="68"/>
      <c r="V169" s="69"/>
      <c r="X169" s="69"/>
    </row>
    <row r="170" spans="19:24" x14ac:dyDescent="0.3">
      <c r="S170" s="67"/>
      <c r="T170" s="67"/>
      <c r="U170" s="68"/>
      <c r="V170" s="69"/>
      <c r="X170" s="69"/>
    </row>
    <row r="171" spans="19:24" x14ac:dyDescent="0.3">
      <c r="S171" s="67"/>
      <c r="T171" s="67"/>
      <c r="U171" s="68"/>
      <c r="V171" s="69"/>
      <c r="X171" s="69"/>
    </row>
    <row r="172" spans="19:24" x14ac:dyDescent="0.3">
      <c r="S172" s="67"/>
      <c r="T172" s="67"/>
      <c r="U172" s="68"/>
      <c r="V172" s="69"/>
      <c r="X172" s="69"/>
    </row>
    <row r="173" spans="19:24" x14ac:dyDescent="0.3">
      <c r="S173" s="67"/>
      <c r="T173" s="67"/>
      <c r="U173" s="68"/>
      <c r="V173" s="69"/>
      <c r="X173" s="69"/>
    </row>
    <row r="174" spans="19:24" x14ac:dyDescent="0.3">
      <c r="S174" s="67"/>
      <c r="T174" s="67"/>
      <c r="U174" s="68"/>
      <c r="V174" s="69"/>
      <c r="X174" s="69"/>
    </row>
    <row r="175" spans="19:24" x14ac:dyDescent="0.3">
      <c r="S175" s="67"/>
      <c r="T175" s="67"/>
      <c r="U175" s="68"/>
      <c r="V175" s="69"/>
      <c r="X175" s="69"/>
    </row>
    <row r="176" spans="19:24" x14ac:dyDescent="0.3">
      <c r="S176" s="67"/>
      <c r="T176" s="67"/>
      <c r="U176" s="68"/>
      <c r="V176" s="69"/>
      <c r="X176" s="69"/>
    </row>
    <row r="177" spans="19:24" x14ac:dyDescent="0.3">
      <c r="S177" s="67"/>
      <c r="T177" s="67"/>
      <c r="U177" s="68"/>
      <c r="V177" s="69"/>
      <c r="X177" s="69"/>
    </row>
    <row r="178" spans="19:24" x14ac:dyDescent="0.3">
      <c r="S178" s="67"/>
      <c r="T178" s="67"/>
      <c r="U178" s="68"/>
      <c r="V178" s="69"/>
      <c r="X178" s="69"/>
    </row>
    <row r="179" spans="19:24" x14ac:dyDescent="0.3">
      <c r="S179" s="67"/>
      <c r="T179" s="67"/>
      <c r="U179" s="68"/>
      <c r="V179" s="69"/>
      <c r="X179" s="69"/>
    </row>
    <row r="180" spans="19:24" x14ac:dyDescent="0.3">
      <c r="S180" s="67"/>
      <c r="T180" s="67"/>
      <c r="U180" s="68"/>
      <c r="V180" s="69"/>
      <c r="X180" s="69"/>
    </row>
    <row r="181" spans="19:24" x14ac:dyDescent="0.3">
      <c r="S181" s="67"/>
      <c r="T181" s="67"/>
      <c r="U181" s="68"/>
      <c r="V181" s="69"/>
      <c r="X181" s="69"/>
    </row>
    <row r="182" spans="19:24" x14ac:dyDescent="0.3">
      <c r="S182" s="67"/>
      <c r="T182" s="67"/>
      <c r="U182" s="68"/>
      <c r="V182" s="69"/>
      <c r="X182" s="69"/>
    </row>
    <row r="183" spans="19:24" x14ac:dyDescent="0.3">
      <c r="S183" s="67"/>
      <c r="T183" s="67"/>
      <c r="U183" s="68"/>
      <c r="V183" s="69"/>
      <c r="X183" s="69"/>
    </row>
    <row r="184" spans="19:24" x14ac:dyDescent="0.3">
      <c r="S184" s="67"/>
      <c r="T184" s="67"/>
      <c r="U184" s="68"/>
      <c r="V184" s="69"/>
      <c r="X184" s="69"/>
    </row>
    <row r="185" spans="19:24" x14ac:dyDescent="0.3">
      <c r="S185" s="67"/>
      <c r="T185" s="67"/>
      <c r="U185" s="68"/>
      <c r="V185" s="69"/>
      <c r="X185" s="69"/>
    </row>
    <row r="186" spans="19:24" x14ac:dyDescent="0.3">
      <c r="S186" s="67"/>
      <c r="T186" s="67"/>
      <c r="U186" s="68"/>
      <c r="V186" s="69"/>
      <c r="X186" s="69"/>
    </row>
    <row r="187" spans="19:24" x14ac:dyDescent="0.3">
      <c r="S187" s="67"/>
      <c r="T187" s="67"/>
      <c r="U187" s="68"/>
      <c r="V187" s="69"/>
      <c r="X187" s="69"/>
    </row>
    <row r="188" spans="19:24" x14ac:dyDescent="0.3">
      <c r="S188" s="67"/>
      <c r="T188" s="67"/>
      <c r="U188" s="68"/>
      <c r="V188" s="69"/>
      <c r="X188" s="69"/>
    </row>
    <row r="189" spans="19:24" x14ac:dyDescent="0.3">
      <c r="S189" s="67"/>
      <c r="T189" s="67"/>
      <c r="U189" s="68"/>
      <c r="V189" s="69"/>
      <c r="X189" s="69"/>
    </row>
    <row r="190" spans="19:24" x14ac:dyDescent="0.3">
      <c r="S190" s="67"/>
      <c r="T190" s="67"/>
      <c r="U190" s="68"/>
      <c r="V190" s="69"/>
      <c r="X190" s="69"/>
    </row>
    <row r="191" spans="19:24" x14ac:dyDescent="0.3">
      <c r="S191" s="67"/>
      <c r="T191" s="67"/>
      <c r="U191" s="68"/>
      <c r="V191" s="69"/>
      <c r="X191" s="69"/>
    </row>
    <row r="192" spans="19:24" x14ac:dyDescent="0.3">
      <c r="S192" s="67"/>
      <c r="T192" s="67"/>
      <c r="U192" s="68"/>
      <c r="V192" s="69"/>
      <c r="X192" s="69"/>
    </row>
    <row r="193" spans="19:24" x14ac:dyDescent="0.3">
      <c r="S193" s="67"/>
      <c r="T193" s="67"/>
      <c r="U193" s="68"/>
      <c r="V193" s="69"/>
      <c r="X193" s="69"/>
    </row>
    <row r="194" spans="19:24" x14ac:dyDescent="0.3">
      <c r="S194" s="67"/>
      <c r="T194" s="67"/>
      <c r="U194" s="68"/>
      <c r="V194" s="69"/>
      <c r="X194" s="69"/>
    </row>
    <row r="195" spans="19:24" x14ac:dyDescent="0.3">
      <c r="S195" s="67"/>
      <c r="T195" s="67"/>
      <c r="U195" s="68"/>
      <c r="V195" s="69"/>
      <c r="X195" s="69"/>
    </row>
    <row r="196" spans="19:24" x14ac:dyDescent="0.3">
      <c r="S196" s="67"/>
      <c r="T196" s="67"/>
      <c r="U196" s="68"/>
      <c r="V196" s="69"/>
      <c r="X196" s="69"/>
    </row>
    <row r="197" spans="19:24" x14ac:dyDescent="0.3">
      <c r="S197" s="67"/>
      <c r="T197" s="67"/>
      <c r="U197" s="68"/>
      <c r="V197" s="69"/>
      <c r="X197" s="69"/>
    </row>
    <row r="198" spans="19:24" x14ac:dyDescent="0.3">
      <c r="S198" s="67"/>
      <c r="T198" s="67"/>
      <c r="U198" s="68"/>
      <c r="V198" s="69"/>
      <c r="X198" s="69"/>
    </row>
    <row r="199" spans="19:24" x14ac:dyDescent="0.3">
      <c r="S199" s="67"/>
      <c r="T199" s="67"/>
      <c r="U199" s="68"/>
      <c r="V199" s="69"/>
      <c r="X199" s="69"/>
    </row>
    <row r="200" spans="19:24" x14ac:dyDescent="0.3">
      <c r="S200" s="67"/>
      <c r="T200" s="67"/>
      <c r="U200" s="68"/>
      <c r="V200" s="69"/>
      <c r="X200" s="69"/>
    </row>
    <row r="201" spans="19:24" x14ac:dyDescent="0.3">
      <c r="S201" s="67"/>
      <c r="T201" s="67"/>
      <c r="U201" s="68"/>
      <c r="V201" s="69"/>
      <c r="X201" s="69"/>
    </row>
    <row r="202" spans="19:24" x14ac:dyDescent="0.3">
      <c r="S202" s="67"/>
      <c r="T202" s="67"/>
      <c r="U202" s="68"/>
      <c r="V202" s="69"/>
      <c r="X202" s="69"/>
    </row>
    <row r="203" spans="19:24" x14ac:dyDescent="0.3">
      <c r="S203" s="67"/>
      <c r="T203" s="67"/>
      <c r="U203" s="68"/>
      <c r="V203" s="69"/>
      <c r="X203" s="69"/>
    </row>
    <row r="204" spans="19:24" x14ac:dyDescent="0.3">
      <c r="S204" s="67"/>
      <c r="T204" s="67"/>
      <c r="U204" s="68"/>
      <c r="V204" s="69"/>
      <c r="X204" s="69"/>
    </row>
    <row r="205" spans="19:24" x14ac:dyDescent="0.3">
      <c r="S205" s="67"/>
      <c r="T205" s="67"/>
      <c r="U205" s="68"/>
      <c r="V205" s="69"/>
      <c r="X205" s="69"/>
    </row>
    <row r="206" spans="19:24" x14ac:dyDescent="0.3">
      <c r="S206" s="67"/>
      <c r="T206" s="67"/>
      <c r="U206" s="68"/>
      <c r="V206" s="69"/>
      <c r="X206" s="69"/>
    </row>
    <row r="207" spans="19:24" x14ac:dyDescent="0.3">
      <c r="S207" s="67"/>
      <c r="T207" s="67"/>
      <c r="U207" s="68"/>
      <c r="V207" s="69"/>
      <c r="X207" s="69"/>
    </row>
    <row r="208" spans="19:24" x14ac:dyDescent="0.3">
      <c r="S208" s="67"/>
      <c r="T208" s="67"/>
      <c r="U208" s="68"/>
      <c r="V208" s="69"/>
      <c r="X208" s="69"/>
    </row>
    <row r="209" spans="19:24" x14ac:dyDescent="0.3">
      <c r="S209" s="67"/>
      <c r="T209" s="67"/>
      <c r="U209" s="68"/>
      <c r="V209" s="69"/>
      <c r="X209" s="69"/>
    </row>
    <row r="210" spans="19:24" x14ac:dyDescent="0.3">
      <c r="S210" s="67"/>
      <c r="T210" s="67"/>
      <c r="U210" s="68"/>
      <c r="V210" s="69"/>
      <c r="X210" s="69"/>
    </row>
    <row r="211" spans="19:24" x14ac:dyDescent="0.3">
      <c r="S211" s="67"/>
      <c r="T211" s="67"/>
      <c r="U211" s="68"/>
      <c r="V211" s="69"/>
      <c r="X211" s="69"/>
    </row>
    <row r="212" spans="19:24" x14ac:dyDescent="0.3">
      <c r="S212" s="67"/>
      <c r="T212" s="67"/>
      <c r="U212" s="68"/>
      <c r="V212" s="69"/>
      <c r="X212" s="69"/>
    </row>
    <row r="213" spans="19:24" x14ac:dyDescent="0.3">
      <c r="S213" s="67"/>
      <c r="T213" s="67"/>
      <c r="U213" s="68"/>
      <c r="V213" s="69"/>
      <c r="X213" s="69"/>
    </row>
    <row r="214" spans="19:24" x14ac:dyDescent="0.3">
      <c r="S214" s="67"/>
      <c r="T214" s="67"/>
      <c r="U214" s="68"/>
      <c r="V214" s="69"/>
      <c r="X214" s="69"/>
    </row>
    <row r="215" spans="19:24" x14ac:dyDescent="0.3">
      <c r="S215" s="67"/>
      <c r="T215" s="67"/>
      <c r="U215" s="68"/>
      <c r="V215" s="69"/>
      <c r="X215" s="69"/>
    </row>
    <row r="216" spans="19:24" x14ac:dyDescent="0.3">
      <c r="S216" s="67"/>
      <c r="T216" s="67"/>
      <c r="U216" s="68"/>
      <c r="V216" s="69"/>
      <c r="X216" s="69"/>
    </row>
    <row r="217" spans="19:24" x14ac:dyDescent="0.3">
      <c r="S217" s="67"/>
      <c r="T217" s="67"/>
      <c r="U217" s="68"/>
      <c r="V217" s="69"/>
      <c r="X217" s="69"/>
    </row>
    <row r="218" spans="19:24" x14ac:dyDescent="0.3">
      <c r="S218" s="67"/>
      <c r="T218" s="67"/>
      <c r="U218" s="68"/>
      <c r="V218" s="69"/>
      <c r="X218" s="69"/>
    </row>
    <row r="219" spans="19:24" x14ac:dyDescent="0.3">
      <c r="S219" s="67"/>
      <c r="T219" s="67"/>
      <c r="U219" s="68"/>
      <c r="V219" s="69"/>
      <c r="X219" s="69"/>
    </row>
    <row r="220" spans="19:24" x14ac:dyDescent="0.3">
      <c r="S220" s="67"/>
      <c r="T220" s="67"/>
      <c r="U220" s="68"/>
      <c r="V220" s="69"/>
      <c r="X220" s="69"/>
    </row>
    <row r="221" spans="19:24" x14ac:dyDescent="0.3">
      <c r="S221" s="67"/>
      <c r="T221" s="67"/>
      <c r="U221" s="68"/>
      <c r="V221" s="69"/>
      <c r="X221" s="69"/>
    </row>
    <row r="222" spans="19:24" x14ac:dyDescent="0.3">
      <c r="S222" s="67"/>
      <c r="T222" s="67"/>
      <c r="U222" s="68"/>
      <c r="V222" s="69"/>
      <c r="X222" s="69"/>
    </row>
    <row r="223" spans="19:24" x14ac:dyDescent="0.3">
      <c r="S223" s="67"/>
      <c r="T223" s="67"/>
      <c r="U223" s="68"/>
      <c r="V223" s="69"/>
      <c r="X223" s="69"/>
    </row>
    <row r="224" spans="19:24" x14ac:dyDescent="0.3">
      <c r="S224" s="67"/>
      <c r="T224" s="67"/>
      <c r="U224" s="68"/>
      <c r="V224" s="69"/>
      <c r="X224" s="69"/>
    </row>
    <row r="225" spans="19:24" x14ac:dyDescent="0.3">
      <c r="S225" s="67"/>
      <c r="T225" s="67"/>
      <c r="U225" s="68"/>
      <c r="V225" s="69"/>
      <c r="X225" s="69"/>
    </row>
    <row r="226" spans="19:24" x14ac:dyDescent="0.3">
      <c r="S226" s="67"/>
      <c r="T226" s="67"/>
      <c r="U226" s="68"/>
      <c r="V226" s="69"/>
      <c r="X226" s="69"/>
    </row>
    <row r="227" spans="19:24" x14ac:dyDescent="0.3">
      <c r="S227" s="67"/>
      <c r="T227" s="67"/>
      <c r="U227" s="68"/>
      <c r="V227" s="69"/>
      <c r="X227" s="69"/>
    </row>
    <row r="228" spans="19:24" x14ac:dyDescent="0.3">
      <c r="S228" s="67"/>
      <c r="T228" s="67"/>
      <c r="U228" s="68"/>
      <c r="V228" s="69"/>
      <c r="X228" s="69"/>
    </row>
    <row r="229" spans="19:24" x14ac:dyDescent="0.3">
      <c r="S229" s="67"/>
      <c r="T229" s="67"/>
      <c r="U229" s="68"/>
      <c r="V229" s="69"/>
      <c r="X229" s="69"/>
    </row>
    <row r="230" spans="19:24" x14ac:dyDescent="0.3">
      <c r="S230" s="67"/>
      <c r="T230" s="67"/>
      <c r="U230" s="68"/>
      <c r="V230" s="69"/>
      <c r="X230" s="69"/>
    </row>
    <row r="231" spans="19:24" x14ac:dyDescent="0.3">
      <c r="S231" s="67"/>
      <c r="T231" s="67"/>
      <c r="U231" s="68"/>
      <c r="V231" s="69"/>
      <c r="X231" s="69"/>
    </row>
    <row r="232" spans="19:24" x14ac:dyDescent="0.3">
      <c r="S232" s="67"/>
      <c r="T232" s="67"/>
      <c r="U232" s="68"/>
      <c r="V232" s="69"/>
      <c r="X232" s="69"/>
    </row>
    <row r="233" spans="19:24" x14ac:dyDescent="0.3">
      <c r="S233" s="67"/>
      <c r="T233" s="67"/>
      <c r="U233" s="68"/>
      <c r="V233" s="69"/>
      <c r="X233" s="69"/>
    </row>
    <row r="234" spans="19:24" x14ac:dyDescent="0.3">
      <c r="S234" s="67"/>
      <c r="T234" s="67"/>
      <c r="U234" s="68"/>
      <c r="V234" s="69"/>
      <c r="X234" s="69"/>
    </row>
    <row r="235" spans="19:24" x14ac:dyDescent="0.3">
      <c r="S235" s="67"/>
      <c r="T235" s="67"/>
      <c r="U235" s="68"/>
      <c r="V235" s="69"/>
      <c r="X235" s="69"/>
    </row>
    <row r="236" spans="19:24" x14ac:dyDescent="0.3">
      <c r="S236" s="67"/>
      <c r="T236" s="67"/>
      <c r="U236" s="68"/>
      <c r="V236" s="69"/>
      <c r="X236" s="69"/>
    </row>
    <row r="237" spans="19:24" x14ac:dyDescent="0.3">
      <c r="S237" s="67"/>
      <c r="T237" s="67"/>
      <c r="U237" s="68"/>
      <c r="V237" s="69"/>
      <c r="X237" s="69"/>
    </row>
    <row r="238" spans="19:24" x14ac:dyDescent="0.3">
      <c r="S238" s="67"/>
      <c r="T238" s="67"/>
      <c r="U238" s="68"/>
      <c r="V238" s="69"/>
      <c r="X238" s="69"/>
    </row>
    <row r="239" spans="19:24" x14ac:dyDescent="0.3">
      <c r="S239" s="67"/>
      <c r="T239" s="67"/>
      <c r="U239" s="68"/>
      <c r="V239" s="69"/>
      <c r="X239" s="69"/>
    </row>
    <row r="240" spans="19:24" x14ac:dyDescent="0.3">
      <c r="S240" s="67"/>
      <c r="T240" s="67"/>
      <c r="U240" s="68"/>
      <c r="V240" s="69"/>
      <c r="X240" s="69"/>
    </row>
    <row r="241" spans="19:24" x14ac:dyDescent="0.3">
      <c r="S241" s="67"/>
      <c r="T241" s="67"/>
      <c r="U241" s="68"/>
      <c r="V241" s="69"/>
      <c r="X241" s="69"/>
    </row>
    <row r="242" spans="19:24" x14ac:dyDescent="0.3">
      <c r="S242" s="67"/>
      <c r="T242" s="67"/>
      <c r="U242" s="68"/>
      <c r="V242" s="69"/>
      <c r="X242" s="69"/>
    </row>
    <row r="243" spans="19:24" x14ac:dyDescent="0.3">
      <c r="S243" s="67"/>
      <c r="T243" s="67"/>
      <c r="U243" s="68"/>
      <c r="V243" s="69"/>
      <c r="X243" s="69"/>
    </row>
    <row r="244" spans="19:24" x14ac:dyDescent="0.3">
      <c r="S244" s="67"/>
      <c r="T244" s="67"/>
      <c r="U244" s="68"/>
      <c r="V244" s="69"/>
      <c r="X244" s="69"/>
    </row>
    <row r="245" spans="19:24" x14ac:dyDescent="0.3">
      <c r="S245" s="67"/>
      <c r="T245" s="67"/>
      <c r="U245" s="68"/>
      <c r="V245" s="69"/>
      <c r="X245" s="69"/>
    </row>
    <row r="246" spans="19:24" x14ac:dyDescent="0.3">
      <c r="S246" s="67"/>
      <c r="T246" s="67"/>
      <c r="U246" s="68"/>
      <c r="V246" s="69"/>
      <c r="X246" s="69"/>
    </row>
    <row r="247" spans="19:24" x14ac:dyDescent="0.3">
      <c r="S247" s="67"/>
      <c r="T247" s="67"/>
      <c r="U247" s="68"/>
      <c r="V247" s="69"/>
      <c r="X247" s="69"/>
    </row>
    <row r="248" spans="19:24" x14ac:dyDescent="0.3">
      <c r="S248" s="67"/>
      <c r="T248" s="67"/>
      <c r="U248" s="68"/>
      <c r="V248" s="69"/>
      <c r="X248" s="69"/>
    </row>
    <row r="249" spans="19:24" x14ac:dyDescent="0.3">
      <c r="S249" s="67"/>
      <c r="T249" s="67"/>
      <c r="U249" s="68"/>
      <c r="V249" s="69"/>
      <c r="X249" s="69"/>
    </row>
    <row r="250" spans="19:24" x14ac:dyDescent="0.3">
      <c r="S250" s="67"/>
      <c r="T250" s="67"/>
      <c r="U250" s="68"/>
      <c r="V250" s="69"/>
      <c r="X250" s="69"/>
    </row>
    <row r="251" spans="19:24" x14ac:dyDescent="0.3">
      <c r="S251" s="67"/>
      <c r="T251" s="67"/>
      <c r="U251" s="68"/>
      <c r="V251" s="69"/>
      <c r="X251" s="69"/>
    </row>
    <row r="252" spans="19:24" x14ac:dyDescent="0.3">
      <c r="S252" s="67"/>
      <c r="T252" s="67"/>
      <c r="U252" s="68"/>
      <c r="V252" s="69"/>
      <c r="X252" s="69"/>
    </row>
    <row r="253" spans="19:24" x14ac:dyDescent="0.3">
      <c r="S253" s="67"/>
      <c r="T253" s="67"/>
      <c r="U253" s="68"/>
      <c r="V253" s="69"/>
      <c r="X253" s="69"/>
    </row>
    <row r="254" spans="19:24" x14ac:dyDescent="0.3">
      <c r="S254" s="67"/>
      <c r="T254" s="67"/>
      <c r="U254" s="68"/>
      <c r="V254" s="69"/>
      <c r="X254" s="69"/>
    </row>
    <row r="255" spans="19:24" x14ac:dyDescent="0.3">
      <c r="S255" s="67"/>
      <c r="T255" s="67"/>
      <c r="U255" s="68"/>
      <c r="V255" s="69"/>
      <c r="X255" s="69"/>
    </row>
    <row r="256" spans="19:24" x14ac:dyDescent="0.3">
      <c r="S256" s="67"/>
      <c r="T256" s="67"/>
      <c r="U256" s="68"/>
      <c r="V256" s="69"/>
      <c r="X256" s="69"/>
    </row>
    <row r="257" spans="19:24" x14ac:dyDescent="0.3">
      <c r="S257" s="67"/>
      <c r="T257" s="67"/>
      <c r="U257" s="68"/>
      <c r="V257" s="69"/>
      <c r="X257" s="69"/>
    </row>
    <row r="258" spans="19:24" x14ac:dyDescent="0.3">
      <c r="S258" s="67"/>
      <c r="T258" s="67"/>
      <c r="U258" s="68"/>
      <c r="V258" s="69"/>
      <c r="X258" s="69"/>
    </row>
    <row r="259" spans="19:24" x14ac:dyDescent="0.3">
      <c r="S259" s="67"/>
      <c r="T259" s="67"/>
      <c r="U259" s="68"/>
      <c r="V259" s="69"/>
      <c r="X259" s="69"/>
    </row>
    <row r="260" spans="19:24" x14ac:dyDescent="0.3">
      <c r="S260" s="67"/>
      <c r="T260" s="67"/>
      <c r="U260" s="68"/>
      <c r="V260" s="69"/>
      <c r="X260" s="69"/>
    </row>
    <row r="261" spans="19:24" x14ac:dyDescent="0.3">
      <c r="S261" s="67"/>
      <c r="T261" s="67"/>
      <c r="U261" s="68"/>
      <c r="V261" s="69"/>
      <c r="X261" s="69"/>
    </row>
    <row r="262" spans="19:24" x14ac:dyDescent="0.3">
      <c r="S262" s="67"/>
      <c r="T262" s="67"/>
      <c r="U262" s="68"/>
      <c r="V262" s="69"/>
      <c r="X262" s="69"/>
    </row>
    <row r="263" spans="19:24" x14ac:dyDescent="0.3">
      <c r="S263" s="67"/>
      <c r="T263" s="67"/>
      <c r="U263" s="68"/>
      <c r="V263" s="69"/>
      <c r="X263" s="69"/>
    </row>
    <row r="264" spans="19:24" x14ac:dyDescent="0.3">
      <c r="S264" s="67"/>
      <c r="T264" s="67"/>
      <c r="U264" s="68"/>
      <c r="V264" s="69"/>
      <c r="X264" s="69"/>
    </row>
    <row r="265" spans="19:24" x14ac:dyDescent="0.3">
      <c r="S265" s="67"/>
      <c r="T265" s="67"/>
      <c r="U265" s="68"/>
      <c r="V265" s="69"/>
      <c r="X265" s="69"/>
    </row>
    <row r="266" spans="19:24" x14ac:dyDescent="0.3">
      <c r="S266" s="67"/>
      <c r="T266" s="67"/>
      <c r="U266" s="68"/>
      <c r="V266" s="69"/>
      <c r="X266" s="69"/>
    </row>
    <row r="267" spans="19:24" x14ac:dyDescent="0.3">
      <c r="S267" s="67"/>
      <c r="T267" s="67"/>
      <c r="U267" s="68"/>
      <c r="V267" s="69"/>
      <c r="X267" s="69"/>
    </row>
    <row r="268" spans="19:24" x14ac:dyDescent="0.3">
      <c r="S268" s="67"/>
      <c r="T268" s="67"/>
      <c r="U268" s="68"/>
      <c r="V268" s="69"/>
      <c r="X268" s="69"/>
    </row>
    <row r="269" spans="19:24" x14ac:dyDescent="0.3">
      <c r="S269" s="67"/>
      <c r="T269" s="67"/>
      <c r="U269" s="68"/>
      <c r="V269" s="69"/>
      <c r="X269" s="69"/>
    </row>
    <row r="270" spans="19:24" x14ac:dyDescent="0.3">
      <c r="S270" s="67"/>
      <c r="T270" s="67"/>
      <c r="U270" s="68"/>
      <c r="V270" s="69"/>
      <c r="X270" s="69"/>
    </row>
    <row r="271" spans="19:24" x14ac:dyDescent="0.3">
      <c r="S271" s="67"/>
      <c r="T271" s="67"/>
      <c r="U271" s="68"/>
      <c r="V271" s="69"/>
      <c r="X271" s="69"/>
    </row>
    <row r="272" spans="19:24" x14ac:dyDescent="0.3">
      <c r="S272" s="67"/>
      <c r="T272" s="67"/>
      <c r="U272" s="68"/>
      <c r="V272" s="69"/>
      <c r="X272" s="69"/>
    </row>
    <row r="273" spans="19:24" x14ac:dyDescent="0.3">
      <c r="S273" s="67"/>
      <c r="T273" s="67"/>
      <c r="U273" s="68"/>
      <c r="V273" s="69"/>
      <c r="X273" s="69"/>
    </row>
    <row r="274" spans="19:24" x14ac:dyDescent="0.3">
      <c r="S274" s="67"/>
      <c r="T274" s="67"/>
      <c r="U274" s="68"/>
      <c r="V274" s="69"/>
      <c r="X274" s="69"/>
    </row>
    <row r="275" spans="19:24" x14ac:dyDescent="0.3">
      <c r="S275" s="67"/>
      <c r="T275" s="67"/>
      <c r="U275" s="68"/>
      <c r="V275" s="69"/>
      <c r="X275" s="69"/>
    </row>
    <row r="276" spans="19:24" x14ac:dyDescent="0.3">
      <c r="S276" s="67"/>
      <c r="T276" s="67"/>
      <c r="U276" s="68"/>
      <c r="V276" s="69"/>
      <c r="X276" s="69"/>
    </row>
    <row r="277" spans="19:24" x14ac:dyDescent="0.3">
      <c r="S277" s="67"/>
      <c r="T277" s="67"/>
      <c r="U277" s="68"/>
      <c r="V277" s="69"/>
      <c r="X277" s="69"/>
    </row>
    <row r="278" spans="19:24" x14ac:dyDescent="0.3">
      <c r="S278" s="67"/>
      <c r="T278" s="67"/>
      <c r="U278" s="68"/>
      <c r="V278" s="69"/>
      <c r="X278" s="69"/>
    </row>
    <row r="279" spans="19:24" x14ac:dyDescent="0.3">
      <c r="S279" s="67"/>
      <c r="T279" s="67"/>
      <c r="U279" s="68"/>
      <c r="V279" s="69"/>
      <c r="X279" s="69"/>
    </row>
    <row r="280" spans="19:24" x14ac:dyDescent="0.3">
      <c r="S280" s="67"/>
      <c r="T280" s="67"/>
      <c r="U280" s="68"/>
      <c r="V280" s="69"/>
      <c r="X280" s="69"/>
    </row>
    <row r="281" spans="19:24" x14ac:dyDescent="0.3">
      <c r="S281" s="67"/>
      <c r="T281" s="67"/>
      <c r="U281" s="68"/>
      <c r="V281" s="69"/>
      <c r="X281" s="69"/>
    </row>
    <row r="282" spans="19:24" x14ac:dyDescent="0.3">
      <c r="S282" s="67"/>
      <c r="T282" s="67"/>
      <c r="U282" s="68"/>
      <c r="V282" s="69"/>
      <c r="X282" s="69"/>
    </row>
    <row r="283" spans="19:24" x14ac:dyDescent="0.3">
      <c r="S283" s="67"/>
      <c r="T283" s="67"/>
      <c r="U283" s="68"/>
      <c r="V283" s="69"/>
      <c r="X283" s="69"/>
    </row>
    <row r="284" spans="19:24" x14ac:dyDescent="0.3">
      <c r="S284" s="67"/>
      <c r="T284" s="67"/>
      <c r="U284" s="68"/>
      <c r="V284" s="69"/>
      <c r="X284" s="69"/>
    </row>
    <row r="285" spans="19:24" x14ac:dyDescent="0.3">
      <c r="S285" s="67"/>
      <c r="T285" s="67"/>
      <c r="U285" s="68"/>
      <c r="V285" s="69"/>
      <c r="X285" s="69"/>
    </row>
    <row r="286" spans="19:24" x14ac:dyDescent="0.3">
      <c r="S286" s="67"/>
      <c r="T286" s="67"/>
      <c r="U286" s="68"/>
      <c r="V286" s="69"/>
      <c r="X286" s="69"/>
    </row>
    <row r="287" spans="19:24" x14ac:dyDescent="0.3">
      <c r="S287" s="67"/>
      <c r="T287" s="67"/>
      <c r="U287" s="68"/>
      <c r="V287" s="69"/>
      <c r="X287" s="69"/>
    </row>
    <row r="288" spans="19:24" x14ac:dyDescent="0.3">
      <c r="S288" s="67"/>
      <c r="T288" s="67"/>
      <c r="U288" s="68"/>
      <c r="V288" s="69"/>
      <c r="X288" s="69"/>
    </row>
    <row r="289" spans="19:24" x14ac:dyDescent="0.3">
      <c r="S289" s="67"/>
      <c r="T289" s="67"/>
      <c r="U289" s="68"/>
      <c r="V289" s="69"/>
      <c r="X289" s="69"/>
    </row>
    <row r="290" spans="19:24" x14ac:dyDescent="0.3">
      <c r="S290" s="67"/>
      <c r="T290" s="67"/>
      <c r="U290" s="68"/>
      <c r="V290" s="69"/>
      <c r="X290" s="69"/>
    </row>
    <row r="291" spans="19:24" x14ac:dyDescent="0.3">
      <c r="S291" s="67"/>
      <c r="T291" s="67"/>
      <c r="U291" s="68"/>
      <c r="V291" s="69"/>
      <c r="X291" s="69"/>
    </row>
    <row r="292" spans="19:24" x14ac:dyDescent="0.3">
      <c r="S292" s="67"/>
      <c r="T292" s="67"/>
      <c r="U292" s="68"/>
      <c r="V292" s="69"/>
      <c r="X292" s="69"/>
    </row>
    <row r="293" spans="19:24" x14ac:dyDescent="0.3">
      <c r="S293" s="67"/>
      <c r="T293" s="67"/>
      <c r="U293" s="68"/>
      <c r="V293" s="69"/>
      <c r="X293" s="69"/>
    </row>
    <row r="294" spans="19:24" x14ac:dyDescent="0.3">
      <c r="S294" s="67"/>
      <c r="T294" s="67"/>
      <c r="U294" s="68"/>
      <c r="V294" s="69"/>
      <c r="X294" s="69"/>
    </row>
    <row r="295" spans="19:24" x14ac:dyDescent="0.3">
      <c r="S295" s="67"/>
      <c r="T295" s="67"/>
      <c r="U295" s="68"/>
      <c r="V295" s="69"/>
      <c r="X295" s="69"/>
    </row>
    <row r="296" spans="19:24" x14ac:dyDescent="0.3">
      <c r="S296" s="67"/>
      <c r="T296" s="67"/>
      <c r="U296" s="68"/>
      <c r="V296" s="69"/>
      <c r="X296" s="69"/>
    </row>
    <row r="297" spans="19:24" x14ac:dyDescent="0.3">
      <c r="S297" s="67"/>
      <c r="T297" s="67"/>
      <c r="U297" s="68"/>
      <c r="V297" s="69"/>
      <c r="X297" s="69"/>
    </row>
    <row r="298" spans="19:24" x14ac:dyDescent="0.3">
      <c r="S298" s="67"/>
      <c r="T298" s="67"/>
      <c r="U298" s="68"/>
      <c r="V298" s="69"/>
      <c r="X298" s="69"/>
    </row>
    <row r="299" spans="19:24" x14ac:dyDescent="0.3">
      <c r="S299" s="67"/>
      <c r="T299" s="67"/>
      <c r="U299" s="68"/>
      <c r="V299" s="69"/>
      <c r="X299" s="69"/>
    </row>
    <row r="300" spans="19:24" x14ac:dyDescent="0.3">
      <c r="S300" s="67"/>
      <c r="T300" s="67"/>
      <c r="U300" s="68"/>
      <c r="V300" s="69"/>
      <c r="X300" s="69"/>
    </row>
    <row r="301" spans="19:24" x14ac:dyDescent="0.3">
      <c r="S301" s="67"/>
      <c r="T301" s="67"/>
      <c r="U301" s="68"/>
      <c r="V301" s="69"/>
      <c r="X301" s="69"/>
    </row>
    <row r="302" spans="19:24" x14ac:dyDescent="0.3">
      <c r="S302" s="67"/>
      <c r="T302" s="67"/>
      <c r="U302" s="68"/>
      <c r="V302" s="69"/>
      <c r="X302" s="69"/>
    </row>
    <row r="303" spans="19:24" x14ac:dyDescent="0.3">
      <c r="S303" s="67"/>
      <c r="T303" s="67"/>
      <c r="U303" s="68"/>
      <c r="V303" s="69"/>
      <c r="X303" s="69"/>
    </row>
    <row r="304" spans="19:24" x14ac:dyDescent="0.3">
      <c r="S304" s="67"/>
      <c r="T304" s="67"/>
      <c r="U304" s="68"/>
      <c r="V304" s="69"/>
      <c r="X304" s="69"/>
    </row>
    <row r="305" spans="19:24" x14ac:dyDescent="0.3">
      <c r="S305" s="67"/>
      <c r="T305" s="67"/>
      <c r="U305" s="68"/>
      <c r="V305" s="69"/>
      <c r="X305" s="69"/>
    </row>
    <row r="306" spans="19:24" x14ac:dyDescent="0.3">
      <c r="S306" s="67"/>
      <c r="T306" s="67"/>
      <c r="U306" s="68"/>
      <c r="V306" s="69"/>
      <c r="X306" s="69"/>
    </row>
    <row r="307" spans="19:24" x14ac:dyDescent="0.3">
      <c r="S307" s="67"/>
      <c r="T307" s="67"/>
      <c r="U307" s="68"/>
      <c r="V307" s="69"/>
      <c r="X307" s="69"/>
    </row>
    <row r="308" spans="19:24" x14ac:dyDescent="0.3">
      <c r="S308" s="67"/>
      <c r="T308" s="67"/>
      <c r="U308" s="68"/>
      <c r="V308" s="69"/>
      <c r="X308" s="69"/>
    </row>
    <row r="309" spans="19:24" x14ac:dyDescent="0.3">
      <c r="S309" s="67"/>
      <c r="T309" s="67"/>
      <c r="U309" s="68"/>
      <c r="V309" s="69"/>
      <c r="X309" s="69"/>
    </row>
    <row r="310" spans="19:24" x14ac:dyDescent="0.3">
      <c r="S310" s="67"/>
      <c r="T310" s="67"/>
      <c r="U310" s="68"/>
      <c r="V310" s="69"/>
      <c r="X310" s="69"/>
    </row>
    <row r="311" spans="19:24" x14ac:dyDescent="0.3">
      <c r="S311" s="67"/>
      <c r="T311" s="67"/>
      <c r="U311" s="68"/>
      <c r="V311" s="69"/>
      <c r="X311" s="69"/>
    </row>
    <row r="312" spans="19:24" x14ac:dyDescent="0.3">
      <c r="S312" s="67"/>
      <c r="T312" s="67"/>
      <c r="U312" s="68"/>
      <c r="V312" s="69"/>
      <c r="X312" s="69"/>
    </row>
    <row r="313" spans="19:24" x14ac:dyDescent="0.3">
      <c r="S313" s="67"/>
      <c r="T313" s="67"/>
      <c r="U313" s="68"/>
      <c r="V313" s="69"/>
      <c r="X313" s="69"/>
    </row>
    <row r="314" spans="19:24" x14ac:dyDescent="0.3">
      <c r="S314" s="67"/>
      <c r="T314" s="67"/>
      <c r="U314" s="68"/>
      <c r="V314" s="69"/>
      <c r="X314" s="69"/>
    </row>
    <row r="315" spans="19:24" x14ac:dyDescent="0.3">
      <c r="S315" s="67"/>
      <c r="T315" s="67"/>
      <c r="U315" s="68"/>
      <c r="V315" s="69"/>
      <c r="X315" s="69"/>
    </row>
    <row r="316" spans="19:24" x14ac:dyDescent="0.3">
      <c r="S316" s="67"/>
      <c r="T316" s="67"/>
      <c r="U316" s="68"/>
      <c r="V316" s="69"/>
      <c r="X316" s="69"/>
    </row>
    <row r="317" spans="19:24" x14ac:dyDescent="0.3">
      <c r="S317" s="67"/>
      <c r="T317" s="67"/>
      <c r="U317" s="68"/>
      <c r="V317" s="69"/>
      <c r="X317" s="69"/>
    </row>
    <row r="318" spans="19:24" x14ac:dyDescent="0.3">
      <c r="S318" s="67"/>
      <c r="T318" s="67"/>
      <c r="U318" s="68"/>
      <c r="V318" s="69"/>
      <c r="X318" s="69"/>
    </row>
    <row r="319" spans="19:24" x14ac:dyDescent="0.3">
      <c r="S319" s="67"/>
      <c r="T319" s="67"/>
      <c r="U319" s="68"/>
      <c r="V319" s="69"/>
      <c r="X319" s="69"/>
    </row>
    <row r="320" spans="19:24" x14ac:dyDescent="0.3">
      <c r="S320" s="67"/>
      <c r="T320" s="67"/>
      <c r="U320" s="68"/>
      <c r="V320" s="69"/>
      <c r="X320" s="69"/>
    </row>
    <row r="321" spans="19:24" x14ac:dyDescent="0.3">
      <c r="S321" s="67"/>
      <c r="T321" s="67"/>
      <c r="U321" s="68"/>
      <c r="V321" s="69"/>
      <c r="X321" s="69"/>
    </row>
    <row r="322" spans="19:24" x14ac:dyDescent="0.3">
      <c r="S322" s="67"/>
      <c r="T322" s="67"/>
      <c r="U322" s="68"/>
      <c r="V322" s="69"/>
      <c r="X322" s="69"/>
    </row>
    <row r="323" spans="19:24" x14ac:dyDescent="0.3">
      <c r="S323" s="67"/>
      <c r="T323" s="67"/>
      <c r="U323" s="68"/>
      <c r="V323" s="69"/>
      <c r="X323" s="69"/>
    </row>
    <row r="324" spans="19:24" x14ac:dyDescent="0.3">
      <c r="S324" s="67"/>
      <c r="T324" s="67"/>
      <c r="U324" s="68"/>
      <c r="V324" s="69"/>
      <c r="X324" s="69"/>
    </row>
    <row r="325" spans="19:24" x14ac:dyDescent="0.3">
      <c r="S325" s="67"/>
      <c r="T325" s="67"/>
      <c r="U325" s="68"/>
      <c r="V325" s="69"/>
      <c r="X325" s="69"/>
    </row>
    <row r="326" spans="19:24" x14ac:dyDescent="0.3">
      <c r="S326" s="67"/>
      <c r="T326" s="67"/>
      <c r="U326" s="68"/>
      <c r="V326" s="69"/>
      <c r="X326" s="69"/>
    </row>
    <row r="327" spans="19:24" x14ac:dyDescent="0.3">
      <c r="S327" s="67"/>
      <c r="T327" s="67"/>
      <c r="U327" s="68"/>
      <c r="V327" s="69"/>
      <c r="X327" s="69"/>
    </row>
    <row r="328" spans="19:24" x14ac:dyDescent="0.3">
      <c r="S328" s="67"/>
      <c r="T328" s="67"/>
      <c r="U328" s="68"/>
      <c r="V328" s="69"/>
      <c r="X328" s="69"/>
    </row>
    <row r="329" spans="19:24" x14ac:dyDescent="0.3">
      <c r="S329" s="67"/>
      <c r="T329" s="67"/>
      <c r="U329" s="68"/>
      <c r="V329" s="69"/>
      <c r="X329" s="69"/>
    </row>
    <row r="330" spans="19:24" x14ac:dyDescent="0.3">
      <c r="S330" s="67"/>
      <c r="T330" s="67"/>
      <c r="U330" s="68"/>
      <c r="V330" s="69"/>
      <c r="X330" s="69"/>
    </row>
    <row r="331" spans="19:24" x14ac:dyDescent="0.3">
      <c r="S331" s="67"/>
      <c r="T331" s="67"/>
      <c r="U331" s="68"/>
      <c r="V331" s="69"/>
      <c r="X331" s="69"/>
    </row>
    <row r="332" spans="19:24" x14ac:dyDescent="0.3">
      <c r="S332" s="67"/>
      <c r="T332" s="67"/>
      <c r="U332" s="68"/>
      <c r="V332" s="69"/>
      <c r="X332" s="69"/>
    </row>
    <row r="333" spans="19:24" x14ac:dyDescent="0.3">
      <c r="S333" s="67"/>
      <c r="T333" s="67"/>
      <c r="U333" s="68"/>
      <c r="V333" s="69"/>
      <c r="X333" s="69"/>
    </row>
    <row r="334" spans="19:24" x14ac:dyDescent="0.3">
      <c r="S334" s="67"/>
      <c r="T334" s="67"/>
      <c r="U334" s="68"/>
      <c r="V334" s="69"/>
      <c r="X334" s="69"/>
    </row>
    <row r="335" spans="19:24" x14ac:dyDescent="0.3">
      <c r="S335" s="67"/>
      <c r="T335" s="67"/>
      <c r="U335" s="68"/>
      <c r="V335" s="69"/>
      <c r="X335" s="69"/>
    </row>
    <row r="336" spans="19:24" x14ac:dyDescent="0.3">
      <c r="S336" s="67"/>
      <c r="T336" s="67"/>
      <c r="U336" s="68"/>
      <c r="V336" s="69"/>
      <c r="X336" s="69"/>
    </row>
    <row r="337" spans="19:24" x14ac:dyDescent="0.3">
      <c r="S337" s="67"/>
      <c r="T337" s="67"/>
      <c r="U337" s="68"/>
      <c r="V337" s="69"/>
      <c r="X337" s="69"/>
    </row>
    <row r="338" spans="19:24" x14ac:dyDescent="0.3">
      <c r="S338" s="67"/>
      <c r="T338" s="67"/>
      <c r="U338" s="68"/>
      <c r="V338" s="69"/>
      <c r="X338" s="69"/>
    </row>
    <row r="339" spans="19:24" x14ac:dyDescent="0.3">
      <c r="S339" s="67"/>
      <c r="T339" s="67"/>
      <c r="U339" s="68"/>
      <c r="V339" s="69"/>
      <c r="X339" s="69"/>
    </row>
    <row r="340" spans="19:24" x14ac:dyDescent="0.3">
      <c r="S340" s="67"/>
      <c r="T340" s="67"/>
      <c r="U340" s="68"/>
      <c r="V340" s="69"/>
      <c r="X340" s="69"/>
    </row>
    <row r="341" spans="19:24" x14ac:dyDescent="0.3">
      <c r="S341" s="67"/>
      <c r="T341" s="67"/>
      <c r="U341" s="68"/>
      <c r="V341" s="69"/>
      <c r="X341" s="69"/>
    </row>
    <row r="342" spans="19:24" x14ac:dyDescent="0.3">
      <c r="S342" s="67"/>
      <c r="T342" s="67"/>
      <c r="U342" s="68"/>
      <c r="V342" s="69"/>
      <c r="X342" s="69"/>
    </row>
    <row r="343" spans="19:24" x14ac:dyDescent="0.3">
      <c r="S343" s="67"/>
      <c r="T343" s="67"/>
      <c r="U343" s="68"/>
      <c r="V343" s="69"/>
      <c r="X343" s="69"/>
    </row>
    <row r="344" spans="19:24" x14ac:dyDescent="0.3">
      <c r="S344" s="67"/>
      <c r="T344" s="67"/>
      <c r="U344" s="68"/>
      <c r="V344" s="69"/>
      <c r="X344" s="69"/>
    </row>
    <row r="345" spans="19:24" x14ac:dyDescent="0.3">
      <c r="S345" s="67"/>
      <c r="T345" s="67"/>
      <c r="U345" s="68"/>
      <c r="V345" s="69"/>
      <c r="X345" s="69"/>
    </row>
    <row r="346" spans="19:24" x14ac:dyDescent="0.3">
      <c r="S346" s="67"/>
      <c r="T346" s="67"/>
      <c r="U346" s="68"/>
      <c r="V346" s="69"/>
      <c r="X346" s="69"/>
    </row>
    <row r="347" spans="19:24" x14ac:dyDescent="0.3">
      <c r="S347" s="67"/>
      <c r="T347" s="67"/>
      <c r="U347" s="68"/>
      <c r="V347" s="69"/>
      <c r="X347" s="69"/>
    </row>
    <row r="348" spans="19:24" x14ac:dyDescent="0.3">
      <c r="S348" s="67"/>
      <c r="T348" s="67"/>
      <c r="U348" s="68"/>
      <c r="V348" s="69"/>
      <c r="X348" s="69"/>
    </row>
    <row r="349" spans="19:24" x14ac:dyDescent="0.3">
      <c r="S349" s="67"/>
      <c r="T349" s="67"/>
      <c r="U349" s="68"/>
      <c r="V349" s="69"/>
      <c r="X349" s="69"/>
    </row>
    <row r="350" spans="19:24" x14ac:dyDescent="0.3">
      <c r="S350" s="67"/>
      <c r="T350" s="67"/>
      <c r="U350" s="68"/>
      <c r="V350" s="69"/>
      <c r="X350" s="69"/>
    </row>
    <row r="351" spans="19:24" x14ac:dyDescent="0.3">
      <c r="S351" s="67"/>
      <c r="T351" s="67"/>
      <c r="U351" s="68"/>
      <c r="V351" s="69"/>
      <c r="X351" s="69"/>
    </row>
    <row r="352" spans="19:24" x14ac:dyDescent="0.3">
      <c r="S352" s="67"/>
      <c r="T352" s="67"/>
      <c r="U352" s="68"/>
      <c r="V352" s="69"/>
      <c r="X352" s="69"/>
    </row>
    <row r="353" spans="19:24" x14ac:dyDescent="0.3">
      <c r="S353" s="67"/>
      <c r="T353" s="67"/>
      <c r="U353" s="68"/>
      <c r="V353" s="69"/>
      <c r="X353" s="69"/>
    </row>
    <row r="354" spans="19:24" x14ac:dyDescent="0.3">
      <c r="S354" s="67"/>
      <c r="T354" s="67"/>
      <c r="U354" s="68"/>
      <c r="V354" s="69"/>
      <c r="X354" s="69"/>
    </row>
    <row r="355" spans="19:24" x14ac:dyDescent="0.3">
      <c r="S355" s="67"/>
      <c r="T355" s="67"/>
      <c r="U355" s="68"/>
      <c r="V355" s="69"/>
      <c r="X355" s="69"/>
    </row>
    <row r="356" spans="19:24" x14ac:dyDescent="0.3">
      <c r="S356" s="67"/>
      <c r="T356" s="67"/>
      <c r="U356" s="68"/>
      <c r="V356" s="69"/>
      <c r="X356" s="69"/>
    </row>
    <row r="357" spans="19:24" x14ac:dyDescent="0.3">
      <c r="S357" s="67"/>
      <c r="T357" s="67"/>
      <c r="U357" s="68"/>
      <c r="V357" s="69"/>
      <c r="X357" s="69"/>
    </row>
    <row r="358" spans="19:24" x14ac:dyDescent="0.3">
      <c r="S358" s="67"/>
      <c r="T358" s="67"/>
      <c r="U358" s="68"/>
      <c r="V358" s="69"/>
      <c r="X358" s="69"/>
    </row>
    <row r="359" spans="19:24" x14ac:dyDescent="0.3">
      <c r="S359" s="67"/>
      <c r="T359" s="67"/>
      <c r="U359" s="68"/>
      <c r="V359" s="69"/>
      <c r="X359" s="69"/>
    </row>
    <row r="360" spans="19:24" x14ac:dyDescent="0.3">
      <c r="S360" s="67"/>
      <c r="T360" s="67"/>
      <c r="U360" s="68"/>
      <c r="V360" s="69"/>
      <c r="X360" s="69"/>
    </row>
    <row r="361" spans="19:24" x14ac:dyDescent="0.3">
      <c r="S361" s="67"/>
      <c r="T361" s="67"/>
      <c r="U361" s="68"/>
      <c r="V361" s="69"/>
      <c r="X361" s="69"/>
    </row>
    <row r="362" spans="19:24" x14ac:dyDescent="0.3">
      <c r="S362" s="67"/>
      <c r="T362" s="67"/>
      <c r="U362" s="68"/>
      <c r="V362" s="69"/>
      <c r="X362" s="69"/>
    </row>
    <row r="363" spans="19:24" x14ac:dyDescent="0.3">
      <c r="S363" s="67"/>
      <c r="T363" s="67"/>
      <c r="U363" s="68"/>
      <c r="V363" s="69"/>
      <c r="X363" s="69"/>
    </row>
    <row r="364" spans="19:24" x14ac:dyDescent="0.3">
      <c r="S364" s="67"/>
      <c r="T364" s="67"/>
      <c r="U364" s="68"/>
      <c r="V364" s="69"/>
      <c r="X364" s="69"/>
    </row>
    <row r="365" spans="19:24" x14ac:dyDescent="0.3">
      <c r="S365" s="67"/>
      <c r="T365" s="67"/>
      <c r="U365" s="68"/>
      <c r="V365" s="69"/>
      <c r="X365" s="69"/>
    </row>
    <row r="366" spans="19:24" x14ac:dyDescent="0.3">
      <c r="S366" s="67"/>
      <c r="T366" s="67"/>
      <c r="U366" s="68"/>
      <c r="V366" s="69"/>
      <c r="X366" s="69"/>
    </row>
    <row r="367" spans="19:24" x14ac:dyDescent="0.3">
      <c r="S367" s="67"/>
      <c r="T367" s="67"/>
      <c r="U367" s="68"/>
      <c r="V367" s="69"/>
      <c r="X367" s="69"/>
    </row>
    <row r="368" spans="19:24" x14ac:dyDescent="0.3">
      <c r="S368" s="67"/>
      <c r="T368" s="67"/>
      <c r="U368" s="68"/>
      <c r="V368" s="69"/>
      <c r="X368" s="69"/>
    </row>
    <row r="369" spans="19:24" x14ac:dyDescent="0.3">
      <c r="S369" s="67"/>
      <c r="T369" s="67"/>
      <c r="U369" s="68"/>
      <c r="V369" s="69"/>
      <c r="X369" s="69"/>
    </row>
    <row r="370" spans="19:24" x14ac:dyDescent="0.3">
      <c r="S370" s="67"/>
      <c r="T370" s="67"/>
      <c r="U370" s="68"/>
      <c r="V370" s="69"/>
      <c r="X370" s="69"/>
    </row>
    <row r="371" spans="19:24" x14ac:dyDescent="0.3">
      <c r="S371" s="67"/>
      <c r="T371" s="67"/>
      <c r="U371" s="68"/>
      <c r="V371" s="69"/>
      <c r="X371" s="69"/>
    </row>
    <row r="372" spans="19:24" x14ac:dyDescent="0.3">
      <c r="S372" s="67"/>
      <c r="T372" s="67"/>
      <c r="U372" s="68"/>
      <c r="V372" s="69"/>
      <c r="X372" s="69"/>
    </row>
    <row r="373" spans="19:24" x14ac:dyDescent="0.3">
      <c r="S373" s="67"/>
      <c r="T373" s="67"/>
      <c r="U373" s="68"/>
      <c r="V373" s="69"/>
      <c r="X373" s="69"/>
    </row>
    <row r="374" spans="19:24" x14ac:dyDescent="0.3">
      <c r="S374" s="67"/>
      <c r="T374" s="67"/>
      <c r="U374" s="68"/>
      <c r="V374" s="69"/>
      <c r="X374" s="69"/>
    </row>
    <row r="375" spans="19:24" x14ac:dyDescent="0.3">
      <c r="S375" s="67"/>
      <c r="T375" s="67"/>
      <c r="U375" s="68"/>
      <c r="V375" s="69"/>
      <c r="X375" s="69"/>
    </row>
    <row r="376" spans="19:24" x14ac:dyDescent="0.3">
      <c r="S376" s="67"/>
      <c r="T376" s="67"/>
      <c r="U376" s="68"/>
      <c r="V376" s="69"/>
      <c r="X376" s="69"/>
    </row>
    <row r="377" spans="19:24" x14ac:dyDescent="0.3">
      <c r="S377" s="67"/>
      <c r="T377" s="67"/>
      <c r="U377" s="68"/>
      <c r="V377" s="69"/>
      <c r="X377" s="69"/>
    </row>
    <row r="378" spans="19:24" x14ac:dyDescent="0.3">
      <c r="S378" s="67"/>
      <c r="T378" s="67"/>
      <c r="U378" s="68"/>
      <c r="V378" s="69"/>
      <c r="X378" s="69"/>
    </row>
    <row r="379" spans="19:24" x14ac:dyDescent="0.3">
      <c r="S379" s="67"/>
      <c r="T379" s="67"/>
      <c r="U379" s="68"/>
      <c r="V379" s="69"/>
      <c r="X379" s="69"/>
    </row>
    <row r="380" spans="19:24" x14ac:dyDescent="0.3">
      <c r="S380" s="67"/>
      <c r="T380" s="67"/>
      <c r="U380" s="68"/>
      <c r="V380" s="69"/>
      <c r="X380" s="69"/>
    </row>
    <row r="381" spans="19:24" x14ac:dyDescent="0.3">
      <c r="S381" s="67"/>
      <c r="T381" s="67"/>
      <c r="U381" s="68"/>
      <c r="V381" s="69"/>
      <c r="X381" s="69"/>
    </row>
    <row r="382" spans="19:24" x14ac:dyDescent="0.3">
      <c r="S382" s="67"/>
      <c r="T382" s="67"/>
      <c r="U382" s="68"/>
      <c r="V382" s="69"/>
      <c r="X382" s="69"/>
    </row>
    <row r="383" spans="19:24" x14ac:dyDescent="0.3">
      <c r="S383" s="67"/>
      <c r="T383" s="67"/>
      <c r="U383" s="68"/>
      <c r="V383" s="69"/>
      <c r="X383" s="69"/>
    </row>
    <row r="384" spans="19:24" x14ac:dyDescent="0.3">
      <c r="S384" s="67"/>
      <c r="T384" s="67"/>
      <c r="U384" s="68"/>
      <c r="V384" s="69"/>
      <c r="X384" s="69"/>
    </row>
    <row r="385" spans="19:24" x14ac:dyDescent="0.3">
      <c r="S385" s="67"/>
      <c r="T385" s="67"/>
      <c r="U385" s="68"/>
      <c r="V385" s="69"/>
      <c r="X385" s="69"/>
    </row>
    <row r="386" spans="19:24" x14ac:dyDescent="0.3">
      <c r="S386" s="67"/>
      <c r="T386" s="67"/>
      <c r="U386" s="68"/>
      <c r="V386" s="69"/>
      <c r="X386" s="69"/>
    </row>
    <row r="387" spans="19:24" x14ac:dyDescent="0.3">
      <c r="S387" s="67"/>
      <c r="T387" s="67"/>
      <c r="U387" s="68"/>
      <c r="V387" s="69"/>
      <c r="X387" s="69"/>
    </row>
    <row r="388" spans="19:24" x14ac:dyDescent="0.3">
      <c r="S388" s="67"/>
      <c r="T388" s="67"/>
      <c r="U388" s="68"/>
      <c r="V388" s="69"/>
      <c r="X388" s="69"/>
    </row>
    <row r="389" spans="19:24" x14ac:dyDescent="0.3">
      <c r="S389" s="67"/>
      <c r="T389" s="67"/>
      <c r="U389" s="68"/>
      <c r="V389" s="69"/>
      <c r="X389" s="69"/>
    </row>
    <row r="390" spans="19:24" x14ac:dyDescent="0.3">
      <c r="S390" s="67"/>
      <c r="T390" s="67"/>
      <c r="U390" s="68"/>
      <c r="V390" s="69"/>
      <c r="X390" s="69"/>
    </row>
    <row r="391" spans="19:24" x14ac:dyDescent="0.3">
      <c r="S391" s="67"/>
      <c r="T391" s="67"/>
      <c r="U391" s="68"/>
      <c r="V391" s="69"/>
      <c r="X391" s="69"/>
    </row>
    <row r="392" spans="19:24" x14ac:dyDescent="0.3">
      <c r="S392" s="67"/>
      <c r="T392" s="67"/>
      <c r="U392" s="68"/>
      <c r="V392" s="69"/>
      <c r="X392" s="69"/>
    </row>
    <row r="393" spans="19:24" x14ac:dyDescent="0.3">
      <c r="S393" s="67"/>
      <c r="T393" s="67"/>
      <c r="U393" s="68"/>
      <c r="V393" s="69"/>
      <c r="X393" s="69"/>
    </row>
    <row r="394" spans="19:24" x14ac:dyDescent="0.3">
      <c r="S394" s="67"/>
      <c r="T394" s="67"/>
      <c r="U394" s="68"/>
      <c r="V394" s="69"/>
      <c r="X394" s="69"/>
    </row>
    <row r="395" spans="19:24" x14ac:dyDescent="0.3">
      <c r="S395" s="67"/>
      <c r="T395" s="67"/>
      <c r="U395" s="68"/>
      <c r="V395" s="69"/>
      <c r="X395" s="69"/>
    </row>
    <row r="396" spans="19:24" x14ac:dyDescent="0.3">
      <c r="S396" s="67"/>
      <c r="T396" s="67"/>
      <c r="U396" s="68"/>
      <c r="V396" s="69"/>
      <c r="X396" s="69"/>
    </row>
    <row r="397" spans="19:24" x14ac:dyDescent="0.3">
      <c r="S397" s="67"/>
      <c r="T397" s="67"/>
      <c r="U397" s="68"/>
      <c r="V397" s="69"/>
      <c r="X397" s="69"/>
    </row>
    <row r="398" spans="19:24" x14ac:dyDescent="0.3">
      <c r="S398" s="67"/>
      <c r="T398" s="67"/>
      <c r="U398" s="68"/>
      <c r="V398" s="69"/>
      <c r="X398" s="69"/>
    </row>
    <row r="399" spans="19:24" x14ac:dyDescent="0.3">
      <c r="S399" s="67"/>
      <c r="T399" s="67"/>
      <c r="U399" s="68"/>
      <c r="V399" s="69"/>
      <c r="X399" s="69"/>
    </row>
    <row r="400" spans="19:24" x14ac:dyDescent="0.3">
      <c r="S400" s="67"/>
      <c r="T400" s="67"/>
      <c r="U400" s="68"/>
      <c r="V400" s="69"/>
      <c r="X400" s="69"/>
    </row>
    <row r="401" spans="19:24" x14ac:dyDescent="0.3">
      <c r="S401" s="67"/>
      <c r="T401" s="67"/>
      <c r="U401" s="68"/>
      <c r="V401" s="69"/>
      <c r="X401" s="69"/>
    </row>
    <row r="402" spans="19:24" x14ac:dyDescent="0.3">
      <c r="S402" s="67"/>
      <c r="T402" s="67"/>
      <c r="U402" s="68"/>
      <c r="V402" s="69"/>
      <c r="X402" s="69"/>
    </row>
    <row r="403" spans="19:24" x14ac:dyDescent="0.3">
      <c r="S403" s="67"/>
      <c r="T403" s="67"/>
      <c r="U403" s="68"/>
      <c r="V403" s="69"/>
      <c r="X403" s="69"/>
    </row>
    <row r="404" spans="19:24" x14ac:dyDescent="0.3">
      <c r="S404" s="67"/>
      <c r="T404" s="67"/>
      <c r="U404" s="68"/>
      <c r="V404" s="69"/>
      <c r="X404" s="69"/>
    </row>
    <row r="405" spans="19:24" x14ac:dyDescent="0.3">
      <c r="S405" s="67"/>
      <c r="T405" s="67"/>
      <c r="U405" s="68"/>
      <c r="V405" s="69"/>
      <c r="X405" s="69"/>
    </row>
    <row r="406" spans="19:24" x14ac:dyDescent="0.3">
      <c r="S406" s="67"/>
      <c r="T406" s="67"/>
      <c r="U406" s="68"/>
      <c r="V406" s="69"/>
      <c r="X406" s="69"/>
    </row>
    <row r="407" spans="19:24" x14ac:dyDescent="0.3">
      <c r="S407" s="67"/>
      <c r="T407" s="67"/>
      <c r="U407" s="68"/>
      <c r="V407" s="69"/>
      <c r="X407" s="69"/>
    </row>
    <row r="408" spans="19:24" x14ac:dyDescent="0.3">
      <c r="S408" s="67"/>
      <c r="T408" s="67"/>
      <c r="U408" s="68"/>
      <c r="V408" s="69"/>
      <c r="X408" s="69"/>
    </row>
    <row r="409" spans="19:24" x14ac:dyDescent="0.3">
      <c r="S409" s="67"/>
      <c r="T409" s="67"/>
      <c r="U409" s="68"/>
      <c r="V409" s="69"/>
      <c r="X409" s="69"/>
    </row>
    <row r="410" spans="19:24" x14ac:dyDescent="0.3">
      <c r="S410" s="67"/>
      <c r="T410" s="67"/>
      <c r="U410" s="68"/>
      <c r="V410" s="69"/>
      <c r="X410" s="69"/>
    </row>
    <row r="411" spans="19:24" x14ac:dyDescent="0.3">
      <c r="S411" s="67"/>
      <c r="T411" s="67"/>
      <c r="U411" s="68"/>
      <c r="V411" s="69"/>
      <c r="X411" s="69"/>
    </row>
    <row r="412" spans="19:24" x14ac:dyDescent="0.3">
      <c r="S412" s="67"/>
      <c r="T412" s="67"/>
      <c r="U412" s="68"/>
      <c r="V412" s="69"/>
      <c r="X412" s="69"/>
    </row>
    <row r="413" spans="19:24" x14ac:dyDescent="0.3">
      <c r="S413" s="67"/>
      <c r="T413" s="67"/>
      <c r="U413" s="68"/>
      <c r="V413" s="69"/>
      <c r="X413" s="69"/>
    </row>
    <row r="414" spans="19:24" x14ac:dyDescent="0.3">
      <c r="S414" s="67"/>
      <c r="T414" s="67"/>
      <c r="U414" s="68"/>
      <c r="V414" s="69"/>
      <c r="X414" s="69"/>
    </row>
    <row r="415" spans="19:24" x14ac:dyDescent="0.3">
      <c r="S415" s="67"/>
      <c r="T415" s="67"/>
      <c r="U415" s="68"/>
      <c r="V415" s="69"/>
      <c r="X415" s="69"/>
    </row>
    <row r="416" spans="19:24" x14ac:dyDescent="0.3">
      <c r="S416" s="67"/>
      <c r="T416" s="67"/>
      <c r="U416" s="68"/>
      <c r="V416" s="69"/>
      <c r="X416" s="69"/>
    </row>
    <row r="417" spans="19:24" x14ac:dyDescent="0.3">
      <c r="S417" s="67"/>
      <c r="T417" s="67"/>
      <c r="U417" s="68"/>
      <c r="V417" s="69"/>
      <c r="X417" s="69"/>
    </row>
    <row r="418" spans="19:24" x14ac:dyDescent="0.3">
      <c r="S418" s="67"/>
      <c r="T418" s="67"/>
      <c r="U418" s="68"/>
      <c r="V418" s="69"/>
      <c r="X418" s="69"/>
    </row>
    <row r="419" spans="19:24" x14ac:dyDescent="0.3">
      <c r="S419" s="67"/>
      <c r="T419" s="67"/>
      <c r="U419" s="68"/>
      <c r="V419" s="69"/>
      <c r="X419" s="69"/>
    </row>
    <row r="420" spans="19:24" x14ac:dyDescent="0.3">
      <c r="S420" s="67"/>
      <c r="T420" s="67"/>
      <c r="U420" s="68"/>
      <c r="V420" s="69"/>
      <c r="X420" s="69"/>
    </row>
    <row r="421" spans="19:24" x14ac:dyDescent="0.3">
      <c r="S421" s="67"/>
      <c r="T421" s="67"/>
      <c r="U421" s="68"/>
      <c r="V421" s="69"/>
      <c r="X421" s="69"/>
    </row>
    <row r="422" spans="19:24" x14ac:dyDescent="0.3">
      <c r="S422" s="67"/>
      <c r="T422" s="67"/>
      <c r="U422" s="68"/>
      <c r="V422" s="69"/>
      <c r="X422" s="69"/>
    </row>
    <row r="423" spans="19:24" x14ac:dyDescent="0.3">
      <c r="S423" s="67"/>
      <c r="T423" s="67"/>
      <c r="U423" s="68"/>
      <c r="V423" s="69"/>
      <c r="X423" s="69"/>
    </row>
    <row r="424" spans="19:24" x14ac:dyDescent="0.3">
      <c r="S424" s="67"/>
      <c r="T424" s="67"/>
      <c r="U424" s="68"/>
      <c r="V424" s="69"/>
      <c r="X424" s="69"/>
    </row>
    <row r="425" spans="19:24" x14ac:dyDescent="0.3">
      <c r="S425" s="67"/>
      <c r="T425" s="67"/>
      <c r="U425" s="68"/>
      <c r="V425" s="69"/>
      <c r="X425" s="69"/>
    </row>
    <row r="426" spans="19:24" x14ac:dyDescent="0.3">
      <c r="S426" s="67"/>
      <c r="T426" s="67"/>
      <c r="U426" s="68"/>
      <c r="V426" s="69"/>
      <c r="X426" s="69"/>
    </row>
    <row r="427" spans="19:24" x14ac:dyDescent="0.3">
      <c r="S427" s="67"/>
      <c r="T427" s="67"/>
      <c r="U427" s="68"/>
      <c r="V427" s="69"/>
      <c r="X427" s="69"/>
    </row>
    <row r="428" spans="19:24" x14ac:dyDescent="0.3">
      <c r="S428" s="67"/>
      <c r="T428" s="67"/>
      <c r="U428" s="68"/>
      <c r="V428" s="69"/>
      <c r="X428" s="69"/>
    </row>
    <row r="429" spans="19:24" x14ac:dyDescent="0.3">
      <c r="S429" s="67"/>
      <c r="T429" s="67"/>
      <c r="U429" s="68"/>
      <c r="V429" s="69"/>
      <c r="X429" s="69"/>
    </row>
    <row r="430" spans="19:24" x14ac:dyDescent="0.3">
      <c r="S430" s="67"/>
      <c r="T430" s="67"/>
      <c r="U430" s="68"/>
      <c r="V430" s="69"/>
      <c r="X430" s="69"/>
    </row>
    <row r="431" spans="19:24" x14ac:dyDescent="0.3">
      <c r="S431" s="67"/>
      <c r="T431" s="67"/>
      <c r="U431" s="68"/>
      <c r="V431" s="69"/>
      <c r="X431" s="69"/>
    </row>
    <row r="432" spans="19:24" x14ac:dyDescent="0.3">
      <c r="S432" s="67"/>
      <c r="T432" s="67"/>
      <c r="U432" s="68"/>
      <c r="V432" s="69"/>
      <c r="X432" s="69"/>
    </row>
    <row r="433" spans="19:24" x14ac:dyDescent="0.3">
      <c r="S433" s="67"/>
      <c r="T433" s="67"/>
      <c r="U433" s="68"/>
      <c r="V433" s="69"/>
      <c r="X433" s="69"/>
    </row>
    <row r="434" spans="19:24" x14ac:dyDescent="0.3">
      <c r="S434" s="67"/>
      <c r="T434" s="67"/>
      <c r="U434" s="68"/>
      <c r="V434" s="69"/>
      <c r="X434" s="69"/>
    </row>
    <row r="435" spans="19:24" x14ac:dyDescent="0.3">
      <c r="S435" s="67"/>
      <c r="T435" s="67"/>
      <c r="U435" s="68"/>
      <c r="V435" s="69"/>
      <c r="X435" s="69"/>
    </row>
    <row r="436" spans="19:24" x14ac:dyDescent="0.3">
      <c r="S436" s="67"/>
      <c r="T436" s="67"/>
      <c r="U436" s="68"/>
      <c r="V436" s="69"/>
      <c r="X436" s="69"/>
    </row>
    <row r="437" spans="19:24" x14ac:dyDescent="0.3">
      <c r="S437" s="67"/>
      <c r="T437" s="67"/>
      <c r="U437" s="68"/>
      <c r="V437" s="69"/>
      <c r="X437" s="69"/>
    </row>
    <row r="438" spans="19:24" x14ac:dyDescent="0.3">
      <c r="S438" s="67"/>
      <c r="T438" s="67"/>
      <c r="U438" s="68"/>
      <c r="V438" s="69"/>
      <c r="X438" s="69"/>
    </row>
    <row r="439" spans="19:24" x14ac:dyDescent="0.3">
      <c r="S439" s="67"/>
      <c r="T439" s="67"/>
      <c r="U439" s="68"/>
      <c r="V439" s="69"/>
      <c r="X439" s="69"/>
    </row>
    <row r="440" spans="19:24" x14ac:dyDescent="0.3">
      <c r="S440" s="67"/>
      <c r="T440" s="67"/>
      <c r="U440" s="68"/>
      <c r="V440" s="69"/>
      <c r="X440" s="69"/>
    </row>
    <row r="441" spans="19:24" x14ac:dyDescent="0.3">
      <c r="S441" s="67"/>
      <c r="T441" s="67"/>
      <c r="U441" s="68"/>
      <c r="V441" s="69"/>
      <c r="X441" s="69"/>
    </row>
    <row r="442" spans="19:24" x14ac:dyDescent="0.3">
      <c r="S442" s="67"/>
      <c r="T442" s="67"/>
      <c r="U442" s="68"/>
      <c r="V442" s="69"/>
      <c r="X442" s="69"/>
    </row>
    <row r="443" spans="19:24" x14ac:dyDescent="0.3">
      <c r="S443" s="67"/>
      <c r="T443" s="67"/>
      <c r="U443" s="68"/>
      <c r="V443" s="69"/>
      <c r="X443" s="69"/>
    </row>
    <row r="444" spans="19:24" x14ac:dyDescent="0.3">
      <c r="S444" s="67"/>
      <c r="T444" s="67"/>
      <c r="U444" s="68"/>
      <c r="V444" s="69"/>
      <c r="X444" s="69"/>
    </row>
    <row r="445" spans="19:24" x14ac:dyDescent="0.3">
      <c r="S445" s="67"/>
      <c r="T445" s="67"/>
      <c r="U445" s="68"/>
      <c r="V445" s="69"/>
      <c r="X445" s="69"/>
    </row>
    <row r="446" spans="19:24" x14ac:dyDescent="0.3">
      <c r="S446" s="67"/>
      <c r="T446" s="67"/>
      <c r="U446" s="68"/>
      <c r="V446" s="69"/>
      <c r="X446" s="69"/>
    </row>
    <row r="447" spans="19:24" x14ac:dyDescent="0.3">
      <c r="S447" s="67"/>
      <c r="T447" s="67"/>
      <c r="U447" s="68"/>
      <c r="V447" s="69"/>
      <c r="X447" s="69"/>
    </row>
    <row r="448" spans="19:24" x14ac:dyDescent="0.3">
      <c r="S448" s="67"/>
      <c r="T448" s="67"/>
      <c r="U448" s="68"/>
      <c r="V448" s="69"/>
      <c r="X448" s="69"/>
    </row>
    <row r="449" spans="19:24" x14ac:dyDescent="0.3">
      <c r="S449" s="67"/>
      <c r="T449" s="67"/>
      <c r="U449" s="68"/>
      <c r="V449" s="69"/>
      <c r="X449" s="69"/>
    </row>
    <row r="450" spans="19:24" x14ac:dyDescent="0.3">
      <c r="S450" s="67"/>
      <c r="T450" s="67"/>
      <c r="U450" s="68"/>
      <c r="V450" s="69"/>
      <c r="X450" s="69"/>
    </row>
    <row r="451" spans="19:24" x14ac:dyDescent="0.3">
      <c r="S451" s="67"/>
      <c r="T451" s="67"/>
      <c r="U451" s="68"/>
      <c r="V451" s="69"/>
      <c r="X451" s="69"/>
    </row>
    <row r="452" spans="19:24" x14ac:dyDescent="0.3">
      <c r="S452" s="67"/>
      <c r="T452" s="67"/>
      <c r="U452" s="68"/>
      <c r="V452" s="69"/>
      <c r="X452" s="69"/>
    </row>
    <row r="453" spans="19:24" x14ac:dyDescent="0.3">
      <c r="S453" s="67"/>
      <c r="T453" s="67"/>
      <c r="U453" s="68"/>
      <c r="V453" s="69"/>
      <c r="X453" s="69"/>
    </row>
    <row r="454" spans="19:24" x14ac:dyDescent="0.3">
      <c r="S454" s="67"/>
      <c r="T454" s="67"/>
      <c r="U454" s="68"/>
      <c r="V454" s="69"/>
      <c r="X454" s="69"/>
    </row>
    <row r="455" spans="19:24" x14ac:dyDescent="0.3">
      <c r="S455" s="67"/>
      <c r="T455" s="67"/>
      <c r="U455" s="68"/>
      <c r="V455" s="69"/>
      <c r="X455" s="69"/>
    </row>
    <row r="456" spans="19:24" x14ac:dyDescent="0.3">
      <c r="S456" s="67"/>
      <c r="T456" s="67"/>
      <c r="U456" s="68"/>
      <c r="V456" s="69"/>
      <c r="X456" s="69"/>
    </row>
    <row r="457" spans="19:24" x14ac:dyDescent="0.3">
      <c r="S457" s="67"/>
      <c r="T457" s="67"/>
      <c r="U457" s="68"/>
      <c r="V457" s="69"/>
      <c r="X457" s="69"/>
    </row>
    <row r="458" spans="19:24" x14ac:dyDescent="0.3">
      <c r="S458" s="67"/>
      <c r="T458" s="67"/>
      <c r="U458" s="68"/>
      <c r="V458" s="69"/>
      <c r="X458" s="69"/>
    </row>
    <row r="459" spans="19:24" x14ac:dyDescent="0.3">
      <c r="S459" s="67"/>
      <c r="T459" s="67"/>
      <c r="U459" s="68"/>
      <c r="V459" s="69"/>
      <c r="X459" s="69"/>
    </row>
    <row r="460" spans="19:24" x14ac:dyDescent="0.3">
      <c r="S460" s="67"/>
      <c r="T460" s="67"/>
      <c r="U460" s="68"/>
      <c r="V460" s="69"/>
      <c r="X460" s="69"/>
    </row>
    <row r="461" spans="19:24" x14ac:dyDescent="0.3">
      <c r="S461" s="67"/>
      <c r="T461" s="67"/>
      <c r="U461" s="68"/>
      <c r="V461" s="69"/>
      <c r="X461" s="69"/>
    </row>
    <row r="462" spans="19:24" x14ac:dyDescent="0.3">
      <c r="S462" s="67"/>
      <c r="T462" s="67"/>
      <c r="U462" s="68"/>
      <c r="V462" s="69"/>
      <c r="X462" s="69"/>
    </row>
    <row r="463" spans="19:24" x14ac:dyDescent="0.3">
      <c r="S463" s="67"/>
      <c r="T463" s="67"/>
      <c r="U463" s="68"/>
      <c r="V463" s="69"/>
      <c r="X463" s="69"/>
    </row>
    <row r="464" spans="19:24" x14ac:dyDescent="0.3">
      <c r="S464" s="67"/>
      <c r="T464" s="67"/>
      <c r="U464" s="68"/>
      <c r="V464" s="69"/>
      <c r="X464" s="69"/>
    </row>
    <row r="465" spans="19:24" x14ac:dyDescent="0.3">
      <c r="S465" s="67"/>
      <c r="T465" s="67"/>
      <c r="U465" s="68"/>
      <c r="V465" s="69"/>
      <c r="X465" s="69"/>
    </row>
    <row r="466" spans="19:24" x14ac:dyDescent="0.3">
      <c r="S466" s="67"/>
      <c r="T466" s="67"/>
      <c r="U466" s="68"/>
      <c r="V466" s="69"/>
      <c r="X466" s="69"/>
    </row>
    <row r="467" spans="19:24" x14ac:dyDescent="0.3">
      <c r="S467" s="67"/>
      <c r="T467" s="67"/>
      <c r="U467" s="68"/>
      <c r="V467" s="69"/>
      <c r="X467" s="69"/>
    </row>
    <row r="468" spans="19:24" x14ac:dyDescent="0.3">
      <c r="S468" s="67"/>
      <c r="T468" s="67"/>
      <c r="U468" s="68"/>
      <c r="V468" s="69"/>
      <c r="X468" s="69"/>
    </row>
    <row r="469" spans="19:24" x14ac:dyDescent="0.3">
      <c r="S469" s="67"/>
      <c r="T469" s="67"/>
      <c r="U469" s="68"/>
      <c r="V469" s="69"/>
      <c r="X469" s="69"/>
    </row>
    <row r="470" spans="19:24" x14ac:dyDescent="0.3">
      <c r="S470" s="67"/>
      <c r="T470" s="67"/>
      <c r="U470" s="68"/>
      <c r="V470" s="69"/>
      <c r="X470" s="69"/>
    </row>
    <row r="471" spans="19:24" x14ac:dyDescent="0.3">
      <c r="S471" s="67"/>
      <c r="T471" s="67"/>
      <c r="U471" s="68"/>
      <c r="V471" s="69"/>
      <c r="X471" s="69"/>
    </row>
    <row r="472" spans="19:24" x14ac:dyDescent="0.3">
      <c r="S472" s="67"/>
      <c r="T472" s="67"/>
      <c r="U472" s="68"/>
      <c r="V472" s="69"/>
      <c r="X472" s="69"/>
    </row>
    <row r="473" spans="19:24" x14ac:dyDescent="0.3">
      <c r="S473" s="67"/>
      <c r="T473" s="67"/>
      <c r="U473" s="68"/>
      <c r="V473" s="69"/>
      <c r="X473" s="69"/>
    </row>
    <row r="474" spans="19:24" x14ac:dyDescent="0.3">
      <c r="S474" s="67"/>
      <c r="T474" s="67"/>
      <c r="U474" s="68"/>
      <c r="V474" s="69"/>
      <c r="X474" s="69"/>
    </row>
    <row r="475" spans="19:24" x14ac:dyDescent="0.3">
      <c r="S475" s="67"/>
      <c r="T475" s="67"/>
      <c r="U475" s="68"/>
      <c r="V475" s="69"/>
      <c r="X475" s="69"/>
    </row>
    <row r="476" spans="19:24" x14ac:dyDescent="0.3">
      <c r="S476" s="67"/>
      <c r="T476" s="67"/>
      <c r="U476" s="68"/>
      <c r="V476" s="69"/>
      <c r="X476" s="69"/>
    </row>
    <row r="477" spans="19:24" x14ac:dyDescent="0.3">
      <c r="S477" s="67"/>
      <c r="T477" s="67"/>
      <c r="U477" s="68"/>
      <c r="V477" s="69"/>
      <c r="X477" s="69"/>
    </row>
    <row r="478" spans="19:24" x14ac:dyDescent="0.3">
      <c r="S478" s="67"/>
      <c r="T478" s="67"/>
      <c r="U478" s="68"/>
      <c r="V478" s="69"/>
      <c r="X478" s="69"/>
    </row>
    <row r="479" spans="19:24" x14ac:dyDescent="0.3">
      <c r="S479" s="67"/>
      <c r="T479" s="67"/>
      <c r="U479" s="68"/>
      <c r="V479" s="69"/>
      <c r="X479" s="69"/>
    </row>
    <row r="480" spans="19:24" x14ac:dyDescent="0.3">
      <c r="S480" s="67"/>
      <c r="T480" s="67"/>
      <c r="U480" s="68"/>
      <c r="V480" s="69"/>
      <c r="X480" s="69"/>
    </row>
    <row r="481" spans="19:24" x14ac:dyDescent="0.3">
      <c r="S481" s="67"/>
      <c r="T481" s="67"/>
      <c r="U481" s="68"/>
      <c r="V481" s="69"/>
      <c r="X481" s="69"/>
    </row>
    <row r="482" spans="19:24" x14ac:dyDescent="0.3">
      <c r="S482" s="67"/>
      <c r="T482" s="67"/>
      <c r="U482" s="68"/>
      <c r="V482" s="69"/>
      <c r="X482" s="69"/>
    </row>
    <row r="483" spans="19:24" x14ac:dyDescent="0.3">
      <c r="S483" s="67"/>
      <c r="T483" s="67"/>
      <c r="U483" s="68"/>
      <c r="V483" s="69"/>
      <c r="X483" s="69"/>
    </row>
    <row r="484" spans="19:24" x14ac:dyDescent="0.3">
      <c r="S484" s="67"/>
      <c r="T484" s="67"/>
      <c r="U484" s="68"/>
      <c r="V484" s="69"/>
      <c r="X484" s="69"/>
    </row>
    <row r="485" spans="19:24" x14ac:dyDescent="0.3">
      <c r="S485" s="67"/>
      <c r="T485" s="67"/>
      <c r="U485" s="68"/>
      <c r="V485" s="69"/>
      <c r="X485" s="69"/>
    </row>
    <row r="486" spans="19:24" x14ac:dyDescent="0.3">
      <c r="S486" s="67"/>
      <c r="T486" s="67"/>
      <c r="U486" s="68"/>
      <c r="V486" s="69"/>
      <c r="X486" s="69"/>
    </row>
    <row r="487" spans="19:24" x14ac:dyDescent="0.3">
      <c r="S487" s="67"/>
      <c r="T487" s="67"/>
      <c r="U487" s="68"/>
      <c r="V487" s="69"/>
      <c r="X487" s="69"/>
    </row>
    <row r="488" spans="19:24" x14ac:dyDescent="0.3">
      <c r="S488" s="67"/>
      <c r="T488" s="67"/>
      <c r="U488" s="68"/>
      <c r="V488" s="69"/>
      <c r="X488" s="69"/>
    </row>
    <row r="489" spans="19:24" x14ac:dyDescent="0.3">
      <c r="S489" s="67"/>
      <c r="T489" s="67"/>
      <c r="U489" s="68"/>
      <c r="V489" s="69"/>
      <c r="X489" s="69"/>
    </row>
    <row r="490" spans="19:24" x14ac:dyDescent="0.3">
      <c r="S490" s="67"/>
      <c r="T490" s="67"/>
      <c r="U490" s="68"/>
      <c r="V490" s="69"/>
      <c r="X490" s="69"/>
    </row>
    <row r="491" spans="19:24" x14ac:dyDescent="0.3">
      <c r="S491" s="67"/>
      <c r="T491" s="67"/>
      <c r="U491" s="68"/>
      <c r="V491" s="69"/>
      <c r="X491" s="69"/>
    </row>
    <row r="492" spans="19:24" x14ac:dyDescent="0.3">
      <c r="S492" s="67"/>
      <c r="T492" s="67"/>
      <c r="U492" s="68"/>
      <c r="V492" s="69"/>
      <c r="X492" s="69"/>
    </row>
    <row r="493" spans="19:24" x14ac:dyDescent="0.3">
      <c r="S493" s="67"/>
      <c r="T493" s="67"/>
      <c r="U493" s="68"/>
      <c r="V493" s="69"/>
      <c r="X493" s="69"/>
    </row>
    <row r="494" spans="19:24" x14ac:dyDescent="0.3">
      <c r="S494" s="67"/>
      <c r="T494" s="67"/>
      <c r="U494" s="68"/>
      <c r="V494" s="69"/>
      <c r="X494" s="69"/>
    </row>
    <row r="495" spans="19:24" x14ac:dyDescent="0.3">
      <c r="S495" s="67"/>
      <c r="T495" s="67"/>
      <c r="U495" s="68"/>
      <c r="V495" s="69"/>
      <c r="X495" s="69"/>
    </row>
    <row r="496" spans="19:24" x14ac:dyDescent="0.3">
      <c r="S496" s="67"/>
      <c r="T496" s="67"/>
      <c r="U496" s="68"/>
      <c r="V496" s="69"/>
      <c r="X496" s="69"/>
    </row>
    <row r="497" spans="19:24" x14ac:dyDescent="0.3">
      <c r="S497" s="67"/>
      <c r="T497" s="67"/>
      <c r="U497" s="68"/>
      <c r="V497" s="69"/>
      <c r="X497" s="69"/>
    </row>
    <row r="498" spans="19:24" x14ac:dyDescent="0.3">
      <c r="S498" s="67"/>
      <c r="T498" s="67"/>
      <c r="U498" s="68"/>
      <c r="V498" s="69"/>
      <c r="X498" s="69"/>
    </row>
    <row r="499" spans="19:24" x14ac:dyDescent="0.3">
      <c r="S499" s="67"/>
      <c r="T499" s="67"/>
      <c r="U499" s="68"/>
      <c r="V499" s="69"/>
      <c r="X499" s="69"/>
    </row>
    <row r="500" spans="19:24" x14ac:dyDescent="0.3">
      <c r="S500" s="67"/>
      <c r="T500" s="67"/>
      <c r="U500" s="68"/>
      <c r="V500" s="69"/>
      <c r="X500" s="69"/>
    </row>
    <row r="501" spans="19:24" x14ac:dyDescent="0.3">
      <c r="S501" s="67"/>
      <c r="T501" s="67"/>
      <c r="U501" s="68"/>
      <c r="V501" s="69"/>
      <c r="X501" s="69"/>
    </row>
    <row r="502" spans="19:24" x14ac:dyDescent="0.3">
      <c r="S502" s="67"/>
      <c r="T502" s="67"/>
      <c r="U502" s="68"/>
      <c r="V502" s="69"/>
      <c r="X502" s="69"/>
    </row>
    <row r="503" spans="19:24" x14ac:dyDescent="0.3">
      <c r="S503" s="67"/>
      <c r="T503" s="67"/>
      <c r="U503" s="68"/>
      <c r="V503" s="69"/>
      <c r="X503" s="69"/>
    </row>
    <row r="504" spans="19:24" x14ac:dyDescent="0.3">
      <c r="S504" s="67"/>
      <c r="T504" s="67"/>
      <c r="U504" s="68"/>
      <c r="V504" s="69"/>
      <c r="X504" s="69"/>
    </row>
    <row r="505" spans="19:24" x14ac:dyDescent="0.3">
      <c r="S505" s="67"/>
      <c r="T505" s="67"/>
      <c r="U505" s="68"/>
      <c r="V505" s="69"/>
      <c r="X505" s="69"/>
    </row>
    <row r="506" spans="19:24" x14ac:dyDescent="0.3">
      <c r="S506" s="67"/>
      <c r="T506" s="67"/>
      <c r="U506" s="68"/>
      <c r="V506" s="69"/>
      <c r="X506" s="69"/>
    </row>
    <row r="507" spans="19:24" x14ac:dyDescent="0.3">
      <c r="S507" s="67"/>
      <c r="T507" s="67"/>
      <c r="U507" s="68"/>
      <c r="V507" s="69"/>
      <c r="X507" s="69"/>
    </row>
    <row r="508" spans="19:24" x14ac:dyDescent="0.3">
      <c r="S508" s="67"/>
      <c r="T508" s="67"/>
      <c r="U508" s="68"/>
      <c r="V508" s="69"/>
      <c r="X508" s="69"/>
    </row>
    <row r="509" spans="19:24" x14ac:dyDescent="0.3">
      <c r="S509" s="67"/>
      <c r="T509" s="67"/>
      <c r="U509" s="68"/>
      <c r="V509" s="69"/>
      <c r="X509" s="69"/>
    </row>
    <row r="510" spans="19:24" x14ac:dyDescent="0.3">
      <c r="S510" s="67"/>
      <c r="T510" s="67"/>
      <c r="U510" s="68"/>
      <c r="V510" s="69"/>
      <c r="X510" s="69"/>
    </row>
    <row r="511" spans="19:24" x14ac:dyDescent="0.3">
      <c r="S511" s="67"/>
      <c r="T511" s="67"/>
      <c r="U511" s="68"/>
      <c r="V511" s="69"/>
      <c r="X511" s="69"/>
    </row>
    <row r="512" spans="19:24" x14ac:dyDescent="0.3">
      <c r="S512" s="67"/>
      <c r="T512" s="67"/>
      <c r="U512" s="68"/>
      <c r="V512" s="69"/>
      <c r="X512" s="69"/>
    </row>
    <row r="513" spans="19:24" x14ac:dyDescent="0.3">
      <c r="S513" s="67"/>
      <c r="T513" s="67"/>
      <c r="U513" s="68"/>
      <c r="V513" s="69"/>
      <c r="X513" s="69"/>
    </row>
    <row r="514" spans="19:24" x14ac:dyDescent="0.3">
      <c r="S514" s="67"/>
      <c r="T514" s="67"/>
      <c r="U514" s="68"/>
      <c r="V514" s="69"/>
      <c r="X514" s="69"/>
    </row>
    <row r="515" spans="19:24" x14ac:dyDescent="0.3">
      <c r="S515" s="67"/>
      <c r="T515" s="67"/>
      <c r="U515" s="68"/>
      <c r="V515" s="69"/>
      <c r="X515" s="69"/>
    </row>
    <row r="516" spans="19:24" x14ac:dyDescent="0.3">
      <c r="S516" s="67"/>
      <c r="T516" s="67"/>
      <c r="U516" s="68"/>
      <c r="V516" s="69"/>
      <c r="X516" s="69"/>
    </row>
    <row r="517" spans="19:24" x14ac:dyDescent="0.3">
      <c r="S517" s="67"/>
      <c r="T517" s="67"/>
      <c r="U517" s="68"/>
      <c r="V517" s="69"/>
      <c r="X517" s="69"/>
    </row>
    <row r="518" spans="19:24" x14ac:dyDescent="0.3">
      <c r="S518" s="67"/>
      <c r="T518" s="67"/>
      <c r="U518" s="68"/>
      <c r="V518" s="69"/>
      <c r="X518" s="69"/>
    </row>
    <row r="519" spans="19:24" x14ac:dyDescent="0.3">
      <c r="S519" s="67"/>
      <c r="T519" s="67"/>
      <c r="U519" s="68"/>
      <c r="V519" s="69"/>
      <c r="X519" s="69"/>
    </row>
    <row r="520" spans="19:24" x14ac:dyDescent="0.3">
      <c r="S520" s="67"/>
      <c r="T520" s="67"/>
      <c r="U520" s="68"/>
      <c r="V520" s="69"/>
      <c r="X520" s="69"/>
    </row>
    <row r="521" spans="19:24" x14ac:dyDescent="0.3">
      <c r="S521" s="67"/>
      <c r="T521" s="67"/>
      <c r="U521" s="68"/>
      <c r="V521" s="69"/>
      <c r="X521" s="69"/>
    </row>
    <row r="522" spans="19:24" x14ac:dyDescent="0.3">
      <c r="S522" s="67"/>
      <c r="T522" s="67"/>
      <c r="U522" s="68"/>
      <c r="V522" s="69"/>
      <c r="X522" s="69"/>
    </row>
    <row r="523" spans="19:24" x14ac:dyDescent="0.3">
      <c r="S523" s="67"/>
      <c r="T523" s="67"/>
      <c r="U523" s="68"/>
      <c r="V523" s="69"/>
      <c r="X523" s="69"/>
    </row>
    <row r="524" spans="19:24" x14ac:dyDescent="0.3">
      <c r="S524" s="67"/>
      <c r="T524" s="67"/>
      <c r="U524" s="68"/>
      <c r="V524" s="69"/>
      <c r="X524" s="69"/>
    </row>
    <row r="525" spans="19:24" x14ac:dyDescent="0.3">
      <c r="S525" s="67"/>
      <c r="T525" s="67"/>
      <c r="U525" s="68"/>
      <c r="V525" s="69"/>
      <c r="X525" s="69"/>
    </row>
    <row r="526" spans="19:24" x14ac:dyDescent="0.3">
      <c r="S526" s="67"/>
      <c r="T526" s="67"/>
      <c r="U526" s="68"/>
      <c r="V526" s="69"/>
      <c r="X526" s="69"/>
    </row>
    <row r="527" spans="19:24" x14ac:dyDescent="0.3">
      <c r="S527" s="67"/>
      <c r="T527" s="67"/>
      <c r="U527" s="68"/>
      <c r="V527" s="69"/>
      <c r="X527" s="69"/>
    </row>
    <row r="528" spans="19:24" x14ac:dyDescent="0.3">
      <c r="S528" s="67"/>
      <c r="T528" s="67"/>
      <c r="U528" s="68"/>
      <c r="V528" s="69"/>
      <c r="X528" s="69"/>
    </row>
    <row r="529" spans="19:24" x14ac:dyDescent="0.3">
      <c r="S529" s="67"/>
      <c r="T529" s="67"/>
      <c r="U529" s="68"/>
      <c r="V529" s="69"/>
      <c r="X529" s="69"/>
    </row>
    <row r="530" spans="19:24" x14ac:dyDescent="0.3">
      <c r="S530" s="67"/>
      <c r="T530" s="67"/>
      <c r="U530" s="68"/>
      <c r="V530" s="69"/>
      <c r="X530" s="69"/>
    </row>
    <row r="531" spans="19:24" x14ac:dyDescent="0.3">
      <c r="S531" s="67"/>
      <c r="T531" s="67"/>
      <c r="U531" s="68"/>
      <c r="V531" s="69"/>
      <c r="X531" s="69"/>
    </row>
    <row r="532" spans="19:24" x14ac:dyDescent="0.3">
      <c r="S532" s="67"/>
      <c r="T532" s="67"/>
      <c r="U532" s="68"/>
      <c r="V532" s="69"/>
      <c r="X532" s="69"/>
    </row>
    <row r="533" spans="19:24" x14ac:dyDescent="0.3">
      <c r="S533" s="67"/>
      <c r="T533" s="67"/>
      <c r="U533" s="68"/>
      <c r="V533" s="69"/>
      <c r="X533" s="69"/>
    </row>
    <row r="534" spans="19:24" x14ac:dyDescent="0.3">
      <c r="S534" s="67"/>
      <c r="T534" s="67"/>
      <c r="U534" s="68"/>
      <c r="V534" s="69"/>
      <c r="X534" s="69"/>
    </row>
    <row r="535" spans="19:24" x14ac:dyDescent="0.3">
      <c r="S535" s="67"/>
      <c r="T535" s="67"/>
      <c r="U535" s="68"/>
      <c r="V535" s="69"/>
      <c r="X535" s="69"/>
    </row>
    <row r="536" spans="19:24" x14ac:dyDescent="0.3">
      <c r="S536" s="67"/>
      <c r="T536" s="67"/>
      <c r="U536" s="68"/>
      <c r="V536" s="69"/>
      <c r="X536" s="69"/>
    </row>
    <row r="537" spans="19:24" x14ac:dyDescent="0.3">
      <c r="S537" s="67"/>
      <c r="T537" s="67"/>
      <c r="U537" s="68"/>
      <c r="V537" s="69"/>
      <c r="X537" s="69"/>
    </row>
    <row r="538" spans="19:24" x14ac:dyDescent="0.3">
      <c r="S538" s="67"/>
      <c r="T538" s="67"/>
      <c r="U538" s="68"/>
      <c r="V538" s="69"/>
      <c r="X538" s="69"/>
    </row>
    <row r="539" spans="19:24" x14ac:dyDescent="0.3">
      <c r="S539" s="67"/>
      <c r="T539" s="67"/>
      <c r="U539" s="68"/>
      <c r="V539" s="69"/>
      <c r="X539" s="69"/>
    </row>
    <row r="540" spans="19:24" x14ac:dyDescent="0.3">
      <c r="S540" s="67"/>
      <c r="T540" s="67"/>
      <c r="U540" s="68"/>
      <c r="V540" s="69"/>
      <c r="X540" s="69"/>
    </row>
    <row r="541" spans="19:24" x14ac:dyDescent="0.3">
      <c r="S541" s="67"/>
      <c r="T541" s="67"/>
      <c r="U541" s="68"/>
      <c r="V541" s="69"/>
      <c r="X541" s="69"/>
    </row>
    <row r="542" spans="19:24" x14ac:dyDescent="0.3">
      <c r="S542" s="67"/>
      <c r="T542" s="67"/>
      <c r="U542" s="68"/>
      <c r="V542" s="69"/>
      <c r="X542" s="69"/>
    </row>
    <row r="543" spans="19:24" x14ac:dyDescent="0.3">
      <c r="S543" s="67"/>
      <c r="T543" s="67"/>
      <c r="U543" s="68"/>
      <c r="V543" s="69"/>
      <c r="X543" s="69"/>
    </row>
    <row r="544" spans="19:24" x14ac:dyDescent="0.3">
      <c r="S544" s="67"/>
      <c r="T544" s="67"/>
      <c r="U544" s="68"/>
      <c r="V544" s="69"/>
      <c r="X544" s="69"/>
    </row>
    <row r="545" spans="19:24" x14ac:dyDescent="0.3">
      <c r="S545" s="67"/>
      <c r="T545" s="67"/>
      <c r="U545" s="68"/>
      <c r="V545" s="69"/>
      <c r="X545" s="69"/>
    </row>
    <row r="546" spans="19:24" x14ac:dyDescent="0.3">
      <c r="S546" s="67"/>
      <c r="T546" s="67"/>
      <c r="U546" s="68"/>
      <c r="V546" s="69"/>
      <c r="X546" s="69"/>
    </row>
    <row r="547" spans="19:24" x14ac:dyDescent="0.3">
      <c r="S547" s="67"/>
      <c r="T547" s="67"/>
      <c r="U547" s="68"/>
      <c r="V547" s="69"/>
      <c r="X547" s="69"/>
    </row>
    <row r="548" spans="19:24" x14ac:dyDescent="0.3">
      <c r="S548" s="67"/>
      <c r="T548" s="67"/>
      <c r="U548" s="68"/>
      <c r="V548" s="69"/>
      <c r="X548" s="69"/>
    </row>
    <row r="549" spans="19:24" x14ac:dyDescent="0.3">
      <c r="S549" s="67"/>
      <c r="T549" s="67"/>
      <c r="U549" s="68"/>
      <c r="V549" s="69"/>
      <c r="X549" s="69"/>
    </row>
    <row r="550" spans="19:24" x14ac:dyDescent="0.3">
      <c r="S550" s="67"/>
      <c r="T550" s="67"/>
      <c r="U550" s="68"/>
      <c r="V550" s="69"/>
      <c r="X550" s="69"/>
    </row>
    <row r="551" spans="19:24" x14ac:dyDescent="0.3">
      <c r="S551" s="67"/>
      <c r="T551" s="67"/>
      <c r="U551" s="68"/>
      <c r="V551" s="69"/>
      <c r="X551" s="69"/>
    </row>
    <row r="552" spans="19:24" x14ac:dyDescent="0.3">
      <c r="S552" s="67"/>
      <c r="T552" s="67"/>
      <c r="U552" s="68"/>
      <c r="V552" s="69"/>
      <c r="X552" s="69"/>
    </row>
    <row r="553" spans="19:24" x14ac:dyDescent="0.3">
      <c r="S553" s="67"/>
      <c r="T553" s="67"/>
      <c r="U553" s="68"/>
      <c r="V553" s="69"/>
      <c r="X553" s="69"/>
    </row>
    <row r="554" spans="19:24" x14ac:dyDescent="0.3">
      <c r="S554" s="67"/>
      <c r="T554" s="67"/>
      <c r="U554" s="68"/>
      <c r="V554" s="69"/>
      <c r="X554" s="69"/>
    </row>
    <row r="555" spans="19:24" x14ac:dyDescent="0.3">
      <c r="S555" s="67"/>
      <c r="T555" s="67"/>
      <c r="U555" s="68"/>
      <c r="V555" s="69"/>
      <c r="X555" s="69"/>
    </row>
    <row r="556" spans="19:24" x14ac:dyDescent="0.3">
      <c r="S556" s="67"/>
      <c r="T556" s="67"/>
      <c r="U556" s="68"/>
      <c r="V556" s="69"/>
      <c r="X556" s="69"/>
    </row>
    <row r="557" spans="19:24" x14ac:dyDescent="0.3">
      <c r="S557" s="67"/>
      <c r="T557" s="67"/>
      <c r="U557" s="68"/>
      <c r="V557" s="69"/>
      <c r="X557" s="69"/>
    </row>
    <row r="558" spans="19:24" x14ac:dyDescent="0.3">
      <c r="S558" s="67"/>
      <c r="T558" s="67"/>
      <c r="U558" s="68"/>
      <c r="V558" s="69"/>
      <c r="X558" s="69"/>
    </row>
    <row r="559" spans="19:24" x14ac:dyDescent="0.3">
      <c r="S559" s="67"/>
      <c r="T559" s="67"/>
      <c r="U559" s="68"/>
      <c r="V559" s="69"/>
      <c r="X559" s="69"/>
    </row>
    <row r="560" spans="19:24" x14ac:dyDescent="0.3">
      <c r="S560" s="67"/>
      <c r="T560" s="67"/>
      <c r="U560" s="68"/>
      <c r="V560" s="69"/>
      <c r="X560" s="69"/>
    </row>
    <row r="561" spans="19:24" x14ac:dyDescent="0.3">
      <c r="S561" s="67"/>
      <c r="T561" s="67"/>
      <c r="U561" s="68"/>
      <c r="V561" s="69"/>
      <c r="X561" s="69"/>
    </row>
    <row r="562" spans="19:24" x14ac:dyDescent="0.3">
      <c r="S562" s="67"/>
      <c r="T562" s="67"/>
      <c r="U562" s="68"/>
      <c r="V562" s="69"/>
      <c r="X562" s="69"/>
    </row>
    <row r="563" spans="19:24" x14ac:dyDescent="0.3">
      <c r="S563" s="67"/>
      <c r="T563" s="67"/>
      <c r="U563" s="68"/>
      <c r="V563" s="69"/>
      <c r="X563" s="69"/>
    </row>
    <row r="564" spans="19:24" x14ac:dyDescent="0.3">
      <c r="S564" s="67"/>
      <c r="T564" s="67"/>
      <c r="U564" s="68"/>
      <c r="V564" s="69"/>
      <c r="X564" s="69"/>
    </row>
    <row r="565" spans="19:24" x14ac:dyDescent="0.3">
      <c r="S565" s="67"/>
      <c r="T565" s="67"/>
      <c r="U565" s="68"/>
      <c r="V565" s="69"/>
      <c r="X565" s="69"/>
    </row>
    <row r="566" spans="19:24" x14ac:dyDescent="0.3">
      <c r="S566" s="67"/>
      <c r="T566" s="67"/>
      <c r="U566" s="68"/>
      <c r="V566" s="69"/>
      <c r="X566" s="69"/>
    </row>
    <row r="567" spans="19:24" x14ac:dyDescent="0.3">
      <c r="S567" s="67"/>
      <c r="T567" s="67"/>
      <c r="U567" s="68"/>
      <c r="V567" s="69"/>
      <c r="X567" s="69"/>
    </row>
    <row r="568" spans="19:24" x14ac:dyDescent="0.3">
      <c r="S568" s="67"/>
      <c r="T568" s="67"/>
      <c r="U568" s="68"/>
      <c r="V568" s="69"/>
      <c r="X568" s="69"/>
    </row>
    <row r="569" spans="19:24" x14ac:dyDescent="0.3">
      <c r="S569" s="67"/>
      <c r="T569" s="67"/>
      <c r="U569" s="68"/>
      <c r="V569" s="69"/>
      <c r="X569" s="69"/>
    </row>
    <row r="570" spans="19:24" x14ac:dyDescent="0.3">
      <c r="S570" s="67"/>
      <c r="T570" s="67"/>
      <c r="U570" s="68"/>
      <c r="V570" s="69"/>
      <c r="X570" s="69"/>
    </row>
    <row r="571" spans="19:24" x14ac:dyDescent="0.3">
      <c r="S571" s="67"/>
      <c r="T571" s="67"/>
      <c r="U571" s="68"/>
      <c r="V571" s="69"/>
      <c r="X571" s="69"/>
    </row>
    <row r="572" spans="19:24" x14ac:dyDescent="0.3">
      <c r="S572" s="67"/>
      <c r="T572" s="67"/>
      <c r="U572" s="68"/>
      <c r="V572" s="69"/>
      <c r="X572" s="69"/>
    </row>
    <row r="573" spans="19:24" x14ac:dyDescent="0.3">
      <c r="S573" s="67"/>
      <c r="T573" s="67"/>
      <c r="U573" s="68"/>
      <c r="V573" s="69"/>
      <c r="X573" s="69"/>
    </row>
    <row r="574" spans="19:24" x14ac:dyDescent="0.3">
      <c r="S574" s="67"/>
      <c r="T574" s="67"/>
      <c r="U574" s="68"/>
      <c r="V574" s="69"/>
      <c r="X574" s="69"/>
    </row>
    <row r="575" spans="19:24" x14ac:dyDescent="0.3">
      <c r="S575" s="67"/>
      <c r="T575" s="67"/>
      <c r="U575" s="68"/>
      <c r="V575" s="69"/>
      <c r="X575" s="69"/>
    </row>
    <row r="576" spans="19:24" x14ac:dyDescent="0.3">
      <c r="S576" s="67"/>
      <c r="T576" s="67"/>
      <c r="U576" s="68"/>
      <c r="V576" s="69"/>
      <c r="X576" s="69"/>
    </row>
    <row r="577" spans="19:24" x14ac:dyDescent="0.3">
      <c r="S577" s="67"/>
      <c r="T577" s="67"/>
      <c r="U577" s="68"/>
      <c r="V577" s="69"/>
      <c r="X577" s="69"/>
    </row>
    <row r="578" spans="19:24" x14ac:dyDescent="0.3">
      <c r="S578" s="67"/>
      <c r="T578" s="67"/>
      <c r="U578" s="68"/>
      <c r="V578" s="69"/>
      <c r="X578" s="69"/>
    </row>
    <row r="579" spans="19:24" x14ac:dyDescent="0.3">
      <c r="S579" s="67"/>
      <c r="T579" s="67"/>
      <c r="U579" s="68"/>
      <c r="V579" s="69"/>
      <c r="X579" s="69"/>
    </row>
    <row r="580" spans="19:24" x14ac:dyDescent="0.3">
      <c r="S580" s="67"/>
      <c r="T580" s="67"/>
      <c r="U580" s="68"/>
      <c r="V580" s="69"/>
      <c r="X580" s="69"/>
    </row>
    <row r="581" spans="19:24" x14ac:dyDescent="0.3">
      <c r="S581" s="67"/>
      <c r="T581" s="67"/>
      <c r="U581" s="68"/>
      <c r="V581" s="69"/>
      <c r="X581" s="69"/>
    </row>
    <row r="582" spans="19:24" x14ac:dyDescent="0.3">
      <c r="S582" s="67"/>
      <c r="T582" s="67"/>
      <c r="U582" s="68"/>
      <c r="V582" s="69"/>
      <c r="X582" s="69"/>
    </row>
    <row r="583" spans="19:24" x14ac:dyDescent="0.3">
      <c r="S583" s="67"/>
      <c r="T583" s="67"/>
      <c r="U583" s="68"/>
      <c r="V583" s="69"/>
      <c r="X583" s="69"/>
    </row>
    <row r="584" spans="19:24" x14ac:dyDescent="0.3">
      <c r="S584" s="67"/>
      <c r="T584" s="67"/>
      <c r="U584" s="68"/>
      <c r="V584" s="69"/>
      <c r="X584" s="69"/>
    </row>
    <row r="585" spans="19:24" x14ac:dyDescent="0.3">
      <c r="S585" s="67"/>
      <c r="T585" s="67"/>
      <c r="U585" s="68"/>
      <c r="V585" s="69"/>
      <c r="X585" s="69"/>
    </row>
    <row r="586" spans="19:24" x14ac:dyDescent="0.3">
      <c r="S586" s="67"/>
      <c r="T586" s="67"/>
      <c r="U586" s="68"/>
      <c r="V586" s="69"/>
      <c r="X586" s="69"/>
    </row>
    <row r="587" spans="19:24" x14ac:dyDescent="0.3">
      <c r="S587" s="67"/>
      <c r="T587" s="67"/>
      <c r="U587" s="68"/>
      <c r="V587" s="69"/>
      <c r="X587" s="69"/>
    </row>
    <row r="588" spans="19:24" x14ac:dyDescent="0.3">
      <c r="S588" s="67"/>
      <c r="T588" s="67"/>
      <c r="U588" s="68"/>
      <c r="V588" s="69"/>
      <c r="X588" s="69"/>
    </row>
    <row r="589" spans="19:24" x14ac:dyDescent="0.3">
      <c r="S589" s="67"/>
      <c r="T589" s="67"/>
      <c r="U589" s="68"/>
      <c r="V589" s="69"/>
      <c r="X589" s="69"/>
    </row>
    <row r="590" spans="19:24" x14ac:dyDescent="0.3">
      <c r="S590" s="67"/>
      <c r="T590" s="67"/>
      <c r="U590" s="68"/>
      <c r="V590" s="69"/>
      <c r="X590" s="69"/>
    </row>
    <row r="591" spans="19:24" x14ac:dyDescent="0.3">
      <c r="S591" s="67"/>
      <c r="T591" s="67"/>
      <c r="U591" s="68"/>
      <c r="V591" s="69"/>
      <c r="X591" s="69"/>
    </row>
    <row r="592" spans="19:24" x14ac:dyDescent="0.3">
      <c r="S592" s="67"/>
      <c r="T592" s="67"/>
      <c r="U592" s="68"/>
      <c r="V592" s="69"/>
      <c r="X592" s="69"/>
    </row>
    <row r="593" spans="19:24" x14ac:dyDescent="0.3">
      <c r="S593" s="67"/>
      <c r="T593" s="67"/>
      <c r="U593" s="68"/>
      <c r="V593" s="69"/>
      <c r="X593" s="69"/>
    </row>
    <row r="594" spans="19:24" x14ac:dyDescent="0.3">
      <c r="S594" s="67"/>
      <c r="T594" s="67"/>
      <c r="U594" s="68"/>
      <c r="V594" s="69"/>
      <c r="X594" s="69"/>
    </row>
    <row r="595" spans="19:24" x14ac:dyDescent="0.3">
      <c r="S595" s="67"/>
      <c r="T595" s="67"/>
      <c r="U595" s="68"/>
      <c r="V595" s="69"/>
      <c r="X595" s="69"/>
    </row>
    <row r="596" spans="19:24" x14ac:dyDescent="0.3">
      <c r="S596" s="67"/>
      <c r="T596" s="67"/>
      <c r="U596" s="68"/>
      <c r="V596" s="69"/>
      <c r="X596" s="69"/>
    </row>
    <row r="597" spans="19:24" x14ac:dyDescent="0.3">
      <c r="S597" s="67"/>
      <c r="T597" s="67"/>
      <c r="U597" s="68"/>
      <c r="V597" s="69"/>
      <c r="X597" s="69"/>
    </row>
    <row r="598" spans="19:24" x14ac:dyDescent="0.3">
      <c r="S598" s="67"/>
      <c r="T598" s="67"/>
      <c r="U598" s="68"/>
      <c r="V598" s="69"/>
      <c r="X598" s="69"/>
    </row>
    <row r="599" spans="19:24" x14ac:dyDescent="0.3">
      <c r="S599" s="67"/>
      <c r="T599" s="67"/>
      <c r="U599" s="68"/>
      <c r="V599" s="69"/>
      <c r="X599" s="69"/>
    </row>
    <row r="600" spans="19:24" x14ac:dyDescent="0.3">
      <c r="S600" s="67"/>
      <c r="T600" s="67"/>
      <c r="U600" s="68"/>
      <c r="V600" s="69"/>
      <c r="X600" s="69"/>
    </row>
    <row r="601" spans="19:24" x14ac:dyDescent="0.3">
      <c r="S601" s="67"/>
      <c r="T601" s="67"/>
      <c r="U601" s="68"/>
      <c r="V601" s="69"/>
      <c r="X601" s="69"/>
    </row>
    <row r="602" spans="19:24" x14ac:dyDescent="0.3">
      <c r="S602" s="67"/>
      <c r="T602" s="67"/>
      <c r="U602" s="68"/>
      <c r="V602" s="69"/>
      <c r="X602" s="69"/>
    </row>
    <row r="603" spans="19:24" x14ac:dyDescent="0.3">
      <c r="S603" s="67"/>
      <c r="T603" s="67"/>
      <c r="U603" s="68"/>
      <c r="V603" s="69"/>
      <c r="X603" s="69"/>
    </row>
    <row r="604" spans="19:24" x14ac:dyDescent="0.3">
      <c r="S604" s="67"/>
      <c r="T604" s="67"/>
      <c r="U604" s="68"/>
      <c r="V604" s="69"/>
      <c r="X604" s="69"/>
    </row>
    <row r="605" spans="19:24" x14ac:dyDescent="0.3">
      <c r="S605" s="67"/>
      <c r="T605" s="67"/>
      <c r="U605" s="68"/>
      <c r="V605" s="69"/>
      <c r="X605" s="69"/>
    </row>
    <row r="606" spans="19:24" x14ac:dyDescent="0.3">
      <c r="S606" s="67"/>
      <c r="T606" s="67"/>
      <c r="U606" s="68"/>
      <c r="V606" s="69"/>
      <c r="X606" s="69"/>
    </row>
    <row r="607" spans="19:24" x14ac:dyDescent="0.3">
      <c r="S607" s="67"/>
      <c r="T607" s="67"/>
      <c r="U607" s="68"/>
      <c r="V607" s="69"/>
      <c r="X607" s="69"/>
    </row>
    <row r="608" spans="19:24" x14ac:dyDescent="0.3">
      <c r="S608" s="67"/>
      <c r="T608" s="67"/>
      <c r="U608" s="68"/>
      <c r="V608" s="69"/>
      <c r="X608" s="69"/>
    </row>
    <row r="609" spans="19:24" x14ac:dyDescent="0.3">
      <c r="S609" s="67"/>
      <c r="T609" s="67"/>
      <c r="U609" s="68"/>
      <c r="V609" s="69"/>
      <c r="X609" s="69"/>
    </row>
    <row r="610" spans="19:24" x14ac:dyDescent="0.3">
      <c r="S610" s="67"/>
      <c r="T610" s="67"/>
      <c r="U610" s="68"/>
      <c r="V610" s="69"/>
      <c r="X610" s="69"/>
    </row>
    <row r="611" spans="19:24" x14ac:dyDescent="0.3">
      <c r="S611" s="67"/>
      <c r="T611" s="67"/>
      <c r="U611" s="68"/>
      <c r="V611" s="69"/>
      <c r="X611" s="69"/>
    </row>
    <row r="612" spans="19:24" x14ac:dyDescent="0.3">
      <c r="S612" s="67"/>
      <c r="T612" s="67"/>
      <c r="U612" s="68"/>
      <c r="V612" s="69"/>
      <c r="X612" s="69"/>
    </row>
    <row r="613" spans="19:24" x14ac:dyDescent="0.3">
      <c r="S613" s="67"/>
      <c r="T613" s="67"/>
      <c r="U613" s="68"/>
      <c r="V613" s="69"/>
      <c r="X613" s="69"/>
    </row>
    <row r="614" spans="19:24" x14ac:dyDescent="0.3">
      <c r="S614" s="67"/>
      <c r="T614" s="67"/>
      <c r="U614" s="68"/>
      <c r="V614" s="69"/>
      <c r="X614" s="69"/>
    </row>
    <row r="615" spans="19:24" x14ac:dyDescent="0.3">
      <c r="S615" s="67"/>
      <c r="T615" s="67"/>
      <c r="U615" s="68"/>
      <c r="V615" s="69"/>
      <c r="X615" s="69"/>
    </row>
    <row r="616" spans="19:24" x14ac:dyDescent="0.3">
      <c r="S616" s="67"/>
      <c r="T616" s="67"/>
      <c r="U616" s="68"/>
      <c r="V616" s="69"/>
      <c r="X616" s="69"/>
    </row>
    <row r="617" spans="19:24" x14ac:dyDescent="0.3">
      <c r="S617" s="67"/>
      <c r="T617" s="67"/>
      <c r="U617" s="68"/>
      <c r="V617" s="69"/>
      <c r="X617" s="69"/>
    </row>
    <row r="618" spans="19:24" x14ac:dyDescent="0.3">
      <c r="S618" s="67"/>
      <c r="T618" s="67"/>
      <c r="U618" s="68"/>
      <c r="V618" s="69"/>
      <c r="X618" s="69"/>
    </row>
    <row r="619" spans="19:24" x14ac:dyDescent="0.3">
      <c r="S619" s="67"/>
      <c r="T619" s="67"/>
      <c r="U619" s="68"/>
      <c r="V619" s="69"/>
      <c r="X619" s="69"/>
    </row>
    <row r="620" spans="19:24" x14ac:dyDescent="0.3">
      <c r="S620" s="67"/>
      <c r="T620" s="67"/>
      <c r="U620" s="68"/>
      <c r="V620" s="69"/>
      <c r="X620" s="69"/>
    </row>
    <row r="621" spans="19:24" x14ac:dyDescent="0.3">
      <c r="S621" s="67"/>
      <c r="T621" s="67"/>
      <c r="U621" s="68"/>
      <c r="V621" s="69"/>
      <c r="X621" s="69"/>
    </row>
    <row r="622" spans="19:24" x14ac:dyDescent="0.3">
      <c r="S622" s="67"/>
      <c r="T622" s="67"/>
      <c r="U622" s="68"/>
      <c r="V622" s="69"/>
      <c r="X622" s="69"/>
    </row>
    <row r="623" spans="19:24" x14ac:dyDescent="0.3">
      <c r="S623" s="67"/>
      <c r="T623" s="67"/>
      <c r="U623" s="68"/>
      <c r="V623" s="69"/>
      <c r="X623" s="69"/>
    </row>
    <row r="624" spans="19:24" x14ac:dyDescent="0.3">
      <c r="S624" s="67"/>
      <c r="T624" s="67"/>
      <c r="U624" s="68"/>
      <c r="V624" s="69"/>
      <c r="X624" s="69"/>
    </row>
    <row r="625" spans="19:24" x14ac:dyDescent="0.3">
      <c r="S625" s="67"/>
      <c r="T625" s="67"/>
      <c r="U625" s="68"/>
      <c r="V625" s="69"/>
      <c r="X625" s="69"/>
    </row>
    <row r="626" spans="19:24" x14ac:dyDescent="0.3">
      <c r="S626" s="67"/>
      <c r="T626" s="67"/>
      <c r="U626" s="68"/>
      <c r="V626" s="69"/>
      <c r="X626" s="69"/>
    </row>
    <row r="627" spans="19:24" x14ac:dyDescent="0.3">
      <c r="S627" s="67"/>
      <c r="T627" s="67"/>
      <c r="U627" s="68"/>
      <c r="V627" s="69"/>
      <c r="X627" s="69"/>
    </row>
    <row r="628" spans="19:24" x14ac:dyDescent="0.3">
      <c r="S628" s="67"/>
      <c r="T628" s="67"/>
      <c r="U628" s="68"/>
      <c r="V628" s="69"/>
      <c r="X628" s="69"/>
    </row>
    <row r="629" spans="19:24" x14ac:dyDescent="0.3">
      <c r="S629" s="67"/>
      <c r="T629" s="67"/>
      <c r="U629" s="68"/>
      <c r="V629" s="69"/>
      <c r="X629" s="69"/>
    </row>
    <row r="630" spans="19:24" x14ac:dyDescent="0.3">
      <c r="S630" s="67"/>
      <c r="T630" s="67"/>
      <c r="U630" s="68"/>
      <c r="V630" s="69"/>
      <c r="X630" s="69"/>
    </row>
    <row r="631" spans="19:24" x14ac:dyDescent="0.3">
      <c r="S631" s="67"/>
      <c r="T631" s="67"/>
      <c r="U631" s="68"/>
      <c r="V631" s="69"/>
      <c r="X631" s="69"/>
    </row>
    <row r="632" spans="19:24" x14ac:dyDescent="0.3">
      <c r="S632" s="67"/>
      <c r="T632" s="67"/>
      <c r="U632" s="68"/>
      <c r="V632" s="69"/>
      <c r="X632" s="69"/>
    </row>
    <row r="633" spans="19:24" x14ac:dyDescent="0.3">
      <c r="S633" s="67"/>
      <c r="T633" s="67"/>
      <c r="U633" s="68"/>
      <c r="V633" s="69"/>
      <c r="X633" s="69"/>
    </row>
    <row r="634" spans="19:24" x14ac:dyDescent="0.3">
      <c r="S634" s="67"/>
      <c r="T634" s="67"/>
      <c r="U634" s="68"/>
      <c r="V634" s="69"/>
      <c r="X634" s="69"/>
    </row>
    <row r="635" spans="19:24" x14ac:dyDescent="0.3">
      <c r="S635" s="67"/>
      <c r="T635" s="67"/>
      <c r="U635" s="68"/>
      <c r="V635" s="69"/>
      <c r="X635" s="69"/>
    </row>
    <row r="636" spans="19:24" x14ac:dyDescent="0.3">
      <c r="S636" s="67"/>
      <c r="T636" s="67"/>
      <c r="U636" s="68"/>
      <c r="V636" s="69"/>
      <c r="X636" s="69"/>
    </row>
    <row r="637" spans="19:24" x14ac:dyDescent="0.3">
      <c r="S637" s="67"/>
      <c r="T637" s="67"/>
      <c r="U637" s="68"/>
      <c r="V637" s="69"/>
      <c r="X637" s="69"/>
    </row>
    <row r="638" spans="19:24" x14ac:dyDescent="0.3">
      <c r="S638" s="67"/>
      <c r="T638" s="67"/>
      <c r="U638" s="68"/>
      <c r="V638" s="69"/>
      <c r="X638" s="69"/>
    </row>
    <row r="639" spans="19:24" x14ac:dyDescent="0.3">
      <c r="S639" s="67"/>
      <c r="T639" s="67"/>
      <c r="U639" s="68"/>
      <c r="V639" s="69"/>
      <c r="X639" s="69"/>
    </row>
    <row r="640" spans="19:24" x14ac:dyDescent="0.3">
      <c r="S640" s="67"/>
      <c r="T640" s="67"/>
      <c r="U640" s="68"/>
      <c r="V640" s="69"/>
      <c r="X640" s="69"/>
    </row>
    <row r="641" spans="19:24" x14ac:dyDescent="0.3">
      <c r="S641" s="67"/>
      <c r="T641" s="67"/>
      <c r="U641" s="68"/>
      <c r="V641" s="69"/>
      <c r="X641" s="69"/>
    </row>
    <row r="642" spans="19:24" x14ac:dyDescent="0.3">
      <c r="S642" s="67"/>
      <c r="T642" s="67"/>
      <c r="U642" s="68"/>
      <c r="V642" s="69"/>
      <c r="X642" s="69"/>
    </row>
    <row r="643" spans="19:24" x14ac:dyDescent="0.3">
      <c r="S643" s="67"/>
      <c r="T643" s="67"/>
      <c r="U643" s="68"/>
      <c r="V643" s="69"/>
      <c r="X643" s="69"/>
    </row>
    <row r="644" spans="19:24" x14ac:dyDescent="0.3">
      <c r="S644" s="67"/>
      <c r="T644" s="67"/>
      <c r="U644" s="68"/>
      <c r="V644" s="69"/>
      <c r="X644" s="69"/>
    </row>
    <row r="645" spans="19:24" x14ac:dyDescent="0.3">
      <c r="S645" s="67"/>
      <c r="T645" s="67"/>
      <c r="U645" s="68"/>
      <c r="V645" s="69"/>
      <c r="X645" s="69"/>
    </row>
    <row r="646" spans="19:24" x14ac:dyDescent="0.3">
      <c r="S646" s="67"/>
      <c r="T646" s="67"/>
      <c r="U646" s="68"/>
      <c r="V646" s="69"/>
      <c r="X646" s="69"/>
    </row>
    <row r="647" spans="19:24" x14ac:dyDescent="0.3">
      <c r="S647" s="67"/>
      <c r="T647" s="67"/>
      <c r="U647" s="68"/>
      <c r="V647" s="69"/>
      <c r="X647" s="69"/>
    </row>
    <row r="648" spans="19:24" x14ac:dyDescent="0.3">
      <c r="S648" s="67"/>
      <c r="T648" s="67"/>
      <c r="U648" s="68"/>
      <c r="V648" s="69"/>
      <c r="X648" s="69"/>
    </row>
    <row r="649" spans="19:24" x14ac:dyDescent="0.3">
      <c r="S649" s="67"/>
      <c r="T649" s="67"/>
      <c r="U649" s="68"/>
      <c r="V649" s="69"/>
      <c r="X649" s="69"/>
    </row>
    <row r="650" spans="19:24" x14ac:dyDescent="0.3">
      <c r="S650" s="67"/>
      <c r="T650" s="67"/>
      <c r="U650" s="68"/>
      <c r="V650" s="69"/>
      <c r="X650" s="69"/>
    </row>
    <row r="651" spans="19:24" x14ac:dyDescent="0.3">
      <c r="S651" s="67"/>
      <c r="T651" s="67"/>
      <c r="U651" s="68"/>
      <c r="V651" s="69"/>
      <c r="X651" s="69"/>
    </row>
    <row r="652" spans="19:24" x14ac:dyDescent="0.3">
      <c r="S652" s="67"/>
      <c r="T652" s="67"/>
      <c r="U652" s="68"/>
      <c r="V652" s="69"/>
      <c r="X652" s="69"/>
    </row>
    <row r="653" spans="19:24" x14ac:dyDescent="0.3">
      <c r="S653" s="67"/>
      <c r="T653" s="67"/>
      <c r="U653" s="68"/>
      <c r="V653" s="69"/>
      <c r="X653" s="69"/>
    </row>
    <row r="654" spans="19:24" x14ac:dyDescent="0.3">
      <c r="S654" s="67"/>
      <c r="T654" s="67"/>
      <c r="U654" s="68"/>
      <c r="V654" s="69"/>
      <c r="X654" s="69"/>
    </row>
    <row r="655" spans="19:24" x14ac:dyDescent="0.3">
      <c r="S655" s="67"/>
      <c r="T655" s="67"/>
      <c r="U655" s="68"/>
      <c r="V655" s="69"/>
      <c r="X655" s="69"/>
    </row>
    <row r="656" spans="19:24" x14ac:dyDescent="0.3">
      <c r="S656" s="67"/>
      <c r="T656" s="67"/>
      <c r="U656" s="68"/>
      <c r="V656" s="69"/>
      <c r="X656" s="69"/>
    </row>
    <row r="657" spans="19:24" x14ac:dyDescent="0.3">
      <c r="S657" s="67"/>
      <c r="T657" s="67"/>
      <c r="U657" s="68"/>
      <c r="V657" s="69"/>
      <c r="X657" s="69"/>
    </row>
    <row r="658" spans="19:24" x14ac:dyDescent="0.3">
      <c r="S658" s="67"/>
      <c r="T658" s="67"/>
      <c r="U658" s="68"/>
      <c r="V658" s="69"/>
      <c r="X658" s="69"/>
    </row>
    <row r="659" spans="19:24" x14ac:dyDescent="0.3">
      <c r="S659" s="67"/>
      <c r="T659" s="67"/>
      <c r="U659" s="68"/>
      <c r="V659" s="69"/>
      <c r="X659" s="69"/>
    </row>
    <row r="660" spans="19:24" x14ac:dyDescent="0.3">
      <c r="S660" s="67"/>
      <c r="T660" s="67"/>
      <c r="U660" s="68"/>
      <c r="V660" s="69"/>
      <c r="X660" s="69"/>
    </row>
    <row r="661" spans="19:24" x14ac:dyDescent="0.3">
      <c r="S661" s="67"/>
      <c r="T661" s="67"/>
      <c r="U661" s="68"/>
      <c r="V661" s="69"/>
      <c r="X661" s="69"/>
    </row>
    <row r="662" spans="19:24" x14ac:dyDescent="0.3">
      <c r="S662" s="67"/>
      <c r="T662" s="67"/>
      <c r="U662" s="68"/>
      <c r="V662" s="69"/>
      <c r="X662" s="69"/>
    </row>
    <row r="663" spans="19:24" x14ac:dyDescent="0.3">
      <c r="S663" s="67"/>
      <c r="T663" s="67"/>
      <c r="U663" s="68"/>
      <c r="V663" s="69"/>
      <c r="X663" s="69"/>
    </row>
    <row r="664" spans="19:24" x14ac:dyDescent="0.3">
      <c r="S664" s="67"/>
      <c r="T664" s="67"/>
      <c r="U664" s="68"/>
      <c r="V664" s="69"/>
      <c r="X664" s="69"/>
    </row>
    <row r="665" spans="19:24" x14ac:dyDescent="0.3">
      <c r="S665" s="67"/>
      <c r="T665" s="67"/>
      <c r="U665" s="68"/>
      <c r="V665" s="69"/>
      <c r="X665" s="69"/>
    </row>
    <row r="666" spans="19:24" x14ac:dyDescent="0.3">
      <c r="S666" s="67"/>
      <c r="T666" s="67"/>
      <c r="U666" s="68"/>
      <c r="V666" s="69"/>
      <c r="X666" s="69"/>
    </row>
    <row r="667" spans="19:24" x14ac:dyDescent="0.3">
      <c r="S667" s="67"/>
      <c r="T667" s="67"/>
      <c r="U667" s="68"/>
      <c r="V667" s="69"/>
      <c r="X667" s="69"/>
    </row>
    <row r="668" spans="19:24" x14ac:dyDescent="0.3">
      <c r="S668" s="67"/>
      <c r="T668" s="67"/>
      <c r="U668" s="68"/>
      <c r="V668" s="69"/>
      <c r="X668" s="69"/>
    </row>
    <row r="669" spans="19:24" x14ac:dyDescent="0.3">
      <c r="S669" s="67"/>
      <c r="T669" s="67"/>
      <c r="U669" s="68"/>
      <c r="V669" s="69"/>
      <c r="X669" s="69"/>
    </row>
    <row r="670" spans="19:24" x14ac:dyDescent="0.3">
      <c r="S670" s="67"/>
      <c r="T670" s="67"/>
      <c r="U670" s="68"/>
      <c r="V670" s="69"/>
      <c r="X670" s="69"/>
    </row>
    <row r="671" spans="19:24" x14ac:dyDescent="0.3">
      <c r="S671" s="67"/>
      <c r="T671" s="67"/>
      <c r="U671" s="68"/>
      <c r="V671" s="69"/>
      <c r="X671" s="69"/>
    </row>
    <row r="672" spans="19:24" x14ac:dyDescent="0.3">
      <c r="S672" s="67"/>
      <c r="T672" s="67"/>
      <c r="U672" s="68"/>
      <c r="V672" s="69"/>
      <c r="X672" s="69"/>
    </row>
    <row r="673" spans="19:24" x14ac:dyDescent="0.3">
      <c r="S673" s="67"/>
      <c r="T673" s="67"/>
      <c r="U673" s="68"/>
      <c r="V673" s="69"/>
      <c r="X673" s="69"/>
    </row>
    <row r="674" spans="19:24" x14ac:dyDescent="0.3">
      <c r="S674" s="67"/>
      <c r="T674" s="67"/>
      <c r="U674" s="68"/>
      <c r="V674" s="69"/>
      <c r="X674" s="69"/>
    </row>
    <row r="675" spans="19:24" x14ac:dyDescent="0.3">
      <c r="S675" s="67"/>
      <c r="T675" s="67"/>
      <c r="U675" s="68"/>
      <c r="V675" s="69"/>
      <c r="X675" s="69"/>
    </row>
    <row r="676" spans="19:24" x14ac:dyDescent="0.3">
      <c r="S676" s="67"/>
      <c r="T676" s="67"/>
      <c r="U676" s="68"/>
      <c r="V676" s="69"/>
      <c r="X676" s="69"/>
    </row>
    <row r="677" spans="19:24" x14ac:dyDescent="0.3">
      <c r="S677" s="67"/>
      <c r="T677" s="67"/>
      <c r="U677" s="68"/>
      <c r="V677" s="69"/>
      <c r="X677" s="69"/>
    </row>
    <row r="678" spans="19:24" x14ac:dyDescent="0.3">
      <c r="S678" s="67"/>
      <c r="T678" s="67"/>
      <c r="U678" s="68"/>
      <c r="V678" s="69"/>
      <c r="X678" s="69"/>
    </row>
    <row r="679" spans="19:24" x14ac:dyDescent="0.3">
      <c r="S679" s="67"/>
      <c r="T679" s="67"/>
      <c r="U679" s="68"/>
      <c r="V679" s="69"/>
      <c r="X679" s="69"/>
    </row>
    <row r="680" spans="19:24" x14ac:dyDescent="0.3">
      <c r="S680" s="67"/>
      <c r="T680" s="67"/>
      <c r="U680" s="68"/>
      <c r="V680" s="69"/>
      <c r="X680" s="69"/>
    </row>
    <row r="681" spans="19:24" x14ac:dyDescent="0.3">
      <c r="S681" s="67"/>
      <c r="T681" s="67"/>
      <c r="U681" s="68"/>
      <c r="V681" s="69"/>
      <c r="X681" s="69"/>
    </row>
    <row r="682" spans="19:24" x14ac:dyDescent="0.3">
      <c r="S682" s="67"/>
      <c r="T682" s="67"/>
      <c r="U682" s="68"/>
      <c r="V682" s="69"/>
      <c r="X682" s="69"/>
    </row>
    <row r="683" spans="19:24" x14ac:dyDescent="0.3">
      <c r="S683" s="67"/>
      <c r="T683" s="67"/>
      <c r="U683" s="68"/>
      <c r="V683" s="69"/>
      <c r="X683" s="69"/>
    </row>
    <row r="684" spans="19:24" x14ac:dyDescent="0.3">
      <c r="S684" s="67"/>
      <c r="T684" s="67"/>
      <c r="U684" s="68"/>
      <c r="V684" s="69"/>
      <c r="X684" s="69"/>
    </row>
    <row r="685" spans="19:24" x14ac:dyDescent="0.3">
      <c r="S685" s="67"/>
      <c r="T685" s="67"/>
      <c r="U685" s="68"/>
      <c r="V685" s="69"/>
      <c r="X685" s="69"/>
    </row>
    <row r="686" spans="19:24" x14ac:dyDescent="0.3">
      <c r="S686" s="67"/>
      <c r="T686" s="67"/>
      <c r="U686" s="68"/>
      <c r="V686" s="69"/>
      <c r="X686" s="69"/>
    </row>
    <row r="687" spans="19:24" x14ac:dyDescent="0.3">
      <c r="S687" s="67"/>
      <c r="T687" s="67"/>
      <c r="U687" s="68"/>
      <c r="V687" s="69"/>
      <c r="X687" s="69"/>
    </row>
    <row r="688" spans="19:24" x14ac:dyDescent="0.3">
      <c r="S688" s="67"/>
      <c r="T688" s="67"/>
      <c r="U688" s="68"/>
      <c r="V688" s="69"/>
      <c r="X688" s="69"/>
    </row>
    <row r="689" spans="19:24" x14ac:dyDescent="0.3">
      <c r="S689" s="67"/>
      <c r="T689" s="67"/>
      <c r="U689" s="68"/>
      <c r="V689" s="69"/>
      <c r="X689" s="69"/>
    </row>
    <row r="690" spans="19:24" x14ac:dyDescent="0.3">
      <c r="S690" s="67"/>
      <c r="T690" s="67"/>
      <c r="U690" s="68"/>
      <c r="V690" s="69"/>
      <c r="X690" s="69"/>
    </row>
    <row r="691" spans="19:24" x14ac:dyDescent="0.3">
      <c r="S691" s="67"/>
      <c r="T691" s="67"/>
      <c r="U691" s="68"/>
      <c r="V691" s="69"/>
      <c r="X691" s="69"/>
    </row>
    <row r="692" spans="19:24" x14ac:dyDescent="0.3">
      <c r="S692" s="67"/>
      <c r="T692" s="67"/>
      <c r="U692" s="68"/>
      <c r="V692" s="69"/>
      <c r="X692" s="69"/>
    </row>
    <row r="693" spans="19:24" x14ac:dyDescent="0.3">
      <c r="S693" s="67"/>
      <c r="T693" s="67"/>
      <c r="U693" s="68"/>
      <c r="V693" s="69"/>
      <c r="X693" s="69"/>
    </row>
    <row r="694" spans="19:24" x14ac:dyDescent="0.3">
      <c r="S694" s="67"/>
      <c r="T694" s="67"/>
      <c r="U694" s="68"/>
      <c r="V694" s="69"/>
      <c r="X694" s="69"/>
    </row>
    <row r="695" spans="19:24" x14ac:dyDescent="0.3">
      <c r="S695" s="67"/>
      <c r="T695" s="67"/>
      <c r="U695" s="68"/>
      <c r="V695" s="69"/>
      <c r="X695" s="69"/>
    </row>
    <row r="696" spans="19:24" x14ac:dyDescent="0.3">
      <c r="S696" s="67"/>
      <c r="T696" s="67"/>
      <c r="U696" s="68"/>
      <c r="V696" s="69"/>
      <c r="X696" s="69"/>
    </row>
    <row r="697" spans="19:24" x14ac:dyDescent="0.3">
      <c r="S697" s="67"/>
      <c r="T697" s="67"/>
      <c r="U697" s="68"/>
      <c r="V697" s="69"/>
      <c r="X697" s="69"/>
    </row>
    <row r="698" spans="19:24" x14ac:dyDescent="0.3">
      <c r="S698" s="67"/>
      <c r="T698" s="67"/>
      <c r="U698" s="68"/>
      <c r="V698" s="69"/>
      <c r="X698" s="69"/>
    </row>
    <row r="699" spans="19:24" x14ac:dyDescent="0.3">
      <c r="S699" s="67"/>
      <c r="T699" s="67"/>
      <c r="U699" s="68"/>
      <c r="V699" s="69"/>
      <c r="X699" s="69"/>
    </row>
    <row r="700" spans="19:24" x14ac:dyDescent="0.3">
      <c r="S700" s="67"/>
      <c r="T700" s="67"/>
      <c r="U700" s="68"/>
      <c r="V700" s="69"/>
      <c r="X700" s="69"/>
    </row>
    <row r="701" spans="19:24" x14ac:dyDescent="0.3">
      <c r="S701" s="67"/>
      <c r="T701" s="67"/>
      <c r="U701" s="68"/>
      <c r="V701" s="69"/>
      <c r="X701" s="69"/>
    </row>
    <row r="702" spans="19:24" x14ac:dyDescent="0.3">
      <c r="S702" s="67"/>
      <c r="T702" s="67"/>
      <c r="U702" s="68"/>
      <c r="V702" s="69"/>
      <c r="X702" s="69"/>
    </row>
    <row r="703" spans="19:24" x14ac:dyDescent="0.3">
      <c r="S703" s="67"/>
      <c r="T703" s="67"/>
      <c r="U703" s="68"/>
      <c r="V703" s="69"/>
      <c r="X703" s="69"/>
    </row>
    <row r="704" spans="19:24" x14ac:dyDescent="0.3">
      <c r="S704" s="67"/>
      <c r="T704" s="67"/>
      <c r="U704" s="68"/>
      <c r="V704" s="69"/>
      <c r="X704" s="69"/>
    </row>
    <row r="705" spans="19:24" x14ac:dyDescent="0.3">
      <c r="S705" s="67"/>
      <c r="T705" s="67"/>
      <c r="U705" s="68"/>
      <c r="V705" s="69"/>
      <c r="X705" s="69"/>
    </row>
    <row r="706" spans="19:24" x14ac:dyDescent="0.3">
      <c r="S706" s="67"/>
      <c r="T706" s="67"/>
      <c r="U706" s="68"/>
      <c r="V706" s="69"/>
      <c r="X706" s="69"/>
    </row>
    <row r="707" spans="19:24" x14ac:dyDescent="0.3">
      <c r="S707" s="67"/>
      <c r="T707" s="67"/>
      <c r="U707" s="68"/>
      <c r="V707" s="69"/>
      <c r="X707" s="69"/>
    </row>
    <row r="708" spans="19:24" x14ac:dyDescent="0.3">
      <c r="S708" s="67"/>
      <c r="T708" s="67"/>
      <c r="U708" s="68"/>
      <c r="V708" s="69"/>
      <c r="X708" s="69"/>
    </row>
    <row r="709" spans="19:24" x14ac:dyDescent="0.3">
      <c r="S709" s="67"/>
      <c r="T709" s="67"/>
      <c r="U709" s="68"/>
      <c r="V709" s="69"/>
      <c r="X709" s="69"/>
    </row>
    <row r="710" spans="19:24" x14ac:dyDescent="0.3">
      <c r="S710" s="67"/>
      <c r="T710" s="67"/>
      <c r="U710" s="68"/>
      <c r="V710" s="69"/>
      <c r="X710" s="69"/>
    </row>
    <row r="711" spans="19:24" x14ac:dyDescent="0.3">
      <c r="S711" s="67"/>
      <c r="T711" s="67"/>
      <c r="U711" s="68"/>
      <c r="V711" s="69"/>
      <c r="X711" s="69"/>
    </row>
    <row r="712" spans="19:24" x14ac:dyDescent="0.3">
      <c r="S712" s="67"/>
      <c r="T712" s="67"/>
      <c r="U712" s="68"/>
      <c r="V712" s="69"/>
      <c r="X712" s="69"/>
    </row>
    <row r="713" spans="19:24" x14ac:dyDescent="0.3">
      <c r="S713" s="67"/>
      <c r="T713" s="67"/>
      <c r="U713" s="68"/>
      <c r="V713" s="69"/>
      <c r="X713" s="69"/>
    </row>
    <row r="714" spans="19:24" x14ac:dyDescent="0.3">
      <c r="S714" s="67"/>
      <c r="T714" s="67"/>
      <c r="U714" s="68"/>
      <c r="V714" s="69"/>
      <c r="X714" s="69"/>
    </row>
    <row r="715" spans="19:24" x14ac:dyDescent="0.3">
      <c r="S715" s="67"/>
      <c r="T715" s="67"/>
      <c r="U715" s="68"/>
      <c r="V715" s="69"/>
      <c r="X715" s="69"/>
    </row>
    <row r="716" spans="19:24" x14ac:dyDescent="0.3">
      <c r="S716" s="67"/>
      <c r="T716" s="67"/>
      <c r="U716" s="68"/>
      <c r="V716" s="69"/>
      <c r="X716" s="69"/>
    </row>
    <row r="717" spans="19:24" x14ac:dyDescent="0.3">
      <c r="S717" s="67"/>
      <c r="T717" s="67"/>
      <c r="U717" s="68"/>
      <c r="V717" s="69"/>
      <c r="X717" s="69"/>
    </row>
    <row r="718" spans="19:24" x14ac:dyDescent="0.3">
      <c r="S718" s="67"/>
      <c r="T718" s="67"/>
      <c r="U718" s="68"/>
      <c r="V718" s="69"/>
      <c r="X718" s="69"/>
    </row>
    <row r="719" spans="19:24" x14ac:dyDescent="0.3">
      <c r="S719" s="67"/>
      <c r="T719" s="67"/>
      <c r="U719" s="68"/>
      <c r="V719" s="69"/>
      <c r="X719" s="69"/>
    </row>
    <row r="720" spans="19:24" x14ac:dyDescent="0.3">
      <c r="S720" s="67"/>
      <c r="T720" s="67"/>
      <c r="U720" s="68"/>
      <c r="V720" s="69"/>
      <c r="X720" s="69"/>
    </row>
    <row r="721" spans="19:24" x14ac:dyDescent="0.3">
      <c r="S721" s="67"/>
      <c r="T721" s="67"/>
      <c r="U721" s="68"/>
      <c r="V721" s="69"/>
      <c r="X721" s="69"/>
    </row>
    <row r="722" spans="19:24" x14ac:dyDescent="0.3">
      <c r="S722" s="67"/>
      <c r="T722" s="67"/>
      <c r="U722" s="68"/>
      <c r="V722" s="69"/>
      <c r="X722" s="69"/>
    </row>
    <row r="723" spans="19:24" x14ac:dyDescent="0.3">
      <c r="S723" s="67"/>
      <c r="T723" s="67"/>
      <c r="U723" s="68"/>
      <c r="V723" s="69"/>
      <c r="X723" s="69"/>
    </row>
    <row r="724" spans="19:24" x14ac:dyDescent="0.3">
      <c r="S724" s="67"/>
      <c r="T724" s="67"/>
      <c r="U724" s="68"/>
      <c r="V724" s="69"/>
      <c r="X724" s="69"/>
    </row>
    <row r="725" spans="19:24" x14ac:dyDescent="0.3">
      <c r="S725" s="67"/>
      <c r="T725" s="67"/>
      <c r="U725" s="68"/>
      <c r="V725" s="69"/>
      <c r="X725" s="69"/>
    </row>
    <row r="726" spans="19:24" x14ac:dyDescent="0.3">
      <c r="S726" s="67"/>
      <c r="T726" s="67"/>
      <c r="U726" s="68"/>
      <c r="V726" s="69"/>
      <c r="X726" s="69"/>
    </row>
    <row r="727" spans="19:24" x14ac:dyDescent="0.3">
      <c r="S727" s="67"/>
      <c r="T727" s="67"/>
      <c r="U727" s="68"/>
      <c r="V727" s="69"/>
      <c r="X727" s="69"/>
    </row>
    <row r="728" spans="19:24" x14ac:dyDescent="0.3">
      <c r="S728" s="67"/>
      <c r="T728" s="67"/>
      <c r="U728" s="68"/>
      <c r="V728" s="69"/>
      <c r="X728" s="69"/>
    </row>
  </sheetData>
  <sheetProtection algorithmName="SHA-512" hashValue="afI25imvI2iCeTH4o2tAF06encMCRi585n4MbJaF0G6lUhtl+QM2rMiUdAyEkDmYgIy0FsWLabx3HzuYy5SGLg==" saltValue="37lNpeR2TsAjjN6DpHPjLQ==" spinCount="100000" sheet="1" formatCells="0" formatColumns="0" formatRows="0" insertColumns="0" insertRows="0" insertHyperlinks="0" deleteColumns="0" deleteRows="0" sort="0" autoFilter="0" pivotTables="0"/>
  <autoFilter ref="A2:P141" xr:uid="{00000000-0001-0000-0000-000000000000}"/>
  <mergeCells count="2">
    <mergeCell ref="A1:O1"/>
    <mergeCell ref="T1:T2"/>
  </mergeCells>
  <conditionalFormatting sqref="X1">
    <cfRule type="expression" dxfId="0" priority="1">
      <formula>"&gt;0"</formula>
    </cfRule>
  </conditionalFormatting>
  <dataValidations count="1">
    <dataValidation allowBlank="1" showInputMessage="1" showErrorMessage="1" error="Order quantity must be a multiple of Sales per Unit Case (See Column I)." prompt="Order quantity must be a multiple of Sales per Unit Case (See Column I)." sqref="N3:N140" xr:uid="{48C8E31D-C059-44E7-B884-0982C7456F19}"/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(NutriBiotic)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cp:lastPrinted>2025-02-06T09:01:59Z</cp:lastPrinted>
  <dcterms:created xsi:type="dcterms:W3CDTF">2015-06-05T18:17:20Z</dcterms:created>
  <dcterms:modified xsi:type="dcterms:W3CDTF">2025-11-28T14:16:14Z</dcterms:modified>
</cp:coreProperties>
</file>