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nnyroaltea88\Desktop\Prices\Boiron\Продаж\"/>
    </mc:Choice>
  </mc:AlternateContent>
  <xr:revisionPtr revIDLastSave="0" documentId="13_ncr:1_{F6DA936C-CB88-4C24-B23A-5EED780AC870}" xr6:coauthVersionLast="47" xr6:coauthVersionMax="47" xr10:uidLastSave="{00000000-0000-0000-0000-000000000000}"/>
  <bookViews>
    <workbookView xWindow="-108" yWindow="-108" windowWidth="23256" windowHeight="13896" xr2:uid="{47FF61E8-F050-4D07-AA3D-B8D0E6C682B8}"/>
  </bookViews>
  <sheets>
    <sheet name="DSN GROUP (Boiron)" sheetId="1" r:id="rId1"/>
  </sheets>
  <definedNames>
    <definedName name="_xlnm._FilterDatabase" localSheetId="0" hidden="1">'DSN GROUP (Boiron)'!$A$2:$J$55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5" i="1" l="1"/>
  <c r="M54" i="1"/>
  <c r="M44" i="1"/>
  <c r="M35" i="1"/>
  <c r="M20" i="1"/>
  <c r="M8" i="1"/>
  <c r="M7" i="1"/>
  <c r="M6" i="1"/>
  <c r="M5" i="1"/>
  <c r="M4" i="1"/>
  <c r="N4" i="1"/>
  <c r="O4" i="1"/>
  <c r="P4" i="1" s="1"/>
  <c r="N5" i="1"/>
  <c r="O5" i="1"/>
  <c r="P5" i="1"/>
  <c r="N6" i="1"/>
  <c r="O6" i="1"/>
  <c r="P6" i="1" s="1"/>
  <c r="N7" i="1"/>
  <c r="O7" i="1"/>
  <c r="P7" i="1" s="1"/>
  <c r="N8" i="1"/>
  <c r="O8" i="1"/>
  <c r="P8" i="1"/>
  <c r="R8" i="1" s="1"/>
  <c r="M9" i="1"/>
  <c r="N9" i="1"/>
  <c r="O9" i="1"/>
  <c r="P9" i="1"/>
  <c r="M10" i="1"/>
  <c r="N10" i="1"/>
  <c r="O10" i="1"/>
  <c r="P10" i="1"/>
  <c r="M11" i="1"/>
  <c r="N11" i="1"/>
  <c r="O11" i="1"/>
  <c r="P11" i="1" s="1"/>
  <c r="M12" i="1"/>
  <c r="N12" i="1"/>
  <c r="O12" i="1"/>
  <c r="P12" i="1" s="1"/>
  <c r="M13" i="1"/>
  <c r="N13" i="1"/>
  <c r="O13" i="1"/>
  <c r="P13" i="1"/>
  <c r="M14" i="1"/>
  <c r="N14" i="1"/>
  <c r="O14" i="1"/>
  <c r="P14" i="1" s="1"/>
  <c r="M15" i="1"/>
  <c r="N15" i="1"/>
  <c r="O15" i="1"/>
  <c r="P15" i="1" s="1"/>
  <c r="R15" i="1" s="1"/>
  <c r="M16" i="1"/>
  <c r="N16" i="1"/>
  <c r="O16" i="1"/>
  <c r="P16" i="1"/>
  <c r="M17" i="1"/>
  <c r="N17" i="1"/>
  <c r="O17" i="1"/>
  <c r="P17" i="1"/>
  <c r="M18" i="1"/>
  <c r="N18" i="1"/>
  <c r="O18" i="1"/>
  <c r="P18" i="1"/>
  <c r="M19" i="1"/>
  <c r="N19" i="1"/>
  <c r="O19" i="1"/>
  <c r="P19" i="1" s="1"/>
  <c r="N20" i="1"/>
  <c r="O20" i="1"/>
  <c r="P20" i="1" s="1"/>
  <c r="M21" i="1"/>
  <c r="N21" i="1"/>
  <c r="O21" i="1"/>
  <c r="P21" i="1"/>
  <c r="M22" i="1"/>
  <c r="N22" i="1"/>
  <c r="O22" i="1"/>
  <c r="P22" i="1" s="1"/>
  <c r="M23" i="1"/>
  <c r="N23" i="1"/>
  <c r="O23" i="1"/>
  <c r="P23" i="1" s="1"/>
  <c r="M24" i="1"/>
  <c r="N24" i="1"/>
  <c r="O24" i="1"/>
  <c r="P24" i="1"/>
  <c r="M25" i="1"/>
  <c r="N25" i="1"/>
  <c r="O25" i="1"/>
  <c r="P25" i="1"/>
  <c r="M26" i="1"/>
  <c r="N26" i="1"/>
  <c r="O26" i="1"/>
  <c r="P26" i="1"/>
  <c r="M27" i="1"/>
  <c r="N27" i="1"/>
  <c r="O27" i="1"/>
  <c r="P27" i="1" s="1"/>
  <c r="M28" i="1"/>
  <c r="N28" i="1"/>
  <c r="O28" i="1"/>
  <c r="P28" i="1" s="1"/>
  <c r="M29" i="1"/>
  <c r="N29" i="1"/>
  <c r="O29" i="1"/>
  <c r="P29" i="1"/>
  <c r="R29" i="1" s="1"/>
  <c r="M30" i="1"/>
  <c r="N30" i="1"/>
  <c r="O30" i="1"/>
  <c r="P30" i="1" s="1"/>
  <c r="M31" i="1"/>
  <c r="N31" i="1"/>
  <c r="O31" i="1"/>
  <c r="P31" i="1" s="1"/>
  <c r="M32" i="1"/>
  <c r="N32" i="1"/>
  <c r="O32" i="1"/>
  <c r="P32" i="1"/>
  <c r="M33" i="1"/>
  <c r="N33" i="1"/>
  <c r="O33" i="1"/>
  <c r="P33" i="1"/>
  <c r="M34" i="1"/>
  <c r="N34" i="1"/>
  <c r="O34" i="1"/>
  <c r="P34" i="1"/>
  <c r="N35" i="1"/>
  <c r="O35" i="1"/>
  <c r="P35" i="1" s="1"/>
  <c r="M36" i="1"/>
  <c r="N36" i="1"/>
  <c r="O36" i="1"/>
  <c r="P36" i="1" s="1"/>
  <c r="M37" i="1"/>
  <c r="N37" i="1"/>
  <c r="O37" i="1"/>
  <c r="P37" i="1"/>
  <c r="M38" i="1"/>
  <c r="N38" i="1"/>
  <c r="O38" i="1"/>
  <c r="P38" i="1" s="1"/>
  <c r="M39" i="1"/>
  <c r="N39" i="1"/>
  <c r="O39" i="1"/>
  <c r="P39" i="1" s="1"/>
  <c r="M40" i="1"/>
  <c r="N40" i="1"/>
  <c r="O40" i="1"/>
  <c r="P40" i="1"/>
  <c r="R40" i="1" s="1"/>
  <c r="M41" i="1"/>
  <c r="N41" i="1"/>
  <c r="O41" i="1"/>
  <c r="P41" i="1"/>
  <c r="M42" i="1"/>
  <c r="N42" i="1"/>
  <c r="O42" i="1"/>
  <c r="P42" i="1"/>
  <c r="M43" i="1"/>
  <c r="N43" i="1"/>
  <c r="O43" i="1"/>
  <c r="P43" i="1" s="1"/>
  <c r="N44" i="1"/>
  <c r="O44" i="1"/>
  <c r="P44" i="1" s="1"/>
  <c r="M45" i="1"/>
  <c r="N45" i="1"/>
  <c r="O45" i="1"/>
  <c r="P45" i="1"/>
  <c r="R45" i="1"/>
  <c r="M46" i="1"/>
  <c r="N46" i="1"/>
  <c r="O46" i="1"/>
  <c r="P46" i="1" s="1"/>
  <c r="R46" i="1" s="1"/>
  <c r="M47" i="1"/>
  <c r="N47" i="1"/>
  <c r="O47" i="1"/>
  <c r="P47" i="1" s="1"/>
  <c r="R47" i="1" s="1"/>
  <c r="M48" i="1"/>
  <c r="N48" i="1"/>
  <c r="O48" i="1"/>
  <c r="P48" i="1"/>
  <c r="M49" i="1"/>
  <c r="N49" i="1"/>
  <c r="O49" i="1"/>
  <c r="P49" i="1"/>
  <c r="M50" i="1"/>
  <c r="N50" i="1"/>
  <c r="O50" i="1"/>
  <c r="P50" i="1"/>
  <c r="M51" i="1"/>
  <c r="N51" i="1"/>
  <c r="O51" i="1"/>
  <c r="P51" i="1" s="1"/>
  <c r="M52" i="1"/>
  <c r="N52" i="1"/>
  <c r="O52" i="1"/>
  <c r="P52" i="1" s="1"/>
  <c r="M53" i="1"/>
  <c r="N53" i="1"/>
  <c r="O53" i="1"/>
  <c r="P53" i="1"/>
  <c r="N54" i="1"/>
  <c r="O54" i="1"/>
  <c r="P54" i="1" s="1"/>
  <c r="N55" i="1"/>
  <c r="O55" i="1"/>
  <c r="P55" i="1" s="1"/>
  <c r="M3" i="1"/>
  <c r="P3" i="1"/>
  <c r="O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3" i="1"/>
  <c r="R30" i="1" l="1"/>
  <c r="R21" i="1"/>
  <c r="R32" i="1"/>
  <c r="R52" i="1"/>
  <c r="R34" i="1"/>
  <c r="R16" i="1"/>
  <c r="R37" i="1"/>
  <c r="R5" i="1"/>
  <c r="R12" i="1"/>
  <c r="R43" i="1"/>
  <c r="R25" i="1"/>
  <c r="R11" i="1"/>
  <c r="R51" i="1"/>
  <c r="R42" i="1"/>
  <c r="R33" i="1"/>
  <c r="R28" i="1"/>
  <c r="R24" i="1"/>
  <c r="R9" i="1"/>
  <c r="R10" i="1"/>
  <c r="R41" i="1"/>
  <c r="R13" i="1"/>
  <c r="R20" i="1"/>
  <c r="R55" i="1"/>
  <c r="R54" i="1"/>
  <c r="R14" i="1"/>
  <c r="R49" i="1"/>
  <c r="R36" i="1"/>
  <c r="R23" i="1"/>
  <c r="R18" i="1"/>
  <c r="R38" i="1"/>
  <c r="R50" i="1"/>
  <c r="R53" i="1"/>
  <c r="R44" i="1"/>
  <c r="R35" i="1"/>
  <c r="R31" i="1"/>
  <c r="R22" i="1"/>
  <c r="R39" i="1"/>
  <c r="R7" i="1"/>
  <c r="R6" i="1"/>
  <c r="R19" i="1"/>
  <c r="R27" i="1"/>
  <c r="R48" i="1"/>
  <c r="R26" i="1"/>
  <c r="R17" i="1"/>
  <c r="R4" i="1"/>
  <c r="O2" i="1"/>
  <c r="N3" i="1" s="1"/>
  <c r="P2" i="1"/>
  <c r="R3" i="1"/>
  <c r="K2" i="1"/>
  <c r="R1" i="1" l="1"/>
</calcChain>
</file>

<file path=xl/sharedStrings.xml><?xml version="1.0" encoding="utf-8"?>
<sst xmlns="http://schemas.openxmlformats.org/spreadsheetml/2006/main" count="174" uniqueCount="135">
  <si>
    <t>BM0056</t>
  </si>
  <si>
    <t>Acidil Heartburn</t>
  </si>
  <si>
    <t>60 tablet</t>
  </si>
  <si>
    <t>BM0132</t>
  </si>
  <si>
    <t>AllergyCalm</t>
  </si>
  <si>
    <t>BM0075</t>
  </si>
  <si>
    <t>Arnica Cream</t>
  </si>
  <si>
    <t>1.33 ounce</t>
  </si>
  <si>
    <t>BM0078</t>
  </si>
  <si>
    <t>2.5 ounce</t>
  </si>
  <si>
    <t>BM0057</t>
  </si>
  <si>
    <t>Arnica Gel</t>
  </si>
  <si>
    <t>BM0021</t>
  </si>
  <si>
    <t>1.5 ounce</t>
  </si>
  <si>
    <t>BM0062</t>
  </si>
  <si>
    <t>Arnica Gel &amp; Blue Tube Value Pack</t>
  </si>
  <si>
    <t>1 multi</t>
  </si>
  <si>
    <t>BM0004</t>
  </si>
  <si>
    <t>Arnica Ointment</t>
  </si>
  <si>
    <t>1 ounce</t>
  </si>
  <si>
    <t>BM0102</t>
  </si>
  <si>
    <t>Arnicare Arnica Tablets</t>
  </si>
  <si>
    <t>BM0083</t>
  </si>
  <si>
    <t>Arnicare Arthritis</t>
  </si>
  <si>
    <t>BM0134</t>
  </si>
  <si>
    <t>Arnicare Arthritis Cream</t>
  </si>
  <si>
    <t>BM0118</t>
  </si>
  <si>
    <t>Arnicare Bruise Gel</t>
  </si>
  <si>
    <t>BM0094</t>
  </si>
  <si>
    <t>Arnicare Cream Value Pack</t>
  </si>
  <si>
    <t>BM0113</t>
  </si>
  <si>
    <t>Arnicare Cream Value Size</t>
  </si>
  <si>
    <t>4.2 ounce</t>
  </si>
  <si>
    <t>BM0109</t>
  </si>
  <si>
    <t>Arnicare Gel Value Size</t>
  </si>
  <si>
    <t>4.1 ounce</t>
  </si>
  <si>
    <t>BM0117</t>
  </si>
  <si>
    <t>Arnicare Leg Cramps 3 Tubes</t>
  </si>
  <si>
    <t>33 chewable</t>
  </si>
  <si>
    <t>BM0137</t>
  </si>
  <si>
    <t>Arnicare Roll-on Metal Ball Roller</t>
  </si>
  <si>
    <t>BM0115</t>
  </si>
  <si>
    <t>Arnicare Roll-On Twin Pack</t>
  </si>
  <si>
    <t>2 unit</t>
  </si>
  <si>
    <t>BM0119</t>
  </si>
  <si>
    <t>Calendula Burn Ointment</t>
  </si>
  <si>
    <t>BM0079</t>
  </si>
  <si>
    <t>Calendula Cream</t>
  </si>
  <si>
    <t>BM0022</t>
  </si>
  <si>
    <t>Calendula Gel</t>
  </si>
  <si>
    <t>BM0058</t>
  </si>
  <si>
    <t>BM0006</t>
  </si>
  <si>
    <t>Calendula Ointment</t>
  </si>
  <si>
    <t>BM0104</t>
  </si>
  <si>
    <t>Camilia Teething</t>
  </si>
  <si>
    <t>30 dose</t>
  </si>
  <si>
    <t>BM0106</t>
  </si>
  <si>
    <t>Chestal Adult Cold &amp; Cough</t>
  </si>
  <si>
    <t>6.7 ounce</t>
  </si>
  <si>
    <t>BM0064</t>
  </si>
  <si>
    <t>Chestal Adult Cough Syrup</t>
  </si>
  <si>
    <t>BM0111</t>
  </si>
  <si>
    <t>Chestal Child Honey Homeopathic Medicine Children 2+</t>
  </si>
  <si>
    <t>BM0127</t>
  </si>
  <si>
    <t>Chestal Kid Pellets (2 Tubes)</t>
  </si>
  <si>
    <t>160 pellets</t>
  </si>
  <si>
    <t>BM0105</t>
  </si>
  <si>
    <t>Children's Chestal Cold &amp; Cough</t>
  </si>
  <si>
    <t>BM0084</t>
  </si>
  <si>
    <t>Children's Coldcalm Pellets</t>
  </si>
  <si>
    <t>2 vial</t>
  </si>
  <si>
    <t>BM0110</t>
  </si>
  <si>
    <t>Cold Calm Homeopathic Medicine For Children 6 Months+</t>
  </si>
  <si>
    <t>BM0029</t>
  </si>
  <si>
    <t>Coldcalm Blister Pak</t>
  </si>
  <si>
    <t>BM0135</t>
  </si>
  <si>
    <t>Coldcalm On the Go Pellets</t>
  </si>
  <si>
    <t>BM0063</t>
  </si>
  <si>
    <t>Cyclease Cramp</t>
  </si>
  <si>
    <t>BM0107</t>
  </si>
  <si>
    <t>Cyclease Menopause</t>
  </si>
  <si>
    <t>BM0068</t>
  </si>
  <si>
    <t>Cyclease PMS</t>
  </si>
  <si>
    <t>BM0123</t>
  </si>
  <si>
    <t>Diaralia</t>
  </si>
  <si>
    <t>BM0013</t>
  </si>
  <si>
    <t>Gasalia</t>
  </si>
  <si>
    <t>BM0125</t>
  </si>
  <si>
    <t>HemCalm Ointment</t>
  </si>
  <si>
    <t>BM0108</t>
  </si>
  <si>
    <t>HemCalm Suppositories</t>
  </si>
  <si>
    <t>10 ct</t>
  </si>
  <si>
    <t>BM0129</t>
  </si>
  <si>
    <t>MotionCalm</t>
  </si>
  <si>
    <t>BM0130</t>
  </si>
  <si>
    <t>NauseaCalm</t>
  </si>
  <si>
    <t>BM0091</t>
  </si>
  <si>
    <t>Oscillococcinum</t>
  </si>
  <si>
    <t>12 dose</t>
  </si>
  <si>
    <t>BM0103</t>
  </si>
  <si>
    <t>BM0024</t>
  </si>
  <si>
    <t>Oscillococcinum 6 Dose Course Pak</t>
  </si>
  <si>
    <t>6 dose</t>
  </si>
  <si>
    <t>BM0016</t>
  </si>
  <si>
    <t>Sinus Calm Tablets</t>
  </si>
  <si>
    <t>BM0092</t>
  </si>
  <si>
    <t>SinusCalm Pellets</t>
  </si>
  <si>
    <t>BM0128</t>
  </si>
  <si>
    <t>SleepCalm Kids Liquid</t>
  </si>
  <si>
    <t>15 dose</t>
  </si>
  <si>
    <t>BM0026</t>
  </si>
  <si>
    <t>SleepCalm Tablets</t>
  </si>
  <si>
    <t>BM0014</t>
  </si>
  <si>
    <t>StressCalm Tablets</t>
  </si>
  <si>
    <t>BM0112</t>
  </si>
  <si>
    <t>Throat Calm Homeopathic Medicine Adults and Kids</t>
  </si>
  <si>
    <t>BM0131</t>
  </si>
  <si>
    <t>WartCalm</t>
  </si>
  <si>
    <t>BM0133</t>
  </si>
  <si>
    <t>YeastCalm Suppositories</t>
  </si>
  <si>
    <t>7 ct</t>
  </si>
  <si>
    <t>UPC</t>
  </si>
  <si>
    <t>Item</t>
  </si>
  <si>
    <t>Description</t>
  </si>
  <si>
    <t>Size</t>
  </si>
  <si>
    <t>Price</t>
  </si>
  <si>
    <t>Order</t>
  </si>
  <si>
    <t>Total</t>
  </si>
  <si>
    <t>12.06.2025</t>
  </si>
  <si>
    <r>
      <rPr>
        <b/>
        <sz val="9"/>
        <color rgb="FFFF0000"/>
        <rFont val="Calibri"/>
        <family val="2"/>
        <charset val="204"/>
        <scheme val="minor"/>
      </rPr>
      <t>Importantly!</t>
    </r>
    <r>
      <rPr>
        <sz val="9"/>
        <color theme="1"/>
        <rFont val="Calibri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</si>
  <si>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Weight, kg</t>
  </si>
  <si>
    <t>Unіt Freight Cost</t>
  </si>
  <si>
    <t>unit, key</t>
  </si>
  <si>
    <t>Logistic Price</t>
  </si>
  <si>
    <t>Landed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</si>
</sst>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2809]* #,##0.00_-;\-[$$-2809]* #,##0.00_-;_-[$$-2809]* &quot;-&quot;??_-;_-@_-"/>
    <numFmt numFmtId="165" formatCode="_-[$$-409]* #,##0.00_ ;_-[$$-409]* \-#,##0.00\ ;_-[$$-409]* &quot;-&quot;??_ ;_-@_ "/>
    <numFmt numFmtId="166" formatCode="[$$-409]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1"/>
      <color theme="4" tint="-0.499984740745262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" fontId="0" fillId="0" borderId="0" xfId="0" applyNumberFormat="1"/>
    <xf numFmtId="1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/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14" fontId="1" fillId="3" borderId="3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65" fontId="6" fillId="3" borderId="3" xfId="0" applyNumberFormat="1" applyFont="1" applyFill="1" applyBorder="1" applyAlignment="1" applyProtection="1">
      <alignment horizontal="center" vertical="center" wrapText="1" readingOrder="1"/>
      <protection hidden="1"/>
    </xf>
    <xf numFmtId="166" fontId="1" fillId="3" borderId="3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 applyProtection="1">
      <alignment horizontal="center" vertical="center" wrapText="1" readingOrder="1"/>
      <protection locked="0"/>
    </xf>
    <xf numFmtId="4" fontId="1" fillId="4" borderId="5" xfId="0" applyNumberFormat="1" applyFont="1" applyFill="1" applyBorder="1" applyAlignment="1">
      <alignment horizontal="center" vertical="center"/>
    </xf>
    <xf numFmtId="165" fontId="6" fillId="4" borderId="3" xfId="0" applyNumberFormat="1" applyFont="1" applyFill="1" applyBorder="1" applyAlignment="1" applyProtection="1">
      <alignment horizontal="center" vertical="center" wrapText="1" readingOrder="1"/>
      <protection hidden="1"/>
    </xf>
    <xf numFmtId="165" fontId="6" fillId="0" borderId="0" xfId="0" applyNumberFormat="1" applyFont="1" applyAlignment="1" applyProtection="1">
      <alignment vertical="center" wrapText="1" readingOrder="1"/>
      <protection hidden="1"/>
    </xf>
    <xf numFmtId="0" fontId="1" fillId="5" borderId="3" xfId="0" applyFont="1" applyFill="1" applyBorder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" fontId="4" fillId="0" borderId="2" xfId="0" applyNumberFormat="1" applyFont="1" applyBorder="1" applyAlignment="1">
      <alignment horizontal="left" wrapText="1"/>
    </xf>
    <xf numFmtId="1" fontId="2" fillId="0" borderId="2" xfId="0" applyNumberFormat="1" applyFont="1" applyBorder="1" applyAlignment="1">
      <alignment horizontal="left"/>
    </xf>
    <xf numFmtId="14" fontId="1" fillId="3" borderId="4" xfId="0" applyNumberFormat="1" applyFont="1" applyFill="1" applyBorder="1" applyAlignment="1">
      <alignment horizontal="center" vertical="center" wrapText="1"/>
    </xf>
    <xf numFmtId="14" fontId="1" fillId="3" borderId="5" xfId="0" applyNumberFormat="1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top"/>
    </xf>
  </cellXfs>
  <cellStyles count="1">
    <cellStyle name="Звичайний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358140</xdr:colOff>
      <xdr:row>0</xdr:row>
      <xdr:rowOff>114301</xdr:rowOff>
    </xdr:from>
    <xdr:to>
      <xdr:col>9</xdr:col>
      <xdr:colOff>441960</xdr:colOff>
      <xdr:row>0</xdr:row>
      <xdr:rowOff>717793</xdr:rowOff>
    </xdr:to>
    <xdr:pic>
      <xdr:nvPicPr>
        <xdr:cNvPr id="2" name="Рисунок 1" descr="Laboratoires Boiron chooses Reflex WMS to manage logistics at its four  production sites">
          <a:extLst>
            <a:ext uri="{FF2B5EF4-FFF2-40B4-BE49-F238E27FC236}">
              <a16:creationId xmlns:a16="http://schemas.microsoft.com/office/drawing/2014/main" id="{9BD7FC54-3023-CE35-1869-27E42A17F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2660" y="114301"/>
          <a:ext cx="1584960" cy="6034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91298-78EF-422B-9B2B-129B2C6641DA}">
  <dimension ref="A1:R55"/>
  <sheetViews>
    <sheetView tabSelected="1" zoomScale="90" zoomScaleNormal="90" workbookViewId="0">
      <pane ySplit="2" topLeftCell="A3" activePane="bottomLeft" state="frozen"/>
      <selection pane="bottomLeft" activeCell="F5" sqref="F5:F55"/>
    </sheetView>
  </sheetViews>
  <sheetFormatPr defaultRowHeight="14.4" x14ac:dyDescent="0.3"/>
  <cols>
    <col min="1" max="1" width="14.5546875" style="1" bestFit="1" customWidth="1"/>
    <col min="2" max="2" width="9.6640625" bestFit="1" customWidth="1"/>
    <col min="3" max="3" width="48.88671875" bestFit="1" customWidth="1"/>
    <col min="4" max="4" width="11.21875" bestFit="1" customWidth="1"/>
    <col min="5" max="5" width="11.21875" hidden="1" customWidth="1"/>
    <col min="6" max="6" width="11.21875" customWidth="1"/>
    <col min="7" max="7" width="11" style="7" bestFit="1" customWidth="1"/>
    <col min="8" max="8" width="11" style="7" hidden="1" customWidth="1"/>
    <col min="9" max="9" width="10.88671875" style="14" bestFit="1" customWidth="1"/>
    <col min="10" max="10" width="11" style="7" bestFit="1" customWidth="1"/>
    <col min="11" max="11" width="12.33203125" customWidth="1"/>
    <col min="14" max="14" width="10.77734375" customWidth="1"/>
    <col min="16" max="16" width="9.33203125" bestFit="1" customWidth="1"/>
    <col min="17" max="17" width="6.33203125" customWidth="1"/>
    <col min="18" max="18" width="9.88671875" bestFit="1" customWidth="1"/>
  </cols>
  <sheetData>
    <row r="1" spans="1:18" ht="73.8" customHeight="1" thickBot="1" x14ac:dyDescent="0.35">
      <c r="A1" s="27" t="s">
        <v>129</v>
      </c>
      <c r="B1" s="28"/>
      <c r="C1" s="28"/>
      <c r="D1" s="28"/>
      <c r="E1" s="28"/>
      <c r="F1" s="28"/>
      <c r="G1" s="28"/>
      <c r="H1" s="28"/>
      <c r="I1" s="28"/>
      <c r="J1" s="28"/>
      <c r="K1" s="9" t="s">
        <v>128</v>
      </c>
      <c r="M1" s="15" t="s">
        <v>131</v>
      </c>
      <c r="N1" s="29" t="s">
        <v>132</v>
      </c>
      <c r="O1" s="16" t="s">
        <v>130</v>
      </c>
      <c r="P1" s="17" t="s">
        <v>133</v>
      </c>
      <c r="R1" s="18" t="str">
        <f>IFERROR(IF(SUM(R3:R277)=0, "-", K2+P2), "-")</f>
        <v>-</v>
      </c>
    </row>
    <row r="2" spans="1:18" s="8" customFormat="1" ht="29.4" thickBot="1" x14ac:dyDescent="0.35">
      <c r="A2" s="10" t="s">
        <v>121</v>
      </c>
      <c r="B2" s="11" t="s">
        <v>122</v>
      </c>
      <c r="C2" s="11" t="s">
        <v>123</v>
      </c>
      <c r="D2" s="11" t="s">
        <v>124</v>
      </c>
      <c r="E2" s="11"/>
      <c r="F2" s="11" t="s">
        <v>130</v>
      </c>
      <c r="G2" s="12" t="s">
        <v>125</v>
      </c>
      <c r="H2" s="12"/>
      <c r="I2" s="11" t="s">
        <v>126</v>
      </c>
      <c r="J2" s="12" t="s">
        <v>127</v>
      </c>
      <c r="K2" s="12">
        <f>SUM(J3:J55)</f>
        <v>0</v>
      </c>
      <c r="M2" s="19"/>
      <c r="N2" s="30"/>
      <c r="O2" s="20" t="str">
        <f>IF(SUM(O3:O277)=0, "-", SUM(O3:O277))</f>
        <v>-</v>
      </c>
      <c r="P2" s="21" t="str">
        <f>IF(SUM(P3:P277)=0, "-", SUM(P3:P277))</f>
        <v>-</v>
      </c>
      <c r="Q2" s="22"/>
      <c r="R2" s="23" t="s">
        <v>134</v>
      </c>
    </row>
    <row r="3" spans="1:18" x14ac:dyDescent="0.3">
      <c r="A3" s="2">
        <v>306962608606</v>
      </c>
      <c r="B3" s="3" t="s">
        <v>0</v>
      </c>
      <c r="C3" s="4" t="s">
        <v>1</v>
      </c>
      <c r="D3" s="5" t="s">
        <v>2</v>
      </c>
      <c r="E3" s="5"/>
      <c r="F3" s="3">
        <v>0.05</v>
      </c>
      <c r="G3" s="6">
        <v>9.065862000000001</v>
      </c>
      <c r="H3" s="6"/>
      <c r="I3" s="13"/>
      <c r="J3" s="6">
        <f t="shared" ref="J3:J34" si="0">G3*I3</f>
        <v>0</v>
      </c>
      <c r="M3" s="24" t="str">
        <f>IFERROR(IF($M$2*F3=0, "-", $M$2*F3), "-")</f>
        <v>-</v>
      </c>
      <c r="N3" s="24" t="str">
        <f>IF(I3&gt;0,H3+F3*I3/$O$2*$P$2/I3,"-")</f>
        <v>-</v>
      </c>
      <c r="O3" s="25" t="str">
        <f>IF(I3&gt;0,I3*F3*1.113, "-")</f>
        <v>-</v>
      </c>
      <c r="P3" s="26" t="str">
        <f>IFERROR(IF($M$2&gt;0, $M$2*O3, "-"), "-")</f>
        <v>-</v>
      </c>
      <c r="R3" s="26" t="str">
        <f>IFERROR(IF(P3+J3=0, "-", IF(P3&gt;0, P3+J3, "-")), "-")</f>
        <v>-</v>
      </c>
    </row>
    <row r="4" spans="1:18" x14ac:dyDescent="0.3">
      <c r="A4" s="2">
        <v>306969306048</v>
      </c>
      <c r="B4" s="3" t="s">
        <v>3</v>
      </c>
      <c r="C4" s="4" t="s">
        <v>4</v>
      </c>
      <c r="D4" s="5" t="s">
        <v>2</v>
      </c>
      <c r="E4" s="5"/>
      <c r="F4" s="3">
        <v>0.05</v>
      </c>
      <c r="G4" s="6">
        <v>9.065862000000001</v>
      </c>
      <c r="H4" s="6"/>
      <c r="I4" s="13"/>
      <c r="J4" s="6">
        <f t="shared" si="0"/>
        <v>0</v>
      </c>
      <c r="M4" s="24" t="str">
        <f t="shared" ref="M4:M55" si="1">IFERROR(IF($M$2*F4=0, "-", $M$2*F4), "-")</f>
        <v>-</v>
      </c>
      <c r="N4" s="24" t="str">
        <f t="shared" ref="N4:N55" si="2">IF(I4&gt;0,H4+F4*I4/$O$2*$P$2/I4,"-")</f>
        <v>-</v>
      </c>
      <c r="O4" s="25" t="str">
        <f t="shared" ref="O4:O55" si="3">IF(I4&gt;0,I4*F4*1.113, "-")</f>
        <v>-</v>
      </c>
      <c r="P4" s="26" t="str">
        <f t="shared" ref="P4:P55" si="4">IFERROR(IF($M$2&gt;0, $M$2*O4, "-"), "-")</f>
        <v>-</v>
      </c>
      <c r="R4" s="26" t="str">
        <f t="shared" ref="R4:R55" si="5">IFERROR(IF(P4+J4=0, "-", IF(P4&gt;0, P4+J4, "-")), "-")</f>
        <v>-</v>
      </c>
    </row>
    <row r="5" spans="1:18" x14ac:dyDescent="0.3">
      <c r="A5" s="2">
        <v>306962032555</v>
      </c>
      <c r="B5" s="3" t="s">
        <v>5</v>
      </c>
      <c r="C5" s="4" t="s">
        <v>6</v>
      </c>
      <c r="D5" s="5" t="s">
        <v>7</v>
      </c>
      <c r="E5" s="5"/>
      <c r="F5" s="31">
        <v>5.3845999999999998E-2</v>
      </c>
      <c r="G5" s="6">
        <v>5.7930288000000001</v>
      </c>
      <c r="H5" s="6"/>
      <c r="I5" s="13"/>
      <c r="J5" s="6">
        <f t="shared" si="0"/>
        <v>0</v>
      </c>
      <c r="M5" s="24" t="str">
        <f t="shared" si="1"/>
        <v>-</v>
      </c>
      <c r="N5" s="24" t="str">
        <f t="shared" si="2"/>
        <v>-</v>
      </c>
      <c r="O5" s="25" t="str">
        <f t="shared" si="3"/>
        <v>-</v>
      </c>
      <c r="P5" s="26" t="str">
        <f t="shared" si="4"/>
        <v>-</v>
      </c>
      <c r="R5" s="26" t="str">
        <f t="shared" si="5"/>
        <v>-</v>
      </c>
    </row>
    <row r="6" spans="1:18" x14ac:dyDescent="0.3">
      <c r="A6" s="2">
        <v>306962033569</v>
      </c>
      <c r="B6" s="3" t="s">
        <v>8</v>
      </c>
      <c r="C6" s="4" t="s">
        <v>6</v>
      </c>
      <c r="D6" s="5" t="s">
        <v>9</v>
      </c>
      <c r="E6" s="5"/>
      <c r="F6" s="31">
        <v>9.2105000000000006E-2</v>
      </c>
      <c r="G6" s="6">
        <v>9.1570907999999989</v>
      </c>
      <c r="H6" s="6"/>
      <c r="I6" s="13"/>
      <c r="J6" s="6">
        <f t="shared" si="0"/>
        <v>0</v>
      </c>
      <c r="M6" s="24" t="str">
        <f t="shared" si="1"/>
        <v>-</v>
      </c>
      <c r="N6" s="24" t="str">
        <f t="shared" si="2"/>
        <v>-</v>
      </c>
      <c r="O6" s="25" t="str">
        <f t="shared" si="3"/>
        <v>-</v>
      </c>
      <c r="P6" s="26" t="str">
        <f t="shared" si="4"/>
        <v>-</v>
      </c>
      <c r="R6" s="26" t="str">
        <f t="shared" si="5"/>
        <v>-</v>
      </c>
    </row>
    <row r="7" spans="1:18" x14ac:dyDescent="0.3">
      <c r="A7" s="2">
        <v>306962035594</v>
      </c>
      <c r="B7" s="3" t="s">
        <v>10</v>
      </c>
      <c r="C7" s="4" t="s">
        <v>11</v>
      </c>
      <c r="D7" s="5" t="s">
        <v>9</v>
      </c>
      <c r="E7" s="5"/>
      <c r="F7" s="31">
        <v>9.2105000000000006E-2</v>
      </c>
      <c r="G7" s="6">
        <v>9.1570907999999989</v>
      </c>
      <c r="H7" s="6"/>
      <c r="I7" s="13"/>
      <c r="J7" s="6">
        <f t="shared" si="0"/>
        <v>0</v>
      </c>
      <c r="M7" s="24" t="str">
        <f t="shared" si="1"/>
        <v>-</v>
      </c>
      <c r="N7" s="24" t="str">
        <f t="shared" si="2"/>
        <v>-</v>
      </c>
      <c r="O7" s="25" t="str">
        <f t="shared" si="3"/>
        <v>-</v>
      </c>
      <c r="P7" s="26" t="str">
        <f t="shared" si="4"/>
        <v>-</v>
      </c>
      <c r="R7" s="26" t="str">
        <f t="shared" si="5"/>
        <v>-</v>
      </c>
    </row>
    <row r="8" spans="1:18" x14ac:dyDescent="0.3">
      <c r="A8" s="2">
        <v>306960511540</v>
      </c>
      <c r="B8" s="3" t="s">
        <v>12</v>
      </c>
      <c r="C8" s="4" t="s">
        <v>11</v>
      </c>
      <c r="D8" s="5" t="s">
        <v>13</v>
      </c>
      <c r="E8" s="5"/>
      <c r="F8" s="31">
        <v>5.6680000000000001E-2</v>
      </c>
      <c r="G8" s="6">
        <v>5.7930288000000001</v>
      </c>
      <c r="H8" s="6"/>
      <c r="I8" s="13"/>
      <c r="J8" s="6">
        <f t="shared" si="0"/>
        <v>0</v>
      </c>
      <c r="M8" s="24" t="str">
        <f t="shared" si="1"/>
        <v>-</v>
      </c>
      <c r="N8" s="24" t="str">
        <f t="shared" si="2"/>
        <v>-</v>
      </c>
      <c r="O8" s="25" t="str">
        <f t="shared" si="3"/>
        <v>-</v>
      </c>
      <c r="P8" s="26" t="str">
        <f t="shared" si="4"/>
        <v>-</v>
      </c>
      <c r="R8" s="26" t="str">
        <f t="shared" si="5"/>
        <v>-</v>
      </c>
    </row>
    <row r="9" spans="1:18" x14ac:dyDescent="0.3">
      <c r="A9" s="2">
        <v>306962747244</v>
      </c>
      <c r="B9" s="3" t="s">
        <v>14</v>
      </c>
      <c r="C9" s="4" t="s">
        <v>15</v>
      </c>
      <c r="D9" s="5" t="s">
        <v>16</v>
      </c>
      <c r="E9" s="5"/>
      <c r="F9" s="31">
        <v>0.11</v>
      </c>
      <c r="G9" s="6">
        <v>11.608864799999999</v>
      </c>
      <c r="H9" s="6"/>
      <c r="I9" s="13"/>
      <c r="J9" s="6">
        <f t="shared" si="0"/>
        <v>0</v>
      </c>
      <c r="M9" s="24" t="str">
        <f t="shared" si="1"/>
        <v>-</v>
      </c>
      <c r="N9" s="24" t="str">
        <f t="shared" si="2"/>
        <v>-</v>
      </c>
      <c r="O9" s="25" t="str">
        <f t="shared" si="3"/>
        <v>-</v>
      </c>
      <c r="P9" s="26" t="str">
        <f t="shared" si="4"/>
        <v>-</v>
      </c>
      <c r="R9" s="26" t="str">
        <f t="shared" si="5"/>
        <v>-</v>
      </c>
    </row>
    <row r="10" spans="1:18" x14ac:dyDescent="0.3">
      <c r="A10" s="2">
        <v>306960229506</v>
      </c>
      <c r="B10" s="3" t="s">
        <v>17</v>
      </c>
      <c r="C10" s="4" t="s">
        <v>18</v>
      </c>
      <c r="D10" s="5" t="s">
        <v>19</v>
      </c>
      <c r="E10" s="5"/>
      <c r="F10" s="31">
        <v>3.5424999999999998E-2</v>
      </c>
      <c r="G10" s="6">
        <v>5.7930288000000001</v>
      </c>
      <c r="H10" s="6"/>
      <c r="I10" s="13"/>
      <c r="J10" s="6">
        <f t="shared" si="0"/>
        <v>0</v>
      </c>
      <c r="M10" s="24" t="str">
        <f t="shared" si="1"/>
        <v>-</v>
      </c>
      <c r="N10" s="24" t="str">
        <f t="shared" si="2"/>
        <v>-</v>
      </c>
      <c r="O10" s="25" t="str">
        <f t="shared" si="3"/>
        <v>-</v>
      </c>
      <c r="P10" s="26" t="str">
        <f t="shared" si="4"/>
        <v>-</v>
      </c>
      <c r="R10" s="26" t="str">
        <f t="shared" si="5"/>
        <v>-</v>
      </c>
    </row>
    <row r="11" spans="1:18" x14ac:dyDescent="0.3">
      <c r="A11" s="2">
        <v>306969059043</v>
      </c>
      <c r="B11" s="3" t="s">
        <v>20</v>
      </c>
      <c r="C11" s="4" t="s">
        <v>21</v>
      </c>
      <c r="D11" s="5" t="s">
        <v>2</v>
      </c>
      <c r="E11" s="5"/>
      <c r="F11" s="31">
        <v>0.05</v>
      </c>
      <c r="G11" s="6">
        <v>9.065862000000001</v>
      </c>
      <c r="H11" s="6"/>
      <c r="I11" s="13"/>
      <c r="J11" s="6">
        <f t="shared" si="0"/>
        <v>0</v>
      </c>
      <c r="M11" s="24" t="str">
        <f t="shared" si="1"/>
        <v>-</v>
      </c>
      <c r="N11" s="24" t="str">
        <f t="shared" si="2"/>
        <v>-</v>
      </c>
      <c r="O11" s="25" t="str">
        <f t="shared" si="3"/>
        <v>-</v>
      </c>
      <c r="P11" s="26" t="str">
        <f t="shared" si="4"/>
        <v>-</v>
      </c>
      <c r="R11" s="26" t="str">
        <f t="shared" si="5"/>
        <v>-</v>
      </c>
    </row>
    <row r="12" spans="1:18" x14ac:dyDescent="0.3">
      <c r="A12" s="2">
        <v>306969044049</v>
      </c>
      <c r="B12" s="3" t="s">
        <v>22</v>
      </c>
      <c r="C12" s="4" t="s">
        <v>23</v>
      </c>
      <c r="D12" s="5" t="s">
        <v>2</v>
      </c>
      <c r="E12" s="5"/>
      <c r="F12" s="31">
        <v>0.05</v>
      </c>
      <c r="G12" s="6">
        <v>9.065862000000001</v>
      </c>
      <c r="H12" s="6"/>
      <c r="I12" s="13"/>
      <c r="J12" s="6">
        <f t="shared" si="0"/>
        <v>0</v>
      </c>
      <c r="M12" s="24" t="str">
        <f t="shared" si="1"/>
        <v>-</v>
      </c>
      <c r="N12" s="24" t="str">
        <f t="shared" si="2"/>
        <v>-</v>
      </c>
      <c r="O12" s="25" t="str">
        <f t="shared" si="3"/>
        <v>-</v>
      </c>
      <c r="P12" s="26" t="str">
        <f t="shared" si="4"/>
        <v>-</v>
      </c>
      <c r="R12" s="26" t="str">
        <f t="shared" si="5"/>
        <v>-</v>
      </c>
    </row>
    <row r="13" spans="1:18" x14ac:dyDescent="0.3">
      <c r="A13" s="2">
        <v>306969077634</v>
      </c>
      <c r="B13" s="3" t="s">
        <v>24</v>
      </c>
      <c r="C13" s="4" t="s">
        <v>25</v>
      </c>
      <c r="D13" s="5" t="s">
        <v>9</v>
      </c>
      <c r="E13" s="5"/>
      <c r="F13" s="31">
        <v>0.09</v>
      </c>
      <c r="G13" s="6">
        <v>13.547476800000002</v>
      </c>
      <c r="H13" s="6"/>
      <c r="I13" s="13"/>
      <c r="J13" s="6">
        <f t="shared" si="0"/>
        <v>0</v>
      </c>
      <c r="M13" s="24" t="str">
        <f t="shared" si="1"/>
        <v>-</v>
      </c>
      <c r="N13" s="24" t="str">
        <f t="shared" si="2"/>
        <v>-</v>
      </c>
      <c r="O13" s="25" t="str">
        <f t="shared" si="3"/>
        <v>-</v>
      </c>
      <c r="P13" s="26" t="str">
        <f t="shared" si="4"/>
        <v>-</v>
      </c>
      <c r="R13" s="26" t="str">
        <f t="shared" si="5"/>
        <v>-</v>
      </c>
    </row>
    <row r="14" spans="1:18" x14ac:dyDescent="0.3">
      <c r="A14" s="2">
        <v>306969084540</v>
      </c>
      <c r="B14" s="3" t="s">
        <v>26</v>
      </c>
      <c r="C14" s="4" t="s">
        <v>27</v>
      </c>
      <c r="D14" s="5" t="s">
        <v>13</v>
      </c>
      <c r="E14" s="5"/>
      <c r="F14" s="31">
        <v>7.0000000000000007E-2</v>
      </c>
      <c r="G14" s="6">
        <v>5.7930288000000001</v>
      </c>
      <c r="H14" s="6"/>
      <c r="I14" s="13"/>
      <c r="J14" s="6">
        <f t="shared" si="0"/>
        <v>0</v>
      </c>
      <c r="M14" s="24" t="str">
        <f t="shared" si="1"/>
        <v>-</v>
      </c>
      <c r="N14" s="24" t="str">
        <f t="shared" si="2"/>
        <v>-</v>
      </c>
      <c r="O14" s="25" t="str">
        <f t="shared" si="3"/>
        <v>-</v>
      </c>
      <c r="P14" s="26" t="str">
        <f t="shared" si="4"/>
        <v>-</v>
      </c>
      <c r="R14" s="26" t="str">
        <f t="shared" si="5"/>
        <v>-</v>
      </c>
    </row>
    <row r="15" spans="1:18" x14ac:dyDescent="0.3">
      <c r="A15" s="2">
        <v>306969047781</v>
      </c>
      <c r="B15" s="3" t="s">
        <v>28</v>
      </c>
      <c r="C15" s="4" t="s">
        <v>29</v>
      </c>
      <c r="D15" s="5" t="s">
        <v>9</v>
      </c>
      <c r="E15" s="5"/>
      <c r="F15" s="31">
        <v>0.09</v>
      </c>
      <c r="G15" s="6">
        <v>11.608864799999999</v>
      </c>
      <c r="H15" s="6"/>
      <c r="I15" s="13"/>
      <c r="J15" s="6">
        <f t="shared" si="0"/>
        <v>0</v>
      </c>
      <c r="M15" s="24" t="str">
        <f t="shared" si="1"/>
        <v>-</v>
      </c>
      <c r="N15" s="24" t="str">
        <f t="shared" si="2"/>
        <v>-</v>
      </c>
      <c r="O15" s="25" t="str">
        <f t="shared" si="3"/>
        <v>-</v>
      </c>
      <c r="P15" s="26" t="str">
        <f t="shared" si="4"/>
        <v>-</v>
      </c>
      <c r="R15" s="26" t="str">
        <f t="shared" si="5"/>
        <v>-</v>
      </c>
    </row>
    <row r="16" spans="1:18" x14ac:dyDescent="0.3">
      <c r="A16" s="2">
        <v>306969022825</v>
      </c>
      <c r="B16" s="3" t="s">
        <v>30</v>
      </c>
      <c r="C16" s="4" t="s">
        <v>31</v>
      </c>
      <c r="D16" s="5" t="s">
        <v>32</v>
      </c>
      <c r="E16" s="5"/>
      <c r="F16" s="31">
        <v>0.16</v>
      </c>
      <c r="G16" s="6">
        <v>13.444844399999999</v>
      </c>
      <c r="H16" s="6"/>
      <c r="I16" s="13"/>
      <c r="J16" s="6">
        <f t="shared" si="0"/>
        <v>0</v>
      </c>
      <c r="M16" s="24" t="str">
        <f t="shared" si="1"/>
        <v>-</v>
      </c>
      <c r="N16" s="24" t="str">
        <f t="shared" si="2"/>
        <v>-</v>
      </c>
      <c r="O16" s="25" t="str">
        <f t="shared" si="3"/>
        <v>-</v>
      </c>
      <c r="P16" s="26" t="str">
        <f t="shared" si="4"/>
        <v>-</v>
      </c>
      <c r="R16" s="26" t="str">
        <f t="shared" si="5"/>
        <v>-</v>
      </c>
    </row>
    <row r="17" spans="1:18" x14ac:dyDescent="0.3">
      <c r="A17" s="2">
        <v>306969000571</v>
      </c>
      <c r="B17" s="3" t="s">
        <v>33</v>
      </c>
      <c r="C17" s="4" t="s">
        <v>34</v>
      </c>
      <c r="D17" s="5" t="s">
        <v>35</v>
      </c>
      <c r="E17" s="5"/>
      <c r="F17" s="31">
        <v>0.15</v>
      </c>
      <c r="G17" s="6">
        <v>13.444844399999999</v>
      </c>
      <c r="H17" s="6"/>
      <c r="I17" s="13"/>
      <c r="J17" s="6">
        <f t="shared" si="0"/>
        <v>0</v>
      </c>
      <c r="M17" s="24" t="str">
        <f t="shared" si="1"/>
        <v>-</v>
      </c>
      <c r="N17" s="24" t="str">
        <f t="shared" si="2"/>
        <v>-</v>
      </c>
      <c r="O17" s="25" t="str">
        <f t="shared" si="3"/>
        <v>-</v>
      </c>
      <c r="P17" s="26" t="str">
        <f t="shared" si="4"/>
        <v>-</v>
      </c>
      <c r="R17" s="26" t="str">
        <f t="shared" si="5"/>
        <v>-</v>
      </c>
    </row>
    <row r="18" spans="1:18" x14ac:dyDescent="0.3">
      <c r="A18" s="2">
        <v>306969073902</v>
      </c>
      <c r="B18" s="3" t="s">
        <v>36</v>
      </c>
      <c r="C18" s="4" t="s">
        <v>37</v>
      </c>
      <c r="D18" s="5" t="s">
        <v>38</v>
      </c>
      <c r="E18" s="5"/>
      <c r="F18" s="31">
        <v>0.09</v>
      </c>
      <c r="G18" s="6">
        <v>8.8948079999999994</v>
      </c>
      <c r="H18" s="6"/>
      <c r="I18" s="13"/>
      <c r="J18" s="6">
        <f t="shared" si="0"/>
        <v>0</v>
      </c>
      <c r="M18" s="24" t="str">
        <f t="shared" si="1"/>
        <v>-</v>
      </c>
      <c r="N18" s="24" t="str">
        <f t="shared" si="2"/>
        <v>-</v>
      </c>
      <c r="O18" s="25" t="str">
        <f t="shared" si="3"/>
        <v>-</v>
      </c>
      <c r="P18" s="26" t="str">
        <f t="shared" si="4"/>
        <v>-</v>
      </c>
      <c r="R18" s="26" t="str">
        <f t="shared" si="5"/>
        <v>-</v>
      </c>
    </row>
    <row r="19" spans="1:18" x14ac:dyDescent="0.3">
      <c r="A19" s="2">
        <v>306962036003</v>
      </c>
      <c r="B19" s="3" t="s">
        <v>39</v>
      </c>
      <c r="C19" s="4" t="s">
        <v>40</v>
      </c>
      <c r="D19" s="5" t="s">
        <v>13</v>
      </c>
      <c r="E19" s="5"/>
      <c r="F19" s="31">
        <v>5.6680000000000001E-2</v>
      </c>
      <c r="G19" s="6">
        <v>7.252689600000001</v>
      </c>
      <c r="H19" s="6"/>
      <c r="I19" s="13"/>
      <c r="J19" s="6">
        <f t="shared" si="0"/>
        <v>0</v>
      </c>
      <c r="M19" s="24" t="str">
        <f t="shared" si="1"/>
        <v>-</v>
      </c>
      <c r="N19" s="24" t="str">
        <f t="shared" si="2"/>
        <v>-</v>
      </c>
      <c r="O19" s="25" t="str">
        <f t="shared" si="3"/>
        <v>-</v>
      </c>
      <c r="P19" s="26" t="str">
        <f t="shared" si="4"/>
        <v>-</v>
      </c>
      <c r="R19" s="26" t="str">
        <f t="shared" si="5"/>
        <v>-</v>
      </c>
    </row>
    <row r="20" spans="1:18" x14ac:dyDescent="0.3">
      <c r="A20" s="2">
        <v>306962037000</v>
      </c>
      <c r="B20" s="3" t="s">
        <v>41</v>
      </c>
      <c r="C20" s="4" t="s">
        <v>42</v>
      </c>
      <c r="D20" s="5" t="s">
        <v>43</v>
      </c>
      <c r="E20" s="5"/>
      <c r="F20" s="31">
        <v>8.5019999999999998E-2</v>
      </c>
      <c r="G20" s="6">
        <v>9.6702528000000001</v>
      </c>
      <c r="H20" s="6"/>
      <c r="I20" s="13"/>
      <c r="J20" s="6">
        <f t="shared" si="0"/>
        <v>0</v>
      </c>
      <c r="M20" s="24" t="str">
        <f t="shared" si="1"/>
        <v>-</v>
      </c>
      <c r="N20" s="24" t="str">
        <f t="shared" si="2"/>
        <v>-</v>
      </c>
      <c r="O20" s="25" t="str">
        <f t="shared" si="3"/>
        <v>-</v>
      </c>
      <c r="P20" s="26" t="str">
        <f t="shared" si="4"/>
        <v>-</v>
      </c>
      <c r="R20" s="26" t="str">
        <f t="shared" si="5"/>
        <v>-</v>
      </c>
    </row>
    <row r="21" spans="1:18" x14ac:dyDescent="0.3">
      <c r="A21" s="2">
        <v>306969086506</v>
      </c>
      <c r="B21" s="3" t="s">
        <v>44</v>
      </c>
      <c r="C21" s="4" t="s">
        <v>45</v>
      </c>
      <c r="D21" s="5" t="s">
        <v>19</v>
      </c>
      <c r="E21" s="5"/>
      <c r="F21" s="31">
        <v>0.05</v>
      </c>
      <c r="G21" s="6">
        <v>6.0325043999999997</v>
      </c>
      <c r="H21" s="6"/>
      <c r="I21" s="13"/>
      <c r="J21" s="6">
        <f t="shared" si="0"/>
        <v>0</v>
      </c>
      <c r="M21" s="24" t="str">
        <f t="shared" si="1"/>
        <v>-</v>
      </c>
      <c r="N21" s="24" t="str">
        <f t="shared" si="2"/>
        <v>-</v>
      </c>
      <c r="O21" s="25" t="str">
        <f t="shared" si="3"/>
        <v>-</v>
      </c>
      <c r="P21" s="26" t="str">
        <f t="shared" si="4"/>
        <v>-</v>
      </c>
      <c r="R21" s="26" t="str">
        <f t="shared" si="5"/>
        <v>-</v>
      </c>
    </row>
    <row r="22" spans="1:18" x14ac:dyDescent="0.3">
      <c r="A22" s="2">
        <v>306962043568</v>
      </c>
      <c r="B22" s="3" t="s">
        <v>46</v>
      </c>
      <c r="C22" s="4" t="s">
        <v>47</v>
      </c>
      <c r="D22" s="5" t="s">
        <v>9</v>
      </c>
      <c r="E22" s="5"/>
      <c r="F22" s="31">
        <v>8.5019999999999998E-2</v>
      </c>
      <c r="G22" s="6">
        <v>9.5106023999999998</v>
      </c>
      <c r="H22" s="6"/>
      <c r="I22" s="13"/>
      <c r="J22" s="6">
        <f t="shared" si="0"/>
        <v>0</v>
      </c>
      <c r="M22" s="24" t="str">
        <f t="shared" si="1"/>
        <v>-</v>
      </c>
      <c r="N22" s="24" t="str">
        <f t="shared" si="2"/>
        <v>-</v>
      </c>
      <c r="O22" s="25" t="str">
        <f t="shared" si="3"/>
        <v>-</v>
      </c>
      <c r="P22" s="26" t="str">
        <f t="shared" si="4"/>
        <v>-</v>
      </c>
      <c r="R22" s="26" t="str">
        <f t="shared" si="5"/>
        <v>-</v>
      </c>
    </row>
    <row r="23" spans="1:18" x14ac:dyDescent="0.3">
      <c r="A23" s="2">
        <v>306961105540</v>
      </c>
      <c r="B23" s="3" t="s">
        <v>48</v>
      </c>
      <c r="C23" s="4" t="s">
        <v>49</v>
      </c>
      <c r="D23" s="5" t="s">
        <v>13</v>
      </c>
      <c r="E23" s="5"/>
      <c r="F23" s="31">
        <v>5.6680000000000001E-2</v>
      </c>
      <c r="G23" s="6">
        <v>6.0325043999999997</v>
      </c>
      <c r="H23" s="6"/>
      <c r="I23" s="13"/>
      <c r="J23" s="6">
        <f t="shared" si="0"/>
        <v>0</v>
      </c>
      <c r="M23" s="24" t="str">
        <f t="shared" si="1"/>
        <v>-</v>
      </c>
      <c r="N23" s="24" t="str">
        <f t="shared" si="2"/>
        <v>-</v>
      </c>
      <c r="O23" s="25" t="str">
        <f t="shared" si="3"/>
        <v>-</v>
      </c>
      <c r="P23" s="26" t="str">
        <f t="shared" si="4"/>
        <v>-</v>
      </c>
      <c r="R23" s="26" t="str">
        <f t="shared" si="5"/>
        <v>-</v>
      </c>
    </row>
    <row r="24" spans="1:18" x14ac:dyDescent="0.3">
      <c r="A24" s="2">
        <v>306962046590</v>
      </c>
      <c r="B24" s="3" t="s">
        <v>50</v>
      </c>
      <c r="C24" s="4" t="s">
        <v>49</v>
      </c>
      <c r="D24" s="5" t="s">
        <v>9</v>
      </c>
      <c r="E24" s="5"/>
      <c r="F24" s="31">
        <v>7.0000000000000007E-2</v>
      </c>
      <c r="G24" s="6">
        <v>9.5106023999999998</v>
      </c>
      <c r="H24" s="6"/>
      <c r="I24" s="13"/>
      <c r="J24" s="6">
        <f t="shared" si="0"/>
        <v>0</v>
      </c>
      <c r="M24" s="24" t="str">
        <f t="shared" si="1"/>
        <v>-</v>
      </c>
      <c r="N24" s="24" t="str">
        <f t="shared" si="2"/>
        <v>-</v>
      </c>
      <c r="O24" s="25" t="str">
        <f t="shared" si="3"/>
        <v>-</v>
      </c>
      <c r="P24" s="26" t="str">
        <f t="shared" si="4"/>
        <v>-</v>
      </c>
      <c r="R24" s="26" t="str">
        <f t="shared" si="5"/>
        <v>-</v>
      </c>
    </row>
    <row r="25" spans="1:18" x14ac:dyDescent="0.3">
      <c r="A25" s="2">
        <v>306962052508</v>
      </c>
      <c r="B25" s="3" t="s">
        <v>51</v>
      </c>
      <c r="C25" s="4" t="s">
        <v>52</v>
      </c>
      <c r="D25" s="5" t="s">
        <v>19</v>
      </c>
      <c r="E25" s="5"/>
      <c r="F25" s="31">
        <v>0.05</v>
      </c>
      <c r="G25" s="6">
        <v>6.0325043999999997</v>
      </c>
      <c r="H25" s="6"/>
      <c r="I25" s="13"/>
      <c r="J25" s="6">
        <f t="shared" si="0"/>
        <v>0</v>
      </c>
      <c r="M25" s="24" t="str">
        <f t="shared" si="1"/>
        <v>-</v>
      </c>
      <c r="N25" s="24" t="str">
        <f t="shared" si="2"/>
        <v>-</v>
      </c>
      <c r="O25" s="25" t="str">
        <f t="shared" si="3"/>
        <v>-</v>
      </c>
      <c r="P25" s="26" t="str">
        <f t="shared" si="4"/>
        <v>-</v>
      </c>
      <c r="R25" s="26" t="str">
        <f t="shared" si="5"/>
        <v>-</v>
      </c>
    </row>
    <row r="26" spans="1:18" x14ac:dyDescent="0.3">
      <c r="A26" s="2">
        <v>306969054093</v>
      </c>
      <c r="B26" s="3" t="s">
        <v>53</v>
      </c>
      <c r="C26" s="4" t="s">
        <v>54</v>
      </c>
      <c r="D26" s="5" t="s">
        <v>55</v>
      </c>
      <c r="E26" s="5"/>
      <c r="F26" s="31">
        <v>0.12</v>
      </c>
      <c r="G26" s="6">
        <v>10.593944399999998</v>
      </c>
      <c r="H26" s="6"/>
      <c r="I26" s="13"/>
      <c r="J26" s="6">
        <f t="shared" si="0"/>
        <v>0</v>
      </c>
      <c r="M26" s="24" t="str">
        <f t="shared" si="1"/>
        <v>-</v>
      </c>
      <c r="N26" s="24" t="str">
        <f t="shared" si="2"/>
        <v>-</v>
      </c>
      <c r="O26" s="25" t="str">
        <f t="shared" si="3"/>
        <v>-</v>
      </c>
      <c r="P26" s="26" t="str">
        <f t="shared" si="4"/>
        <v>-</v>
      </c>
      <c r="R26" s="26" t="str">
        <f t="shared" si="5"/>
        <v>-</v>
      </c>
    </row>
    <row r="27" spans="1:18" x14ac:dyDescent="0.3">
      <c r="A27" s="2">
        <v>306969067284</v>
      </c>
      <c r="B27" s="3" t="s">
        <v>56</v>
      </c>
      <c r="C27" s="4" t="s">
        <v>57</v>
      </c>
      <c r="D27" s="5" t="s">
        <v>58</v>
      </c>
      <c r="E27" s="5"/>
      <c r="F27" s="31">
        <v>0.41</v>
      </c>
      <c r="G27" s="6">
        <v>8.8834043999999999</v>
      </c>
      <c r="H27" s="6"/>
      <c r="I27" s="13"/>
      <c r="J27" s="6">
        <f t="shared" si="0"/>
        <v>0</v>
      </c>
      <c r="M27" s="24" t="str">
        <f t="shared" si="1"/>
        <v>-</v>
      </c>
      <c r="N27" s="24" t="str">
        <f t="shared" si="2"/>
        <v>-</v>
      </c>
      <c r="O27" s="25" t="str">
        <f t="shared" si="3"/>
        <v>-</v>
      </c>
      <c r="P27" s="26" t="str">
        <f t="shared" si="4"/>
        <v>-</v>
      </c>
      <c r="R27" s="26" t="str">
        <f t="shared" si="5"/>
        <v>-</v>
      </c>
    </row>
    <row r="28" spans="1:18" x14ac:dyDescent="0.3">
      <c r="A28" s="2">
        <v>306969032282</v>
      </c>
      <c r="B28" s="3" t="s">
        <v>59</v>
      </c>
      <c r="C28" s="4" t="s">
        <v>60</v>
      </c>
      <c r="D28" s="5" t="s">
        <v>58</v>
      </c>
      <c r="E28" s="5"/>
      <c r="F28" s="31">
        <v>0.39</v>
      </c>
      <c r="G28" s="6">
        <v>8.8834043999999999</v>
      </c>
      <c r="H28" s="6"/>
      <c r="I28" s="13"/>
      <c r="J28" s="6">
        <f t="shared" si="0"/>
        <v>0</v>
      </c>
      <c r="M28" s="24" t="str">
        <f t="shared" si="1"/>
        <v>-</v>
      </c>
      <c r="N28" s="24" t="str">
        <f t="shared" si="2"/>
        <v>-</v>
      </c>
      <c r="O28" s="25" t="str">
        <f t="shared" si="3"/>
        <v>-</v>
      </c>
      <c r="P28" s="26" t="str">
        <f t="shared" si="4"/>
        <v>-</v>
      </c>
      <c r="R28" s="26" t="str">
        <f t="shared" si="5"/>
        <v>-</v>
      </c>
    </row>
    <row r="29" spans="1:18" x14ac:dyDescent="0.3">
      <c r="A29" s="2">
        <v>306969033289</v>
      </c>
      <c r="B29" s="3" t="s">
        <v>61</v>
      </c>
      <c r="C29" s="4" t="s">
        <v>62</v>
      </c>
      <c r="D29" s="5" t="s">
        <v>58</v>
      </c>
      <c r="E29" s="5"/>
      <c r="F29" s="31">
        <v>0.39</v>
      </c>
      <c r="G29" s="6">
        <v>8.8834043999999999</v>
      </c>
      <c r="H29" s="6"/>
      <c r="I29" s="13"/>
      <c r="J29" s="6">
        <f t="shared" si="0"/>
        <v>0</v>
      </c>
      <c r="M29" s="24" t="str">
        <f t="shared" si="1"/>
        <v>-</v>
      </c>
      <c r="N29" s="24" t="str">
        <f t="shared" si="2"/>
        <v>-</v>
      </c>
      <c r="O29" s="25" t="str">
        <f t="shared" si="3"/>
        <v>-</v>
      </c>
      <c r="P29" s="26" t="str">
        <f t="shared" si="4"/>
        <v>-</v>
      </c>
      <c r="R29" s="26" t="str">
        <f t="shared" si="5"/>
        <v>-</v>
      </c>
    </row>
    <row r="30" spans="1:18" x14ac:dyDescent="0.3">
      <c r="A30" s="2">
        <v>306969066423</v>
      </c>
      <c r="B30" s="3" t="s">
        <v>63</v>
      </c>
      <c r="C30" s="4" t="s">
        <v>64</v>
      </c>
      <c r="D30" s="5" t="s">
        <v>65</v>
      </c>
      <c r="E30" s="5"/>
      <c r="F30" s="31">
        <v>0.06</v>
      </c>
      <c r="G30" s="6">
        <v>10.867630799999999</v>
      </c>
      <c r="H30" s="6"/>
      <c r="I30" s="13"/>
      <c r="J30" s="6">
        <f t="shared" si="0"/>
        <v>0</v>
      </c>
      <c r="M30" s="24" t="str">
        <f t="shared" si="1"/>
        <v>-</v>
      </c>
      <c r="N30" s="24" t="str">
        <f t="shared" si="2"/>
        <v>-</v>
      </c>
      <c r="O30" s="25" t="str">
        <f t="shared" si="3"/>
        <v>-</v>
      </c>
      <c r="P30" s="26" t="str">
        <f t="shared" si="4"/>
        <v>-</v>
      </c>
      <c r="R30" s="26" t="str">
        <f t="shared" si="5"/>
        <v>-</v>
      </c>
    </row>
    <row r="31" spans="1:18" x14ac:dyDescent="0.3">
      <c r="A31" s="2">
        <v>306969068281</v>
      </c>
      <c r="B31" s="3" t="s">
        <v>66</v>
      </c>
      <c r="C31" s="4" t="s">
        <v>67</v>
      </c>
      <c r="D31" s="5" t="s">
        <v>58</v>
      </c>
      <c r="E31" s="5"/>
      <c r="F31" s="31">
        <v>0.39</v>
      </c>
      <c r="G31" s="6">
        <v>8.8834043999999999</v>
      </c>
      <c r="H31" s="6"/>
      <c r="I31" s="13"/>
      <c r="J31" s="6">
        <f t="shared" si="0"/>
        <v>0</v>
      </c>
      <c r="M31" s="24" t="str">
        <f t="shared" si="1"/>
        <v>-</v>
      </c>
      <c r="N31" s="24" t="str">
        <f t="shared" si="2"/>
        <v>-</v>
      </c>
      <c r="O31" s="25" t="str">
        <f t="shared" si="3"/>
        <v>-</v>
      </c>
      <c r="P31" s="26" t="str">
        <f t="shared" si="4"/>
        <v>-</v>
      </c>
      <c r="R31" s="26" t="str">
        <f t="shared" si="5"/>
        <v>-</v>
      </c>
    </row>
    <row r="32" spans="1:18" x14ac:dyDescent="0.3">
      <c r="A32" s="2">
        <v>306969049426</v>
      </c>
      <c r="B32" s="3" t="s">
        <v>68</v>
      </c>
      <c r="C32" s="4" t="s">
        <v>69</v>
      </c>
      <c r="D32" s="5" t="s">
        <v>70</v>
      </c>
      <c r="E32" s="5"/>
      <c r="F32" s="31">
        <v>0.06</v>
      </c>
      <c r="G32" s="6">
        <v>10.867630799999999</v>
      </c>
      <c r="H32" s="6"/>
      <c r="I32" s="13"/>
      <c r="J32" s="6">
        <f t="shared" si="0"/>
        <v>0</v>
      </c>
      <c r="M32" s="24" t="str">
        <f t="shared" si="1"/>
        <v>-</v>
      </c>
      <c r="N32" s="24" t="str">
        <f t="shared" si="2"/>
        <v>-</v>
      </c>
      <c r="O32" s="25" t="str">
        <f t="shared" si="3"/>
        <v>-</v>
      </c>
      <c r="P32" s="26" t="str">
        <f t="shared" si="4"/>
        <v>-</v>
      </c>
      <c r="R32" s="26" t="str">
        <f t="shared" si="5"/>
        <v>-</v>
      </c>
    </row>
    <row r="33" spans="1:18" x14ac:dyDescent="0.3">
      <c r="A33" s="2">
        <v>306969057094</v>
      </c>
      <c r="B33" s="3" t="s">
        <v>71</v>
      </c>
      <c r="C33" s="4" t="s">
        <v>72</v>
      </c>
      <c r="D33" s="5" t="s">
        <v>55</v>
      </c>
      <c r="E33" s="5"/>
      <c r="F33" s="31">
        <v>0.11</v>
      </c>
      <c r="G33" s="6">
        <v>10.593944399999998</v>
      </c>
      <c r="H33" s="6"/>
      <c r="I33" s="13"/>
      <c r="J33" s="6">
        <f t="shared" si="0"/>
        <v>0</v>
      </c>
      <c r="M33" s="24" t="str">
        <f t="shared" si="1"/>
        <v>-</v>
      </c>
      <c r="N33" s="24" t="str">
        <f t="shared" si="2"/>
        <v>-</v>
      </c>
      <c r="O33" s="25" t="str">
        <f t="shared" si="3"/>
        <v>-</v>
      </c>
      <c r="P33" s="26" t="str">
        <f t="shared" si="4"/>
        <v>-</v>
      </c>
      <c r="R33" s="26" t="str">
        <f t="shared" si="5"/>
        <v>-</v>
      </c>
    </row>
    <row r="34" spans="1:18" x14ac:dyDescent="0.3">
      <c r="A34" s="2">
        <v>306962607609</v>
      </c>
      <c r="B34" s="3" t="s">
        <v>73</v>
      </c>
      <c r="C34" s="4" t="s">
        <v>74</v>
      </c>
      <c r="D34" s="5" t="s">
        <v>2</v>
      </c>
      <c r="E34" s="5"/>
      <c r="F34" s="31">
        <v>0.05</v>
      </c>
      <c r="G34" s="6">
        <v>9.065862000000001</v>
      </c>
      <c r="H34" s="6"/>
      <c r="I34" s="13"/>
      <c r="J34" s="6">
        <f t="shared" si="0"/>
        <v>0</v>
      </c>
      <c r="M34" s="24" t="str">
        <f t="shared" si="1"/>
        <v>-</v>
      </c>
      <c r="N34" s="24" t="str">
        <f t="shared" si="2"/>
        <v>-</v>
      </c>
      <c r="O34" s="25" t="str">
        <f t="shared" si="3"/>
        <v>-</v>
      </c>
      <c r="P34" s="26" t="str">
        <f t="shared" si="4"/>
        <v>-</v>
      </c>
      <c r="R34" s="26" t="str">
        <f t="shared" si="5"/>
        <v>-</v>
      </c>
    </row>
    <row r="35" spans="1:18" x14ac:dyDescent="0.3">
      <c r="A35" s="2">
        <v>306969098424</v>
      </c>
      <c r="B35" s="3" t="s">
        <v>75</v>
      </c>
      <c r="C35" s="4" t="s">
        <v>76</v>
      </c>
      <c r="D35" s="5" t="s">
        <v>65</v>
      </c>
      <c r="E35" s="5"/>
      <c r="F35" s="31">
        <v>8.5019999999999998E-2</v>
      </c>
      <c r="G35" s="6">
        <v>8.8948079999999994</v>
      </c>
      <c r="H35" s="6"/>
      <c r="I35" s="13"/>
      <c r="J35" s="6">
        <f t="shared" ref="J35:J66" si="6">G35*I35</f>
        <v>0</v>
      </c>
      <c r="M35" s="24" t="str">
        <f t="shared" si="1"/>
        <v>-</v>
      </c>
      <c r="N35" s="24" t="str">
        <f t="shared" si="2"/>
        <v>-</v>
      </c>
      <c r="O35" s="25" t="str">
        <f t="shared" si="3"/>
        <v>-</v>
      </c>
      <c r="P35" s="26" t="str">
        <f t="shared" si="4"/>
        <v>-</v>
      </c>
      <c r="R35" s="26" t="str">
        <f t="shared" si="5"/>
        <v>-</v>
      </c>
    </row>
    <row r="36" spans="1:18" x14ac:dyDescent="0.3">
      <c r="A36" s="2">
        <v>306969078044</v>
      </c>
      <c r="B36" s="3" t="s">
        <v>77</v>
      </c>
      <c r="C36" s="4" t="s">
        <v>78</v>
      </c>
      <c r="D36" s="5" t="s">
        <v>2</v>
      </c>
      <c r="E36" s="5"/>
      <c r="F36" s="31">
        <v>0.05</v>
      </c>
      <c r="G36" s="6">
        <v>9.065862000000001</v>
      </c>
      <c r="H36" s="6"/>
      <c r="I36" s="13"/>
      <c r="J36" s="6">
        <f t="shared" si="6"/>
        <v>0</v>
      </c>
      <c r="M36" s="24" t="str">
        <f t="shared" si="1"/>
        <v>-</v>
      </c>
      <c r="N36" s="24" t="str">
        <f t="shared" si="2"/>
        <v>-</v>
      </c>
      <c r="O36" s="25" t="str">
        <f t="shared" si="3"/>
        <v>-</v>
      </c>
      <c r="P36" s="26" t="str">
        <f t="shared" si="4"/>
        <v>-</v>
      </c>
      <c r="R36" s="26" t="str">
        <f t="shared" si="5"/>
        <v>-</v>
      </c>
    </row>
    <row r="37" spans="1:18" x14ac:dyDescent="0.3">
      <c r="A37" s="2">
        <v>306969082041</v>
      </c>
      <c r="B37" s="3" t="s">
        <v>79</v>
      </c>
      <c r="C37" s="4" t="s">
        <v>80</v>
      </c>
      <c r="D37" s="5" t="s">
        <v>2</v>
      </c>
      <c r="E37" s="5"/>
      <c r="F37" s="31">
        <v>0.05</v>
      </c>
      <c r="G37" s="6">
        <v>9.065862000000001</v>
      </c>
      <c r="H37" s="6"/>
      <c r="I37" s="13"/>
      <c r="J37" s="6">
        <f t="shared" si="6"/>
        <v>0</v>
      </c>
      <c r="M37" s="24" t="str">
        <f t="shared" si="1"/>
        <v>-</v>
      </c>
      <c r="N37" s="24" t="str">
        <f t="shared" si="2"/>
        <v>-</v>
      </c>
      <c r="O37" s="25" t="str">
        <f t="shared" si="3"/>
        <v>-</v>
      </c>
      <c r="P37" s="26" t="str">
        <f t="shared" si="4"/>
        <v>-</v>
      </c>
      <c r="R37" s="26" t="str">
        <f t="shared" si="5"/>
        <v>-</v>
      </c>
    </row>
    <row r="38" spans="1:18" x14ac:dyDescent="0.3">
      <c r="A38" s="2">
        <v>306962615604</v>
      </c>
      <c r="B38" s="3" t="s">
        <v>81</v>
      </c>
      <c r="C38" s="4" t="s">
        <v>82</v>
      </c>
      <c r="D38" s="5" t="s">
        <v>2</v>
      </c>
      <c r="E38" s="5"/>
      <c r="F38" s="31">
        <v>0.05</v>
      </c>
      <c r="G38" s="6">
        <v>9.065862000000001</v>
      </c>
      <c r="H38" s="6"/>
      <c r="I38" s="13"/>
      <c r="J38" s="6">
        <f t="shared" si="6"/>
        <v>0</v>
      </c>
      <c r="M38" s="24" t="str">
        <f t="shared" si="1"/>
        <v>-</v>
      </c>
      <c r="N38" s="24" t="str">
        <f t="shared" si="2"/>
        <v>-</v>
      </c>
      <c r="O38" s="25" t="str">
        <f t="shared" si="3"/>
        <v>-</v>
      </c>
      <c r="P38" s="26" t="str">
        <f t="shared" si="4"/>
        <v>-</v>
      </c>
      <c r="R38" s="26" t="str">
        <f t="shared" si="5"/>
        <v>-</v>
      </c>
    </row>
    <row r="39" spans="1:18" x14ac:dyDescent="0.3">
      <c r="A39" s="2">
        <v>306969095041</v>
      </c>
      <c r="B39" s="3" t="s">
        <v>83</v>
      </c>
      <c r="C39" s="4" t="s">
        <v>84</v>
      </c>
      <c r="D39" s="5" t="s">
        <v>2</v>
      </c>
      <c r="E39" s="5"/>
      <c r="F39" s="31">
        <v>0.05</v>
      </c>
      <c r="G39" s="6">
        <v>9.065862000000001</v>
      </c>
      <c r="H39" s="6"/>
      <c r="I39" s="13"/>
      <c r="J39" s="6">
        <f t="shared" si="6"/>
        <v>0</v>
      </c>
      <c r="M39" s="24" t="str">
        <f t="shared" si="1"/>
        <v>-</v>
      </c>
      <c r="N39" s="24" t="str">
        <f t="shared" si="2"/>
        <v>-</v>
      </c>
      <c r="O39" s="25" t="str">
        <f t="shared" si="3"/>
        <v>-</v>
      </c>
      <c r="P39" s="26" t="str">
        <f t="shared" si="4"/>
        <v>-</v>
      </c>
      <c r="R39" s="26" t="str">
        <f t="shared" si="5"/>
        <v>-</v>
      </c>
    </row>
    <row r="40" spans="1:18" x14ac:dyDescent="0.3">
      <c r="A40" s="2">
        <v>306962609603</v>
      </c>
      <c r="B40" s="3" t="s">
        <v>85</v>
      </c>
      <c r="C40" s="4" t="s">
        <v>86</v>
      </c>
      <c r="D40" s="5" t="s">
        <v>2</v>
      </c>
      <c r="E40" s="5"/>
      <c r="F40" s="31">
        <v>0.05</v>
      </c>
      <c r="G40" s="6">
        <v>9.065862000000001</v>
      </c>
      <c r="H40" s="6"/>
      <c r="I40" s="13"/>
      <c r="J40" s="6">
        <f t="shared" si="6"/>
        <v>0</v>
      </c>
      <c r="M40" s="24" t="str">
        <f t="shared" si="1"/>
        <v>-</v>
      </c>
      <c r="N40" s="24" t="str">
        <f t="shared" si="2"/>
        <v>-</v>
      </c>
      <c r="O40" s="25" t="str">
        <f t="shared" si="3"/>
        <v>-</v>
      </c>
      <c r="P40" s="26" t="str">
        <f t="shared" si="4"/>
        <v>-</v>
      </c>
      <c r="R40" s="26" t="str">
        <f t="shared" si="5"/>
        <v>-</v>
      </c>
    </row>
    <row r="41" spans="1:18" x14ac:dyDescent="0.3">
      <c r="A41" s="2">
        <v>306969120514</v>
      </c>
      <c r="B41" s="3" t="s">
        <v>87</v>
      </c>
      <c r="C41" s="4" t="s">
        <v>88</v>
      </c>
      <c r="D41" s="5" t="s">
        <v>19</v>
      </c>
      <c r="E41" s="5"/>
      <c r="F41" s="31">
        <v>0.05</v>
      </c>
      <c r="G41" s="6">
        <v>6.7851420000000005</v>
      </c>
      <c r="H41" s="6"/>
      <c r="I41" s="13"/>
      <c r="J41" s="6">
        <f t="shared" si="6"/>
        <v>0</v>
      </c>
      <c r="M41" s="24" t="str">
        <f t="shared" si="1"/>
        <v>-</v>
      </c>
      <c r="N41" s="24" t="str">
        <f t="shared" si="2"/>
        <v>-</v>
      </c>
      <c r="O41" s="25" t="str">
        <f t="shared" si="3"/>
        <v>-</v>
      </c>
      <c r="P41" s="26" t="str">
        <f t="shared" si="4"/>
        <v>-</v>
      </c>
      <c r="R41" s="26" t="str">
        <f t="shared" si="5"/>
        <v>-</v>
      </c>
    </row>
    <row r="42" spans="1:18" x14ac:dyDescent="0.3">
      <c r="A42" s="2">
        <v>306969121672</v>
      </c>
      <c r="B42" s="3" t="s">
        <v>89</v>
      </c>
      <c r="C42" s="4" t="s">
        <v>90</v>
      </c>
      <c r="D42" s="5" t="s">
        <v>91</v>
      </c>
      <c r="E42" s="5"/>
      <c r="F42" s="31">
        <v>0.05</v>
      </c>
      <c r="G42" s="6">
        <v>9.2369160000000008</v>
      </c>
      <c r="H42" s="6"/>
      <c r="I42" s="13"/>
      <c r="J42" s="6">
        <f t="shared" si="6"/>
        <v>0</v>
      </c>
      <c r="M42" s="24" t="str">
        <f t="shared" si="1"/>
        <v>-</v>
      </c>
      <c r="N42" s="24" t="str">
        <f t="shared" si="2"/>
        <v>-</v>
      </c>
      <c r="O42" s="25" t="str">
        <f t="shared" si="3"/>
        <v>-</v>
      </c>
      <c r="P42" s="26" t="str">
        <f t="shared" si="4"/>
        <v>-</v>
      </c>
      <c r="R42" s="26" t="str">
        <f t="shared" si="5"/>
        <v>-</v>
      </c>
    </row>
    <row r="43" spans="1:18" x14ac:dyDescent="0.3">
      <c r="A43" s="2">
        <v>306969234044</v>
      </c>
      <c r="B43" s="3" t="s">
        <v>92</v>
      </c>
      <c r="C43" s="4" t="s">
        <v>93</v>
      </c>
      <c r="D43" s="5" t="s">
        <v>2</v>
      </c>
      <c r="E43" s="5"/>
      <c r="F43" s="31">
        <v>8.5019999999999998E-2</v>
      </c>
      <c r="G43" s="6">
        <v>9.065862000000001</v>
      </c>
      <c r="H43" s="6"/>
      <c r="I43" s="13"/>
      <c r="J43" s="6">
        <f t="shared" si="6"/>
        <v>0</v>
      </c>
      <c r="M43" s="24" t="str">
        <f t="shared" si="1"/>
        <v>-</v>
      </c>
      <c r="N43" s="24" t="str">
        <f t="shared" si="2"/>
        <v>-</v>
      </c>
      <c r="O43" s="25" t="str">
        <f t="shared" si="3"/>
        <v>-</v>
      </c>
      <c r="P43" s="26" t="str">
        <f t="shared" si="4"/>
        <v>-</v>
      </c>
      <c r="R43" s="26" t="str">
        <f t="shared" si="5"/>
        <v>-</v>
      </c>
    </row>
    <row r="44" spans="1:18" x14ac:dyDescent="0.3">
      <c r="A44" s="2">
        <v>306969244043</v>
      </c>
      <c r="B44" s="3" t="s">
        <v>94</v>
      </c>
      <c r="C44" s="4" t="s">
        <v>95</v>
      </c>
      <c r="D44" s="5" t="s">
        <v>2</v>
      </c>
      <c r="E44" s="5"/>
      <c r="F44" s="31">
        <v>8.5019999999999998E-2</v>
      </c>
      <c r="G44" s="6">
        <v>9.065862000000001</v>
      </c>
      <c r="H44" s="6"/>
      <c r="I44" s="13"/>
      <c r="J44" s="6">
        <f t="shared" si="6"/>
        <v>0</v>
      </c>
      <c r="M44" s="24" t="str">
        <f t="shared" si="1"/>
        <v>-</v>
      </c>
      <c r="N44" s="24" t="str">
        <f t="shared" si="2"/>
        <v>-</v>
      </c>
      <c r="O44" s="25" t="str">
        <f t="shared" si="3"/>
        <v>-</v>
      </c>
      <c r="P44" s="26" t="str">
        <f t="shared" si="4"/>
        <v>-</v>
      </c>
      <c r="R44" s="26" t="str">
        <f t="shared" si="5"/>
        <v>-</v>
      </c>
    </row>
    <row r="45" spans="1:18" x14ac:dyDescent="0.3">
      <c r="A45" s="2">
        <v>306969998342</v>
      </c>
      <c r="B45" s="3" t="s">
        <v>96</v>
      </c>
      <c r="C45" s="4" t="s">
        <v>97</v>
      </c>
      <c r="D45" s="5" t="s">
        <v>98</v>
      </c>
      <c r="E45" s="5"/>
      <c r="F45" s="31">
        <v>7.0000000000000007E-2</v>
      </c>
      <c r="G45" s="6">
        <v>19.215066</v>
      </c>
      <c r="H45" s="6"/>
      <c r="I45" s="13"/>
      <c r="J45" s="6">
        <f t="shared" si="6"/>
        <v>0</v>
      </c>
      <c r="M45" s="24" t="str">
        <f t="shared" si="1"/>
        <v>-</v>
      </c>
      <c r="N45" s="24" t="str">
        <f t="shared" si="2"/>
        <v>-</v>
      </c>
      <c r="O45" s="25" t="str">
        <f t="shared" si="3"/>
        <v>-</v>
      </c>
      <c r="P45" s="26" t="str">
        <f t="shared" si="4"/>
        <v>-</v>
      </c>
      <c r="R45" s="26" t="str">
        <f t="shared" si="5"/>
        <v>-</v>
      </c>
    </row>
    <row r="46" spans="1:18" x14ac:dyDescent="0.3">
      <c r="A46" s="2">
        <v>306962878245</v>
      </c>
      <c r="B46" s="3" t="s">
        <v>99</v>
      </c>
      <c r="C46" s="4" t="s">
        <v>97</v>
      </c>
      <c r="D46" s="5" t="s">
        <v>55</v>
      </c>
      <c r="E46" s="5"/>
      <c r="F46" s="31">
        <v>0.15</v>
      </c>
      <c r="G46" s="6">
        <v>29.432691599999998</v>
      </c>
      <c r="H46" s="6"/>
      <c r="I46" s="13"/>
      <c r="J46" s="6">
        <f t="shared" si="6"/>
        <v>0</v>
      </c>
      <c r="M46" s="24" t="str">
        <f t="shared" si="1"/>
        <v>-</v>
      </c>
      <c r="N46" s="24" t="str">
        <f t="shared" si="2"/>
        <v>-</v>
      </c>
      <c r="O46" s="25" t="str">
        <f t="shared" si="3"/>
        <v>-</v>
      </c>
      <c r="P46" s="26" t="str">
        <f t="shared" si="4"/>
        <v>-</v>
      </c>
      <c r="R46" s="26" t="str">
        <f t="shared" si="5"/>
        <v>-</v>
      </c>
    </row>
    <row r="47" spans="1:18" x14ac:dyDescent="0.3">
      <c r="A47" s="2">
        <v>306969998519</v>
      </c>
      <c r="B47" s="3" t="s">
        <v>100</v>
      </c>
      <c r="C47" s="4" t="s">
        <v>101</v>
      </c>
      <c r="D47" s="5" t="s">
        <v>102</v>
      </c>
      <c r="E47" s="5"/>
      <c r="F47" s="31">
        <v>0.04</v>
      </c>
      <c r="G47" s="6">
        <v>11.688689999999999</v>
      </c>
      <c r="H47" s="6"/>
      <c r="I47" s="13"/>
      <c r="J47" s="6">
        <f t="shared" si="6"/>
        <v>0</v>
      </c>
      <c r="M47" s="24" t="str">
        <f t="shared" si="1"/>
        <v>-</v>
      </c>
      <c r="N47" s="24" t="str">
        <f t="shared" si="2"/>
        <v>-</v>
      </c>
      <c r="O47" s="25" t="str">
        <f t="shared" si="3"/>
        <v>-</v>
      </c>
      <c r="P47" s="26" t="str">
        <f t="shared" si="4"/>
        <v>-</v>
      </c>
      <c r="R47" s="26" t="str">
        <f t="shared" si="5"/>
        <v>-</v>
      </c>
    </row>
    <row r="48" spans="1:18" x14ac:dyDescent="0.3">
      <c r="A48" s="2">
        <v>306969338049</v>
      </c>
      <c r="B48" s="3" t="s">
        <v>103</v>
      </c>
      <c r="C48" s="4" t="s">
        <v>104</v>
      </c>
      <c r="D48" s="5" t="s">
        <v>2</v>
      </c>
      <c r="E48" s="5"/>
      <c r="F48" s="31">
        <v>0.05</v>
      </c>
      <c r="G48" s="6">
        <v>9.065862000000001</v>
      </c>
      <c r="H48" s="6"/>
      <c r="I48" s="13"/>
      <c r="J48" s="6">
        <f t="shared" si="6"/>
        <v>0</v>
      </c>
      <c r="M48" s="24" t="str">
        <f t="shared" si="1"/>
        <v>-</v>
      </c>
      <c r="N48" s="24" t="str">
        <f t="shared" si="2"/>
        <v>-</v>
      </c>
      <c r="O48" s="25" t="str">
        <f t="shared" si="3"/>
        <v>-</v>
      </c>
      <c r="P48" s="26" t="str">
        <f t="shared" si="4"/>
        <v>-</v>
      </c>
      <c r="R48" s="26" t="str">
        <f t="shared" si="5"/>
        <v>-</v>
      </c>
    </row>
    <row r="49" spans="1:18" x14ac:dyDescent="0.3">
      <c r="A49" s="2">
        <v>306969347423</v>
      </c>
      <c r="B49" s="3" t="s">
        <v>105</v>
      </c>
      <c r="C49" s="4" t="s">
        <v>106</v>
      </c>
      <c r="D49" s="5" t="s">
        <v>70</v>
      </c>
      <c r="E49" s="5"/>
      <c r="F49" s="31">
        <v>0.06</v>
      </c>
      <c r="G49" s="6">
        <v>10.867630799999999</v>
      </c>
      <c r="H49" s="6"/>
      <c r="I49" s="13"/>
      <c r="J49" s="6">
        <f t="shared" si="6"/>
        <v>0</v>
      </c>
      <c r="M49" s="24" t="str">
        <f t="shared" si="1"/>
        <v>-</v>
      </c>
      <c r="N49" s="24" t="str">
        <f t="shared" si="2"/>
        <v>-</v>
      </c>
      <c r="O49" s="25" t="str">
        <f t="shared" si="3"/>
        <v>-</v>
      </c>
      <c r="P49" s="26" t="str">
        <f t="shared" si="4"/>
        <v>-</v>
      </c>
      <c r="R49" s="26" t="str">
        <f t="shared" si="5"/>
        <v>-</v>
      </c>
    </row>
    <row r="50" spans="1:18" x14ac:dyDescent="0.3">
      <c r="A50" s="2">
        <v>306969309094</v>
      </c>
      <c r="B50" s="3" t="s">
        <v>107</v>
      </c>
      <c r="C50" s="4" t="s">
        <v>108</v>
      </c>
      <c r="D50" s="5" t="s">
        <v>109</v>
      </c>
      <c r="E50" s="5"/>
      <c r="F50" s="31">
        <v>0.09</v>
      </c>
      <c r="G50" s="6">
        <v>8.1307668</v>
      </c>
      <c r="H50" s="6"/>
      <c r="I50" s="13"/>
      <c r="J50" s="6">
        <f t="shared" si="6"/>
        <v>0</v>
      </c>
      <c r="M50" s="24" t="str">
        <f t="shared" si="1"/>
        <v>-</v>
      </c>
      <c r="N50" s="24" t="str">
        <f t="shared" si="2"/>
        <v>-</v>
      </c>
      <c r="O50" s="25" t="str">
        <f t="shared" si="3"/>
        <v>-</v>
      </c>
      <c r="P50" s="26" t="str">
        <f t="shared" si="4"/>
        <v>-</v>
      </c>
      <c r="R50" s="26" t="str">
        <f t="shared" si="5"/>
        <v>-</v>
      </c>
    </row>
    <row r="51" spans="1:18" x14ac:dyDescent="0.3">
      <c r="A51" s="2">
        <v>306969310045</v>
      </c>
      <c r="B51" s="3" t="s">
        <v>110</v>
      </c>
      <c r="C51" s="4" t="s">
        <v>111</v>
      </c>
      <c r="D51" s="5" t="s">
        <v>2</v>
      </c>
      <c r="E51" s="5"/>
      <c r="F51" s="31">
        <v>0.04</v>
      </c>
      <c r="G51" s="6">
        <v>9.065862000000001</v>
      </c>
      <c r="H51" s="6"/>
      <c r="I51" s="13"/>
      <c r="J51" s="6">
        <f t="shared" si="6"/>
        <v>0</v>
      </c>
      <c r="M51" s="24" t="str">
        <f t="shared" si="1"/>
        <v>-</v>
      </c>
      <c r="N51" s="24" t="str">
        <f t="shared" si="2"/>
        <v>-</v>
      </c>
      <c r="O51" s="25" t="str">
        <f t="shared" si="3"/>
        <v>-</v>
      </c>
      <c r="P51" s="26" t="str">
        <f t="shared" si="4"/>
        <v>-</v>
      </c>
      <c r="R51" s="26" t="str">
        <f t="shared" si="5"/>
        <v>-</v>
      </c>
    </row>
    <row r="52" spans="1:18" x14ac:dyDescent="0.3">
      <c r="A52" s="2">
        <v>306969333044</v>
      </c>
      <c r="B52" s="3" t="s">
        <v>112</v>
      </c>
      <c r="C52" s="4" t="s">
        <v>113</v>
      </c>
      <c r="D52" s="5" t="s">
        <v>2</v>
      </c>
      <c r="E52" s="5"/>
      <c r="F52" s="31">
        <v>0.05</v>
      </c>
      <c r="G52" s="6">
        <v>9.065862000000001</v>
      </c>
      <c r="H52" s="6"/>
      <c r="I52" s="13"/>
      <c r="J52" s="6">
        <f t="shared" si="6"/>
        <v>0</v>
      </c>
      <c r="M52" s="24" t="str">
        <f t="shared" si="1"/>
        <v>-</v>
      </c>
      <c r="N52" s="24" t="str">
        <f t="shared" si="2"/>
        <v>-</v>
      </c>
      <c r="O52" s="25" t="str">
        <f t="shared" si="3"/>
        <v>-</v>
      </c>
      <c r="P52" s="26" t="str">
        <f t="shared" si="4"/>
        <v>-</v>
      </c>
      <c r="R52" s="26" t="str">
        <f t="shared" si="5"/>
        <v>-</v>
      </c>
    </row>
    <row r="53" spans="1:18" x14ac:dyDescent="0.3">
      <c r="A53" s="2">
        <v>306969325049</v>
      </c>
      <c r="B53" s="3" t="s">
        <v>114</v>
      </c>
      <c r="C53" s="4" t="s">
        <v>115</v>
      </c>
      <c r="D53" s="5" t="s">
        <v>2</v>
      </c>
      <c r="E53" s="5"/>
      <c r="F53" s="31">
        <v>0.05</v>
      </c>
      <c r="G53" s="6">
        <v>9.065862000000001</v>
      </c>
      <c r="H53" s="6"/>
      <c r="I53" s="13"/>
      <c r="J53" s="6">
        <f t="shared" si="6"/>
        <v>0</v>
      </c>
      <c r="M53" s="24" t="str">
        <f t="shared" si="1"/>
        <v>-</v>
      </c>
      <c r="N53" s="24" t="str">
        <f t="shared" si="2"/>
        <v>-</v>
      </c>
      <c r="O53" s="25" t="str">
        <f t="shared" si="3"/>
        <v>-</v>
      </c>
      <c r="P53" s="26" t="str">
        <f t="shared" si="4"/>
        <v>-</v>
      </c>
      <c r="R53" s="26" t="str">
        <f t="shared" si="5"/>
        <v>-</v>
      </c>
    </row>
    <row r="54" spans="1:18" x14ac:dyDescent="0.3">
      <c r="A54" s="2">
        <v>306969372043</v>
      </c>
      <c r="B54" s="3" t="s">
        <v>116</v>
      </c>
      <c r="C54" s="4" t="s">
        <v>117</v>
      </c>
      <c r="D54" s="5" t="s">
        <v>2</v>
      </c>
      <c r="E54" s="5"/>
      <c r="F54" s="31">
        <v>8.5019999999999998E-2</v>
      </c>
      <c r="G54" s="6">
        <v>9.065862000000001</v>
      </c>
      <c r="H54" s="6"/>
      <c r="I54" s="13"/>
      <c r="J54" s="6">
        <f t="shared" si="6"/>
        <v>0</v>
      </c>
      <c r="M54" s="24" t="str">
        <f t="shared" si="1"/>
        <v>-</v>
      </c>
      <c r="N54" s="24" t="str">
        <f t="shared" si="2"/>
        <v>-</v>
      </c>
      <c r="O54" s="25" t="str">
        <f t="shared" si="3"/>
        <v>-</v>
      </c>
      <c r="P54" s="26" t="str">
        <f t="shared" si="4"/>
        <v>-</v>
      </c>
      <c r="R54" s="26" t="str">
        <f t="shared" si="5"/>
        <v>-</v>
      </c>
    </row>
    <row r="55" spans="1:18" x14ac:dyDescent="0.3">
      <c r="A55" s="2">
        <v>306969376621</v>
      </c>
      <c r="B55" s="3" t="s">
        <v>118</v>
      </c>
      <c r="C55" s="4" t="s">
        <v>119</v>
      </c>
      <c r="D55" s="5" t="s">
        <v>120</v>
      </c>
      <c r="E55" s="5"/>
      <c r="F55" s="31">
        <v>8.5019999999999998E-2</v>
      </c>
      <c r="G55" s="6">
        <v>12.133430400000002</v>
      </c>
      <c r="H55" s="6"/>
      <c r="I55" s="13"/>
      <c r="J55" s="6">
        <f t="shared" si="6"/>
        <v>0</v>
      </c>
      <c r="M55" s="24" t="str">
        <f t="shared" si="1"/>
        <v>-</v>
      </c>
      <c r="N55" s="24" t="str">
        <f t="shared" si="2"/>
        <v>-</v>
      </c>
      <c r="O55" s="25" t="str">
        <f t="shared" si="3"/>
        <v>-</v>
      </c>
      <c r="P55" s="26" t="str">
        <f t="shared" si="4"/>
        <v>-</v>
      </c>
      <c r="R55" s="26" t="str">
        <f t="shared" si="5"/>
        <v>-</v>
      </c>
    </row>
  </sheetData>
  <sheetProtection algorithmName="SHA-512" hashValue="RKWPWqv72yIoQXspnKhno63LmgqFigC9+U3Dw1KX/7tl+Ezl7PprLv0sAFRWT2195/LjfGKf2t+FUssclA3Udw==" saltValue="1ewy0mWpgSAcIXYgxwjHng==" spinCount="100000" sheet="1" formatCells="0" formatColumns="0" formatRows="0" insertColumns="0" insertRows="0" insertHyperlinks="0" deleteColumns="0" deleteRows="0" sort="0" autoFilter="0" pivotTables="0"/>
  <autoFilter ref="A2:J55" xr:uid="{84C91298-78EF-422B-9B2B-129B2C6641DA}"/>
  <mergeCells count="2">
    <mergeCell ref="A1:J1"/>
    <mergeCell ref="N1:N2"/>
  </mergeCells>
  <conditionalFormatting sqref="R1">
    <cfRule type="expression" dxfId="0" priority="1">
      <formula>"&gt;0"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(Boiron)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pennyroaltea88</dc:creator>
  <cp:lastModifiedBy>pennyroaltea88</cp:lastModifiedBy>
  <dcterms:created xsi:type="dcterms:W3CDTF">2025-06-10T15:05:53Z</dcterms:created>
  <dcterms:modified xsi:type="dcterms:W3CDTF">2026-01-16T15:33:31Z</dcterms:modified>
</cp:coreProperties>
</file>