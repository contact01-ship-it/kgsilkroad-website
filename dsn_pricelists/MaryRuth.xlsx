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Acer\Desktop\Prices\MarryRuth\Продаж\2024\"/>
    </mc:Choice>
  </mc:AlternateContent>
  <xr:revisionPtr revIDLastSave="0" documentId="13_ncr:1_{087F1949-60E5-4C96-A023-2681C2D83B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Mary Ruth's)" sheetId="1" r:id="rId1"/>
  </sheets>
  <definedNames>
    <definedName name="_xlnm._FilterDatabase" localSheetId="0" hidden="1">'DSN GROUP (Mary Ruth''s)'!$A$2:$J$207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7" i="1" l="1"/>
  <c r="R207" i="1" s="1"/>
  <c r="O207" i="1"/>
  <c r="N207" i="1"/>
  <c r="M207" i="1"/>
  <c r="P206" i="1"/>
  <c r="R206" i="1" s="1"/>
  <c r="O206" i="1"/>
  <c r="N206" i="1"/>
  <c r="M206" i="1"/>
  <c r="P205" i="1"/>
  <c r="R205" i="1" s="1"/>
  <c r="O205" i="1"/>
  <c r="N205" i="1"/>
  <c r="M205" i="1"/>
  <c r="P204" i="1"/>
  <c r="R204" i="1" s="1"/>
  <c r="O204" i="1"/>
  <c r="N204" i="1"/>
  <c r="M204" i="1"/>
  <c r="P203" i="1"/>
  <c r="R203" i="1" s="1"/>
  <c r="O203" i="1"/>
  <c r="N203" i="1"/>
  <c r="M203" i="1"/>
  <c r="P202" i="1"/>
  <c r="R202" i="1" s="1"/>
  <c r="O202" i="1"/>
  <c r="N202" i="1"/>
  <c r="M202" i="1"/>
  <c r="P201" i="1"/>
  <c r="R201" i="1" s="1"/>
  <c r="O201" i="1"/>
  <c r="N201" i="1"/>
  <c r="M201" i="1"/>
  <c r="P200" i="1"/>
  <c r="R200" i="1" s="1"/>
  <c r="O200" i="1"/>
  <c r="N200" i="1"/>
  <c r="M200" i="1"/>
  <c r="P199" i="1"/>
  <c r="R199" i="1" s="1"/>
  <c r="O199" i="1"/>
  <c r="N199" i="1"/>
  <c r="M199" i="1"/>
  <c r="P198" i="1"/>
  <c r="R198" i="1" s="1"/>
  <c r="O198" i="1"/>
  <c r="N198" i="1"/>
  <c r="M198" i="1"/>
  <c r="P197" i="1"/>
  <c r="R197" i="1" s="1"/>
  <c r="O197" i="1"/>
  <c r="N197" i="1"/>
  <c r="M197" i="1"/>
  <c r="P196" i="1"/>
  <c r="R196" i="1" s="1"/>
  <c r="O196" i="1"/>
  <c r="N196" i="1"/>
  <c r="M196" i="1"/>
  <c r="P195" i="1"/>
  <c r="R195" i="1" s="1"/>
  <c r="O195" i="1"/>
  <c r="N195" i="1"/>
  <c r="M195" i="1"/>
  <c r="P194" i="1"/>
  <c r="R194" i="1" s="1"/>
  <c r="O194" i="1"/>
  <c r="N194" i="1"/>
  <c r="M194" i="1"/>
  <c r="R193" i="1"/>
  <c r="P193" i="1"/>
  <c r="O193" i="1"/>
  <c r="N193" i="1"/>
  <c r="M193" i="1"/>
  <c r="P192" i="1"/>
  <c r="R192" i="1" s="1"/>
  <c r="O192" i="1"/>
  <c r="N192" i="1"/>
  <c r="M192" i="1"/>
  <c r="P191" i="1"/>
  <c r="R191" i="1" s="1"/>
  <c r="O191" i="1"/>
  <c r="N191" i="1"/>
  <c r="M191" i="1"/>
  <c r="P190" i="1"/>
  <c r="R190" i="1" s="1"/>
  <c r="O190" i="1"/>
  <c r="N190" i="1"/>
  <c r="M190" i="1"/>
  <c r="P189" i="1"/>
  <c r="R189" i="1" s="1"/>
  <c r="O189" i="1"/>
  <c r="N189" i="1"/>
  <c r="M189" i="1"/>
  <c r="P188" i="1"/>
  <c r="R188" i="1" s="1"/>
  <c r="O188" i="1"/>
  <c r="N188" i="1"/>
  <c r="M188" i="1"/>
  <c r="P187" i="1"/>
  <c r="R187" i="1" s="1"/>
  <c r="O187" i="1"/>
  <c r="N187" i="1"/>
  <c r="M187" i="1"/>
  <c r="P186" i="1"/>
  <c r="R186" i="1" s="1"/>
  <c r="O186" i="1"/>
  <c r="N186" i="1"/>
  <c r="M186" i="1"/>
  <c r="P185" i="1"/>
  <c r="R185" i="1" s="1"/>
  <c r="O185" i="1"/>
  <c r="N185" i="1"/>
  <c r="M185" i="1"/>
  <c r="P184" i="1"/>
  <c r="R184" i="1" s="1"/>
  <c r="O184" i="1"/>
  <c r="N184" i="1"/>
  <c r="M184" i="1"/>
  <c r="P183" i="1"/>
  <c r="R183" i="1" s="1"/>
  <c r="O183" i="1"/>
  <c r="N183" i="1"/>
  <c r="M183" i="1"/>
  <c r="R182" i="1"/>
  <c r="P182" i="1"/>
  <c r="O182" i="1"/>
  <c r="N182" i="1"/>
  <c r="M182" i="1"/>
  <c r="P181" i="1"/>
  <c r="R181" i="1" s="1"/>
  <c r="O181" i="1"/>
  <c r="N181" i="1"/>
  <c r="M181" i="1"/>
  <c r="P180" i="1"/>
  <c r="R180" i="1" s="1"/>
  <c r="O180" i="1"/>
  <c r="N180" i="1"/>
  <c r="M180" i="1"/>
  <c r="P179" i="1"/>
  <c r="R179" i="1" s="1"/>
  <c r="O179" i="1"/>
  <c r="N179" i="1"/>
  <c r="M179" i="1"/>
  <c r="P178" i="1"/>
  <c r="R178" i="1" s="1"/>
  <c r="O178" i="1"/>
  <c r="N178" i="1"/>
  <c r="M178" i="1"/>
  <c r="P177" i="1"/>
  <c r="R177" i="1" s="1"/>
  <c r="O177" i="1"/>
  <c r="N177" i="1"/>
  <c r="M177" i="1"/>
  <c r="P176" i="1"/>
  <c r="R176" i="1" s="1"/>
  <c r="O176" i="1"/>
  <c r="N176" i="1"/>
  <c r="M176" i="1"/>
  <c r="P175" i="1"/>
  <c r="R175" i="1" s="1"/>
  <c r="O175" i="1"/>
  <c r="N175" i="1"/>
  <c r="M175" i="1"/>
  <c r="P174" i="1"/>
  <c r="R174" i="1" s="1"/>
  <c r="O174" i="1"/>
  <c r="N174" i="1"/>
  <c r="M174" i="1"/>
  <c r="P173" i="1"/>
  <c r="R173" i="1" s="1"/>
  <c r="O173" i="1"/>
  <c r="N173" i="1"/>
  <c r="M173" i="1"/>
  <c r="P172" i="1"/>
  <c r="R172" i="1" s="1"/>
  <c r="O172" i="1"/>
  <c r="N172" i="1"/>
  <c r="M172" i="1"/>
  <c r="P171" i="1"/>
  <c r="R171" i="1" s="1"/>
  <c r="O171" i="1"/>
  <c r="N171" i="1"/>
  <c r="M171" i="1"/>
  <c r="P170" i="1"/>
  <c r="R170" i="1" s="1"/>
  <c r="O170" i="1"/>
  <c r="N170" i="1"/>
  <c r="M170" i="1"/>
  <c r="P169" i="1"/>
  <c r="R169" i="1" s="1"/>
  <c r="O169" i="1"/>
  <c r="N169" i="1"/>
  <c r="M169" i="1"/>
  <c r="P168" i="1"/>
  <c r="R168" i="1" s="1"/>
  <c r="O168" i="1"/>
  <c r="N168" i="1"/>
  <c r="M168" i="1"/>
  <c r="P167" i="1"/>
  <c r="R167" i="1" s="1"/>
  <c r="O167" i="1"/>
  <c r="N167" i="1"/>
  <c r="M167" i="1"/>
  <c r="P166" i="1"/>
  <c r="R166" i="1" s="1"/>
  <c r="O166" i="1"/>
  <c r="N166" i="1"/>
  <c r="M166" i="1"/>
  <c r="P165" i="1"/>
  <c r="R165" i="1" s="1"/>
  <c r="O165" i="1"/>
  <c r="N165" i="1"/>
  <c r="M165" i="1"/>
  <c r="P164" i="1"/>
  <c r="R164" i="1" s="1"/>
  <c r="O164" i="1"/>
  <c r="N164" i="1"/>
  <c r="M164" i="1"/>
  <c r="P163" i="1"/>
  <c r="R163" i="1" s="1"/>
  <c r="O163" i="1"/>
  <c r="N163" i="1"/>
  <c r="M163" i="1"/>
  <c r="P162" i="1"/>
  <c r="R162" i="1" s="1"/>
  <c r="O162" i="1"/>
  <c r="N162" i="1"/>
  <c r="M162" i="1"/>
  <c r="P161" i="1"/>
  <c r="R161" i="1" s="1"/>
  <c r="O161" i="1"/>
  <c r="N161" i="1"/>
  <c r="M161" i="1"/>
  <c r="P160" i="1"/>
  <c r="R160" i="1" s="1"/>
  <c r="O160" i="1"/>
  <c r="N160" i="1"/>
  <c r="M160" i="1"/>
  <c r="P159" i="1"/>
  <c r="R159" i="1" s="1"/>
  <c r="O159" i="1"/>
  <c r="N159" i="1"/>
  <c r="M159" i="1"/>
  <c r="P158" i="1"/>
  <c r="R158" i="1" s="1"/>
  <c r="O158" i="1"/>
  <c r="N158" i="1"/>
  <c r="M158" i="1"/>
  <c r="R157" i="1"/>
  <c r="P157" i="1"/>
  <c r="O157" i="1"/>
  <c r="N157" i="1"/>
  <c r="M157" i="1"/>
  <c r="P156" i="1"/>
  <c r="R156" i="1" s="1"/>
  <c r="O156" i="1"/>
  <c r="N156" i="1"/>
  <c r="M156" i="1"/>
  <c r="P155" i="1"/>
  <c r="R155" i="1" s="1"/>
  <c r="O155" i="1"/>
  <c r="N155" i="1"/>
  <c r="M155" i="1"/>
  <c r="P154" i="1"/>
  <c r="R154" i="1" s="1"/>
  <c r="O154" i="1"/>
  <c r="N154" i="1"/>
  <c r="M154" i="1"/>
  <c r="P153" i="1"/>
  <c r="R153" i="1" s="1"/>
  <c r="O153" i="1"/>
  <c r="N153" i="1"/>
  <c r="M153" i="1"/>
  <c r="P152" i="1"/>
  <c r="R152" i="1" s="1"/>
  <c r="O152" i="1"/>
  <c r="N152" i="1"/>
  <c r="M152" i="1"/>
  <c r="P151" i="1"/>
  <c r="R151" i="1" s="1"/>
  <c r="O151" i="1"/>
  <c r="N151" i="1"/>
  <c r="M151" i="1"/>
  <c r="P150" i="1"/>
  <c r="R150" i="1" s="1"/>
  <c r="O150" i="1"/>
  <c r="N150" i="1"/>
  <c r="M150" i="1"/>
  <c r="P149" i="1"/>
  <c r="R149" i="1" s="1"/>
  <c r="O149" i="1"/>
  <c r="N149" i="1"/>
  <c r="M149" i="1"/>
  <c r="P148" i="1"/>
  <c r="R148" i="1" s="1"/>
  <c r="O148" i="1"/>
  <c r="N148" i="1"/>
  <c r="M148" i="1"/>
  <c r="P147" i="1"/>
  <c r="R147" i="1" s="1"/>
  <c r="O147" i="1"/>
  <c r="N147" i="1"/>
  <c r="M147" i="1"/>
  <c r="P146" i="1"/>
  <c r="R146" i="1" s="1"/>
  <c r="O146" i="1"/>
  <c r="N146" i="1"/>
  <c r="M146" i="1"/>
  <c r="P145" i="1"/>
  <c r="R145" i="1" s="1"/>
  <c r="O145" i="1"/>
  <c r="N145" i="1"/>
  <c r="M145" i="1"/>
  <c r="P144" i="1"/>
  <c r="R144" i="1" s="1"/>
  <c r="O144" i="1"/>
  <c r="N144" i="1"/>
  <c r="M144" i="1"/>
  <c r="P143" i="1"/>
  <c r="R143" i="1" s="1"/>
  <c r="O143" i="1"/>
  <c r="N143" i="1"/>
  <c r="M143" i="1"/>
  <c r="P142" i="1"/>
  <c r="R142" i="1" s="1"/>
  <c r="O142" i="1"/>
  <c r="N142" i="1"/>
  <c r="M142" i="1"/>
  <c r="P141" i="1"/>
  <c r="R141" i="1" s="1"/>
  <c r="O141" i="1"/>
  <c r="N141" i="1"/>
  <c r="M141" i="1"/>
  <c r="P140" i="1"/>
  <c r="R140" i="1" s="1"/>
  <c r="O140" i="1"/>
  <c r="N140" i="1"/>
  <c r="M140" i="1"/>
  <c r="P139" i="1"/>
  <c r="R139" i="1" s="1"/>
  <c r="O139" i="1"/>
  <c r="N139" i="1"/>
  <c r="M139" i="1"/>
  <c r="P138" i="1"/>
  <c r="R138" i="1" s="1"/>
  <c r="O138" i="1"/>
  <c r="N138" i="1"/>
  <c r="M138" i="1"/>
  <c r="P137" i="1"/>
  <c r="R137" i="1" s="1"/>
  <c r="O137" i="1"/>
  <c r="N137" i="1"/>
  <c r="M137" i="1"/>
  <c r="P136" i="1"/>
  <c r="R136" i="1" s="1"/>
  <c r="O136" i="1"/>
  <c r="N136" i="1"/>
  <c r="M136" i="1"/>
  <c r="P135" i="1"/>
  <c r="R135" i="1" s="1"/>
  <c r="O135" i="1"/>
  <c r="N135" i="1"/>
  <c r="M135" i="1"/>
  <c r="R134" i="1"/>
  <c r="P134" i="1"/>
  <c r="O134" i="1"/>
  <c r="N134" i="1"/>
  <c r="M134" i="1"/>
  <c r="P133" i="1"/>
  <c r="R133" i="1" s="1"/>
  <c r="O133" i="1"/>
  <c r="N133" i="1"/>
  <c r="M133" i="1"/>
  <c r="P132" i="1"/>
  <c r="R132" i="1" s="1"/>
  <c r="O132" i="1"/>
  <c r="N132" i="1"/>
  <c r="M132" i="1"/>
  <c r="P131" i="1"/>
  <c r="R131" i="1" s="1"/>
  <c r="O131" i="1"/>
  <c r="N131" i="1"/>
  <c r="M131" i="1"/>
  <c r="P130" i="1"/>
  <c r="R130" i="1" s="1"/>
  <c r="O130" i="1"/>
  <c r="N130" i="1"/>
  <c r="M130" i="1"/>
  <c r="P129" i="1"/>
  <c r="R129" i="1" s="1"/>
  <c r="O129" i="1"/>
  <c r="N129" i="1"/>
  <c r="M129" i="1"/>
  <c r="P128" i="1"/>
  <c r="R128" i="1" s="1"/>
  <c r="O128" i="1"/>
  <c r="N128" i="1"/>
  <c r="M128" i="1"/>
  <c r="P127" i="1"/>
  <c r="R127" i="1" s="1"/>
  <c r="O127" i="1"/>
  <c r="N127" i="1"/>
  <c r="M127" i="1"/>
  <c r="R126" i="1"/>
  <c r="P126" i="1"/>
  <c r="O126" i="1"/>
  <c r="N126" i="1"/>
  <c r="M126" i="1"/>
  <c r="P125" i="1"/>
  <c r="R125" i="1" s="1"/>
  <c r="O125" i="1"/>
  <c r="N125" i="1"/>
  <c r="M125" i="1"/>
  <c r="P124" i="1"/>
  <c r="R124" i="1" s="1"/>
  <c r="O124" i="1"/>
  <c r="N124" i="1"/>
  <c r="M124" i="1"/>
  <c r="P123" i="1"/>
  <c r="R123" i="1" s="1"/>
  <c r="O123" i="1"/>
  <c r="N123" i="1"/>
  <c r="M123" i="1"/>
  <c r="P122" i="1"/>
  <c r="R122" i="1" s="1"/>
  <c r="O122" i="1"/>
  <c r="N122" i="1"/>
  <c r="M122" i="1"/>
  <c r="P121" i="1"/>
  <c r="R121" i="1" s="1"/>
  <c r="O121" i="1"/>
  <c r="N121" i="1"/>
  <c r="M121" i="1"/>
  <c r="P120" i="1"/>
  <c r="R120" i="1" s="1"/>
  <c r="O120" i="1"/>
  <c r="N120" i="1"/>
  <c r="M120" i="1"/>
  <c r="P119" i="1"/>
  <c r="R119" i="1" s="1"/>
  <c r="O119" i="1"/>
  <c r="N119" i="1"/>
  <c r="M119" i="1"/>
  <c r="P118" i="1"/>
  <c r="R118" i="1" s="1"/>
  <c r="O118" i="1"/>
  <c r="N118" i="1"/>
  <c r="M118" i="1"/>
  <c r="P117" i="1"/>
  <c r="R117" i="1" s="1"/>
  <c r="O117" i="1"/>
  <c r="N117" i="1"/>
  <c r="M117" i="1"/>
  <c r="P116" i="1"/>
  <c r="R116" i="1" s="1"/>
  <c r="O116" i="1"/>
  <c r="N116" i="1"/>
  <c r="M116" i="1"/>
  <c r="P115" i="1"/>
  <c r="R115" i="1" s="1"/>
  <c r="O115" i="1"/>
  <c r="N115" i="1"/>
  <c r="M115" i="1"/>
  <c r="P114" i="1"/>
  <c r="R114" i="1" s="1"/>
  <c r="O114" i="1"/>
  <c r="N114" i="1"/>
  <c r="M114" i="1"/>
  <c r="P113" i="1"/>
  <c r="R113" i="1" s="1"/>
  <c r="O113" i="1"/>
  <c r="N113" i="1"/>
  <c r="M113" i="1"/>
  <c r="P112" i="1"/>
  <c r="R112" i="1" s="1"/>
  <c r="O112" i="1"/>
  <c r="N112" i="1"/>
  <c r="M112" i="1"/>
  <c r="P111" i="1"/>
  <c r="R111" i="1" s="1"/>
  <c r="O111" i="1"/>
  <c r="N111" i="1"/>
  <c r="M111" i="1"/>
  <c r="P110" i="1"/>
  <c r="R110" i="1" s="1"/>
  <c r="O110" i="1"/>
  <c r="N110" i="1"/>
  <c r="M110" i="1"/>
  <c r="P109" i="1"/>
  <c r="R109" i="1" s="1"/>
  <c r="O109" i="1"/>
  <c r="N109" i="1"/>
  <c r="M109" i="1"/>
  <c r="P108" i="1"/>
  <c r="R108" i="1" s="1"/>
  <c r="O108" i="1"/>
  <c r="N108" i="1"/>
  <c r="M108" i="1"/>
  <c r="P107" i="1"/>
  <c r="R107" i="1" s="1"/>
  <c r="O107" i="1"/>
  <c r="N107" i="1"/>
  <c r="M107" i="1"/>
  <c r="P106" i="1"/>
  <c r="R106" i="1" s="1"/>
  <c r="O106" i="1"/>
  <c r="N106" i="1"/>
  <c r="M106" i="1"/>
  <c r="P105" i="1"/>
  <c r="R105" i="1" s="1"/>
  <c r="O105" i="1"/>
  <c r="N105" i="1"/>
  <c r="M105" i="1"/>
  <c r="P104" i="1"/>
  <c r="R104" i="1" s="1"/>
  <c r="O104" i="1"/>
  <c r="N104" i="1"/>
  <c r="M104" i="1"/>
  <c r="P103" i="1"/>
  <c r="R103" i="1" s="1"/>
  <c r="O103" i="1"/>
  <c r="N103" i="1"/>
  <c r="M103" i="1"/>
  <c r="P102" i="1"/>
  <c r="R102" i="1" s="1"/>
  <c r="O102" i="1"/>
  <c r="N102" i="1"/>
  <c r="M102" i="1"/>
  <c r="P101" i="1"/>
  <c r="R101" i="1" s="1"/>
  <c r="O101" i="1"/>
  <c r="N101" i="1"/>
  <c r="M101" i="1"/>
  <c r="P100" i="1"/>
  <c r="R100" i="1" s="1"/>
  <c r="O100" i="1"/>
  <c r="N100" i="1"/>
  <c r="M100" i="1"/>
  <c r="P99" i="1"/>
  <c r="R99" i="1" s="1"/>
  <c r="O99" i="1"/>
  <c r="N99" i="1"/>
  <c r="M99" i="1"/>
  <c r="P98" i="1"/>
  <c r="R98" i="1" s="1"/>
  <c r="O98" i="1"/>
  <c r="N98" i="1"/>
  <c r="M98" i="1"/>
  <c r="P97" i="1"/>
  <c r="R97" i="1" s="1"/>
  <c r="O97" i="1"/>
  <c r="N97" i="1"/>
  <c r="M97" i="1"/>
  <c r="P96" i="1"/>
  <c r="R96" i="1" s="1"/>
  <c r="O96" i="1"/>
  <c r="N96" i="1"/>
  <c r="M96" i="1"/>
  <c r="P95" i="1"/>
  <c r="R95" i="1" s="1"/>
  <c r="O95" i="1"/>
  <c r="N95" i="1"/>
  <c r="M95" i="1"/>
  <c r="P94" i="1"/>
  <c r="R94" i="1" s="1"/>
  <c r="O94" i="1"/>
  <c r="N94" i="1"/>
  <c r="M94" i="1"/>
  <c r="P93" i="1"/>
  <c r="R93" i="1" s="1"/>
  <c r="O93" i="1"/>
  <c r="N93" i="1"/>
  <c r="M93" i="1"/>
  <c r="P92" i="1"/>
  <c r="R92" i="1" s="1"/>
  <c r="O92" i="1"/>
  <c r="N92" i="1"/>
  <c r="M92" i="1"/>
  <c r="P91" i="1"/>
  <c r="R91" i="1" s="1"/>
  <c r="O91" i="1"/>
  <c r="N91" i="1"/>
  <c r="M91" i="1"/>
  <c r="P90" i="1"/>
  <c r="R90" i="1" s="1"/>
  <c r="O90" i="1"/>
  <c r="N90" i="1"/>
  <c r="M90" i="1"/>
  <c r="P89" i="1"/>
  <c r="R89" i="1" s="1"/>
  <c r="O89" i="1"/>
  <c r="N89" i="1"/>
  <c r="M89" i="1"/>
  <c r="R88" i="1"/>
  <c r="P88" i="1"/>
  <c r="O88" i="1"/>
  <c r="N88" i="1"/>
  <c r="M88" i="1"/>
  <c r="P87" i="1"/>
  <c r="R87" i="1" s="1"/>
  <c r="O87" i="1"/>
  <c r="N87" i="1"/>
  <c r="M87" i="1"/>
  <c r="P86" i="1"/>
  <c r="R86" i="1" s="1"/>
  <c r="O86" i="1"/>
  <c r="N86" i="1"/>
  <c r="M86" i="1"/>
  <c r="P85" i="1"/>
  <c r="R85" i="1" s="1"/>
  <c r="O85" i="1"/>
  <c r="N85" i="1"/>
  <c r="M85" i="1"/>
  <c r="P84" i="1"/>
  <c r="R84" i="1" s="1"/>
  <c r="O84" i="1"/>
  <c r="N84" i="1"/>
  <c r="M84" i="1"/>
  <c r="P83" i="1"/>
  <c r="R83" i="1" s="1"/>
  <c r="O83" i="1"/>
  <c r="N83" i="1"/>
  <c r="M83" i="1"/>
  <c r="P82" i="1"/>
  <c r="R82" i="1" s="1"/>
  <c r="O82" i="1"/>
  <c r="N82" i="1"/>
  <c r="M82" i="1"/>
  <c r="P81" i="1"/>
  <c r="R81" i="1" s="1"/>
  <c r="O81" i="1"/>
  <c r="N81" i="1"/>
  <c r="M81" i="1"/>
  <c r="P80" i="1"/>
  <c r="R80" i="1" s="1"/>
  <c r="O80" i="1"/>
  <c r="N80" i="1"/>
  <c r="M80" i="1"/>
  <c r="P79" i="1"/>
  <c r="R79" i="1" s="1"/>
  <c r="O79" i="1"/>
  <c r="N79" i="1"/>
  <c r="M79" i="1"/>
  <c r="P78" i="1"/>
  <c r="R78" i="1" s="1"/>
  <c r="O78" i="1"/>
  <c r="N78" i="1"/>
  <c r="M78" i="1"/>
  <c r="P77" i="1"/>
  <c r="R77" i="1" s="1"/>
  <c r="O77" i="1"/>
  <c r="N77" i="1"/>
  <c r="M77" i="1"/>
  <c r="P76" i="1"/>
  <c r="R76" i="1" s="1"/>
  <c r="O76" i="1"/>
  <c r="N76" i="1"/>
  <c r="M76" i="1"/>
  <c r="P75" i="1"/>
  <c r="R75" i="1" s="1"/>
  <c r="O75" i="1"/>
  <c r="N75" i="1"/>
  <c r="M75" i="1"/>
  <c r="P74" i="1"/>
  <c r="R74" i="1" s="1"/>
  <c r="O74" i="1"/>
  <c r="N74" i="1"/>
  <c r="M74" i="1"/>
  <c r="P73" i="1"/>
  <c r="R73" i="1" s="1"/>
  <c r="O73" i="1"/>
  <c r="N73" i="1"/>
  <c r="M73" i="1"/>
  <c r="P72" i="1"/>
  <c r="R72" i="1" s="1"/>
  <c r="O72" i="1"/>
  <c r="N72" i="1"/>
  <c r="M72" i="1"/>
  <c r="P71" i="1"/>
  <c r="R71" i="1" s="1"/>
  <c r="O71" i="1"/>
  <c r="N71" i="1"/>
  <c r="M71" i="1"/>
  <c r="R70" i="1"/>
  <c r="P70" i="1"/>
  <c r="O70" i="1"/>
  <c r="N70" i="1"/>
  <c r="M70" i="1"/>
  <c r="P69" i="1"/>
  <c r="R69" i="1" s="1"/>
  <c r="O69" i="1"/>
  <c r="N69" i="1"/>
  <c r="M69" i="1"/>
  <c r="P68" i="1"/>
  <c r="R68" i="1" s="1"/>
  <c r="O68" i="1"/>
  <c r="N68" i="1"/>
  <c r="M68" i="1"/>
  <c r="P67" i="1"/>
  <c r="R67" i="1" s="1"/>
  <c r="O67" i="1"/>
  <c r="N67" i="1"/>
  <c r="M67" i="1"/>
  <c r="P66" i="1"/>
  <c r="R66" i="1" s="1"/>
  <c r="O66" i="1"/>
  <c r="N66" i="1"/>
  <c r="M66" i="1"/>
  <c r="P65" i="1"/>
  <c r="R65" i="1" s="1"/>
  <c r="O65" i="1"/>
  <c r="N65" i="1"/>
  <c r="M65" i="1"/>
  <c r="P64" i="1"/>
  <c r="R64" i="1" s="1"/>
  <c r="O64" i="1"/>
  <c r="N64" i="1"/>
  <c r="M64" i="1"/>
  <c r="P63" i="1"/>
  <c r="R63" i="1" s="1"/>
  <c r="O63" i="1"/>
  <c r="N63" i="1"/>
  <c r="M63" i="1"/>
  <c r="P62" i="1"/>
  <c r="R62" i="1" s="1"/>
  <c r="O62" i="1"/>
  <c r="N62" i="1"/>
  <c r="M62" i="1"/>
  <c r="P61" i="1"/>
  <c r="R61" i="1" s="1"/>
  <c r="O61" i="1"/>
  <c r="N61" i="1"/>
  <c r="M61" i="1"/>
  <c r="P60" i="1"/>
  <c r="R60" i="1" s="1"/>
  <c r="O60" i="1"/>
  <c r="N60" i="1"/>
  <c r="M60" i="1"/>
  <c r="P59" i="1"/>
  <c r="R59" i="1" s="1"/>
  <c r="O59" i="1"/>
  <c r="N59" i="1"/>
  <c r="M59" i="1"/>
  <c r="P58" i="1"/>
  <c r="R58" i="1" s="1"/>
  <c r="O58" i="1"/>
  <c r="N58" i="1"/>
  <c r="M58" i="1"/>
  <c r="P57" i="1"/>
  <c r="R57" i="1" s="1"/>
  <c r="O57" i="1"/>
  <c r="N57" i="1"/>
  <c r="M57" i="1"/>
  <c r="P56" i="1"/>
  <c r="R56" i="1" s="1"/>
  <c r="O56" i="1"/>
  <c r="N56" i="1"/>
  <c r="M56" i="1"/>
  <c r="P55" i="1"/>
  <c r="R55" i="1" s="1"/>
  <c r="O55" i="1"/>
  <c r="N55" i="1"/>
  <c r="M55" i="1"/>
  <c r="P54" i="1"/>
  <c r="R54" i="1" s="1"/>
  <c r="O54" i="1"/>
  <c r="N54" i="1"/>
  <c r="M54" i="1"/>
  <c r="P53" i="1"/>
  <c r="R53" i="1" s="1"/>
  <c r="O53" i="1"/>
  <c r="N53" i="1"/>
  <c r="M53" i="1"/>
  <c r="P52" i="1"/>
  <c r="R52" i="1" s="1"/>
  <c r="O52" i="1"/>
  <c r="N52" i="1"/>
  <c r="M52" i="1"/>
  <c r="P51" i="1"/>
  <c r="R51" i="1" s="1"/>
  <c r="O51" i="1"/>
  <c r="N51" i="1"/>
  <c r="M51" i="1"/>
  <c r="P50" i="1"/>
  <c r="R50" i="1" s="1"/>
  <c r="O50" i="1"/>
  <c r="N50" i="1"/>
  <c r="M50" i="1"/>
  <c r="P49" i="1"/>
  <c r="R49" i="1" s="1"/>
  <c r="O49" i="1"/>
  <c r="N49" i="1"/>
  <c r="M49" i="1"/>
  <c r="P48" i="1"/>
  <c r="R48" i="1" s="1"/>
  <c r="O48" i="1"/>
  <c r="N48" i="1"/>
  <c r="M48" i="1"/>
  <c r="P47" i="1"/>
  <c r="R47" i="1" s="1"/>
  <c r="O47" i="1"/>
  <c r="N47" i="1"/>
  <c r="M47" i="1"/>
  <c r="P46" i="1"/>
  <c r="R46" i="1" s="1"/>
  <c r="O46" i="1"/>
  <c r="N46" i="1"/>
  <c r="M46" i="1"/>
  <c r="P45" i="1"/>
  <c r="R45" i="1" s="1"/>
  <c r="O45" i="1"/>
  <c r="N45" i="1"/>
  <c r="M45" i="1"/>
  <c r="P44" i="1"/>
  <c r="R44" i="1" s="1"/>
  <c r="O44" i="1"/>
  <c r="N44" i="1"/>
  <c r="M44" i="1"/>
  <c r="P43" i="1"/>
  <c r="R43" i="1" s="1"/>
  <c r="O43" i="1"/>
  <c r="N43" i="1"/>
  <c r="M43" i="1"/>
  <c r="P42" i="1"/>
  <c r="R42" i="1" s="1"/>
  <c r="O42" i="1"/>
  <c r="N42" i="1"/>
  <c r="M42" i="1"/>
  <c r="P41" i="1"/>
  <c r="R41" i="1" s="1"/>
  <c r="O41" i="1"/>
  <c r="N41" i="1"/>
  <c r="M41" i="1"/>
  <c r="P40" i="1"/>
  <c r="R40" i="1" s="1"/>
  <c r="O40" i="1"/>
  <c r="N40" i="1"/>
  <c r="M40" i="1"/>
  <c r="P39" i="1"/>
  <c r="R39" i="1" s="1"/>
  <c r="O39" i="1"/>
  <c r="N39" i="1"/>
  <c r="M39" i="1"/>
  <c r="P38" i="1"/>
  <c r="R38" i="1" s="1"/>
  <c r="O38" i="1"/>
  <c r="N38" i="1"/>
  <c r="M38" i="1"/>
  <c r="P37" i="1"/>
  <c r="R37" i="1" s="1"/>
  <c r="O37" i="1"/>
  <c r="N37" i="1"/>
  <c r="M37" i="1"/>
  <c r="P36" i="1"/>
  <c r="R36" i="1" s="1"/>
  <c r="O36" i="1"/>
  <c r="N36" i="1"/>
  <c r="M36" i="1"/>
  <c r="P35" i="1"/>
  <c r="R35" i="1" s="1"/>
  <c r="O35" i="1"/>
  <c r="N35" i="1"/>
  <c r="M35" i="1"/>
  <c r="P34" i="1"/>
  <c r="R34" i="1" s="1"/>
  <c r="O34" i="1"/>
  <c r="N34" i="1"/>
  <c r="M34" i="1"/>
  <c r="P33" i="1"/>
  <c r="R33" i="1" s="1"/>
  <c r="O33" i="1"/>
  <c r="N33" i="1"/>
  <c r="M33" i="1"/>
  <c r="P32" i="1"/>
  <c r="R32" i="1" s="1"/>
  <c r="O32" i="1"/>
  <c r="N32" i="1"/>
  <c r="M32" i="1"/>
  <c r="P31" i="1"/>
  <c r="R31" i="1" s="1"/>
  <c r="O31" i="1"/>
  <c r="N31" i="1"/>
  <c r="M31" i="1"/>
  <c r="P30" i="1"/>
  <c r="R30" i="1" s="1"/>
  <c r="O30" i="1"/>
  <c r="N30" i="1"/>
  <c r="M30" i="1"/>
  <c r="P29" i="1"/>
  <c r="R29" i="1" s="1"/>
  <c r="O29" i="1"/>
  <c r="N29" i="1"/>
  <c r="M29" i="1"/>
  <c r="P28" i="1"/>
  <c r="R28" i="1" s="1"/>
  <c r="O28" i="1"/>
  <c r="N28" i="1"/>
  <c r="M28" i="1"/>
  <c r="P27" i="1"/>
  <c r="R27" i="1" s="1"/>
  <c r="O27" i="1"/>
  <c r="N27" i="1"/>
  <c r="M27" i="1"/>
  <c r="P26" i="1"/>
  <c r="R26" i="1" s="1"/>
  <c r="O26" i="1"/>
  <c r="N26" i="1"/>
  <c r="M26" i="1"/>
  <c r="P25" i="1"/>
  <c r="R25" i="1" s="1"/>
  <c r="O25" i="1"/>
  <c r="N25" i="1"/>
  <c r="M25" i="1"/>
  <c r="P24" i="1"/>
  <c r="R24" i="1" s="1"/>
  <c r="O24" i="1"/>
  <c r="N24" i="1"/>
  <c r="M24" i="1"/>
  <c r="P23" i="1"/>
  <c r="R23" i="1" s="1"/>
  <c r="O23" i="1"/>
  <c r="N23" i="1"/>
  <c r="M23" i="1"/>
  <c r="P22" i="1"/>
  <c r="R22" i="1" s="1"/>
  <c r="O22" i="1"/>
  <c r="N22" i="1"/>
  <c r="M22" i="1"/>
  <c r="P21" i="1"/>
  <c r="R21" i="1" s="1"/>
  <c r="O21" i="1"/>
  <c r="N21" i="1"/>
  <c r="M21" i="1"/>
  <c r="P20" i="1"/>
  <c r="R20" i="1" s="1"/>
  <c r="O20" i="1"/>
  <c r="N20" i="1"/>
  <c r="M20" i="1"/>
  <c r="P19" i="1"/>
  <c r="R19" i="1" s="1"/>
  <c r="O19" i="1"/>
  <c r="N19" i="1"/>
  <c r="M19" i="1"/>
  <c r="P18" i="1"/>
  <c r="R18" i="1" s="1"/>
  <c r="O18" i="1"/>
  <c r="N18" i="1"/>
  <c r="M18" i="1"/>
  <c r="P17" i="1"/>
  <c r="R17" i="1" s="1"/>
  <c r="O17" i="1"/>
  <c r="N17" i="1"/>
  <c r="M17" i="1"/>
  <c r="P16" i="1"/>
  <c r="R16" i="1" s="1"/>
  <c r="O16" i="1"/>
  <c r="N16" i="1"/>
  <c r="M16" i="1"/>
  <c r="P15" i="1"/>
  <c r="R15" i="1" s="1"/>
  <c r="O15" i="1"/>
  <c r="N15" i="1"/>
  <c r="M15" i="1"/>
  <c r="P14" i="1"/>
  <c r="R14" i="1" s="1"/>
  <c r="O14" i="1"/>
  <c r="N14" i="1"/>
  <c r="M14" i="1"/>
  <c r="P13" i="1"/>
  <c r="R13" i="1" s="1"/>
  <c r="O13" i="1"/>
  <c r="N13" i="1"/>
  <c r="M13" i="1"/>
  <c r="P12" i="1"/>
  <c r="R12" i="1" s="1"/>
  <c r="O12" i="1"/>
  <c r="N12" i="1"/>
  <c r="M12" i="1"/>
  <c r="P11" i="1"/>
  <c r="R11" i="1" s="1"/>
  <c r="O11" i="1"/>
  <c r="N11" i="1"/>
  <c r="M11" i="1"/>
  <c r="P10" i="1"/>
  <c r="R10" i="1" s="1"/>
  <c r="O10" i="1"/>
  <c r="N10" i="1"/>
  <c r="M10" i="1"/>
  <c r="P9" i="1"/>
  <c r="R9" i="1" s="1"/>
  <c r="O9" i="1"/>
  <c r="N9" i="1"/>
  <c r="M9" i="1"/>
  <c r="P8" i="1"/>
  <c r="R8" i="1" s="1"/>
  <c r="O8" i="1"/>
  <c r="N8" i="1"/>
  <c r="M8" i="1"/>
  <c r="P7" i="1"/>
  <c r="R7" i="1" s="1"/>
  <c r="O7" i="1"/>
  <c r="N7" i="1"/>
  <c r="M7" i="1"/>
  <c r="P6" i="1"/>
  <c r="R6" i="1" s="1"/>
  <c r="O6" i="1"/>
  <c r="N6" i="1"/>
  <c r="M6" i="1"/>
  <c r="P5" i="1"/>
  <c r="R5" i="1" s="1"/>
  <c r="O5" i="1"/>
  <c r="N5" i="1"/>
  <c r="M5" i="1"/>
  <c r="P4" i="1"/>
  <c r="R4" i="1" s="1"/>
  <c r="O4" i="1"/>
  <c r="M4" i="1"/>
  <c r="P3" i="1"/>
  <c r="R3" i="1" s="1"/>
  <c r="O3" i="1"/>
  <c r="N3" i="1"/>
  <c r="M3" i="1"/>
  <c r="J202" i="1"/>
  <c r="J200" i="1"/>
  <c r="J199" i="1"/>
  <c r="J194" i="1"/>
  <c r="J193" i="1"/>
  <c r="J192" i="1"/>
  <c r="J191" i="1"/>
  <c r="J190" i="1"/>
  <c r="J185" i="1"/>
  <c r="J184" i="1"/>
  <c r="J183" i="1"/>
  <c r="J182" i="1"/>
  <c r="J177" i="1"/>
  <c r="J176" i="1"/>
  <c r="J175" i="1"/>
  <c r="J174" i="1"/>
  <c r="J173" i="1"/>
  <c r="J168" i="1"/>
  <c r="J167" i="1"/>
  <c r="J166" i="1"/>
  <c r="J165" i="1"/>
  <c r="J159" i="1"/>
  <c r="J158" i="1"/>
  <c r="J157" i="1"/>
  <c r="J154" i="1"/>
  <c r="J152" i="1"/>
  <c r="J151" i="1"/>
  <c r="J150" i="1"/>
  <c r="J148" i="1"/>
  <c r="J144" i="1"/>
  <c r="J143" i="1"/>
  <c r="J142" i="1"/>
  <c r="J141" i="1"/>
  <c r="J140" i="1"/>
  <c r="J134" i="1"/>
  <c r="J133" i="1"/>
  <c r="J132" i="1"/>
  <c r="J128" i="1"/>
  <c r="J127" i="1"/>
  <c r="J126" i="1"/>
  <c r="J125" i="1"/>
  <c r="J124" i="1"/>
  <c r="J119" i="1"/>
  <c r="J117" i="1"/>
  <c r="J116" i="1"/>
  <c r="J112" i="1"/>
  <c r="J111" i="1"/>
  <c r="J110" i="1"/>
  <c r="J109" i="1"/>
  <c r="J108" i="1"/>
  <c r="J107" i="1"/>
  <c r="J102" i="1"/>
  <c r="J101" i="1"/>
  <c r="J100" i="1"/>
  <c r="J99" i="1"/>
  <c r="J98" i="1"/>
  <c r="J93" i="1"/>
  <c r="J92" i="1"/>
  <c r="J91" i="1"/>
  <c r="J90" i="1"/>
  <c r="J89" i="1"/>
  <c r="J85" i="1"/>
  <c r="J84" i="1"/>
  <c r="J83" i="1"/>
  <c r="J82" i="1"/>
  <c r="J81" i="1"/>
  <c r="J77" i="1"/>
  <c r="J76" i="1"/>
  <c r="J73" i="1"/>
  <c r="J70" i="1"/>
  <c r="J67" i="1"/>
  <c r="J66" i="1"/>
  <c r="J65" i="1"/>
  <c r="J62" i="1"/>
  <c r="J61" i="1"/>
  <c r="J60" i="1"/>
  <c r="J59" i="1"/>
  <c r="J58" i="1"/>
  <c r="J57" i="1"/>
  <c r="J53" i="1"/>
  <c r="J52" i="1"/>
  <c r="J51" i="1"/>
  <c r="J50" i="1"/>
  <c r="J49" i="1"/>
  <c r="J45" i="1"/>
  <c r="J44" i="1"/>
  <c r="J42" i="1"/>
  <c r="J41" i="1"/>
  <c r="J37" i="1"/>
  <c r="J36" i="1"/>
  <c r="J34" i="1"/>
  <c r="J33" i="1"/>
  <c r="J32" i="1"/>
  <c r="J28" i="1"/>
  <c r="J27" i="1"/>
  <c r="J26" i="1"/>
  <c r="J25" i="1"/>
  <c r="J24" i="1"/>
  <c r="J21" i="1"/>
  <c r="J20" i="1"/>
  <c r="J19" i="1"/>
  <c r="J18" i="1"/>
  <c r="J16" i="1"/>
  <c r="J15" i="1"/>
  <c r="J8" i="1"/>
  <c r="J7" i="1"/>
  <c r="J4" i="1"/>
  <c r="J207" i="1"/>
  <c r="J206" i="1"/>
  <c r="J205" i="1"/>
  <c r="J204" i="1"/>
  <c r="J203" i="1"/>
  <c r="J195" i="1"/>
  <c r="J145" i="1"/>
  <c r="J137" i="1"/>
  <c r="J129" i="1"/>
  <c r="J121" i="1"/>
  <c r="J118" i="1"/>
  <c r="J103" i="1"/>
  <c r="J95" i="1"/>
  <c r="J86" i="1"/>
  <c r="J78" i="1"/>
  <c r="J75" i="1"/>
  <c r="J74" i="1"/>
  <c r="J54" i="1"/>
  <c r="J46" i="1"/>
  <c r="J38" i="1"/>
  <c r="J35" i="1"/>
  <c r="J31" i="1"/>
  <c r="J13" i="1"/>
  <c r="J12" i="1"/>
  <c r="J10" i="1"/>
  <c r="J9" i="1"/>
  <c r="J6" i="1"/>
  <c r="J198" i="1"/>
  <c r="J197" i="1"/>
  <c r="J188" i="1"/>
  <c r="J187" i="1"/>
  <c r="J186" i="1"/>
  <c r="J181" i="1"/>
  <c r="J180" i="1"/>
  <c r="J179" i="1"/>
  <c r="J178" i="1"/>
  <c r="J172" i="1"/>
  <c r="J171" i="1"/>
  <c r="J170" i="1"/>
  <c r="J169" i="1"/>
  <c r="J164" i="1"/>
  <c r="J163" i="1"/>
  <c r="J162" i="1"/>
  <c r="J161" i="1"/>
  <c r="J160" i="1"/>
  <c r="J156" i="1"/>
  <c r="J155" i="1"/>
  <c r="J153" i="1"/>
  <c r="J147" i="1"/>
  <c r="J146" i="1"/>
  <c r="J139" i="1"/>
  <c r="J138" i="1"/>
  <c r="J136" i="1"/>
  <c r="J135" i="1"/>
  <c r="J131" i="1"/>
  <c r="J130" i="1"/>
  <c r="J123" i="1"/>
  <c r="J122" i="1"/>
  <c r="J120" i="1"/>
  <c r="J115" i="1"/>
  <c r="J114" i="1"/>
  <c r="J105" i="1"/>
  <c r="J104" i="1"/>
  <c r="J97" i="1"/>
  <c r="J96" i="1"/>
  <c r="J88" i="1"/>
  <c r="J87" i="1"/>
  <c r="J80" i="1"/>
  <c r="J79" i="1"/>
  <c r="J72" i="1"/>
  <c r="J71" i="1"/>
  <c r="J69" i="1"/>
  <c r="J68" i="1"/>
  <c r="J64" i="1"/>
  <c r="J63" i="1"/>
  <c r="J56" i="1"/>
  <c r="J55" i="1"/>
  <c r="J48" i="1"/>
  <c r="J47" i="1"/>
  <c r="J40" i="1"/>
  <c r="J39" i="1"/>
  <c r="J30" i="1"/>
  <c r="J29" i="1"/>
  <c r="J23" i="1"/>
  <c r="J22" i="1"/>
  <c r="J14" i="1"/>
  <c r="J5" i="1"/>
  <c r="O2" i="1" l="1"/>
  <c r="P2" i="1"/>
  <c r="R1" i="1" s="1"/>
  <c r="K2" i="1"/>
  <c r="N4" i="1" l="1"/>
</calcChain>
</file>

<file path=xl/sharedStrings.xml><?xml version="1.0" encoding="utf-8"?>
<sst xmlns="http://schemas.openxmlformats.org/spreadsheetml/2006/main" count="613" uniqueCount="420">
  <si>
    <t>UPC</t>
  </si>
  <si>
    <t>SKU</t>
  </si>
  <si>
    <t>Product</t>
  </si>
  <si>
    <t>Rank</t>
  </si>
  <si>
    <t>Shelf Life</t>
  </si>
  <si>
    <t>SRP</t>
  </si>
  <si>
    <t>Liquid Multivitamins</t>
  </si>
  <si>
    <t>BL-AD-MLT-CV-SF-32Z-RE-04</t>
  </si>
  <si>
    <t>Morning Multivitamin Liquid, Raspberry, 32 oz</t>
  </si>
  <si>
    <t>24 mo</t>
  </si>
  <si>
    <t>BL-AD-MLT-CV-SF-16Z-UN-02</t>
  </si>
  <si>
    <t>Morning Multivitamin Liquid, Raspberry, 15.22 oz</t>
  </si>
  <si>
    <t>TR-AD-MLT-CV-SF-016-UN-02</t>
  </si>
  <si>
    <t>Morning Multivitamin Liquid, Raspberry, 1 oz 16-Pack</t>
  </si>
  <si>
    <t>BL-AD-MLC-CV-SF-30Z-UN-01</t>
  </si>
  <si>
    <t>Morning Multivitamin Liquid with Lustriva, Peach Mango, 30 oz</t>
  </si>
  <si>
    <t>BL-AD-MFP-CV-SF-32OZ-UN-02</t>
  </si>
  <si>
    <t>Morning Multivitamin Liquid, Fruit Punch, 32 oz</t>
  </si>
  <si>
    <t>BL-AD-MST-CV-SF-32OZ-UN-02</t>
  </si>
  <si>
    <t>Morning Multivitamin Liquid, Strawberry, 32 oz</t>
  </si>
  <si>
    <t>BL-WO-PPM-CV-SF-32Z-UN-02</t>
  </si>
  <si>
    <t>Prenatal Postnatal Multivitamin Liquid, Berry, 32 oz</t>
  </si>
  <si>
    <t>Liquid Multiminerals</t>
  </si>
  <si>
    <t>BL-AD-MLM-CV-SF-16Z-UN-02</t>
  </si>
  <si>
    <t>Nighttime Multimineral Liquid, Coconut, 15.22 oz</t>
  </si>
  <si>
    <t>BL-AD-MTM-CV-SF-32Z-RE-03</t>
  </si>
  <si>
    <t>Nighttime Multimineral Liquid, Coconut, 32 oz</t>
  </si>
  <si>
    <t>BL-AD-MCR-CV-SF-32OZ-UN-02</t>
  </si>
  <si>
    <t>Nighttime Multimineral Liquid, Cranberry, 32 oz</t>
  </si>
  <si>
    <t>BL-AD-MPN-CV-SF-32OZ-UN-02</t>
  </si>
  <si>
    <t>Nighttime Multimineral Liquid, Pineapple, 32 oz</t>
  </si>
  <si>
    <t>BL-AD-LEM-CV-SF-32Z-RE-01</t>
  </si>
  <si>
    <t>Nighttime Multimineral Liquid, Lemonade, 32 oz</t>
  </si>
  <si>
    <t>Liposomals</t>
  </si>
  <si>
    <t>LP-WO-PPM-CV-SF-16Z-UN-01</t>
  </si>
  <si>
    <t>Prenatal Postnatal Multivitamin Liposomal, Orange Vanilla, 15.22 oz</t>
  </si>
  <si>
    <t>18 mo</t>
  </si>
  <si>
    <t>LP-KD-MLT-OG-SF-16Z-UN-01</t>
  </si>
  <si>
    <t>Kids Multivitamin Liposomal, Strawberry Cherry &amp; Vanilla, Org, 15.22 oz</t>
  </si>
  <si>
    <t>LP-KD-MLT-OG-SF-014-UN-01</t>
  </si>
  <si>
    <t>Kids Multivitamin Liposomal, Strawberry Cherry &amp; Vanilla, 0.5 oz 14-Pack</t>
  </si>
  <si>
    <t>LP-WO-MHG-CV-SF-16Z-UN-01</t>
  </si>
  <si>
    <t>Women's Multivitamin + Hair Growth Liposomal, Peach, 15.22 oz</t>
  </si>
  <si>
    <t>LP-WO-MLT-OG-SF-16Z-UN-01</t>
  </si>
  <si>
    <t>Women's Multivitamin Liposomal, Vanilla Peach, Org, 15.22 oz</t>
  </si>
  <si>
    <t>LP-WO-MLT-OG-SF-014-UN-01</t>
  </si>
  <si>
    <t>Women's Multivitamin Liposomal, Vanilla Peach, 0.5 oz 14-Pack</t>
  </si>
  <si>
    <t>LP-W4-MLT-CV-SF-16Z-UN-01</t>
  </si>
  <si>
    <t>Women's 40+ Multivitamin Liposomal, Vanilla Peach, 15.22 oz</t>
  </si>
  <si>
    <t>LP-W4-MLT-CV-SF-014-UN-01</t>
  </si>
  <si>
    <t>Women's 40+ Multivitamin Liposomal, Vanilla Peach, 0.5 oz 14-Pack</t>
  </si>
  <si>
    <t>LP-ME-MLT-OG-SF-16Z-UN-01</t>
  </si>
  <si>
    <t>Men's Multivitamin Liposomal, Vanilla Peach, Org, 15.22 oz</t>
  </si>
  <si>
    <t>Men's Multivitamin Liposomal, Vanilla Peach, Org, 0.5 oz 14-Pack</t>
  </si>
  <si>
    <t>LP-M4-MLT-CV-SF-16Z-UN-01</t>
  </si>
  <si>
    <t>Men's 40+ Multivitamin Liposomal, Vanilla Peach, 15.22 oz</t>
  </si>
  <si>
    <t>LP-AD-VTC-CV-SF-8OZ-RE-01</t>
  </si>
  <si>
    <t>Vitamin C Liposomal, Citrus &amp; Vanilla, 7.6 oz</t>
  </si>
  <si>
    <t>LP-AD-VD3-CV-SF-8OZ-UN-01</t>
  </si>
  <si>
    <t>Vitamin D3 Liposomal, Mixed Berry, 7.6 oz</t>
  </si>
  <si>
    <t>LP-AD-CLG-CV-SF-8OZ-UN-01</t>
  </si>
  <si>
    <t>Collagen Booster Liposomal, Maple Hot Cocoa, 7.6 oz</t>
  </si>
  <si>
    <t>LP-AD-CLG-CV-SF-014-UN-01</t>
  </si>
  <si>
    <t>Collagen Booster Liposomal, Maple Hot Cocoa, 0.5 oz 14-Pack</t>
  </si>
  <si>
    <t>LP-AD-COQ-CV-SF-8OZ-UN-01</t>
  </si>
  <si>
    <t>CoQ10 Liposomal, Citrus Peach, 7.5 oz</t>
  </si>
  <si>
    <t>LP-AD-HGM-CV-SF-16Z-UN-01</t>
  </si>
  <si>
    <t>Hair Growth Max Liposomal, Almond Cookie, 15.22 oz</t>
  </si>
  <si>
    <t>LP-AD-HAR-CV-SF-014-UN-01</t>
  </si>
  <si>
    <t>Hair Care Liposomal, Maple French Toast, 0.5 oz 14-Pack</t>
  </si>
  <si>
    <t>LP-AD-IMM-CV-SF-16Z-UN-01</t>
  </si>
  <si>
    <t>Immunity Liposomal, Ginger Vanilla, 15.22 oz</t>
  </si>
  <si>
    <t>LP-AD-LYS-CV-SF-8OZ-UN-01</t>
  </si>
  <si>
    <t>Lysine Liposomal, Snickerdoodle, 8 oz</t>
  </si>
  <si>
    <t>LP-AD-MAG-CV-SF-16Z-UN-01</t>
  </si>
  <si>
    <t>Magnesium Liposomal, Almond Vanilla, 15.22 oz</t>
  </si>
  <si>
    <t>LP-AD-MSH-CV-SF-16Z-UN-01</t>
  </si>
  <si>
    <t>Mushroom Liposomal, Salted Chocolate, 15.22 oz</t>
  </si>
  <si>
    <t>LP-AD-QUR-CV-SF-16Z-UN-01</t>
  </si>
  <si>
    <t>Quercetin Liposomal, Tropical Smoothie, 15.22 oz</t>
  </si>
  <si>
    <t>LP-AD-TUR-CV-SF-16Z-RE-01</t>
  </si>
  <si>
    <t>Turmeric &amp; DHA Liposomal, Sweet Ginger, 15.22 oz</t>
  </si>
  <si>
    <t>LP-AD-ZNC-CV-SF-16Z-UN-01</t>
  </si>
  <si>
    <t>Zinc Liposomal, Blueberry, 15.22 oz</t>
  </si>
  <si>
    <t>LP-AD-GRY-CV-SF-16Z-UN-01</t>
  </si>
  <si>
    <t>Gray Guard Liposomal, Peach Vanilla, 15.22 oz</t>
  </si>
  <si>
    <t>Gummies</t>
  </si>
  <si>
    <t>GM-TD-MLT-CV-SF-060-UN-01</t>
  </si>
  <si>
    <t>Toddler Multivitamin Gummies, Strawberry Papaya &amp; Super Punch, 60 ct</t>
  </si>
  <si>
    <t>GM-TD-MLT-OG-SG-060-UN-01</t>
  </si>
  <si>
    <t>Toddler Multivitamin Gummies, Mixed Berry &amp; Cherry, Org, 60 ct</t>
  </si>
  <si>
    <t>GM-TD-MPB-OG-SG-060-UN-01</t>
  </si>
  <si>
    <t>Toddler Multivitamin &amp; Postbiotic Gummies, Mixed Berry &amp; Cherry, Org, 60 ct</t>
  </si>
  <si>
    <t>GM-KD-MLT-CV-SF-060-UN-02</t>
  </si>
  <si>
    <t>Kids Multivitamin Gummies, Strawberry Papaya &amp; Super Punch, 60 ct</t>
  </si>
  <si>
    <t>GM-KD-MLT-OG-SG-060-UN-01</t>
  </si>
  <si>
    <t>Kids Multivitamin Gummies, Mixed Berry &amp; Cherry, Org, 60 ct</t>
  </si>
  <si>
    <t>GM-KD-MPB-OG-SG-060-UN-01</t>
  </si>
  <si>
    <t>Kids Multivitamin &amp; Postbiotics Gummies, Mixed Berry &amp; Cherry, Org, 60 ct</t>
  </si>
  <si>
    <t>GM-TN-MLT-CV-SF-060-UN-01</t>
  </si>
  <si>
    <t>Teen Multivitamin Gummies, Strawberry Papaya &amp; Super Punch, 60 ct</t>
  </si>
  <si>
    <t>GM-AD-MLT-CV-SF-060-UN-01</t>
  </si>
  <si>
    <t>Adult Multivitamin Gummies, Strawberry Papaya &amp; Super Punch, 60 ct</t>
  </si>
  <si>
    <t>GM-WO-MLT-CV-SF-060-UN-02</t>
  </si>
  <si>
    <t>Women's Multivitamin Gummies, Strawberry, 60 ct</t>
  </si>
  <si>
    <t>GM-WO-MLT-OG-SG-060-UN-01</t>
  </si>
  <si>
    <t>Women's Multivitamin Gummies, Cherry &amp; Raspberry, Org, 60 ct</t>
  </si>
  <si>
    <t>GM-W4-MLT-CV-SF-060-UN-02</t>
  </si>
  <si>
    <t>Women's 40+ Multivitamin Gummies, Lemonade, 60 ct</t>
  </si>
  <si>
    <t>GM-ME-MLT-CV-SF-060-UN-02</t>
  </si>
  <si>
    <t>Men's Multivitamin Gummies, Papaya, 60 ct</t>
  </si>
  <si>
    <t>GM-ME-MLT-OG-SG-060-UN-01</t>
  </si>
  <si>
    <t>Men's Multivitamin Gummies, Cherry &amp; Raspberry, Org, 60 ct</t>
  </si>
  <si>
    <t>GM-M4-MLT-CV-SF-060-UN-01</t>
  </si>
  <si>
    <t>Men's 40+ Multivitamin Gummies, Raspberry, 60 ct</t>
  </si>
  <si>
    <t>GM-KD-PRO-OG-SG-060-RE-01</t>
  </si>
  <si>
    <t>Kids Probiotic Gummies, Strawberry, Org, 60 ct</t>
  </si>
  <si>
    <t>GM-AD-PRO-OG-SG-060-RE-01</t>
  </si>
  <si>
    <t>Adult Probiotic Gummies, Strawberry, Org, 60 ct</t>
  </si>
  <si>
    <t>GM-KD-IMM-OG-SG-060-UN-01</t>
  </si>
  <si>
    <t>Kids Immunity Gummies, Mixed Berry, Org, 60 ct</t>
  </si>
  <si>
    <t>GM-AD-IMM-CV-SG-090-UN-02</t>
  </si>
  <si>
    <t>Immunity Gummies, Cherry, 90 ct</t>
  </si>
  <si>
    <t>GM-AD-IMM-CV-SF-090-UN-02</t>
  </si>
  <si>
    <t>Immunity Gummies, Raspberry Lemonade, 90 ct</t>
  </si>
  <si>
    <t>GM-KD-VTC-OG-SG-060-UN-01</t>
  </si>
  <si>
    <t>Kids Vitamin C Gummies, Orange, Org, 60 ct</t>
  </si>
  <si>
    <t>GM-AD-VTC-OG-SG-060-UN-01</t>
  </si>
  <si>
    <t>Adult Vitamin C Gummies, Orange, Org, 60 ct</t>
  </si>
  <si>
    <t>GM-AD-VTC-CV-SF-060-RE-01</t>
  </si>
  <si>
    <t>Vitamin C Gummies, Cherry Orange &amp; Grape, 60 ct</t>
  </si>
  <si>
    <t>GM-AD-VD3-CV-SG-060-RE-01</t>
  </si>
  <si>
    <t>Vitamin D3 Gummies, Lemon Strawberry Orange, 60 ct</t>
  </si>
  <si>
    <t>GM-AD-VD3-OG-SG-060-UN-01</t>
  </si>
  <si>
    <t>Vitamin D3 Gummies, Strawberry, Org, 60 ct</t>
  </si>
  <si>
    <t>GM-AD-D3B-CV-SG-060-RE-01</t>
  </si>
  <si>
    <t>Vitamin D3+B12 Gummies, Strawberry, 60 ct</t>
  </si>
  <si>
    <t>GM-AD-D3B-OG-SG-060-UN-01</t>
  </si>
  <si>
    <t>Vitamin D3+B12 Gummies, Strawberry, Org, 60 ct</t>
  </si>
  <si>
    <t>GM-AD-D3B-CV-SF-060-UN-01</t>
  </si>
  <si>
    <t>Vitamin D3+B12 Gummies, Raspberry, 60 ct</t>
  </si>
  <si>
    <t>GM-AD-K2D-CV-SG-060-UN-01</t>
  </si>
  <si>
    <t>Vitamin K2+D3 Calcium Gummies, Peach Mango &amp; Apricot, 60 ct</t>
  </si>
  <si>
    <t>GM-AD-COQ-CV-SG-060-UN-02</t>
  </si>
  <si>
    <t>CoQ10 Gummies, Raspberry, 60 ct</t>
  </si>
  <si>
    <t>GM-AD-IRN-CV-SF-060-UN-02</t>
  </si>
  <si>
    <t>Adult Iron Gummies, Grape, 60 ct</t>
  </si>
  <si>
    <t>GM-AD-OMG-CV-SF-120-RE-01</t>
  </si>
  <si>
    <t>Omega 3-6-7-9 Gummies, Peach Mango &amp; Apricot, 120 ct</t>
  </si>
  <si>
    <t>GM-AD-OMG-CV-SF-060-UN-01</t>
  </si>
  <si>
    <t>Adult Omega 3 Gummies, Orange, 60 ct</t>
  </si>
  <si>
    <t>GM-KD-OM3-CV-SF-060-UN-01</t>
  </si>
  <si>
    <t>Kids Omega 3 Gummies, Orange, 60 ct</t>
  </si>
  <si>
    <t>GM-AD-BIO-CV-SF-060-UN-02</t>
  </si>
  <si>
    <t>Biotin Gummies, Goji Berry, 60 ct</t>
  </si>
  <si>
    <t>GM-AD-HSN-OG-SG-060-UN-01</t>
  </si>
  <si>
    <t>Hair, Skin, &amp; Nails Gummies, Strawberry, 60 ct, Org</t>
  </si>
  <si>
    <t>GM-AD-CLG-CV-SF-090-UN-01</t>
  </si>
  <si>
    <t>Collagen Boosting Gummies, Watermelon, 90 ct</t>
  </si>
  <si>
    <t>GM-AD-ACV-CV-SG-060-RE-01</t>
  </si>
  <si>
    <t>Apple Cider Vinegar Gummies, Apple, 60 ct</t>
  </si>
  <si>
    <t>GM-AD-TUR-CV-SF-120-RE-01</t>
  </si>
  <si>
    <t>Turmeric Gummies, Peach Mango, 120 ct</t>
  </si>
  <si>
    <t>GM-AD-EYE-CV-SF-090-UN-01</t>
  </si>
  <si>
    <t>Eye Vitamin Gummies, Strawberry, 90 ct</t>
  </si>
  <si>
    <t>GM-KD-SLP-CV-SF-060-UN-02</t>
  </si>
  <si>
    <t>Kids Sleep No Melatonin Gummies, Strawberry, 60 ct</t>
  </si>
  <si>
    <t>GM-KD-SLP-CV-SG-060-UN-01</t>
  </si>
  <si>
    <t>Kids Sleep Gummies, Berry, 60 ct</t>
  </si>
  <si>
    <t>GM-AD-SNM-CV-SF-060-UN-01</t>
  </si>
  <si>
    <t>Adult Sleep No Melatonin Gummies, Strawberry, 60 ct</t>
  </si>
  <si>
    <t>GM-AD-SLP-CV-SF-060-UN-01</t>
  </si>
  <si>
    <t>Adult Sleep Gummies, Passion Fruit Jasmine Tea, 60 ct</t>
  </si>
  <si>
    <t>GM-KD-MAG-CV-SF-060-UN-01</t>
  </si>
  <si>
    <t>Kids Magnesium Calm Gummies, Hibiscus, 60 ct</t>
  </si>
  <si>
    <t>GM-AD-MAG-CV-SF-060-UN-02</t>
  </si>
  <si>
    <t>Adult Magnesium Calm Gummies, Hibiscus, 60 ct</t>
  </si>
  <si>
    <t>GM-KD-FBR-CV-SF-060-UN-02</t>
  </si>
  <si>
    <t>Kids Fiber Gummies, Papaya, 60 ct</t>
  </si>
  <si>
    <t>GM-AD-FBR-CV-SF-060-UN-02</t>
  </si>
  <si>
    <t>Adult Fiber Gummies, Papaya, 60 ct</t>
  </si>
  <si>
    <t>GM-AD-GRN-CV-SF-060-UN-02</t>
  </si>
  <si>
    <t>Super Greens Gummies, Lemon Lime &amp; Orange, 60 ct</t>
  </si>
  <si>
    <t>GM-AD-CRN-OG-SG-060-UN-01</t>
  </si>
  <si>
    <t>Cranberry Gummies, Org, 60 ct</t>
  </si>
  <si>
    <t>GM-AD-SEA-CV-SF-060-UN-01</t>
  </si>
  <si>
    <t>Sea Moss Gummies, Green Apple, 60 ct</t>
  </si>
  <si>
    <t>Liquid Probiotics</t>
  </si>
  <si>
    <t>DR-IN-PRO-OG-SF-10Z-RE-02</t>
  </si>
  <si>
    <t>Infant Probiotic Drops, Unflavored, Org, 1 oz</t>
  </si>
  <si>
    <t>DR-IN-CLC-OG-SF-8ML-UN-01</t>
  </si>
  <si>
    <t>Infant Precision Probiotic Colic Drops, Unflavored, Org, 0.27 oz</t>
  </si>
  <si>
    <t>DR-KD-PRO-OG-SF-2OZ-UN-01</t>
  </si>
  <si>
    <t>Kids Probiotic Drops, Very Berry, Org, 2 oz</t>
  </si>
  <si>
    <t>DR-KD-DIG-OG-SF-05Z-UN-01</t>
  </si>
  <si>
    <t>Kids Precision Probiotic Digestion Drops, Raspberry, Org, 0.5 oz</t>
  </si>
  <si>
    <t>DR-TN-DIG-OG-SF-05Z-UN-01</t>
  </si>
  <si>
    <t>Teen's Precision Probiotic Digestion Drops, Raspberry, Org, 0.5 oz</t>
  </si>
  <si>
    <t>DR-WO-STR-OG-SF-05Z-UN-01</t>
  </si>
  <si>
    <t>Women's Precision Probiotic Stress &amp; Cognition Drops, Chocolate, Org, 0.5 oz</t>
  </si>
  <si>
    <t>DR-WO-DIG-OG-SF-05Z-UN-01</t>
  </si>
  <si>
    <t>Women's Precision Probiotic Digestion &amp; Immune Drops, Raspberry, Org, 0.5 oz</t>
  </si>
  <si>
    <t>DR-W4-DIG-OG-SF-05Z-UN-01</t>
  </si>
  <si>
    <t>Women's 40+ Precision Probiotic Digestion Drops, Raspberry, Org, 0.5 oz</t>
  </si>
  <si>
    <t>DR-AD-PRO-OG-SF-2OZ-UN-02</t>
  </si>
  <si>
    <t>Probiotic Drops, Unflavored, Org, 2 oz</t>
  </si>
  <si>
    <t>DR-AD-PRO-OG-SF-4OZ-RE-02</t>
  </si>
  <si>
    <t>Probiotic Drops, Unflavored, Org, 4 oz</t>
  </si>
  <si>
    <t>SP-AD-PRO-OG-XX-4OZ-UN-01</t>
  </si>
  <si>
    <t>Organic Topical Probiotic &amp; Postbiotic, 4 fl oz</t>
  </si>
  <si>
    <t>Capsule Probiotics</t>
  </si>
  <si>
    <t>CP-AD-GUT-CV-SF-060-UN-02</t>
  </si>
  <si>
    <t>Complete Gut Health+ Capsules, Unflavored, 60 ct</t>
  </si>
  <si>
    <t>CP-AD-WPR-CV-SF-060-UN-01</t>
  </si>
  <si>
    <t>Probiotic Weight Management+ Capsules, Unflavored, 60 ct</t>
  </si>
  <si>
    <t>CP-AD-BTY-CV-SF-060-UN-01</t>
  </si>
  <si>
    <t>Probiotic Beauty+ Capsules, Unflavored, 60 ct</t>
  </si>
  <si>
    <t>CP-AD-PTR-CV-SF-060-UN-01</t>
  </si>
  <si>
    <t>Probiotic Turmeric+ Capsules, Unflavored, 60 ct</t>
  </si>
  <si>
    <t>CP-WO-PNP-CV-SF-060-UN-01</t>
  </si>
  <si>
    <t>Postnatal Probiotic Capsules, Unflavored, 60 ct</t>
  </si>
  <si>
    <t>CP-WO-PRP-CV-SF-060-UN-01</t>
  </si>
  <si>
    <t>Prenatal+ Probiotic Capsules, Unflavored, 60 ct</t>
  </si>
  <si>
    <t>Sprays, Drops, Tablets</t>
  </si>
  <si>
    <t>DR-IN-MLT-OG-SF-2OZ-UN-01</t>
  </si>
  <si>
    <t>Infant Multivitamin Drops, Vanilla Orange, Org, 2 oz</t>
  </si>
  <si>
    <t>DR-IN-MTI-OG-SF-2OZ-UN-01</t>
  </si>
  <si>
    <t>Infant Multivitamin + Iron Drops, Vanilla Orange, Org, 2 oz</t>
  </si>
  <si>
    <t>DR-TD-MLT-OG-SF-2OZ-UN-01</t>
  </si>
  <si>
    <t>Toddler Multivitamin Drops, Vanilla Orange, Org, 2 oz</t>
  </si>
  <si>
    <t>DR-TD-MTI-OG-SF-2OZ-UN-01</t>
  </si>
  <si>
    <t>Toddler Multivitamin + Iron Drops, Vanilla Orange, Org, 2 oz</t>
  </si>
  <si>
    <t>DR-AD-VTA-OG-SF-1OZ-UN-01</t>
  </si>
  <si>
    <t>Vitamin A Drops, Unflavored, Org, 1 oz</t>
  </si>
  <si>
    <t>LiquidB12-3PL</t>
  </si>
  <si>
    <t>Vitamin B12 Spray, Berry, Org, 1 oz</t>
  </si>
  <si>
    <t>SP-AD-B12-OG-SF-1OZ-UN-01</t>
  </si>
  <si>
    <t>Vitamin B12 Spray, Strawberry, Org, 1 oz</t>
  </si>
  <si>
    <t>DR-AD-VBX-OG-SF-1OZ-RE-01</t>
  </si>
  <si>
    <t>Vitamin B Complex Drops, Cherry, Org, 1 oz</t>
  </si>
  <si>
    <t>DR-IN-VTC-OG-SF-2OZ-UN-01</t>
  </si>
  <si>
    <t>Infant Vitamin C Drops, Orange Vanilla, Org, 2 oz</t>
  </si>
  <si>
    <t>DR-KD-VTC-OG-SF-2OZ-UN-01</t>
  </si>
  <si>
    <t>Kids Vitamin C Drops, Orange Vanilla, Org, 2 oz</t>
  </si>
  <si>
    <t>DR-TD-VTC-OG-SF-1OZ-UN-01</t>
  </si>
  <si>
    <t>Toddler Vitamin C Drops, Orange Vanilla, Org, 1 oz</t>
  </si>
  <si>
    <t>DR-AD-VTC-OG-SF-4OZ-RE-01</t>
  </si>
  <si>
    <t>Adult Vitamin C Drops, Orange Vanilla, Org, 4 oz</t>
  </si>
  <si>
    <t>DR-IN-VD3-OG-SF-05Z-UN-01</t>
  </si>
  <si>
    <t>Infant &amp; Toddler Vitamin D3 Drops, Unflavored, Org, 0.5 oz</t>
  </si>
  <si>
    <t>DR-KD-VD3-OG-SF-05Z-UN-01</t>
  </si>
  <si>
    <t>Kids Vitamin D3 Drops, Orange, Org, 0.5 oz</t>
  </si>
  <si>
    <t>SP-AD-VD3-OG-SF-1OZ-RE-01</t>
  </si>
  <si>
    <t>Vitamin D3 Spray, Unflavored, Org, 1 oz</t>
  </si>
  <si>
    <t>DR-AD-MD3-OG-SF-1OZ-UN-01</t>
  </si>
  <si>
    <t>Vitamin D3 Drops, Pineapple, Org, 1 oz</t>
  </si>
  <si>
    <t>DR-TD-D3K-OG-SF-1OZ-UN-01</t>
  </si>
  <si>
    <t>Toddler Vitamin D3+K2 Drops, Unflavored, Org, 1 oz</t>
  </si>
  <si>
    <t>SP-AD-D3K-OG-SF-1OZ-RE-01</t>
  </si>
  <si>
    <t>Vitamin D3+K2 Spray, Unflavored, Org, 1 oz</t>
  </si>
  <si>
    <t>DR-AD-VTE-OG-SF-2OZ-RE-01</t>
  </si>
  <si>
    <t>Vitamin E Drops, Orange, Org, 2 oz</t>
  </si>
  <si>
    <t>DR-AD-K2M-OG-SF-1OZ-UN-01</t>
  </si>
  <si>
    <t>Vitamin K2 MK7 Drops, Unflavored, Org, 1 oz</t>
  </si>
  <si>
    <t>DR-AD-LTH-CV-SF-2OZ-UN-01</t>
  </si>
  <si>
    <t>L-Theanine Drops, Lemon Lime, 2 oz</t>
  </si>
  <si>
    <t>DR-WO-PNO-CV-SF-2OZ-UN-03</t>
  </si>
  <si>
    <t>Prenatal Postnatal Omega-3 Drops, Orange, 2 oz</t>
  </si>
  <si>
    <t>DR-IN-OM3-OG-SF-1OZ-UN-01</t>
  </si>
  <si>
    <t>Infant &amp; Toddler Omega-3 Drops, Unflavored, Org, 1 oz</t>
  </si>
  <si>
    <t>DR-FM-OMG-CV-SF-1OZ-UN-02</t>
  </si>
  <si>
    <t>Omega-3 Drops, Orange, 1 oz</t>
  </si>
  <si>
    <t>DR-AD-IDN-OG-SF-1OZ-UN-01</t>
  </si>
  <si>
    <t>Iodine Drops, Unflavored, Org, 1 oz</t>
  </si>
  <si>
    <t>DR-IN-ZNC-OG-SF-2OZ-UN-02</t>
  </si>
  <si>
    <t>Infant Zinc Drops, Unflavored, Org, 2 oz</t>
  </si>
  <si>
    <t>DR-TD-ZNC-OG-SF-2OZ-UN-02</t>
  </si>
  <si>
    <t>Toddler Zinc Drops, Berry, Org, 2 oz</t>
  </si>
  <si>
    <t>DR-KD-ZNC-OG-SF-2OZ-UN-02</t>
  </si>
  <si>
    <t>Kids Zinc Drops, Berry, Org, 2 oz</t>
  </si>
  <si>
    <t>DR-AD-ZNC-OG-SF-4OZ-RE-01</t>
  </si>
  <si>
    <t>Zinc Drops, Unflavored, Org, 4 oz</t>
  </si>
  <si>
    <t>DR-AD-ZST-OG-SF-4OZ-UN-01</t>
  </si>
  <si>
    <t>Zinc Drops, Strawberry Lemon, Org, 4 oz</t>
  </si>
  <si>
    <t>BL-WO-PPI-CV-SF-16Z-UN-03</t>
  </si>
  <si>
    <t>Prenatal Postnatal Iron Liquid, Berry, 15.22 oz</t>
  </si>
  <si>
    <t>DR-TD-IRN-OG-SF-2OZ-UN-01</t>
  </si>
  <si>
    <t>Toddler Iron Drops, Grape, Org, 2 oz</t>
  </si>
  <si>
    <t>BL-AD-IRN-CV-SF-16Z-UN-02</t>
  </si>
  <si>
    <t>Iron Liquid, Berry, 15.22 oz</t>
  </si>
  <si>
    <t>DR-AD-QUR-CV-SF-4OZ-UN-01</t>
  </si>
  <si>
    <t>Quercetin Drops, Lemon, 4 oz</t>
  </si>
  <si>
    <t>CP-AD-NAC-CV-SF-060-UN-01</t>
  </si>
  <si>
    <t>NAC Capsules, 120 ct</t>
  </si>
  <si>
    <t>Herbals</t>
  </si>
  <si>
    <t>DR-AD-ASH-OG-SF-1OZ-UN-01</t>
  </si>
  <si>
    <t>Ashwagandha Drops, Org, 1 oz</t>
  </si>
  <si>
    <t>DR-AD-AGN-OG-SF-1OZ-UN-01</t>
  </si>
  <si>
    <t>Asian Ginseng Drops, Org, 1 oz</t>
  </si>
  <si>
    <t>DR-AD-AST-OG-SF-1OZ-UN-01</t>
  </si>
  <si>
    <t>Astragalus Root Drops, Org, 1 oz</t>
  </si>
  <si>
    <t>DR-AD-KAV-OG-SF-1OZ-UN-01</t>
  </si>
  <si>
    <t>Kava Drops, Org, 1 oz</t>
  </si>
  <si>
    <t>DR-AD-CCL-CV-SF-1OZ-UN-01</t>
  </si>
  <si>
    <t>Cat's Claw Drops, 1 oz</t>
  </si>
  <si>
    <t>CP-AD-CHR-CV-SF-060-UN-01</t>
  </si>
  <si>
    <t>Charcoal Capsules, 40 ct</t>
  </si>
  <si>
    <t>DR-AD-CHL-CV-SF-2OZ-RE-01</t>
  </si>
  <si>
    <t>Chlorophyll Drops, Peppermint, 2 oz</t>
  </si>
  <si>
    <t>DR-AD-ECH-OG-SF-1OZ-UN-01</t>
  </si>
  <si>
    <t>Echinacea Purpurea Drops, Org, 1 oz</t>
  </si>
  <si>
    <t>TB-AD-ELD-CV-SF-090-UN-01</t>
  </si>
  <si>
    <t>Elderberry Chewable Tablets, Blueberry Raspberry, 90 ct</t>
  </si>
  <si>
    <t>DR-TD-ELB-OG-SF-1OZ-UN-01</t>
  </si>
  <si>
    <t>Toddler Elderberry Drops, Blueberry Raspberry, Org, 1 oz</t>
  </si>
  <si>
    <t>DR-KD-ELD-OG-SF-1OZ-UN-01</t>
  </si>
  <si>
    <t>Kids Elderberry Drops, Blueberry Raspberry, Org, 1 oz</t>
  </si>
  <si>
    <t>DR-AD-ELD-OG-SF-1OZ-UN-01</t>
  </si>
  <si>
    <t>Elderberry Drops, Blueberry Raspberry, Org, 1 oz</t>
  </si>
  <si>
    <t>DR-AD-ELX-OG-SF-2OZ-UN-01</t>
  </si>
  <si>
    <t>Elderberry Extra Drops, Blueberry Raspberry, Org, 2 oz</t>
  </si>
  <si>
    <t>DR-AD-GKG-OG-SF-1OZ-UN-01</t>
  </si>
  <si>
    <t>Ginkgo Drops, Org, 1 oz</t>
  </si>
  <si>
    <t>DR-AD-GIN-OG-SF-1OZ-UN-01</t>
  </si>
  <si>
    <t>Ginseng Drops, 1 oz</t>
  </si>
  <si>
    <t>DR-AD-GFS-CV-SF-1OZ-UN-01</t>
  </si>
  <si>
    <t>Grapefruit Seed Drops, 1 oz</t>
  </si>
  <si>
    <t>DR-AD-HOL-OG-SF-1OZ-UN-01</t>
  </si>
  <si>
    <t>Holy Basil Leaf Drops, 1 oz</t>
  </si>
  <si>
    <t>DR-AD-JNT-CV-SF-1OZ-UN-01</t>
  </si>
  <si>
    <t>Joint Health Drops, Org, 1 oz</t>
  </si>
  <si>
    <t>DR-AD-KBL-OG-SF-1OZ-UN-01</t>
  </si>
  <si>
    <t>Kidney &amp; Bladder Drops, 1 oz</t>
  </si>
  <si>
    <t>DR-AD-LEM-OG-SF-1OZ-UN-01</t>
  </si>
  <si>
    <t>Lemon Balm Drops, 1 oz</t>
  </si>
  <si>
    <t>DR-AD-LNM-OG-SF-1OZ-UN-01</t>
  </si>
  <si>
    <t>Lion's Mane Drops, Org, 1 oz</t>
  </si>
  <si>
    <t>DR-AD-LYM-OG-SF-1OZ-UN-01</t>
  </si>
  <si>
    <t>Lymphatic Cleanse Drops, Org, 1 oz</t>
  </si>
  <si>
    <t>DR-AD-MAC-OG-SF-1OZ-UN-01</t>
  </si>
  <si>
    <t>Maca Root Drops, Org, 1 oz</t>
  </si>
  <si>
    <t>DR-AD-MTH-OG-SF-1OZ-UN-01</t>
  </si>
  <si>
    <t>Milk Thistle Drops, Org, 1 oz</t>
  </si>
  <si>
    <t>DR-AD-MSH-OG-SF-1OZ-UN-01</t>
  </si>
  <si>
    <t>Mushroom Complex Drops, Org, 1 oz</t>
  </si>
  <si>
    <t>DR-AD-ORG-OG-SF-1OZ-UN-01</t>
  </si>
  <si>
    <t>Oil of Oregano Drops, Org, 1 oz</t>
  </si>
  <si>
    <t>DR-AD-FCS-OG-SF-1OZ-UN-01</t>
  </si>
  <si>
    <t>Adult Adrenal &amp; Focus Drops, Org, 1 oz</t>
  </si>
  <si>
    <t>DR-KD-FCS-OG-XX-1OZ-RE-01</t>
  </si>
  <si>
    <t>Kids Focus &amp; Attention Drops, Org, 1 oz</t>
  </si>
  <si>
    <t>DR-AD-PDA-CV-SF-1OZ-UN-01</t>
  </si>
  <si>
    <t>Pau D’Arco Drops, 1 oz</t>
  </si>
  <si>
    <t>DR-AD-RSP-OG-SF-1OZ-UN-01</t>
  </si>
  <si>
    <t>Respiratory Drops, Org, 1 oz</t>
  </si>
  <si>
    <t>DR-AD-SEA-OG-SF-1OZ-UN-01</t>
  </si>
  <si>
    <t>Sea Moss Drops, Org, 1 oz</t>
  </si>
  <si>
    <t>DR-AD-SNL-OG-SF-1OZ-UN-01</t>
  </si>
  <si>
    <t>Stinging Nettle Drops, Org, 1 oz</t>
  </si>
  <si>
    <t>DR-AD-TUR-OG-SF-1OZ-UN-01</t>
  </si>
  <si>
    <t>Turmeric Drops, Org, 1 oz</t>
  </si>
  <si>
    <t>DR-AD-TRG-OG-SF-1OZ-UN-01</t>
  </si>
  <si>
    <t>Turmeric Gold Drops, Org, 1 oz</t>
  </si>
  <si>
    <t>DR-AD-VAL-OG-SF-1OZ-UN-01</t>
  </si>
  <si>
    <t>Valerian Drops, Org, 1 oz</t>
  </si>
  <si>
    <t>DR-WO-WEL-OG-SF-1OZ-UN-01</t>
  </si>
  <si>
    <t>Women's Wellness Drops, Org, 1 oz</t>
  </si>
  <si>
    <t>DR-AD-PSO-OG-SF-1OZ-UN-01</t>
  </si>
  <si>
    <t>Pumpkin Seed Drops, Org, 1 oz</t>
  </si>
  <si>
    <t>DR-AD-BSO-OG-SF-2OZ-UN-01</t>
  </si>
  <si>
    <t>Black Seed Oil Drops, Org, 2 oz</t>
  </si>
  <si>
    <t>SP-AD-SRP-CV-XX-2OZ-UN-01</t>
  </si>
  <si>
    <t>Sarracenia Purpurea Spray, 2 oz</t>
  </si>
  <si>
    <t>Enzymes</t>
  </si>
  <si>
    <t>CP-AD-DIG-CV-SF-060-UN-01</t>
  </si>
  <si>
    <t>Digestive Enzymes Capsules, Unflavored, 60 ct</t>
  </si>
  <si>
    <t>CP-AD-ULT-CV-SF-060-RE-01</t>
  </si>
  <si>
    <t>Ultra Digestive Enzymes Capsules, Unflavored, 60 ct</t>
  </si>
  <si>
    <t>CP-AD-GLU-CV-SF-060-RE-01</t>
  </si>
  <si>
    <t>Gluten Enzymes Capsules, Unflavored, 60 ct</t>
  </si>
  <si>
    <t>CP-AD-GFH-CV-SF-060-UN-01</t>
  </si>
  <si>
    <t>Gut Flora Health+ Capsules, Unflavored, 60 ct</t>
  </si>
  <si>
    <t>CP-AD-LIV-CV-SF-060-UN-01</t>
  </si>
  <si>
    <t>Lipase Enzymes Capsules, Unflavored, 60 ct</t>
  </si>
  <si>
    <t>CP-AD-SYS-CV-SF-060-UN-01</t>
  </si>
  <si>
    <t>Serrapeptase Enzymes Capsules, Unflavored, 60 ct</t>
  </si>
  <si>
    <t>Capsules &amp; Powders</t>
  </si>
  <si>
    <t>CP-XX-BER-CV-SF-060-UN-01</t>
  </si>
  <si>
    <t>Berberine Capsules, Unflavored, 60 ct</t>
  </si>
  <si>
    <t>PD-AD-OGB-CV-XX-15G-UN-01</t>
  </si>
  <si>
    <t>Gas &amp; Bloat Powder, Unflavored, 0.05 oz</t>
  </si>
  <si>
    <t>PD-WO-MPS-CV-XX-15G-UN-01</t>
  </si>
  <si>
    <t>Menopause Support Powder, Unflavored, 0.05 oz</t>
  </si>
  <si>
    <t>PD-WO-VSP-CV-XX-15G-UN-01</t>
  </si>
  <si>
    <t>Vaginal Support Powder, Unflavored, 0.05 oz</t>
  </si>
  <si>
    <t>Price</t>
  </si>
  <si>
    <t>Order</t>
  </si>
  <si>
    <t>Total</t>
  </si>
  <si>
    <t>BL-AD-MLC-CV-SF-16Z-UN-01</t>
  </si>
  <si>
    <t>Morning Multivitamin +Hair Growth Liquid, Peach Mango, 15.22 fl oz</t>
  </si>
  <si>
    <t>LP-M4-MLT-CV-014-UN-01</t>
  </si>
  <si>
    <t>GM-WO-PP-OG-SG-060-UN-01</t>
  </si>
  <si>
    <t>Prenatal Postnatal Multivitamin Gummies, Strawberry, Org, 60 ct</t>
  </si>
  <si>
    <t>CP-WO-DHL-CV-SF-030-UN-01</t>
  </si>
  <si>
    <t>Women's 3-in-1 Daily Probiotic Capsules, 30 ct</t>
  </si>
  <si>
    <t>CP-W4-DHL-CV-SF-030-UN-01</t>
  </si>
  <si>
    <t>Women's 40+ 3-in-1 Daily Probiotic Capsules, 30 ct</t>
  </si>
  <si>
    <t>CP-AD-DIG-CV-SF-030-UN-01</t>
  </si>
  <si>
    <t>3-in-1 Digestive Health Probiotic Capsules, 30 ct</t>
  </si>
  <si>
    <t>USA → +13-322-093-910</t>
  </si>
  <si>
    <t>Poland → +48-459-568-603</t>
  </si>
  <si>
    <t>WhatsApp → +380-9871-54085</t>
  </si>
  <si>
    <t>E-mail → info@dsn.group</t>
  </si>
  <si>
    <t>Instagram → https://www.instagram.com/dsngroup.official/</t>
  </si>
  <si>
    <r>
      <rPr>
        <b/>
        <sz val="8.5"/>
        <color rgb="FFFF0000"/>
        <rFont val="Calibri"/>
        <family val="2"/>
        <charset val="204"/>
        <scheme val="minor"/>
      </rPr>
      <t>Importantly!</t>
    </r>
    <r>
      <rPr>
        <sz val="8.5"/>
        <color rgb="FF000000"/>
        <rFont val="Calibri"/>
        <family val="2"/>
        <charset val="204"/>
        <scheme val="minor"/>
      </rPr>
      <t xml:space="preserve">
- The minimum order amount is € / $ 5,000 per brand
- delivery EX Work from Poland or Lithuania
- this offer is valid within the current month
- order is possible only rounded by boxes
- due to the raw material crisis in the market, prices could be changed without prior notice</t>
    </r>
  </si>
  <si>
    <t>Weight, kg</t>
  </si>
  <si>
    <t>Unіt Freight Cost</t>
  </si>
  <si>
    <t>unit, key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</si>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</sst>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_-[$$-409]* #,##0.00_ ;_-[$$-409]* \-#,##0.00\ ;_-[$$-409]* &quot;-&quot;??_ ;_-@_ "/>
    <numFmt numFmtId="166" formatCode="[$$-409]#,##0.00"/>
  </numFmts>
  <fonts count="17" x14ac:knownFonts="1">
    <font>
      <sz val="10"/>
      <color rgb="FF000000"/>
      <name val="Calibri"/>
      <scheme val="minor"/>
    </font>
    <font>
      <sz val="8"/>
      <color rgb="FF000000"/>
      <name val="Calibri"/>
      <family val="2"/>
      <charset val="204"/>
      <scheme val="minor"/>
    </font>
    <font>
      <sz val="8.5"/>
      <color rgb="FF000000"/>
      <name val="Calibri"/>
      <family val="2"/>
      <charset val="204"/>
      <scheme val="minor"/>
    </font>
    <font>
      <b/>
      <sz val="8"/>
      <color rgb="FF434343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9"/>
      <color rgb="FF000000"/>
      <name val="Calibri"/>
      <family val="2"/>
      <charset val="204"/>
      <scheme val="minor"/>
    </font>
    <font>
      <b/>
      <sz val="10"/>
      <color rgb="FFFFFFFF"/>
      <name val="Calibri"/>
      <family val="2"/>
      <charset val="204"/>
      <scheme val="minor"/>
    </font>
    <font>
      <b/>
      <sz val="10"/>
      <color theme="0"/>
      <name val="Calibri"/>
      <family val="2"/>
      <charset val="204"/>
      <scheme val="minor"/>
    </font>
    <font>
      <b/>
      <sz val="8"/>
      <color rgb="FF000000"/>
      <name val="Calibri"/>
      <family val="2"/>
      <charset val="204"/>
      <scheme val="minor"/>
    </font>
    <font>
      <b/>
      <sz val="8.5"/>
      <color rgb="FFFF0000"/>
      <name val="Calibri"/>
      <family val="2"/>
      <charset val="204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6AB6E3"/>
      </patternFill>
    </fill>
    <fill>
      <patternFill patternType="solid">
        <fgColor theme="4" tint="0.79998168889431442"/>
        <bgColor rgb="FFD1EDF7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79">
    <xf numFmtId="0" fontId="0" fillId="0" borderId="0" xfId="0"/>
    <xf numFmtId="0" fontId="5" fillId="0" borderId="0" xfId="0" applyFont="1"/>
    <xf numFmtId="14" fontId="6" fillId="0" borderId="0" xfId="0" applyNumberFormat="1" applyFont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right"/>
    </xf>
    <xf numFmtId="1" fontId="4" fillId="0" borderId="6" xfId="0" applyNumberFormat="1" applyFont="1" applyBorder="1" applyAlignment="1">
      <alignment horizontal="right"/>
    </xf>
    <xf numFmtId="164" fontId="7" fillId="2" borderId="7" xfId="0" applyNumberFormat="1" applyFont="1" applyFill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4" fillId="0" borderId="9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9" fontId="4" fillId="0" borderId="9" xfId="0" applyNumberFormat="1" applyFont="1" applyBorder="1"/>
    <xf numFmtId="9" fontId="4" fillId="0" borderId="10" xfId="0" applyNumberFormat="1" applyFont="1" applyBorder="1"/>
    <xf numFmtId="0" fontId="7" fillId="2" borderId="1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1" fontId="4" fillId="0" borderId="4" xfId="0" applyNumberFormat="1" applyFont="1" applyBorder="1" applyAlignment="1">
      <alignment horizontal="right"/>
    </xf>
    <xf numFmtId="9" fontId="4" fillId="0" borderId="8" xfId="0" applyNumberFormat="1" applyFont="1" applyBorder="1"/>
    <xf numFmtId="0" fontId="4" fillId="0" borderId="14" xfId="0" applyFont="1" applyBorder="1"/>
    <xf numFmtId="0" fontId="1" fillId="0" borderId="4" xfId="0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" fontId="3" fillId="3" borderId="2" xfId="0" applyNumberFormat="1" applyFont="1" applyFill="1" applyBorder="1" applyAlignment="1">
      <alignment horizontal="right"/>
    </xf>
    <xf numFmtId="0" fontId="3" fillId="3" borderId="7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1" fontId="4" fillId="0" borderId="17" xfId="0" applyNumberFormat="1" applyFont="1" applyBorder="1" applyAlignment="1">
      <alignment horizontal="right"/>
    </xf>
    <xf numFmtId="9" fontId="4" fillId="0" borderId="18" xfId="0" applyNumberFormat="1" applyFont="1" applyBorder="1"/>
    <xf numFmtId="0" fontId="4" fillId="0" borderId="19" xfId="0" applyFont="1" applyBorder="1"/>
    <xf numFmtId="0" fontId="1" fillId="0" borderId="17" xfId="0" applyFont="1" applyBorder="1" applyAlignment="1">
      <alignment horizontal="center"/>
    </xf>
    <xf numFmtId="164" fontId="1" fillId="0" borderId="20" xfId="0" applyNumberFormat="1" applyFont="1" applyBorder="1" applyAlignment="1">
      <alignment horizontal="center"/>
    </xf>
    <xf numFmtId="0" fontId="4" fillId="0" borderId="8" xfId="0" applyFont="1" applyBorder="1"/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15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0" fontId="9" fillId="0" borderId="16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4" fontId="7" fillId="2" borderId="2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0" fontId="11" fillId="0" borderId="1" xfId="0" applyFont="1" applyBorder="1" applyAlignment="1" applyProtection="1">
      <alignment horizontal="center"/>
      <protection hidden="1"/>
    </xf>
    <xf numFmtId="0" fontId="13" fillId="0" borderId="14" xfId="1" applyFont="1" applyBorder="1" applyAlignment="1" applyProtection="1">
      <alignment horizontal="center"/>
      <protection hidden="1"/>
    </xf>
    <xf numFmtId="0" fontId="13" fillId="0" borderId="15" xfId="1" applyFont="1" applyBorder="1" applyAlignment="1" applyProtection="1">
      <alignment horizontal="center"/>
      <protection hidden="1"/>
    </xf>
    <xf numFmtId="0" fontId="13" fillId="0" borderId="19" xfId="1" applyFont="1" applyBorder="1" applyAlignment="1" applyProtection="1">
      <alignment horizontal="center"/>
      <protection hidden="1"/>
    </xf>
    <xf numFmtId="0" fontId="13" fillId="0" borderId="22" xfId="1" applyFont="1" applyBorder="1" applyAlignment="1" applyProtection="1">
      <alignment horizontal="center"/>
      <protection hidden="1"/>
    </xf>
    <xf numFmtId="0" fontId="13" fillId="0" borderId="16" xfId="1" applyFont="1" applyBorder="1" applyAlignment="1" applyProtection="1">
      <alignment horizontal="center"/>
      <protection hidden="1"/>
    </xf>
    <xf numFmtId="164" fontId="1" fillId="0" borderId="23" xfId="0" applyNumberFormat="1" applyFon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164" fontId="3" fillId="3" borderId="26" xfId="0" applyNumberFormat="1" applyFont="1" applyFill="1" applyBorder="1" applyAlignment="1">
      <alignment horizontal="center"/>
    </xf>
    <xf numFmtId="164" fontId="1" fillId="0" borderId="27" xfId="0" applyNumberFormat="1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3" borderId="28" xfId="0" applyFont="1" applyFill="1" applyBorder="1" applyAlignment="1">
      <alignment horizontal="center"/>
    </xf>
    <xf numFmtId="14" fontId="14" fillId="4" borderId="1" xfId="0" applyNumberFormat="1" applyFont="1" applyFill="1" applyBorder="1" applyAlignment="1">
      <alignment horizontal="center" vertical="center" wrapText="1"/>
    </xf>
    <xf numFmtId="14" fontId="14" fillId="4" borderId="29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165" fontId="15" fillId="4" borderId="1" xfId="0" applyNumberFormat="1" applyFont="1" applyFill="1" applyBorder="1" applyAlignment="1" applyProtection="1">
      <alignment horizontal="center" vertical="center" wrapText="1" readingOrder="1"/>
      <protection hidden="1"/>
    </xf>
    <xf numFmtId="166" fontId="14" fillId="4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 applyProtection="1">
      <alignment horizontal="center" vertical="center" wrapText="1" readingOrder="1"/>
      <protection locked="0"/>
    </xf>
    <xf numFmtId="14" fontId="14" fillId="4" borderId="30" xfId="0" applyNumberFormat="1" applyFont="1" applyFill="1" applyBorder="1" applyAlignment="1">
      <alignment horizontal="center" vertical="center" wrapText="1"/>
    </xf>
    <xf numFmtId="4" fontId="14" fillId="5" borderId="30" xfId="0" applyNumberFormat="1" applyFont="1" applyFill="1" applyBorder="1" applyAlignment="1">
      <alignment horizontal="center" vertical="center"/>
    </xf>
    <xf numFmtId="165" fontId="15" fillId="5" borderId="1" xfId="0" applyNumberFormat="1" applyFont="1" applyFill="1" applyBorder="1" applyAlignment="1" applyProtection="1">
      <alignment horizontal="center" vertical="center" wrapText="1" readingOrder="1"/>
      <protection hidden="1"/>
    </xf>
    <xf numFmtId="165" fontId="15" fillId="0" borderId="0" xfId="0" applyNumberFormat="1" applyFont="1" applyAlignment="1" applyProtection="1">
      <alignment vertical="center" wrapText="1" readingOrder="1"/>
      <protection hidden="1"/>
    </xf>
    <xf numFmtId="0" fontId="14" fillId="6" borderId="1" xfId="0" applyFont="1" applyFill="1" applyBorder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</cellXfs>
  <cellStyles count="2">
    <cellStyle name="Excel Built-in Normal" xfId="1" xr:uid="{4A3E589A-EBD0-44EC-A3C9-8687113A234E}"/>
    <cellStyle name="Звичайний" xfId="0" builtinId="0"/>
  </cellStyles>
  <dxfs count="3">
    <dxf>
      <fill>
        <patternFill>
          <bgColor rgb="FF92D050"/>
        </patternFill>
      </fill>
    </dxf>
    <dxf>
      <fill>
        <patternFill patternType="solid">
          <fgColor rgb="FFD1EDF7"/>
          <bgColor rgb="FFD1EDF7"/>
        </patternFill>
      </fill>
    </dxf>
    <dxf>
      <fill>
        <patternFill patternType="solid">
          <fgColor rgb="FFD1EDF7"/>
          <bgColor rgb="FFD1EDF7"/>
        </patternFill>
      </fill>
    </dxf>
  </dxfs>
  <tableStyles count="0" defaultTableStyle="TableStyleMedium2" defaultPivotStyle="PivotStyleLight16"/>
  <colors>
    <mruColors>
      <color rgb="FFFF6600"/>
      <color rgb="FFEB6935"/>
      <color rgb="FFF5AE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160020</xdr:colOff>
      <xdr:row>0</xdr:row>
      <xdr:rowOff>0</xdr:rowOff>
    </xdr:from>
    <xdr:to>
      <xdr:col>8</xdr:col>
      <xdr:colOff>0</xdr:colOff>
      <xdr:row>0</xdr:row>
      <xdr:rowOff>860775</xdr:rowOff>
    </xdr:to>
    <xdr:pic>
      <xdr:nvPicPr>
        <xdr:cNvPr id="3" name="Рисунок 2" descr="Thank You to All Educators!">
          <a:extLst>
            <a:ext uri="{FF2B5EF4-FFF2-40B4-BE49-F238E27FC236}">
              <a16:creationId xmlns:a16="http://schemas.microsoft.com/office/drawing/2014/main" id="{58187838-F15D-1845-C9F0-B691067E8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4520" y="0"/>
          <a:ext cx="2636520" cy="860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967196</xdr:colOff>
      <xdr:row>209</xdr:row>
      <xdr:rowOff>28025</xdr:rowOff>
    </xdr:from>
    <xdr:to>
      <xdr:col>2</xdr:col>
      <xdr:colOff>2567396</xdr:colOff>
      <xdr:row>209</xdr:row>
      <xdr:rowOff>340898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9A2E8D99-1506-41ED-BC21-E4EE40F2C71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836" y="37823225"/>
          <a:ext cx="1600200" cy="312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728"/>
  <sheetViews>
    <sheetView tabSelected="1" zoomScale="80" zoomScaleNormal="80" workbookViewId="0">
      <pane ySplit="2" topLeftCell="A3" activePane="bottomLeft" state="frozen"/>
      <selection pane="bottomLeft" activeCell="K10" sqref="A10:K10"/>
    </sheetView>
  </sheetViews>
  <sheetFormatPr defaultColWidth="14.44140625" defaultRowHeight="15.75" customHeight="1" x14ac:dyDescent="0.3"/>
  <cols>
    <col min="1" max="1" width="11" bestFit="1" customWidth="1"/>
    <col min="2" max="2" width="20.109375" bestFit="1" customWidth="1"/>
    <col min="3" max="3" width="50.33203125" bestFit="1" customWidth="1"/>
    <col min="4" max="6" width="8.5546875" customWidth="1"/>
    <col min="7" max="7" width="8" customWidth="1"/>
    <col min="8" max="8" width="7.109375" customWidth="1"/>
    <col min="9" max="9" width="8.5546875" style="43" customWidth="1"/>
    <col min="10" max="10" width="9.33203125" bestFit="1" customWidth="1"/>
    <col min="11" max="11" width="12.88671875" customWidth="1"/>
    <col min="12" max="12" width="5.109375" customWidth="1"/>
    <col min="13" max="18" width="10.44140625" customWidth="1"/>
  </cols>
  <sheetData>
    <row r="1" spans="1:18" ht="73.2" customHeight="1" thickBot="1" x14ac:dyDescent="0.35">
      <c r="A1" s="62" t="s">
        <v>414</v>
      </c>
      <c r="B1" s="63"/>
      <c r="C1" s="63"/>
      <c r="D1" s="63"/>
      <c r="E1" s="63"/>
      <c r="F1" s="63"/>
      <c r="G1" s="63"/>
      <c r="H1" s="63"/>
      <c r="I1" s="63"/>
      <c r="J1" s="63"/>
      <c r="K1" s="2">
        <v>45454</v>
      </c>
      <c r="M1" s="65" t="s">
        <v>416</v>
      </c>
      <c r="N1" s="66" t="s">
        <v>417</v>
      </c>
      <c r="O1" s="67" t="s">
        <v>415</v>
      </c>
      <c r="P1" s="68" t="s">
        <v>418</v>
      </c>
      <c r="R1" s="69" t="str">
        <f>IFERROR(IF(SUM(R3:R277)=0, "-", K2+P2), "-")</f>
        <v>-</v>
      </c>
    </row>
    <row r="2" spans="1:18" s="1" customFormat="1" ht="28.2" customHeight="1" thickBot="1" x14ac:dyDescent="0.35">
      <c r="A2" s="3" t="s">
        <v>0</v>
      </c>
      <c r="B2" s="14" t="s">
        <v>1</v>
      </c>
      <c r="C2" s="17" t="s">
        <v>2</v>
      </c>
      <c r="D2" s="11" t="s">
        <v>3</v>
      </c>
      <c r="E2" s="17" t="s">
        <v>4</v>
      </c>
      <c r="F2" s="48" t="s">
        <v>415</v>
      </c>
      <c r="G2" s="48" t="s">
        <v>5</v>
      </c>
      <c r="H2" s="7" t="s">
        <v>395</v>
      </c>
      <c r="I2" s="37" t="s">
        <v>396</v>
      </c>
      <c r="J2" s="4" t="s">
        <v>397</v>
      </c>
      <c r="K2" s="4">
        <f>SUM(J4:J200)</f>
        <v>0</v>
      </c>
      <c r="M2" s="70"/>
      <c r="N2" s="71"/>
      <c r="O2" s="72" t="str">
        <f>IF(SUM(O3:O277)=0, "-", SUM(O3:O277))</f>
        <v>-</v>
      </c>
      <c r="P2" s="73" t="str">
        <f>IF(SUM(P3:P277)=0, "-", SUM(P3:P277))</f>
        <v>-</v>
      </c>
      <c r="Q2" s="74"/>
      <c r="R2" s="75" t="s">
        <v>419</v>
      </c>
    </row>
    <row r="3" spans="1:18" ht="15" thickBot="1" x14ac:dyDescent="0.35">
      <c r="A3" s="25"/>
      <c r="B3" s="26"/>
      <c r="C3" s="27" t="s">
        <v>6</v>
      </c>
      <c r="D3" s="28"/>
      <c r="E3" s="26"/>
      <c r="F3" s="64"/>
      <c r="G3" s="28"/>
      <c r="H3" s="29"/>
      <c r="I3" s="38"/>
      <c r="J3" s="30"/>
      <c r="M3" s="76" t="str">
        <f>IFERROR(IF($M$2*F3=0, "-", $M$2*F3), "-")</f>
        <v>-</v>
      </c>
      <c r="N3" s="76" t="str">
        <f>IF(I3&gt;0,H3+F3*I3/$O$2*$P$2/I3,"-")</f>
        <v>-</v>
      </c>
      <c r="O3" s="77" t="str">
        <f>IF(I3&gt;0,I3*F3*1.113, "-")</f>
        <v>-</v>
      </c>
      <c r="P3" s="78" t="str">
        <f>IFERROR(IF($M$2&gt;0, $M$2*O3, "-"), "-")</f>
        <v>-</v>
      </c>
      <c r="R3" s="78" t="str">
        <f>IFERROR(IF(P3+J3=0, "-", IF(P3&gt;0, P3+J3, "-")), "-")</f>
        <v>-</v>
      </c>
    </row>
    <row r="4" spans="1:18" ht="14.4" x14ac:dyDescent="0.3">
      <c r="A4" s="20">
        <v>850029392064</v>
      </c>
      <c r="B4" s="21" t="s">
        <v>7</v>
      </c>
      <c r="C4" s="22" t="s">
        <v>8</v>
      </c>
      <c r="D4" s="23">
        <v>2</v>
      </c>
      <c r="E4" s="44" t="s">
        <v>9</v>
      </c>
      <c r="F4" s="23">
        <v>0.98</v>
      </c>
      <c r="G4" s="57">
        <v>44.95</v>
      </c>
      <c r="H4" s="58">
        <v>15.282999999999999</v>
      </c>
      <c r="I4" s="39"/>
      <c r="J4" s="24">
        <f t="shared" ref="J4:J10" si="0">I4*H4</f>
        <v>0</v>
      </c>
      <c r="M4" s="76" t="str">
        <f t="shared" ref="M4:M67" si="1">IFERROR(IF($M$2*F4=0, "-", $M$2*F4), "-")</f>
        <v>-</v>
      </c>
      <c r="N4" s="76" t="str">
        <f t="shared" ref="N4:N67" si="2">IF(I4&gt;0,H4+F4*I4/$O$2*$P$2/I4,"-")</f>
        <v>-</v>
      </c>
      <c r="O4" s="77" t="str">
        <f t="shared" ref="O4:O67" si="3">IF(I4&gt;0,I4*F4*1.113, "-")</f>
        <v>-</v>
      </c>
      <c r="P4" s="78" t="str">
        <f t="shared" ref="P4:P67" si="4">IFERROR(IF($M$2&gt;0, $M$2*O4, "-"), "-")</f>
        <v>-</v>
      </c>
      <c r="R4" s="78" t="str">
        <f t="shared" ref="R4:R67" si="5">IFERROR(IF(P4+J4=0, "-", IF(P4&gt;0, P4+J4, "-")), "-")</f>
        <v>-</v>
      </c>
    </row>
    <row r="5" spans="1:18" ht="14.4" x14ac:dyDescent="0.3">
      <c r="A5" s="5">
        <v>850018471787</v>
      </c>
      <c r="B5" s="15" t="s">
        <v>10</v>
      </c>
      <c r="C5" s="18" t="s">
        <v>11</v>
      </c>
      <c r="D5" s="12">
        <v>11</v>
      </c>
      <c r="E5" s="45" t="s">
        <v>9</v>
      </c>
      <c r="F5" s="12">
        <v>0.54</v>
      </c>
      <c r="G5" s="49">
        <v>23.95</v>
      </c>
      <c r="H5" s="59">
        <v>8.891</v>
      </c>
      <c r="I5" s="40"/>
      <c r="J5" s="8">
        <f t="shared" si="0"/>
        <v>0</v>
      </c>
      <c r="M5" s="76" t="str">
        <f t="shared" si="1"/>
        <v>-</v>
      </c>
      <c r="N5" s="76" t="str">
        <f t="shared" si="2"/>
        <v>-</v>
      </c>
      <c r="O5" s="77" t="str">
        <f t="shared" si="3"/>
        <v>-</v>
      </c>
      <c r="P5" s="78" t="str">
        <f t="shared" si="4"/>
        <v>-</v>
      </c>
      <c r="R5" s="78" t="str">
        <f t="shared" si="5"/>
        <v>-</v>
      </c>
    </row>
    <row r="6" spans="1:18" ht="14.4" x14ac:dyDescent="0.3">
      <c r="A6" s="5">
        <v>850029392828</v>
      </c>
      <c r="B6" s="15" t="s">
        <v>12</v>
      </c>
      <c r="C6" s="18" t="s">
        <v>13</v>
      </c>
      <c r="D6" s="12">
        <v>128</v>
      </c>
      <c r="E6" s="45" t="s">
        <v>9</v>
      </c>
      <c r="F6" s="12">
        <v>0</v>
      </c>
      <c r="G6" s="49">
        <v>29.95</v>
      </c>
      <c r="H6" s="59">
        <v>22.678000000000001</v>
      </c>
      <c r="I6" s="40"/>
      <c r="J6" s="8">
        <f t="shared" si="0"/>
        <v>0</v>
      </c>
      <c r="M6" s="76" t="str">
        <f t="shared" si="1"/>
        <v>-</v>
      </c>
      <c r="N6" s="76" t="str">
        <f t="shared" si="2"/>
        <v>-</v>
      </c>
      <c r="O6" s="77" t="str">
        <f t="shared" si="3"/>
        <v>-</v>
      </c>
      <c r="P6" s="78" t="str">
        <f t="shared" si="4"/>
        <v>-</v>
      </c>
      <c r="R6" s="78" t="str">
        <f t="shared" si="5"/>
        <v>-</v>
      </c>
    </row>
    <row r="7" spans="1:18" ht="14.4" x14ac:dyDescent="0.3">
      <c r="A7" s="5">
        <v>810104622370</v>
      </c>
      <c r="B7" s="15" t="s">
        <v>14</v>
      </c>
      <c r="C7" s="18" t="s">
        <v>15</v>
      </c>
      <c r="D7" s="12">
        <v>1</v>
      </c>
      <c r="E7" s="45" t="s">
        <v>9</v>
      </c>
      <c r="F7" s="12">
        <v>1</v>
      </c>
      <c r="G7" s="49">
        <v>74.95</v>
      </c>
      <c r="H7" s="59">
        <v>25.5</v>
      </c>
      <c r="I7" s="40"/>
      <c r="J7" s="8">
        <f t="shared" si="0"/>
        <v>0</v>
      </c>
      <c r="M7" s="76" t="str">
        <f t="shared" si="1"/>
        <v>-</v>
      </c>
      <c r="N7" s="76" t="str">
        <f t="shared" si="2"/>
        <v>-</v>
      </c>
      <c r="O7" s="77" t="str">
        <f t="shared" si="3"/>
        <v>-</v>
      </c>
      <c r="P7" s="78" t="str">
        <f t="shared" si="4"/>
        <v>-</v>
      </c>
      <c r="R7" s="78" t="str">
        <f t="shared" si="5"/>
        <v>-</v>
      </c>
    </row>
    <row r="8" spans="1:18" ht="14.4" x14ac:dyDescent="0.3">
      <c r="A8" s="5">
        <v>856645008372</v>
      </c>
      <c r="B8" s="15" t="s">
        <v>16</v>
      </c>
      <c r="C8" s="18" t="s">
        <v>17</v>
      </c>
      <c r="D8" s="12">
        <v>10</v>
      </c>
      <c r="E8" s="45" t="s">
        <v>9</v>
      </c>
      <c r="F8" s="12">
        <v>1.1100000000000001</v>
      </c>
      <c r="G8" s="49">
        <v>44.95</v>
      </c>
      <c r="H8" s="59">
        <v>15.98</v>
      </c>
      <c r="I8" s="40"/>
      <c r="J8" s="8">
        <f t="shared" si="0"/>
        <v>0</v>
      </c>
      <c r="M8" s="76" t="str">
        <f t="shared" si="1"/>
        <v>-</v>
      </c>
      <c r="N8" s="76" t="str">
        <f t="shared" si="2"/>
        <v>-</v>
      </c>
      <c r="O8" s="77" t="str">
        <f t="shared" si="3"/>
        <v>-</v>
      </c>
      <c r="P8" s="78" t="str">
        <f t="shared" si="4"/>
        <v>-</v>
      </c>
      <c r="R8" s="78" t="str">
        <f t="shared" si="5"/>
        <v>-</v>
      </c>
    </row>
    <row r="9" spans="1:18" ht="14.4" x14ac:dyDescent="0.3">
      <c r="A9" s="5">
        <v>856645008365</v>
      </c>
      <c r="B9" s="15" t="s">
        <v>18</v>
      </c>
      <c r="C9" s="18" t="s">
        <v>19</v>
      </c>
      <c r="D9" s="12">
        <v>9</v>
      </c>
      <c r="E9" s="45" t="s">
        <v>9</v>
      </c>
      <c r="F9" s="12">
        <v>0</v>
      </c>
      <c r="G9" s="49">
        <v>44.95</v>
      </c>
      <c r="H9" s="59">
        <v>16.064999999999998</v>
      </c>
      <c r="I9" s="40"/>
      <c r="J9" s="8">
        <f t="shared" si="0"/>
        <v>0</v>
      </c>
      <c r="M9" s="76" t="str">
        <f t="shared" si="1"/>
        <v>-</v>
      </c>
      <c r="N9" s="76" t="str">
        <f t="shared" si="2"/>
        <v>-</v>
      </c>
      <c r="O9" s="77" t="str">
        <f t="shared" si="3"/>
        <v>-</v>
      </c>
      <c r="P9" s="78" t="str">
        <f t="shared" si="4"/>
        <v>-</v>
      </c>
      <c r="R9" s="78" t="str">
        <f t="shared" si="5"/>
        <v>-</v>
      </c>
    </row>
    <row r="10" spans="1:18" ht="15" thickBot="1" x14ac:dyDescent="0.35">
      <c r="A10" s="31">
        <v>856645008686</v>
      </c>
      <c r="B10" s="32" t="s">
        <v>20</v>
      </c>
      <c r="C10" s="33" t="s">
        <v>21</v>
      </c>
      <c r="D10" s="34">
        <v>33</v>
      </c>
      <c r="E10" s="46" t="s">
        <v>9</v>
      </c>
      <c r="F10" s="34">
        <v>1.0900000000000001</v>
      </c>
      <c r="G10" s="49">
        <v>44.95</v>
      </c>
      <c r="H10" s="59">
        <v>15.436</v>
      </c>
      <c r="I10" s="41"/>
      <c r="J10" s="35">
        <f t="shared" si="0"/>
        <v>0</v>
      </c>
      <c r="M10" s="76" t="str">
        <f t="shared" si="1"/>
        <v>-</v>
      </c>
      <c r="N10" s="76" t="str">
        <f t="shared" si="2"/>
        <v>-</v>
      </c>
      <c r="O10" s="77" t="str">
        <f t="shared" si="3"/>
        <v>-</v>
      </c>
      <c r="P10" s="78" t="str">
        <f t="shared" si="4"/>
        <v>-</v>
      </c>
      <c r="R10" s="78" t="str">
        <f t="shared" si="5"/>
        <v>-</v>
      </c>
    </row>
    <row r="11" spans="1:18" ht="15" thickBot="1" x14ac:dyDescent="0.35">
      <c r="A11" s="25"/>
      <c r="B11" s="26"/>
      <c r="C11" s="27" t="s">
        <v>22</v>
      </c>
      <c r="D11" s="28"/>
      <c r="E11" s="26"/>
      <c r="F11" s="28"/>
      <c r="G11" s="28"/>
      <c r="H11" s="60"/>
      <c r="I11" s="38"/>
      <c r="J11" s="30"/>
      <c r="M11" s="76" t="str">
        <f t="shared" si="1"/>
        <v>-</v>
      </c>
      <c r="N11" s="76" t="str">
        <f t="shared" si="2"/>
        <v>-</v>
      </c>
      <c r="O11" s="77" t="str">
        <f t="shared" si="3"/>
        <v>-</v>
      </c>
      <c r="P11" s="78" t="str">
        <f t="shared" si="4"/>
        <v>-</v>
      </c>
      <c r="R11" s="78" t="str">
        <f t="shared" si="5"/>
        <v>-</v>
      </c>
    </row>
    <row r="12" spans="1:18" ht="14.4" x14ac:dyDescent="0.3">
      <c r="A12" s="20">
        <v>810104622066</v>
      </c>
      <c r="B12" s="36" t="s">
        <v>23</v>
      </c>
      <c r="C12" s="22" t="s">
        <v>24</v>
      </c>
      <c r="D12" s="23">
        <v>106</v>
      </c>
      <c r="E12" s="44" t="s">
        <v>9</v>
      </c>
      <c r="F12" s="23">
        <v>0.53</v>
      </c>
      <c r="G12" s="49">
        <v>24.95</v>
      </c>
      <c r="H12" s="59">
        <v>8.7550000000000008</v>
      </c>
      <c r="I12" s="39"/>
      <c r="J12" s="24">
        <f>I12*H12</f>
        <v>0</v>
      </c>
      <c r="M12" s="76" t="str">
        <f t="shared" si="1"/>
        <v>-</v>
      </c>
      <c r="N12" s="76" t="str">
        <f t="shared" si="2"/>
        <v>-</v>
      </c>
      <c r="O12" s="77" t="str">
        <f t="shared" si="3"/>
        <v>-</v>
      </c>
      <c r="P12" s="78" t="str">
        <f t="shared" si="4"/>
        <v>-</v>
      </c>
      <c r="R12" s="78" t="str">
        <f t="shared" si="5"/>
        <v>-</v>
      </c>
    </row>
    <row r="13" spans="1:18" ht="14.4" x14ac:dyDescent="0.3">
      <c r="A13" s="5">
        <v>850036700517</v>
      </c>
      <c r="B13" s="15" t="s">
        <v>25</v>
      </c>
      <c r="C13" s="18" t="s">
        <v>26</v>
      </c>
      <c r="D13" s="12">
        <v>4</v>
      </c>
      <c r="E13" s="45" t="s">
        <v>9</v>
      </c>
      <c r="F13" s="12">
        <v>1.06</v>
      </c>
      <c r="G13" s="49">
        <v>39.950000000000003</v>
      </c>
      <c r="H13" s="59">
        <v>14.433</v>
      </c>
      <c r="I13" s="40"/>
      <c r="J13" s="8">
        <f>I13*H13</f>
        <v>0</v>
      </c>
      <c r="M13" s="76" t="str">
        <f t="shared" si="1"/>
        <v>-</v>
      </c>
      <c r="N13" s="76" t="str">
        <f t="shared" si="2"/>
        <v>-</v>
      </c>
      <c r="O13" s="77" t="str">
        <f t="shared" si="3"/>
        <v>-</v>
      </c>
      <c r="P13" s="78" t="str">
        <f t="shared" si="4"/>
        <v>-</v>
      </c>
      <c r="R13" s="78" t="str">
        <f t="shared" si="5"/>
        <v>-</v>
      </c>
    </row>
    <row r="14" spans="1:18" ht="14.4" x14ac:dyDescent="0.3">
      <c r="A14" s="5">
        <v>856645008235</v>
      </c>
      <c r="B14" s="15" t="s">
        <v>27</v>
      </c>
      <c r="C14" s="18" t="s">
        <v>28</v>
      </c>
      <c r="D14" s="12">
        <v>28</v>
      </c>
      <c r="E14" s="45" t="s">
        <v>9</v>
      </c>
      <c r="F14" s="12">
        <v>1.1299999999999999</v>
      </c>
      <c r="G14" s="49">
        <v>44.95</v>
      </c>
      <c r="H14" s="59">
        <v>15.282999999999999</v>
      </c>
      <c r="I14" s="40"/>
      <c r="J14" s="8">
        <f>I14*H14</f>
        <v>0</v>
      </c>
      <c r="M14" s="76" t="str">
        <f t="shared" si="1"/>
        <v>-</v>
      </c>
      <c r="N14" s="76" t="str">
        <f t="shared" si="2"/>
        <v>-</v>
      </c>
      <c r="O14" s="77" t="str">
        <f t="shared" si="3"/>
        <v>-</v>
      </c>
      <c r="P14" s="78" t="str">
        <f t="shared" si="4"/>
        <v>-</v>
      </c>
      <c r="R14" s="78" t="str">
        <f t="shared" si="5"/>
        <v>-</v>
      </c>
    </row>
    <row r="15" spans="1:18" ht="14.4" x14ac:dyDescent="0.3">
      <c r="A15" s="5">
        <v>856645008228</v>
      </c>
      <c r="B15" s="15" t="s">
        <v>29</v>
      </c>
      <c r="C15" s="18" t="s">
        <v>30</v>
      </c>
      <c r="D15" s="12">
        <v>13</v>
      </c>
      <c r="E15" s="45" t="s">
        <v>9</v>
      </c>
      <c r="F15" s="12">
        <v>0</v>
      </c>
      <c r="G15" s="49">
        <v>44.95</v>
      </c>
      <c r="H15" s="59">
        <v>15.282999999999999</v>
      </c>
      <c r="I15" s="40"/>
      <c r="J15" s="8">
        <f>I15*H15</f>
        <v>0</v>
      </c>
      <c r="M15" s="76" t="str">
        <f t="shared" si="1"/>
        <v>-</v>
      </c>
      <c r="N15" s="76" t="str">
        <f t="shared" si="2"/>
        <v>-</v>
      </c>
      <c r="O15" s="77" t="str">
        <f t="shared" si="3"/>
        <v>-</v>
      </c>
      <c r="P15" s="78" t="str">
        <f t="shared" si="4"/>
        <v>-</v>
      </c>
      <c r="R15" s="78" t="str">
        <f t="shared" si="5"/>
        <v>-</v>
      </c>
    </row>
    <row r="16" spans="1:18" ht="15" thickBot="1" x14ac:dyDescent="0.35">
      <c r="A16" s="31">
        <v>861365000476</v>
      </c>
      <c r="B16" s="32" t="s">
        <v>31</v>
      </c>
      <c r="C16" s="33" t="s">
        <v>32</v>
      </c>
      <c r="D16" s="34">
        <v>26</v>
      </c>
      <c r="E16" s="46" t="s">
        <v>9</v>
      </c>
      <c r="F16" s="34">
        <v>0</v>
      </c>
      <c r="G16" s="49">
        <v>46.95</v>
      </c>
      <c r="H16" s="59">
        <v>15.963000000000001</v>
      </c>
      <c r="I16" s="41"/>
      <c r="J16" s="35">
        <f>I16*H16</f>
        <v>0</v>
      </c>
      <c r="M16" s="76" t="str">
        <f t="shared" si="1"/>
        <v>-</v>
      </c>
      <c r="N16" s="76" t="str">
        <f t="shared" si="2"/>
        <v>-</v>
      </c>
      <c r="O16" s="77" t="str">
        <f t="shared" si="3"/>
        <v>-</v>
      </c>
      <c r="P16" s="78" t="str">
        <f t="shared" si="4"/>
        <v>-</v>
      </c>
      <c r="R16" s="78" t="str">
        <f t="shared" si="5"/>
        <v>-</v>
      </c>
    </row>
    <row r="17" spans="1:18" ht="15" thickBot="1" x14ac:dyDescent="0.35">
      <c r="A17" s="25"/>
      <c r="B17" s="26"/>
      <c r="C17" s="27" t="s">
        <v>33</v>
      </c>
      <c r="D17" s="28"/>
      <c r="E17" s="26"/>
      <c r="F17" s="28"/>
      <c r="G17" s="28"/>
      <c r="H17" s="60"/>
      <c r="I17" s="38"/>
      <c r="J17" s="30"/>
      <c r="M17" s="76" t="str">
        <f t="shared" si="1"/>
        <v>-</v>
      </c>
      <c r="N17" s="76" t="str">
        <f t="shared" si="2"/>
        <v>-</v>
      </c>
      <c r="O17" s="77" t="str">
        <f t="shared" si="3"/>
        <v>-</v>
      </c>
      <c r="P17" s="78" t="str">
        <f t="shared" si="4"/>
        <v>-</v>
      </c>
      <c r="R17" s="78" t="str">
        <f t="shared" si="5"/>
        <v>-</v>
      </c>
    </row>
    <row r="18" spans="1:18" ht="14.4" x14ac:dyDescent="0.3">
      <c r="A18" s="20">
        <v>850029392798</v>
      </c>
      <c r="B18" s="21" t="s">
        <v>34</v>
      </c>
      <c r="C18" s="22" t="s">
        <v>35</v>
      </c>
      <c r="D18" s="23">
        <v>64</v>
      </c>
      <c r="E18" s="44" t="s">
        <v>36</v>
      </c>
      <c r="F18" s="23">
        <v>0.54</v>
      </c>
      <c r="G18" s="49">
        <v>39.99</v>
      </c>
      <c r="H18" s="59">
        <v>17.033999999999999</v>
      </c>
      <c r="I18" s="39"/>
      <c r="J18" s="24">
        <f t="shared" ref="J18:J42" si="6">I18*H18</f>
        <v>0</v>
      </c>
      <c r="M18" s="76" t="str">
        <f t="shared" si="1"/>
        <v>-</v>
      </c>
      <c r="N18" s="76" t="str">
        <f t="shared" si="2"/>
        <v>-</v>
      </c>
      <c r="O18" s="77" t="str">
        <f t="shared" si="3"/>
        <v>-</v>
      </c>
      <c r="P18" s="78" t="str">
        <f t="shared" si="4"/>
        <v>-</v>
      </c>
      <c r="R18" s="78" t="str">
        <f t="shared" si="5"/>
        <v>-</v>
      </c>
    </row>
    <row r="19" spans="1:18" ht="14.4" x14ac:dyDescent="0.3">
      <c r="A19" s="5">
        <v>850029392781</v>
      </c>
      <c r="B19" s="15" t="s">
        <v>37</v>
      </c>
      <c r="C19" s="18" t="s">
        <v>38</v>
      </c>
      <c r="D19" s="12">
        <v>32</v>
      </c>
      <c r="E19" s="45" t="s">
        <v>36</v>
      </c>
      <c r="F19" s="12">
        <v>0.5</v>
      </c>
      <c r="G19" s="49">
        <v>29.95</v>
      </c>
      <c r="H19" s="59">
        <v>12.733000000000001</v>
      </c>
      <c r="I19" s="40"/>
      <c r="J19" s="8">
        <f t="shared" si="6"/>
        <v>0</v>
      </c>
      <c r="M19" s="76" t="str">
        <f t="shared" si="1"/>
        <v>-</v>
      </c>
      <c r="N19" s="76" t="str">
        <f t="shared" si="2"/>
        <v>-</v>
      </c>
      <c r="O19" s="77" t="str">
        <f t="shared" si="3"/>
        <v>-</v>
      </c>
      <c r="P19" s="78" t="str">
        <f t="shared" si="4"/>
        <v>-</v>
      </c>
      <c r="R19" s="78" t="str">
        <f t="shared" si="5"/>
        <v>-</v>
      </c>
    </row>
    <row r="20" spans="1:18" ht="14.4" x14ac:dyDescent="0.3">
      <c r="A20" s="5">
        <v>850036700388</v>
      </c>
      <c r="B20" s="15" t="s">
        <v>39</v>
      </c>
      <c r="C20" s="18" t="s">
        <v>40</v>
      </c>
      <c r="D20" s="12">
        <v>171</v>
      </c>
      <c r="E20" s="45" t="s">
        <v>36</v>
      </c>
      <c r="F20" s="12">
        <v>0</v>
      </c>
      <c r="G20" s="49">
        <v>21.99</v>
      </c>
      <c r="H20" s="59">
        <v>10.914</v>
      </c>
      <c r="I20" s="40"/>
      <c r="J20" s="8">
        <f t="shared" si="6"/>
        <v>0</v>
      </c>
      <c r="M20" s="76" t="str">
        <f t="shared" si="1"/>
        <v>-</v>
      </c>
      <c r="N20" s="76" t="str">
        <f t="shared" si="2"/>
        <v>-</v>
      </c>
      <c r="O20" s="77" t="str">
        <f t="shared" si="3"/>
        <v>-</v>
      </c>
      <c r="P20" s="78" t="str">
        <f t="shared" si="4"/>
        <v>-</v>
      </c>
      <c r="R20" s="78" t="str">
        <f t="shared" si="5"/>
        <v>-</v>
      </c>
    </row>
    <row r="21" spans="1:18" ht="14.4" x14ac:dyDescent="0.3">
      <c r="A21" s="5">
        <v>810104622349</v>
      </c>
      <c r="B21" s="15" t="s">
        <v>41</v>
      </c>
      <c r="C21" s="18" t="s">
        <v>42</v>
      </c>
      <c r="D21" s="12">
        <v>3</v>
      </c>
      <c r="E21" s="45" t="s">
        <v>36</v>
      </c>
      <c r="F21" s="12">
        <v>0.52</v>
      </c>
      <c r="G21" s="49">
        <v>74.95</v>
      </c>
      <c r="H21" s="59">
        <v>28.594000000000001</v>
      </c>
      <c r="I21" s="40"/>
      <c r="J21" s="8">
        <f t="shared" si="6"/>
        <v>0</v>
      </c>
      <c r="M21" s="76" t="str">
        <f t="shared" si="1"/>
        <v>-</v>
      </c>
      <c r="N21" s="76" t="str">
        <f t="shared" si="2"/>
        <v>-</v>
      </c>
      <c r="O21" s="77" t="str">
        <f t="shared" si="3"/>
        <v>-</v>
      </c>
      <c r="P21" s="78" t="str">
        <f t="shared" si="4"/>
        <v>-</v>
      </c>
      <c r="R21" s="78" t="str">
        <f t="shared" si="5"/>
        <v>-</v>
      </c>
    </row>
    <row r="22" spans="1:18" ht="14.4" x14ac:dyDescent="0.3">
      <c r="A22" s="5">
        <v>850029392743</v>
      </c>
      <c r="B22" s="15" t="s">
        <v>43</v>
      </c>
      <c r="C22" s="18" t="s">
        <v>44</v>
      </c>
      <c r="D22" s="12">
        <v>52</v>
      </c>
      <c r="E22" s="45" t="s">
        <v>36</v>
      </c>
      <c r="F22" s="12">
        <v>0.54</v>
      </c>
      <c r="G22" s="49">
        <v>29.99</v>
      </c>
      <c r="H22" s="59">
        <v>13.022</v>
      </c>
      <c r="I22" s="40"/>
      <c r="J22" s="8">
        <f t="shared" si="6"/>
        <v>0</v>
      </c>
      <c r="M22" s="76" t="str">
        <f t="shared" si="1"/>
        <v>-</v>
      </c>
      <c r="N22" s="76" t="str">
        <f t="shared" si="2"/>
        <v>-</v>
      </c>
      <c r="O22" s="77" t="str">
        <f t="shared" si="3"/>
        <v>-</v>
      </c>
      <c r="P22" s="78" t="str">
        <f t="shared" si="4"/>
        <v>-</v>
      </c>
      <c r="R22" s="78" t="str">
        <f t="shared" si="5"/>
        <v>-</v>
      </c>
    </row>
    <row r="23" spans="1:18" ht="14.4" x14ac:dyDescent="0.3">
      <c r="A23" s="5">
        <v>850036700395</v>
      </c>
      <c r="B23" s="15" t="s">
        <v>45</v>
      </c>
      <c r="C23" s="18" t="s">
        <v>46</v>
      </c>
      <c r="D23" s="12">
        <v>94</v>
      </c>
      <c r="E23" s="45" t="s">
        <v>36</v>
      </c>
      <c r="F23" s="12">
        <v>0.27</v>
      </c>
      <c r="G23" s="49">
        <v>21.99</v>
      </c>
      <c r="H23" s="59">
        <v>13.157999999999999</v>
      </c>
      <c r="I23" s="40"/>
      <c r="J23" s="8">
        <f t="shared" si="6"/>
        <v>0</v>
      </c>
      <c r="M23" s="76" t="str">
        <f t="shared" si="1"/>
        <v>-</v>
      </c>
      <c r="N23" s="76" t="str">
        <f t="shared" si="2"/>
        <v>-</v>
      </c>
      <c r="O23" s="77" t="str">
        <f t="shared" si="3"/>
        <v>-</v>
      </c>
      <c r="P23" s="78" t="str">
        <f t="shared" si="4"/>
        <v>-</v>
      </c>
      <c r="R23" s="78" t="str">
        <f t="shared" si="5"/>
        <v>-</v>
      </c>
    </row>
    <row r="24" spans="1:18" ht="14.4" x14ac:dyDescent="0.3">
      <c r="A24" s="5">
        <v>850029392750</v>
      </c>
      <c r="B24" s="15" t="s">
        <v>47</v>
      </c>
      <c r="C24" s="18" t="s">
        <v>48</v>
      </c>
      <c r="D24" s="12">
        <v>18</v>
      </c>
      <c r="E24" s="45" t="s">
        <v>36</v>
      </c>
      <c r="F24" s="12">
        <v>0.54</v>
      </c>
      <c r="G24" s="49">
        <v>29.99</v>
      </c>
      <c r="H24" s="59">
        <v>16.744999999999997</v>
      </c>
      <c r="I24" s="40"/>
      <c r="J24" s="8">
        <f t="shared" si="6"/>
        <v>0</v>
      </c>
      <c r="M24" s="76" t="str">
        <f t="shared" si="1"/>
        <v>-</v>
      </c>
      <c r="N24" s="76" t="str">
        <f t="shared" si="2"/>
        <v>-</v>
      </c>
      <c r="O24" s="77" t="str">
        <f t="shared" si="3"/>
        <v>-</v>
      </c>
      <c r="P24" s="78" t="str">
        <f t="shared" si="4"/>
        <v>-</v>
      </c>
      <c r="R24" s="78" t="str">
        <f t="shared" si="5"/>
        <v>-</v>
      </c>
    </row>
    <row r="25" spans="1:18" ht="14.4" x14ac:dyDescent="0.3">
      <c r="A25" s="5">
        <v>850036700548</v>
      </c>
      <c r="B25" s="15" t="s">
        <v>49</v>
      </c>
      <c r="C25" s="18" t="s">
        <v>50</v>
      </c>
      <c r="D25" s="12">
        <v>222</v>
      </c>
      <c r="E25" s="45" t="s">
        <v>36</v>
      </c>
      <c r="F25" s="12">
        <v>0</v>
      </c>
      <c r="G25" s="49">
        <v>19.95</v>
      </c>
      <c r="H25" s="59">
        <v>8.4150000000000009</v>
      </c>
      <c r="I25" s="40"/>
      <c r="J25" s="8">
        <f t="shared" si="6"/>
        <v>0</v>
      </c>
      <c r="M25" s="76" t="str">
        <f t="shared" si="1"/>
        <v>-</v>
      </c>
      <c r="N25" s="76" t="str">
        <f t="shared" si="2"/>
        <v>-</v>
      </c>
      <c r="O25" s="77" t="str">
        <f t="shared" si="3"/>
        <v>-</v>
      </c>
      <c r="P25" s="78" t="str">
        <f t="shared" si="4"/>
        <v>-</v>
      </c>
      <c r="R25" s="78" t="str">
        <f t="shared" si="5"/>
        <v>-</v>
      </c>
    </row>
    <row r="26" spans="1:18" ht="14.4" x14ac:dyDescent="0.3">
      <c r="A26" s="5">
        <v>850029392767</v>
      </c>
      <c r="B26" s="15" t="s">
        <v>51</v>
      </c>
      <c r="C26" s="18" t="s">
        <v>52</v>
      </c>
      <c r="D26" s="12">
        <v>129</v>
      </c>
      <c r="E26" s="45" t="s">
        <v>36</v>
      </c>
      <c r="F26" s="12">
        <v>0.54</v>
      </c>
      <c r="G26" s="49">
        <v>29.99</v>
      </c>
      <c r="H26" s="59">
        <v>14.586</v>
      </c>
      <c r="I26" s="40"/>
      <c r="J26" s="8">
        <f t="shared" si="6"/>
        <v>0</v>
      </c>
      <c r="M26" s="76" t="str">
        <f t="shared" si="1"/>
        <v>-</v>
      </c>
      <c r="N26" s="76" t="str">
        <f t="shared" si="2"/>
        <v>-</v>
      </c>
      <c r="O26" s="77" t="str">
        <f t="shared" si="3"/>
        <v>-</v>
      </c>
      <c r="P26" s="78" t="str">
        <f t="shared" si="4"/>
        <v>-</v>
      </c>
      <c r="R26" s="78" t="str">
        <f t="shared" si="5"/>
        <v>-</v>
      </c>
    </row>
    <row r="27" spans="1:18" ht="14.4" x14ac:dyDescent="0.3">
      <c r="A27" s="5">
        <v>850029392774</v>
      </c>
      <c r="B27" s="15" t="s">
        <v>54</v>
      </c>
      <c r="C27" s="18" t="s">
        <v>55</v>
      </c>
      <c r="D27" s="12">
        <v>113</v>
      </c>
      <c r="E27" s="45" t="s">
        <v>36</v>
      </c>
      <c r="F27" s="12">
        <v>0.52</v>
      </c>
      <c r="G27" s="49">
        <v>29.99</v>
      </c>
      <c r="H27" s="59">
        <v>16.524000000000001</v>
      </c>
      <c r="I27" s="40"/>
      <c r="J27" s="8">
        <f t="shared" si="6"/>
        <v>0</v>
      </c>
      <c r="M27" s="76" t="str">
        <f t="shared" si="1"/>
        <v>-</v>
      </c>
      <c r="N27" s="76" t="str">
        <f t="shared" si="2"/>
        <v>-</v>
      </c>
      <c r="O27" s="77" t="str">
        <f t="shared" si="3"/>
        <v>-</v>
      </c>
      <c r="P27" s="78" t="str">
        <f t="shared" si="4"/>
        <v>-</v>
      </c>
      <c r="R27" s="78" t="str">
        <f t="shared" si="5"/>
        <v>-</v>
      </c>
    </row>
    <row r="28" spans="1:18" ht="14.4" x14ac:dyDescent="0.3">
      <c r="A28" s="5">
        <v>850029392880</v>
      </c>
      <c r="B28" s="15" t="s">
        <v>56</v>
      </c>
      <c r="C28" s="18" t="s">
        <v>57</v>
      </c>
      <c r="D28" s="12">
        <v>44</v>
      </c>
      <c r="E28" s="45" t="s">
        <v>36</v>
      </c>
      <c r="F28" s="12">
        <v>0.27</v>
      </c>
      <c r="G28" s="49">
        <v>28.95</v>
      </c>
      <c r="H28" s="59">
        <v>9.843</v>
      </c>
      <c r="I28" s="40"/>
      <c r="J28" s="8">
        <f t="shared" si="6"/>
        <v>0</v>
      </c>
      <c r="M28" s="76" t="str">
        <f t="shared" si="1"/>
        <v>-</v>
      </c>
      <c r="N28" s="76" t="str">
        <f t="shared" si="2"/>
        <v>-</v>
      </c>
      <c r="O28" s="77" t="str">
        <f t="shared" si="3"/>
        <v>-</v>
      </c>
      <c r="P28" s="78" t="str">
        <f t="shared" si="4"/>
        <v>-</v>
      </c>
      <c r="R28" s="78" t="str">
        <f t="shared" si="5"/>
        <v>-</v>
      </c>
    </row>
    <row r="29" spans="1:18" ht="14.4" x14ac:dyDescent="0.3">
      <c r="A29" s="5">
        <v>850029392835</v>
      </c>
      <c r="B29" s="15" t="s">
        <v>58</v>
      </c>
      <c r="C29" s="18" t="s">
        <v>59</v>
      </c>
      <c r="D29" s="12">
        <v>154</v>
      </c>
      <c r="E29" s="45" t="s">
        <v>36</v>
      </c>
      <c r="F29" s="12">
        <v>0.25</v>
      </c>
      <c r="G29" s="49">
        <v>18.95</v>
      </c>
      <c r="H29" s="59">
        <v>6.7149999999999999</v>
      </c>
      <c r="I29" s="40"/>
      <c r="J29" s="8">
        <f t="shared" si="6"/>
        <v>0</v>
      </c>
      <c r="M29" s="76" t="str">
        <f t="shared" si="1"/>
        <v>-</v>
      </c>
      <c r="N29" s="76" t="str">
        <f t="shared" si="2"/>
        <v>-</v>
      </c>
      <c r="O29" s="77" t="str">
        <f t="shared" si="3"/>
        <v>-</v>
      </c>
      <c r="P29" s="78" t="str">
        <f t="shared" si="4"/>
        <v>-</v>
      </c>
      <c r="R29" s="78" t="str">
        <f t="shared" si="5"/>
        <v>-</v>
      </c>
    </row>
    <row r="30" spans="1:18" ht="14.4" x14ac:dyDescent="0.3">
      <c r="A30" s="5">
        <v>810104620758</v>
      </c>
      <c r="B30" s="15" t="s">
        <v>60</v>
      </c>
      <c r="C30" s="18" t="s">
        <v>61</v>
      </c>
      <c r="D30" s="12">
        <v>80</v>
      </c>
      <c r="E30" s="45" t="s">
        <v>36</v>
      </c>
      <c r="F30" s="12">
        <v>0.27</v>
      </c>
      <c r="G30" s="49">
        <v>24.99</v>
      </c>
      <c r="H30" s="59">
        <v>14.177999999999999</v>
      </c>
      <c r="I30" s="40"/>
      <c r="J30" s="8">
        <f t="shared" si="6"/>
        <v>0</v>
      </c>
      <c r="M30" s="76" t="str">
        <f t="shared" si="1"/>
        <v>-</v>
      </c>
      <c r="N30" s="76" t="str">
        <f t="shared" si="2"/>
        <v>-</v>
      </c>
      <c r="O30" s="77" t="str">
        <f t="shared" si="3"/>
        <v>-</v>
      </c>
      <c r="P30" s="78" t="str">
        <f t="shared" si="4"/>
        <v>-</v>
      </c>
      <c r="R30" s="78" t="str">
        <f t="shared" si="5"/>
        <v>-</v>
      </c>
    </row>
    <row r="31" spans="1:18" ht="14.4" x14ac:dyDescent="0.3">
      <c r="A31" s="5">
        <v>810104620772</v>
      </c>
      <c r="B31" s="15" t="s">
        <v>62</v>
      </c>
      <c r="C31" s="18" t="s">
        <v>63</v>
      </c>
      <c r="D31" s="12">
        <v>162</v>
      </c>
      <c r="E31" s="45" t="s">
        <v>36</v>
      </c>
      <c r="F31" s="12">
        <v>0</v>
      </c>
      <c r="G31" s="49">
        <v>24.95</v>
      </c>
      <c r="H31" s="59">
        <v>8.4830000000000005</v>
      </c>
      <c r="I31" s="40"/>
      <c r="J31" s="8">
        <f t="shared" si="6"/>
        <v>0</v>
      </c>
      <c r="M31" s="76" t="str">
        <f t="shared" si="1"/>
        <v>-</v>
      </c>
      <c r="N31" s="76" t="str">
        <f t="shared" si="2"/>
        <v>-</v>
      </c>
      <c r="O31" s="77" t="str">
        <f t="shared" si="3"/>
        <v>-</v>
      </c>
      <c r="P31" s="78" t="str">
        <f t="shared" si="4"/>
        <v>-</v>
      </c>
      <c r="R31" s="78" t="str">
        <f t="shared" si="5"/>
        <v>-</v>
      </c>
    </row>
    <row r="32" spans="1:18" ht="14.4" x14ac:dyDescent="0.3">
      <c r="A32" s="5">
        <v>850018471909</v>
      </c>
      <c r="B32" s="15" t="s">
        <v>64</v>
      </c>
      <c r="C32" s="18" t="s">
        <v>65</v>
      </c>
      <c r="D32" s="12">
        <v>126</v>
      </c>
      <c r="E32" s="45" t="s">
        <v>36</v>
      </c>
      <c r="F32" s="12">
        <v>0.27</v>
      </c>
      <c r="G32" s="49">
        <v>29.99</v>
      </c>
      <c r="H32" s="59">
        <v>17.305999999999997</v>
      </c>
      <c r="I32" s="40"/>
      <c r="J32" s="8">
        <f t="shared" si="6"/>
        <v>0</v>
      </c>
      <c r="M32" s="76" t="str">
        <f t="shared" si="1"/>
        <v>-</v>
      </c>
      <c r="N32" s="76" t="str">
        <f t="shared" si="2"/>
        <v>-</v>
      </c>
      <c r="O32" s="77" t="str">
        <f t="shared" si="3"/>
        <v>-</v>
      </c>
      <c r="P32" s="78" t="str">
        <f t="shared" si="4"/>
        <v>-</v>
      </c>
      <c r="R32" s="78" t="str">
        <f t="shared" si="5"/>
        <v>-</v>
      </c>
    </row>
    <row r="33" spans="1:18" ht="14.4" x14ac:dyDescent="0.3">
      <c r="A33" s="5">
        <v>810104622363</v>
      </c>
      <c r="B33" s="15" t="s">
        <v>66</v>
      </c>
      <c r="C33" s="18" t="s">
        <v>67</v>
      </c>
      <c r="D33" s="12">
        <v>7</v>
      </c>
      <c r="E33" s="45" t="s">
        <v>36</v>
      </c>
      <c r="F33" s="12">
        <v>0.52</v>
      </c>
      <c r="G33" s="49">
        <v>69.95</v>
      </c>
      <c r="H33" s="59">
        <v>28.594000000000001</v>
      </c>
      <c r="I33" s="40"/>
      <c r="J33" s="8">
        <f t="shared" si="6"/>
        <v>0</v>
      </c>
      <c r="M33" s="76" t="str">
        <f t="shared" si="1"/>
        <v>-</v>
      </c>
      <c r="N33" s="76" t="str">
        <f t="shared" si="2"/>
        <v>-</v>
      </c>
      <c r="O33" s="77" t="str">
        <f t="shared" si="3"/>
        <v>-</v>
      </c>
      <c r="P33" s="78" t="str">
        <f t="shared" si="4"/>
        <v>-</v>
      </c>
      <c r="R33" s="78" t="str">
        <f t="shared" si="5"/>
        <v>-</v>
      </c>
    </row>
    <row r="34" spans="1:18" ht="14.4" x14ac:dyDescent="0.3">
      <c r="A34" s="5">
        <v>850036700586</v>
      </c>
      <c r="B34" s="15" t="s">
        <v>68</v>
      </c>
      <c r="C34" s="18" t="s">
        <v>69</v>
      </c>
      <c r="D34" s="12">
        <v>78</v>
      </c>
      <c r="E34" s="45" t="s">
        <v>36</v>
      </c>
      <c r="F34" s="12">
        <v>0.28999999999999998</v>
      </c>
      <c r="G34" s="49">
        <v>24.95</v>
      </c>
      <c r="H34" s="59">
        <v>12.087</v>
      </c>
      <c r="I34" s="40"/>
      <c r="J34" s="8">
        <f t="shared" si="6"/>
        <v>0</v>
      </c>
      <c r="M34" s="76" t="str">
        <f t="shared" si="1"/>
        <v>-</v>
      </c>
      <c r="N34" s="76" t="str">
        <f t="shared" si="2"/>
        <v>-</v>
      </c>
      <c r="O34" s="77" t="str">
        <f t="shared" si="3"/>
        <v>-</v>
      </c>
      <c r="P34" s="78" t="str">
        <f t="shared" si="4"/>
        <v>-</v>
      </c>
      <c r="R34" s="78" t="str">
        <f t="shared" si="5"/>
        <v>-</v>
      </c>
    </row>
    <row r="35" spans="1:18" ht="14.4" x14ac:dyDescent="0.3">
      <c r="A35" s="5">
        <v>850018471916</v>
      </c>
      <c r="B35" s="15" t="s">
        <v>70</v>
      </c>
      <c r="C35" s="18" t="s">
        <v>71</v>
      </c>
      <c r="D35" s="12">
        <v>137</v>
      </c>
      <c r="E35" s="45" t="s">
        <v>36</v>
      </c>
      <c r="F35" s="12">
        <v>0</v>
      </c>
      <c r="G35" s="49">
        <v>24.99</v>
      </c>
      <c r="H35" s="59">
        <v>15.486999999999998</v>
      </c>
      <c r="I35" s="40"/>
      <c r="J35" s="8">
        <f t="shared" si="6"/>
        <v>0</v>
      </c>
      <c r="M35" s="76" t="str">
        <f t="shared" si="1"/>
        <v>-</v>
      </c>
      <c r="N35" s="76" t="str">
        <f t="shared" si="2"/>
        <v>-</v>
      </c>
      <c r="O35" s="77" t="str">
        <f t="shared" si="3"/>
        <v>-</v>
      </c>
      <c r="P35" s="78" t="str">
        <f t="shared" si="4"/>
        <v>-</v>
      </c>
      <c r="R35" s="78" t="str">
        <f t="shared" si="5"/>
        <v>-</v>
      </c>
    </row>
    <row r="36" spans="1:18" ht="14.4" x14ac:dyDescent="0.3">
      <c r="A36" s="5">
        <v>810104622073</v>
      </c>
      <c r="B36" s="15" t="s">
        <v>72</v>
      </c>
      <c r="C36" s="18" t="s">
        <v>73</v>
      </c>
      <c r="D36" s="12">
        <v>176</v>
      </c>
      <c r="E36" s="45" t="s">
        <v>36</v>
      </c>
      <c r="F36" s="12">
        <v>0.28999999999999998</v>
      </c>
      <c r="G36" s="49">
        <v>24.99</v>
      </c>
      <c r="H36" s="59">
        <v>8.5</v>
      </c>
      <c r="I36" s="40"/>
      <c r="J36" s="8">
        <f t="shared" si="6"/>
        <v>0</v>
      </c>
      <c r="M36" s="76" t="str">
        <f t="shared" si="1"/>
        <v>-</v>
      </c>
      <c r="N36" s="76" t="str">
        <f t="shared" si="2"/>
        <v>-</v>
      </c>
      <c r="O36" s="77" t="str">
        <f t="shared" si="3"/>
        <v>-</v>
      </c>
      <c r="P36" s="78" t="str">
        <f t="shared" si="4"/>
        <v>-</v>
      </c>
      <c r="R36" s="78" t="str">
        <f t="shared" si="5"/>
        <v>-</v>
      </c>
    </row>
    <row r="37" spans="1:18" ht="14.4" x14ac:dyDescent="0.3">
      <c r="A37" s="5">
        <v>850018471886</v>
      </c>
      <c r="B37" s="15" t="s">
        <v>74</v>
      </c>
      <c r="C37" s="18" t="s">
        <v>75</v>
      </c>
      <c r="D37" s="12">
        <v>60</v>
      </c>
      <c r="E37" s="45" t="s">
        <v>36</v>
      </c>
      <c r="F37" s="12">
        <v>0.55000000000000004</v>
      </c>
      <c r="G37" s="49">
        <v>24.99</v>
      </c>
      <c r="H37" s="59">
        <v>17.203999999999997</v>
      </c>
      <c r="I37" s="40"/>
      <c r="J37" s="8">
        <f t="shared" si="6"/>
        <v>0</v>
      </c>
      <c r="M37" s="76" t="str">
        <f t="shared" si="1"/>
        <v>-</v>
      </c>
      <c r="N37" s="76" t="str">
        <f t="shared" si="2"/>
        <v>-</v>
      </c>
      <c r="O37" s="77" t="str">
        <f t="shared" si="3"/>
        <v>-</v>
      </c>
      <c r="P37" s="78" t="str">
        <f t="shared" si="4"/>
        <v>-</v>
      </c>
      <c r="R37" s="78" t="str">
        <f t="shared" si="5"/>
        <v>-</v>
      </c>
    </row>
    <row r="38" spans="1:18" ht="14.4" x14ac:dyDescent="0.3">
      <c r="A38" s="5">
        <v>850018471893</v>
      </c>
      <c r="B38" s="15" t="s">
        <v>76</v>
      </c>
      <c r="C38" s="18" t="s">
        <v>77</v>
      </c>
      <c r="D38" s="12">
        <v>205</v>
      </c>
      <c r="E38" s="45" t="s">
        <v>36</v>
      </c>
      <c r="F38" s="12">
        <v>0</v>
      </c>
      <c r="G38" s="49">
        <v>24.99</v>
      </c>
      <c r="H38" s="59">
        <v>19.006</v>
      </c>
      <c r="I38" s="40"/>
      <c r="J38" s="8">
        <f t="shared" si="6"/>
        <v>0</v>
      </c>
      <c r="M38" s="76" t="str">
        <f t="shared" si="1"/>
        <v>-</v>
      </c>
      <c r="N38" s="76" t="str">
        <f t="shared" si="2"/>
        <v>-</v>
      </c>
      <c r="O38" s="77" t="str">
        <f t="shared" si="3"/>
        <v>-</v>
      </c>
      <c r="P38" s="78" t="str">
        <f t="shared" si="4"/>
        <v>-</v>
      </c>
      <c r="R38" s="78" t="str">
        <f t="shared" si="5"/>
        <v>-</v>
      </c>
    </row>
    <row r="39" spans="1:18" ht="14.4" x14ac:dyDescent="0.3">
      <c r="A39" s="5">
        <v>810104622134</v>
      </c>
      <c r="B39" s="15" t="s">
        <v>78</v>
      </c>
      <c r="C39" s="18" t="s">
        <v>79</v>
      </c>
      <c r="D39" s="12">
        <v>210</v>
      </c>
      <c r="E39" s="45" t="s">
        <v>36</v>
      </c>
      <c r="F39" s="12">
        <v>0</v>
      </c>
      <c r="G39" s="49">
        <v>24.99</v>
      </c>
      <c r="H39" s="59">
        <v>20.603999999999999</v>
      </c>
      <c r="I39" s="40"/>
      <c r="J39" s="8">
        <f t="shared" si="6"/>
        <v>0</v>
      </c>
      <c r="M39" s="76" t="str">
        <f t="shared" si="1"/>
        <v>-</v>
      </c>
      <c r="N39" s="76" t="str">
        <f t="shared" si="2"/>
        <v>-</v>
      </c>
      <c r="O39" s="77" t="str">
        <f t="shared" si="3"/>
        <v>-</v>
      </c>
      <c r="P39" s="78" t="str">
        <f t="shared" si="4"/>
        <v>-</v>
      </c>
      <c r="R39" s="78" t="str">
        <f t="shared" si="5"/>
        <v>-</v>
      </c>
    </row>
    <row r="40" spans="1:18" ht="14.4" x14ac:dyDescent="0.3">
      <c r="A40" s="5">
        <v>850036700203</v>
      </c>
      <c r="B40" s="15" t="s">
        <v>80</v>
      </c>
      <c r="C40" s="18" t="s">
        <v>81</v>
      </c>
      <c r="D40" s="12">
        <v>133</v>
      </c>
      <c r="E40" s="45" t="s">
        <v>36</v>
      </c>
      <c r="F40" s="12">
        <v>0.52</v>
      </c>
      <c r="G40" s="49">
        <v>24.99</v>
      </c>
      <c r="H40" s="59">
        <v>22.253</v>
      </c>
      <c r="I40" s="40"/>
      <c r="J40" s="8">
        <f t="shared" si="6"/>
        <v>0</v>
      </c>
      <c r="M40" s="76" t="str">
        <f t="shared" si="1"/>
        <v>-</v>
      </c>
      <c r="N40" s="76" t="str">
        <f t="shared" si="2"/>
        <v>-</v>
      </c>
      <c r="O40" s="77" t="str">
        <f t="shared" si="3"/>
        <v>-</v>
      </c>
      <c r="P40" s="78" t="str">
        <f t="shared" si="4"/>
        <v>-</v>
      </c>
      <c r="R40" s="78" t="str">
        <f t="shared" si="5"/>
        <v>-</v>
      </c>
    </row>
    <row r="41" spans="1:18" ht="14.4" x14ac:dyDescent="0.3">
      <c r="A41" s="5">
        <v>850018471879</v>
      </c>
      <c r="B41" s="15" t="s">
        <v>82</v>
      </c>
      <c r="C41" s="18" t="s">
        <v>83</v>
      </c>
      <c r="D41" s="12">
        <v>152</v>
      </c>
      <c r="E41" s="45" t="s">
        <v>36</v>
      </c>
      <c r="F41" s="12">
        <v>0</v>
      </c>
      <c r="G41" s="49">
        <v>24.99</v>
      </c>
      <c r="H41" s="59">
        <v>11.305</v>
      </c>
      <c r="I41" s="40"/>
      <c r="J41" s="8">
        <f t="shared" si="6"/>
        <v>0</v>
      </c>
      <c r="M41" s="76" t="str">
        <f t="shared" si="1"/>
        <v>-</v>
      </c>
      <c r="N41" s="76" t="str">
        <f t="shared" si="2"/>
        <v>-</v>
      </c>
      <c r="O41" s="77" t="str">
        <f t="shared" si="3"/>
        <v>-</v>
      </c>
      <c r="P41" s="78" t="str">
        <f t="shared" si="4"/>
        <v>-</v>
      </c>
      <c r="R41" s="78" t="str">
        <f t="shared" si="5"/>
        <v>-</v>
      </c>
    </row>
    <row r="42" spans="1:18" ht="15" thickBot="1" x14ac:dyDescent="0.35">
      <c r="A42" s="31">
        <v>810104622356</v>
      </c>
      <c r="B42" s="32" t="s">
        <v>84</v>
      </c>
      <c r="C42" s="33" t="s">
        <v>85</v>
      </c>
      <c r="D42" s="34">
        <v>114</v>
      </c>
      <c r="E42" s="46" t="s">
        <v>36</v>
      </c>
      <c r="F42" s="34">
        <v>0.54</v>
      </c>
      <c r="G42" s="49">
        <v>59.95</v>
      </c>
      <c r="H42" s="59">
        <v>20.382999999999999</v>
      </c>
      <c r="I42" s="41"/>
      <c r="J42" s="35">
        <f t="shared" si="6"/>
        <v>0</v>
      </c>
      <c r="M42" s="76" t="str">
        <f t="shared" si="1"/>
        <v>-</v>
      </c>
      <c r="N42" s="76" t="str">
        <f t="shared" si="2"/>
        <v>-</v>
      </c>
      <c r="O42" s="77" t="str">
        <f t="shared" si="3"/>
        <v>-</v>
      </c>
      <c r="P42" s="78" t="str">
        <f t="shared" si="4"/>
        <v>-</v>
      </c>
      <c r="R42" s="78" t="str">
        <f t="shared" si="5"/>
        <v>-</v>
      </c>
    </row>
    <row r="43" spans="1:18" ht="15" thickBot="1" x14ac:dyDescent="0.35">
      <c r="A43" s="25"/>
      <c r="B43" s="26"/>
      <c r="C43" s="27" t="s">
        <v>86</v>
      </c>
      <c r="D43" s="28"/>
      <c r="E43" s="26"/>
      <c r="F43" s="28"/>
      <c r="G43" s="28"/>
      <c r="H43" s="60"/>
      <c r="I43" s="38"/>
      <c r="J43" s="30"/>
      <c r="M43" s="76" t="str">
        <f t="shared" si="1"/>
        <v>-</v>
      </c>
      <c r="N43" s="76" t="str">
        <f t="shared" si="2"/>
        <v>-</v>
      </c>
      <c r="O43" s="77" t="str">
        <f t="shared" si="3"/>
        <v>-</v>
      </c>
      <c r="P43" s="78" t="str">
        <f t="shared" si="4"/>
        <v>-</v>
      </c>
      <c r="R43" s="78" t="str">
        <f t="shared" si="5"/>
        <v>-</v>
      </c>
    </row>
    <row r="44" spans="1:18" ht="14.4" x14ac:dyDescent="0.3">
      <c r="A44" s="20">
        <v>810104620864</v>
      </c>
      <c r="B44" s="21" t="s">
        <v>87</v>
      </c>
      <c r="C44" s="22" t="s">
        <v>88</v>
      </c>
      <c r="D44" s="23">
        <v>131</v>
      </c>
      <c r="E44" s="44" t="s">
        <v>9</v>
      </c>
      <c r="F44" s="23">
        <v>0.16</v>
      </c>
      <c r="G44" s="49">
        <v>24.95</v>
      </c>
      <c r="H44" s="59">
        <v>8.4830000000000005</v>
      </c>
      <c r="I44" s="39"/>
      <c r="J44" s="24">
        <f t="shared" ref="J44:J75" si="7">I44*H44</f>
        <v>0</v>
      </c>
      <c r="M44" s="76" t="str">
        <f t="shared" si="1"/>
        <v>-</v>
      </c>
      <c r="N44" s="76" t="str">
        <f t="shared" si="2"/>
        <v>-</v>
      </c>
      <c r="O44" s="77" t="str">
        <f t="shared" si="3"/>
        <v>-</v>
      </c>
      <c r="P44" s="78" t="str">
        <f t="shared" si="4"/>
        <v>-</v>
      </c>
      <c r="R44" s="78" t="str">
        <f t="shared" si="5"/>
        <v>-</v>
      </c>
    </row>
    <row r="45" spans="1:18" ht="14.4" x14ac:dyDescent="0.3">
      <c r="A45" s="5">
        <v>810104621021</v>
      </c>
      <c r="B45" s="15" t="s">
        <v>89</v>
      </c>
      <c r="C45" s="18" t="s">
        <v>90</v>
      </c>
      <c r="D45" s="12">
        <v>47</v>
      </c>
      <c r="E45" s="45" t="s">
        <v>9</v>
      </c>
      <c r="F45" s="12">
        <v>0.25</v>
      </c>
      <c r="G45" s="49">
        <v>29.95</v>
      </c>
      <c r="H45" s="59">
        <v>10.965</v>
      </c>
      <c r="I45" s="40"/>
      <c r="J45" s="8">
        <f t="shared" si="7"/>
        <v>0</v>
      </c>
      <c r="M45" s="76" t="str">
        <f t="shared" si="1"/>
        <v>-</v>
      </c>
      <c r="N45" s="76" t="str">
        <f t="shared" si="2"/>
        <v>-</v>
      </c>
      <c r="O45" s="77" t="str">
        <f t="shared" si="3"/>
        <v>-</v>
      </c>
      <c r="P45" s="78" t="str">
        <f t="shared" si="4"/>
        <v>-</v>
      </c>
      <c r="R45" s="78" t="str">
        <f t="shared" si="5"/>
        <v>-</v>
      </c>
    </row>
    <row r="46" spans="1:18" ht="14.4" x14ac:dyDescent="0.3">
      <c r="A46" s="5">
        <v>810104621038</v>
      </c>
      <c r="B46" s="15" t="s">
        <v>91</v>
      </c>
      <c r="C46" s="18" t="s">
        <v>92</v>
      </c>
      <c r="D46" s="12">
        <v>57</v>
      </c>
      <c r="E46" s="45" t="s">
        <v>9</v>
      </c>
      <c r="F46" s="12">
        <v>0.25</v>
      </c>
      <c r="G46" s="49">
        <v>32.950000000000003</v>
      </c>
      <c r="H46" s="59">
        <v>11.747</v>
      </c>
      <c r="I46" s="40"/>
      <c r="J46" s="8">
        <f t="shared" si="7"/>
        <v>0</v>
      </c>
      <c r="M46" s="76" t="str">
        <f t="shared" si="1"/>
        <v>-</v>
      </c>
      <c r="N46" s="76" t="str">
        <f t="shared" si="2"/>
        <v>-</v>
      </c>
      <c r="O46" s="77" t="str">
        <f t="shared" si="3"/>
        <v>-</v>
      </c>
      <c r="P46" s="78" t="str">
        <f t="shared" si="4"/>
        <v>-</v>
      </c>
      <c r="R46" s="78" t="str">
        <f t="shared" si="5"/>
        <v>-</v>
      </c>
    </row>
    <row r="47" spans="1:18" ht="14.4" x14ac:dyDescent="0.3">
      <c r="A47" s="5">
        <v>856645008389</v>
      </c>
      <c r="B47" s="15" t="s">
        <v>93</v>
      </c>
      <c r="C47" s="18" t="s">
        <v>94</v>
      </c>
      <c r="D47" s="12">
        <v>5</v>
      </c>
      <c r="E47" s="45" t="s">
        <v>9</v>
      </c>
      <c r="F47" s="12">
        <v>0.17</v>
      </c>
      <c r="G47" s="49">
        <v>24.95</v>
      </c>
      <c r="H47" s="59">
        <v>8.891</v>
      </c>
      <c r="I47" s="40"/>
      <c r="J47" s="8">
        <f t="shared" si="7"/>
        <v>0</v>
      </c>
      <c r="M47" s="76" t="str">
        <f t="shared" si="1"/>
        <v>-</v>
      </c>
      <c r="N47" s="76" t="str">
        <f t="shared" si="2"/>
        <v>-</v>
      </c>
      <c r="O47" s="77" t="str">
        <f t="shared" si="3"/>
        <v>-</v>
      </c>
      <c r="P47" s="78" t="str">
        <f t="shared" si="4"/>
        <v>-</v>
      </c>
      <c r="R47" s="78" t="str">
        <f t="shared" si="5"/>
        <v>-</v>
      </c>
    </row>
    <row r="48" spans="1:18" ht="14.4" x14ac:dyDescent="0.3">
      <c r="A48" s="5">
        <v>810104620291</v>
      </c>
      <c r="B48" s="15" t="s">
        <v>95</v>
      </c>
      <c r="C48" s="18" t="s">
        <v>96</v>
      </c>
      <c r="D48" s="12">
        <v>20</v>
      </c>
      <c r="E48" s="45" t="s">
        <v>9</v>
      </c>
      <c r="F48" s="12">
        <v>0.25</v>
      </c>
      <c r="G48" s="49">
        <v>22.95</v>
      </c>
      <c r="H48" s="59">
        <v>10.965</v>
      </c>
      <c r="I48" s="40"/>
      <c r="J48" s="8">
        <f t="shared" si="7"/>
        <v>0</v>
      </c>
      <c r="M48" s="76" t="str">
        <f t="shared" si="1"/>
        <v>-</v>
      </c>
      <c r="N48" s="76" t="str">
        <f t="shared" si="2"/>
        <v>-</v>
      </c>
      <c r="O48" s="77" t="str">
        <f t="shared" si="3"/>
        <v>-</v>
      </c>
      <c r="P48" s="78" t="str">
        <f t="shared" si="4"/>
        <v>-</v>
      </c>
      <c r="R48" s="78" t="str">
        <f t="shared" si="5"/>
        <v>-</v>
      </c>
    </row>
    <row r="49" spans="1:18" ht="14.4" x14ac:dyDescent="0.3">
      <c r="A49" s="5">
        <v>810104620314</v>
      </c>
      <c r="B49" s="15" t="s">
        <v>97</v>
      </c>
      <c r="C49" s="18" t="s">
        <v>98</v>
      </c>
      <c r="D49" s="12">
        <v>22</v>
      </c>
      <c r="E49" s="45" t="s">
        <v>9</v>
      </c>
      <c r="F49" s="12">
        <v>0.24</v>
      </c>
      <c r="G49" s="49">
        <v>24.95</v>
      </c>
      <c r="H49" s="59">
        <v>11.747</v>
      </c>
      <c r="I49" s="40"/>
      <c r="J49" s="8">
        <f t="shared" si="7"/>
        <v>0</v>
      </c>
      <c r="M49" s="76" t="str">
        <f t="shared" si="1"/>
        <v>-</v>
      </c>
      <c r="N49" s="76" t="str">
        <f t="shared" si="2"/>
        <v>-</v>
      </c>
      <c r="O49" s="77" t="str">
        <f t="shared" si="3"/>
        <v>-</v>
      </c>
      <c r="P49" s="78" t="str">
        <f t="shared" si="4"/>
        <v>-</v>
      </c>
      <c r="R49" s="78" t="str">
        <f t="shared" si="5"/>
        <v>-</v>
      </c>
    </row>
    <row r="50" spans="1:18" ht="14.4" x14ac:dyDescent="0.3">
      <c r="A50" s="5">
        <v>810104620871</v>
      </c>
      <c r="B50" s="15" t="s">
        <v>99</v>
      </c>
      <c r="C50" s="18" t="s">
        <v>100</v>
      </c>
      <c r="D50" s="12">
        <v>229</v>
      </c>
      <c r="E50" s="45" t="s">
        <v>9</v>
      </c>
      <c r="F50" s="12">
        <v>0.16</v>
      </c>
      <c r="G50" s="49">
        <v>24.95</v>
      </c>
      <c r="H50" s="59">
        <v>8.4830000000000005</v>
      </c>
      <c r="I50" s="40"/>
      <c r="J50" s="8">
        <f t="shared" si="7"/>
        <v>0</v>
      </c>
      <c r="M50" s="76" t="str">
        <f t="shared" si="1"/>
        <v>-</v>
      </c>
      <c r="N50" s="76" t="str">
        <f t="shared" si="2"/>
        <v>-</v>
      </c>
      <c r="O50" s="77" t="str">
        <f t="shared" si="3"/>
        <v>-</v>
      </c>
      <c r="P50" s="78" t="str">
        <f t="shared" si="4"/>
        <v>-</v>
      </c>
      <c r="R50" s="78" t="str">
        <f t="shared" si="5"/>
        <v>-</v>
      </c>
    </row>
    <row r="51" spans="1:18" ht="14.4" x14ac:dyDescent="0.3">
      <c r="A51" s="5">
        <v>810104620505</v>
      </c>
      <c r="B51" s="15" t="s">
        <v>101</v>
      </c>
      <c r="C51" s="18" t="s">
        <v>102</v>
      </c>
      <c r="D51" s="12">
        <v>174</v>
      </c>
      <c r="E51" s="45" t="s">
        <v>9</v>
      </c>
      <c r="F51" s="12">
        <v>0.18</v>
      </c>
      <c r="G51" s="49">
        <v>24.95</v>
      </c>
      <c r="H51" s="59">
        <v>8.4830000000000005</v>
      </c>
      <c r="I51" s="40"/>
      <c r="J51" s="8">
        <f t="shared" si="7"/>
        <v>0</v>
      </c>
      <c r="M51" s="76" t="str">
        <f t="shared" si="1"/>
        <v>-</v>
      </c>
      <c r="N51" s="76" t="str">
        <f t="shared" si="2"/>
        <v>-</v>
      </c>
      <c r="O51" s="77" t="str">
        <f t="shared" si="3"/>
        <v>-</v>
      </c>
      <c r="P51" s="78" t="str">
        <f t="shared" si="4"/>
        <v>-</v>
      </c>
      <c r="R51" s="78" t="str">
        <f t="shared" si="5"/>
        <v>-</v>
      </c>
    </row>
    <row r="52" spans="1:18" ht="14.4" x14ac:dyDescent="0.3">
      <c r="A52" s="5">
        <v>850029392361</v>
      </c>
      <c r="B52" s="15" t="s">
        <v>103</v>
      </c>
      <c r="C52" s="18" t="s">
        <v>104</v>
      </c>
      <c r="D52" s="12">
        <v>31</v>
      </c>
      <c r="E52" s="45" t="s">
        <v>9</v>
      </c>
      <c r="F52" s="12">
        <v>0.17</v>
      </c>
      <c r="G52" s="49">
        <v>24.95</v>
      </c>
      <c r="H52" s="59">
        <v>9.18</v>
      </c>
      <c r="I52" s="40"/>
      <c r="J52" s="8">
        <f t="shared" si="7"/>
        <v>0</v>
      </c>
      <c r="M52" s="76" t="str">
        <f t="shared" si="1"/>
        <v>-</v>
      </c>
      <c r="N52" s="76" t="str">
        <f t="shared" si="2"/>
        <v>-</v>
      </c>
      <c r="O52" s="77" t="str">
        <f t="shared" si="3"/>
        <v>-</v>
      </c>
      <c r="P52" s="78" t="str">
        <f t="shared" si="4"/>
        <v>-</v>
      </c>
      <c r="R52" s="78" t="str">
        <f t="shared" si="5"/>
        <v>-</v>
      </c>
    </row>
    <row r="53" spans="1:18" ht="14.4" x14ac:dyDescent="0.3">
      <c r="A53" s="5">
        <v>810104620307</v>
      </c>
      <c r="B53" s="15" t="s">
        <v>105</v>
      </c>
      <c r="C53" s="18" t="s">
        <v>106</v>
      </c>
      <c r="D53" s="12">
        <v>27</v>
      </c>
      <c r="E53" s="45" t="s">
        <v>9</v>
      </c>
      <c r="F53" s="12">
        <v>0.25</v>
      </c>
      <c r="G53" s="49">
        <v>29.95</v>
      </c>
      <c r="H53" s="59">
        <v>11.186</v>
      </c>
      <c r="I53" s="40"/>
      <c r="J53" s="8">
        <f t="shared" si="7"/>
        <v>0</v>
      </c>
      <c r="M53" s="76" t="str">
        <f t="shared" si="1"/>
        <v>-</v>
      </c>
      <c r="N53" s="76" t="str">
        <f t="shared" si="2"/>
        <v>-</v>
      </c>
      <c r="O53" s="77" t="str">
        <f t="shared" si="3"/>
        <v>-</v>
      </c>
      <c r="P53" s="78" t="str">
        <f t="shared" si="4"/>
        <v>-</v>
      </c>
      <c r="R53" s="78" t="str">
        <f t="shared" si="5"/>
        <v>-</v>
      </c>
    </row>
    <row r="54" spans="1:18" ht="14.4" x14ac:dyDescent="0.3">
      <c r="A54" s="5">
        <v>810104621298</v>
      </c>
      <c r="B54" s="15" t="s">
        <v>107</v>
      </c>
      <c r="C54" s="18" t="s">
        <v>108</v>
      </c>
      <c r="D54" s="12">
        <v>241</v>
      </c>
      <c r="E54" s="45" t="s">
        <v>9</v>
      </c>
      <c r="F54" s="12">
        <v>0.18</v>
      </c>
      <c r="G54" s="49">
        <v>29.95</v>
      </c>
      <c r="H54" s="59">
        <v>11.254</v>
      </c>
      <c r="I54" s="40"/>
      <c r="J54" s="8">
        <f t="shared" si="7"/>
        <v>0</v>
      </c>
      <c r="M54" s="76" t="str">
        <f t="shared" si="1"/>
        <v>-</v>
      </c>
      <c r="N54" s="76" t="str">
        <f t="shared" si="2"/>
        <v>-</v>
      </c>
      <c r="O54" s="77" t="str">
        <f t="shared" si="3"/>
        <v>-</v>
      </c>
      <c r="P54" s="78" t="str">
        <f t="shared" si="4"/>
        <v>-</v>
      </c>
      <c r="R54" s="78" t="str">
        <f t="shared" si="5"/>
        <v>-</v>
      </c>
    </row>
    <row r="55" spans="1:18" ht="14.4" x14ac:dyDescent="0.3">
      <c r="A55" s="5">
        <v>850029392385</v>
      </c>
      <c r="B55" s="15" t="s">
        <v>109</v>
      </c>
      <c r="C55" s="18" t="s">
        <v>110</v>
      </c>
      <c r="D55" s="12">
        <v>81</v>
      </c>
      <c r="E55" s="45" t="s">
        <v>9</v>
      </c>
      <c r="F55" s="12">
        <v>0.18</v>
      </c>
      <c r="G55" s="49">
        <v>21.95</v>
      </c>
      <c r="H55" s="59">
        <v>9.18</v>
      </c>
      <c r="I55" s="40"/>
      <c r="J55" s="8">
        <f t="shared" si="7"/>
        <v>0</v>
      </c>
      <c r="M55" s="76" t="str">
        <f t="shared" si="1"/>
        <v>-</v>
      </c>
      <c r="N55" s="76" t="str">
        <f t="shared" si="2"/>
        <v>-</v>
      </c>
      <c r="O55" s="77" t="str">
        <f t="shared" si="3"/>
        <v>-</v>
      </c>
      <c r="P55" s="78" t="str">
        <f t="shared" si="4"/>
        <v>-</v>
      </c>
      <c r="R55" s="78" t="str">
        <f t="shared" si="5"/>
        <v>-</v>
      </c>
    </row>
    <row r="56" spans="1:18" ht="14.4" x14ac:dyDescent="0.3">
      <c r="A56" s="5">
        <v>810104620284</v>
      </c>
      <c r="B56" s="15" t="s">
        <v>111</v>
      </c>
      <c r="C56" s="18" t="s">
        <v>112</v>
      </c>
      <c r="D56" s="12">
        <v>111</v>
      </c>
      <c r="E56" s="45" t="s">
        <v>9</v>
      </c>
      <c r="F56" s="12">
        <v>0.25</v>
      </c>
      <c r="G56" s="49">
        <v>29.95</v>
      </c>
      <c r="H56" s="59">
        <v>11.186</v>
      </c>
      <c r="I56" s="40"/>
      <c r="J56" s="8">
        <f t="shared" si="7"/>
        <v>0</v>
      </c>
      <c r="M56" s="76" t="str">
        <f t="shared" si="1"/>
        <v>-</v>
      </c>
      <c r="N56" s="76" t="str">
        <f t="shared" si="2"/>
        <v>-</v>
      </c>
      <c r="O56" s="77" t="str">
        <f t="shared" si="3"/>
        <v>-</v>
      </c>
      <c r="P56" s="78" t="str">
        <f t="shared" si="4"/>
        <v>-</v>
      </c>
      <c r="R56" s="78" t="str">
        <f t="shared" si="5"/>
        <v>-</v>
      </c>
    </row>
    <row r="57" spans="1:18" ht="14.4" x14ac:dyDescent="0.3">
      <c r="A57" s="5">
        <v>810104621281</v>
      </c>
      <c r="B57" s="15" t="s">
        <v>113</v>
      </c>
      <c r="C57" s="18" t="s">
        <v>114</v>
      </c>
      <c r="D57" s="12">
        <v>147</v>
      </c>
      <c r="E57" s="45" t="s">
        <v>9</v>
      </c>
      <c r="F57" s="12">
        <v>0</v>
      </c>
      <c r="G57" s="49">
        <v>29.95</v>
      </c>
      <c r="H57" s="59">
        <v>12.087</v>
      </c>
      <c r="I57" s="40"/>
      <c r="J57" s="8">
        <f t="shared" si="7"/>
        <v>0</v>
      </c>
      <c r="M57" s="76" t="str">
        <f t="shared" si="1"/>
        <v>-</v>
      </c>
      <c r="N57" s="76" t="str">
        <f t="shared" si="2"/>
        <v>-</v>
      </c>
      <c r="O57" s="77" t="str">
        <f t="shared" si="3"/>
        <v>-</v>
      </c>
      <c r="P57" s="78" t="str">
        <f t="shared" si="4"/>
        <v>-</v>
      </c>
      <c r="R57" s="78" t="str">
        <f t="shared" si="5"/>
        <v>-</v>
      </c>
    </row>
    <row r="58" spans="1:18" ht="14.4" x14ac:dyDescent="0.3">
      <c r="A58" s="5">
        <v>850029392279</v>
      </c>
      <c r="B58" s="15" t="s">
        <v>115</v>
      </c>
      <c r="C58" s="18" t="s">
        <v>116</v>
      </c>
      <c r="D58" s="12">
        <v>8</v>
      </c>
      <c r="E58" s="45" t="s">
        <v>9</v>
      </c>
      <c r="F58" s="12">
        <v>0.25</v>
      </c>
      <c r="G58" s="49">
        <v>29.95</v>
      </c>
      <c r="H58" s="59">
        <v>15.895</v>
      </c>
      <c r="I58" s="40"/>
      <c r="J58" s="8">
        <f t="shared" si="7"/>
        <v>0</v>
      </c>
      <c r="M58" s="76" t="str">
        <f t="shared" si="1"/>
        <v>-</v>
      </c>
      <c r="N58" s="76" t="str">
        <f t="shared" si="2"/>
        <v>-</v>
      </c>
      <c r="O58" s="77" t="str">
        <f t="shared" si="3"/>
        <v>-</v>
      </c>
      <c r="P58" s="78" t="str">
        <f t="shared" si="4"/>
        <v>-</v>
      </c>
      <c r="R58" s="78" t="str">
        <f t="shared" si="5"/>
        <v>-</v>
      </c>
    </row>
    <row r="59" spans="1:18" ht="14.4" x14ac:dyDescent="0.3">
      <c r="A59" s="5">
        <v>850036700364</v>
      </c>
      <c r="B59" s="15" t="s">
        <v>117</v>
      </c>
      <c r="C59" s="18" t="s">
        <v>118</v>
      </c>
      <c r="D59" s="12">
        <v>55</v>
      </c>
      <c r="E59" s="45" t="s">
        <v>9</v>
      </c>
      <c r="F59" s="12">
        <v>0.25</v>
      </c>
      <c r="G59" s="49">
        <v>29.95</v>
      </c>
      <c r="H59" s="59">
        <v>17.764999999999997</v>
      </c>
      <c r="I59" s="40"/>
      <c r="J59" s="8">
        <f t="shared" si="7"/>
        <v>0</v>
      </c>
      <c r="M59" s="76" t="str">
        <f t="shared" si="1"/>
        <v>-</v>
      </c>
      <c r="N59" s="76" t="str">
        <f t="shared" si="2"/>
        <v>-</v>
      </c>
      <c r="O59" s="77" t="str">
        <f t="shared" si="3"/>
        <v>-</v>
      </c>
      <c r="P59" s="78" t="str">
        <f t="shared" si="4"/>
        <v>-</v>
      </c>
      <c r="R59" s="78" t="str">
        <f t="shared" si="5"/>
        <v>-</v>
      </c>
    </row>
    <row r="60" spans="1:18" ht="14.4" x14ac:dyDescent="0.3">
      <c r="A60" s="5">
        <v>810104620253</v>
      </c>
      <c r="B60" s="15" t="s">
        <v>119</v>
      </c>
      <c r="C60" s="18" t="s">
        <v>120</v>
      </c>
      <c r="D60" s="12">
        <v>41</v>
      </c>
      <c r="E60" s="45" t="s">
        <v>9</v>
      </c>
      <c r="F60" s="12">
        <v>0.19</v>
      </c>
      <c r="G60" s="49">
        <v>22.95</v>
      </c>
      <c r="H60" s="59">
        <v>9.8089999999999993</v>
      </c>
      <c r="I60" s="40"/>
      <c r="J60" s="8">
        <f t="shared" si="7"/>
        <v>0</v>
      </c>
      <c r="M60" s="76" t="str">
        <f t="shared" si="1"/>
        <v>-</v>
      </c>
      <c r="N60" s="76" t="str">
        <f t="shared" si="2"/>
        <v>-</v>
      </c>
      <c r="O60" s="77" t="str">
        <f t="shared" si="3"/>
        <v>-</v>
      </c>
      <c r="P60" s="78" t="str">
        <f t="shared" si="4"/>
        <v>-</v>
      </c>
      <c r="R60" s="78" t="str">
        <f t="shared" si="5"/>
        <v>-</v>
      </c>
    </row>
    <row r="61" spans="1:18" ht="14.4" x14ac:dyDescent="0.3">
      <c r="A61" s="5">
        <v>856645008075</v>
      </c>
      <c r="B61" s="15" t="s">
        <v>121</v>
      </c>
      <c r="C61" s="18" t="s">
        <v>122</v>
      </c>
      <c r="D61" s="12">
        <v>82</v>
      </c>
      <c r="E61" s="45" t="s">
        <v>9</v>
      </c>
      <c r="F61" s="12">
        <v>0.22</v>
      </c>
      <c r="G61" s="49">
        <v>29.95</v>
      </c>
      <c r="H61" s="59">
        <v>10.183</v>
      </c>
      <c r="I61" s="40"/>
      <c r="J61" s="8">
        <f t="shared" si="7"/>
        <v>0</v>
      </c>
      <c r="M61" s="76" t="str">
        <f t="shared" si="1"/>
        <v>-</v>
      </c>
      <c r="N61" s="76" t="str">
        <f t="shared" si="2"/>
        <v>-</v>
      </c>
      <c r="O61" s="77" t="str">
        <f t="shared" si="3"/>
        <v>-</v>
      </c>
      <c r="P61" s="78" t="str">
        <f t="shared" si="4"/>
        <v>-</v>
      </c>
      <c r="R61" s="78" t="str">
        <f t="shared" si="5"/>
        <v>-</v>
      </c>
    </row>
    <row r="62" spans="1:18" ht="14.4" x14ac:dyDescent="0.3">
      <c r="A62" s="5">
        <v>856645008570</v>
      </c>
      <c r="B62" s="15" t="s">
        <v>123</v>
      </c>
      <c r="C62" s="18" t="s">
        <v>124</v>
      </c>
      <c r="D62" s="12">
        <v>39</v>
      </c>
      <c r="E62" s="45" t="s">
        <v>9</v>
      </c>
      <c r="F62" s="12">
        <v>0.24</v>
      </c>
      <c r="G62" s="49">
        <v>29.95</v>
      </c>
      <c r="H62" s="59">
        <v>10.183</v>
      </c>
      <c r="I62" s="40"/>
      <c r="J62" s="8">
        <f t="shared" si="7"/>
        <v>0</v>
      </c>
      <c r="M62" s="76" t="str">
        <f t="shared" si="1"/>
        <v>-</v>
      </c>
      <c r="N62" s="76" t="str">
        <f t="shared" si="2"/>
        <v>-</v>
      </c>
      <c r="O62" s="77" t="str">
        <f t="shared" si="3"/>
        <v>-</v>
      </c>
      <c r="P62" s="78" t="str">
        <f t="shared" si="4"/>
        <v>-</v>
      </c>
      <c r="R62" s="78" t="str">
        <f t="shared" si="5"/>
        <v>-</v>
      </c>
    </row>
    <row r="63" spans="1:18" ht="14.4" x14ac:dyDescent="0.3">
      <c r="A63" s="5">
        <v>810104620239</v>
      </c>
      <c r="B63" s="15" t="s">
        <v>125</v>
      </c>
      <c r="C63" s="18" t="s">
        <v>126</v>
      </c>
      <c r="D63" s="12">
        <v>105</v>
      </c>
      <c r="E63" s="45" t="s">
        <v>9</v>
      </c>
      <c r="F63" s="12">
        <v>0.28999999999999998</v>
      </c>
      <c r="G63" s="49">
        <v>22.95</v>
      </c>
      <c r="H63" s="59">
        <v>10.676</v>
      </c>
      <c r="I63" s="40"/>
      <c r="J63" s="8">
        <f t="shared" si="7"/>
        <v>0</v>
      </c>
      <c r="M63" s="76" t="str">
        <f t="shared" si="1"/>
        <v>-</v>
      </c>
      <c r="N63" s="76" t="str">
        <f t="shared" si="2"/>
        <v>-</v>
      </c>
      <c r="O63" s="77" t="str">
        <f t="shared" si="3"/>
        <v>-</v>
      </c>
      <c r="P63" s="78" t="str">
        <f t="shared" si="4"/>
        <v>-</v>
      </c>
      <c r="R63" s="78" t="str">
        <f t="shared" si="5"/>
        <v>-</v>
      </c>
    </row>
    <row r="64" spans="1:18" ht="14.4" x14ac:dyDescent="0.3">
      <c r="A64" s="5">
        <v>810104621779</v>
      </c>
      <c r="B64" s="15" t="s">
        <v>127</v>
      </c>
      <c r="C64" s="18" t="s">
        <v>128</v>
      </c>
      <c r="D64" s="12">
        <v>160</v>
      </c>
      <c r="E64" s="45" t="s">
        <v>9</v>
      </c>
      <c r="F64" s="12">
        <v>0.28999999999999998</v>
      </c>
      <c r="G64" s="49">
        <v>29.95</v>
      </c>
      <c r="H64" s="59">
        <v>10.676</v>
      </c>
      <c r="I64" s="40"/>
      <c r="J64" s="8">
        <f t="shared" si="7"/>
        <v>0</v>
      </c>
      <c r="M64" s="76" t="str">
        <f t="shared" si="1"/>
        <v>-</v>
      </c>
      <c r="N64" s="76" t="str">
        <f t="shared" si="2"/>
        <v>-</v>
      </c>
      <c r="O64" s="77" t="str">
        <f t="shared" si="3"/>
        <v>-</v>
      </c>
      <c r="P64" s="78" t="str">
        <f t="shared" si="4"/>
        <v>-</v>
      </c>
      <c r="R64" s="78" t="str">
        <f t="shared" si="5"/>
        <v>-</v>
      </c>
    </row>
    <row r="65" spans="1:18" ht="14.4" x14ac:dyDescent="0.3">
      <c r="A65" s="5">
        <v>850036700418</v>
      </c>
      <c r="B65" s="15" t="s">
        <v>129</v>
      </c>
      <c r="C65" s="18" t="s">
        <v>130</v>
      </c>
      <c r="D65" s="12">
        <v>51</v>
      </c>
      <c r="E65" s="45" t="s">
        <v>9</v>
      </c>
      <c r="F65" s="12">
        <v>0.2</v>
      </c>
      <c r="G65" s="49">
        <v>19.95</v>
      </c>
      <c r="H65" s="59">
        <v>7.4459999999999997</v>
      </c>
      <c r="I65" s="40"/>
      <c r="J65" s="8">
        <f t="shared" si="7"/>
        <v>0</v>
      </c>
      <c r="M65" s="76" t="str">
        <f t="shared" si="1"/>
        <v>-</v>
      </c>
      <c r="N65" s="76" t="str">
        <f t="shared" si="2"/>
        <v>-</v>
      </c>
      <c r="O65" s="77" t="str">
        <f t="shared" si="3"/>
        <v>-</v>
      </c>
      <c r="P65" s="78" t="str">
        <f t="shared" si="4"/>
        <v>-</v>
      </c>
      <c r="R65" s="78" t="str">
        <f t="shared" si="5"/>
        <v>-</v>
      </c>
    </row>
    <row r="66" spans="1:18" ht="14.4" x14ac:dyDescent="0.3">
      <c r="A66" s="5">
        <v>850036700425</v>
      </c>
      <c r="B66" s="15" t="s">
        <v>131</v>
      </c>
      <c r="C66" s="18" t="s">
        <v>132</v>
      </c>
      <c r="D66" s="12">
        <v>50</v>
      </c>
      <c r="E66" s="45" t="s">
        <v>9</v>
      </c>
      <c r="F66" s="12">
        <v>0.18</v>
      </c>
      <c r="G66" s="49">
        <v>25.95</v>
      </c>
      <c r="H66" s="59">
        <v>8.8230000000000004</v>
      </c>
      <c r="I66" s="40"/>
      <c r="J66" s="8">
        <f t="shared" si="7"/>
        <v>0</v>
      </c>
      <c r="M66" s="76" t="str">
        <f t="shared" si="1"/>
        <v>-</v>
      </c>
      <c r="N66" s="76" t="str">
        <f t="shared" si="2"/>
        <v>-</v>
      </c>
      <c r="O66" s="77" t="str">
        <f t="shared" si="3"/>
        <v>-</v>
      </c>
      <c r="P66" s="78" t="str">
        <f t="shared" si="4"/>
        <v>-</v>
      </c>
      <c r="R66" s="78" t="str">
        <f t="shared" si="5"/>
        <v>-</v>
      </c>
    </row>
    <row r="67" spans="1:18" ht="14.4" x14ac:dyDescent="0.3">
      <c r="A67" s="5">
        <v>810104620222</v>
      </c>
      <c r="B67" s="15" t="s">
        <v>133</v>
      </c>
      <c r="C67" s="18" t="s">
        <v>134</v>
      </c>
      <c r="D67" s="12">
        <v>125</v>
      </c>
      <c r="E67" s="45" t="s">
        <v>9</v>
      </c>
      <c r="F67" s="12">
        <v>0.18</v>
      </c>
      <c r="G67" s="49">
        <v>29.95</v>
      </c>
      <c r="H67" s="59">
        <v>10.302</v>
      </c>
      <c r="I67" s="40"/>
      <c r="J67" s="8">
        <f t="shared" si="7"/>
        <v>0</v>
      </c>
      <c r="M67" s="76" t="str">
        <f t="shared" si="1"/>
        <v>-</v>
      </c>
      <c r="N67" s="76" t="str">
        <f t="shared" si="2"/>
        <v>-</v>
      </c>
      <c r="O67" s="77" t="str">
        <f t="shared" si="3"/>
        <v>-</v>
      </c>
      <c r="P67" s="78" t="str">
        <f t="shared" si="4"/>
        <v>-</v>
      </c>
      <c r="R67" s="78" t="str">
        <f t="shared" si="5"/>
        <v>-</v>
      </c>
    </row>
    <row r="68" spans="1:18" ht="14.4" x14ac:dyDescent="0.3">
      <c r="A68" s="5">
        <v>850036700333</v>
      </c>
      <c r="B68" s="15" t="s">
        <v>135</v>
      </c>
      <c r="C68" s="18" t="s">
        <v>136</v>
      </c>
      <c r="D68" s="12">
        <v>24</v>
      </c>
      <c r="E68" s="45" t="s">
        <v>9</v>
      </c>
      <c r="F68" s="12">
        <v>0.18</v>
      </c>
      <c r="G68" s="49">
        <v>28.95</v>
      </c>
      <c r="H68" s="59">
        <v>11.645</v>
      </c>
      <c r="I68" s="40"/>
      <c r="J68" s="8">
        <f t="shared" si="7"/>
        <v>0</v>
      </c>
      <c r="M68" s="76" t="str">
        <f t="shared" ref="M68:M131" si="8">IFERROR(IF($M$2*F68=0, "-", $M$2*F68), "-")</f>
        <v>-</v>
      </c>
      <c r="N68" s="76" t="str">
        <f t="shared" ref="N68:N131" si="9">IF(I68&gt;0,H68+F68*I68/$O$2*$P$2/I68,"-")</f>
        <v>-</v>
      </c>
      <c r="O68" s="77" t="str">
        <f t="shared" ref="O68:O131" si="10">IF(I68&gt;0,I68*F68*1.113, "-")</f>
        <v>-</v>
      </c>
      <c r="P68" s="78" t="str">
        <f t="shared" ref="P68:P131" si="11">IFERROR(IF($M$2&gt;0, $M$2*O68, "-"), "-")</f>
        <v>-</v>
      </c>
      <c r="R68" s="78" t="str">
        <f t="shared" ref="R68:R131" si="12">IFERROR(IF(P68+J68=0, "-", IF(P68&gt;0, P68+J68, "-")), "-")</f>
        <v>-</v>
      </c>
    </row>
    <row r="69" spans="1:18" ht="14.4" x14ac:dyDescent="0.3">
      <c r="A69" s="5">
        <v>810104620246</v>
      </c>
      <c r="B69" s="15" t="s">
        <v>137</v>
      </c>
      <c r="C69" s="18" t="s">
        <v>138</v>
      </c>
      <c r="D69" s="12">
        <v>121</v>
      </c>
      <c r="E69" s="45" t="s">
        <v>9</v>
      </c>
      <c r="F69" s="12">
        <v>0.18</v>
      </c>
      <c r="G69" s="49">
        <v>31.95</v>
      </c>
      <c r="H69" s="59">
        <v>11.508999999999999</v>
      </c>
      <c r="I69" s="40"/>
      <c r="J69" s="8">
        <f t="shared" si="7"/>
        <v>0</v>
      </c>
      <c r="M69" s="76" t="str">
        <f t="shared" si="8"/>
        <v>-</v>
      </c>
      <c r="N69" s="76" t="str">
        <f t="shared" si="9"/>
        <v>-</v>
      </c>
      <c r="O69" s="77" t="str">
        <f t="shared" si="10"/>
        <v>-</v>
      </c>
      <c r="P69" s="78" t="str">
        <f t="shared" si="11"/>
        <v>-</v>
      </c>
      <c r="R69" s="78" t="str">
        <f t="shared" si="12"/>
        <v>-</v>
      </c>
    </row>
    <row r="70" spans="1:18" ht="14.4" x14ac:dyDescent="0.3">
      <c r="A70" s="5">
        <v>856645008112</v>
      </c>
      <c r="B70" s="15" t="s">
        <v>139</v>
      </c>
      <c r="C70" s="18" t="s">
        <v>140</v>
      </c>
      <c r="D70" s="12">
        <v>68</v>
      </c>
      <c r="E70" s="45" t="s">
        <v>9</v>
      </c>
      <c r="F70" s="12">
        <v>0.16</v>
      </c>
      <c r="G70" s="49">
        <v>26.95</v>
      </c>
      <c r="H70" s="59">
        <v>9.1629999999999985</v>
      </c>
      <c r="I70" s="40"/>
      <c r="J70" s="8">
        <f t="shared" si="7"/>
        <v>0</v>
      </c>
      <c r="M70" s="76" t="str">
        <f t="shared" si="8"/>
        <v>-</v>
      </c>
      <c r="N70" s="76" t="str">
        <f t="shared" si="9"/>
        <v>-</v>
      </c>
      <c r="O70" s="77" t="str">
        <f t="shared" si="10"/>
        <v>-</v>
      </c>
      <c r="P70" s="78" t="str">
        <f t="shared" si="11"/>
        <v>-</v>
      </c>
      <c r="R70" s="78" t="str">
        <f t="shared" si="12"/>
        <v>-</v>
      </c>
    </row>
    <row r="71" spans="1:18" ht="14.4" x14ac:dyDescent="0.3">
      <c r="A71" s="5">
        <v>856645008051</v>
      </c>
      <c r="B71" s="15" t="s">
        <v>141</v>
      </c>
      <c r="C71" s="18" t="s">
        <v>142</v>
      </c>
      <c r="D71" s="12">
        <v>23</v>
      </c>
      <c r="E71" s="45" t="s">
        <v>9</v>
      </c>
      <c r="F71" s="12">
        <v>0.23</v>
      </c>
      <c r="G71" s="49">
        <v>29.95</v>
      </c>
      <c r="H71" s="59">
        <v>18.564</v>
      </c>
      <c r="I71" s="40"/>
      <c r="J71" s="8">
        <f t="shared" si="7"/>
        <v>0</v>
      </c>
      <c r="M71" s="76" t="str">
        <f t="shared" si="8"/>
        <v>-</v>
      </c>
      <c r="N71" s="76" t="str">
        <f t="shared" si="9"/>
        <v>-</v>
      </c>
      <c r="O71" s="77" t="str">
        <f t="shared" si="10"/>
        <v>-</v>
      </c>
      <c r="P71" s="78" t="str">
        <f t="shared" si="11"/>
        <v>-</v>
      </c>
      <c r="R71" s="78" t="str">
        <f t="shared" si="12"/>
        <v>-</v>
      </c>
    </row>
    <row r="72" spans="1:18" ht="14.4" x14ac:dyDescent="0.3">
      <c r="A72" s="5">
        <v>861365000483</v>
      </c>
      <c r="B72" s="15" t="s">
        <v>143</v>
      </c>
      <c r="C72" s="18" t="s">
        <v>144</v>
      </c>
      <c r="D72" s="12">
        <v>124</v>
      </c>
      <c r="E72" s="45" t="s">
        <v>9</v>
      </c>
      <c r="F72" s="12">
        <v>0.23</v>
      </c>
      <c r="G72" s="49">
        <v>21.95</v>
      </c>
      <c r="H72" s="59">
        <v>11.984999999999999</v>
      </c>
      <c r="I72" s="40"/>
      <c r="J72" s="8">
        <f t="shared" si="7"/>
        <v>0</v>
      </c>
      <c r="M72" s="76" t="str">
        <f t="shared" si="8"/>
        <v>-</v>
      </c>
      <c r="N72" s="76" t="str">
        <f t="shared" si="9"/>
        <v>-</v>
      </c>
      <c r="O72" s="77" t="str">
        <f t="shared" si="10"/>
        <v>-</v>
      </c>
      <c r="P72" s="78" t="str">
        <f t="shared" si="11"/>
        <v>-</v>
      </c>
      <c r="R72" s="78" t="str">
        <f t="shared" si="12"/>
        <v>-</v>
      </c>
    </row>
    <row r="73" spans="1:18" ht="14.4" x14ac:dyDescent="0.3">
      <c r="A73" s="5">
        <v>810104621274</v>
      </c>
      <c r="B73" s="15" t="s">
        <v>145</v>
      </c>
      <c r="C73" s="18" t="s">
        <v>146</v>
      </c>
      <c r="D73" s="12">
        <v>148</v>
      </c>
      <c r="E73" s="45" t="s">
        <v>9</v>
      </c>
      <c r="F73" s="12">
        <v>0.17</v>
      </c>
      <c r="G73" s="49">
        <v>24.95</v>
      </c>
      <c r="H73" s="59">
        <v>8.4830000000000005</v>
      </c>
      <c r="I73" s="40"/>
      <c r="J73" s="8">
        <f t="shared" si="7"/>
        <v>0</v>
      </c>
      <c r="M73" s="76" t="str">
        <f t="shared" si="8"/>
        <v>-</v>
      </c>
      <c r="N73" s="76" t="str">
        <f t="shared" si="9"/>
        <v>-</v>
      </c>
      <c r="O73" s="77" t="str">
        <f t="shared" si="10"/>
        <v>-</v>
      </c>
      <c r="P73" s="78" t="str">
        <f t="shared" si="11"/>
        <v>-</v>
      </c>
      <c r="R73" s="78" t="str">
        <f t="shared" si="12"/>
        <v>-</v>
      </c>
    </row>
    <row r="74" spans="1:18" ht="14.4" x14ac:dyDescent="0.3">
      <c r="A74" s="5">
        <v>850036700128</v>
      </c>
      <c r="B74" s="15" t="s">
        <v>147</v>
      </c>
      <c r="C74" s="18" t="s">
        <v>148</v>
      </c>
      <c r="D74" s="12">
        <v>63</v>
      </c>
      <c r="E74" s="45" t="s">
        <v>9</v>
      </c>
      <c r="F74" s="12">
        <v>0.34</v>
      </c>
      <c r="G74" s="49">
        <v>29.95</v>
      </c>
      <c r="H74" s="59">
        <v>18.955000000000002</v>
      </c>
      <c r="I74" s="40"/>
      <c r="J74" s="8">
        <f t="shared" si="7"/>
        <v>0</v>
      </c>
      <c r="M74" s="76" t="str">
        <f t="shared" si="8"/>
        <v>-</v>
      </c>
      <c r="N74" s="76" t="str">
        <f t="shared" si="9"/>
        <v>-</v>
      </c>
      <c r="O74" s="77" t="str">
        <f t="shared" si="10"/>
        <v>-</v>
      </c>
      <c r="P74" s="78" t="str">
        <f t="shared" si="11"/>
        <v>-</v>
      </c>
      <c r="R74" s="78" t="str">
        <f t="shared" si="12"/>
        <v>-</v>
      </c>
    </row>
    <row r="75" spans="1:18" ht="14.4" x14ac:dyDescent="0.3">
      <c r="A75" s="5">
        <v>850036700722</v>
      </c>
      <c r="B75" s="15" t="s">
        <v>149</v>
      </c>
      <c r="C75" s="18" t="s">
        <v>150</v>
      </c>
      <c r="D75" s="12">
        <v>115</v>
      </c>
      <c r="E75" s="45" t="s">
        <v>9</v>
      </c>
      <c r="F75" s="12">
        <v>0.18</v>
      </c>
      <c r="G75" s="49">
        <v>16.95</v>
      </c>
      <c r="H75" s="59">
        <v>9.282</v>
      </c>
      <c r="I75" s="40"/>
      <c r="J75" s="8">
        <f t="shared" si="7"/>
        <v>0</v>
      </c>
      <c r="M75" s="76" t="str">
        <f t="shared" si="8"/>
        <v>-</v>
      </c>
      <c r="N75" s="76" t="str">
        <f t="shared" si="9"/>
        <v>-</v>
      </c>
      <c r="O75" s="77" t="str">
        <f t="shared" si="10"/>
        <v>-</v>
      </c>
      <c r="P75" s="78" t="str">
        <f t="shared" si="11"/>
        <v>-</v>
      </c>
      <c r="R75" s="78" t="str">
        <f t="shared" si="12"/>
        <v>-</v>
      </c>
    </row>
    <row r="76" spans="1:18" ht="14.4" x14ac:dyDescent="0.3">
      <c r="A76" s="5">
        <v>850018471459</v>
      </c>
      <c r="B76" s="15" t="s">
        <v>151</v>
      </c>
      <c r="C76" s="18" t="s">
        <v>152</v>
      </c>
      <c r="D76" s="12">
        <v>77</v>
      </c>
      <c r="E76" s="45" t="s">
        <v>9</v>
      </c>
      <c r="F76" s="12">
        <v>0.17</v>
      </c>
      <c r="G76" s="49">
        <v>24.95</v>
      </c>
      <c r="H76" s="59">
        <v>11.458</v>
      </c>
      <c r="I76" s="40"/>
      <c r="J76" s="8">
        <f t="shared" ref="J76:J93" si="13">I76*H76</f>
        <v>0</v>
      </c>
      <c r="M76" s="76" t="str">
        <f t="shared" si="8"/>
        <v>-</v>
      </c>
      <c r="N76" s="76" t="str">
        <f t="shared" si="9"/>
        <v>-</v>
      </c>
      <c r="O76" s="77" t="str">
        <f t="shared" si="10"/>
        <v>-</v>
      </c>
      <c r="P76" s="78" t="str">
        <f t="shared" si="11"/>
        <v>-</v>
      </c>
      <c r="R76" s="78" t="str">
        <f t="shared" si="12"/>
        <v>-</v>
      </c>
    </row>
    <row r="77" spans="1:18" ht="14.4" x14ac:dyDescent="0.3">
      <c r="A77" s="5">
        <v>856645008303</v>
      </c>
      <c r="B77" s="15" t="s">
        <v>153</v>
      </c>
      <c r="C77" s="18" t="s">
        <v>154</v>
      </c>
      <c r="D77" s="12">
        <v>89</v>
      </c>
      <c r="E77" s="45" t="s">
        <v>9</v>
      </c>
      <c r="F77" s="12">
        <v>0.21</v>
      </c>
      <c r="G77" s="49">
        <v>24.95</v>
      </c>
      <c r="H77" s="59">
        <v>13.005000000000001</v>
      </c>
      <c r="I77" s="40"/>
      <c r="J77" s="8">
        <f t="shared" si="13"/>
        <v>0</v>
      </c>
      <c r="M77" s="76" t="str">
        <f t="shared" si="8"/>
        <v>-</v>
      </c>
      <c r="N77" s="76" t="str">
        <f t="shared" si="9"/>
        <v>-</v>
      </c>
      <c r="O77" s="77" t="str">
        <f t="shared" si="10"/>
        <v>-</v>
      </c>
      <c r="P77" s="78" t="str">
        <f t="shared" si="11"/>
        <v>-</v>
      </c>
      <c r="R77" s="78" t="str">
        <f t="shared" si="12"/>
        <v>-</v>
      </c>
    </row>
    <row r="78" spans="1:18" ht="14.4" x14ac:dyDescent="0.3">
      <c r="A78" s="5">
        <v>810104620260</v>
      </c>
      <c r="B78" s="15" t="s">
        <v>155</v>
      </c>
      <c r="C78" s="18" t="s">
        <v>156</v>
      </c>
      <c r="D78" s="12">
        <v>29</v>
      </c>
      <c r="E78" s="45" t="s">
        <v>9</v>
      </c>
      <c r="F78" s="12">
        <v>0.25</v>
      </c>
      <c r="G78" s="49">
        <v>29.95</v>
      </c>
      <c r="H78" s="59">
        <v>10.726999999999999</v>
      </c>
      <c r="I78" s="40"/>
      <c r="J78" s="8">
        <f t="shared" si="13"/>
        <v>0</v>
      </c>
      <c r="M78" s="76" t="str">
        <f t="shared" si="8"/>
        <v>-</v>
      </c>
      <c r="N78" s="76" t="str">
        <f t="shared" si="9"/>
        <v>-</v>
      </c>
      <c r="O78" s="77" t="str">
        <f t="shared" si="10"/>
        <v>-</v>
      </c>
      <c r="P78" s="78" t="str">
        <f t="shared" si="11"/>
        <v>-</v>
      </c>
      <c r="R78" s="78" t="str">
        <f t="shared" si="12"/>
        <v>-</v>
      </c>
    </row>
    <row r="79" spans="1:18" ht="14.4" x14ac:dyDescent="0.3">
      <c r="A79" s="5">
        <v>856645008334</v>
      </c>
      <c r="B79" s="15" t="s">
        <v>157</v>
      </c>
      <c r="C79" s="18" t="s">
        <v>158</v>
      </c>
      <c r="D79" s="12">
        <v>61</v>
      </c>
      <c r="E79" s="45" t="s">
        <v>9</v>
      </c>
      <c r="F79" s="12">
        <v>0.26</v>
      </c>
      <c r="G79" s="49">
        <v>33.950000000000003</v>
      </c>
      <c r="H79" s="59">
        <v>11.763999999999999</v>
      </c>
      <c r="I79" s="40"/>
      <c r="J79" s="8">
        <f t="shared" si="13"/>
        <v>0</v>
      </c>
      <c r="M79" s="76" t="str">
        <f t="shared" si="8"/>
        <v>-</v>
      </c>
      <c r="N79" s="76" t="str">
        <f t="shared" si="9"/>
        <v>-</v>
      </c>
      <c r="O79" s="77" t="str">
        <f t="shared" si="10"/>
        <v>-</v>
      </c>
      <c r="P79" s="78" t="str">
        <f t="shared" si="11"/>
        <v>-</v>
      </c>
      <c r="R79" s="78" t="str">
        <f t="shared" si="12"/>
        <v>-</v>
      </c>
    </row>
    <row r="80" spans="1:18" ht="14.4" x14ac:dyDescent="0.3">
      <c r="A80" s="5">
        <v>850036700166</v>
      </c>
      <c r="B80" s="15" t="s">
        <v>159</v>
      </c>
      <c r="C80" s="18" t="s">
        <v>160</v>
      </c>
      <c r="D80" s="12">
        <v>96</v>
      </c>
      <c r="E80" s="45" t="s">
        <v>9</v>
      </c>
      <c r="F80" s="12">
        <v>0.16</v>
      </c>
      <c r="G80" s="49">
        <v>19.95</v>
      </c>
      <c r="H80" s="59">
        <v>7.48</v>
      </c>
      <c r="I80" s="40"/>
      <c r="J80" s="8">
        <f t="shared" si="13"/>
        <v>0</v>
      </c>
      <c r="M80" s="76" t="str">
        <f t="shared" si="8"/>
        <v>-</v>
      </c>
      <c r="N80" s="76" t="str">
        <f t="shared" si="9"/>
        <v>-</v>
      </c>
      <c r="O80" s="77" t="str">
        <f t="shared" si="10"/>
        <v>-</v>
      </c>
      <c r="P80" s="78" t="str">
        <f t="shared" si="11"/>
        <v>-</v>
      </c>
      <c r="R80" s="78" t="str">
        <f t="shared" si="12"/>
        <v>-</v>
      </c>
    </row>
    <row r="81" spans="1:18" ht="14.4" x14ac:dyDescent="0.3">
      <c r="A81" s="5">
        <v>850018471992</v>
      </c>
      <c r="B81" s="15" t="s">
        <v>161</v>
      </c>
      <c r="C81" s="18" t="s">
        <v>162</v>
      </c>
      <c r="D81" s="12">
        <v>166</v>
      </c>
      <c r="E81" s="45" t="s">
        <v>9</v>
      </c>
      <c r="F81" s="12">
        <v>0</v>
      </c>
      <c r="G81" s="49">
        <v>25.95</v>
      </c>
      <c r="H81" s="59">
        <v>18.224</v>
      </c>
      <c r="I81" s="40"/>
      <c r="J81" s="8">
        <f t="shared" si="13"/>
        <v>0</v>
      </c>
      <c r="M81" s="76" t="str">
        <f t="shared" si="8"/>
        <v>-</v>
      </c>
      <c r="N81" s="76" t="str">
        <f t="shared" si="9"/>
        <v>-</v>
      </c>
      <c r="O81" s="77" t="str">
        <f t="shared" si="10"/>
        <v>-</v>
      </c>
      <c r="P81" s="78" t="str">
        <f t="shared" si="11"/>
        <v>-</v>
      </c>
      <c r="R81" s="78" t="str">
        <f t="shared" si="12"/>
        <v>-</v>
      </c>
    </row>
    <row r="82" spans="1:18" ht="14.4" x14ac:dyDescent="0.3">
      <c r="A82" s="5">
        <v>856645008006</v>
      </c>
      <c r="B82" s="15" t="s">
        <v>163</v>
      </c>
      <c r="C82" s="18" t="s">
        <v>164</v>
      </c>
      <c r="D82" s="12">
        <v>134</v>
      </c>
      <c r="E82" s="45" t="s">
        <v>9</v>
      </c>
      <c r="F82" s="12">
        <v>0.25</v>
      </c>
      <c r="G82" s="49">
        <v>24.95</v>
      </c>
      <c r="H82" s="59">
        <v>14.772999999999998</v>
      </c>
      <c r="I82" s="40"/>
      <c r="J82" s="8">
        <f t="shared" si="13"/>
        <v>0</v>
      </c>
      <c r="M82" s="76" t="str">
        <f t="shared" si="8"/>
        <v>-</v>
      </c>
      <c r="N82" s="76" t="str">
        <f t="shared" si="9"/>
        <v>-</v>
      </c>
      <c r="O82" s="77" t="str">
        <f t="shared" si="10"/>
        <v>-</v>
      </c>
      <c r="P82" s="78" t="str">
        <f t="shared" si="11"/>
        <v>-</v>
      </c>
      <c r="R82" s="78" t="str">
        <f t="shared" si="12"/>
        <v>-</v>
      </c>
    </row>
    <row r="83" spans="1:18" ht="14.4" x14ac:dyDescent="0.3">
      <c r="A83" s="5">
        <v>850029392088</v>
      </c>
      <c r="B83" s="15" t="s">
        <v>165</v>
      </c>
      <c r="C83" s="18" t="s">
        <v>166</v>
      </c>
      <c r="D83" s="12">
        <v>193</v>
      </c>
      <c r="E83" s="45" t="s">
        <v>9</v>
      </c>
      <c r="F83" s="12">
        <v>0.2</v>
      </c>
      <c r="G83" s="49">
        <v>24.95</v>
      </c>
      <c r="H83" s="59">
        <v>8.7889999999999997</v>
      </c>
      <c r="I83" s="40"/>
      <c r="J83" s="8">
        <f t="shared" si="13"/>
        <v>0</v>
      </c>
      <c r="M83" s="76" t="str">
        <f t="shared" si="8"/>
        <v>-</v>
      </c>
      <c r="N83" s="76" t="str">
        <f t="shared" si="9"/>
        <v>-</v>
      </c>
      <c r="O83" s="77" t="str">
        <f t="shared" si="10"/>
        <v>-</v>
      </c>
      <c r="P83" s="78" t="str">
        <f t="shared" si="11"/>
        <v>-</v>
      </c>
      <c r="R83" s="78" t="str">
        <f t="shared" si="12"/>
        <v>-</v>
      </c>
    </row>
    <row r="84" spans="1:18" ht="14.4" x14ac:dyDescent="0.3">
      <c r="A84" s="5">
        <v>810104620277</v>
      </c>
      <c r="B84" s="15" t="s">
        <v>167</v>
      </c>
      <c r="C84" s="18" t="s">
        <v>168</v>
      </c>
      <c r="D84" s="12">
        <v>156</v>
      </c>
      <c r="E84" s="45" t="s">
        <v>9</v>
      </c>
      <c r="F84" s="12">
        <v>0</v>
      </c>
      <c r="G84" s="49">
        <v>24.95</v>
      </c>
      <c r="H84" s="59">
        <v>10.148999999999999</v>
      </c>
      <c r="I84" s="40"/>
      <c r="J84" s="8">
        <f t="shared" si="13"/>
        <v>0</v>
      </c>
      <c r="M84" s="76" t="str">
        <f t="shared" si="8"/>
        <v>-</v>
      </c>
      <c r="N84" s="76" t="str">
        <f t="shared" si="9"/>
        <v>-</v>
      </c>
      <c r="O84" s="77" t="str">
        <f t="shared" si="10"/>
        <v>-</v>
      </c>
      <c r="P84" s="78" t="str">
        <f t="shared" si="11"/>
        <v>-</v>
      </c>
      <c r="R84" s="78" t="str">
        <f t="shared" si="12"/>
        <v>-</v>
      </c>
    </row>
    <row r="85" spans="1:18" ht="14.4" x14ac:dyDescent="0.3">
      <c r="A85" s="5">
        <v>850036700692</v>
      </c>
      <c r="B85" s="15" t="s">
        <v>169</v>
      </c>
      <c r="C85" s="18" t="s">
        <v>170</v>
      </c>
      <c r="D85" s="12">
        <v>97</v>
      </c>
      <c r="E85" s="45" t="s">
        <v>9</v>
      </c>
      <c r="F85" s="12">
        <v>0.18</v>
      </c>
      <c r="G85" s="49">
        <v>19.95</v>
      </c>
      <c r="H85" s="59">
        <v>12.291</v>
      </c>
      <c r="I85" s="40"/>
      <c r="J85" s="8">
        <f t="shared" si="13"/>
        <v>0</v>
      </c>
      <c r="M85" s="76" t="str">
        <f t="shared" si="8"/>
        <v>-</v>
      </c>
      <c r="N85" s="76" t="str">
        <f t="shared" si="9"/>
        <v>-</v>
      </c>
      <c r="O85" s="77" t="str">
        <f t="shared" si="10"/>
        <v>-</v>
      </c>
      <c r="P85" s="78" t="str">
        <f t="shared" si="11"/>
        <v>-</v>
      </c>
      <c r="R85" s="78" t="str">
        <f t="shared" si="12"/>
        <v>-</v>
      </c>
    </row>
    <row r="86" spans="1:18" ht="14.4" x14ac:dyDescent="0.3">
      <c r="A86" s="5">
        <v>850029392620</v>
      </c>
      <c r="B86" s="15" t="s">
        <v>171</v>
      </c>
      <c r="C86" s="18" t="s">
        <v>172</v>
      </c>
      <c r="D86" s="12">
        <v>214</v>
      </c>
      <c r="E86" s="45" t="s">
        <v>9</v>
      </c>
      <c r="F86" s="12">
        <v>0.18</v>
      </c>
      <c r="G86" s="49">
        <v>19.95</v>
      </c>
      <c r="H86" s="59">
        <v>9.18</v>
      </c>
      <c r="I86" s="40"/>
      <c r="J86" s="8">
        <f t="shared" si="13"/>
        <v>0</v>
      </c>
      <c r="M86" s="76" t="str">
        <f t="shared" si="8"/>
        <v>-</v>
      </c>
      <c r="N86" s="76" t="str">
        <f t="shared" si="9"/>
        <v>-</v>
      </c>
      <c r="O86" s="77" t="str">
        <f t="shared" si="10"/>
        <v>-</v>
      </c>
      <c r="P86" s="78" t="str">
        <f t="shared" si="11"/>
        <v>-</v>
      </c>
      <c r="R86" s="78" t="str">
        <f t="shared" si="12"/>
        <v>-</v>
      </c>
    </row>
    <row r="87" spans="1:18" ht="14.4" x14ac:dyDescent="0.3">
      <c r="A87" s="5">
        <v>850036700715</v>
      </c>
      <c r="B87" s="15" t="s">
        <v>173</v>
      </c>
      <c r="C87" s="18" t="s">
        <v>174</v>
      </c>
      <c r="D87" s="12">
        <v>15</v>
      </c>
      <c r="E87" s="45" t="s">
        <v>9</v>
      </c>
      <c r="F87" s="12">
        <v>0.15</v>
      </c>
      <c r="G87" s="49">
        <v>24.95</v>
      </c>
      <c r="H87" s="59">
        <v>11.593999999999999</v>
      </c>
      <c r="I87" s="40"/>
      <c r="J87" s="8">
        <f t="shared" si="13"/>
        <v>0</v>
      </c>
      <c r="M87" s="76" t="str">
        <f t="shared" si="8"/>
        <v>-</v>
      </c>
      <c r="N87" s="76" t="str">
        <f t="shared" si="9"/>
        <v>-</v>
      </c>
      <c r="O87" s="77" t="str">
        <f t="shared" si="10"/>
        <v>-</v>
      </c>
      <c r="P87" s="78" t="str">
        <f t="shared" si="11"/>
        <v>-</v>
      </c>
      <c r="R87" s="78" t="str">
        <f t="shared" si="12"/>
        <v>-</v>
      </c>
    </row>
    <row r="88" spans="1:18" ht="14.4" x14ac:dyDescent="0.3">
      <c r="A88" s="5">
        <v>850036700470</v>
      </c>
      <c r="B88" s="15" t="s">
        <v>175</v>
      </c>
      <c r="C88" s="18" t="s">
        <v>176</v>
      </c>
      <c r="D88" s="12">
        <v>87</v>
      </c>
      <c r="E88" s="45" t="s">
        <v>9</v>
      </c>
      <c r="F88" s="12">
        <v>0.16</v>
      </c>
      <c r="G88" s="49">
        <v>29.95</v>
      </c>
      <c r="H88" s="59">
        <v>10.183</v>
      </c>
      <c r="I88" s="40"/>
      <c r="J88" s="8">
        <f t="shared" si="13"/>
        <v>0</v>
      </c>
      <c r="M88" s="76" t="str">
        <f t="shared" si="8"/>
        <v>-</v>
      </c>
      <c r="N88" s="76" t="str">
        <f t="shared" si="9"/>
        <v>-</v>
      </c>
      <c r="O88" s="77" t="str">
        <f t="shared" si="10"/>
        <v>-</v>
      </c>
      <c r="P88" s="78" t="str">
        <f t="shared" si="11"/>
        <v>-</v>
      </c>
      <c r="R88" s="78" t="str">
        <f t="shared" si="12"/>
        <v>-</v>
      </c>
    </row>
    <row r="89" spans="1:18" ht="14.4" x14ac:dyDescent="0.3">
      <c r="A89" s="5">
        <v>850036700500</v>
      </c>
      <c r="B89" s="15" t="s">
        <v>177</v>
      </c>
      <c r="C89" s="18" t="s">
        <v>178</v>
      </c>
      <c r="D89" s="12">
        <v>204</v>
      </c>
      <c r="E89" s="45" t="s">
        <v>9</v>
      </c>
      <c r="F89" s="12">
        <v>0</v>
      </c>
      <c r="G89" s="49">
        <v>24.95</v>
      </c>
      <c r="H89" s="59">
        <v>12.885999999999999</v>
      </c>
      <c r="I89" s="40"/>
      <c r="J89" s="8">
        <f t="shared" si="13"/>
        <v>0</v>
      </c>
      <c r="M89" s="76" t="str">
        <f t="shared" si="8"/>
        <v>-</v>
      </c>
      <c r="N89" s="76" t="str">
        <f t="shared" si="9"/>
        <v>-</v>
      </c>
      <c r="O89" s="77" t="str">
        <f t="shared" si="10"/>
        <v>-</v>
      </c>
      <c r="P89" s="78" t="str">
        <f t="shared" si="11"/>
        <v>-</v>
      </c>
      <c r="R89" s="78" t="str">
        <f t="shared" si="12"/>
        <v>-</v>
      </c>
    </row>
    <row r="90" spans="1:18" ht="14.4" x14ac:dyDescent="0.3">
      <c r="A90" s="5">
        <v>850036700708</v>
      </c>
      <c r="B90" s="15" t="s">
        <v>179</v>
      </c>
      <c r="C90" s="18" t="s">
        <v>180</v>
      </c>
      <c r="D90" s="12">
        <v>182</v>
      </c>
      <c r="E90" s="45" t="s">
        <v>9</v>
      </c>
      <c r="F90" s="12">
        <v>0.34</v>
      </c>
      <c r="G90" s="49">
        <v>24.95</v>
      </c>
      <c r="H90" s="59">
        <v>12.885999999999999</v>
      </c>
      <c r="I90" s="40"/>
      <c r="J90" s="8">
        <f t="shared" si="13"/>
        <v>0</v>
      </c>
      <c r="M90" s="76" t="str">
        <f t="shared" si="8"/>
        <v>-</v>
      </c>
      <c r="N90" s="76" t="str">
        <f t="shared" si="9"/>
        <v>-</v>
      </c>
      <c r="O90" s="77" t="str">
        <f t="shared" si="10"/>
        <v>-</v>
      </c>
      <c r="P90" s="78" t="str">
        <f t="shared" si="11"/>
        <v>-</v>
      </c>
      <c r="R90" s="78" t="str">
        <f t="shared" si="12"/>
        <v>-</v>
      </c>
    </row>
    <row r="91" spans="1:18" ht="14.4" x14ac:dyDescent="0.3">
      <c r="A91" s="5">
        <v>810104621267</v>
      </c>
      <c r="B91" s="15" t="s">
        <v>181</v>
      </c>
      <c r="C91" s="18" t="s">
        <v>182</v>
      </c>
      <c r="D91" s="12">
        <v>163</v>
      </c>
      <c r="E91" s="45" t="s">
        <v>9</v>
      </c>
      <c r="F91" s="12">
        <v>0.21</v>
      </c>
      <c r="G91" s="49">
        <v>29.95</v>
      </c>
      <c r="H91" s="59">
        <v>11.373000000000001</v>
      </c>
      <c r="I91" s="40"/>
      <c r="J91" s="8">
        <f t="shared" si="13"/>
        <v>0</v>
      </c>
      <c r="M91" s="76" t="str">
        <f t="shared" si="8"/>
        <v>-</v>
      </c>
      <c r="N91" s="76" t="str">
        <f t="shared" si="9"/>
        <v>-</v>
      </c>
      <c r="O91" s="77" t="str">
        <f t="shared" si="10"/>
        <v>-</v>
      </c>
      <c r="P91" s="78" t="str">
        <f t="shared" si="11"/>
        <v>-</v>
      </c>
      <c r="R91" s="78" t="str">
        <f t="shared" si="12"/>
        <v>-</v>
      </c>
    </row>
    <row r="92" spans="1:18" ht="14.4" x14ac:dyDescent="0.3">
      <c r="A92" s="5">
        <v>810104622417</v>
      </c>
      <c r="B92" s="10" t="s">
        <v>183</v>
      </c>
      <c r="C92" s="18" t="s">
        <v>184</v>
      </c>
      <c r="D92" s="12">
        <v>253</v>
      </c>
      <c r="E92" s="45" t="s">
        <v>9</v>
      </c>
      <c r="F92" s="12">
        <v>0.19</v>
      </c>
      <c r="G92" s="49">
        <v>24.95</v>
      </c>
      <c r="H92" s="59">
        <v>12.494999999999999</v>
      </c>
      <c r="I92" s="40"/>
      <c r="J92" s="8">
        <f t="shared" si="13"/>
        <v>0</v>
      </c>
      <c r="M92" s="76" t="str">
        <f t="shared" si="8"/>
        <v>-</v>
      </c>
      <c r="N92" s="76" t="str">
        <f t="shared" si="9"/>
        <v>-</v>
      </c>
      <c r="O92" s="77" t="str">
        <f t="shared" si="10"/>
        <v>-</v>
      </c>
      <c r="P92" s="78" t="str">
        <f t="shared" si="11"/>
        <v>-</v>
      </c>
      <c r="R92" s="78" t="str">
        <f t="shared" si="12"/>
        <v>-</v>
      </c>
    </row>
    <row r="93" spans="1:18" ht="15" thickBot="1" x14ac:dyDescent="0.35">
      <c r="A93" s="31">
        <v>810104620796</v>
      </c>
      <c r="B93" s="32" t="s">
        <v>185</v>
      </c>
      <c r="C93" s="33" t="s">
        <v>186</v>
      </c>
      <c r="D93" s="34">
        <v>79</v>
      </c>
      <c r="E93" s="46" t="s">
        <v>9</v>
      </c>
      <c r="F93" s="34">
        <v>0.16</v>
      </c>
      <c r="G93" s="49">
        <v>24.95</v>
      </c>
      <c r="H93" s="59">
        <v>10.914</v>
      </c>
      <c r="I93" s="41"/>
      <c r="J93" s="35">
        <f t="shared" si="13"/>
        <v>0</v>
      </c>
      <c r="M93" s="76" t="str">
        <f t="shared" si="8"/>
        <v>-</v>
      </c>
      <c r="N93" s="76" t="str">
        <f t="shared" si="9"/>
        <v>-</v>
      </c>
      <c r="O93" s="77" t="str">
        <f t="shared" si="10"/>
        <v>-</v>
      </c>
      <c r="P93" s="78" t="str">
        <f t="shared" si="11"/>
        <v>-</v>
      </c>
      <c r="R93" s="78" t="str">
        <f t="shared" si="12"/>
        <v>-</v>
      </c>
    </row>
    <row r="94" spans="1:18" ht="15" thickBot="1" x14ac:dyDescent="0.35">
      <c r="A94" s="25"/>
      <c r="B94" s="26"/>
      <c r="C94" s="27" t="s">
        <v>187</v>
      </c>
      <c r="D94" s="28"/>
      <c r="E94" s="26"/>
      <c r="F94" s="28"/>
      <c r="G94" s="28"/>
      <c r="H94" s="60"/>
      <c r="I94" s="38"/>
      <c r="J94" s="30"/>
      <c r="M94" s="76" t="str">
        <f t="shared" si="8"/>
        <v>-</v>
      </c>
      <c r="N94" s="76" t="str">
        <f t="shared" si="9"/>
        <v>-</v>
      </c>
      <c r="O94" s="77" t="str">
        <f t="shared" si="10"/>
        <v>-</v>
      </c>
      <c r="P94" s="78" t="str">
        <f t="shared" si="11"/>
        <v>-</v>
      </c>
      <c r="R94" s="78" t="str">
        <f t="shared" si="12"/>
        <v>-</v>
      </c>
    </row>
    <row r="95" spans="1:18" ht="14.4" x14ac:dyDescent="0.3">
      <c r="A95" s="20">
        <v>856645008587</v>
      </c>
      <c r="B95" s="21" t="s">
        <v>188</v>
      </c>
      <c r="C95" s="22" t="s">
        <v>189</v>
      </c>
      <c r="D95" s="23">
        <v>117</v>
      </c>
      <c r="E95" s="44" t="s">
        <v>9</v>
      </c>
      <c r="F95" s="23">
        <v>0.09</v>
      </c>
      <c r="G95" s="49">
        <v>12.98</v>
      </c>
      <c r="H95" s="59">
        <v>8.7889999999999997</v>
      </c>
      <c r="I95" s="39"/>
      <c r="J95" s="24">
        <f t="shared" ref="J95:J105" si="14">I95*H95</f>
        <v>0</v>
      </c>
      <c r="M95" s="76" t="str">
        <f t="shared" si="8"/>
        <v>-</v>
      </c>
      <c r="N95" s="76" t="str">
        <f t="shared" si="9"/>
        <v>-</v>
      </c>
      <c r="O95" s="77" t="str">
        <f t="shared" si="10"/>
        <v>-</v>
      </c>
      <c r="P95" s="78" t="str">
        <f t="shared" si="11"/>
        <v>-</v>
      </c>
      <c r="R95" s="78" t="str">
        <f t="shared" si="12"/>
        <v>-</v>
      </c>
    </row>
    <row r="96" spans="1:18" ht="14.4" x14ac:dyDescent="0.3">
      <c r="A96" s="5">
        <v>810104622202</v>
      </c>
      <c r="B96" s="10" t="s">
        <v>190</v>
      </c>
      <c r="C96" s="18" t="s">
        <v>191</v>
      </c>
      <c r="D96" s="12">
        <v>223</v>
      </c>
      <c r="E96" s="45" t="s">
        <v>9</v>
      </c>
      <c r="F96" s="12">
        <v>0.05</v>
      </c>
      <c r="G96" s="49">
        <v>34.950000000000003</v>
      </c>
      <c r="H96" s="59">
        <v>11.883000000000001</v>
      </c>
      <c r="I96" s="40"/>
      <c r="J96" s="8">
        <f t="shared" si="14"/>
        <v>0</v>
      </c>
      <c r="M96" s="76" t="str">
        <f t="shared" si="8"/>
        <v>-</v>
      </c>
      <c r="N96" s="76" t="str">
        <f t="shared" si="9"/>
        <v>-</v>
      </c>
      <c r="O96" s="77" t="str">
        <f t="shared" si="10"/>
        <v>-</v>
      </c>
      <c r="P96" s="78" t="str">
        <f t="shared" si="11"/>
        <v>-</v>
      </c>
      <c r="R96" s="78" t="str">
        <f t="shared" si="12"/>
        <v>-</v>
      </c>
    </row>
    <row r="97" spans="1:18" ht="14.4" x14ac:dyDescent="0.3">
      <c r="A97" s="5">
        <v>810104622394</v>
      </c>
      <c r="B97" s="10" t="s">
        <v>192</v>
      </c>
      <c r="C97" s="18" t="s">
        <v>193</v>
      </c>
      <c r="D97" s="12">
        <v>234</v>
      </c>
      <c r="E97" s="45" t="s">
        <v>9</v>
      </c>
      <c r="F97" s="12">
        <v>0</v>
      </c>
      <c r="G97" s="49">
        <v>14.95</v>
      </c>
      <c r="H97" s="59">
        <v>15.385000000000002</v>
      </c>
      <c r="I97" s="40"/>
      <c r="J97" s="8">
        <f t="shared" si="14"/>
        <v>0</v>
      </c>
      <c r="M97" s="76" t="str">
        <f t="shared" si="8"/>
        <v>-</v>
      </c>
      <c r="N97" s="76" t="str">
        <f t="shared" si="9"/>
        <v>-</v>
      </c>
      <c r="O97" s="77" t="str">
        <f t="shared" si="10"/>
        <v>-</v>
      </c>
      <c r="P97" s="78" t="str">
        <f t="shared" si="11"/>
        <v>-</v>
      </c>
      <c r="R97" s="78" t="str">
        <f t="shared" si="12"/>
        <v>-</v>
      </c>
    </row>
    <row r="98" spans="1:18" ht="14.4" x14ac:dyDescent="0.3">
      <c r="A98" s="5">
        <v>810104622233</v>
      </c>
      <c r="B98" s="10" t="s">
        <v>194</v>
      </c>
      <c r="C98" s="18" t="s">
        <v>195</v>
      </c>
      <c r="D98" s="12">
        <v>180</v>
      </c>
      <c r="E98" s="45" t="s">
        <v>9</v>
      </c>
      <c r="F98" s="12">
        <v>0</v>
      </c>
      <c r="G98" s="49">
        <v>34.950000000000003</v>
      </c>
      <c r="H98" s="59">
        <v>11.883000000000001</v>
      </c>
      <c r="I98" s="40"/>
      <c r="J98" s="8">
        <f t="shared" si="14"/>
        <v>0</v>
      </c>
      <c r="M98" s="76" t="str">
        <f t="shared" si="8"/>
        <v>-</v>
      </c>
      <c r="N98" s="76" t="str">
        <f t="shared" si="9"/>
        <v>-</v>
      </c>
      <c r="O98" s="77" t="str">
        <f t="shared" si="10"/>
        <v>-</v>
      </c>
      <c r="P98" s="78" t="str">
        <f t="shared" si="11"/>
        <v>-</v>
      </c>
      <c r="R98" s="78" t="str">
        <f t="shared" si="12"/>
        <v>-</v>
      </c>
    </row>
    <row r="99" spans="1:18" ht="14.4" x14ac:dyDescent="0.3">
      <c r="A99" s="5">
        <v>810104622189</v>
      </c>
      <c r="B99" s="10" t="s">
        <v>196</v>
      </c>
      <c r="C99" s="18" t="s">
        <v>197</v>
      </c>
      <c r="D99" s="12">
        <v>197</v>
      </c>
      <c r="E99" s="45" t="s">
        <v>9</v>
      </c>
      <c r="F99" s="12">
        <v>0.05</v>
      </c>
      <c r="G99" s="49">
        <v>34.950000000000003</v>
      </c>
      <c r="H99" s="59">
        <v>12.206</v>
      </c>
      <c r="I99" s="40"/>
      <c r="J99" s="8">
        <f t="shared" si="14"/>
        <v>0</v>
      </c>
      <c r="M99" s="76" t="str">
        <f t="shared" si="8"/>
        <v>-</v>
      </c>
      <c r="N99" s="76" t="str">
        <f t="shared" si="9"/>
        <v>-</v>
      </c>
      <c r="O99" s="77" t="str">
        <f t="shared" si="10"/>
        <v>-</v>
      </c>
      <c r="P99" s="78" t="str">
        <f t="shared" si="11"/>
        <v>-</v>
      </c>
      <c r="R99" s="78" t="str">
        <f t="shared" si="12"/>
        <v>-</v>
      </c>
    </row>
    <row r="100" spans="1:18" ht="14.4" x14ac:dyDescent="0.3">
      <c r="A100" s="5">
        <v>810104622264</v>
      </c>
      <c r="B100" s="10" t="s">
        <v>198</v>
      </c>
      <c r="C100" s="18" t="s">
        <v>199</v>
      </c>
      <c r="D100" s="12">
        <v>184</v>
      </c>
      <c r="E100" s="45" t="s">
        <v>9</v>
      </c>
      <c r="F100" s="12">
        <v>0.05</v>
      </c>
      <c r="G100" s="49">
        <v>34.950000000000003</v>
      </c>
      <c r="H100" s="59">
        <v>13.055999999999999</v>
      </c>
      <c r="I100" s="40"/>
      <c r="J100" s="8">
        <f t="shared" si="14"/>
        <v>0</v>
      </c>
      <c r="M100" s="76" t="str">
        <f t="shared" si="8"/>
        <v>-</v>
      </c>
      <c r="N100" s="76" t="str">
        <f t="shared" si="9"/>
        <v>-</v>
      </c>
      <c r="O100" s="77" t="str">
        <f t="shared" si="10"/>
        <v>-</v>
      </c>
      <c r="P100" s="78" t="str">
        <f t="shared" si="11"/>
        <v>-</v>
      </c>
      <c r="R100" s="78" t="str">
        <f t="shared" si="12"/>
        <v>-</v>
      </c>
    </row>
    <row r="101" spans="1:18" ht="14.4" x14ac:dyDescent="0.3">
      <c r="A101" s="5">
        <v>810104622165</v>
      </c>
      <c r="B101" s="10" t="s">
        <v>200</v>
      </c>
      <c r="C101" s="18" t="s">
        <v>201</v>
      </c>
      <c r="D101" s="12">
        <v>185</v>
      </c>
      <c r="E101" s="45" t="s">
        <v>9</v>
      </c>
      <c r="F101" s="12">
        <v>0.05</v>
      </c>
      <c r="G101" s="49">
        <v>34.950000000000003</v>
      </c>
      <c r="H101" s="59">
        <v>13.157999999999999</v>
      </c>
      <c r="I101" s="40"/>
      <c r="J101" s="8">
        <f t="shared" si="14"/>
        <v>0</v>
      </c>
      <c r="M101" s="76" t="str">
        <f t="shared" si="8"/>
        <v>-</v>
      </c>
      <c r="N101" s="76" t="str">
        <f t="shared" si="9"/>
        <v>-</v>
      </c>
      <c r="O101" s="77" t="str">
        <f t="shared" si="10"/>
        <v>-</v>
      </c>
      <c r="P101" s="78" t="str">
        <f t="shared" si="11"/>
        <v>-</v>
      </c>
      <c r="R101" s="78" t="str">
        <f t="shared" si="12"/>
        <v>-</v>
      </c>
    </row>
    <row r="102" spans="1:18" ht="14.4" x14ac:dyDescent="0.3">
      <c r="A102" s="5">
        <v>810104622172</v>
      </c>
      <c r="B102" s="10" t="s">
        <v>202</v>
      </c>
      <c r="C102" s="18" t="s">
        <v>203</v>
      </c>
      <c r="D102" s="12">
        <v>168</v>
      </c>
      <c r="E102" s="45" t="s">
        <v>9</v>
      </c>
      <c r="F102" s="12">
        <v>0.05</v>
      </c>
      <c r="G102" s="49">
        <v>34.950000000000003</v>
      </c>
      <c r="H102" s="59">
        <v>14.858000000000001</v>
      </c>
      <c r="I102" s="40"/>
      <c r="J102" s="8">
        <f t="shared" si="14"/>
        <v>0</v>
      </c>
      <c r="M102" s="76" t="str">
        <f t="shared" si="8"/>
        <v>-</v>
      </c>
      <c r="N102" s="76" t="str">
        <f t="shared" si="9"/>
        <v>-</v>
      </c>
      <c r="O102" s="77" t="str">
        <f t="shared" si="10"/>
        <v>-</v>
      </c>
      <c r="P102" s="78" t="str">
        <f t="shared" si="11"/>
        <v>-</v>
      </c>
      <c r="R102" s="78" t="str">
        <f t="shared" si="12"/>
        <v>-</v>
      </c>
    </row>
    <row r="103" spans="1:18" ht="14.4" x14ac:dyDescent="0.3">
      <c r="A103" s="5">
        <v>856645008310</v>
      </c>
      <c r="B103" s="15" t="s">
        <v>204</v>
      </c>
      <c r="C103" s="18" t="s">
        <v>205</v>
      </c>
      <c r="D103" s="12">
        <v>42</v>
      </c>
      <c r="E103" s="45" t="s">
        <v>9</v>
      </c>
      <c r="F103" s="12">
        <v>0.14000000000000001</v>
      </c>
      <c r="G103" s="49">
        <v>21.95</v>
      </c>
      <c r="H103" s="59">
        <v>10.437999999999999</v>
      </c>
      <c r="I103" s="40"/>
      <c r="J103" s="8">
        <f t="shared" si="14"/>
        <v>0</v>
      </c>
      <c r="M103" s="76" t="str">
        <f t="shared" si="8"/>
        <v>-</v>
      </c>
      <c r="N103" s="76" t="str">
        <f t="shared" si="9"/>
        <v>-</v>
      </c>
      <c r="O103" s="77" t="str">
        <f t="shared" si="10"/>
        <v>-</v>
      </c>
      <c r="P103" s="78" t="str">
        <f t="shared" si="11"/>
        <v>-</v>
      </c>
      <c r="R103" s="78" t="str">
        <f t="shared" si="12"/>
        <v>-</v>
      </c>
    </row>
    <row r="104" spans="1:18" ht="14.4" x14ac:dyDescent="0.3">
      <c r="A104" s="5">
        <v>850029392071</v>
      </c>
      <c r="B104" s="15" t="s">
        <v>206</v>
      </c>
      <c r="C104" s="18" t="s">
        <v>207</v>
      </c>
      <c r="D104" s="12">
        <v>6</v>
      </c>
      <c r="E104" s="45" t="s">
        <v>9</v>
      </c>
      <c r="F104" s="12">
        <v>0.24</v>
      </c>
      <c r="G104" s="49">
        <v>44.95</v>
      </c>
      <c r="H104" s="59">
        <v>15.282999999999999</v>
      </c>
      <c r="I104" s="40"/>
      <c r="J104" s="8">
        <f t="shared" si="14"/>
        <v>0</v>
      </c>
      <c r="M104" s="76" t="str">
        <f t="shared" si="8"/>
        <v>-</v>
      </c>
      <c r="N104" s="76" t="str">
        <f t="shared" si="9"/>
        <v>-</v>
      </c>
      <c r="O104" s="77" t="str">
        <f t="shared" si="10"/>
        <v>-</v>
      </c>
      <c r="P104" s="78" t="str">
        <f t="shared" si="11"/>
        <v>-</v>
      </c>
      <c r="R104" s="78" t="str">
        <f t="shared" si="12"/>
        <v>-</v>
      </c>
    </row>
    <row r="105" spans="1:18" ht="15" thickBot="1" x14ac:dyDescent="0.35">
      <c r="A105" s="31">
        <v>861365000414</v>
      </c>
      <c r="B105" s="32" t="s">
        <v>208</v>
      </c>
      <c r="C105" s="33" t="s">
        <v>209</v>
      </c>
      <c r="D105" s="34">
        <v>261</v>
      </c>
      <c r="E105" s="46" t="s">
        <v>9</v>
      </c>
      <c r="F105" s="34">
        <v>0</v>
      </c>
      <c r="G105" s="49">
        <v>29.95</v>
      </c>
      <c r="H105" s="59">
        <v>10.183</v>
      </c>
      <c r="I105" s="41"/>
      <c r="J105" s="35">
        <f t="shared" si="14"/>
        <v>0</v>
      </c>
      <c r="M105" s="76" t="str">
        <f t="shared" si="8"/>
        <v>-</v>
      </c>
      <c r="N105" s="76" t="str">
        <f t="shared" si="9"/>
        <v>-</v>
      </c>
      <c r="O105" s="77" t="str">
        <f t="shared" si="10"/>
        <v>-</v>
      </c>
      <c r="P105" s="78" t="str">
        <f t="shared" si="11"/>
        <v>-</v>
      </c>
      <c r="R105" s="78" t="str">
        <f t="shared" si="12"/>
        <v>-</v>
      </c>
    </row>
    <row r="106" spans="1:18" ht="15" thickBot="1" x14ac:dyDescent="0.35">
      <c r="A106" s="25"/>
      <c r="B106" s="26"/>
      <c r="C106" s="27" t="s">
        <v>210</v>
      </c>
      <c r="D106" s="28"/>
      <c r="E106" s="26"/>
      <c r="F106" s="28"/>
      <c r="G106" s="28"/>
      <c r="H106" s="60"/>
      <c r="I106" s="38"/>
      <c r="J106" s="30"/>
      <c r="M106" s="76" t="str">
        <f t="shared" si="8"/>
        <v>-</v>
      </c>
      <c r="N106" s="76" t="str">
        <f t="shared" si="9"/>
        <v>-</v>
      </c>
      <c r="O106" s="77" t="str">
        <f t="shared" si="10"/>
        <v>-</v>
      </c>
      <c r="P106" s="78" t="str">
        <f t="shared" si="11"/>
        <v>-</v>
      </c>
      <c r="R106" s="78" t="str">
        <f t="shared" si="12"/>
        <v>-</v>
      </c>
    </row>
    <row r="107" spans="1:18" ht="14.4" x14ac:dyDescent="0.3">
      <c r="A107" s="20">
        <v>850018471534</v>
      </c>
      <c r="B107" s="21" t="s">
        <v>211</v>
      </c>
      <c r="C107" s="22" t="s">
        <v>212</v>
      </c>
      <c r="D107" s="23">
        <v>69</v>
      </c>
      <c r="E107" s="44" t="s">
        <v>9</v>
      </c>
      <c r="F107" s="23">
        <v>0.19</v>
      </c>
      <c r="G107" s="49">
        <v>44.95</v>
      </c>
      <c r="H107" s="59">
        <v>17.986000000000001</v>
      </c>
      <c r="I107" s="39"/>
      <c r="J107" s="24">
        <f t="shared" ref="J107:J112" si="15">I107*H107</f>
        <v>0</v>
      </c>
      <c r="M107" s="76" t="str">
        <f t="shared" si="8"/>
        <v>-</v>
      </c>
      <c r="N107" s="76" t="str">
        <f t="shared" si="9"/>
        <v>-</v>
      </c>
      <c r="O107" s="77" t="str">
        <f t="shared" si="10"/>
        <v>-</v>
      </c>
      <c r="P107" s="78" t="str">
        <f t="shared" si="11"/>
        <v>-</v>
      </c>
      <c r="R107" s="78" t="str">
        <f t="shared" si="12"/>
        <v>-</v>
      </c>
    </row>
    <row r="108" spans="1:18" ht="14.4" x14ac:dyDescent="0.3">
      <c r="A108" s="5">
        <v>856645008396</v>
      </c>
      <c r="B108" s="15" t="s">
        <v>213</v>
      </c>
      <c r="C108" s="18" t="s">
        <v>214</v>
      </c>
      <c r="D108" s="12">
        <v>65</v>
      </c>
      <c r="E108" s="45" t="s">
        <v>9</v>
      </c>
      <c r="F108" s="12">
        <v>0.15</v>
      </c>
      <c r="G108" s="49">
        <v>28.95</v>
      </c>
      <c r="H108" s="59">
        <v>25.891000000000002</v>
      </c>
      <c r="I108" s="40"/>
      <c r="J108" s="8">
        <f t="shared" si="15"/>
        <v>0</v>
      </c>
      <c r="M108" s="76" t="str">
        <f t="shared" si="8"/>
        <v>-</v>
      </c>
      <c r="N108" s="76" t="str">
        <f t="shared" si="9"/>
        <v>-</v>
      </c>
      <c r="O108" s="77" t="str">
        <f t="shared" si="10"/>
        <v>-</v>
      </c>
      <c r="P108" s="78" t="str">
        <f t="shared" si="11"/>
        <v>-</v>
      </c>
      <c r="R108" s="78" t="str">
        <f t="shared" si="12"/>
        <v>-</v>
      </c>
    </row>
    <row r="109" spans="1:18" ht="14.4" x14ac:dyDescent="0.3">
      <c r="A109" s="5">
        <v>856645008341</v>
      </c>
      <c r="B109" s="15" t="s">
        <v>215</v>
      </c>
      <c r="C109" s="18" t="s">
        <v>216</v>
      </c>
      <c r="D109" s="12">
        <v>120</v>
      </c>
      <c r="E109" s="45" t="s">
        <v>9</v>
      </c>
      <c r="F109" s="12">
        <v>0.14000000000000001</v>
      </c>
      <c r="G109" s="49">
        <v>24.95</v>
      </c>
      <c r="H109" s="59">
        <v>29.885999999999996</v>
      </c>
      <c r="I109" s="40"/>
      <c r="J109" s="8">
        <f t="shared" si="15"/>
        <v>0</v>
      </c>
      <c r="M109" s="76" t="str">
        <f t="shared" si="8"/>
        <v>-</v>
      </c>
      <c r="N109" s="76" t="str">
        <f t="shared" si="9"/>
        <v>-</v>
      </c>
      <c r="O109" s="77" t="str">
        <f t="shared" si="10"/>
        <v>-</v>
      </c>
      <c r="P109" s="78" t="str">
        <f t="shared" si="11"/>
        <v>-</v>
      </c>
      <c r="R109" s="78" t="str">
        <f t="shared" si="12"/>
        <v>-</v>
      </c>
    </row>
    <row r="110" spans="1:18" ht="14.4" x14ac:dyDescent="0.3">
      <c r="A110" s="5">
        <v>856645008358</v>
      </c>
      <c r="B110" s="15" t="s">
        <v>217</v>
      </c>
      <c r="C110" s="18" t="s">
        <v>218</v>
      </c>
      <c r="D110" s="12">
        <v>196</v>
      </c>
      <c r="E110" s="45" t="s">
        <v>9</v>
      </c>
      <c r="F110" s="12">
        <v>0</v>
      </c>
      <c r="G110" s="49">
        <v>29.95</v>
      </c>
      <c r="H110" s="59">
        <v>17.288999999999998</v>
      </c>
      <c r="I110" s="40"/>
      <c r="J110" s="8">
        <f t="shared" si="15"/>
        <v>0</v>
      </c>
      <c r="M110" s="76" t="str">
        <f t="shared" si="8"/>
        <v>-</v>
      </c>
      <c r="N110" s="76" t="str">
        <f t="shared" si="9"/>
        <v>-</v>
      </c>
      <c r="O110" s="77" t="str">
        <f t="shared" si="10"/>
        <v>-</v>
      </c>
      <c r="P110" s="78" t="str">
        <f t="shared" si="11"/>
        <v>-</v>
      </c>
      <c r="R110" s="78" t="str">
        <f t="shared" si="12"/>
        <v>-</v>
      </c>
    </row>
    <row r="111" spans="1:18" ht="14.4" x14ac:dyDescent="0.3">
      <c r="A111" s="5">
        <v>856645008433</v>
      </c>
      <c r="B111" s="15" t="s">
        <v>219</v>
      </c>
      <c r="C111" s="18" t="s">
        <v>220</v>
      </c>
      <c r="D111" s="12">
        <v>139</v>
      </c>
      <c r="E111" s="45" t="s">
        <v>9</v>
      </c>
      <c r="F111" s="12">
        <v>0.16</v>
      </c>
      <c r="G111" s="49">
        <v>29.95</v>
      </c>
      <c r="H111" s="59">
        <v>17.288999999999998</v>
      </c>
      <c r="I111" s="40"/>
      <c r="J111" s="8">
        <f t="shared" si="15"/>
        <v>0</v>
      </c>
      <c r="M111" s="76" t="str">
        <f t="shared" si="8"/>
        <v>-</v>
      </c>
      <c r="N111" s="76" t="str">
        <f t="shared" si="9"/>
        <v>-</v>
      </c>
      <c r="O111" s="77" t="str">
        <f t="shared" si="10"/>
        <v>-</v>
      </c>
      <c r="P111" s="78" t="str">
        <f t="shared" si="11"/>
        <v>-</v>
      </c>
      <c r="R111" s="78" t="str">
        <f t="shared" si="12"/>
        <v>-</v>
      </c>
    </row>
    <row r="112" spans="1:18" ht="15" thickBot="1" x14ac:dyDescent="0.35">
      <c r="A112" s="31">
        <v>856645008426</v>
      </c>
      <c r="B112" s="32" t="s">
        <v>221</v>
      </c>
      <c r="C112" s="33" t="s">
        <v>222</v>
      </c>
      <c r="D112" s="34">
        <v>192</v>
      </c>
      <c r="E112" s="46" t="s">
        <v>9</v>
      </c>
      <c r="F112" s="34">
        <v>0</v>
      </c>
      <c r="G112" s="49">
        <v>22.95</v>
      </c>
      <c r="H112" s="59">
        <v>18.733999999999998</v>
      </c>
      <c r="I112" s="41"/>
      <c r="J112" s="35">
        <f t="shared" si="15"/>
        <v>0</v>
      </c>
      <c r="M112" s="76" t="str">
        <f t="shared" si="8"/>
        <v>-</v>
      </c>
      <c r="N112" s="76" t="str">
        <f t="shared" si="9"/>
        <v>-</v>
      </c>
      <c r="O112" s="77" t="str">
        <f t="shared" si="10"/>
        <v>-</v>
      </c>
      <c r="P112" s="78" t="str">
        <f t="shared" si="11"/>
        <v>-</v>
      </c>
      <c r="R112" s="78" t="str">
        <f t="shared" si="12"/>
        <v>-</v>
      </c>
    </row>
    <row r="113" spans="1:18" ht="15" thickBot="1" x14ac:dyDescent="0.35">
      <c r="A113" s="25"/>
      <c r="B113" s="26"/>
      <c r="C113" s="27" t="s">
        <v>223</v>
      </c>
      <c r="D113" s="28"/>
      <c r="E113" s="26"/>
      <c r="F113" s="28"/>
      <c r="G113" s="28"/>
      <c r="H113" s="60"/>
      <c r="I113" s="38"/>
      <c r="J113" s="30"/>
      <c r="M113" s="76" t="str">
        <f t="shared" si="8"/>
        <v>-</v>
      </c>
      <c r="N113" s="76" t="str">
        <f t="shared" si="9"/>
        <v>-</v>
      </c>
      <c r="O113" s="77" t="str">
        <f t="shared" si="10"/>
        <v>-</v>
      </c>
      <c r="P113" s="78" t="str">
        <f t="shared" si="11"/>
        <v>-</v>
      </c>
      <c r="R113" s="78" t="str">
        <f t="shared" si="12"/>
        <v>-</v>
      </c>
    </row>
    <row r="114" spans="1:18" ht="14.4" x14ac:dyDescent="0.3">
      <c r="A114" s="20">
        <v>810104620567</v>
      </c>
      <c r="B114" s="21" t="s">
        <v>224</v>
      </c>
      <c r="C114" s="22" t="s">
        <v>225</v>
      </c>
      <c r="D114" s="23">
        <v>158</v>
      </c>
      <c r="E114" s="44" t="s">
        <v>9</v>
      </c>
      <c r="F114" s="23">
        <v>0.14000000000000001</v>
      </c>
      <c r="G114" s="49">
        <v>19.95</v>
      </c>
      <c r="H114" s="59">
        <v>9.2650000000000006</v>
      </c>
      <c r="I114" s="39"/>
      <c r="J114" s="24">
        <f t="shared" ref="J114:J148" si="16">I114*H114</f>
        <v>0</v>
      </c>
      <c r="M114" s="76" t="str">
        <f t="shared" si="8"/>
        <v>-</v>
      </c>
      <c r="N114" s="76" t="str">
        <f t="shared" si="9"/>
        <v>-</v>
      </c>
      <c r="O114" s="77" t="str">
        <f t="shared" si="10"/>
        <v>-</v>
      </c>
      <c r="P114" s="78" t="str">
        <f t="shared" si="11"/>
        <v>-</v>
      </c>
      <c r="R114" s="78" t="str">
        <f t="shared" si="12"/>
        <v>-</v>
      </c>
    </row>
    <row r="115" spans="1:18" ht="14.4" x14ac:dyDescent="0.3">
      <c r="A115" s="5">
        <v>810104620949</v>
      </c>
      <c r="B115" s="15" t="s">
        <v>226</v>
      </c>
      <c r="C115" s="18" t="s">
        <v>227</v>
      </c>
      <c r="D115" s="12">
        <v>122</v>
      </c>
      <c r="E115" s="45" t="s">
        <v>9</v>
      </c>
      <c r="F115" s="12">
        <v>0.14000000000000001</v>
      </c>
      <c r="G115" s="49">
        <v>22.95</v>
      </c>
      <c r="H115" s="59">
        <v>9.0779999999999994</v>
      </c>
      <c r="I115" s="40"/>
      <c r="J115" s="8">
        <f t="shared" si="16"/>
        <v>0</v>
      </c>
      <c r="M115" s="76" t="str">
        <f t="shared" si="8"/>
        <v>-</v>
      </c>
      <c r="N115" s="76" t="str">
        <f t="shared" si="9"/>
        <v>-</v>
      </c>
      <c r="O115" s="77" t="str">
        <f t="shared" si="10"/>
        <v>-</v>
      </c>
      <c r="P115" s="78" t="str">
        <f t="shared" si="11"/>
        <v>-</v>
      </c>
      <c r="R115" s="78" t="str">
        <f t="shared" si="12"/>
        <v>-</v>
      </c>
    </row>
    <row r="116" spans="1:18" ht="14.4" x14ac:dyDescent="0.3">
      <c r="A116" s="5">
        <v>810104620574</v>
      </c>
      <c r="B116" s="15" t="s">
        <v>228</v>
      </c>
      <c r="C116" s="18" t="s">
        <v>229</v>
      </c>
      <c r="D116" s="12">
        <v>21</v>
      </c>
      <c r="E116" s="45" t="s">
        <v>9</v>
      </c>
      <c r="F116" s="12">
        <v>0.15</v>
      </c>
      <c r="G116" s="49">
        <v>24.95</v>
      </c>
      <c r="H116" s="59">
        <v>8.6019999999999985</v>
      </c>
      <c r="I116" s="40"/>
      <c r="J116" s="8">
        <f t="shared" si="16"/>
        <v>0</v>
      </c>
      <c r="M116" s="76" t="str">
        <f t="shared" si="8"/>
        <v>-</v>
      </c>
      <c r="N116" s="76" t="str">
        <f t="shared" si="9"/>
        <v>-</v>
      </c>
      <c r="O116" s="77" t="str">
        <f t="shared" si="10"/>
        <v>-</v>
      </c>
      <c r="P116" s="78" t="str">
        <f t="shared" si="11"/>
        <v>-</v>
      </c>
      <c r="R116" s="78" t="str">
        <f t="shared" si="12"/>
        <v>-</v>
      </c>
    </row>
    <row r="117" spans="1:18" ht="14.4" x14ac:dyDescent="0.3">
      <c r="A117" s="5">
        <v>810104620956</v>
      </c>
      <c r="B117" s="15" t="s">
        <v>230</v>
      </c>
      <c r="C117" s="18" t="s">
        <v>231</v>
      </c>
      <c r="D117" s="12">
        <v>54</v>
      </c>
      <c r="E117" s="45" t="s">
        <v>9</v>
      </c>
      <c r="F117" s="12">
        <v>0.14000000000000001</v>
      </c>
      <c r="G117" s="49">
        <v>22.95</v>
      </c>
      <c r="H117" s="59">
        <v>9.0779999999999994</v>
      </c>
      <c r="I117" s="40"/>
      <c r="J117" s="8">
        <f t="shared" si="16"/>
        <v>0</v>
      </c>
      <c r="M117" s="76" t="str">
        <f t="shared" si="8"/>
        <v>-</v>
      </c>
      <c r="N117" s="76" t="str">
        <f t="shared" si="9"/>
        <v>-</v>
      </c>
      <c r="O117" s="77" t="str">
        <f t="shared" si="10"/>
        <v>-</v>
      </c>
      <c r="P117" s="78" t="str">
        <f t="shared" si="11"/>
        <v>-</v>
      </c>
      <c r="R117" s="78" t="str">
        <f t="shared" si="12"/>
        <v>-</v>
      </c>
    </row>
    <row r="118" spans="1:18" ht="14.4" x14ac:dyDescent="0.3">
      <c r="A118" s="5">
        <v>850036700036</v>
      </c>
      <c r="B118" s="15" t="s">
        <v>232</v>
      </c>
      <c r="C118" s="18" t="s">
        <v>233</v>
      </c>
      <c r="D118" s="12">
        <v>116</v>
      </c>
      <c r="E118" s="45" t="s">
        <v>9</v>
      </c>
      <c r="F118" s="12">
        <v>0.09</v>
      </c>
      <c r="G118" s="49">
        <v>17.95</v>
      </c>
      <c r="H118" s="59">
        <v>7.9730000000000008</v>
      </c>
      <c r="I118" s="40"/>
      <c r="J118" s="8">
        <f t="shared" si="16"/>
        <v>0</v>
      </c>
      <c r="M118" s="76" t="str">
        <f t="shared" si="8"/>
        <v>-</v>
      </c>
      <c r="N118" s="76" t="str">
        <f t="shared" si="9"/>
        <v>-</v>
      </c>
      <c r="O118" s="77" t="str">
        <f t="shared" si="10"/>
        <v>-</v>
      </c>
      <c r="P118" s="78" t="str">
        <f t="shared" si="11"/>
        <v>-</v>
      </c>
      <c r="R118" s="78" t="str">
        <f t="shared" si="12"/>
        <v>-</v>
      </c>
    </row>
    <row r="119" spans="1:18" ht="14.4" x14ac:dyDescent="0.3">
      <c r="A119" s="5">
        <v>861365000469</v>
      </c>
      <c r="B119" s="15" t="s">
        <v>234</v>
      </c>
      <c r="C119" s="18" t="s">
        <v>235</v>
      </c>
      <c r="D119" s="12">
        <v>67</v>
      </c>
      <c r="E119" s="45" t="s">
        <v>9</v>
      </c>
      <c r="F119" s="12">
        <v>0.1</v>
      </c>
      <c r="G119" s="49">
        <v>23.95</v>
      </c>
      <c r="H119" s="59">
        <v>8.1430000000000007</v>
      </c>
      <c r="I119" s="40"/>
      <c r="J119" s="8">
        <f t="shared" si="16"/>
        <v>0</v>
      </c>
      <c r="M119" s="76" t="str">
        <f t="shared" si="8"/>
        <v>-</v>
      </c>
      <c r="N119" s="76" t="str">
        <f t="shared" si="9"/>
        <v>-</v>
      </c>
      <c r="O119" s="77" t="str">
        <f t="shared" si="10"/>
        <v>-</v>
      </c>
      <c r="P119" s="78" t="str">
        <f t="shared" si="11"/>
        <v>-</v>
      </c>
      <c r="R119" s="78" t="str">
        <f t="shared" si="12"/>
        <v>-</v>
      </c>
    </row>
    <row r="120" spans="1:18" ht="14.4" x14ac:dyDescent="0.3">
      <c r="A120" s="5">
        <v>850018471206</v>
      </c>
      <c r="B120" s="15" t="s">
        <v>236</v>
      </c>
      <c r="C120" s="18" t="s">
        <v>237</v>
      </c>
      <c r="D120" s="12">
        <v>102</v>
      </c>
      <c r="E120" s="45" t="s">
        <v>9</v>
      </c>
      <c r="F120" s="12">
        <v>0.09</v>
      </c>
      <c r="G120" s="49">
        <v>23.95</v>
      </c>
      <c r="H120" s="59">
        <v>8.8739999999999988</v>
      </c>
      <c r="I120" s="40"/>
      <c r="J120" s="8">
        <f t="shared" si="16"/>
        <v>0</v>
      </c>
      <c r="M120" s="76" t="str">
        <f t="shared" si="8"/>
        <v>-</v>
      </c>
      <c r="N120" s="76" t="str">
        <f t="shared" si="9"/>
        <v>-</v>
      </c>
      <c r="O120" s="77" t="str">
        <f t="shared" si="10"/>
        <v>-</v>
      </c>
      <c r="P120" s="78" t="str">
        <f t="shared" si="11"/>
        <v>-</v>
      </c>
      <c r="R120" s="78" t="str">
        <f t="shared" si="12"/>
        <v>-</v>
      </c>
    </row>
    <row r="121" spans="1:18" ht="14.4" x14ac:dyDescent="0.3">
      <c r="A121" s="5">
        <v>850029392996</v>
      </c>
      <c r="B121" s="15" t="s">
        <v>238</v>
      </c>
      <c r="C121" s="18" t="s">
        <v>239</v>
      </c>
      <c r="D121" s="12">
        <v>17</v>
      </c>
      <c r="E121" s="45" t="s">
        <v>9</v>
      </c>
      <c r="F121" s="12">
        <v>0.09</v>
      </c>
      <c r="G121" s="49">
        <v>29.95</v>
      </c>
      <c r="H121" s="59">
        <v>10.183</v>
      </c>
      <c r="I121" s="40"/>
      <c r="J121" s="8">
        <f t="shared" si="16"/>
        <v>0</v>
      </c>
      <c r="M121" s="76" t="str">
        <f t="shared" si="8"/>
        <v>-</v>
      </c>
      <c r="N121" s="76" t="str">
        <f t="shared" si="9"/>
        <v>-</v>
      </c>
      <c r="O121" s="77" t="str">
        <f t="shared" si="10"/>
        <v>-</v>
      </c>
      <c r="P121" s="78" t="str">
        <f t="shared" si="11"/>
        <v>-</v>
      </c>
      <c r="R121" s="78" t="str">
        <f t="shared" si="12"/>
        <v>-</v>
      </c>
    </row>
    <row r="122" spans="1:18" ht="14.4" x14ac:dyDescent="0.3">
      <c r="A122" s="5">
        <v>850018471329</v>
      </c>
      <c r="B122" s="15" t="s">
        <v>240</v>
      </c>
      <c r="C122" s="18" t="s">
        <v>241</v>
      </c>
      <c r="D122" s="12">
        <v>187</v>
      </c>
      <c r="E122" s="45" t="s">
        <v>9</v>
      </c>
      <c r="F122" s="12">
        <v>0.14000000000000001</v>
      </c>
      <c r="G122" s="49">
        <v>19.95</v>
      </c>
      <c r="H122" s="59">
        <v>9.2140000000000004</v>
      </c>
      <c r="I122" s="40"/>
      <c r="J122" s="8">
        <f t="shared" si="16"/>
        <v>0</v>
      </c>
      <c r="M122" s="76" t="str">
        <f t="shared" si="8"/>
        <v>-</v>
      </c>
      <c r="N122" s="76" t="str">
        <f t="shared" si="9"/>
        <v>-</v>
      </c>
      <c r="O122" s="77" t="str">
        <f t="shared" si="10"/>
        <v>-</v>
      </c>
      <c r="P122" s="78" t="str">
        <f t="shared" si="11"/>
        <v>-</v>
      </c>
      <c r="R122" s="78" t="str">
        <f t="shared" si="12"/>
        <v>-</v>
      </c>
    </row>
    <row r="123" spans="1:18" ht="14.4" x14ac:dyDescent="0.3">
      <c r="A123" s="5">
        <v>850018471497</v>
      </c>
      <c r="B123" s="15" t="s">
        <v>242</v>
      </c>
      <c r="C123" s="18" t="s">
        <v>243</v>
      </c>
      <c r="D123" s="12">
        <v>72</v>
      </c>
      <c r="E123" s="45" t="s">
        <v>9</v>
      </c>
      <c r="F123" s="12">
        <v>0.15</v>
      </c>
      <c r="G123" s="49">
        <v>13.69</v>
      </c>
      <c r="H123" s="59">
        <v>9.0440000000000005</v>
      </c>
      <c r="I123" s="40"/>
      <c r="J123" s="8">
        <f t="shared" si="16"/>
        <v>0</v>
      </c>
      <c r="M123" s="76" t="str">
        <f t="shared" si="8"/>
        <v>-</v>
      </c>
      <c r="N123" s="76" t="str">
        <f t="shared" si="9"/>
        <v>-</v>
      </c>
      <c r="O123" s="77" t="str">
        <f t="shared" si="10"/>
        <v>-</v>
      </c>
      <c r="P123" s="78" t="str">
        <f t="shared" si="11"/>
        <v>-</v>
      </c>
      <c r="R123" s="78" t="str">
        <f t="shared" si="12"/>
        <v>-</v>
      </c>
    </row>
    <row r="124" spans="1:18" ht="14.4" x14ac:dyDescent="0.3">
      <c r="A124" s="5">
        <v>850018471312</v>
      </c>
      <c r="B124" s="15" t="s">
        <v>244</v>
      </c>
      <c r="C124" s="18" t="s">
        <v>245</v>
      </c>
      <c r="D124" s="12">
        <v>46</v>
      </c>
      <c r="E124" s="45" t="s">
        <v>9</v>
      </c>
      <c r="F124" s="12">
        <v>0.09</v>
      </c>
      <c r="G124" s="49">
        <v>21.95</v>
      </c>
      <c r="H124" s="59">
        <v>7.4629999999999992</v>
      </c>
      <c r="I124" s="40"/>
      <c r="J124" s="8">
        <f t="shared" si="16"/>
        <v>0</v>
      </c>
      <c r="M124" s="76" t="str">
        <f t="shared" si="8"/>
        <v>-</v>
      </c>
      <c r="N124" s="76" t="str">
        <f t="shared" si="9"/>
        <v>-</v>
      </c>
      <c r="O124" s="77" t="str">
        <f t="shared" si="10"/>
        <v>-</v>
      </c>
      <c r="P124" s="78" t="str">
        <f t="shared" si="11"/>
        <v>-</v>
      </c>
      <c r="R124" s="78" t="str">
        <f t="shared" si="12"/>
        <v>-</v>
      </c>
    </row>
    <row r="125" spans="1:18" ht="14.4" x14ac:dyDescent="0.3">
      <c r="A125" s="5">
        <v>850029392040</v>
      </c>
      <c r="B125" s="15" t="s">
        <v>246</v>
      </c>
      <c r="C125" s="18" t="s">
        <v>247</v>
      </c>
      <c r="D125" s="12">
        <v>58</v>
      </c>
      <c r="E125" s="45" t="s">
        <v>9</v>
      </c>
      <c r="F125" s="12">
        <v>0.27</v>
      </c>
      <c r="G125" s="49">
        <v>23.95</v>
      </c>
      <c r="H125" s="59">
        <v>10.981999999999999</v>
      </c>
      <c r="I125" s="40"/>
      <c r="J125" s="8">
        <f t="shared" si="16"/>
        <v>0</v>
      </c>
      <c r="M125" s="76" t="str">
        <f t="shared" si="8"/>
        <v>-</v>
      </c>
      <c r="N125" s="76" t="str">
        <f t="shared" si="9"/>
        <v>-</v>
      </c>
      <c r="O125" s="77" t="str">
        <f t="shared" si="10"/>
        <v>-</v>
      </c>
      <c r="P125" s="78" t="str">
        <f t="shared" si="11"/>
        <v>-</v>
      </c>
      <c r="R125" s="78" t="str">
        <f t="shared" si="12"/>
        <v>-</v>
      </c>
    </row>
    <row r="126" spans="1:18" ht="14.4" x14ac:dyDescent="0.3">
      <c r="A126" s="5">
        <v>850036700685</v>
      </c>
      <c r="B126" s="15" t="s">
        <v>248</v>
      </c>
      <c r="C126" s="18" t="s">
        <v>249</v>
      </c>
      <c r="D126" s="12">
        <v>76</v>
      </c>
      <c r="E126" s="45" t="s">
        <v>9</v>
      </c>
      <c r="F126" s="12">
        <v>0.05</v>
      </c>
      <c r="G126" s="49">
        <v>19.95</v>
      </c>
      <c r="H126" s="59">
        <v>7.9730000000000008</v>
      </c>
      <c r="I126" s="40"/>
      <c r="J126" s="8">
        <f t="shared" si="16"/>
        <v>0</v>
      </c>
      <c r="M126" s="76" t="str">
        <f t="shared" si="8"/>
        <v>-</v>
      </c>
      <c r="N126" s="76" t="str">
        <f t="shared" si="9"/>
        <v>-</v>
      </c>
      <c r="O126" s="77" t="str">
        <f t="shared" si="10"/>
        <v>-</v>
      </c>
      <c r="P126" s="78" t="str">
        <f t="shared" si="11"/>
        <v>-</v>
      </c>
      <c r="R126" s="78" t="str">
        <f t="shared" si="12"/>
        <v>-</v>
      </c>
    </row>
    <row r="127" spans="1:18" ht="14.4" x14ac:dyDescent="0.3">
      <c r="A127" s="5">
        <v>850018471473</v>
      </c>
      <c r="B127" s="15" t="s">
        <v>250</v>
      </c>
      <c r="C127" s="18" t="s">
        <v>251</v>
      </c>
      <c r="D127" s="12">
        <v>86</v>
      </c>
      <c r="E127" s="45" t="s">
        <v>9</v>
      </c>
      <c r="F127" s="12">
        <v>0.05</v>
      </c>
      <c r="G127" s="49">
        <v>19.95</v>
      </c>
      <c r="H127" s="59">
        <v>6.7830000000000004</v>
      </c>
      <c r="I127" s="40"/>
      <c r="J127" s="8">
        <f t="shared" si="16"/>
        <v>0</v>
      </c>
      <c r="M127" s="76" t="str">
        <f t="shared" si="8"/>
        <v>-</v>
      </c>
      <c r="N127" s="76" t="str">
        <f t="shared" si="9"/>
        <v>-</v>
      </c>
      <c r="O127" s="77" t="str">
        <f t="shared" si="10"/>
        <v>-</v>
      </c>
      <c r="P127" s="78" t="str">
        <f t="shared" si="11"/>
        <v>-</v>
      </c>
      <c r="R127" s="78" t="str">
        <f t="shared" si="12"/>
        <v>-</v>
      </c>
    </row>
    <row r="128" spans="1:18" ht="14.4" x14ac:dyDescent="0.3">
      <c r="A128" s="5">
        <v>850029392019</v>
      </c>
      <c r="B128" s="15" t="s">
        <v>252</v>
      </c>
      <c r="C128" s="18" t="s">
        <v>253</v>
      </c>
      <c r="D128" s="12">
        <v>123</v>
      </c>
      <c r="E128" s="45" t="s">
        <v>9</v>
      </c>
      <c r="F128" s="12">
        <v>0.09</v>
      </c>
      <c r="G128" s="49">
        <v>18.95</v>
      </c>
      <c r="H128" s="59">
        <v>7.5309999999999997</v>
      </c>
      <c r="I128" s="40"/>
      <c r="J128" s="8">
        <f t="shared" si="16"/>
        <v>0</v>
      </c>
      <c r="M128" s="76" t="str">
        <f t="shared" si="8"/>
        <v>-</v>
      </c>
      <c r="N128" s="76" t="str">
        <f t="shared" si="9"/>
        <v>-</v>
      </c>
      <c r="O128" s="77" t="str">
        <f t="shared" si="10"/>
        <v>-</v>
      </c>
      <c r="P128" s="78" t="str">
        <f t="shared" si="11"/>
        <v>-</v>
      </c>
      <c r="R128" s="78" t="str">
        <f t="shared" si="12"/>
        <v>-</v>
      </c>
    </row>
    <row r="129" spans="1:18" ht="14.4" x14ac:dyDescent="0.3">
      <c r="A129" s="5">
        <v>850036700630</v>
      </c>
      <c r="B129" s="15" t="s">
        <v>254</v>
      </c>
      <c r="C129" s="18" t="s">
        <v>255</v>
      </c>
      <c r="D129" s="12">
        <v>45</v>
      </c>
      <c r="E129" s="45" t="s">
        <v>9</v>
      </c>
      <c r="F129" s="12">
        <v>0.09</v>
      </c>
      <c r="G129" s="49">
        <v>24.95</v>
      </c>
      <c r="H129" s="59">
        <v>11.645</v>
      </c>
      <c r="I129" s="40"/>
      <c r="J129" s="8">
        <f t="shared" si="16"/>
        <v>0</v>
      </c>
      <c r="M129" s="76" t="str">
        <f t="shared" si="8"/>
        <v>-</v>
      </c>
      <c r="N129" s="76" t="str">
        <f t="shared" si="9"/>
        <v>-</v>
      </c>
      <c r="O129" s="77" t="str">
        <f t="shared" si="10"/>
        <v>-</v>
      </c>
      <c r="P129" s="78" t="str">
        <f t="shared" si="11"/>
        <v>-</v>
      </c>
      <c r="R129" s="78" t="str">
        <f t="shared" si="12"/>
        <v>-</v>
      </c>
    </row>
    <row r="130" spans="1:18" ht="14.4" x14ac:dyDescent="0.3">
      <c r="A130" s="5">
        <v>850018471404</v>
      </c>
      <c r="B130" s="15" t="s">
        <v>256</v>
      </c>
      <c r="C130" s="18" t="s">
        <v>257</v>
      </c>
      <c r="D130" s="12">
        <v>62</v>
      </c>
      <c r="E130" s="45" t="s">
        <v>9</v>
      </c>
      <c r="F130" s="12">
        <v>0.09</v>
      </c>
      <c r="G130" s="49">
        <v>20.95</v>
      </c>
      <c r="H130" s="59">
        <v>7.1230000000000002</v>
      </c>
      <c r="I130" s="40"/>
      <c r="J130" s="8">
        <f t="shared" si="16"/>
        <v>0</v>
      </c>
      <c r="M130" s="76" t="str">
        <f t="shared" si="8"/>
        <v>-</v>
      </c>
      <c r="N130" s="76" t="str">
        <f t="shared" si="9"/>
        <v>-</v>
      </c>
      <c r="O130" s="77" t="str">
        <f t="shared" si="10"/>
        <v>-</v>
      </c>
      <c r="P130" s="78" t="str">
        <f t="shared" si="11"/>
        <v>-</v>
      </c>
      <c r="R130" s="78" t="str">
        <f t="shared" si="12"/>
        <v>-</v>
      </c>
    </row>
    <row r="131" spans="1:18" ht="14.4" x14ac:dyDescent="0.3">
      <c r="A131" s="5">
        <v>850036700005</v>
      </c>
      <c r="B131" s="15" t="s">
        <v>258</v>
      </c>
      <c r="C131" s="18" t="s">
        <v>259</v>
      </c>
      <c r="D131" s="12">
        <v>49</v>
      </c>
      <c r="E131" s="45" t="s">
        <v>9</v>
      </c>
      <c r="F131" s="12">
        <v>0.09</v>
      </c>
      <c r="G131" s="49">
        <v>29.95</v>
      </c>
      <c r="H131" s="59">
        <v>10.183</v>
      </c>
      <c r="I131" s="40"/>
      <c r="J131" s="8">
        <f t="shared" si="16"/>
        <v>0</v>
      </c>
      <c r="M131" s="76" t="str">
        <f t="shared" si="8"/>
        <v>-</v>
      </c>
      <c r="N131" s="76" t="str">
        <f t="shared" si="9"/>
        <v>-</v>
      </c>
      <c r="O131" s="77" t="str">
        <f t="shared" si="10"/>
        <v>-</v>
      </c>
      <c r="P131" s="78" t="str">
        <f t="shared" si="11"/>
        <v>-</v>
      </c>
      <c r="R131" s="78" t="str">
        <f t="shared" si="12"/>
        <v>-</v>
      </c>
    </row>
    <row r="132" spans="1:18" ht="14.4" x14ac:dyDescent="0.3">
      <c r="A132" s="5">
        <v>850036700043</v>
      </c>
      <c r="B132" s="15" t="s">
        <v>260</v>
      </c>
      <c r="C132" s="18" t="s">
        <v>261</v>
      </c>
      <c r="D132" s="12">
        <v>143</v>
      </c>
      <c r="E132" s="45" t="s">
        <v>9</v>
      </c>
      <c r="F132" s="12">
        <v>0.14000000000000001</v>
      </c>
      <c r="G132" s="49">
        <v>21.95</v>
      </c>
      <c r="H132" s="59">
        <v>8.5849999999999991</v>
      </c>
      <c r="I132" s="40"/>
      <c r="J132" s="8">
        <f t="shared" si="16"/>
        <v>0</v>
      </c>
      <c r="M132" s="76" t="str">
        <f t="shared" ref="M132:M195" si="17">IFERROR(IF($M$2*F132=0, "-", $M$2*F132), "-")</f>
        <v>-</v>
      </c>
      <c r="N132" s="76" t="str">
        <f t="shared" ref="N132:N195" si="18">IF(I132&gt;0,H132+F132*I132/$O$2*$P$2/I132,"-")</f>
        <v>-</v>
      </c>
      <c r="O132" s="77" t="str">
        <f t="shared" ref="O132:O195" si="19">IF(I132&gt;0,I132*F132*1.113, "-")</f>
        <v>-</v>
      </c>
      <c r="P132" s="78" t="str">
        <f t="shared" ref="P132:P195" si="20">IFERROR(IF($M$2&gt;0, $M$2*O132, "-"), "-")</f>
        <v>-</v>
      </c>
      <c r="R132" s="78" t="str">
        <f t="shared" ref="R132:R195" si="21">IFERROR(IF(P132+J132=0, "-", IF(P132&gt;0, P132+J132, "-")), "-")</f>
        <v>-</v>
      </c>
    </row>
    <row r="133" spans="1:18" ht="14.4" x14ac:dyDescent="0.3">
      <c r="A133" s="5">
        <v>850029392439</v>
      </c>
      <c r="B133" s="15" t="s">
        <v>262</v>
      </c>
      <c r="C133" s="18" t="s">
        <v>263</v>
      </c>
      <c r="D133" s="12">
        <v>135</v>
      </c>
      <c r="E133" s="45" t="s">
        <v>9</v>
      </c>
      <c r="F133" s="12">
        <v>0.09</v>
      </c>
      <c r="G133" s="49">
        <v>22.95</v>
      </c>
      <c r="H133" s="59">
        <v>8.3129999999999988</v>
      </c>
      <c r="I133" s="40"/>
      <c r="J133" s="8">
        <f t="shared" si="16"/>
        <v>0</v>
      </c>
      <c r="M133" s="76" t="str">
        <f t="shared" si="17"/>
        <v>-</v>
      </c>
      <c r="N133" s="76" t="str">
        <f t="shared" si="18"/>
        <v>-</v>
      </c>
      <c r="O133" s="77" t="str">
        <f t="shared" si="19"/>
        <v>-</v>
      </c>
      <c r="P133" s="78" t="str">
        <f t="shared" si="20"/>
        <v>-</v>
      </c>
      <c r="R133" s="78" t="str">
        <f t="shared" si="21"/>
        <v>-</v>
      </c>
    </row>
    <row r="134" spans="1:18" ht="14.4" x14ac:dyDescent="0.3">
      <c r="A134" s="5">
        <v>810104620048</v>
      </c>
      <c r="B134" s="15" t="s">
        <v>264</v>
      </c>
      <c r="C134" s="18" t="s">
        <v>265</v>
      </c>
      <c r="D134" s="12">
        <v>71</v>
      </c>
      <c r="E134" s="45" t="s">
        <v>9</v>
      </c>
      <c r="F134" s="12">
        <v>0.15</v>
      </c>
      <c r="G134" s="49">
        <v>21.95</v>
      </c>
      <c r="H134" s="59">
        <v>9.3330000000000002</v>
      </c>
      <c r="I134" s="40"/>
      <c r="J134" s="8">
        <f t="shared" si="16"/>
        <v>0</v>
      </c>
      <c r="M134" s="76" t="str">
        <f t="shared" si="17"/>
        <v>-</v>
      </c>
      <c r="N134" s="76" t="str">
        <f t="shared" si="18"/>
        <v>-</v>
      </c>
      <c r="O134" s="77" t="str">
        <f t="shared" si="19"/>
        <v>-</v>
      </c>
      <c r="P134" s="78" t="str">
        <f t="shared" si="20"/>
        <v>-</v>
      </c>
      <c r="R134" s="78" t="str">
        <f t="shared" si="21"/>
        <v>-</v>
      </c>
    </row>
    <row r="135" spans="1:18" ht="14.4" x14ac:dyDescent="0.3">
      <c r="A135" s="5">
        <v>850018471558</v>
      </c>
      <c r="B135" s="15" t="s">
        <v>266</v>
      </c>
      <c r="C135" s="18" t="s">
        <v>267</v>
      </c>
      <c r="D135" s="12">
        <v>248</v>
      </c>
      <c r="E135" s="45" t="s">
        <v>9</v>
      </c>
      <c r="F135" s="12">
        <v>0</v>
      </c>
      <c r="G135" s="49">
        <v>19.95</v>
      </c>
      <c r="H135" s="59">
        <v>18.224</v>
      </c>
      <c r="I135" s="40"/>
      <c r="J135" s="8">
        <f t="shared" si="16"/>
        <v>0</v>
      </c>
      <c r="M135" s="76" t="str">
        <f t="shared" si="17"/>
        <v>-</v>
      </c>
      <c r="N135" s="76" t="str">
        <f t="shared" si="18"/>
        <v>-</v>
      </c>
      <c r="O135" s="77" t="str">
        <f t="shared" si="19"/>
        <v>-</v>
      </c>
      <c r="P135" s="78" t="str">
        <f t="shared" si="20"/>
        <v>-</v>
      </c>
      <c r="R135" s="78" t="str">
        <f t="shared" si="21"/>
        <v>-</v>
      </c>
    </row>
    <row r="136" spans="1:18" ht="14.4" x14ac:dyDescent="0.3">
      <c r="A136" s="5">
        <v>850018471411</v>
      </c>
      <c r="B136" s="15" t="s">
        <v>268</v>
      </c>
      <c r="C136" s="18" t="s">
        <v>269</v>
      </c>
      <c r="D136" s="12">
        <v>189</v>
      </c>
      <c r="E136" s="45" t="s">
        <v>9</v>
      </c>
      <c r="F136" s="12">
        <v>0</v>
      </c>
      <c r="G136" s="49">
        <v>19.95</v>
      </c>
      <c r="H136" s="59">
        <v>11.747</v>
      </c>
      <c r="I136" s="40"/>
      <c r="J136" s="8">
        <f t="shared" si="16"/>
        <v>0</v>
      </c>
      <c r="M136" s="76" t="str">
        <f t="shared" si="17"/>
        <v>-</v>
      </c>
      <c r="N136" s="76" t="str">
        <f t="shared" si="18"/>
        <v>-</v>
      </c>
      <c r="O136" s="77" t="str">
        <f t="shared" si="19"/>
        <v>-</v>
      </c>
      <c r="P136" s="78" t="str">
        <f t="shared" si="20"/>
        <v>-</v>
      </c>
      <c r="R136" s="78" t="str">
        <f t="shared" si="21"/>
        <v>-</v>
      </c>
    </row>
    <row r="137" spans="1:18" ht="14.4" x14ac:dyDescent="0.3">
      <c r="A137" s="5">
        <v>850018471541</v>
      </c>
      <c r="B137" s="15" t="s">
        <v>270</v>
      </c>
      <c r="C137" s="18" t="s">
        <v>271</v>
      </c>
      <c r="D137" s="12">
        <v>236</v>
      </c>
      <c r="E137" s="45" t="s">
        <v>9</v>
      </c>
      <c r="F137" s="12">
        <v>0</v>
      </c>
      <c r="G137" s="49">
        <v>17.95</v>
      </c>
      <c r="H137" s="59">
        <v>12.206</v>
      </c>
      <c r="I137" s="40"/>
      <c r="J137" s="8">
        <f t="shared" si="16"/>
        <v>0</v>
      </c>
      <c r="M137" s="76" t="str">
        <f t="shared" si="17"/>
        <v>-</v>
      </c>
      <c r="N137" s="76" t="str">
        <f t="shared" si="18"/>
        <v>-</v>
      </c>
      <c r="O137" s="77" t="str">
        <f t="shared" si="19"/>
        <v>-</v>
      </c>
      <c r="P137" s="78" t="str">
        <f t="shared" si="20"/>
        <v>-</v>
      </c>
      <c r="R137" s="78" t="str">
        <f t="shared" si="21"/>
        <v>-</v>
      </c>
    </row>
    <row r="138" spans="1:18" ht="14.4" x14ac:dyDescent="0.3">
      <c r="A138" s="5">
        <v>856645008167</v>
      </c>
      <c r="B138" s="15" t="s">
        <v>272</v>
      </c>
      <c r="C138" s="18" t="s">
        <v>273</v>
      </c>
      <c r="D138" s="12">
        <v>40</v>
      </c>
      <c r="E138" s="45" t="s">
        <v>9</v>
      </c>
      <c r="F138" s="12">
        <v>0.09</v>
      </c>
      <c r="G138" s="49">
        <v>21.95</v>
      </c>
      <c r="H138" s="59">
        <v>7.4629999999999992</v>
      </c>
      <c r="I138" s="40"/>
      <c r="J138" s="8">
        <f t="shared" si="16"/>
        <v>0</v>
      </c>
      <c r="M138" s="76" t="str">
        <f t="shared" si="17"/>
        <v>-</v>
      </c>
      <c r="N138" s="76" t="str">
        <f t="shared" si="18"/>
        <v>-</v>
      </c>
      <c r="O138" s="77" t="str">
        <f t="shared" si="19"/>
        <v>-</v>
      </c>
      <c r="P138" s="78" t="str">
        <f t="shared" si="20"/>
        <v>-</v>
      </c>
      <c r="R138" s="78" t="str">
        <f t="shared" si="21"/>
        <v>-</v>
      </c>
    </row>
    <row r="139" spans="1:18" ht="14.4" x14ac:dyDescent="0.3">
      <c r="A139" s="5">
        <v>850018471527</v>
      </c>
      <c r="B139" s="15" t="s">
        <v>274</v>
      </c>
      <c r="C139" s="18" t="s">
        <v>275</v>
      </c>
      <c r="D139" s="12">
        <v>181</v>
      </c>
      <c r="E139" s="45" t="s">
        <v>9</v>
      </c>
      <c r="F139" s="12">
        <v>0.14000000000000001</v>
      </c>
      <c r="G139" s="49">
        <v>18.95</v>
      </c>
      <c r="H139" s="59">
        <v>6.4429999999999996</v>
      </c>
      <c r="I139" s="40"/>
      <c r="J139" s="8">
        <f t="shared" si="16"/>
        <v>0</v>
      </c>
      <c r="M139" s="76" t="str">
        <f t="shared" si="17"/>
        <v>-</v>
      </c>
      <c r="N139" s="76" t="str">
        <f t="shared" si="18"/>
        <v>-</v>
      </c>
      <c r="O139" s="77" t="str">
        <f t="shared" si="19"/>
        <v>-</v>
      </c>
      <c r="P139" s="78" t="str">
        <f t="shared" si="20"/>
        <v>-</v>
      </c>
      <c r="R139" s="78" t="str">
        <f t="shared" si="21"/>
        <v>-</v>
      </c>
    </row>
    <row r="140" spans="1:18" ht="14.4" x14ac:dyDescent="0.3">
      <c r="A140" s="5">
        <v>850018471633</v>
      </c>
      <c r="B140" s="15" t="s">
        <v>276</v>
      </c>
      <c r="C140" s="18" t="s">
        <v>277</v>
      </c>
      <c r="D140" s="12">
        <v>200</v>
      </c>
      <c r="E140" s="45" t="s">
        <v>9</v>
      </c>
      <c r="F140" s="12">
        <v>0.14000000000000001</v>
      </c>
      <c r="G140" s="49">
        <v>20.95</v>
      </c>
      <c r="H140" s="59">
        <v>7.1230000000000002</v>
      </c>
      <c r="I140" s="40"/>
      <c r="J140" s="8">
        <f t="shared" si="16"/>
        <v>0</v>
      </c>
      <c r="M140" s="76" t="str">
        <f t="shared" si="17"/>
        <v>-</v>
      </c>
      <c r="N140" s="76" t="str">
        <f t="shared" si="18"/>
        <v>-</v>
      </c>
      <c r="O140" s="77" t="str">
        <f t="shared" si="19"/>
        <v>-</v>
      </c>
      <c r="P140" s="78" t="str">
        <f t="shared" si="20"/>
        <v>-</v>
      </c>
      <c r="R140" s="78" t="str">
        <f t="shared" si="21"/>
        <v>-</v>
      </c>
    </row>
    <row r="141" spans="1:18" ht="14.4" x14ac:dyDescent="0.3">
      <c r="A141" s="5">
        <v>850018471503</v>
      </c>
      <c r="B141" s="15" t="s">
        <v>278</v>
      </c>
      <c r="C141" s="18" t="s">
        <v>279</v>
      </c>
      <c r="D141" s="12">
        <v>93</v>
      </c>
      <c r="E141" s="45" t="s">
        <v>9</v>
      </c>
      <c r="F141" s="12">
        <v>0.14000000000000001</v>
      </c>
      <c r="G141" s="49">
        <v>18.95</v>
      </c>
      <c r="H141" s="59">
        <v>6.4429999999999996</v>
      </c>
      <c r="I141" s="40"/>
      <c r="J141" s="8">
        <f t="shared" si="16"/>
        <v>0</v>
      </c>
      <c r="M141" s="76" t="str">
        <f t="shared" si="17"/>
        <v>-</v>
      </c>
      <c r="N141" s="76" t="str">
        <f t="shared" si="18"/>
        <v>-</v>
      </c>
      <c r="O141" s="77" t="str">
        <f t="shared" si="19"/>
        <v>-</v>
      </c>
      <c r="P141" s="78" t="str">
        <f t="shared" si="20"/>
        <v>-</v>
      </c>
      <c r="R141" s="78" t="str">
        <f t="shared" si="21"/>
        <v>-</v>
      </c>
    </row>
    <row r="142" spans="1:18" ht="14.4" x14ac:dyDescent="0.3">
      <c r="A142" s="5">
        <v>850018471978</v>
      </c>
      <c r="B142" s="15" t="s">
        <v>280</v>
      </c>
      <c r="C142" s="18" t="s">
        <v>281</v>
      </c>
      <c r="D142" s="12">
        <v>16</v>
      </c>
      <c r="E142" s="45" t="s">
        <v>9</v>
      </c>
      <c r="F142" s="12">
        <v>0.26</v>
      </c>
      <c r="G142" s="49">
        <v>19.95</v>
      </c>
      <c r="H142" s="59">
        <v>6.7830000000000004</v>
      </c>
      <c r="I142" s="40"/>
      <c r="J142" s="8">
        <f t="shared" si="16"/>
        <v>0</v>
      </c>
      <c r="M142" s="76" t="str">
        <f t="shared" si="17"/>
        <v>-</v>
      </c>
      <c r="N142" s="76" t="str">
        <f t="shared" si="18"/>
        <v>-</v>
      </c>
      <c r="O142" s="77" t="str">
        <f t="shared" si="19"/>
        <v>-</v>
      </c>
      <c r="P142" s="78" t="str">
        <f t="shared" si="20"/>
        <v>-</v>
      </c>
      <c r="R142" s="78" t="str">
        <f t="shared" si="21"/>
        <v>-</v>
      </c>
    </row>
    <row r="143" spans="1:18" ht="14.4" x14ac:dyDescent="0.3">
      <c r="A143" s="5">
        <v>850036700456</v>
      </c>
      <c r="B143" s="15" t="s">
        <v>282</v>
      </c>
      <c r="C143" s="18" t="s">
        <v>283</v>
      </c>
      <c r="D143" s="12">
        <v>103</v>
      </c>
      <c r="E143" s="45" t="s">
        <v>9</v>
      </c>
      <c r="F143" s="12">
        <v>0.27</v>
      </c>
      <c r="G143" s="49">
        <v>19.95</v>
      </c>
      <c r="H143" s="59">
        <v>8.1089999999999982</v>
      </c>
      <c r="I143" s="40"/>
      <c r="J143" s="8">
        <f t="shared" si="16"/>
        <v>0</v>
      </c>
      <c r="M143" s="76" t="str">
        <f t="shared" si="17"/>
        <v>-</v>
      </c>
      <c r="N143" s="76" t="str">
        <f t="shared" si="18"/>
        <v>-</v>
      </c>
      <c r="O143" s="77" t="str">
        <f t="shared" si="19"/>
        <v>-</v>
      </c>
      <c r="P143" s="78" t="str">
        <f t="shared" si="20"/>
        <v>-</v>
      </c>
      <c r="R143" s="78" t="str">
        <f t="shared" si="21"/>
        <v>-</v>
      </c>
    </row>
    <row r="144" spans="1:18" ht="14.4" x14ac:dyDescent="0.3">
      <c r="A144" s="5">
        <v>850018471374</v>
      </c>
      <c r="B144" s="15" t="s">
        <v>284</v>
      </c>
      <c r="C144" s="18" t="s">
        <v>285</v>
      </c>
      <c r="D144" s="12">
        <v>56</v>
      </c>
      <c r="E144" s="45" t="s">
        <v>9</v>
      </c>
      <c r="F144" s="12">
        <v>0.55000000000000004</v>
      </c>
      <c r="G144" s="49">
        <v>39.950000000000003</v>
      </c>
      <c r="H144" s="59">
        <v>13.583</v>
      </c>
      <c r="I144" s="40"/>
      <c r="J144" s="8">
        <f t="shared" si="16"/>
        <v>0</v>
      </c>
      <c r="M144" s="76" t="str">
        <f t="shared" si="17"/>
        <v>-</v>
      </c>
      <c r="N144" s="76" t="str">
        <f t="shared" si="18"/>
        <v>-</v>
      </c>
      <c r="O144" s="77" t="str">
        <f t="shared" si="19"/>
        <v>-</v>
      </c>
      <c r="P144" s="78" t="str">
        <f t="shared" si="20"/>
        <v>-</v>
      </c>
      <c r="R144" s="78" t="str">
        <f t="shared" si="21"/>
        <v>-</v>
      </c>
    </row>
    <row r="145" spans="1:18" ht="14.4" x14ac:dyDescent="0.3">
      <c r="A145" s="5">
        <v>850036700562</v>
      </c>
      <c r="B145" s="15" t="s">
        <v>286</v>
      </c>
      <c r="C145" s="18" t="s">
        <v>287</v>
      </c>
      <c r="D145" s="12">
        <v>84</v>
      </c>
      <c r="E145" s="45" t="s">
        <v>9</v>
      </c>
      <c r="F145" s="12">
        <v>0.15</v>
      </c>
      <c r="G145" s="49">
        <v>21.25</v>
      </c>
      <c r="H145" s="59">
        <v>8.4660000000000011</v>
      </c>
      <c r="I145" s="40"/>
      <c r="J145" s="8">
        <f t="shared" si="16"/>
        <v>0</v>
      </c>
      <c r="M145" s="76" t="str">
        <f t="shared" si="17"/>
        <v>-</v>
      </c>
      <c r="N145" s="76" t="str">
        <f t="shared" si="18"/>
        <v>-</v>
      </c>
      <c r="O145" s="77" t="str">
        <f t="shared" si="19"/>
        <v>-</v>
      </c>
      <c r="P145" s="78" t="str">
        <f t="shared" si="20"/>
        <v>-</v>
      </c>
      <c r="R145" s="78" t="str">
        <f t="shared" si="21"/>
        <v>-</v>
      </c>
    </row>
    <row r="146" spans="1:18" ht="14.4" x14ac:dyDescent="0.3">
      <c r="A146" s="5">
        <v>856645008419</v>
      </c>
      <c r="B146" s="15" t="s">
        <v>288</v>
      </c>
      <c r="C146" s="18" t="s">
        <v>289</v>
      </c>
      <c r="D146" s="12">
        <v>14</v>
      </c>
      <c r="E146" s="45" t="s">
        <v>9</v>
      </c>
      <c r="F146" s="12">
        <v>0.54</v>
      </c>
      <c r="G146" s="49">
        <v>37.950000000000003</v>
      </c>
      <c r="H146" s="59">
        <v>13.123999999999999</v>
      </c>
      <c r="I146" s="40"/>
      <c r="J146" s="8">
        <f t="shared" si="16"/>
        <v>0</v>
      </c>
      <c r="M146" s="76" t="str">
        <f t="shared" si="17"/>
        <v>-</v>
      </c>
      <c r="N146" s="76" t="str">
        <f t="shared" si="18"/>
        <v>-</v>
      </c>
      <c r="O146" s="77" t="str">
        <f t="shared" si="19"/>
        <v>-</v>
      </c>
      <c r="P146" s="78" t="str">
        <f t="shared" si="20"/>
        <v>-</v>
      </c>
      <c r="R146" s="78" t="str">
        <f t="shared" si="21"/>
        <v>-</v>
      </c>
    </row>
    <row r="147" spans="1:18" ht="14.4" x14ac:dyDescent="0.3">
      <c r="A147" s="5">
        <v>810104620086</v>
      </c>
      <c r="B147" s="15" t="s">
        <v>290</v>
      </c>
      <c r="C147" s="18" t="s">
        <v>291</v>
      </c>
      <c r="D147" s="12">
        <v>132</v>
      </c>
      <c r="E147" s="45" t="s">
        <v>9</v>
      </c>
      <c r="F147" s="12">
        <v>0.26</v>
      </c>
      <c r="G147" s="49">
        <v>20.25</v>
      </c>
      <c r="H147" s="59">
        <v>15.402000000000001</v>
      </c>
      <c r="I147" s="40"/>
      <c r="J147" s="8">
        <f t="shared" si="16"/>
        <v>0</v>
      </c>
      <c r="M147" s="76" t="str">
        <f t="shared" si="17"/>
        <v>-</v>
      </c>
      <c r="N147" s="76" t="str">
        <f t="shared" si="18"/>
        <v>-</v>
      </c>
      <c r="O147" s="77" t="str">
        <f t="shared" si="19"/>
        <v>-</v>
      </c>
      <c r="P147" s="78" t="str">
        <f t="shared" si="20"/>
        <v>-</v>
      </c>
      <c r="R147" s="78" t="str">
        <f t="shared" si="21"/>
        <v>-</v>
      </c>
    </row>
    <row r="148" spans="1:18" ht="15" thickBot="1" x14ac:dyDescent="0.35">
      <c r="A148" s="31">
        <v>810104621168</v>
      </c>
      <c r="B148" s="32" t="s">
        <v>292</v>
      </c>
      <c r="C148" s="33" t="s">
        <v>293</v>
      </c>
      <c r="D148" s="34">
        <v>98</v>
      </c>
      <c r="E148" s="46" t="s">
        <v>9</v>
      </c>
      <c r="F148" s="34">
        <v>0.11</v>
      </c>
      <c r="G148" s="49">
        <v>19.95</v>
      </c>
      <c r="H148" s="59">
        <v>14.075999999999999</v>
      </c>
      <c r="I148" s="41"/>
      <c r="J148" s="35">
        <f t="shared" si="16"/>
        <v>0</v>
      </c>
      <c r="M148" s="76" t="str">
        <f t="shared" si="17"/>
        <v>-</v>
      </c>
      <c r="N148" s="76" t="str">
        <f t="shared" si="18"/>
        <v>-</v>
      </c>
      <c r="O148" s="77" t="str">
        <f t="shared" si="19"/>
        <v>-</v>
      </c>
      <c r="P148" s="78" t="str">
        <f t="shared" si="20"/>
        <v>-</v>
      </c>
      <c r="R148" s="78" t="str">
        <f t="shared" si="21"/>
        <v>-</v>
      </c>
    </row>
    <row r="149" spans="1:18" ht="15" thickBot="1" x14ac:dyDescent="0.35">
      <c r="A149" s="25"/>
      <c r="B149" s="26"/>
      <c r="C149" s="27" t="s">
        <v>294</v>
      </c>
      <c r="D149" s="28"/>
      <c r="E149" s="26"/>
      <c r="F149" s="28"/>
      <c r="G149" s="28"/>
      <c r="H149" s="60"/>
      <c r="I149" s="38"/>
      <c r="J149" s="30"/>
      <c r="M149" s="76" t="str">
        <f t="shared" si="17"/>
        <v>-</v>
      </c>
      <c r="N149" s="76" t="str">
        <f t="shared" si="18"/>
        <v>-</v>
      </c>
      <c r="O149" s="77" t="str">
        <f t="shared" si="19"/>
        <v>-</v>
      </c>
      <c r="P149" s="78" t="str">
        <f t="shared" si="20"/>
        <v>-</v>
      </c>
      <c r="R149" s="78" t="str">
        <f t="shared" si="21"/>
        <v>-</v>
      </c>
    </row>
    <row r="150" spans="1:18" ht="14.4" x14ac:dyDescent="0.3">
      <c r="A150" s="20">
        <v>850018471657</v>
      </c>
      <c r="B150" s="21" t="s">
        <v>295</v>
      </c>
      <c r="C150" s="22" t="s">
        <v>296</v>
      </c>
      <c r="D150" s="23">
        <v>90</v>
      </c>
      <c r="E150" s="44" t="s">
        <v>9</v>
      </c>
      <c r="F150" s="23">
        <v>0.09</v>
      </c>
      <c r="G150" s="49">
        <v>19.95</v>
      </c>
      <c r="H150" s="59">
        <v>7.2419999999999991</v>
      </c>
      <c r="I150" s="39"/>
      <c r="J150" s="24">
        <f t="shared" ref="J150:J188" si="22">I150*H150</f>
        <v>0</v>
      </c>
      <c r="M150" s="76" t="str">
        <f t="shared" si="17"/>
        <v>-</v>
      </c>
      <c r="N150" s="76" t="str">
        <f t="shared" si="18"/>
        <v>-</v>
      </c>
      <c r="O150" s="77" t="str">
        <f t="shared" si="19"/>
        <v>-</v>
      </c>
      <c r="P150" s="78" t="str">
        <f t="shared" si="20"/>
        <v>-</v>
      </c>
      <c r="R150" s="78" t="str">
        <f t="shared" si="21"/>
        <v>-</v>
      </c>
    </row>
    <row r="151" spans="1:18" ht="14.4" x14ac:dyDescent="0.3">
      <c r="A151" s="5">
        <v>850018471664</v>
      </c>
      <c r="B151" s="15" t="s">
        <v>297</v>
      </c>
      <c r="C151" s="18" t="s">
        <v>298</v>
      </c>
      <c r="D151" s="12">
        <v>228</v>
      </c>
      <c r="E151" s="45" t="s">
        <v>9</v>
      </c>
      <c r="F151" s="12">
        <v>0</v>
      </c>
      <c r="G151" s="49">
        <v>17.95</v>
      </c>
      <c r="H151" s="59">
        <v>10.302</v>
      </c>
      <c r="I151" s="40"/>
      <c r="J151" s="8">
        <f t="shared" si="22"/>
        <v>0</v>
      </c>
      <c r="M151" s="76" t="str">
        <f t="shared" si="17"/>
        <v>-</v>
      </c>
      <c r="N151" s="76" t="str">
        <f t="shared" si="18"/>
        <v>-</v>
      </c>
      <c r="O151" s="77" t="str">
        <f t="shared" si="19"/>
        <v>-</v>
      </c>
      <c r="P151" s="78" t="str">
        <f t="shared" si="20"/>
        <v>-</v>
      </c>
      <c r="R151" s="78" t="str">
        <f t="shared" si="21"/>
        <v>-</v>
      </c>
    </row>
    <row r="152" spans="1:18" ht="14.4" x14ac:dyDescent="0.3">
      <c r="A152" s="5">
        <v>810104620543</v>
      </c>
      <c r="B152" s="15" t="s">
        <v>299</v>
      </c>
      <c r="C152" s="18" t="s">
        <v>300</v>
      </c>
      <c r="D152" s="12">
        <v>209</v>
      </c>
      <c r="E152" s="45" t="s">
        <v>9</v>
      </c>
      <c r="F152" s="12">
        <v>0</v>
      </c>
      <c r="G152" s="49">
        <v>24.95</v>
      </c>
      <c r="H152" s="59">
        <v>8.4830000000000005</v>
      </c>
      <c r="I152" s="40"/>
      <c r="J152" s="8">
        <f t="shared" si="22"/>
        <v>0</v>
      </c>
      <c r="M152" s="76" t="str">
        <f t="shared" si="17"/>
        <v>-</v>
      </c>
      <c r="N152" s="76" t="str">
        <f t="shared" si="18"/>
        <v>-</v>
      </c>
      <c r="O152" s="77" t="str">
        <f t="shared" si="19"/>
        <v>-</v>
      </c>
      <c r="P152" s="78" t="str">
        <f t="shared" si="20"/>
        <v>-</v>
      </c>
      <c r="R152" s="78" t="str">
        <f t="shared" si="21"/>
        <v>-</v>
      </c>
    </row>
    <row r="153" spans="1:18" ht="14.4" x14ac:dyDescent="0.3">
      <c r="A153" s="5">
        <v>850018471671</v>
      </c>
      <c r="B153" s="15" t="s">
        <v>301</v>
      </c>
      <c r="C153" s="18" t="s">
        <v>302</v>
      </c>
      <c r="D153" s="12">
        <v>104</v>
      </c>
      <c r="E153" s="45" t="s">
        <v>9</v>
      </c>
      <c r="F153" s="12">
        <v>0.09</v>
      </c>
      <c r="G153" s="49">
        <v>19.95</v>
      </c>
      <c r="H153" s="59">
        <v>6.9359999999999999</v>
      </c>
      <c r="I153" s="40"/>
      <c r="J153" s="8">
        <f t="shared" si="22"/>
        <v>0</v>
      </c>
      <c r="M153" s="76" t="str">
        <f t="shared" si="17"/>
        <v>-</v>
      </c>
      <c r="N153" s="76" t="str">
        <f t="shared" si="18"/>
        <v>-</v>
      </c>
      <c r="O153" s="77" t="str">
        <f t="shared" si="19"/>
        <v>-</v>
      </c>
      <c r="P153" s="78" t="str">
        <f t="shared" si="20"/>
        <v>-</v>
      </c>
      <c r="R153" s="78" t="str">
        <f t="shared" si="21"/>
        <v>-</v>
      </c>
    </row>
    <row r="154" spans="1:18" ht="14.4" x14ac:dyDescent="0.3">
      <c r="A154" s="5">
        <v>856645008488</v>
      </c>
      <c r="B154" s="15" t="s">
        <v>303</v>
      </c>
      <c r="C154" s="18" t="s">
        <v>304</v>
      </c>
      <c r="D154" s="12">
        <v>199</v>
      </c>
      <c r="E154" s="45" t="s">
        <v>9</v>
      </c>
      <c r="F154" s="12">
        <v>0</v>
      </c>
      <c r="G154" s="49">
        <v>17.95</v>
      </c>
      <c r="H154" s="59">
        <v>7.4459999999999997</v>
      </c>
      <c r="I154" s="40"/>
      <c r="J154" s="8">
        <f t="shared" si="22"/>
        <v>0</v>
      </c>
      <c r="M154" s="76" t="str">
        <f t="shared" si="17"/>
        <v>-</v>
      </c>
      <c r="N154" s="76" t="str">
        <f t="shared" si="18"/>
        <v>-</v>
      </c>
      <c r="O154" s="77" t="str">
        <f t="shared" si="19"/>
        <v>-</v>
      </c>
      <c r="P154" s="78" t="str">
        <f t="shared" si="20"/>
        <v>-</v>
      </c>
      <c r="R154" s="78" t="str">
        <f t="shared" si="21"/>
        <v>-</v>
      </c>
    </row>
    <row r="155" spans="1:18" ht="14.4" x14ac:dyDescent="0.3">
      <c r="A155" s="5">
        <v>850018471350</v>
      </c>
      <c r="B155" s="15" t="s">
        <v>305</v>
      </c>
      <c r="C155" s="18" t="s">
        <v>306</v>
      </c>
      <c r="D155" s="12">
        <v>91</v>
      </c>
      <c r="E155" s="45" t="s">
        <v>9</v>
      </c>
      <c r="F155" s="12">
        <v>0.14000000000000001</v>
      </c>
      <c r="G155" s="49">
        <v>15.95</v>
      </c>
      <c r="H155" s="59">
        <v>6.3580000000000005</v>
      </c>
      <c r="I155" s="40"/>
      <c r="J155" s="8">
        <f t="shared" si="22"/>
        <v>0</v>
      </c>
      <c r="M155" s="76" t="str">
        <f t="shared" si="17"/>
        <v>-</v>
      </c>
      <c r="N155" s="76" t="str">
        <f t="shared" si="18"/>
        <v>-</v>
      </c>
      <c r="O155" s="77" t="str">
        <f t="shared" si="19"/>
        <v>-</v>
      </c>
      <c r="P155" s="78" t="str">
        <f t="shared" si="20"/>
        <v>-</v>
      </c>
      <c r="R155" s="78" t="str">
        <f t="shared" si="21"/>
        <v>-</v>
      </c>
    </row>
    <row r="156" spans="1:18" ht="14.4" x14ac:dyDescent="0.3">
      <c r="A156" s="5">
        <v>850029392194</v>
      </c>
      <c r="B156" s="15" t="s">
        <v>307</v>
      </c>
      <c r="C156" s="18" t="s">
        <v>308</v>
      </c>
      <c r="D156" s="12">
        <v>35</v>
      </c>
      <c r="E156" s="45" t="s">
        <v>9</v>
      </c>
      <c r="F156" s="12">
        <v>0.14000000000000001</v>
      </c>
      <c r="G156" s="49">
        <v>21.95</v>
      </c>
      <c r="H156" s="59">
        <v>7.4629999999999992</v>
      </c>
      <c r="I156" s="40"/>
      <c r="J156" s="8">
        <f t="shared" si="22"/>
        <v>0</v>
      </c>
      <c r="M156" s="76" t="str">
        <f t="shared" si="17"/>
        <v>-</v>
      </c>
      <c r="N156" s="76" t="str">
        <f t="shared" si="18"/>
        <v>-</v>
      </c>
      <c r="O156" s="77" t="str">
        <f t="shared" si="19"/>
        <v>-</v>
      </c>
      <c r="P156" s="78" t="str">
        <f t="shared" si="20"/>
        <v>-</v>
      </c>
      <c r="R156" s="78" t="str">
        <f t="shared" si="21"/>
        <v>-</v>
      </c>
    </row>
    <row r="157" spans="1:18" ht="14.4" x14ac:dyDescent="0.3">
      <c r="A157" s="5">
        <v>810104620611</v>
      </c>
      <c r="B157" s="15" t="s">
        <v>309</v>
      </c>
      <c r="C157" s="18" t="s">
        <v>310</v>
      </c>
      <c r="D157" s="12">
        <v>179</v>
      </c>
      <c r="E157" s="45" t="s">
        <v>9</v>
      </c>
      <c r="F157" s="12">
        <v>0</v>
      </c>
      <c r="G157" s="49">
        <v>21.95</v>
      </c>
      <c r="H157" s="59">
        <v>7.4629999999999992</v>
      </c>
      <c r="I157" s="40"/>
      <c r="J157" s="8">
        <f t="shared" si="22"/>
        <v>0</v>
      </c>
      <c r="M157" s="76" t="str">
        <f t="shared" si="17"/>
        <v>-</v>
      </c>
      <c r="N157" s="76" t="str">
        <f t="shared" si="18"/>
        <v>-</v>
      </c>
      <c r="O157" s="77" t="str">
        <f t="shared" si="19"/>
        <v>-</v>
      </c>
      <c r="P157" s="78" t="str">
        <f t="shared" si="20"/>
        <v>-</v>
      </c>
      <c r="R157" s="78" t="str">
        <f t="shared" si="21"/>
        <v>-</v>
      </c>
    </row>
    <row r="158" spans="1:18" ht="14.4" x14ac:dyDescent="0.3">
      <c r="A158" s="5">
        <v>850018471367</v>
      </c>
      <c r="B158" s="15" t="s">
        <v>311</v>
      </c>
      <c r="C158" s="18" t="s">
        <v>312</v>
      </c>
      <c r="D158" s="12">
        <v>247</v>
      </c>
      <c r="E158" s="45" t="s">
        <v>9</v>
      </c>
      <c r="F158" s="12">
        <v>0</v>
      </c>
      <c r="G158" s="49">
        <v>17.95</v>
      </c>
      <c r="H158" s="59">
        <v>9.9960000000000004</v>
      </c>
      <c r="I158" s="40"/>
      <c r="J158" s="8">
        <f t="shared" si="22"/>
        <v>0</v>
      </c>
      <c r="M158" s="76" t="str">
        <f t="shared" si="17"/>
        <v>-</v>
      </c>
      <c r="N158" s="76" t="str">
        <f t="shared" si="18"/>
        <v>-</v>
      </c>
      <c r="O158" s="77" t="str">
        <f t="shared" si="19"/>
        <v>-</v>
      </c>
      <c r="P158" s="78" t="str">
        <f t="shared" si="20"/>
        <v>-</v>
      </c>
      <c r="R158" s="78" t="str">
        <f t="shared" si="21"/>
        <v>-</v>
      </c>
    </row>
    <row r="159" spans="1:18" ht="14.4" x14ac:dyDescent="0.3">
      <c r="A159" s="5">
        <v>850018471398</v>
      </c>
      <c r="B159" s="15" t="s">
        <v>313</v>
      </c>
      <c r="C159" s="18" t="s">
        <v>314</v>
      </c>
      <c r="D159" s="12">
        <v>75</v>
      </c>
      <c r="E159" s="45" t="s">
        <v>9</v>
      </c>
      <c r="F159" s="12">
        <v>0.09</v>
      </c>
      <c r="G159" s="49">
        <v>19.95</v>
      </c>
      <c r="H159" s="59">
        <v>6.851</v>
      </c>
      <c r="I159" s="40"/>
      <c r="J159" s="8">
        <f t="shared" si="22"/>
        <v>0</v>
      </c>
      <c r="M159" s="76" t="str">
        <f t="shared" si="17"/>
        <v>-</v>
      </c>
      <c r="N159" s="76" t="str">
        <f t="shared" si="18"/>
        <v>-</v>
      </c>
      <c r="O159" s="77" t="str">
        <f t="shared" si="19"/>
        <v>-</v>
      </c>
      <c r="P159" s="78" t="str">
        <f t="shared" si="20"/>
        <v>-</v>
      </c>
      <c r="R159" s="78" t="str">
        <f t="shared" si="21"/>
        <v>-</v>
      </c>
    </row>
    <row r="160" spans="1:18" ht="14.4" x14ac:dyDescent="0.3">
      <c r="A160" s="5">
        <v>850018471480</v>
      </c>
      <c r="B160" s="15" t="s">
        <v>315</v>
      </c>
      <c r="C160" s="18" t="s">
        <v>316</v>
      </c>
      <c r="D160" s="12">
        <v>92</v>
      </c>
      <c r="E160" s="45" t="s">
        <v>9</v>
      </c>
      <c r="F160" s="12">
        <v>0.09</v>
      </c>
      <c r="G160" s="49">
        <v>19.95</v>
      </c>
      <c r="H160" s="59">
        <v>6.851</v>
      </c>
      <c r="I160" s="40"/>
      <c r="J160" s="8">
        <f t="shared" si="22"/>
        <v>0</v>
      </c>
      <c r="M160" s="76" t="str">
        <f t="shared" si="17"/>
        <v>-</v>
      </c>
      <c r="N160" s="76" t="str">
        <f t="shared" si="18"/>
        <v>-</v>
      </c>
      <c r="O160" s="77" t="str">
        <f t="shared" si="19"/>
        <v>-</v>
      </c>
      <c r="P160" s="78" t="str">
        <f t="shared" si="20"/>
        <v>-</v>
      </c>
      <c r="R160" s="78" t="str">
        <f t="shared" si="21"/>
        <v>-</v>
      </c>
    </row>
    <row r="161" spans="1:18" ht="14.4" x14ac:dyDescent="0.3">
      <c r="A161" s="5">
        <v>856645008150</v>
      </c>
      <c r="B161" s="15" t="s">
        <v>317</v>
      </c>
      <c r="C161" s="18" t="s">
        <v>318</v>
      </c>
      <c r="D161" s="12">
        <v>19</v>
      </c>
      <c r="E161" s="45" t="s">
        <v>9</v>
      </c>
      <c r="F161" s="12">
        <v>0.1</v>
      </c>
      <c r="G161" s="49">
        <v>19.95</v>
      </c>
      <c r="H161" s="59">
        <v>6.7830000000000004</v>
      </c>
      <c r="I161" s="40"/>
      <c r="J161" s="8">
        <f t="shared" si="22"/>
        <v>0</v>
      </c>
      <c r="M161" s="76" t="str">
        <f t="shared" si="17"/>
        <v>-</v>
      </c>
      <c r="N161" s="76" t="str">
        <f t="shared" si="18"/>
        <v>-</v>
      </c>
      <c r="O161" s="77" t="str">
        <f t="shared" si="19"/>
        <v>-</v>
      </c>
      <c r="P161" s="78" t="str">
        <f t="shared" si="20"/>
        <v>-</v>
      </c>
      <c r="R161" s="78" t="str">
        <f t="shared" si="21"/>
        <v>-</v>
      </c>
    </row>
    <row r="162" spans="1:18" ht="14.4" x14ac:dyDescent="0.3">
      <c r="A162" s="5">
        <v>850018471381</v>
      </c>
      <c r="B162" s="15" t="s">
        <v>319</v>
      </c>
      <c r="C162" s="18" t="s">
        <v>320</v>
      </c>
      <c r="D162" s="12">
        <v>118</v>
      </c>
      <c r="E162" s="45" t="s">
        <v>9</v>
      </c>
      <c r="F162" s="12">
        <v>0</v>
      </c>
      <c r="G162" s="49">
        <v>22.95</v>
      </c>
      <c r="H162" s="59">
        <v>8.6529999999999987</v>
      </c>
      <c r="I162" s="40"/>
      <c r="J162" s="8">
        <f t="shared" si="22"/>
        <v>0</v>
      </c>
      <c r="M162" s="76" t="str">
        <f t="shared" si="17"/>
        <v>-</v>
      </c>
      <c r="N162" s="76" t="str">
        <f t="shared" si="18"/>
        <v>-</v>
      </c>
      <c r="O162" s="77" t="str">
        <f t="shared" si="19"/>
        <v>-</v>
      </c>
      <c r="P162" s="78" t="str">
        <f t="shared" si="20"/>
        <v>-</v>
      </c>
      <c r="R162" s="78" t="str">
        <f t="shared" si="21"/>
        <v>-</v>
      </c>
    </row>
    <row r="163" spans="1:18" ht="14.4" x14ac:dyDescent="0.3">
      <c r="A163" s="5">
        <v>850018471688</v>
      </c>
      <c r="B163" s="15" t="s">
        <v>321</v>
      </c>
      <c r="C163" s="18" t="s">
        <v>322</v>
      </c>
      <c r="D163" s="12">
        <v>169</v>
      </c>
      <c r="E163" s="45" t="s">
        <v>9</v>
      </c>
      <c r="F163" s="12">
        <v>0</v>
      </c>
      <c r="G163" s="49">
        <v>19.95</v>
      </c>
      <c r="H163" s="59">
        <v>7.0550000000000006</v>
      </c>
      <c r="I163" s="40"/>
      <c r="J163" s="8">
        <f t="shared" si="22"/>
        <v>0</v>
      </c>
      <c r="M163" s="76" t="str">
        <f t="shared" si="17"/>
        <v>-</v>
      </c>
      <c r="N163" s="76" t="str">
        <f t="shared" si="18"/>
        <v>-</v>
      </c>
      <c r="O163" s="77" t="str">
        <f t="shared" si="19"/>
        <v>-</v>
      </c>
      <c r="P163" s="78" t="str">
        <f t="shared" si="20"/>
        <v>-</v>
      </c>
      <c r="R163" s="78" t="str">
        <f t="shared" si="21"/>
        <v>-</v>
      </c>
    </row>
    <row r="164" spans="1:18" ht="14.4" x14ac:dyDescent="0.3">
      <c r="A164" s="5">
        <v>856645008501</v>
      </c>
      <c r="B164" s="15" t="s">
        <v>323</v>
      </c>
      <c r="C164" s="18" t="s">
        <v>324</v>
      </c>
      <c r="D164" s="12">
        <v>151</v>
      </c>
      <c r="E164" s="45" t="s">
        <v>9</v>
      </c>
      <c r="F164" s="12">
        <v>0.09</v>
      </c>
      <c r="G164" s="49">
        <v>19.95</v>
      </c>
      <c r="H164" s="59">
        <v>10.846</v>
      </c>
      <c r="I164" s="40"/>
      <c r="J164" s="8">
        <f t="shared" si="22"/>
        <v>0</v>
      </c>
      <c r="M164" s="76" t="str">
        <f t="shared" si="17"/>
        <v>-</v>
      </c>
      <c r="N164" s="76" t="str">
        <f t="shared" si="18"/>
        <v>-</v>
      </c>
      <c r="O164" s="77" t="str">
        <f t="shared" si="19"/>
        <v>-</v>
      </c>
      <c r="P164" s="78" t="str">
        <f t="shared" si="20"/>
        <v>-</v>
      </c>
      <c r="R164" s="78" t="str">
        <f t="shared" si="21"/>
        <v>-</v>
      </c>
    </row>
    <row r="165" spans="1:18" ht="14.4" x14ac:dyDescent="0.3">
      <c r="A165" s="5">
        <v>810104620529</v>
      </c>
      <c r="B165" s="15" t="s">
        <v>325</v>
      </c>
      <c r="C165" s="18" t="s">
        <v>326</v>
      </c>
      <c r="D165" s="12">
        <v>201</v>
      </c>
      <c r="E165" s="45" t="s">
        <v>9</v>
      </c>
      <c r="F165" s="12">
        <v>0</v>
      </c>
      <c r="G165" s="49">
        <v>19.95</v>
      </c>
      <c r="H165" s="59">
        <v>8.1940000000000008</v>
      </c>
      <c r="I165" s="40"/>
      <c r="J165" s="8">
        <f t="shared" si="22"/>
        <v>0</v>
      </c>
      <c r="M165" s="76" t="str">
        <f t="shared" si="17"/>
        <v>-</v>
      </c>
      <c r="N165" s="76" t="str">
        <f t="shared" si="18"/>
        <v>-</v>
      </c>
      <c r="O165" s="77" t="str">
        <f t="shared" si="19"/>
        <v>-</v>
      </c>
      <c r="P165" s="78" t="str">
        <f t="shared" si="20"/>
        <v>-</v>
      </c>
      <c r="R165" s="78" t="str">
        <f t="shared" si="21"/>
        <v>-</v>
      </c>
    </row>
    <row r="166" spans="1:18" ht="14.4" x14ac:dyDescent="0.3">
      <c r="A166" s="5">
        <v>856645008518</v>
      </c>
      <c r="B166" s="15" t="s">
        <v>327</v>
      </c>
      <c r="C166" s="18" t="s">
        <v>328</v>
      </c>
      <c r="D166" s="12">
        <v>170</v>
      </c>
      <c r="E166" s="45" t="s">
        <v>9</v>
      </c>
      <c r="F166" s="12">
        <v>0.09</v>
      </c>
      <c r="G166" s="49">
        <v>19.95</v>
      </c>
      <c r="H166" s="59">
        <v>7.633</v>
      </c>
      <c r="I166" s="40"/>
      <c r="J166" s="8">
        <f t="shared" si="22"/>
        <v>0</v>
      </c>
      <c r="M166" s="76" t="str">
        <f t="shared" si="17"/>
        <v>-</v>
      </c>
      <c r="N166" s="76" t="str">
        <f t="shared" si="18"/>
        <v>-</v>
      </c>
      <c r="O166" s="77" t="str">
        <f t="shared" si="19"/>
        <v>-</v>
      </c>
      <c r="P166" s="78" t="str">
        <f t="shared" si="20"/>
        <v>-</v>
      </c>
      <c r="R166" s="78" t="str">
        <f t="shared" si="21"/>
        <v>-</v>
      </c>
    </row>
    <row r="167" spans="1:18" ht="14.4" x14ac:dyDescent="0.3">
      <c r="A167" s="5">
        <v>810104622141</v>
      </c>
      <c r="B167" s="10" t="s">
        <v>329</v>
      </c>
      <c r="C167" s="18" t="s">
        <v>330</v>
      </c>
      <c r="D167" s="12">
        <v>183</v>
      </c>
      <c r="E167" s="45" t="s">
        <v>9</v>
      </c>
      <c r="F167" s="12">
        <v>0</v>
      </c>
      <c r="G167" s="49">
        <v>24.95</v>
      </c>
      <c r="H167" s="59">
        <v>8.4830000000000005</v>
      </c>
      <c r="I167" s="40"/>
      <c r="J167" s="8">
        <f t="shared" si="22"/>
        <v>0</v>
      </c>
      <c r="M167" s="76" t="str">
        <f t="shared" si="17"/>
        <v>-</v>
      </c>
      <c r="N167" s="76" t="str">
        <f t="shared" si="18"/>
        <v>-</v>
      </c>
      <c r="O167" s="77" t="str">
        <f t="shared" si="19"/>
        <v>-</v>
      </c>
      <c r="P167" s="78" t="str">
        <f t="shared" si="20"/>
        <v>-</v>
      </c>
      <c r="R167" s="78" t="str">
        <f t="shared" si="21"/>
        <v>-</v>
      </c>
    </row>
    <row r="168" spans="1:18" ht="14.4" x14ac:dyDescent="0.3">
      <c r="A168" s="5">
        <v>856645008525</v>
      </c>
      <c r="B168" s="15" t="s">
        <v>331</v>
      </c>
      <c r="C168" s="18" t="s">
        <v>332</v>
      </c>
      <c r="D168" s="12">
        <v>110</v>
      </c>
      <c r="E168" s="45" t="s">
        <v>9</v>
      </c>
      <c r="F168" s="12">
        <v>0.09</v>
      </c>
      <c r="G168" s="49">
        <v>20.95</v>
      </c>
      <c r="H168" s="59">
        <v>7.3269999999999991</v>
      </c>
      <c r="I168" s="40"/>
      <c r="J168" s="8">
        <f t="shared" si="22"/>
        <v>0</v>
      </c>
      <c r="M168" s="76" t="str">
        <f t="shared" si="17"/>
        <v>-</v>
      </c>
      <c r="N168" s="76" t="str">
        <f t="shared" si="18"/>
        <v>-</v>
      </c>
      <c r="O168" s="77" t="str">
        <f t="shared" si="19"/>
        <v>-</v>
      </c>
      <c r="P168" s="78" t="str">
        <f t="shared" si="20"/>
        <v>-</v>
      </c>
      <c r="R168" s="78" t="str">
        <f t="shared" si="21"/>
        <v>-</v>
      </c>
    </row>
    <row r="169" spans="1:18" ht="14.4" x14ac:dyDescent="0.3">
      <c r="A169" s="5">
        <v>856645008532</v>
      </c>
      <c r="B169" s="15" t="s">
        <v>333</v>
      </c>
      <c r="C169" s="18" t="s">
        <v>334</v>
      </c>
      <c r="D169" s="12">
        <v>144</v>
      </c>
      <c r="E169" s="45" t="s">
        <v>9</v>
      </c>
      <c r="F169" s="12">
        <v>0.09</v>
      </c>
      <c r="G169" s="49">
        <v>19.95</v>
      </c>
      <c r="H169" s="59">
        <v>7.3440000000000003</v>
      </c>
      <c r="I169" s="40"/>
      <c r="J169" s="8">
        <f t="shared" si="22"/>
        <v>0</v>
      </c>
      <c r="M169" s="76" t="str">
        <f t="shared" si="17"/>
        <v>-</v>
      </c>
      <c r="N169" s="76" t="str">
        <f t="shared" si="18"/>
        <v>-</v>
      </c>
      <c r="O169" s="77" t="str">
        <f t="shared" si="19"/>
        <v>-</v>
      </c>
      <c r="P169" s="78" t="str">
        <f t="shared" si="20"/>
        <v>-</v>
      </c>
      <c r="R169" s="78" t="str">
        <f t="shared" si="21"/>
        <v>-</v>
      </c>
    </row>
    <row r="170" spans="1:18" ht="14.4" x14ac:dyDescent="0.3">
      <c r="A170" s="5">
        <v>850018471695</v>
      </c>
      <c r="B170" s="15" t="s">
        <v>335</v>
      </c>
      <c r="C170" s="18" t="s">
        <v>336</v>
      </c>
      <c r="D170" s="12">
        <v>38</v>
      </c>
      <c r="E170" s="45" t="s">
        <v>9</v>
      </c>
      <c r="F170" s="12">
        <v>0.09</v>
      </c>
      <c r="G170" s="49">
        <v>21.95</v>
      </c>
      <c r="H170" s="59">
        <v>7.4629999999999992</v>
      </c>
      <c r="I170" s="40"/>
      <c r="J170" s="8">
        <f t="shared" si="22"/>
        <v>0</v>
      </c>
      <c r="M170" s="76" t="str">
        <f t="shared" si="17"/>
        <v>-</v>
      </c>
      <c r="N170" s="76" t="str">
        <f t="shared" si="18"/>
        <v>-</v>
      </c>
      <c r="O170" s="77" t="str">
        <f t="shared" si="19"/>
        <v>-</v>
      </c>
      <c r="P170" s="78" t="str">
        <f t="shared" si="20"/>
        <v>-</v>
      </c>
      <c r="R170" s="78" t="str">
        <f t="shared" si="21"/>
        <v>-</v>
      </c>
    </row>
    <row r="171" spans="1:18" ht="14.4" x14ac:dyDescent="0.3">
      <c r="A171" s="5">
        <v>856645008549</v>
      </c>
      <c r="B171" s="15" t="s">
        <v>337</v>
      </c>
      <c r="C171" s="18" t="s">
        <v>338</v>
      </c>
      <c r="D171" s="12">
        <v>37</v>
      </c>
      <c r="E171" s="45" t="s">
        <v>9</v>
      </c>
      <c r="F171" s="12">
        <v>0.1</v>
      </c>
      <c r="G171" s="49">
        <v>29.95</v>
      </c>
      <c r="H171" s="59">
        <v>10.183</v>
      </c>
      <c r="I171" s="40"/>
      <c r="J171" s="8">
        <f t="shared" si="22"/>
        <v>0</v>
      </c>
      <c r="M171" s="76" t="str">
        <f t="shared" si="17"/>
        <v>-</v>
      </c>
      <c r="N171" s="76" t="str">
        <f t="shared" si="18"/>
        <v>-</v>
      </c>
      <c r="O171" s="77" t="str">
        <f t="shared" si="19"/>
        <v>-</v>
      </c>
      <c r="P171" s="78" t="str">
        <f t="shared" si="20"/>
        <v>-</v>
      </c>
      <c r="R171" s="78" t="str">
        <f t="shared" si="21"/>
        <v>-</v>
      </c>
    </row>
    <row r="172" spans="1:18" ht="14.4" x14ac:dyDescent="0.3">
      <c r="A172" s="5">
        <v>850018471701</v>
      </c>
      <c r="B172" s="15" t="s">
        <v>339</v>
      </c>
      <c r="C172" s="18" t="s">
        <v>340</v>
      </c>
      <c r="D172" s="12">
        <v>108</v>
      </c>
      <c r="E172" s="45" t="s">
        <v>9</v>
      </c>
      <c r="F172" s="12">
        <v>0.09</v>
      </c>
      <c r="G172" s="49">
        <v>20.95</v>
      </c>
      <c r="H172" s="59">
        <v>7.1230000000000002</v>
      </c>
      <c r="I172" s="40"/>
      <c r="J172" s="8">
        <f t="shared" si="22"/>
        <v>0</v>
      </c>
      <c r="M172" s="76" t="str">
        <f t="shared" si="17"/>
        <v>-</v>
      </c>
      <c r="N172" s="76" t="str">
        <f t="shared" si="18"/>
        <v>-</v>
      </c>
      <c r="O172" s="77" t="str">
        <f t="shared" si="19"/>
        <v>-</v>
      </c>
      <c r="P172" s="78" t="str">
        <f t="shared" si="20"/>
        <v>-</v>
      </c>
      <c r="R172" s="78" t="str">
        <f t="shared" si="21"/>
        <v>-</v>
      </c>
    </row>
    <row r="173" spans="1:18" ht="14.4" x14ac:dyDescent="0.3">
      <c r="A173" s="5">
        <v>810104620512</v>
      </c>
      <c r="B173" s="15" t="s">
        <v>341</v>
      </c>
      <c r="C173" s="18" t="s">
        <v>342</v>
      </c>
      <c r="D173" s="12">
        <v>141</v>
      </c>
      <c r="E173" s="45" t="s">
        <v>9</v>
      </c>
      <c r="F173" s="12">
        <v>0.09</v>
      </c>
      <c r="G173" s="49">
        <v>22.95</v>
      </c>
      <c r="H173" s="59">
        <v>7.8029999999999999</v>
      </c>
      <c r="I173" s="40"/>
      <c r="J173" s="8">
        <f t="shared" si="22"/>
        <v>0</v>
      </c>
      <c r="M173" s="76" t="str">
        <f t="shared" si="17"/>
        <v>-</v>
      </c>
      <c r="N173" s="76" t="str">
        <f t="shared" si="18"/>
        <v>-</v>
      </c>
      <c r="O173" s="77" t="str">
        <f t="shared" si="19"/>
        <v>-</v>
      </c>
      <c r="P173" s="78" t="str">
        <f t="shared" si="20"/>
        <v>-</v>
      </c>
      <c r="R173" s="78" t="str">
        <f t="shared" si="21"/>
        <v>-</v>
      </c>
    </row>
    <row r="174" spans="1:18" ht="14.4" x14ac:dyDescent="0.3">
      <c r="A174" s="5">
        <v>850018471718</v>
      </c>
      <c r="B174" s="15" t="s">
        <v>343</v>
      </c>
      <c r="C174" s="18" t="s">
        <v>344</v>
      </c>
      <c r="D174" s="12">
        <v>101</v>
      </c>
      <c r="E174" s="45" t="s">
        <v>9</v>
      </c>
      <c r="F174" s="12">
        <v>0.09</v>
      </c>
      <c r="G174" s="49">
        <v>18.95</v>
      </c>
      <c r="H174" s="59">
        <v>9.8089999999999993</v>
      </c>
      <c r="I174" s="40"/>
      <c r="J174" s="8">
        <f t="shared" si="22"/>
        <v>0</v>
      </c>
      <c r="M174" s="76" t="str">
        <f t="shared" si="17"/>
        <v>-</v>
      </c>
      <c r="N174" s="76" t="str">
        <f t="shared" si="18"/>
        <v>-</v>
      </c>
      <c r="O174" s="77" t="str">
        <f t="shared" si="19"/>
        <v>-</v>
      </c>
      <c r="P174" s="78" t="str">
        <f t="shared" si="20"/>
        <v>-</v>
      </c>
      <c r="R174" s="78" t="str">
        <f t="shared" si="21"/>
        <v>-</v>
      </c>
    </row>
    <row r="175" spans="1:18" ht="14.4" x14ac:dyDescent="0.3">
      <c r="A175" s="5">
        <v>850018471725</v>
      </c>
      <c r="B175" s="15" t="s">
        <v>345</v>
      </c>
      <c r="C175" s="18" t="s">
        <v>346</v>
      </c>
      <c r="D175" s="12">
        <v>25</v>
      </c>
      <c r="E175" s="45" t="s">
        <v>9</v>
      </c>
      <c r="F175" s="12">
        <v>7.0000000000000007E-2</v>
      </c>
      <c r="G175" s="49">
        <v>26.95</v>
      </c>
      <c r="H175" s="59">
        <v>9.1629999999999985</v>
      </c>
      <c r="I175" s="40"/>
      <c r="J175" s="8">
        <f t="shared" si="22"/>
        <v>0</v>
      </c>
      <c r="M175" s="76" t="str">
        <f t="shared" si="17"/>
        <v>-</v>
      </c>
      <c r="N175" s="76" t="str">
        <f t="shared" si="18"/>
        <v>-</v>
      </c>
      <c r="O175" s="77" t="str">
        <f t="shared" si="19"/>
        <v>-</v>
      </c>
      <c r="P175" s="78" t="str">
        <f t="shared" si="20"/>
        <v>-</v>
      </c>
      <c r="R175" s="78" t="str">
        <f t="shared" si="21"/>
        <v>-</v>
      </c>
    </row>
    <row r="176" spans="1:18" ht="14.4" x14ac:dyDescent="0.3">
      <c r="A176" s="5">
        <v>856645008471</v>
      </c>
      <c r="B176" s="15" t="s">
        <v>347</v>
      </c>
      <c r="C176" s="18" t="s">
        <v>348</v>
      </c>
      <c r="D176" s="12">
        <v>66</v>
      </c>
      <c r="E176" s="45" t="s">
        <v>9</v>
      </c>
      <c r="F176" s="12">
        <v>0.1</v>
      </c>
      <c r="G176" s="49">
        <v>24.95</v>
      </c>
      <c r="H176" s="59">
        <v>8.4830000000000005</v>
      </c>
      <c r="I176" s="40"/>
      <c r="J176" s="8">
        <f t="shared" si="22"/>
        <v>0</v>
      </c>
      <c r="M176" s="76" t="str">
        <f t="shared" si="17"/>
        <v>-</v>
      </c>
      <c r="N176" s="76" t="str">
        <f t="shared" si="18"/>
        <v>-</v>
      </c>
      <c r="O176" s="77" t="str">
        <f t="shared" si="19"/>
        <v>-</v>
      </c>
      <c r="P176" s="78" t="str">
        <f t="shared" si="20"/>
        <v>-</v>
      </c>
      <c r="R176" s="78" t="str">
        <f t="shared" si="21"/>
        <v>-</v>
      </c>
    </row>
    <row r="177" spans="1:18" ht="14.4" x14ac:dyDescent="0.3">
      <c r="A177" s="5">
        <v>850029392026</v>
      </c>
      <c r="B177" s="15" t="s">
        <v>349</v>
      </c>
      <c r="C177" s="18" t="s">
        <v>350</v>
      </c>
      <c r="D177" s="12">
        <v>30</v>
      </c>
      <c r="E177" s="45" t="s">
        <v>9</v>
      </c>
      <c r="F177" s="12">
        <v>0.09</v>
      </c>
      <c r="G177" s="49">
        <v>24.95</v>
      </c>
      <c r="H177" s="59">
        <v>8.4830000000000005</v>
      </c>
      <c r="I177" s="40"/>
      <c r="J177" s="8">
        <f t="shared" si="22"/>
        <v>0</v>
      </c>
      <c r="M177" s="76" t="str">
        <f t="shared" si="17"/>
        <v>-</v>
      </c>
      <c r="N177" s="76" t="str">
        <f t="shared" si="18"/>
        <v>-</v>
      </c>
      <c r="O177" s="77" t="str">
        <f t="shared" si="19"/>
        <v>-</v>
      </c>
      <c r="P177" s="78" t="str">
        <f t="shared" si="20"/>
        <v>-</v>
      </c>
      <c r="R177" s="78" t="str">
        <f t="shared" si="21"/>
        <v>-</v>
      </c>
    </row>
    <row r="178" spans="1:18" ht="14.4" x14ac:dyDescent="0.3">
      <c r="A178" s="5">
        <v>856645008556</v>
      </c>
      <c r="B178" s="15" t="s">
        <v>351</v>
      </c>
      <c r="C178" s="18" t="s">
        <v>352</v>
      </c>
      <c r="D178" s="12">
        <v>220</v>
      </c>
      <c r="E178" s="45" t="s">
        <v>9</v>
      </c>
      <c r="F178" s="12">
        <v>0</v>
      </c>
      <c r="G178" s="49">
        <v>21.95</v>
      </c>
      <c r="H178" s="59">
        <v>7.4629999999999992</v>
      </c>
      <c r="I178" s="40"/>
      <c r="J178" s="8">
        <f t="shared" si="22"/>
        <v>0</v>
      </c>
      <c r="M178" s="76" t="str">
        <f t="shared" si="17"/>
        <v>-</v>
      </c>
      <c r="N178" s="76" t="str">
        <f t="shared" si="18"/>
        <v>-</v>
      </c>
      <c r="O178" s="77" t="str">
        <f t="shared" si="19"/>
        <v>-</v>
      </c>
      <c r="P178" s="78" t="str">
        <f t="shared" si="20"/>
        <v>-</v>
      </c>
      <c r="R178" s="78" t="str">
        <f t="shared" si="21"/>
        <v>-</v>
      </c>
    </row>
    <row r="179" spans="1:18" ht="14.4" x14ac:dyDescent="0.3">
      <c r="A179" s="5">
        <v>850018471732</v>
      </c>
      <c r="B179" s="15" t="s">
        <v>353</v>
      </c>
      <c r="C179" s="18" t="s">
        <v>354</v>
      </c>
      <c r="D179" s="12">
        <v>59</v>
      </c>
      <c r="E179" s="45" t="s">
        <v>9</v>
      </c>
      <c r="F179" s="12">
        <v>0.09</v>
      </c>
      <c r="G179" s="49">
        <v>26.95</v>
      </c>
      <c r="H179" s="59">
        <v>9.1629999999999985</v>
      </c>
      <c r="I179" s="40"/>
      <c r="J179" s="8">
        <f t="shared" si="22"/>
        <v>0</v>
      </c>
      <c r="M179" s="76" t="str">
        <f t="shared" si="17"/>
        <v>-</v>
      </c>
      <c r="N179" s="76" t="str">
        <f t="shared" si="18"/>
        <v>-</v>
      </c>
      <c r="O179" s="77" t="str">
        <f t="shared" si="19"/>
        <v>-</v>
      </c>
      <c r="P179" s="78" t="str">
        <f t="shared" si="20"/>
        <v>-</v>
      </c>
      <c r="R179" s="78" t="str">
        <f t="shared" si="21"/>
        <v>-</v>
      </c>
    </row>
    <row r="180" spans="1:18" ht="14.4" x14ac:dyDescent="0.3">
      <c r="A180" s="5">
        <v>810104621014</v>
      </c>
      <c r="B180" s="15" t="s">
        <v>355</v>
      </c>
      <c r="C180" s="18" t="s">
        <v>356</v>
      </c>
      <c r="D180" s="12">
        <v>83</v>
      </c>
      <c r="E180" s="45" t="s">
        <v>9</v>
      </c>
      <c r="F180" s="12">
        <v>0.09</v>
      </c>
      <c r="G180" s="49">
        <v>24.95</v>
      </c>
      <c r="H180" s="59">
        <v>8.4830000000000005</v>
      </c>
      <c r="I180" s="40"/>
      <c r="J180" s="8">
        <f t="shared" si="22"/>
        <v>0</v>
      </c>
      <c r="M180" s="76" t="str">
        <f t="shared" si="17"/>
        <v>-</v>
      </c>
      <c r="N180" s="76" t="str">
        <f t="shared" si="18"/>
        <v>-</v>
      </c>
      <c r="O180" s="77" t="str">
        <f t="shared" si="19"/>
        <v>-</v>
      </c>
      <c r="P180" s="78" t="str">
        <f t="shared" si="20"/>
        <v>-</v>
      </c>
      <c r="R180" s="78" t="str">
        <f t="shared" si="21"/>
        <v>-</v>
      </c>
    </row>
    <row r="181" spans="1:18" ht="14.4" x14ac:dyDescent="0.3">
      <c r="A181" s="5">
        <v>850018471749</v>
      </c>
      <c r="B181" s="15" t="s">
        <v>357</v>
      </c>
      <c r="C181" s="18" t="s">
        <v>358</v>
      </c>
      <c r="D181" s="12">
        <v>149</v>
      </c>
      <c r="E181" s="45" t="s">
        <v>9</v>
      </c>
      <c r="F181" s="12">
        <v>0</v>
      </c>
      <c r="G181" s="49">
        <v>19.95</v>
      </c>
      <c r="H181" s="59">
        <v>7.5650000000000004</v>
      </c>
      <c r="I181" s="40"/>
      <c r="J181" s="8">
        <f t="shared" si="22"/>
        <v>0</v>
      </c>
      <c r="M181" s="76" t="str">
        <f t="shared" si="17"/>
        <v>-</v>
      </c>
      <c r="N181" s="76" t="str">
        <f t="shared" si="18"/>
        <v>-</v>
      </c>
      <c r="O181" s="77" t="str">
        <f t="shared" si="19"/>
        <v>-</v>
      </c>
      <c r="P181" s="78" t="str">
        <f t="shared" si="20"/>
        <v>-</v>
      </c>
      <c r="R181" s="78" t="str">
        <f t="shared" si="21"/>
        <v>-</v>
      </c>
    </row>
    <row r="182" spans="1:18" ht="14.4" x14ac:dyDescent="0.3">
      <c r="A182" s="5">
        <v>810104620536</v>
      </c>
      <c r="B182" s="15" t="s">
        <v>359</v>
      </c>
      <c r="C182" s="18" t="s">
        <v>360</v>
      </c>
      <c r="D182" s="12">
        <v>155</v>
      </c>
      <c r="E182" s="45" t="s">
        <v>9</v>
      </c>
      <c r="F182" s="12">
        <v>0.09</v>
      </c>
      <c r="G182" s="49">
        <v>24.95</v>
      </c>
      <c r="H182" s="59">
        <v>8.4830000000000005</v>
      </c>
      <c r="I182" s="40"/>
      <c r="J182" s="8">
        <f t="shared" si="22"/>
        <v>0</v>
      </c>
      <c r="M182" s="76" t="str">
        <f t="shared" si="17"/>
        <v>-</v>
      </c>
      <c r="N182" s="76" t="str">
        <f t="shared" si="18"/>
        <v>-</v>
      </c>
      <c r="O182" s="77" t="str">
        <f t="shared" si="19"/>
        <v>-</v>
      </c>
      <c r="P182" s="78" t="str">
        <f t="shared" si="20"/>
        <v>-</v>
      </c>
      <c r="R182" s="78" t="str">
        <f t="shared" si="21"/>
        <v>-</v>
      </c>
    </row>
    <row r="183" spans="1:18" ht="14.4" x14ac:dyDescent="0.3">
      <c r="A183" s="5">
        <v>850018471756</v>
      </c>
      <c r="B183" s="15" t="s">
        <v>361</v>
      </c>
      <c r="C183" s="18" t="s">
        <v>362</v>
      </c>
      <c r="D183" s="12">
        <v>74</v>
      </c>
      <c r="E183" s="45" t="s">
        <v>9</v>
      </c>
      <c r="F183" s="12">
        <v>0.09</v>
      </c>
      <c r="G183" s="49">
        <v>23.95</v>
      </c>
      <c r="H183" s="59">
        <v>8.1430000000000007</v>
      </c>
      <c r="I183" s="40"/>
      <c r="J183" s="8">
        <f t="shared" si="22"/>
        <v>0</v>
      </c>
      <c r="M183" s="76" t="str">
        <f t="shared" si="17"/>
        <v>-</v>
      </c>
      <c r="N183" s="76" t="str">
        <f t="shared" si="18"/>
        <v>-</v>
      </c>
      <c r="O183" s="77" t="str">
        <f t="shared" si="19"/>
        <v>-</v>
      </c>
      <c r="P183" s="78" t="str">
        <f t="shared" si="20"/>
        <v>-</v>
      </c>
      <c r="R183" s="78" t="str">
        <f t="shared" si="21"/>
        <v>-</v>
      </c>
    </row>
    <row r="184" spans="1:18" ht="14.4" x14ac:dyDescent="0.3">
      <c r="A184" s="5">
        <v>850018471763</v>
      </c>
      <c r="B184" s="15" t="s">
        <v>363</v>
      </c>
      <c r="C184" s="18" t="s">
        <v>364</v>
      </c>
      <c r="D184" s="12">
        <v>112</v>
      </c>
      <c r="E184" s="45" t="s">
        <v>9</v>
      </c>
      <c r="F184" s="12">
        <v>0.09</v>
      </c>
      <c r="G184" s="49">
        <v>19.95</v>
      </c>
      <c r="H184" s="59">
        <v>6.851</v>
      </c>
      <c r="I184" s="40"/>
      <c r="J184" s="8">
        <f t="shared" si="22"/>
        <v>0</v>
      </c>
      <c r="M184" s="76" t="str">
        <f t="shared" si="17"/>
        <v>-</v>
      </c>
      <c r="N184" s="76" t="str">
        <f t="shared" si="18"/>
        <v>-</v>
      </c>
      <c r="O184" s="77" t="str">
        <f t="shared" si="19"/>
        <v>-</v>
      </c>
      <c r="P184" s="78" t="str">
        <f t="shared" si="20"/>
        <v>-</v>
      </c>
      <c r="R184" s="78" t="str">
        <f t="shared" si="21"/>
        <v>-</v>
      </c>
    </row>
    <row r="185" spans="1:18" ht="14.4" x14ac:dyDescent="0.3">
      <c r="A185" s="5">
        <v>850018471770</v>
      </c>
      <c r="B185" s="15" t="s">
        <v>365</v>
      </c>
      <c r="C185" s="18" t="s">
        <v>366</v>
      </c>
      <c r="D185" s="12">
        <v>100</v>
      </c>
      <c r="E185" s="45" t="s">
        <v>9</v>
      </c>
      <c r="F185" s="12">
        <v>0.09</v>
      </c>
      <c r="G185" s="49">
        <v>23.95</v>
      </c>
      <c r="H185" s="59">
        <v>9.0440000000000005</v>
      </c>
      <c r="I185" s="40"/>
      <c r="J185" s="8">
        <f t="shared" si="22"/>
        <v>0</v>
      </c>
      <c r="M185" s="76" t="str">
        <f t="shared" si="17"/>
        <v>-</v>
      </c>
      <c r="N185" s="76" t="str">
        <f t="shared" si="18"/>
        <v>-</v>
      </c>
      <c r="O185" s="77" t="str">
        <f t="shared" si="19"/>
        <v>-</v>
      </c>
      <c r="P185" s="78" t="str">
        <f t="shared" si="20"/>
        <v>-</v>
      </c>
      <c r="R185" s="78" t="str">
        <f t="shared" si="21"/>
        <v>-</v>
      </c>
    </row>
    <row r="186" spans="1:18" ht="14.4" x14ac:dyDescent="0.3">
      <c r="A186" s="5">
        <v>850036700753</v>
      </c>
      <c r="B186" s="15" t="s">
        <v>367</v>
      </c>
      <c r="C186" s="18" t="s">
        <v>368</v>
      </c>
      <c r="D186" s="12">
        <v>107</v>
      </c>
      <c r="E186" s="45" t="s">
        <v>9</v>
      </c>
      <c r="F186" s="12">
        <v>0.09</v>
      </c>
      <c r="G186" s="49">
        <v>21.95</v>
      </c>
      <c r="H186" s="59">
        <v>7.5309999999999997</v>
      </c>
      <c r="I186" s="40"/>
      <c r="J186" s="8">
        <f t="shared" si="22"/>
        <v>0</v>
      </c>
      <c r="M186" s="76" t="str">
        <f t="shared" si="17"/>
        <v>-</v>
      </c>
      <c r="N186" s="76" t="str">
        <f t="shared" si="18"/>
        <v>-</v>
      </c>
      <c r="O186" s="77" t="str">
        <f t="shared" si="19"/>
        <v>-</v>
      </c>
      <c r="P186" s="78" t="str">
        <f t="shared" si="20"/>
        <v>-</v>
      </c>
      <c r="R186" s="78" t="str">
        <f t="shared" si="21"/>
        <v>-</v>
      </c>
    </row>
    <row r="187" spans="1:18" ht="14.4" x14ac:dyDescent="0.3">
      <c r="A187" s="5">
        <v>850036700760</v>
      </c>
      <c r="B187" s="15" t="s">
        <v>369</v>
      </c>
      <c r="C187" s="18" t="s">
        <v>370</v>
      </c>
      <c r="D187" s="12">
        <v>85</v>
      </c>
      <c r="E187" s="45" t="s">
        <v>9</v>
      </c>
      <c r="F187" s="12">
        <v>0.14000000000000001</v>
      </c>
      <c r="G187" s="49">
        <v>21.95</v>
      </c>
      <c r="H187" s="59">
        <v>8.3979999999999997</v>
      </c>
      <c r="I187" s="40"/>
      <c r="J187" s="8">
        <f t="shared" si="22"/>
        <v>0</v>
      </c>
      <c r="M187" s="76" t="str">
        <f t="shared" si="17"/>
        <v>-</v>
      </c>
      <c r="N187" s="76" t="str">
        <f t="shared" si="18"/>
        <v>-</v>
      </c>
      <c r="O187" s="77" t="str">
        <f t="shared" si="19"/>
        <v>-</v>
      </c>
      <c r="P187" s="78" t="str">
        <f t="shared" si="20"/>
        <v>-</v>
      </c>
      <c r="R187" s="78" t="str">
        <f t="shared" si="21"/>
        <v>-</v>
      </c>
    </row>
    <row r="188" spans="1:18" ht="15" thickBot="1" x14ac:dyDescent="0.35">
      <c r="A188" s="31">
        <v>810104620673</v>
      </c>
      <c r="B188" s="32" t="s">
        <v>371</v>
      </c>
      <c r="C188" s="33" t="s">
        <v>372</v>
      </c>
      <c r="D188" s="34">
        <v>211</v>
      </c>
      <c r="E188" s="46" t="s">
        <v>9</v>
      </c>
      <c r="F188" s="34">
        <v>0</v>
      </c>
      <c r="G188" s="49">
        <v>14.95</v>
      </c>
      <c r="H188" s="59">
        <v>7.6839999999999993</v>
      </c>
      <c r="I188" s="41"/>
      <c r="J188" s="35">
        <f t="shared" si="22"/>
        <v>0</v>
      </c>
      <c r="M188" s="76" t="str">
        <f t="shared" si="17"/>
        <v>-</v>
      </c>
      <c r="N188" s="76" t="str">
        <f t="shared" si="18"/>
        <v>-</v>
      </c>
      <c r="O188" s="77" t="str">
        <f t="shared" si="19"/>
        <v>-</v>
      </c>
      <c r="P188" s="78" t="str">
        <f t="shared" si="20"/>
        <v>-</v>
      </c>
      <c r="R188" s="78" t="str">
        <f t="shared" si="21"/>
        <v>-</v>
      </c>
    </row>
    <row r="189" spans="1:18" ht="15" thickBot="1" x14ac:dyDescent="0.35">
      <c r="A189" s="25"/>
      <c r="B189" s="26"/>
      <c r="C189" s="27" t="s">
        <v>373</v>
      </c>
      <c r="D189" s="28"/>
      <c r="E189" s="26"/>
      <c r="F189" s="28"/>
      <c r="G189" s="28"/>
      <c r="H189" s="60"/>
      <c r="I189" s="38"/>
      <c r="J189" s="30"/>
      <c r="M189" s="76" t="str">
        <f t="shared" si="17"/>
        <v>-</v>
      </c>
      <c r="N189" s="76" t="str">
        <f t="shared" si="18"/>
        <v>-</v>
      </c>
      <c r="O189" s="77" t="str">
        <f t="shared" si="19"/>
        <v>-</v>
      </c>
      <c r="P189" s="78" t="str">
        <f t="shared" si="20"/>
        <v>-</v>
      </c>
      <c r="R189" s="78" t="str">
        <f t="shared" si="21"/>
        <v>-</v>
      </c>
    </row>
    <row r="190" spans="1:18" ht="14.4" x14ac:dyDescent="0.3">
      <c r="A190" s="20">
        <v>856645008259</v>
      </c>
      <c r="B190" s="21" t="s">
        <v>374</v>
      </c>
      <c r="C190" s="22" t="s">
        <v>375</v>
      </c>
      <c r="D190" s="23">
        <v>219</v>
      </c>
      <c r="E190" s="44" t="s">
        <v>9</v>
      </c>
      <c r="F190" s="23">
        <v>0</v>
      </c>
      <c r="G190" s="49">
        <v>22.95</v>
      </c>
      <c r="H190" s="59">
        <v>11.984999999999999</v>
      </c>
      <c r="I190" s="39"/>
      <c r="J190" s="24">
        <f t="shared" ref="J190:J195" si="23">I190*H190</f>
        <v>0</v>
      </c>
      <c r="M190" s="76" t="str">
        <f t="shared" si="17"/>
        <v>-</v>
      </c>
      <c r="N190" s="76" t="str">
        <f t="shared" si="18"/>
        <v>-</v>
      </c>
      <c r="O190" s="77" t="str">
        <f t="shared" si="19"/>
        <v>-</v>
      </c>
      <c r="P190" s="78" t="str">
        <f t="shared" si="20"/>
        <v>-</v>
      </c>
      <c r="R190" s="78" t="str">
        <f t="shared" si="21"/>
        <v>-</v>
      </c>
    </row>
    <row r="191" spans="1:18" ht="14.4" x14ac:dyDescent="0.3">
      <c r="A191" s="5">
        <v>850029392002</v>
      </c>
      <c r="B191" s="15" t="s">
        <v>376</v>
      </c>
      <c r="C191" s="18" t="s">
        <v>377</v>
      </c>
      <c r="D191" s="12">
        <v>53</v>
      </c>
      <c r="E191" s="45" t="s">
        <v>9</v>
      </c>
      <c r="F191" s="12">
        <v>0.14000000000000001</v>
      </c>
      <c r="G191" s="49">
        <v>24.95</v>
      </c>
      <c r="H191" s="59">
        <v>20.366</v>
      </c>
      <c r="I191" s="40"/>
      <c r="J191" s="8">
        <f t="shared" si="23"/>
        <v>0</v>
      </c>
      <c r="M191" s="76" t="str">
        <f t="shared" si="17"/>
        <v>-</v>
      </c>
      <c r="N191" s="76" t="str">
        <f t="shared" si="18"/>
        <v>-</v>
      </c>
      <c r="O191" s="77" t="str">
        <f t="shared" si="19"/>
        <v>-</v>
      </c>
      <c r="P191" s="78" t="str">
        <f t="shared" si="20"/>
        <v>-</v>
      </c>
      <c r="R191" s="78" t="str">
        <f t="shared" si="21"/>
        <v>-</v>
      </c>
    </row>
    <row r="192" spans="1:18" ht="14.4" x14ac:dyDescent="0.3">
      <c r="A192" s="5">
        <v>850036700135</v>
      </c>
      <c r="B192" s="15" t="s">
        <v>378</v>
      </c>
      <c r="C192" s="18" t="s">
        <v>379</v>
      </c>
      <c r="D192" s="12">
        <v>150</v>
      </c>
      <c r="E192" s="45" t="s">
        <v>9</v>
      </c>
      <c r="F192" s="12">
        <v>0.14000000000000001</v>
      </c>
      <c r="G192" s="49">
        <v>19.95</v>
      </c>
      <c r="H192" s="59">
        <v>10.387</v>
      </c>
      <c r="I192" s="40"/>
      <c r="J192" s="8">
        <f t="shared" si="23"/>
        <v>0</v>
      </c>
      <c r="M192" s="76" t="str">
        <f t="shared" si="17"/>
        <v>-</v>
      </c>
      <c r="N192" s="76" t="str">
        <f t="shared" si="18"/>
        <v>-</v>
      </c>
      <c r="O192" s="77" t="str">
        <f t="shared" si="19"/>
        <v>-</v>
      </c>
      <c r="P192" s="78" t="str">
        <f t="shared" si="20"/>
        <v>-</v>
      </c>
      <c r="R192" s="78" t="str">
        <f t="shared" si="21"/>
        <v>-</v>
      </c>
    </row>
    <row r="193" spans="1:18" ht="14.4" x14ac:dyDescent="0.3">
      <c r="A193" s="5">
        <v>850029392453</v>
      </c>
      <c r="B193" s="15" t="s">
        <v>380</v>
      </c>
      <c r="C193" s="18" t="s">
        <v>381</v>
      </c>
      <c r="D193" s="12">
        <v>138</v>
      </c>
      <c r="E193" s="45" t="s">
        <v>9</v>
      </c>
      <c r="F193" s="12">
        <v>0.15</v>
      </c>
      <c r="G193" s="49">
        <v>26.95</v>
      </c>
      <c r="H193" s="59">
        <v>22.474</v>
      </c>
      <c r="I193" s="40"/>
      <c r="J193" s="8">
        <f t="shared" si="23"/>
        <v>0</v>
      </c>
      <c r="M193" s="76" t="str">
        <f t="shared" si="17"/>
        <v>-</v>
      </c>
      <c r="N193" s="76" t="str">
        <f t="shared" si="18"/>
        <v>-</v>
      </c>
      <c r="O193" s="77" t="str">
        <f t="shared" si="19"/>
        <v>-</v>
      </c>
      <c r="P193" s="78" t="str">
        <f t="shared" si="20"/>
        <v>-</v>
      </c>
      <c r="R193" s="78" t="str">
        <f t="shared" si="21"/>
        <v>-</v>
      </c>
    </row>
    <row r="194" spans="1:18" ht="14.4" x14ac:dyDescent="0.3">
      <c r="A194" s="5">
        <v>856645008273</v>
      </c>
      <c r="B194" s="15" t="s">
        <v>382</v>
      </c>
      <c r="C194" s="18" t="s">
        <v>383</v>
      </c>
      <c r="D194" s="12">
        <v>217</v>
      </c>
      <c r="E194" s="45" t="s">
        <v>9</v>
      </c>
      <c r="F194" s="12">
        <v>0</v>
      </c>
      <c r="G194" s="49">
        <v>21.95</v>
      </c>
      <c r="H194" s="59">
        <v>17.391000000000002</v>
      </c>
      <c r="I194" s="40"/>
      <c r="J194" s="8">
        <f t="shared" si="23"/>
        <v>0</v>
      </c>
      <c r="M194" s="76" t="str">
        <f t="shared" si="17"/>
        <v>-</v>
      </c>
      <c r="N194" s="76" t="str">
        <f t="shared" si="18"/>
        <v>-</v>
      </c>
      <c r="O194" s="77" t="str">
        <f t="shared" si="19"/>
        <v>-</v>
      </c>
      <c r="P194" s="78" t="str">
        <f t="shared" si="20"/>
        <v>-</v>
      </c>
      <c r="R194" s="78" t="str">
        <f t="shared" si="21"/>
        <v>-</v>
      </c>
    </row>
    <row r="195" spans="1:18" ht="15" thickBot="1" x14ac:dyDescent="0.35">
      <c r="A195" s="31">
        <v>856645008266</v>
      </c>
      <c r="B195" s="32" t="s">
        <v>384</v>
      </c>
      <c r="C195" s="33" t="s">
        <v>385</v>
      </c>
      <c r="D195" s="34">
        <v>207</v>
      </c>
      <c r="E195" s="46" t="s">
        <v>9</v>
      </c>
      <c r="F195" s="34">
        <v>0</v>
      </c>
      <c r="G195" s="49">
        <v>24.95</v>
      </c>
      <c r="H195" s="59">
        <v>15.691000000000001</v>
      </c>
      <c r="I195" s="41"/>
      <c r="J195" s="35">
        <f t="shared" si="23"/>
        <v>0</v>
      </c>
      <c r="M195" s="76" t="str">
        <f t="shared" si="17"/>
        <v>-</v>
      </c>
      <c r="N195" s="76" t="str">
        <f t="shared" si="18"/>
        <v>-</v>
      </c>
      <c r="O195" s="77" t="str">
        <f t="shared" si="19"/>
        <v>-</v>
      </c>
      <c r="P195" s="78" t="str">
        <f t="shared" si="20"/>
        <v>-</v>
      </c>
      <c r="R195" s="78" t="str">
        <f t="shared" si="21"/>
        <v>-</v>
      </c>
    </row>
    <row r="196" spans="1:18" ht="15" thickBot="1" x14ac:dyDescent="0.35">
      <c r="A196" s="25"/>
      <c r="B196" s="26"/>
      <c r="C196" s="27" t="s">
        <v>386</v>
      </c>
      <c r="D196" s="28"/>
      <c r="E196" s="26"/>
      <c r="F196" s="28"/>
      <c r="G196" s="28"/>
      <c r="H196" s="60"/>
      <c r="I196" s="38"/>
      <c r="J196" s="30"/>
      <c r="M196" s="76" t="str">
        <f t="shared" ref="M196:M259" si="24">IFERROR(IF($M$2*F196=0, "-", $M$2*F196), "-")</f>
        <v>-</v>
      </c>
      <c r="N196" s="76" t="str">
        <f t="shared" ref="N196:N259" si="25">IF(I196&gt;0,H196+F196*I196/$O$2*$P$2/I196,"-")</f>
        <v>-</v>
      </c>
      <c r="O196" s="77" t="str">
        <f t="shared" ref="O196:O259" si="26">IF(I196&gt;0,I196*F196*1.113, "-")</f>
        <v>-</v>
      </c>
      <c r="P196" s="78" t="str">
        <f t="shared" ref="P196:P259" si="27">IFERROR(IF($M$2&gt;0, $M$2*O196, "-"), "-")</f>
        <v>-</v>
      </c>
      <c r="R196" s="78" t="str">
        <f t="shared" ref="R196:R259" si="28">IFERROR(IF(P196+J196=0, "-", IF(P196&gt;0, P196+J196, "-")), "-")</f>
        <v>-</v>
      </c>
    </row>
    <row r="197" spans="1:18" ht="14.4" x14ac:dyDescent="0.3">
      <c r="A197" s="20">
        <v>810104622660</v>
      </c>
      <c r="B197" s="36" t="s">
        <v>387</v>
      </c>
      <c r="C197" s="22" t="s">
        <v>388</v>
      </c>
      <c r="D197" s="23">
        <v>119</v>
      </c>
      <c r="E197" s="44" t="s">
        <v>9</v>
      </c>
      <c r="F197" s="23">
        <v>0</v>
      </c>
      <c r="G197" s="49">
        <v>34.950000000000003</v>
      </c>
      <c r="H197" s="59">
        <v>19.141999999999999</v>
      </c>
      <c r="I197" s="39"/>
      <c r="J197" s="24">
        <f>I197*H197</f>
        <v>0</v>
      </c>
      <c r="M197" s="76" t="str">
        <f t="shared" si="24"/>
        <v>-</v>
      </c>
      <c r="N197" s="76" t="str">
        <f t="shared" si="25"/>
        <v>-</v>
      </c>
      <c r="O197" s="77" t="str">
        <f t="shared" si="26"/>
        <v>-</v>
      </c>
      <c r="P197" s="78" t="str">
        <f t="shared" si="27"/>
        <v>-</v>
      </c>
      <c r="R197" s="78" t="str">
        <f t="shared" si="28"/>
        <v>-</v>
      </c>
    </row>
    <row r="198" spans="1:18" ht="14.4" x14ac:dyDescent="0.3">
      <c r="A198" s="5">
        <v>810104621854</v>
      </c>
      <c r="B198" s="15" t="s">
        <v>389</v>
      </c>
      <c r="C198" s="18" t="s">
        <v>390</v>
      </c>
      <c r="D198" s="12">
        <v>161</v>
      </c>
      <c r="E198" s="45" t="s">
        <v>9</v>
      </c>
      <c r="F198" s="12">
        <v>0</v>
      </c>
      <c r="G198" s="49">
        <v>44.95</v>
      </c>
      <c r="H198" s="59">
        <v>17.527000000000001</v>
      </c>
      <c r="I198" s="40"/>
      <c r="J198" s="8">
        <f>I198*H198</f>
        <v>0</v>
      </c>
      <c r="M198" s="76" t="str">
        <f t="shared" si="24"/>
        <v>-</v>
      </c>
      <c r="N198" s="76" t="str">
        <f t="shared" si="25"/>
        <v>-</v>
      </c>
      <c r="O198" s="77" t="str">
        <f t="shared" si="26"/>
        <v>-</v>
      </c>
      <c r="P198" s="78" t="str">
        <f t="shared" si="27"/>
        <v>-</v>
      </c>
      <c r="R198" s="78" t="str">
        <f t="shared" si="28"/>
        <v>-</v>
      </c>
    </row>
    <row r="199" spans="1:18" ht="14.4" x14ac:dyDescent="0.3">
      <c r="A199" s="5">
        <v>810104621847</v>
      </c>
      <c r="B199" s="15" t="s">
        <v>391</v>
      </c>
      <c r="C199" s="18" t="s">
        <v>392</v>
      </c>
      <c r="D199" s="12">
        <v>159</v>
      </c>
      <c r="E199" s="45" t="s">
        <v>9</v>
      </c>
      <c r="F199" s="12">
        <v>0</v>
      </c>
      <c r="G199" s="49">
        <v>44.95</v>
      </c>
      <c r="H199" s="59">
        <v>17.527000000000001</v>
      </c>
      <c r="I199" s="40"/>
      <c r="J199" s="8">
        <f>I199*H199</f>
        <v>0</v>
      </c>
      <c r="M199" s="76" t="str">
        <f t="shared" si="24"/>
        <v>-</v>
      </c>
      <c r="N199" s="76" t="str">
        <f t="shared" si="25"/>
        <v>-</v>
      </c>
      <c r="O199" s="77" t="str">
        <f t="shared" si="26"/>
        <v>-</v>
      </c>
      <c r="P199" s="78" t="str">
        <f t="shared" si="27"/>
        <v>-</v>
      </c>
      <c r="R199" s="78" t="str">
        <f t="shared" si="28"/>
        <v>-</v>
      </c>
    </row>
    <row r="200" spans="1:18" ht="15" thickBot="1" x14ac:dyDescent="0.35">
      <c r="A200" s="6">
        <v>810104621830</v>
      </c>
      <c r="B200" s="16" t="s">
        <v>393</v>
      </c>
      <c r="C200" s="19" t="s">
        <v>394</v>
      </c>
      <c r="D200" s="13">
        <v>165</v>
      </c>
      <c r="E200" s="47" t="s">
        <v>9</v>
      </c>
      <c r="F200" s="13">
        <v>0</v>
      </c>
      <c r="G200" s="50">
        <v>44.95</v>
      </c>
      <c r="H200" s="59">
        <v>17.527000000000001</v>
      </c>
      <c r="I200" s="42"/>
      <c r="J200" s="9">
        <f>I200*H200</f>
        <v>0</v>
      </c>
      <c r="M200" s="76" t="str">
        <f t="shared" si="24"/>
        <v>-</v>
      </c>
      <c r="N200" s="76" t="str">
        <f t="shared" si="25"/>
        <v>-</v>
      </c>
      <c r="O200" s="77" t="str">
        <f t="shared" si="26"/>
        <v>-</v>
      </c>
      <c r="P200" s="78" t="str">
        <f t="shared" si="27"/>
        <v>-</v>
      </c>
      <c r="R200" s="78" t="str">
        <f t="shared" si="28"/>
        <v>-</v>
      </c>
    </row>
    <row r="201" spans="1:18" ht="15.75" customHeight="1" thickBot="1" x14ac:dyDescent="0.35">
      <c r="A201" s="25"/>
      <c r="B201" s="26"/>
      <c r="C201" s="27"/>
      <c r="D201" s="28"/>
      <c r="E201" s="26"/>
      <c r="F201" s="28"/>
      <c r="G201" s="28"/>
      <c r="H201" s="60"/>
      <c r="I201" s="38"/>
      <c r="J201" s="30"/>
      <c r="M201" s="76" t="str">
        <f t="shared" si="24"/>
        <v>-</v>
      </c>
      <c r="N201" s="76" t="str">
        <f t="shared" si="25"/>
        <v>-</v>
      </c>
      <c r="O201" s="77" t="str">
        <f t="shared" si="26"/>
        <v>-</v>
      </c>
      <c r="P201" s="78" t="str">
        <f t="shared" si="27"/>
        <v>-</v>
      </c>
      <c r="R201" s="78" t="str">
        <f t="shared" si="28"/>
        <v>-</v>
      </c>
    </row>
    <row r="202" spans="1:18" ht="14.4" x14ac:dyDescent="0.3">
      <c r="A202" s="5">
        <v>810104622851</v>
      </c>
      <c r="B202" s="15" t="s">
        <v>398</v>
      </c>
      <c r="C202" s="18" t="s">
        <v>399</v>
      </c>
      <c r="D202" s="12">
        <v>4</v>
      </c>
      <c r="E202" s="45" t="s">
        <v>9</v>
      </c>
      <c r="F202" s="12">
        <v>0.53</v>
      </c>
      <c r="G202" s="49">
        <v>39.950000000000003</v>
      </c>
      <c r="H202" s="59">
        <v>14.28</v>
      </c>
      <c r="I202" s="40"/>
      <c r="J202" s="8">
        <f t="shared" ref="J202:J207" si="29">I202*H202</f>
        <v>0</v>
      </c>
      <c r="M202" s="76" t="str">
        <f t="shared" si="24"/>
        <v>-</v>
      </c>
      <c r="N202" s="76" t="str">
        <f t="shared" si="25"/>
        <v>-</v>
      </c>
      <c r="O202" s="77" t="str">
        <f t="shared" si="26"/>
        <v>-</v>
      </c>
      <c r="P202" s="78" t="str">
        <f t="shared" si="27"/>
        <v>-</v>
      </c>
      <c r="R202" s="78" t="str">
        <f t="shared" si="28"/>
        <v>-</v>
      </c>
    </row>
    <row r="203" spans="1:18" ht="14.4" x14ac:dyDescent="0.3">
      <c r="A203" s="5">
        <v>850036700555</v>
      </c>
      <c r="B203" s="15" t="s">
        <v>400</v>
      </c>
      <c r="C203" s="18" t="s">
        <v>53</v>
      </c>
      <c r="D203" s="12">
        <v>209</v>
      </c>
      <c r="E203" s="45" t="s">
        <v>36</v>
      </c>
      <c r="F203" s="12">
        <v>0</v>
      </c>
      <c r="G203" s="49">
        <v>19.95</v>
      </c>
      <c r="H203" s="59">
        <v>6.7830000000000004</v>
      </c>
      <c r="I203" s="40"/>
      <c r="J203" s="8">
        <f t="shared" si="29"/>
        <v>0</v>
      </c>
      <c r="M203" s="76" t="str">
        <f t="shared" si="24"/>
        <v>-</v>
      </c>
      <c r="N203" s="76" t="str">
        <f t="shared" si="25"/>
        <v>-</v>
      </c>
      <c r="O203" s="77" t="str">
        <f t="shared" si="26"/>
        <v>-</v>
      </c>
      <c r="P203" s="78" t="str">
        <f t="shared" si="27"/>
        <v>-</v>
      </c>
      <c r="R203" s="78" t="str">
        <f t="shared" si="28"/>
        <v>-</v>
      </c>
    </row>
    <row r="204" spans="1:18" ht="14.4" x14ac:dyDescent="0.3">
      <c r="A204" s="5">
        <v>810104622424</v>
      </c>
      <c r="B204" s="15" t="s">
        <v>401</v>
      </c>
      <c r="C204" s="18" t="s">
        <v>402</v>
      </c>
      <c r="D204" s="12">
        <v>164</v>
      </c>
      <c r="E204" s="45" t="s">
        <v>9</v>
      </c>
      <c r="F204" s="12">
        <v>0.23</v>
      </c>
      <c r="G204" s="49">
        <v>24.95</v>
      </c>
      <c r="H204" s="59">
        <v>11.645</v>
      </c>
      <c r="I204" s="40"/>
      <c r="J204" s="8">
        <f t="shared" si="29"/>
        <v>0</v>
      </c>
      <c r="M204" s="76" t="str">
        <f t="shared" si="24"/>
        <v>-</v>
      </c>
      <c r="N204" s="76" t="str">
        <f t="shared" si="25"/>
        <v>-</v>
      </c>
      <c r="O204" s="77" t="str">
        <f t="shared" si="26"/>
        <v>-</v>
      </c>
      <c r="P204" s="78" t="str">
        <f t="shared" si="27"/>
        <v>-</v>
      </c>
      <c r="R204" s="78" t="str">
        <f t="shared" si="28"/>
        <v>-</v>
      </c>
    </row>
    <row r="205" spans="1:18" ht="14.4" x14ac:dyDescent="0.3">
      <c r="A205" s="5">
        <v>810104621564</v>
      </c>
      <c r="B205" s="15" t="s">
        <v>403</v>
      </c>
      <c r="C205" s="18" t="s">
        <v>404</v>
      </c>
      <c r="D205" s="12">
        <v>31</v>
      </c>
      <c r="E205" s="45" t="s">
        <v>9</v>
      </c>
      <c r="F205" s="12">
        <v>0.1</v>
      </c>
      <c r="G205" s="49">
        <v>44.95</v>
      </c>
      <c r="H205" s="59">
        <v>17.527000000000001</v>
      </c>
      <c r="I205" s="40"/>
      <c r="J205" s="8">
        <f t="shared" si="29"/>
        <v>0</v>
      </c>
      <c r="M205" s="76" t="str">
        <f t="shared" si="24"/>
        <v>-</v>
      </c>
      <c r="N205" s="76" t="str">
        <f t="shared" si="25"/>
        <v>-</v>
      </c>
      <c r="O205" s="77" t="str">
        <f t="shared" si="26"/>
        <v>-</v>
      </c>
      <c r="P205" s="78" t="str">
        <f t="shared" si="27"/>
        <v>-</v>
      </c>
      <c r="R205" s="78" t="str">
        <f t="shared" si="28"/>
        <v>-</v>
      </c>
    </row>
    <row r="206" spans="1:18" ht="14.4" x14ac:dyDescent="0.3">
      <c r="A206" s="5">
        <v>810104621571</v>
      </c>
      <c r="B206" s="15" t="s">
        <v>405</v>
      </c>
      <c r="C206" s="18" t="s">
        <v>406</v>
      </c>
      <c r="D206" s="12">
        <v>73</v>
      </c>
      <c r="E206" s="45" t="s">
        <v>9</v>
      </c>
      <c r="F206" s="12">
        <v>0.09</v>
      </c>
      <c r="G206" s="49">
        <v>44.95</v>
      </c>
      <c r="H206" s="59">
        <v>17.527000000000001</v>
      </c>
      <c r="I206" s="40"/>
      <c r="J206" s="8">
        <f t="shared" si="29"/>
        <v>0</v>
      </c>
      <c r="M206" s="76" t="str">
        <f t="shared" si="24"/>
        <v>-</v>
      </c>
      <c r="N206" s="76" t="str">
        <f t="shared" si="25"/>
        <v>-</v>
      </c>
      <c r="O206" s="77" t="str">
        <f t="shared" si="26"/>
        <v>-</v>
      </c>
      <c r="P206" s="78" t="str">
        <f t="shared" si="27"/>
        <v>-</v>
      </c>
      <c r="R206" s="78" t="str">
        <f t="shared" si="28"/>
        <v>-</v>
      </c>
    </row>
    <row r="207" spans="1:18" ht="15" thickBot="1" x14ac:dyDescent="0.35">
      <c r="A207" s="6">
        <v>810104621588</v>
      </c>
      <c r="B207" s="16" t="s">
        <v>407</v>
      </c>
      <c r="C207" s="19" t="s">
        <v>408</v>
      </c>
      <c r="D207" s="13">
        <v>36</v>
      </c>
      <c r="E207" s="47" t="s">
        <v>9</v>
      </c>
      <c r="F207" s="13">
        <v>0.1</v>
      </c>
      <c r="G207" s="50">
        <v>44.95</v>
      </c>
      <c r="H207" s="61">
        <v>17.527000000000001</v>
      </c>
      <c r="I207" s="42"/>
      <c r="J207" s="9">
        <f t="shared" si="29"/>
        <v>0</v>
      </c>
      <c r="M207" s="76" t="str">
        <f t="shared" si="24"/>
        <v>-</v>
      </c>
      <c r="N207" s="76" t="str">
        <f t="shared" si="25"/>
        <v>-</v>
      </c>
      <c r="O207" s="77" t="str">
        <f t="shared" si="26"/>
        <v>-</v>
      </c>
      <c r="P207" s="78" t="str">
        <f t="shared" si="27"/>
        <v>-</v>
      </c>
      <c r="R207" s="78" t="str">
        <f t="shared" si="28"/>
        <v>-</v>
      </c>
    </row>
    <row r="208" spans="1:18" ht="15.75" customHeight="1" x14ac:dyDescent="0.3">
      <c r="M208" s="76"/>
      <c r="N208" s="76"/>
      <c r="O208" s="77"/>
      <c r="P208" s="78"/>
      <c r="R208" s="78"/>
    </row>
    <row r="209" spans="3:18" ht="15.75" customHeight="1" thickBot="1" x14ac:dyDescent="0.35">
      <c r="M209" s="76"/>
      <c r="N209" s="76"/>
      <c r="O209" s="77"/>
      <c r="P209" s="78"/>
      <c r="R209" s="78"/>
    </row>
    <row r="210" spans="3:18" ht="30.6" customHeight="1" thickBot="1" x14ac:dyDescent="0.35">
      <c r="C210" s="51"/>
      <c r="M210" s="76"/>
      <c r="N210" s="76"/>
      <c r="O210" s="77"/>
      <c r="P210" s="78"/>
      <c r="R210" s="78"/>
    </row>
    <row r="211" spans="3:18" ht="15.75" customHeight="1" x14ac:dyDescent="0.3">
      <c r="C211" s="52" t="s">
        <v>409</v>
      </c>
      <c r="M211" s="76"/>
      <c r="N211" s="76"/>
      <c r="O211" s="77"/>
      <c r="P211" s="78"/>
      <c r="R211" s="78"/>
    </row>
    <row r="212" spans="3:18" ht="15.75" customHeight="1" x14ac:dyDescent="0.3">
      <c r="C212" s="53" t="s">
        <v>410</v>
      </c>
      <c r="M212" s="76"/>
      <c r="N212" s="76"/>
      <c r="O212" s="77"/>
      <c r="P212" s="78"/>
      <c r="R212" s="78"/>
    </row>
    <row r="213" spans="3:18" ht="15.75" customHeight="1" thickBot="1" x14ac:dyDescent="0.35">
      <c r="C213" s="54" t="s">
        <v>411</v>
      </c>
      <c r="M213" s="76"/>
      <c r="N213" s="76"/>
      <c r="O213" s="77"/>
      <c r="P213" s="78"/>
      <c r="R213" s="78"/>
    </row>
    <row r="214" spans="3:18" ht="15.75" customHeight="1" x14ac:dyDescent="0.3">
      <c r="C214" s="55" t="s">
        <v>412</v>
      </c>
      <c r="M214" s="76"/>
      <c r="N214" s="76"/>
      <c r="O214" s="77"/>
      <c r="P214" s="78"/>
      <c r="R214" s="78"/>
    </row>
    <row r="215" spans="3:18" ht="15.75" customHeight="1" thickBot="1" x14ac:dyDescent="0.35">
      <c r="C215" s="56" t="s">
        <v>413</v>
      </c>
      <c r="M215" s="76"/>
      <c r="N215" s="76"/>
      <c r="O215" s="77"/>
      <c r="P215" s="78"/>
      <c r="R215" s="78"/>
    </row>
    <row r="216" spans="3:18" ht="15.75" customHeight="1" x14ac:dyDescent="0.3">
      <c r="M216" s="76"/>
      <c r="N216" s="76"/>
      <c r="O216" s="77"/>
      <c r="P216" s="78"/>
      <c r="R216" s="78"/>
    </row>
    <row r="217" spans="3:18" ht="15.75" customHeight="1" x14ac:dyDescent="0.3">
      <c r="M217" s="76"/>
      <c r="N217" s="76"/>
      <c r="O217" s="77"/>
      <c r="P217" s="78"/>
      <c r="R217" s="78"/>
    </row>
    <row r="218" spans="3:18" ht="15.75" customHeight="1" x14ac:dyDescent="0.3">
      <c r="M218" s="76"/>
      <c r="N218" s="76"/>
      <c r="O218" s="77"/>
      <c r="P218" s="78"/>
      <c r="R218" s="78"/>
    </row>
    <row r="219" spans="3:18" ht="15.75" customHeight="1" x14ac:dyDescent="0.3">
      <c r="M219" s="76"/>
      <c r="N219" s="76"/>
      <c r="O219" s="77"/>
      <c r="P219" s="78"/>
      <c r="R219" s="78"/>
    </row>
    <row r="220" spans="3:18" ht="15.75" customHeight="1" x14ac:dyDescent="0.3">
      <c r="M220" s="76"/>
      <c r="N220" s="76"/>
      <c r="O220" s="77"/>
      <c r="P220" s="78"/>
      <c r="R220" s="78"/>
    </row>
    <row r="221" spans="3:18" ht="15.75" customHeight="1" x14ac:dyDescent="0.3">
      <c r="M221" s="76"/>
      <c r="N221" s="76"/>
      <c r="O221" s="77"/>
      <c r="P221" s="78"/>
      <c r="R221" s="78"/>
    </row>
    <row r="222" spans="3:18" ht="15.75" customHeight="1" x14ac:dyDescent="0.3">
      <c r="M222" s="76"/>
      <c r="N222" s="76"/>
      <c r="O222" s="77"/>
      <c r="P222" s="78"/>
      <c r="R222" s="78"/>
    </row>
    <row r="223" spans="3:18" ht="15.75" customHeight="1" x14ac:dyDescent="0.3">
      <c r="M223" s="76"/>
      <c r="N223" s="76"/>
      <c r="O223" s="77"/>
      <c r="P223" s="78"/>
      <c r="R223" s="78"/>
    </row>
    <row r="224" spans="3:18" ht="15.75" customHeight="1" x14ac:dyDescent="0.3">
      <c r="M224" s="76"/>
      <c r="N224" s="76"/>
      <c r="O224" s="77"/>
      <c r="P224" s="78"/>
      <c r="R224" s="78"/>
    </row>
    <row r="225" spans="13:18" ht="15.75" customHeight="1" x14ac:dyDescent="0.3">
      <c r="M225" s="76"/>
      <c r="N225" s="76"/>
      <c r="O225" s="77"/>
      <c r="P225" s="78"/>
      <c r="R225" s="78"/>
    </row>
    <row r="226" spans="13:18" ht="15.75" customHeight="1" x14ac:dyDescent="0.3">
      <c r="M226" s="76"/>
      <c r="N226" s="76"/>
      <c r="O226" s="77"/>
      <c r="P226" s="78"/>
      <c r="R226" s="78"/>
    </row>
    <row r="227" spans="13:18" ht="15.75" customHeight="1" x14ac:dyDescent="0.3">
      <c r="M227" s="76"/>
      <c r="N227" s="76"/>
      <c r="O227" s="77"/>
      <c r="P227" s="78"/>
      <c r="R227" s="78"/>
    </row>
    <row r="228" spans="13:18" ht="15.75" customHeight="1" x14ac:dyDescent="0.3">
      <c r="M228" s="76"/>
      <c r="N228" s="76"/>
      <c r="O228" s="77"/>
      <c r="P228" s="78"/>
      <c r="R228" s="78"/>
    </row>
    <row r="229" spans="13:18" ht="15.75" customHeight="1" x14ac:dyDescent="0.3">
      <c r="M229" s="76"/>
      <c r="N229" s="76"/>
      <c r="O229" s="77"/>
      <c r="P229" s="78"/>
      <c r="R229" s="78"/>
    </row>
    <row r="230" spans="13:18" ht="15.75" customHeight="1" x14ac:dyDescent="0.3">
      <c r="M230" s="76"/>
      <c r="N230" s="76"/>
      <c r="O230" s="77"/>
      <c r="P230" s="78"/>
      <c r="R230" s="78"/>
    </row>
    <row r="231" spans="13:18" ht="15.75" customHeight="1" x14ac:dyDescent="0.3">
      <c r="M231" s="76"/>
      <c r="N231" s="76"/>
      <c r="O231" s="77"/>
      <c r="P231" s="78"/>
      <c r="R231" s="78"/>
    </row>
    <row r="232" spans="13:18" ht="15.75" customHeight="1" x14ac:dyDescent="0.3">
      <c r="M232" s="76"/>
      <c r="N232" s="76"/>
      <c r="O232" s="77"/>
      <c r="P232" s="78"/>
      <c r="R232" s="78"/>
    </row>
    <row r="233" spans="13:18" ht="15.75" customHeight="1" x14ac:dyDescent="0.3">
      <c r="M233" s="76"/>
      <c r="N233" s="76"/>
      <c r="O233" s="77"/>
      <c r="P233" s="78"/>
      <c r="R233" s="78"/>
    </row>
    <row r="234" spans="13:18" ht="15.75" customHeight="1" x14ac:dyDescent="0.3">
      <c r="M234" s="76"/>
      <c r="N234" s="76"/>
      <c r="O234" s="77"/>
      <c r="P234" s="78"/>
      <c r="R234" s="78"/>
    </row>
    <row r="235" spans="13:18" ht="15.75" customHeight="1" x14ac:dyDescent="0.3">
      <c r="M235" s="76"/>
      <c r="N235" s="76"/>
      <c r="O235" s="77"/>
      <c r="P235" s="78"/>
      <c r="R235" s="78"/>
    </row>
    <row r="236" spans="13:18" ht="15.75" customHeight="1" x14ac:dyDescent="0.3">
      <c r="M236" s="76"/>
      <c r="N236" s="76"/>
      <c r="O236" s="77"/>
      <c r="P236" s="78"/>
      <c r="R236" s="78"/>
    </row>
    <row r="237" spans="13:18" ht="15.75" customHeight="1" x14ac:dyDescent="0.3">
      <c r="M237" s="76"/>
      <c r="N237" s="76"/>
      <c r="O237" s="77"/>
      <c r="P237" s="78"/>
      <c r="R237" s="78"/>
    </row>
    <row r="238" spans="13:18" ht="15.75" customHeight="1" x14ac:dyDescent="0.3">
      <c r="M238" s="76"/>
      <c r="N238" s="76"/>
      <c r="O238" s="77"/>
      <c r="P238" s="78"/>
      <c r="R238" s="78"/>
    </row>
    <row r="239" spans="13:18" ht="15.75" customHeight="1" x14ac:dyDescent="0.3">
      <c r="M239" s="76"/>
      <c r="N239" s="76"/>
      <c r="O239" s="77"/>
      <c r="P239" s="78"/>
      <c r="R239" s="78"/>
    </row>
    <row r="240" spans="13:18" ht="15.75" customHeight="1" x14ac:dyDescent="0.3">
      <c r="M240" s="76"/>
      <c r="N240" s="76"/>
      <c r="O240" s="77"/>
      <c r="P240" s="78"/>
      <c r="R240" s="78"/>
    </row>
    <row r="241" spans="13:18" ht="15.75" customHeight="1" x14ac:dyDescent="0.3">
      <c r="M241" s="76"/>
      <c r="N241" s="76"/>
      <c r="O241" s="77"/>
      <c r="P241" s="78"/>
      <c r="R241" s="78"/>
    </row>
    <row r="242" spans="13:18" ht="15.75" customHeight="1" x14ac:dyDescent="0.3">
      <c r="M242" s="76"/>
      <c r="N242" s="76"/>
      <c r="O242" s="77"/>
      <c r="P242" s="78"/>
      <c r="R242" s="78"/>
    </row>
    <row r="243" spans="13:18" ht="15.75" customHeight="1" x14ac:dyDescent="0.3">
      <c r="M243" s="76"/>
      <c r="N243" s="76"/>
      <c r="O243" s="77"/>
      <c r="P243" s="78"/>
      <c r="R243" s="78"/>
    </row>
    <row r="244" spans="13:18" ht="15.75" customHeight="1" x14ac:dyDescent="0.3">
      <c r="M244" s="76"/>
      <c r="N244" s="76"/>
      <c r="O244" s="77"/>
      <c r="P244" s="78"/>
      <c r="R244" s="78"/>
    </row>
    <row r="245" spans="13:18" ht="15.75" customHeight="1" x14ac:dyDescent="0.3">
      <c r="M245" s="76"/>
      <c r="N245" s="76"/>
      <c r="O245" s="77"/>
      <c r="P245" s="78"/>
      <c r="R245" s="78"/>
    </row>
    <row r="246" spans="13:18" ht="15.75" customHeight="1" x14ac:dyDescent="0.3">
      <c r="M246" s="76"/>
      <c r="N246" s="76"/>
      <c r="O246" s="77"/>
      <c r="P246" s="78"/>
      <c r="R246" s="78"/>
    </row>
    <row r="247" spans="13:18" ht="15.75" customHeight="1" x14ac:dyDescent="0.3">
      <c r="M247" s="76"/>
      <c r="N247" s="76"/>
      <c r="O247" s="77"/>
      <c r="P247" s="78"/>
      <c r="R247" s="78"/>
    </row>
    <row r="248" spans="13:18" ht="15.75" customHeight="1" x14ac:dyDescent="0.3">
      <c r="M248" s="76"/>
      <c r="N248" s="76"/>
      <c r="O248" s="77"/>
      <c r="P248" s="78"/>
      <c r="R248" s="78"/>
    </row>
    <row r="249" spans="13:18" ht="15.75" customHeight="1" x14ac:dyDescent="0.3">
      <c r="M249" s="76"/>
      <c r="N249" s="76"/>
      <c r="O249" s="77"/>
      <c r="P249" s="78"/>
      <c r="R249" s="78"/>
    </row>
    <row r="250" spans="13:18" ht="15.75" customHeight="1" x14ac:dyDescent="0.3">
      <c r="M250" s="76"/>
      <c r="N250" s="76"/>
      <c r="O250" s="77"/>
      <c r="P250" s="78"/>
      <c r="R250" s="78"/>
    </row>
    <row r="251" spans="13:18" ht="15.75" customHeight="1" x14ac:dyDescent="0.3">
      <c r="M251" s="76"/>
      <c r="N251" s="76"/>
      <c r="O251" s="77"/>
      <c r="P251" s="78"/>
      <c r="R251" s="78"/>
    </row>
    <row r="252" spans="13:18" ht="15.75" customHeight="1" x14ac:dyDescent="0.3">
      <c r="M252" s="76"/>
      <c r="N252" s="76"/>
      <c r="O252" s="77"/>
      <c r="P252" s="78"/>
      <c r="R252" s="78"/>
    </row>
    <row r="253" spans="13:18" ht="15.75" customHeight="1" x14ac:dyDescent="0.3">
      <c r="M253" s="76"/>
      <c r="N253" s="76"/>
      <c r="O253" s="77"/>
      <c r="P253" s="78"/>
      <c r="R253" s="78"/>
    </row>
    <row r="254" spans="13:18" ht="15.75" customHeight="1" x14ac:dyDescent="0.3">
      <c r="M254" s="76"/>
      <c r="N254" s="76"/>
      <c r="O254" s="77"/>
      <c r="P254" s="78"/>
      <c r="R254" s="78"/>
    </row>
    <row r="255" spans="13:18" ht="15.75" customHeight="1" x14ac:dyDescent="0.3">
      <c r="M255" s="76"/>
      <c r="N255" s="76"/>
      <c r="O255" s="77"/>
      <c r="P255" s="78"/>
      <c r="R255" s="78"/>
    </row>
    <row r="256" spans="13:18" ht="15.75" customHeight="1" x14ac:dyDescent="0.3">
      <c r="M256" s="76"/>
      <c r="N256" s="76"/>
      <c r="O256" s="77"/>
      <c r="P256" s="78"/>
      <c r="R256" s="78"/>
    </row>
    <row r="257" spans="13:18" ht="15.75" customHeight="1" x14ac:dyDescent="0.3">
      <c r="M257" s="76"/>
      <c r="N257" s="76"/>
      <c r="O257" s="77"/>
      <c r="P257" s="78"/>
      <c r="R257" s="78"/>
    </row>
    <row r="258" spans="13:18" ht="15.75" customHeight="1" x14ac:dyDescent="0.3">
      <c r="M258" s="76"/>
      <c r="N258" s="76"/>
      <c r="O258" s="77"/>
      <c r="P258" s="78"/>
      <c r="R258" s="78"/>
    </row>
    <row r="259" spans="13:18" ht="15.75" customHeight="1" x14ac:dyDescent="0.3">
      <c r="M259" s="76"/>
      <c r="N259" s="76"/>
      <c r="O259" s="77"/>
      <c r="P259" s="78"/>
      <c r="R259" s="78"/>
    </row>
    <row r="260" spans="13:18" ht="15.75" customHeight="1" x14ac:dyDescent="0.3">
      <c r="M260" s="76"/>
      <c r="N260" s="76"/>
      <c r="O260" s="77"/>
      <c r="P260" s="78"/>
      <c r="R260" s="78"/>
    </row>
    <row r="261" spans="13:18" ht="15.75" customHeight="1" x14ac:dyDescent="0.3">
      <c r="M261" s="76"/>
      <c r="N261" s="76"/>
      <c r="O261" s="77"/>
      <c r="P261" s="78"/>
      <c r="R261" s="78"/>
    </row>
    <row r="262" spans="13:18" ht="15.75" customHeight="1" x14ac:dyDescent="0.3">
      <c r="M262" s="76"/>
      <c r="N262" s="76"/>
      <c r="O262" s="77"/>
      <c r="P262" s="78"/>
      <c r="R262" s="78"/>
    </row>
    <row r="263" spans="13:18" ht="15.75" customHeight="1" x14ac:dyDescent="0.3">
      <c r="M263" s="76"/>
      <c r="N263" s="76"/>
      <c r="O263" s="77"/>
      <c r="P263" s="78"/>
      <c r="R263" s="78"/>
    </row>
    <row r="264" spans="13:18" ht="15.75" customHeight="1" x14ac:dyDescent="0.3">
      <c r="M264" s="76"/>
      <c r="N264" s="76"/>
      <c r="O264" s="77"/>
      <c r="P264" s="78"/>
      <c r="R264" s="78"/>
    </row>
    <row r="265" spans="13:18" ht="15.75" customHeight="1" x14ac:dyDescent="0.3">
      <c r="M265" s="76"/>
      <c r="N265" s="76"/>
      <c r="O265" s="77"/>
      <c r="P265" s="78"/>
      <c r="R265" s="78"/>
    </row>
    <row r="266" spans="13:18" ht="15.75" customHeight="1" x14ac:dyDescent="0.3">
      <c r="M266" s="76"/>
      <c r="N266" s="76"/>
      <c r="O266" s="77"/>
      <c r="P266" s="78"/>
      <c r="R266" s="78"/>
    </row>
    <row r="267" spans="13:18" ht="15.75" customHeight="1" x14ac:dyDescent="0.3">
      <c r="M267" s="76"/>
      <c r="N267" s="76"/>
      <c r="O267" s="77"/>
      <c r="P267" s="78"/>
      <c r="R267" s="78"/>
    </row>
    <row r="268" spans="13:18" ht="15.75" customHeight="1" x14ac:dyDescent="0.3">
      <c r="M268" s="76"/>
      <c r="N268" s="76"/>
      <c r="O268" s="77"/>
      <c r="P268" s="78"/>
      <c r="R268" s="78"/>
    </row>
    <row r="269" spans="13:18" ht="15.75" customHeight="1" x14ac:dyDescent="0.3">
      <c r="M269" s="76"/>
      <c r="N269" s="76"/>
      <c r="O269" s="77"/>
      <c r="P269" s="78"/>
      <c r="R269" s="78"/>
    </row>
    <row r="270" spans="13:18" ht="15.75" customHeight="1" x14ac:dyDescent="0.3">
      <c r="M270" s="76"/>
      <c r="N270" s="76"/>
      <c r="O270" s="77"/>
      <c r="P270" s="78"/>
      <c r="R270" s="78"/>
    </row>
    <row r="271" spans="13:18" ht="15.75" customHeight="1" x14ac:dyDescent="0.3">
      <c r="M271" s="76"/>
      <c r="N271" s="76"/>
      <c r="O271" s="77"/>
      <c r="P271" s="78"/>
      <c r="R271" s="78"/>
    </row>
    <row r="272" spans="13:18" ht="15.75" customHeight="1" x14ac:dyDescent="0.3">
      <c r="M272" s="76"/>
      <c r="N272" s="76"/>
      <c r="O272" s="77"/>
      <c r="P272" s="78"/>
      <c r="R272" s="78"/>
    </row>
    <row r="273" spans="13:18" ht="15.75" customHeight="1" x14ac:dyDescent="0.3">
      <c r="M273" s="76"/>
      <c r="N273" s="76"/>
      <c r="O273" s="77"/>
      <c r="P273" s="78"/>
      <c r="R273" s="78"/>
    </row>
    <row r="274" spans="13:18" ht="15.75" customHeight="1" x14ac:dyDescent="0.3">
      <c r="M274" s="76"/>
      <c r="N274" s="76"/>
      <c r="O274" s="77"/>
      <c r="P274" s="78"/>
      <c r="R274" s="78"/>
    </row>
    <row r="275" spans="13:18" ht="15.75" customHeight="1" x14ac:dyDescent="0.3">
      <c r="M275" s="76"/>
      <c r="N275" s="76"/>
      <c r="O275" s="77"/>
      <c r="P275" s="78"/>
      <c r="R275" s="78"/>
    </row>
    <row r="276" spans="13:18" ht="15.75" customHeight="1" x14ac:dyDescent="0.3">
      <c r="M276" s="76"/>
      <c r="N276" s="76"/>
      <c r="O276" s="77"/>
      <c r="P276" s="78"/>
      <c r="R276" s="78"/>
    </row>
    <row r="277" spans="13:18" ht="15.75" customHeight="1" x14ac:dyDescent="0.3">
      <c r="M277" s="76"/>
      <c r="N277" s="76"/>
      <c r="O277" s="77"/>
      <c r="P277" s="78"/>
      <c r="R277" s="78"/>
    </row>
    <row r="278" spans="13:18" ht="15.75" customHeight="1" x14ac:dyDescent="0.3">
      <c r="M278" s="76"/>
      <c r="N278" s="76"/>
      <c r="O278" s="77"/>
      <c r="P278" s="78"/>
      <c r="R278" s="78"/>
    </row>
    <row r="279" spans="13:18" ht="15.75" customHeight="1" x14ac:dyDescent="0.3">
      <c r="M279" s="76"/>
      <c r="N279" s="76"/>
      <c r="O279" s="77"/>
      <c r="P279" s="78"/>
      <c r="R279" s="78"/>
    </row>
    <row r="280" spans="13:18" ht="15.75" customHeight="1" x14ac:dyDescent="0.3">
      <c r="M280" s="76"/>
      <c r="N280" s="76"/>
      <c r="O280" s="77"/>
      <c r="P280" s="78"/>
      <c r="R280" s="78"/>
    </row>
    <row r="281" spans="13:18" ht="15.75" customHeight="1" x14ac:dyDescent="0.3">
      <c r="M281" s="76"/>
      <c r="N281" s="76"/>
      <c r="O281" s="77"/>
      <c r="P281" s="78"/>
      <c r="R281" s="78"/>
    </row>
    <row r="282" spans="13:18" ht="15.75" customHeight="1" x14ac:dyDescent="0.3">
      <c r="M282" s="76"/>
      <c r="N282" s="76"/>
      <c r="O282" s="77"/>
      <c r="P282" s="78"/>
      <c r="R282" s="78"/>
    </row>
    <row r="283" spans="13:18" ht="15.75" customHeight="1" x14ac:dyDescent="0.3">
      <c r="M283" s="76"/>
      <c r="N283" s="76"/>
      <c r="O283" s="77"/>
      <c r="P283" s="78"/>
      <c r="R283" s="78"/>
    </row>
    <row r="284" spans="13:18" ht="15.75" customHeight="1" x14ac:dyDescent="0.3">
      <c r="M284" s="76"/>
      <c r="N284" s="76"/>
      <c r="O284" s="77"/>
      <c r="P284" s="78"/>
      <c r="R284" s="78"/>
    </row>
    <row r="285" spans="13:18" ht="15.75" customHeight="1" x14ac:dyDescent="0.3">
      <c r="M285" s="76"/>
      <c r="N285" s="76"/>
      <c r="O285" s="77"/>
      <c r="P285" s="78"/>
      <c r="R285" s="78"/>
    </row>
    <row r="286" spans="13:18" ht="15.75" customHeight="1" x14ac:dyDescent="0.3">
      <c r="M286" s="76"/>
      <c r="N286" s="76"/>
      <c r="O286" s="77"/>
      <c r="P286" s="78"/>
      <c r="R286" s="78"/>
    </row>
    <row r="287" spans="13:18" ht="15.75" customHeight="1" x14ac:dyDescent="0.3">
      <c r="M287" s="76"/>
      <c r="N287" s="76"/>
      <c r="O287" s="77"/>
      <c r="P287" s="78"/>
      <c r="R287" s="78"/>
    </row>
    <row r="288" spans="13:18" ht="15.75" customHeight="1" x14ac:dyDescent="0.3">
      <c r="M288" s="76"/>
      <c r="N288" s="76"/>
      <c r="O288" s="77"/>
      <c r="P288" s="78"/>
      <c r="R288" s="78"/>
    </row>
    <row r="289" spans="13:18" ht="15.75" customHeight="1" x14ac:dyDescent="0.3">
      <c r="M289" s="76"/>
      <c r="N289" s="76"/>
      <c r="O289" s="77"/>
      <c r="P289" s="78"/>
      <c r="R289" s="78"/>
    </row>
    <row r="290" spans="13:18" ht="15.75" customHeight="1" x14ac:dyDescent="0.3">
      <c r="M290" s="76"/>
      <c r="N290" s="76"/>
      <c r="O290" s="77"/>
      <c r="P290" s="78"/>
      <c r="R290" s="78"/>
    </row>
    <row r="291" spans="13:18" ht="15.75" customHeight="1" x14ac:dyDescent="0.3">
      <c r="M291" s="76"/>
      <c r="N291" s="76"/>
      <c r="O291" s="77"/>
      <c r="P291" s="78"/>
      <c r="R291" s="78"/>
    </row>
    <row r="292" spans="13:18" ht="15.75" customHeight="1" x14ac:dyDescent="0.3">
      <c r="M292" s="76"/>
      <c r="N292" s="76"/>
      <c r="O292" s="77"/>
      <c r="P292" s="78"/>
      <c r="R292" s="78"/>
    </row>
    <row r="293" spans="13:18" ht="15.75" customHeight="1" x14ac:dyDescent="0.3">
      <c r="M293" s="76"/>
      <c r="N293" s="76"/>
      <c r="O293" s="77"/>
      <c r="P293" s="78"/>
      <c r="R293" s="78"/>
    </row>
    <row r="294" spans="13:18" ht="15.75" customHeight="1" x14ac:dyDescent="0.3">
      <c r="M294" s="76"/>
      <c r="N294" s="76"/>
      <c r="O294" s="77"/>
      <c r="P294" s="78"/>
      <c r="R294" s="78"/>
    </row>
    <row r="295" spans="13:18" ht="15.75" customHeight="1" x14ac:dyDescent="0.3">
      <c r="M295" s="76"/>
      <c r="N295" s="76"/>
      <c r="O295" s="77"/>
      <c r="P295" s="78"/>
      <c r="R295" s="78"/>
    </row>
    <row r="296" spans="13:18" ht="15.75" customHeight="1" x14ac:dyDescent="0.3">
      <c r="M296" s="76"/>
      <c r="N296" s="76"/>
      <c r="O296" s="77"/>
      <c r="P296" s="78"/>
      <c r="R296" s="78"/>
    </row>
    <row r="297" spans="13:18" ht="15.75" customHeight="1" x14ac:dyDescent="0.3">
      <c r="M297" s="76"/>
      <c r="N297" s="76"/>
      <c r="O297" s="77"/>
      <c r="P297" s="78"/>
      <c r="R297" s="78"/>
    </row>
    <row r="298" spans="13:18" ht="15.75" customHeight="1" x14ac:dyDescent="0.3">
      <c r="M298" s="76"/>
      <c r="N298" s="76"/>
      <c r="O298" s="77"/>
      <c r="P298" s="78"/>
      <c r="R298" s="78"/>
    </row>
    <row r="299" spans="13:18" ht="15.75" customHeight="1" x14ac:dyDescent="0.3">
      <c r="M299" s="76"/>
      <c r="N299" s="76"/>
      <c r="O299" s="77"/>
      <c r="P299" s="78"/>
      <c r="R299" s="78"/>
    </row>
    <row r="300" spans="13:18" ht="15.75" customHeight="1" x14ac:dyDescent="0.3">
      <c r="M300" s="76"/>
      <c r="N300" s="76"/>
      <c r="O300" s="77"/>
      <c r="P300" s="78"/>
      <c r="R300" s="78"/>
    </row>
    <row r="301" spans="13:18" ht="15.75" customHeight="1" x14ac:dyDescent="0.3">
      <c r="M301" s="76"/>
      <c r="N301" s="76"/>
      <c r="O301" s="77"/>
      <c r="P301" s="78"/>
      <c r="R301" s="78"/>
    </row>
    <row r="302" spans="13:18" ht="15.75" customHeight="1" x14ac:dyDescent="0.3">
      <c r="M302" s="76"/>
      <c r="N302" s="76"/>
      <c r="O302" s="77"/>
      <c r="P302" s="78"/>
      <c r="R302" s="78"/>
    </row>
    <row r="303" spans="13:18" ht="15.75" customHeight="1" x14ac:dyDescent="0.3">
      <c r="M303" s="76"/>
      <c r="N303" s="76"/>
      <c r="O303" s="77"/>
      <c r="P303" s="78"/>
      <c r="R303" s="78"/>
    </row>
    <row r="304" spans="13:18" ht="15.75" customHeight="1" x14ac:dyDescent="0.3">
      <c r="M304" s="76"/>
      <c r="N304" s="76"/>
      <c r="O304" s="77"/>
      <c r="P304" s="78"/>
      <c r="R304" s="78"/>
    </row>
    <row r="305" spans="13:18" ht="15.75" customHeight="1" x14ac:dyDescent="0.3">
      <c r="M305" s="76"/>
      <c r="N305" s="76"/>
      <c r="O305" s="77"/>
      <c r="P305" s="78"/>
      <c r="R305" s="78"/>
    </row>
    <row r="306" spans="13:18" ht="15.75" customHeight="1" x14ac:dyDescent="0.3">
      <c r="M306" s="76"/>
      <c r="N306" s="76"/>
      <c r="O306" s="77"/>
      <c r="P306" s="78"/>
      <c r="R306" s="78"/>
    </row>
    <row r="307" spans="13:18" ht="15.75" customHeight="1" x14ac:dyDescent="0.3">
      <c r="M307" s="76"/>
      <c r="N307" s="76"/>
      <c r="O307" s="77"/>
      <c r="P307" s="78"/>
      <c r="R307" s="78"/>
    </row>
    <row r="308" spans="13:18" ht="15.75" customHeight="1" x14ac:dyDescent="0.3">
      <c r="M308" s="76"/>
      <c r="N308" s="76"/>
      <c r="O308" s="77"/>
      <c r="P308" s="78"/>
      <c r="R308" s="78"/>
    </row>
    <row r="309" spans="13:18" ht="15.75" customHeight="1" x14ac:dyDescent="0.3">
      <c r="M309" s="76"/>
      <c r="N309" s="76"/>
      <c r="O309" s="77"/>
      <c r="P309" s="78"/>
      <c r="R309" s="78"/>
    </row>
    <row r="310" spans="13:18" ht="15.75" customHeight="1" x14ac:dyDescent="0.3">
      <c r="M310" s="76"/>
      <c r="N310" s="76"/>
      <c r="O310" s="77"/>
      <c r="P310" s="78"/>
      <c r="R310" s="78"/>
    </row>
    <row r="311" spans="13:18" ht="15.75" customHeight="1" x14ac:dyDescent="0.3">
      <c r="M311" s="76"/>
      <c r="N311" s="76"/>
      <c r="O311" s="77"/>
      <c r="P311" s="78"/>
      <c r="R311" s="78"/>
    </row>
    <row r="312" spans="13:18" ht="15.75" customHeight="1" x14ac:dyDescent="0.3">
      <c r="M312" s="76"/>
      <c r="N312" s="76"/>
      <c r="O312" s="77"/>
      <c r="P312" s="78"/>
      <c r="R312" s="78"/>
    </row>
    <row r="313" spans="13:18" ht="15.75" customHeight="1" x14ac:dyDescent="0.3">
      <c r="M313" s="76"/>
      <c r="N313" s="76"/>
      <c r="O313" s="77"/>
      <c r="P313" s="78"/>
      <c r="R313" s="78"/>
    </row>
    <row r="314" spans="13:18" ht="15.75" customHeight="1" x14ac:dyDescent="0.3">
      <c r="M314" s="76"/>
      <c r="N314" s="76"/>
      <c r="O314" s="77"/>
      <c r="P314" s="78"/>
      <c r="R314" s="78"/>
    </row>
    <row r="315" spans="13:18" ht="15.75" customHeight="1" x14ac:dyDescent="0.3">
      <c r="M315" s="76"/>
      <c r="N315" s="76"/>
      <c r="O315" s="77"/>
      <c r="P315" s="78"/>
      <c r="R315" s="78"/>
    </row>
    <row r="316" spans="13:18" ht="15.75" customHeight="1" x14ac:dyDescent="0.3">
      <c r="M316" s="76"/>
      <c r="N316" s="76"/>
      <c r="O316" s="77"/>
      <c r="P316" s="78"/>
      <c r="R316" s="78"/>
    </row>
    <row r="317" spans="13:18" ht="15.75" customHeight="1" x14ac:dyDescent="0.3">
      <c r="M317" s="76"/>
      <c r="N317" s="76"/>
      <c r="O317" s="77"/>
      <c r="P317" s="78"/>
      <c r="R317" s="78"/>
    </row>
    <row r="318" spans="13:18" ht="15.75" customHeight="1" x14ac:dyDescent="0.3">
      <c r="M318" s="76"/>
      <c r="N318" s="76"/>
      <c r="O318" s="77"/>
      <c r="P318" s="78"/>
      <c r="R318" s="78"/>
    </row>
    <row r="319" spans="13:18" ht="15.75" customHeight="1" x14ac:dyDescent="0.3">
      <c r="M319" s="76"/>
      <c r="N319" s="76"/>
      <c r="O319" s="77"/>
      <c r="P319" s="78"/>
      <c r="R319" s="78"/>
    </row>
    <row r="320" spans="13:18" ht="15.75" customHeight="1" x14ac:dyDescent="0.3">
      <c r="M320" s="76"/>
      <c r="N320" s="76"/>
      <c r="O320" s="77"/>
      <c r="P320" s="78"/>
      <c r="R320" s="78"/>
    </row>
    <row r="321" spans="13:18" ht="15.75" customHeight="1" x14ac:dyDescent="0.3">
      <c r="M321" s="76"/>
      <c r="N321" s="76"/>
      <c r="O321" s="77"/>
      <c r="P321" s="78"/>
      <c r="R321" s="78"/>
    </row>
    <row r="322" spans="13:18" ht="15.75" customHeight="1" x14ac:dyDescent="0.3">
      <c r="M322" s="76"/>
      <c r="N322" s="76"/>
      <c r="O322" s="77"/>
      <c r="P322" s="78"/>
      <c r="R322" s="78"/>
    </row>
    <row r="323" spans="13:18" ht="15.75" customHeight="1" x14ac:dyDescent="0.3">
      <c r="M323" s="76"/>
      <c r="N323" s="76"/>
      <c r="O323" s="77"/>
      <c r="P323" s="78"/>
      <c r="R323" s="78"/>
    </row>
    <row r="324" spans="13:18" ht="15.75" customHeight="1" x14ac:dyDescent="0.3">
      <c r="M324" s="76"/>
      <c r="N324" s="76"/>
      <c r="O324" s="77"/>
      <c r="P324" s="78"/>
      <c r="R324" s="78"/>
    </row>
    <row r="325" spans="13:18" ht="15.75" customHeight="1" x14ac:dyDescent="0.3">
      <c r="M325" s="76"/>
      <c r="N325" s="76"/>
      <c r="O325" s="77"/>
      <c r="P325" s="78"/>
      <c r="R325" s="78"/>
    </row>
    <row r="326" spans="13:18" ht="15.75" customHeight="1" x14ac:dyDescent="0.3">
      <c r="M326" s="76"/>
      <c r="N326" s="76"/>
      <c r="O326" s="77"/>
      <c r="P326" s="78"/>
      <c r="R326" s="78"/>
    </row>
    <row r="327" spans="13:18" ht="15.75" customHeight="1" x14ac:dyDescent="0.3">
      <c r="M327" s="76"/>
      <c r="N327" s="76"/>
      <c r="O327" s="77"/>
      <c r="P327" s="78"/>
      <c r="R327" s="78"/>
    </row>
    <row r="328" spans="13:18" ht="15.75" customHeight="1" x14ac:dyDescent="0.3">
      <c r="M328" s="76"/>
      <c r="N328" s="76"/>
      <c r="O328" s="77"/>
      <c r="P328" s="78"/>
      <c r="R328" s="78"/>
    </row>
    <row r="329" spans="13:18" ht="15.75" customHeight="1" x14ac:dyDescent="0.3">
      <c r="M329" s="76"/>
      <c r="N329" s="76"/>
      <c r="O329" s="77"/>
      <c r="P329" s="78"/>
      <c r="R329" s="78"/>
    </row>
    <row r="330" spans="13:18" ht="15.75" customHeight="1" x14ac:dyDescent="0.3">
      <c r="M330" s="76"/>
      <c r="N330" s="76"/>
      <c r="O330" s="77"/>
      <c r="P330" s="78"/>
      <c r="R330" s="78"/>
    </row>
    <row r="331" spans="13:18" ht="15.75" customHeight="1" x14ac:dyDescent="0.3">
      <c r="M331" s="76"/>
      <c r="N331" s="76"/>
      <c r="O331" s="77"/>
      <c r="P331" s="78"/>
      <c r="R331" s="78"/>
    </row>
    <row r="332" spans="13:18" ht="15.75" customHeight="1" x14ac:dyDescent="0.3">
      <c r="M332" s="76"/>
      <c r="N332" s="76"/>
      <c r="O332" s="77"/>
      <c r="P332" s="78"/>
      <c r="R332" s="78"/>
    </row>
    <row r="333" spans="13:18" ht="15.75" customHeight="1" x14ac:dyDescent="0.3">
      <c r="M333" s="76"/>
      <c r="N333" s="76"/>
      <c r="O333" s="77"/>
      <c r="P333" s="78"/>
      <c r="R333" s="78"/>
    </row>
    <row r="334" spans="13:18" ht="15.75" customHeight="1" x14ac:dyDescent="0.3">
      <c r="M334" s="76"/>
      <c r="N334" s="76"/>
      <c r="O334" s="77"/>
      <c r="P334" s="78"/>
      <c r="R334" s="78"/>
    </row>
    <row r="335" spans="13:18" ht="15.75" customHeight="1" x14ac:dyDescent="0.3">
      <c r="M335" s="76"/>
      <c r="N335" s="76"/>
      <c r="O335" s="77"/>
      <c r="P335" s="78"/>
      <c r="R335" s="78"/>
    </row>
    <row r="336" spans="13:18" ht="15.75" customHeight="1" x14ac:dyDescent="0.3">
      <c r="M336" s="76"/>
      <c r="N336" s="76"/>
      <c r="O336" s="77"/>
      <c r="P336" s="78"/>
      <c r="R336" s="78"/>
    </row>
    <row r="337" spans="13:18" ht="15.75" customHeight="1" x14ac:dyDescent="0.3">
      <c r="M337" s="76"/>
      <c r="N337" s="76"/>
      <c r="O337" s="77"/>
      <c r="P337" s="78"/>
      <c r="R337" s="78"/>
    </row>
    <row r="338" spans="13:18" ht="15.75" customHeight="1" x14ac:dyDescent="0.3">
      <c r="M338" s="76"/>
      <c r="N338" s="76"/>
      <c r="O338" s="77"/>
      <c r="P338" s="78"/>
      <c r="R338" s="78"/>
    </row>
    <row r="339" spans="13:18" ht="15.75" customHeight="1" x14ac:dyDescent="0.3">
      <c r="M339" s="76"/>
      <c r="N339" s="76"/>
      <c r="O339" s="77"/>
      <c r="P339" s="78"/>
      <c r="R339" s="78"/>
    </row>
    <row r="340" spans="13:18" ht="15.75" customHeight="1" x14ac:dyDescent="0.3">
      <c r="M340" s="76"/>
      <c r="N340" s="76"/>
      <c r="O340" s="77"/>
      <c r="P340" s="78"/>
      <c r="R340" s="78"/>
    </row>
    <row r="341" spans="13:18" ht="15.75" customHeight="1" x14ac:dyDescent="0.3">
      <c r="M341" s="76"/>
      <c r="N341" s="76"/>
      <c r="O341" s="77"/>
      <c r="P341" s="78"/>
      <c r="R341" s="78"/>
    </row>
    <row r="342" spans="13:18" ht="15.75" customHeight="1" x14ac:dyDescent="0.3">
      <c r="M342" s="76"/>
      <c r="N342" s="76"/>
      <c r="O342" s="77"/>
      <c r="P342" s="78"/>
      <c r="R342" s="78"/>
    </row>
    <row r="343" spans="13:18" ht="15.75" customHeight="1" x14ac:dyDescent="0.3">
      <c r="M343" s="76"/>
      <c r="N343" s="76"/>
      <c r="O343" s="77"/>
      <c r="P343" s="78"/>
      <c r="R343" s="78"/>
    </row>
    <row r="344" spans="13:18" ht="15.75" customHeight="1" x14ac:dyDescent="0.3">
      <c r="M344" s="76"/>
      <c r="N344" s="76"/>
      <c r="O344" s="77"/>
      <c r="P344" s="78"/>
      <c r="R344" s="78"/>
    </row>
    <row r="345" spans="13:18" ht="15.75" customHeight="1" x14ac:dyDescent="0.3">
      <c r="M345" s="76"/>
      <c r="N345" s="76"/>
      <c r="O345" s="77"/>
      <c r="P345" s="78"/>
      <c r="R345" s="78"/>
    </row>
    <row r="346" spans="13:18" ht="15.75" customHeight="1" x14ac:dyDescent="0.3">
      <c r="M346" s="76"/>
      <c r="N346" s="76"/>
      <c r="O346" s="77"/>
      <c r="P346" s="78"/>
      <c r="R346" s="78"/>
    </row>
    <row r="347" spans="13:18" ht="15.75" customHeight="1" x14ac:dyDescent="0.3">
      <c r="M347" s="76"/>
      <c r="N347" s="76"/>
      <c r="O347" s="77"/>
      <c r="P347" s="78"/>
      <c r="R347" s="78"/>
    </row>
    <row r="348" spans="13:18" ht="15.75" customHeight="1" x14ac:dyDescent="0.3">
      <c r="M348" s="76"/>
      <c r="N348" s="76"/>
      <c r="O348" s="77"/>
      <c r="P348" s="78"/>
      <c r="R348" s="78"/>
    </row>
    <row r="349" spans="13:18" ht="15.75" customHeight="1" x14ac:dyDescent="0.3">
      <c r="M349" s="76"/>
      <c r="N349" s="76"/>
      <c r="O349" s="77"/>
      <c r="P349" s="78"/>
      <c r="R349" s="78"/>
    </row>
    <row r="350" spans="13:18" ht="15.75" customHeight="1" x14ac:dyDescent="0.3">
      <c r="M350" s="76"/>
      <c r="N350" s="76"/>
      <c r="O350" s="77"/>
      <c r="P350" s="78"/>
      <c r="R350" s="78"/>
    </row>
    <row r="351" spans="13:18" ht="15.75" customHeight="1" x14ac:dyDescent="0.3">
      <c r="M351" s="76"/>
      <c r="N351" s="76"/>
      <c r="O351" s="77"/>
      <c r="P351" s="78"/>
      <c r="R351" s="78"/>
    </row>
    <row r="352" spans="13:18" ht="15.75" customHeight="1" x14ac:dyDescent="0.3">
      <c r="M352" s="76"/>
      <c r="N352" s="76"/>
      <c r="O352" s="77"/>
      <c r="P352" s="78"/>
      <c r="R352" s="78"/>
    </row>
    <row r="353" spans="13:18" ht="15.75" customHeight="1" x14ac:dyDescent="0.3">
      <c r="M353" s="76"/>
      <c r="N353" s="76"/>
      <c r="O353" s="77"/>
      <c r="P353" s="78"/>
      <c r="R353" s="78"/>
    </row>
    <row r="354" spans="13:18" ht="15.75" customHeight="1" x14ac:dyDescent="0.3">
      <c r="M354" s="76"/>
      <c r="N354" s="76"/>
      <c r="O354" s="77"/>
      <c r="P354" s="78"/>
      <c r="R354" s="78"/>
    </row>
    <row r="355" spans="13:18" ht="15.75" customHeight="1" x14ac:dyDescent="0.3">
      <c r="M355" s="76"/>
      <c r="N355" s="76"/>
      <c r="O355" s="77"/>
      <c r="P355" s="78"/>
      <c r="R355" s="78"/>
    </row>
    <row r="356" spans="13:18" ht="15.75" customHeight="1" x14ac:dyDescent="0.3">
      <c r="M356" s="76"/>
      <c r="N356" s="76"/>
      <c r="O356" s="77"/>
      <c r="P356" s="78"/>
      <c r="R356" s="78"/>
    </row>
    <row r="357" spans="13:18" ht="15.75" customHeight="1" x14ac:dyDescent="0.3">
      <c r="M357" s="76"/>
      <c r="N357" s="76"/>
      <c r="O357" s="77"/>
      <c r="P357" s="78"/>
      <c r="R357" s="78"/>
    </row>
    <row r="358" spans="13:18" ht="15.75" customHeight="1" x14ac:dyDescent="0.3">
      <c r="M358" s="76"/>
      <c r="N358" s="76"/>
      <c r="O358" s="77"/>
      <c r="P358" s="78"/>
      <c r="R358" s="78"/>
    </row>
    <row r="359" spans="13:18" ht="15.75" customHeight="1" x14ac:dyDescent="0.3">
      <c r="M359" s="76"/>
      <c r="N359" s="76"/>
      <c r="O359" s="77"/>
      <c r="P359" s="78"/>
      <c r="R359" s="78"/>
    </row>
    <row r="360" spans="13:18" ht="15.75" customHeight="1" x14ac:dyDescent="0.3">
      <c r="M360" s="76"/>
      <c r="N360" s="76"/>
      <c r="O360" s="77"/>
      <c r="P360" s="78"/>
      <c r="R360" s="78"/>
    </row>
    <row r="361" spans="13:18" ht="15.75" customHeight="1" x14ac:dyDescent="0.3">
      <c r="M361" s="76"/>
      <c r="N361" s="76"/>
      <c r="O361" s="77"/>
      <c r="P361" s="78"/>
      <c r="R361" s="78"/>
    </row>
    <row r="362" spans="13:18" ht="15.75" customHeight="1" x14ac:dyDescent="0.3">
      <c r="M362" s="76"/>
      <c r="N362" s="76"/>
      <c r="O362" s="77"/>
      <c r="P362" s="78"/>
      <c r="R362" s="78"/>
    </row>
    <row r="363" spans="13:18" ht="15.75" customHeight="1" x14ac:dyDescent="0.3">
      <c r="M363" s="76"/>
      <c r="N363" s="76"/>
      <c r="O363" s="77"/>
      <c r="P363" s="78"/>
      <c r="R363" s="78"/>
    </row>
    <row r="364" spans="13:18" ht="15.75" customHeight="1" x14ac:dyDescent="0.3">
      <c r="M364" s="76"/>
      <c r="N364" s="76"/>
      <c r="O364" s="77"/>
      <c r="P364" s="78"/>
      <c r="R364" s="78"/>
    </row>
    <row r="365" spans="13:18" ht="15.75" customHeight="1" x14ac:dyDescent="0.3">
      <c r="M365" s="76"/>
      <c r="N365" s="76"/>
      <c r="O365" s="77"/>
      <c r="P365" s="78"/>
      <c r="R365" s="78"/>
    </row>
    <row r="366" spans="13:18" ht="15.75" customHeight="1" x14ac:dyDescent="0.3">
      <c r="M366" s="76"/>
      <c r="N366" s="76"/>
      <c r="O366" s="77"/>
      <c r="P366" s="78"/>
      <c r="R366" s="78"/>
    </row>
    <row r="367" spans="13:18" ht="15.75" customHeight="1" x14ac:dyDescent="0.3">
      <c r="M367" s="76"/>
      <c r="N367" s="76"/>
      <c r="O367" s="77"/>
      <c r="P367" s="78"/>
      <c r="R367" s="78"/>
    </row>
    <row r="368" spans="13:18" ht="15.75" customHeight="1" x14ac:dyDescent="0.3">
      <c r="M368" s="76"/>
      <c r="N368" s="76"/>
      <c r="O368" s="77"/>
      <c r="P368" s="78"/>
      <c r="R368" s="78"/>
    </row>
    <row r="369" spans="13:18" ht="15.75" customHeight="1" x14ac:dyDescent="0.3">
      <c r="M369" s="76"/>
      <c r="N369" s="76"/>
      <c r="O369" s="77"/>
      <c r="P369" s="78"/>
      <c r="R369" s="78"/>
    </row>
    <row r="370" spans="13:18" ht="15.75" customHeight="1" x14ac:dyDescent="0.3">
      <c r="M370" s="76"/>
      <c r="N370" s="76"/>
      <c r="O370" s="77"/>
      <c r="P370" s="78"/>
      <c r="R370" s="78"/>
    </row>
    <row r="371" spans="13:18" ht="15.75" customHeight="1" x14ac:dyDescent="0.3">
      <c r="M371" s="76"/>
      <c r="N371" s="76"/>
      <c r="O371" s="77"/>
      <c r="P371" s="78"/>
      <c r="R371" s="78"/>
    </row>
    <row r="372" spans="13:18" ht="15.75" customHeight="1" x14ac:dyDescent="0.3">
      <c r="M372" s="76"/>
      <c r="N372" s="76"/>
      <c r="O372" s="77"/>
      <c r="P372" s="78"/>
      <c r="R372" s="78"/>
    </row>
    <row r="373" spans="13:18" ht="15.75" customHeight="1" x14ac:dyDescent="0.3">
      <c r="M373" s="76"/>
      <c r="N373" s="76"/>
      <c r="O373" s="77"/>
      <c r="P373" s="78"/>
      <c r="R373" s="78"/>
    </row>
    <row r="374" spans="13:18" ht="15.75" customHeight="1" x14ac:dyDescent="0.3">
      <c r="M374" s="76"/>
      <c r="N374" s="76"/>
      <c r="O374" s="77"/>
      <c r="P374" s="78"/>
      <c r="R374" s="78"/>
    </row>
    <row r="375" spans="13:18" ht="15.75" customHeight="1" x14ac:dyDescent="0.3">
      <c r="M375" s="76"/>
      <c r="N375" s="76"/>
      <c r="O375" s="77"/>
      <c r="P375" s="78"/>
      <c r="R375" s="78"/>
    </row>
    <row r="376" spans="13:18" ht="15.75" customHeight="1" x14ac:dyDescent="0.3">
      <c r="M376" s="76"/>
      <c r="N376" s="76"/>
      <c r="O376" s="77"/>
      <c r="P376" s="78"/>
      <c r="R376" s="78"/>
    </row>
    <row r="377" spans="13:18" ht="15.75" customHeight="1" x14ac:dyDescent="0.3">
      <c r="M377" s="76"/>
      <c r="N377" s="76"/>
      <c r="O377" s="77"/>
      <c r="P377" s="78"/>
      <c r="R377" s="78"/>
    </row>
    <row r="378" spans="13:18" ht="15.75" customHeight="1" x14ac:dyDescent="0.3">
      <c r="M378" s="76"/>
      <c r="N378" s="76"/>
      <c r="O378" s="77"/>
      <c r="P378" s="78"/>
      <c r="R378" s="78"/>
    </row>
    <row r="379" spans="13:18" ht="15.75" customHeight="1" x14ac:dyDescent="0.3">
      <c r="M379" s="76"/>
      <c r="N379" s="76"/>
      <c r="O379" s="77"/>
      <c r="P379" s="78"/>
      <c r="R379" s="78"/>
    </row>
    <row r="380" spans="13:18" ht="15.75" customHeight="1" x14ac:dyDescent="0.3">
      <c r="M380" s="76"/>
      <c r="N380" s="76"/>
      <c r="O380" s="77"/>
      <c r="P380" s="78"/>
      <c r="R380" s="78"/>
    </row>
    <row r="381" spans="13:18" ht="15.75" customHeight="1" x14ac:dyDescent="0.3">
      <c r="M381" s="76"/>
      <c r="N381" s="76"/>
      <c r="O381" s="77"/>
      <c r="P381" s="78"/>
      <c r="R381" s="78"/>
    </row>
    <row r="382" spans="13:18" ht="15.75" customHeight="1" x14ac:dyDescent="0.3">
      <c r="M382" s="76"/>
      <c r="N382" s="76"/>
      <c r="O382" s="77"/>
      <c r="P382" s="78"/>
      <c r="R382" s="78"/>
    </row>
    <row r="383" spans="13:18" ht="15.75" customHeight="1" x14ac:dyDescent="0.3">
      <c r="M383" s="76"/>
      <c r="N383" s="76"/>
      <c r="O383" s="77"/>
      <c r="P383" s="78"/>
      <c r="R383" s="78"/>
    </row>
    <row r="384" spans="13:18" ht="15.75" customHeight="1" x14ac:dyDescent="0.3">
      <c r="M384" s="76"/>
      <c r="N384" s="76"/>
      <c r="O384" s="77"/>
      <c r="P384" s="78"/>
      <c r="R384" s="78"/>
    </row>
    <row r="385" spans="13:18" ht="15.75" customHeight="1" x14ac:dyDescent="0.3">
      <c r="M385" s="76"/>
      <c r="N385" s="76"/>
      <c r="O385" s="77"/>
      <c r="P385" s="78"/>
      <c r="R385" s="78"/>
    </row>
    <row r="386" spans="13:18" ht="15.75" customHeight="1" x14ac:dyDescent="0.3">
      <c r="M386" s="76"/>
      <c r="N386" s="76"/>
      <c r="O386" s="77"/>
      <c r="P386" s="78"/>
      <c r="R386" s="78"/>
    </row>
    <row r="387" spans="13:18" ht="15.75" customHeight="1" x14ac:dyDescent="0.3">
      <c r="M387" s="76"/>
      <c r="N387" s="76"/>
      <c r="O387" s="77"/>
      <c r="P387" s="78"/>
      <c r="R387" s="78"/>
    </row>
    <row r="388" spans="13:18" ht="15.75" customHeight="1" x14ac:dyDescent="0.3">
      <c r="M388" s="76"/>
      <c r="N388" s="76"/>
      <c r="O388" s="77"/>
      <c r="P388" s="78"/>
      <c r="R388" s="78"/>
    </row>
    <row r="389" spans="13:18" ht="15.75" customHeight="1" x14ac:dyDescent="0.3">
      <c r="M389" s="76"/>
      <c r="N389" s="76"/>
      <c r="O389" s="77"/>
      <c r="P389" s="78"/>
      <c r="R389" s="78"/>
    </row>
    <row r="390" spans="13:18" ht="15.75" customHeight="1" x14ac:dyDescent="0.3">
      <c r="M390" s="76"/>
      <c r="N390" s="76"/>
      <c r="O390" s="77"/>
      <c r="P390" s="78"/>
      <c r="R390" s="78"/>
    </row>
    <row r="391" spans="13:18" ht="15.75" customHeight="1" x14ac:dyDescent="0.3">
      <c r="M391" s="76"/>
      <c r="N391" s="76"/>
      <c r="O391" s="77"/>
      <c r="P391" s="78"/>
      <c r="R391" s="78"/>
    </row>
    <row r="392" spans="13:18" ht="15.75" customHeight="1" x14ac:dyDescent="0.3">
      <c r="M392" s="76"/>
      <c r="N392" s="76"/>
      <c r="O392" s="77"/>
      <c r="P392" s="78"/>
      <c r="R392" s="78"/>
    </row>
    <row r="393" spans="13:18" ht="15.75" customHeight="1" x14ac:dyDescent="0.3">
      <c r="M393" s="76"/>
      <c r="N393" s="76"/>
      <c r="O393" s="77"/>
      <c r="P393" s="78"/>
      <c r="R393" s="78"/>
    </row>
    <row r="394" spans="13:18" ht="15.75" customHeight="1" x14ac:dyDescent="0.3">
      <c r="M394" s="76"/>
      <c r="N394" s="76"/>
      <c r="O394" s="77"/>
      <c r="P394" s="78"/>
      <c r="R394" s="78"/>
    </row>
    <row r="395" spans="13:18" ht="15.75" customHeight="1" x14ac:dyDescent="0.3">
      <c r="M395" s="76"/>
      <c r="N395" s="76"/>
      <c r="O395" s="77"/>
      <c r="P395" s="78"/>
      <c r="R395" s="78"/>
    </row>
    <row r="396" spans="13:18" ht="15.75" customHeight="1" x14ac:dyDescent="0.3">
      <c r="M396" s="76"/>
      <c r="N396" s="76"/>
      <c r="O396" s="77"/>
      <c r="P396" s="78"/>
      <c r="R396" s="78"/>
    </row>
    <row r="397" spans="13:18" ht="15.75" customHeight="1" x14ac:dyDescent="0.3">
      <c r="M397" s="76"/>
      <c r="N397" s="76"/>
      <c r="O397" s="77"/>
      <c r="P397" s="78"/>
      <c r="R397" s="78"/>
    </row>
    <row r="398" spans="13:18" ht="15.75" customHeight="1" x14ac:dyDescent="0.3">
      <c r="M398" s="76"/>
      <c r="N398" s="76"/>
      <c r="O398" s="77"/>
      <c r="P398" s="78"/>
      <c r="R398" s="78"/>
    </row>
    <row r="399" spans="13:18" ht="15.75" customHeight="1" x14ac:dyDescent="0.3">
      <c r="M399" s="76"/>
      <c r="N399" s="76"/>
      <c r="O399" s="77"/>
      <c r="P399" s="78"/>
      <c r="R399" s="78"/>
    </row>
    <row r="400" spans="13:18" ht="15.75" customHeight="1" x14ac:dyDescent="0.3">
      <c r="M400" s="76"/>
      <c r="N400" s="76"/>
      <c r="O400" s="77"/>
      <c r="P400" s="78"/>
      <c r="R400" s="78"/>
    </row>
    <row r="401" spans="13:18" ht="15.75" customHeight="1" x14ac:dyDescent="0.3">
      <c r="M401" s="76"/>
      <c r="N401" s="76"/>
      <c r="O401" s="77"/>
      <c r="P401" s="78"/>
      <c r="R401" s="78"/>
    </row>
    <row r="402" spans="13:18" ht="15.75" customHeight="1" x14ac:dyDescent="0.3">
      <c r="M402" s="76"/>
      <c r="N402" s="76"/>
      <c r="O402" s="77"/>
      <c r="P402" s="78"/>
      <c r="R402" s="78"/>
    </row>
    <row r="403" spans="13:18" ht="15.75" customHeight="1" x14ac:dyDescent="0.3">
      <c r="M403" s="76"/>
      <c r="N403" s="76"/>
      <c r="O403" s="77"/>
      <c r="P403" s="78"/>
      <c r="R403" s="78"/>
    </row>
    <row r="404" spans="13:18" ht="15.75" customHeight="1" x14ac:dyDescent="0.3">
      <c r="M404" s="76"/>
      <c r="N404" s="76"/>
      <c r="O404" s="77"/>
      <c r="P404" s="78"/>
      <c r="R404" s="78"/>
    </row>
    <row r="405" spans="13:18" ht="15.75" customHeight="1" x14ac:dyDescent="0.3">
      <c r="M405" s="76"/>
      <c r="N405" s="76"/>
      <c r="O405" s="77"/>
      <c r="P405" s="78"/>
      <c r="R405" s="78"/>
    </row>
    <row r="406" spans="13:18" ht="15.75" customHeight="1" x14ac:dyDescent="0.3">
      <c r="M406" s="76"/>
      <c r="N406" s="76"/>
      <c r="O406" s="77"/>
      <c r="P406" s="78"/>
      <c r="R406" s="78"/>
    </row>
    <row r="407" spans="13:18" ht="15.75" customHeight="1" x14ac:dyDescent="0.3">
      <c r="M407" s="76"/>
      <c r="N407" s="76"/>
      <c r="O407" s="77"/>
      <c r="P407" s="78"/>
      <c r="R407" s="78"/>
    </row>
    <row r="408" spans="13:18" ht="15.75" customHeight="1" x14ac:dyDescent="0.3">
      <c r="M408" s="76"/>
      <c r="N408" s="76"/>
      <c r="O408" s="77"/>
      <c r="P408" s="78"/>
      <c r="R408" s="78"/>
    </row>
    <row r="409" spans="13:18" ht="15.75" customHeight="1" x14ac:dyDescent="0.3">
      <c r="M409" s="76"/>
      <c r="N409" s="76"/>
      <c r="O409" s="77"/>
      <c r="P409" s="78"/>
      <c r="R409" s="78"/>
    </row>
    <row r="410" spans="13:18" ht="15.75" customHeight="1" x14ac:dyDescent="0.3">
      <c r="M410" s="76"/>
      <c r="N410" s="76"/>
      <c r="O410" s="77"/>
      <c r="P410" s="78"/>
      <c r="R410" s="78"/>
    </row>
    <row r="411" spans="13:18" ht="15.75" customHeight="1" x14ac:dyDescent="0.3">
      <c r="M411" s="76"/>
      <c r="N411" s="76"/>
      <c r="O411" s="77"/>
      <c r="P411" s="78"/>
      <c r="R411" s="78"/>
    </row>
    <row r="412" spans="13:18" ht="15.75" customHeight="1" x14ac:dyDescent="0.3">
      <c r="M412" s="76"/>
      <c r="N412" s="76"/>
      <c r="O412" s="77"/>
      <c r="P412" s="78"/>
      <c r="R412" s="78"/>
    </row>
    <row r="413" spans="13:18" ht="15.75" customHeight="1" x14ac:dyDescent="0.3">
      <c r="M413" s="76"/>
      <c r="N413" s="76"/>
      <c r="O413" s="77"/>
      <c r="P413" s="78"/>
      <c r="R413" s="78"/>
    </row>
    <row r="414" spans="13:18" ht="15.75" customHeight="1" x14ac:dyDescent="0.3">
      <c r="M414" s="76"/>
      <c r="N414" s="76"/>
      <c r="O414" s="77"/>
      <c r="P414" s="78"/>
      <c r="R414" s="78"/>
    </row>
    <row r="415" spans="13:18" ht="15.75" customHeight="1" x14ac:dyDescent="0.3">
      <c r="M415" s="76"/>
      <c r="N415" s="76"/>
      <c r="O415" s="77"/>
      <c r="P415" s="78"/>
      <c r="R415" s="78"/>
    </row>
    <row r="416" spans="13:18" ht="15.75" customHeight="1" x14ac:dyDescent="0.3">
      <c r="M416" s="76"/>
      <c r="N416" s="76"/>
      <c r="O416" s="77"/>
      <c r="P416" s="78"/>
      <c r="R416" s="78"/>
    </row>
    <row r="417" spans="13:18" ht="15.75" customHeight="1" x14ac:dyDescent="0.3">
      <c r="M417" s="76"/>
      <c r="N417" s="76"/>
      <c r="O417" s="77"/>
      <c r="P417" s="78"/>
      <c r="R417" s="78"/>
    </row>
    <row r="418" spans="13:18" ht="15.75" customHeight="1" x14ac:dyDescent="0.3">
      <c r="M418" s="76"/>
      <c r="N418" s="76"/>
      <c r="O418" s="77"/>
      <c r="P418" s="78"/>
      <c r="R418" s="78"/>
    </row>
    <row r="419" spans="13:18" ht="15.75" customHeight="1" x14ac:dyDescent="0.3">
      <c r="M419" s="76"/>
      <c r="N419" s="76"/>
      <c r="O419" s="77"/>
      <c r="P419" s="78"/>
      <c r="R419" s="78"/>
    </row>
    <row r="420" spans="13:18" ht="15.75" customHeight="1" x14ac:dyDescent="0.3">
      <c r="M420" s="76"/>
      <c r="N420" s="76"/>
      <c r="O420" s="77"/>
      <c r="P420" s="78"/>
      <c r="R420" s="78"/>
    </row>
    <row r="421" spans="13:18" ht="15.75" customHeight="1" x14ac:dyDescent="0.3">
      <c r="M421" s="76"/>
      <c r="N421" s="76"/>
      <c r="O421" s="77"/>
      <c r="P421" s="78"/>
      <c r="R421" s="78"/>
    </row>
    <row r="422" spans="13:18" ht="15.75" customHeight="1" x14ac:dyDescent="0.3">
      <c r="M422" s="76"/>
      <c r="N422" s="76"/>
      <c r="O422" s="77"/>
      <c r="P422" s="78"/>
      <c r="R422" s="78"/>
    </row>
    <row r="423" spans="13:18" ht="15.75" customHeight="1" x14ac:dyDescent="0.3">
      <c r="M423" s="76"/>
      <c r="N423" s="76"/>
      <c r="O423" s="77"/>
      <c r="P423" s="78"/>
      <c r="R423" s="78"/>
    </row>
    <row r="424" spans="13:18" ht="15.75" customHeight="1" x14ac:dyDescent="0.3">
      <c r="M424" s="76"/>
      <c r="N424" s="76"/>
      <c r="O424" s="77"/>
      <c r="P424" s="78"/>
      <c r="R424" s="78"/>
    </row>
    <row r="425" spans="13:18" ht="15.75" customHeight="1" x14ac:dyDescent="0.3">
      <c r="M425" s="76"/>
      <c r="N425" s="76"/>
      <c r="O425" s="77"/>
      <c r="P425" s="78"/>
      <c r="R425" s="78"/>
    </row>
    <row r="426" spans="13:18" ht="15.75" customHeight="1" x14ac:dyDescent="0.3">
      <c r="M426" s="76"/>
      <c r="N426" s="76"/>
      <c r="O426" s="77"/>
      <c r="P426" s="78"/>
      <c r="R426" s="78"/>
    </row>
    <row r="427" spans="13:18" ht="15.75" customHeight="1" x14ac:dyDescent="0.3">
      <c r="M427" s="76"/>
      <c r="N427" s="76"/>
      <c r="O427" s="77"/>
      <c r="P427" s="78"/>
      <c r="R427" s="78"/>
    </row>
    <row r="428" spans="13:18" ht="15.75" customHeight="1" x14ac:dyDescent="0.3">
      <c r="M428" s="76"/>
      <c r="N428" s="76"/>
      <c r="O428" s="77"/>
      <c r="P428" s="78"/>
      <c r="R428" s="78"/>
    </row>
    <row r="429" spans="13:18" ht="15.75" customHeight="1" x14ac:dyDescent="0.3">
      <c r="M429" s="76"/>
      <c r="N429" s="76"/>
      <c r="O429" s="77"/>
      <c r="P429" s="78"/>
      <c r="R429" s="78"/>
    </row>
    <row r="430" spans="13:18" ht="15.75" customHeight="1" x14ac:dyDescent="0.3">
      <c r="M430" s="76"/>
      <c r="N430" s="76"/>
      <c r="O430" s="77"/>
      <c r="P430" s="78"/>
      <c r="R430" s="78"/>
    </row>
    <row r="431" spans="13:18" ht="15.75" customHeight="1" x14ac:dyDescent="0.3">
      <c r="M431" s="76"/>
      <c r="N431" s="76"/>
      <c r="O431" s="77"/>
      <c r="P431" s="78"/>
      <c r="R431" s="78"/>
    </row>
    <row r="432" spans="13:18" ht="15.75" customHeight="1" x14ac:dyDescent="0.3">
      <c r="M432" s="76"/>
      <c r="N432" s="76"/>
      <c r="O432" s="77"/>
      <c r="P432" s="78"/>
      <c r="R432" s="78"/>
    </row>
    <row r="433" spans="13:18" ht="15.75" customHeight="1" x14ac:dyDescent="0.3">
      <c r="M433" s="76"/>
      <c r="N433" s="76"/>
      <c r="O433" s="77"/>
      <c r="P433" s="78"/>
      <c r="R433" s="78"/>
    </row>
    <row r="434" spans="13:18" ht="15.75" customHeight="1" x14ac:dyDescent="0.3">
      <c r="M434" s="76"/>
      <c r="N434" s="76"/>
      <c r="O434" s="77"/>
      <c r="P434" s="78"/>
      <c r="R434" s="78"/>
    </row>
    <row r="435" spans="13:18" ht="15.75" customHeight="1" x14ac:dyDescent="0.3">
      <c r="M435" s="76"/>
      <c r="N435" s="76"/>
      <c r="O435" s="77"/>
      <c r="P435" s="78"/>
      <c r="R435" s="78"/>
    </row>
    <row r="436" spans="13:18" ht="15.75" customHeight="1" x14ac:dyDescent="0.3">
      <c r="M436" s="76"/>
      <c r="N436" s="76"/>
      <c r="O436" s="77"/>
      <c r="P436" s="78"/>
      <c r="R436" s="78"/>
    </row>
    <row r="437" spans="13:18" ht="15.75" customHeight="1" x14ac:dyDescent="0.3">
      <c r="M437" s="76"/>
      <c r="N437" s="76"/>
      <c r="O437" s="77"/>
      <c r="P437" s="78"/>
      <c r="R437" s="78"/>
    </row>
    <row r="438" spans="13:18" ht="15.75" customHeight="1" x14ac:dyDescent="0.3">
      <c r="M438" s="76"/>
      <c r="N438" s="76"/>
      <c r="O438" s="77"/>
      <c r="P438" s="78"/>
      <c r="R438" s="78"/>
    </row>
    <row r="439" spans="13:18" ht="15.75" customHeight="1" x14ac:dyDescent="0.3">
      <c r="M439" s="76"/>
      <c r="N439" s="76"/>
      <c r="O439" s="77"/>
      <c r="P439" s="78"/>
      <c r="R439" s="78"/>
    </row>
    <row r="440" spans="13:18" ht="15.75" customHeight="1" x14ac:dyDescent="0.3">
      <c r="M440" s="76"/>
      <c r="N440" s="76"/>
      <c r="O440" s="77"/>
      <c r="P440" s="78"/>
      <c r="R440" s="78"/>
    </row>
    <row r="441" spans="13:18" ht="15.75" customHeight="1" x14ac:dyDescent="0.3">
      <c r="M441" s="76"/>
      <c r="N441" s="76"/>
      <c r="O441" s="77"/>
      <c r="P441" s="78"/>
      <c r="R441" s="78"/>
    </row>
    <row r="442" spans="13:18" ht="15.75" customHeight="1" x14ac:dyDescent="0.3">
      <c r="M442" s="76"/>
      <c r="N442" s="76"/>
      <c r="O442" s="77"/>
      <c r="P442" s="78"/>
      <c r="R442" s="78"/>
    </row>
    <row r="443" spans="13:18" ht="15.75" customHeight="1" x14ac:dyDescent="0.3">
      <c r="M443" s="76"/>
      <c r="N443" s="76"/>
      <c r="O443" s="77"/>
      <c r="P443" s="78"/>
      <c r="R443" s="78"/>
    </row>
    <row r="444" spans="13:18" ht="15.75" customHeight="1" x14ac:dyDescent="0.3">
      <c r="M444" s="76"/>
      <c r="N444" s="76"/>
      <c r="O444" s="77"/>
      <c r="P444" s="78"/>
      <c r="R444" s="78"/>
    </row>
    <row r="445" spans="13:18" ht="15.75" customHeight="1" x14ac:dyDescent="0.3">
      <c r="M445" s="76"/>
      <c r="N445" s="76"/>
      <c r="O445" s="77"/>
      <c r="P445" s="78"/>
      <c r="R445" s="78"/>
    </row>
    <row r="446" spans="13:18" ht="15.75" customHeight="1" x14ac:dyDescent="0.3">
      <c r="M446" s="76"/>
      <c r="N446" s="76"/>
      <c r="O446" s="77"/>
      <c r="P446" s="78"/>
      <c r="R446" s="78"/>
    </row>
    <row r="447" spans="13:18" ht="15.75" customHeight="1" x14ac:dyDescent="0.3">
      <c r="M447" s="76"/>
      <c r="N447" s="76"/>
      <c r="O447" s="77"/>
      <c r="P447" s="78"/>
      <c r="R447" s="78"/>
    </row>
    <row r="448" spans="13:18" ht="15.75" customHeight="1" x14ac:dyDescent="0.3">
      <c r="M448" s="76"/>
      <c r="N448" s="76"/>
      <c r="O448" s="77"/>
      <c r="P448" s="78"/>
      <c r="R448" s="78"/>
    </row>
    <row r="449" spans="13:18" ht="15.75" customHeight="1" x14ac:dyDescent="0.3">
      <c r="M449" s="76"/>
      <c r="N449" s="76"/>
      <c r="O449" s="77"/>
      <c r="P449" s="78"/>
      <c r="R449" s="78"/>
    </row>
    <row r="450" spans="13:18" ht="15.75" customHeight="1" x14ac:dyDescent="0.3">
      <c r="M450" s="76"/>
      <c r="N450" s="76"/>
      <c r="O450" s="77"/>
      <c r="P450" s="78"/>
      <c r="R450" s="78"/>
    </row>
    <row r="451" spans="13:18" ht="15.75" customHeight="1" x14ac:dyDescent="0.3">
      <c r="M451" s="76"/>
      <c r="N451" s="76"/>
      <c r="O451" s="77"/>
      <c r="P451" s="78"/>
      <c r="R451" s="78"/>
    </row>
    <row r="452" spans="13:18" ht="15.75" customHeight="1" x14ac:dyDescent="0.3">
      <c r="M452" s="76"/>
      <c r="N452" s="76"/>
      <c r="O452" s="77"/>
      <c r="P452" s="78"/>
      <c r="R452" s="78"/>
    </row>
    <row r="453" spans="13:18" ht="15.75" customHeight="1" x14ac:dyDescent="0.3">
      <c r="M453" s="76"/>
      <c r="N453" s="76"/>
      <c r="O453" s="77"/>
      <c r="P453" s="78"/>
      <c r="R453" s="78"/>
    </row>
    <row r="454" spans="13:18" ht="15.75" customHeight="1" x14ac:dyDescent="0.3">
      <c r="M454" s="76"/>
      <c r="N454" s="76"/>
      <c r="O454" s="77"/>
      <c r="P454" s="78"/>
      <c r="R454" s="78"/>
    </row>
    <row r="455" spans="13:18" ht="15.75" customHeight="1" x14ac:dyDescent="0.3">
      <c r="M455" s="76"/>
      <c r="N455" s="76"/>
      <c r="O455" s="77"/>
      <c r="P455" s="78"/>
      <c r="R455" s="78"/>
    </row>
    <row r="456" spans="13:18" ht="15.75" customHeight="1" x14ac:dyDescent="0.3">
      <c r="M456" s="76"/>
      <c r="N456" s="76"/>
      <c r="O456" s="77"/>
      <c r="P456" s="78"/>
      <c r="R456" s="78"/>
    </row>
    <row r="457" spans="13:18" ht="15.75" customHeight="1" x14ac:dyDescent="0.3">
      <c r="M457" s="76"/>
      <c r="N457" s="76"/>
      <c r="O457" s="77"/>
      <c r="P457" s="78"/>
      <c r="R457" s="78"/>
    </row>
    <row r="458" spans="13:18" ht="15.75" customHeight="1" x14ac:dyDescent="0.3">
      <c r="M458" s="76"/>
      <c r="N458" s="76"/>
      <c r="O458" s="77"/>
      <c r="P458" s="78"/>
      <c r="R458" s="78"/>
    </row>
    <row r="459" spans="13:18" ht="15.75" customHeight="1" x14ac:dyDescent="0.3">
      <c r="M459" s="76"/>
      <c r="N459" s="76"/>
      <c r="O459" s="77"/>
      <c r="P459" s="78"/>
      <c r="R459" s="78"/>
    </row>
    <row r="460" spans="13:18" ht="15.75" customHeight="1" x14ac:dyDescent="0.3">
      <c r="M460" s="76"/>
      <c r="N460" s="76"/>
      <c r="O460" s="77"/>
      <c r="P460" s="78"/>
      <c r="R460" s="78"/>
    </row>
    <row r="461" spans="13:18" ht="15.75" customHeight="1" x14ac:dyDescent="0.3">
      <c r="M461" s="76"/>
      <c r="N461" s="76"/>
      <c r="O461" s="77"/>
      <c r="P461" s="78"/>
      <c r="R461" s="78"/>
    </row>
    <row r="462" spans="13:18" ht="15.75" customHeight="1" x14ac:dyDescent="0.3">
      <c r="M462" s="76"/>
      <c r="N462" s="76"/>
      <c r="O462" s="77"/>
      <c r="P462" s="78"/>
      <c r="R462" s="78"/>
    </row>
    <row r="463" spans="13:18" ht="15.75" customHeight="1" x14ac:dyDescent="0.3">
      <c r="M463" s="76"/>
      <c r="N463" s="76"/>
      <c r="O463" s="77"/>
      <c r="P463" s="78"/>
      <c r="R463" s="78"/>
    </row>
    <row r="464" spans="13:18" ht="15.75" customHeight="1" x14ac:dyDescent="0.3">
      <c r="M464" s="76"/>
      <c r="N464" s="76"/>
      <c r="O464" s="77"/>
      <c r="P464" s="78"/>
      <c r="R464" s="78"/>
    </row>
    <row r="465" spans="13:18" ht="15.75" customHeight="1" x14ac:dyDescent="0.3">
      <c r="M465" s="76"/>
      <c r="N465" s="76"/>
      <c r="O465" s="77"/>
      <c r="P465" s="78"/>
      <c r="R465" s="78"/>
    </row>
    <row r="466" spans="13:18" ht="15.75" customHeight="1" x14ac:dyDescent="0.3">
      <c r="M466" s="76"/>
      <c r="N466" s="76"/>
      <c r="O466" s="77"/>
      <c r="P466" s="78"/>
      <c r="R466" s="78"/>
    </row>
    <row r="467" spans="13:18" ht="15.75" customHeight="1" x14ac:dyDescent="0.3">
      <c r="M467" s="76"/>
      <c r="N467" s="76"/>
      <c r="O467" s="77"/>
      <c r="P467" s="78"/>
      <c r="R467" s="78"/>
    </row>
    <row r="468" spans="13:18" ht="15.75" customHeight="1" x14ac:dyDescent="0.3">
      <c r="M468" s="76"/>
      <c r="N468" s="76"/>
      <c r="O468" s="77"/>
      <c r="P468" s="78"/>
      <c r="R468" s="78"/>
    </row>
    <row r="469" spans="13:18" ht="15.75" customHeight="1" x14ac:dyDescent="0.3">
      <c r="M469" s="76"/>
      <c r="N469" s="76"/>
      <c r="O469" s="77"/>
      <c r="P469" s="78"/>
      <c r="R469" s="78"/>
    </row>
    <row r="470" spans="13:18" ht="15.75" customHeight="1" x14ac:dyDescent="0.3">
      <c r="M470" s="76"/>
      <c r="N470" s="76"/>
      <c r="O470" s="77"/>
      <c r="P470" s="78"/>
      <c r="R470" s="78"/>
    </row>
    <row r="471" spans="13:18" ht="15.75" customHeight="1" x14ac:dyDescent="0.3">
      <c r="M471" s="76"/>
      <c r="N471" s="76"/>
      <c r="O471" s="77"/>
      <c r="P471" s="78"/>
      <c r="R471" s="78"/>
    </row>
    <row r="472" spans="13:18" ht="15.75" customHeight="1" x14ac:dyDescent="0.3">
      <c r="M472" s="76"/>
      <c r="N472" s="76"/>
      <c r="O472" s="77"/>
      <c r="P472" s="78"/>
      <c r="R472" s="78"/>
    </row>
    <row r="473" spans="13:18" ht="15.75" customHeight="1" x14ac:dyDescent="0.3">
      <c r="M473" s="76"/>
      <c r="N473" s="76"/>
      <c r="O473" s="77"/>
      <c r="P473" s="78"/>
      <c r="R473" s="78"/>
    </row>
    <row r="474" spans="13:18" ht="15.75" customHeight="1" x14ac:dyDescent="0.3">
      <c r="M474" s="76"/>
      <c r="N474" s="76"/>
      <c r="O474" s="77"/>
      <c r="P474" s="78"/>
      <c r="R474" s="78"/>
    </row>
    <row r="475" spans="13:18" ht="15.75" customHeight="1" x14ac:dyDescent="0.3">
      <c r="M475" s="76"/>
      <c r="N475" s="76"/>
      <c r="O475" s="77"/>
      <c r="P475" s="78"/>
      <c r="R475" s="78"/>
    </row>
    <row r="476" spans="13:18" ht="15.75" customHeight="1" x14ac:dyDescent="0.3">
      <c r="M476" s="76"/>
      <c r="N476" s="76"/>
      <c r="O476" s="77"/>
      <c r="P476" s="78"/>
      <c r="R476" s="78"/>
    </row>
    <row r="477" spans="13:18" ht="15.75" customHeight="1" x14ac:dyDescent="0.3">
      <c r="M477" s="76"/>
      <c r="N477" s="76"/>
      <c r="O477" s="77"/>
      <c r="P477" s="78"/>
      <c r="R477" s="78"/>
    </row>
    <row r="478" spans="13:18" ht="15.75" customHeight="1" x14ac:dyDescent="0.3">
      <c r="M478" s="76"/>
      <c r="N478" s="76"/>
      <c r="O478" s="77"/>
      <c r="P478" s="78"/>
      <c r="R478" s="78"/>
    </row>
    <row r="479" spans="13:18" ht="15.75" customHeight="1" x14ac:dyDescent="0.3">
      <c r="M479" s="76"/>
      <c r="N479" s="76"/>
      <c r="O479" s="77"/>
      <c r="P479" s="78"/>
      <c r="R479" s="78"/>
    </row>
    <row r="480" spans="13:18" ht="15.75" customHeight="1" x14ac:dyDescent="0.3">
      <c r="M480" s="76"/>
      <c r="N480" s="76"/>
      <c r="O480" s="77"/>
      <c r="P480" s="78"/>
      <c r="R480" s="78"/>
    </row>
    <row r="481" spans="13:18" ht="15.75" customHeight="1" x14ac:dyDescent="0.3">
      <c r="M481" s="76"/>
      <c r="N481" s="76"/>
      <c r="O481" s="77"/>
      <c r="P481" s="78"/>
      <c r="R481" s="78"/>
    </row>
    <row r="482" spans="13:18" ht="15.75" customHeight="1" x14ac:dyDescent="0.3">
      <c r="M482" s="76"/>
      <c r="N482" s="76"/>
      <c r="O482" s="77"/>
      <c r="P482" s="78"/>
      <c r="R482" s="78"/>
    </row>
    <row r="483" spans="13:18" ht="15.75" customHeight="1" x14ac:dyDescent="0.3">
      <c r="M483" s="76"/>
      <c r="N483" s="76"/>
      <c r="O483" s="77"/>
      <c r="P483" s="78"/>
      <c r="R483" s="78"/>
    </row>
    <row r="484" spans="13:18" ht="15.75" customHeight="1" x14ac:dyDescent="0.3">
      <c r="M484" s="76"/>
      <c r="N484" s="76"/>
      <c r="O484" s="77"/>
      <c r="P484" s="78"/>
      <c r="R484" s="78"/>
    </row>
    <row r="485" spans="13:18" ht="15.75" customHeight="1" x14ac:dyDescent="0.3">
      <c r="M485" s="76"/>
      <c r="N485" s="76"/>
      <c r="O485" s="77"/>
      <c r="P485" s="78"/>
      <c r="R485" s="78"/>
    </row>
    <row r="486" spans="13:18" ht="15.75" customHeight="1" x14ac:dyDescent="0.3">
      <c r="M486" s="76"/>
      <c r="N486" s="76"/>
      <c r="O486" s="77"/>
      <c r="P486" s="78"/>
      <c r="R486" s="78"/>
    </row>
    <row r="487" spans="13:18" ht="15.75" customHeight="1" x14ac:dyDescent="0.3">
      <c r="M487" s="76"/>
      <c r="N487" s="76"/>
      <c r="O487" s="77"/>
      <c r="P487" s="78"/>
      <c r="R487" s="78"/>
    </row>
    <row r="488" spans="13:18" ht="15.75" customHeight="1" x14ac:dyDescent="0.3">
      <c r="M488" s="76"/>
      <c r="N488" s="76"/>
      <c r="O488" s="77"/>
      <c r="P488" s="78"/>
      <c r="R488" s="78"/>
    </row>
    <row r="489" spans="13:18" ht="15.75" customHeight="1" x14ac:dyDescent="0.3">
      <c r="M489" s="76"/>
      <c r="N489" s="76"/>
      <c r="O489" s="77"/>
      <c r="P489" s="78"/>
      <c r="R489" s="78"/>
    </row>
    <row r="490" spans="13:18" ht="15.75" customHeight="1" x14ac:dyDescent="0.3">
      <c r="M490" s="76"/>
      <c r="N490" s="76"/>
      <c r="O490" s="77"/>
      <c r="P490" s="78"/>
      <c r="R490" s="78"/>
    </row>
    <row r="491" spans="13:18" ht="15.75" customHeight="1" x14ac:dyDescent="0.3">
      <c r="M491" s="76"/>
      <c r="N491" s="76"/>
      <c r="O491" s="77"/>
      <c r="P491" s="78"/>
      <c r="R491" s="78"/>
    </row>
    <row r="492" spans="13:18" ht="15.75" customHeight="1" x14ac:dyDescent="0.3">
      <c r="M492" s="76"/>
      <c r="N492" s="76"/>
      <c r="O492" s="77"/>
      <c r="P492" s="78"/>
      <c r="R492" s="78"/>
    </row>
    <row r="493" spans="13:18" ht="15.75" customHeight="1" x14ac:dyDescent="0.3">
      <c r="M493" s="76"/>
      <c r="N493" s="76"/>
      <c r="O493" s="77"/>
      <c r="P493" s="78"/>
      <c r="R493" s="78"/>
    </row>
    <row r="494" spans="13:18" ht="15.75" customHeight="1" x14ac:dyDescent="0.3">
      <c r="M494" s="76"/>
      <c r="N494" s="76"/>
      <c r="O494" s="77"/>
      <c r="P494" s="78"/>
      <c r="R494" s="78"/>
    </row>
    <row r="495" spans="13:18" ht="15.75" customHeight="1" x14ac:dyDescent="0.3">
      <c r="M495" s="76"/>
      <c r="N495" s="76"/>
      <c r="O495" s="77"/>
      <c r="P495" s="78"/>
      <c r="R495" s="78"/>
    </row>
    <row r="496" spans="13:18" ht="15.75" customHeight="1" x14ac:dyDescent="0.3">
      <c r="M496" s="76"/>
      <c r="N496" s="76"/>
      <c r="O496" s="77"/>
      <c r="P496" s="78"/>
      <c r="R496" s="78"/>
    </row>
    <row r="497" spans="13:18" ht="15.75" customHeight="1" x14ac:dyDescent="0.3">
      <c r="M497" s="76"/>
      <c r="N497" s="76"/>
      <c r="O497" s="77"/>
      <c r="P497" s="78"/>
      <c r="R497" s="78"/>
    </row>
    <row r="498" spans="13:18" ht="15.75" customHeight="1" x14ac:dyDescent="0.3">
      <c r="M498" s="76"/>
      <c r="N498" s="76"/>
      <c r="O498" s="77"/>
      <c r="P498" s="78"/>
      <c r="R498" s="78"/>
    </row>
    <row r="499" spans="13:18" ht="15.75" customHeight="1" x14ac:dyDescent="0.3">
      <c r="M499" s="76"/>
      <c r="N499" s="76"/>
      <c r="O499" s="77"/>
      <c r="P499" s="78"/>
      <c r="R499" s="78"/>
    </row>
    <row r="500" spans="13:18" ht="15.75" customHeight="1" x14ac:dyDescent="0.3">
      <c r="M500" s="76"/>
      <c r="N500" s="76"/>
      <c r="O500" s="77"/>
      <c r="P500" s="78"/>
      <c r="R500" s="78"/>
    </row>
    <row r="501" spans="13:18" ht="15.75" customHeight="1" x14ac:dyDescent="0.3">
      <c r="M501" s="76"/>
      <c r="N501" s="76"/>
      <c r="O501" s="77"/>
      <c r="P501" s="78"/>
      <c r="R501" s="78"/>
    </row>
    <row r="502" spans="13:18" ht="15.75" customHeight="1" x14ac:dyDescent="0.3">
      <c r="M502" s="76"/>
      <c r="N502" s="76"/>
      <c r="O502" s="77"/>
      <c r="P502" s="78"/>
      <c r="R502" s="78"/>
    </row>
    <row r="503" spans="13:18" ht="15.75" customHeight="1" x14ac:dyDescent="0.3">
      <c r="M503" s="76"/>
      <c r="N503" s="76"/>
      <c r="O503" s="77"/>
      <c r="P503" s="78"/>
      <c r="R503" s="78"/>
    </row>
    <row r="504" spans="13:18" ht="15.75" customHeight="1" x14ac:dyDescent="0.3">
      <c r="M504" s="76"/>
      <c r="N504" s="76"/>
      <c r="O504" s="77"/>
      <c r="P504" s="78"/>
      <c r="R504" s="78"/>
    </row>
    <row r="505" spans="13:18" ht="15.75" customHeight="1" x14ac:dyDescent="0.3">
      <c r="M505" s="76"/>
      <c r="N505" s="76"/>
      <c r="O505" s="77"/>
      <c r="P505" s="78"/>
      <c r="R505" s="78"/>
    </row>
    <row r="506" spans="13:18" ht="15.75" customHeight="1" x14ac:dyDescent="0.3">
      <c r="M506" s="76"/>
      <c r="N506" s="76"/>
      <c r="O506" s="77"/>
      <c r="P506" s="78"/>
      <c r="R506" s="78"/>
    </row>
    <row r="507" spans="13:18" ht="15.75" customHeight="1" x14ac:dyDescent="0.3">
      <c r="M507" s="76"/>
      <c r="N507" s="76"/>
      <c r="O507" s="77"/>
      <c r="P507" s="78"/>
      <c r="R507" s="78"/>
    </row>
    <row r="508" spans="13:18" ht="15.75" customHeight="1" x14ac:dyDescent="0.3">
      <c r="M508" s="76"/>
      <c r="N508" s="76"/>
      <c r="O508" s="77"/>
      <c r="P508" s="78"/>
      <c r="R508" s="78"/>
    </row>
    <row r="509" spans="13:18" ht="15.75" customHeight="1" x14ac:dyDescent="0.3">
      <c r="M509" s="76"/>
      <c r="N509" s="76"/>
      <c r="O509" s="77"/>
      <c r="P509" s="78"/>
      <c r="R509" s="78"/>
    </row>
    <row r="510" spans="13:18" ht="15.75" customHeight="1" x14ac:dyDescent="0.3">
      <c r="M510" s="76"/>
      <c r="N510" s="76"/>
      <c r="O510" s="77"/>
      <c r="P510" s="78"/>
      <c r="R510" s="78"/>
    </row>
    <row r="511" spans="13:18" ht="15.75" customHeight="1" x14ac:dyDescent="0.3">
      <c r="M511" s="76"/>
      <c r="N511" s="76"/>
      <c r="O511" s="77"/>
      <c r="P511" s="78"/>
      <c r="R511" s="78"/>
    </row>
    <row r="512" spans="13:18" ht="15.75" customHeight="1" x14ac:dyDescent="0.3">
      <c r="M512" s="76"/>
      <c r="N512" s="76"/>
      <c r="O512" s="77"/>
      <c r="P512" s="78"/>
      <c r="R512" s="78"/>
    </row>
    <row r="513" spans="13:18" ht="15.75" customHeight="1" x14ac:dyDescent="0.3">
      <c r="M513" s="76"/>
      <c r="N513" s="76"/>
      <c r="O513" s="77"/>
      <c r="P513" s="78"/>
      <c r="R513" s="78"/>
    </row>
    <row r="514" spans="13:18" ht="15.75" customHeight="1" x14ac:dyDescent="0.3">
      <c r="M514" s="76"/>
      <c r="N514" s="76"/>
      <c r="O514" s="77"/>
      <c r="P514" s="78"/>
      <c r="R514" s="78"/>
    </row>
    <row r="515" spans="13:18" ht="15.75" customHeight="1" x14ac:dyDescent="0.3">
      <c r="M515" s="76"/>
      <c r="N515" s="76"/>
      <c r="O515" s="77"/>
      <c r="P515" s="78"/>
      <c r="R515" s="78"/>
    </row>
    <row r="516" spans="13:18" ht="15.75" customHeight="1" x14ac:dyDescent="0.3">
      <c r="M516" s="76"/>
      <c r="N516" s="76"/>
      <c r="O516" s="77"/>
      <c r="P516" s="78"/>
      <c r="R516" s="78"/>
    </row>
    <row r="517" spans="13:18" ht="15.75" customHeight="1" x14ac:dyDescent="0.3">
      <c r="M517" s="76"/>
      <c r="N517" s="76"/>
      <c r="O517" s="77"/>
      <c r="P517" s="78"/>
      <c r="R517" s="78"/>
    </row>
    <row r="518" spans="13:18" ht="15.75" customHeight="1" x14ac:dyDescent="0.3">
      <c r="M518" s="76"/>
      <c r="N518" s="76"/>
      <c r="O518" s="77"/>
      <c r="P518" s="78"/>
      <c r="R518" s="78"/>
    </row>
    <row r="519" spans="13:18" ht="15.75" customHeight="1" x14ac:dyDescent="0.3">
      <c r="M519" s="76"/>
      <c r="N519" s="76"/>
      <c r="O519" s="77"/>
      <c r="P519" s="78"/>
      <c r="R519" s="78"/>
    </row>
    <row r="520" spans="13:18" ht="15.75" customHeight="1" x14ac:dyDescent="0.3">
      <c r="M520" s="76"/>
      <c r="N520" s="76"/>
      <c r="O520" s="77"/>
      <c r="P520" s="78"/>
      <c r="R520" s="78"/>
    </row>
    <row r="521" spans="13:18" ht="15.75" customHeight="1" x14ac:dyDescent="0.3">
      <c r="M521" s="76"/>
      <c r="N521" s="76"/>
      <c r="O521" s="77"/>
      <c r="P521" s="78"/>
      <c r="R521" s="78"/>
    </row>
    <row r="522" spans="13:18" ht="15.75" customHeight="1" x14ac:dyDescent="0.3">
      <c r="M522" s="76"/>
      <c r="N522" s="76"/>
      <c r="O522" s="77"/>
      <c r="P522" s="78"/>
      <c r="R522" s="78"/>
    </row>
    <row r="523" spans="13:18" ht="15.75" customHeight="1" x14ac:dyDescent="0.3">
      <c r="M523" s="76"/>
      <c r="N523" s="76"/>
      <c r="O523" s="77"/>
      <c r="P523" s="78"/>
      <c r="R523" s="78"/>
    </row>
    <row r="524" spans="13:18" ht="15.75" customHeight="1" x14ac:dyDescent="0.3">
      <c r="M524" s="76"/>
      <c r="N524" s="76"/>
      <c r="O524" s="77"/>
      <c r="P524" s="78"/>
      <c r="R524" s="78"/>
    </row>
    <row r="525" spans="13:18" ht="15.75" customHeight="1" x14ac:dyDescent="0.3">
      <c r="M525" s="76"/>
      <c r="N525" s="76"/>
      <c r="O525" s="77"/>
      <c r="P525" s="78"/>
      <c r="R525" s="78"/>
    </row>
    <row r="526" spans="13:18" ht="15.75" customHeight="1" x14ac:dyDescent="0.3">
      <c r="M526" s="76"/>
      <c r="N526" s="76"/>
      <c r="O526" s="77"/>
      <c r="P526" s="78"/>
      <c r="R526" s="78"/>
    </row>
    <row r="527" spans="13:18" ht="15.75" customHeight="1" x14ac:dyDescent="0.3">
      <c r="M527" s="76"/>
      <c r="N527" s="76"/>
      <c r="O527" s="77"/>
      <c r="P527" s="78"/>
      <c r="R527" s="78"/>
    </row>
    <row r="528" spans="13:18" ht="15.75" customHeight="1" x14ac:dyDescent="0.3">
      <c r="M528" s="76"/>
      <c r="N528" s="76"/>
      <c r="O528" s="77"/>
      <c r="P528" s="78"/>
      <c r="R528" s="78"/>
    </row>
    <row r="529" spans="13:18" ht="15.75" customHeight="1" x14ac:dyDescent="0.3">
      <c r="M529" s="76"/>
      <c r="N529" s="76"/>
      <c r="O529" s="77"/>
      <c r="P529" s="78"/>
      <c r="R529" s="78"/>
    </row>
    <row r="530" spans="13:18" ht="15.75" customHeight="1" x14ac:dyDescent="0.3">
      <c r="M530" s="76"/>
      <c r="N530" s="76"/>
      <c r="O530" s="77"/>
      <c r="P530" s="78"/>
      <c r="R530" s="78"/>
    </row>
    <row r="531" spans="13:18" ht="15.75" customHeight="1" x14ac:dyDescent="0.3">
      <c r="M531" s="76"/>
      <c r="N531" s="76"/>
      <c r="O531" s="77"/>
      <c r="P531" s="78"/>
      <c r="R531" s="78"/>
    </row>
    <row r="532" spans="13:18" ht="15.75" customHeight="1" x14ac:dyDescent="0.3">
      <c r="M532" s="76"/>
      <c r="N532" s="76"/>
      <c r="O532" s="77"/>
      <c r="P532" s="78"/>
      <c r="R532" s="78"/>
    </row>
    <row r="533" spans="13:18" ht="15.75" customHeight="1" x14ac:dyDescent="0.3">
      <c r="M533" s="76"/>
      <c r="N533" s="76"/>
      <c r="O533" s="77"/>
      <c r="P533" s="78"/>
      <c r="R533" s="78"/>
    </row>
    <row r="534" spans="13:18" ht="15.75" customHeight="1" x14ac:dyDescent="0.3">
      <c r="M534" s="76"/>
      <c r="N534" s="76"/>
      <c r="O534" s="77"/>
      <c r="P534" s="78"/>
      <c r="R534" s="78"/>
    </row>
    <row r="535" spans="13:18" ht="15.75" customHeight="1" x14ac:dyDescent="0.3">
      <c r="M535" s="76"/>
      <c r="N535" s="76"/>
      <c r="O535" s="77"/>
      <c r="P535" s="78"/>
      <c r="R535" s="78"/>
    </row>
    <row r="536" spans="13:18" ht="15.75" customHeight="1" x14ac:dyDescent="0.3">
      <c r="M536" s="76"/>
      <c r="N536" s="76"/>
      <c r="O536" s="77"/>
      <c r="P536" s="78"/>
      <c r="R536" s="78"/>
    </row>
    <row r="537" spans="13:18" ht="15.75" customHeight="1" x14ac:dyDescent="0.3">
      <c r="M537" s="76"/>
      <c r="N537" s="76"/>
      <c r="O537" s="77"/>
      <c r="P537" s="78"/>
      <c r="R537" s="78"/>
    </row>
    <row r="538" spans="13:18" ht="15.75" customHeight="1" x14ac:dyDescent="0.3">
      <c r="M538" s="76"/>
      <c r="N538" s="76"/>
      <c r="O538" s="77"/>
      <c r="P538" s="78"/>
      <c r="R538" s="78"/>
    </row>
    <row r="539" spans="13:18" ht="15.75" customHeight="1" x14ac:dyDescent="0.3">
      <c r="M539" s="76"/>
      <c r="N539" s="76"/>
      <c r="O539" s="77"/>
      <c r="P539" s="78"/>
      <c r="R539" s="78"/>
    </row>
    <row r="540" spans="13:18" ht="15.75" customHeight="1" x14ac:dyDescent="0.3">
      <c r="M540" s="76"/>
      <c r="N540" s="76"/>
      <c r="O540" s="77"/>
      <c r="P540" s="78"/>
      <c r="R540" s="78"/>
    </row>
    <row r="541" spans="13:18" ht="15.75" customHeight="1" x14ac:dyDescent="0.3">
      <c r="M541" s="76"/>
      <c r="N541" s="76"/>
      <c r="O541" s="77"/>
      <c r="P541" s="78"/>
      <c r="R541" s="78"/>
    </row>
    <row r="542" spans="13:18" ht="15.75" customHeight="1" x14ac:dyDescent="0.3">
      <c r="M542" s="76"/>
      <c r="N542" s="76"/>
      <c r="O542" s="77"/>
      <c r="P542" s="78"/>
      <c r="R542" s="78"/>
    </row>
    <row r="543" spans="13:18" ht="15.75" customHeight="1" x14ac:dyDescent="0.3">
      <c r="M543" s="76"/>
      <c r="N543" s="76"/>
      <c r="O543" s="77"/>
      <c r="P543" s="78"/>
      <c r="R543" s="78"/>
    </row>
    <row r="544" spans="13:18" ht="15.75" customHeight="1" x14ac:dyDescent="0.3">
      <c r="M544" s="76"/>
      <c r="N544" s="76"/>
      <c r="O544" s="77"/>
      <c r="P544" s="78"/>
      <c r="R544" s="78"/>
    </row>
    <row r="545" spans="13:18" ht="15.75" customHeight="1" x14ac:dyDescent="0.3">
      <c r="M545" s="76"/>
      <c r="N545" s="76"/>
      <c r="O545" s="77"/>
      <c r="P545" s="78"/>
      <c r="R545" s="78"/>
    </row>
    <row r="546" spans="13:18" ht="15.75" customHeight="1" x14ac:dyDescent="0.3">
      <c r="M546" s="76"/>
      <c r="N546" s="76"/>
      <c r="O546" s="77"/>
      <c r="P546" s="78"/>
      <c r="R546" s="78"/>
    </row>
    <row r="547" spans="13:18" ht="15.75" customHeight="1" x14ac:dyDescent="0.3">
      <c r="M547" s="76"/>
      <c r="N547" s="76"/>
      <c r="O547" s="77"/>
      <c r="P547" s="78"/>
      <c r="R547" s="78"/>
    </row>
    <row r="548" spans="13:18" ht="15.75" customHeight="1" x14ac:dyDescent="0.3">
      <c r="M548" s="76"/>
      <c r="N548" s="76"/>
      <c r="O548" s="77"/>
      <c r="P548" s="78"/>
      <c r="R548" s="78"/>
    </row>
    <row r="549" spans="13:18" ht="15.75" customHeight="1" x14ac:dyDescent="0.3">
      <c r="M549" s="76"/>
      <c r="N549" s="76"/>
      <c r="O549" s="77"/>
      <c r="P549" s="78"/>
      <c r="R549" s="78"/>
    </row>
    <row r="550" spans="13:18" ht="15.75" customHeight="1" x14ac:dyDescent="0.3">
      <c r="M550" s="76"/>
      <c r="N550" s="76"/>
      <c r="O550" s="77"/>
      <c r="P550" s="78"/>
      <c r="R550" s="78"/>
    </row>
    <row r="551" spans="13:18" ht="15.75" customHeight="1" x14ac:dyDescent="0.3">
      <c r="M551" s="76"/>
      <c r="N551" s="76"/>
      <c r="O551" s="77"/>
      <c r="P551" s="78"/>
      <c r="R551" s="78"/>
    </row>
    <row r="552" spans="13:18" ht="15.75" customHeight="1" x14ac:dyDescent="0.3">
      <c r="M552" s="76"/>
      <c r="N552" s="76"/>
      <c r="O552" s="77"/>
      <c r="P552" s="78"/>
      <c r="R552" s="78"/>
    </row>
    <row r="553" spans="13:18" ht="15.75" customHeight="1" x14ac:dyDescent="0.3">
      <c r="M553" s="76"/>
      <c r="N553" s="76"/>
      <c r="O553" s="77"/>
      <c r="P553" s="78"/>
      <c r="R553" s="78"/>
    </row>
    <row r="554" spans="13:18" ht="15.75" customHeight="1" x14ac:dyDescent="0.3">
      <c r="M554" s="76"/>
      <c r="N554" s="76"/>
      <c r="O554" s="77"/>
      <c r="P554" s="78"/>
      <c r="R554" s="78"/>
    </row>
    <row r="555" spans="13:18" ht="15.75" customHeight="1" x14ac:dyDescent="0.3">
      <c r="M555" s="76"/>
      <c r="N555" s="76"/>
      <c r="O555" s="77"/>
      <c r="P555" s="78"/>
      <c r="R555" s="78"/>
    </row>
    <row r="556" spans="13:18" ht="15.75" customHeight="1" x14ac:dyDescent="0.3">
      <c r="M556" s="76"/>
      <c r="N556" s="76"/>
      <c r="O556" s="77"/>
      <c r="P556" s="78"/>
      <c r="R556" s="78"/>
    </row>
    <row r="557" spans="13:18" ht="15.75" customHeight="1" x14ac:dyDescent="0.3">
      <c r="M557" s="76"/>
      <c r="N557" s="76"/>
      <c r="O557" s="77"/>
      <c r="P557" s="78"/>
      <c r="R557" s="78"/>
    </row>
    <row r="558" spans="13:18" ht="15.75" customHeight="1" x14ac:dyDescent="0.3">
      <c r="M558" s="76"/>
      <c r="N558" s="76"/>
      <c r="O558" s="77"/>
      <c r="P558" s="78"/>
      <c r="R558" s="78"/>
    </row>
    <row r="559" spans="13:18" ht="15.75" customHeight="1" x14ac:dyDescent="0.3">
      <c r="M559" s="76"/>
      <c r="N559" s="76"/>
      <c r="O559" s="77"/>
      <c r="P559" s="78"/>
      <c r="R559" s="78"/>
    </row>
    <row r="560" spans="13:18" ht="15.75" customHeight="1" x14ac:dyDescent="0.3">
      <c r="M560" s="76"/>
      <c r="N560" s="76"/>
      <c r="O560" s="77"/>
      <c r="P560" s="78"/>
      <c r="R560" s="78"/>
    </row>
    <row r="561" spans="13:18" ht="15.75" customHeight="1" x14ac:dyDescent="0.3">
      <c r="M561" s="76"/>
      <c r="N561" s="76"/>
      <c r="O561" s="77"/>
      <c r="P561" s="78"/>
      <c r="R561" s="78"/>
    </row>
    <row r="562" spans="13:18" ht="15.75" customHeight="1" x14ac:dyDescent="0.3">
      <c r="M562" s="76"/>
      <c r="N562" s="76"/>
      <c r="O562" s="77"/>
      <c r="P562" s="78"/>
      <c r="R562" s="78"/>
    </row>
    <row r="563" spans="13:18" ht="15.75" customHeight="1" x14ac:dyDescent="0.3">
      <c r="M563" s="76"/>
      <c r="N563" s="76"/>
      <c r="O563" s="77"/>
      <c r="P563" s="78"/>
      <c r="R563" s="78"/>
    </row>
    <row r="564" spans="13:18" ht="15.75" customHeight="1" x14ac:dyDescent="0.3">
      <c r="M564" s="76"/>
      <c r="N564" s="76"/>
      <c r="O564" s="77"/>
      <c r="P564" s="78"/>
      <c r="R564" s="78"/>
    </row>
    <row r="565" spans="13:18" ht="15.75" customHeight="1" x14ac:dyDescent="0.3">
      <c r="M565" s="76"/>
      <c r="N565" s="76"/>
      <c r="O565" s="77"/>
      <c r="P565" s="78"/>
      <c r="R565" s="78"/>
    </row>
    <row r="566" spans="13:18" ht="15.75" customHeight="1" x14ac:dyDescent="0.3">
      <c r="M566" s="76"/>
      <c r="N566" s="76"/>
      <c r="O566" s="77"/>
      <c r="P566" s="78"/>
      <c r="R566" s="78"/>
    </row>
    <row r="567" spans="13:18" ht="15.75" customHeight="1" x14ac:dyDescent="0.3">
      <c r="M567" s="76"/>
      <c r="N567" s="76"/>
      <c r="O567" s="77"/>
      <c r="P567" s="78"/>
      <c r="R567" s="78"/>
    </row>
    <row r="568" spans="13:18" ht="15.75" customHeight="1" x14ac:dyDescent="0.3">
      <c r="M568" s="76"/>
      <c r="N568" s="76"/>
      <c r="O568" s="77"/>
      <c r="P568" s="78"/>
      <c r="R568" s="78"/>
    </row>
    <row r="569" spans="13:18" ht="15.75" customHeight="1" x14ac:dyDescent="0.3">
      <c r="M569" s="76"/>
      <c r="N569" s="76"/>
      <c r="O569" s="77"/>
      <c r="P569" s="78"/>
      <c r="R569" s="78"/>
    </row>
    <row r="570" spans="13:18" ht="15.75" customHeight="1" x14ac:dyDescent="0.3">
      <c r="M570" s="76"/>
      <c r="N570" s="76"/>
      <c r="O570" s="77"/>
      <c r="P570" s="78"/>
      <c r="R570" s="78"/>
    </row>
    <row r="571" spans="13:18" ht="15.75" customHeight="1" x14ac:dyDescent="0.3">
      <c r="M571" s="76"/>
      <c r="N571" s="76"/>
      <c r="O571" s="77"/>
      <c r="P571" s="78"/>
      <c r="R571" s="78"/>
    </row>
    <row r="572" spans="13:18" ht="15.75" customHeight="1" x14ac:dyDescent="0.3">
      <c r="M572" s="76"/>
      <c r="N572" s="76"/>
      <c r="O572" s="77"/>
      <c r="P572" s="78"/>
      <c r="R572" s="78"/>
    </row>
    <row r="573" spans="13:18" ht="15.75" customHeight="1" x14ac:dyDescent="0.3">
      <c r="M573" s="76"/>
      <c r="N573" s="76"/>
      <c r="O573" s="77"/>
      <c r="P573" s="78"/>
      <c r="R573" s="78"/>
    </row>
    <row r="574" spans="13:18" ht="15.75" customHeight="1" x14ac:dyDescent="0.3">
      <c r="M574" s="76"/>
      <c r="N574" s="76"/>
      <c r="O574" s="77"/>
      <c r="P574" s="78"/>
      <c r="R574" s="78"/>
    </row>
    <row r="575" spans="13:18" ht="15.75" customHeight="1" x14ac:dyDescent="0.3">
      <c r="M575" s="76"/>
      <c r="N575" s="76"/>
      <c r="O575" s="77"/>
      <c r="P575" s="78"/>
      <c r="R575" s="78"/>
    </row>
    <row r="576" spans="13:18" ht="15.75" customHeight="1" x14ac:dyDescent="0.3">
      <c r="M576" s="76"/>
      <c r="N576" s="76"/>
      <c r="O576" s="77"/>
      <c r="P576" s="78"/>
      <c r="R576" s="78"/>
    </row>
    <row r="577" spans="13:18" ht="15.75" customHeight="1" x14ac:dyDescent="0.3">
      <c r="M577" s="76"/>
      <c r="N577" s="76"/>
      <c r="O577" s="77"/>
      <c r="P577" s="78"/>
      <c r="R577" s="78"/>
    </row>
    <row r="578" spans="13:18" ht="15.75" customHeight="1" x14ac:dyDescent="0.3">
      <c r="M578" s="76"/>
      <c r="N578" s="76"/>
      <c r="O578" s="77"/>
      <c r="P578" s="78"/>
      <c r="R578" s="78"/>
    </row>
    <row r="579" spans="13:18" ht="15.75" customHeight="1" x14ac:dyDescent="0.3">
      <c r="M579" s="76"/>
      <c r="N579" s="76"/>
      <c r="O579" s="77"/>
      <c r="P579" s="78"/>
      <c r="R579" s="78"/>
    </row>
    <row r="580" spans="13:18" ht="15.75" customHeight="1" x14ac:dyDescent="0.3">
      <c r="M580" s="76"/>
      <c r="N580" s="76"/>
      <c r="O580" s="77"/>
      <c r="P580" s="78"/>
      <c r="R580" s="78"/>
    </row>
    <row r="581" spans="13:18" ht="15.75" customHeight="1" x14ac:dyDescent="0.3">
      <c r="M581" s="76"/>
      <c r="N581" s="76"/>
      <c r="O581" s="77"/>
      <c r="P581" s="78"/>
      <c r="R581" s="78"/>
    </row>
    <row r="582" spans="13:18" ht="15.75" customHeight="1" x14ac:dyDescent="0.3">
      <c r="M582" s="76"/>
      <c r="N582" s="76"/>
      <c r="O582" s="77"/>
      <c r="P582" s="78"/>
      <c r="R582" s="78"/>
    </row>
    <row r="583" spans="13:18" ht="15.75" customHeight="1" x14ac:dyDescent="0.3">
      <c r="M583" s="76"/>
      <c r="N583" s="76"/>
      <c r="O583" s="77"/>
      <c r="P583" s="78"/>
      <c r="R583" s="78"/>
    </row>
    <row r="584" spans="13:18" ht="15.75" customHeight="1" x14ac:dyDescent="0.3">
      <c r="M584" s="76"/>
      <c r="N584" s="76"/>
      <c r="O584" s="77"/>
      <c r="P584" s="78"/>
      <c r="R584" s="78"/>
    </row>
    <row r="585" spans="13:18" ht="15.75" customHeight="1" x14ac:dyDescent="0.3">
      <c r="M585" s="76"/>
      <c r="N585" s="76"/>
      <c r="O585" s="77"/>
      <c r="P585" s="78"/>
      <c r="R585" s="78"/>
    </row>
    <row r="586" spans="13:18" ht="15.75" customHeight="1" x14ac:dyDescent="0.3">
      <c r="M586" s="76"/>
      <c r="N586" s="76"/>
      <c r="O586" s="77"/>
      <c r="P586" s="78"/>
      <c r="R586" s="78"/>
    </row>
    <row r="587" spans="13:18" ht="15.75" customHeight="1" x14ac:dyDescent="0.3">
      <c r="M587" s="76"/>
      <c r="N587" s="76"/>
      <c r="O587" s="77"/>
      <c r="P587" s="78"/>
      <c r="R587" s="78"/>
    </row>
    <row r="588" spans="13:18" ht="15.75" customHeight="1" x14ac:dyDescent="0.3">
      <c r="M588" s="76"/>
      <c r="N588" s="76"/>
      <c r="O588" s="77"/>
      <c r="P588" s="78"/>
      <c r="R588" s="78"/>
    </row>
    <row r="589" spans="13:18" ht="15.75" customHeight="1" x14ac:dyDescent="0.3">
      <c r="M589" s="76"/>
      <c r="N589" s="76"/>
      <c r="O589" s="77"/>
      <c r="P589" s="78"/>
      <c r="R589" s="78"/>
    </row>
    <row r="590" spans="13:18" ht="15.75" customHeight="1" x14ac:dyDescent="0.3">
      <c r="M590" s="76"/>
      <c r="N590" s="76"/>
      <c r="O590" s="77"/>
      <c r="P590" s="78"/>
      <c r="R590" s="78"/>
    </row>
    <row r="591" spans="13:18" ht="15.75" customHeight="1" x14ac:dyDescent="0.3">
      <c r="M591" s="76"/>
      <c r="N591" s="76"/>
      <c r="O591" s="77"/>
      <c r="P591" s="78"/>
      <c r="R591" s="78"/>
    </row>
    <row r="592" spans="13:18" ht="15.75" customHeight="1" x14ac:dyDescent="0.3">
      <c r="M592" s="76"/>
      <c r="N592" s="76"/>
      <c r="O592" s="77"/>
      <c r="P592" s="78"/>
      <c r="R592" s="78"/>
    </row>
    <row r="593" spans="13:18" ht="15.75" customHeight="1" x14ac:dyDescent="0.3">
      <c r="M593" s="76"/>
      <c r="N593" s="76"/>
      <c r="O593" s="77"/>
      <c r="P593" s="78"/>
      <c r="R593" s="78"/>
    </row>
    <row r="594" spans="13:18" ht="15.75" customHeight="1" x14ac:dyDescent="0.3">
      <c r="M594" s="76"/>
      <c r="N594" s="76"/>
      <c r="O594" s="77"/>
      <c r="P594" s="78"/>
      <c r="R594" s="78"/>
    </row>
    <row r="595" spans="13:18" ht="15.75" customHeight="1" x14ac:dyDescent="0.3">
      <c r="M595" s="76"/>
      <c r="N595" s="76"/>
      <c r="O595" s="77"/>
      <c r="P595" s="78"/>
      <c r="R595" s="78"/>
    </row>
    <row r="596" spans="13:18" ht="15.75" customHeight="1" x14ac:dyDescent="0.3">
      <c r="M596" s="76"/>
      <c r="N596" s="76"/>
      <c r="O596" s="77"/>
      <c r="P596" s="78"/>
      <c r="R596" s="78"/>
    </row>
    <row r="597" spans="13:18" ht="15.75" customHeight="1" x14ac:dyDescent="0.3">
      <c r="M597" s="76"/>
      <c r="N597" s="76"/>
      <c r="O597" s="77"/>
      <c r="P597" s="78"/>
      <c r="R597" s="78"/>
    </row>
    <row r="598" spans="13:18" ht="15.75" customHeight="1" x14ac:dyDescent="0.3">
      <c r="M598" s="76"/>
      <c r="N598" s="76"/>
      <c r="O598" s="77"/>
      <c r="P598" s="78"/>
      <c r="R598" s="78"/>
    </row>
    <row r="599" spans="13:18" ht="15.75" customHeight="1" x14ac:dyDescent="0.3">
      <c r="M599" s="76"/>
      <c r="N599" s="76"/>
      <c r="O599" s="77"/>
      <c r="P599" s="78"/>
      <c r="R599" s="78"/>
    </row>
    <row r="600" spans="13:18" ht="15.75" customHeight="1" x14ac:dyDescent="0.3">
      <c r="M600" s="76"/>
      <c r="N600" s="76"/>
      <c r="O600" s="77"/>
      <c r="P600" s="78"/>
      <c r="R600" s="78"/>
    </row>
    <row r="601" spans="13:18" ht="15.75" customHeight="1" x14ac:dyDescent="0.3">
      <c r="M601" s="76"/>
      <c r="N601" s="76"/>
      <c r="O601" s="77"/>
      <c r="P601" s="78"/>
      <c r="R601" s="78"/>
    </row>
    <row r="602" spans="13:18" ht="15.75" customHeight="1" x14ac:dyDescent="0.3">
      <c r="M602" s="76"/>
      <c r="N602" s="76"/>
      <c r="O602" s="77"/>
      <c r="P602" s="78"/>
      <c r="R602" s="78"/>
    </row>
    <row r="603" spans="13:18" ht="15.75" customHeight="1" x14ac:dyDescent="0.3">
      <c r="M603" s="76"/>
      <c r="N603" s="76"/>
      <c r="O603" s="77"/>
      <c r="P603" s="78"/>
      <c r="R603" s="78"/>
    </row>
    <row r="604" spans="13:18" ht="15.75" customHeight="1" x14ac:dyDescent="0.3">
      <c r="M604" s="76"/>
      <c r="N604" s="76"/>
      <c r="O604" s="77"/>
      <c r="P604" s="78"/>
      <c r="R604" s="78"/>
    </row>
    <row r="605" spans="13:18" ht="15.75" customHeight="1" x14ac:dyDescent="0.3">
      <c r="M605" s="76"/>
      <c r="N605" s="76"/>
      <c r="O605" s="77"/>
      <c r="P605" s="78"/>
      <c r="R605" s="78"/>
    </row>
    <row r="606" spans="13:18" ht="15.75" customHeight="1" x14ac:dyDescent="0.3">
      <c r="M606" s="76"/>
      <c r="N606" s="76"/>
      <c r="O606" s="77"/>
      <c r="P606" s="78"/>
      <c r="R606" s="78"/>
    </row>
    <row r="607" spans="13:18" ht="15.75" customHeight="1" x14ac:dyDescent="0.3">
      <c r="M607" s="76"/>
      <c r="N607" s="76"/>
      <c r="O607" s="77"/>
      <c r="P607" s="78"/>
      <c r="R607" s="78"/>
    </row>
    <row r="608" spans="13:18" ht="15.75" customHeight="1" x14ac:dyDescent="0.3">
      <c r="M608" s="76"/>
      <c r="N608" s="76"/>
      <c r="O608" s="77"/>
      <c r="P608" s="78"/>
      <c r="R608" s="78"/>
    </row>
    <row r="609" spans="13:18" ht="15.75" customHeight="1" x14ac:dyDescent="0.3">
      <c r="M609" s="76"/>
      <c r="N609" s="76"/>
      <c r="O609" s="77"/>
      <c r="P609" s="78"/>
      <c r="R609" s="78"/>
    </row>
    <row r="610" spans="13:18" ht="15.75" customHeight="1" x14ac:dyDescent="0.3">
      <c r="M610" s="76"/>
      <c r="N610" s="76"/>
      <c r="O610" s="77"/>
      <c r="P610" s="78"/>
      <c r="R610" s="78"/>
    </row>
    <row r="611" spans="13:18" ht="15.75" customHeight="1" x14ac:dyDescent="0.3">
      <c r="M611" s="76"/>
      <c r="N611" s="76"/>
      <c r="O611" s="77"/>
      <c r="P611" s="78"/>
      <c r="R611" s="78"/>
    </row>
    <row r="612" spans="13:18" ht="15.75" customHeight="1" x14ac:dyDescent="0.3">
      <c r="M612" s="76"/>
      <c r="N612" s="76"/>
      <c r="O612" s="77"/>
      <c r="P612" s="78"/>
      <c r="R612" s="78"/>
    </row>
    <row r="613" spans="13:18" ht="15.75" customHeight="1" x14ac:dyDescent="0.3">
      <c r="M613" s="76"/>
      <c r="N613" s="76"/>
      <c r="O613" s="77"/>
      <c r="P613" s="78"/>
      <c r="R613" s="78"/>
    </row>
    <row r="614" spans="13:18" ht="15.75" customHeight="1" x14ac:dyDescent="0.3">
      <c r="M614" s="76"/>
      <c r="N614" s="76"/>
      <c r="O614" s="77"/>
      <c r="P614" s="78"/>
      <c r="R614" s="78"/>
    </row>
    <row r="615" spans="13:18" ht="15.75" customHeight="1" x14ac:dyDescent="0.3">
      <c r="M615" s="76"/>
      <c r="N615" s="76"/>
      <c r="O615" s="77"/>
      <c r="P615" s="78"/>
      <c r="R615" s="78"/>
    </row>
    <row r="616" spans="13:18" ht="15.75" customHeight="1" x14ac:dyDescent="0.3">
      <c r="M616" s="76"/>
      <c r="N616" s="76"/>
      <c r="O616" s="77"/>
      <c r="P616" s="78"/>
      <c r="R616" s="78"/>
    </row>
    <row r="617" spans="13:18" ht="15.75" customHeight="1" x14ac:dyDescent="0.3">
      <c r="M617" s="76"/>
      <c r="N617" s="76"/>
      <c r="O617" s="77"/>
      <c r="P617" s="78"/>
      <c r="R617" s="78"/>
    </row>
    <row r="618" spans="13:18" ht="15.75" customHeight="1" x14ac:dyDescent="0.3">
      <c r="M618" s="76"/>
      <c r="N618" s="76"/>
      <c r="O618" s="77"/>
      <c r="P618" s="78"/>
      <c r="R618" s="78"/>
    </row>
    <row r="619" spans="13:18" ht="15.75" customHeight="1" x14ac:dyDescent="0.3">
      <c r="M619" s="76"/>
      <c r="N619" s="76"/>
      <c r="O619" s="77"/>
      <c r="P619" s="78"/>
      <c r="R619" s="78"/>
    </row>
    <row r="620" spans="13:18" ht="15.75" customHeight="1" x14ac:dyDescent="0.3">
      <c r="M620" s="76"/>
      <c r="N620" s="76"/>
      <c r="O620" s="77"/>
      <c r="P620" s="78"/>
      <c r="R620" s="78"/>
    </row>
    <row r="621" spans="13:18" ht="15.75" customHeight="1" x14ac:dyDescent="0.3">
      <c r="M621" s="76"/>
      <c r="N621" s="76"/>
      <c r="O621" s="77"/>
      <c r="P621" s="78"/>
      <c r="R621" s="78"/>
    </row>
    <row r="622" spans="13:18" ht="15.75" customHeight="1" x14ac:dyDescent="0.3">
      <c r="M622" s="76"/>
      <c r="N622" s="76"/>
      <c r="O622" s="77"/>
      <c r="P622" s="78"/>
      <c r="R622" s="78"/>
    </row>
    <row r="623" spans="13:18" ht="15.75" customHeight="1" x14ac:dyDescent="0.3">
      <c r="M623" s="76"/>
      <c r="N623" s="76"/>
      <c r="O623" s="77"/>
      <c r="P623" s="78"/>
      <c r="R623" s="78"/>
    </row>
    <row r="624" spans="13:18" ht="15.75" customHeight="1" x14ac:dyDescent="0.3">
      <c r="M624" s="76"/>
      <c r="N624" s="76"/>
      <c r="O624" s="77"/>
      <c r="P624" s="78"/>
      <c r="R624" s="78"/>
    </row>
    <row r="625" spans="13:18" ht="15.75" customHeight="1" x14ac:dyDescent="0.3">
      <c r="M625" s="76"/>
      <c r="N625" s="76"/>
      <c r="O625" s="77"/>
      <c r="P625" s="78"/>
      <c r="R625" s="78"/>
    </row>
    <row r="626" spans="13:18" ht="15.75" customHeight="1" x14ac:dyDescent="0.3">
      <c r="M626" s="76"/>
      <c r="N626" s="76"/>
      <c r="O626" s="77"/>
      <c r="P626" s="78"/>
      <c r="R626" s="78"/>
    </row>
    <row r="627" spans="13:18" ht="15.75" customHeight="1" x14ac:dyDescent="0.3">
      <c r="M627" s="76"/>
      <c r="N627" s="76"/>
      <c r="O627" s="77"/>
      <c r="P627" s="78"/>
      <c r="R627" s="78"/>
    </row>
    <row r="628" spans="13:18" ht="15.75" customHeight="1" x14ac:dyDescent="0.3">
      <c r="M628" s="76"/>
      <c r="N628" s="76"/>
      <c r="O628" s="77"/>
      <c r="P628" s="78"/>
      <c r="R628" s="78"/>
    </row>
    <row r="629" spans="13:18" ht="15.75" customHeight="1" x14ac:dyDescent="0.3">
      <c r="M629" s="76"/>
      <c r="N629" s="76"/>
      <c r="O629" s="77"/>
      <c r="P629" s="78"/>
      <c r="R629" s="78"/>
    </row>
    <row r="630" spans="13:18" ht="15.75" customHeight="1" x14ac:dyDescent="0.3">
      <c r="M630" s="76"/>
      <c r="N630" s="76"/>
      <c r="O630" s="77"/>
      <c r="P630" s="78"/>
      <c r="R630" s="78"/>
    </row>
    <row r="631" spans="13:18" ht="15.75" customHeight="1" x14ac:dyDescent="0.3">
      <c r="M631" s="76"/>
      <c r="N631" s="76"/>
      <c r="O631" s="77"/>
      <c r="P631" s="78"/>
      <c r="R631" s="78"/>
    </row>
    <row r="632" spans="13:18" ht="15.75" customHeight="1" x14ac:dyDescent="0.3">
      <c r="M632" s="76"/>
      <c r="N632" s="76"/>
      <c r="O632" s="77"/>
      <c r="P632" s="78"/>
      <c r="R632" s="78"/>
    </row>
    <row r="633" spans="13:18" ht="15.75" customHeight="1" x14ac:dyDescent="0.3">
      <c r="M633" s="76"/>
      <c r="N633" s="76"/>
      <c r="O633" s="77"/>
      <c r="P633" s="78"/>
      <c r="R633" s="78"/>
    </row>
    <row r="634" spans="13:18" ht="15.75" customHeight="1" x14ac:dyDescent="0.3">
      <c r="M634" s="76"/>
      <c r="N634" s="76"/>
      <c r="O634" s="77"/>
      <c r="P634" s="78"/>
      <c r="R634" s="78"/>
    </row>
    <row r="635" spans="13:18" ht="15.75" customHeight="1" x14ac:dyDescent="0.3">
      <c r="M635" s="76"/>
      <c r="N635" s="76"/>
      <c r="O635" s="77"/>
      <c r="P635" s="78"/>
      <c r="R635" s="78"/>
    </row>
    <row r="636" spans="13:18" ht="15.75" customHeight="1" x14ac:dyDescent="0.3">
      <c r="M636" s="76"/>
      <c r="N636" s="76"/>
      <c r="O636" s="77"/>
      <c r="P636" s="78"/>
      <c r="R636" s="78"/>
    </row>
    <row r="637" spans="13:18" ht="15.75" customHeight="1" x14ac:dyDescent="0.3">
      <c r="M637" s="76"/>
      <c r="N637" s="76"/>
      <c r="O637" s="77"/>
      <c r="P637" s="78"/>
      <c r="R637" s="78"/>
    </row>
    <row r="638" spans="13:18" ht="15.75" customHeight="1" x14ac:dyDescent="0.3">
      <c r="M638" s="76"/>
      <c r="N638" s="76"/>
      <c r="O638" s="77"/>
      <c r="P638" s="78"/>
      <c r="R638" s="78"/>
    </row>
    <row r="639" spans="13:18" ht="15.75" customHeight="1" x14ac:dyDescent="0.3">
      <c r="M639" s="76"/>
      <c r="N639" s="76"/>
      <c r="O639" s="77"/>
      <c r="P639" s="78"/>
      <c r="R639" s="78"/>
    </row>
    <row r="640" spans="13:18" ht="15.75" customHeight="1" x14ac:dyDescent="0.3">
      <c r="M640" s="76"/>
      <c r="N640" s="76"/>
      <c r="O640" s="77"/>
      <c r="P640" s="78"/>
      <c r="R640" s="78"/>
    </row>
    <row r="641" spans="13:18" ht="15.75" customHeight="1" x14ac:dyDescent="0.3">
      <c r="M641" s="76"/>
      <c r="N641" s="76"/>
      <c r="O641" s="77"/>
      <c r="P641" s="78"/>
      <c r="R641" s="78"/>
    </row>
    <row r="642" spans="13:18" ht="15.75" customHeight="1" x14ac:dyDescent="0.3">
      <c r="M642" s="76"/>
      <c r="N642" s="76"/>
      <c r="O642" s="77"/>
      <c r="P642" s="78"/>
      <c r="R642" s="78"/>
    </row>
    <row r="643" spans="13:18" ht="15.75" customHeight="1" x14ac:dyDescent="0.3">
      <c r="M643" s="76"/>
      <c r="N643" s="76"/>
      <c r="O643" s="77"/>
      <c r="P643" s="78"/>
      <c r="R643" s="78"/>
    </row>
    <row r="644" spans="13:18" ht="15.75" customHeight="1" x14ac:dyDescent="0.3">
      <c r="M644" s="76"/>
      <c r="N644" s="76"/>
      <c r="O644" s="77"/>
      <c r="P644" s="78"/>
      <c r="R644" s="78"/>
    </row>
    <row r="645" spans="13:18" ht="15.75" customHeight="1" x14ac:dyDescent="0.3">
      <c r="M645" s="76"/>
      <c r="N645" s="76"/>
      <c r="O645" s="77"/>
      <c r="P645" s="78"/>
      <c r="R645" s="78"/>
    </row>
    <row r="646" spans="13:18" ht="15.75" customHeight="1" x14ac:dyDescent="0.3">
      <c r="M646" s="76"/>
      <c r="N646" s="76"/>
      <c r="O646" s="77"/>
      <c r="P646" s="78"/>
      <c r="R646" s="78"/>
    </row>
    <row r="647" spans="13:18" ht="15.75" customHeight="1" x14ac:dyDescent="0.3">
      <c r="M647" s="76"/>
      <c r="N647" s="76"/>
      <c r="O647" s="77"/>
      <c r="P647" s="78"/>
      <c r="R647" s="78"/>
    </row>
    <row r="648" spans="13:18" ht="15.75" customHeight="1" x14ac:dyDescent="0.3">
      <c r="M648" s="76"/>
      <c r="N648" s="76"/>
      <c r="O648" s="77"/>
      <c r="P648" s="78"/>
      <c r="R648" s="78"/>
    </row>
    <row r="649" spans="13:18" ht="15.75" customHeight="1" x14ac:dyDescent="0.3">
      <c r="M649" s="76"/>
      <c r="N649" s="76"/>
      <c r="O649" s="77"/>
      <c r="P649" s="78"/>
      <c r="R649" s="78"/>
    </row>
    <row r="650" spans="13:18" ht="15.75" customHeight="1" x14ac:dyDescent="0.3">
      <c r="M650" s="76"/>
      <c r="N650" s="76"/>
      <c r="O650" s="77"/>
      <c r="P650" s="78"/>
      <c r="R650" s="78"/>
    </row>
    <row r="651" spans="13:18" ht="15.75" customHeight="1" x14ac:dyDescent="0.3">
      <c r="M651" s="76"/>
      <c r="N651" s="76"/>
      <c r="O651" s="77"/>
      <c r="P651" s="78"/>
      <c r="R651" s="78"/>
    </row>
    <row r="652" spans="13:18" ht="15.75" customHeight="1" x14ac:dyDescent="0.3">
      <c r="M652" s="76"/>
      <c r="N652" s="76"/>
      <c r="O652" s="77"/>
      <c r="P652" s="78"/>
      <c r="R652" s="78"/>
    </row>
    <row r="653" spans="13:18" ht="15.75" customHeight="1" x14ac:dyDescent="0.3">
      <c r="M653" s="76"/>
      <c r="N653" s="76"/>
      <c r="O653" s="77"/>
      <c r="P653" s="78"/>
      <c r="R653" s="78"/>
    </row>
    <row r="654" spans="13:18" ht="15.75" customHeight="1" x14ac:dyDescent="0.3">
      <c r="M654" s="76"/>
      <c r="N654" s="76"/>
      <c r="O654" s="77"/>
      <c r="P654" s="78"/>
      <c r="R654" s="78"/>
    </row>
    <row r="655" spans="13:18" ht="15.75" customHeight="1" x14ac:dyDescent="0.3">
      <c r="M655" s="76"/>
      <c r="N655" s="76"/>
      <c r="O655" s="77"/>
      <c r="P655" s="78"/>
      <c r="R655" s="78"/>
    </row>
    <row r="656" spans="13:18" ht="15.75" customHeight="1" x14ac:dyDescent="0.3">
      <c r="M656" s="76"/>
      <c r="N656" s="76"/>
      <c r="O656" s="77"/>
      <c r="P656" s="78"/>
      <c r="R656" s="78"/>
    </row>
    <row r="657" spans="13:18" ht="15.75" customHeight="1" x14ac:dyDescent="0.3">
      <c r="M657" s="76"/>
      <c r="N657" s="76"/>
      <c r="O657" s="77"/>
      <c r="P657" s="78"/>
      <c r="R657" s="78"/>
    </row>
    <row r="658" spans="13:18" ht="15.75" customHeight="1" x14ac:dyDescent="0.3">
      <c r="M658" s="76"/>
      <c r="N658" s="76"/>
      <c r="O658" s="77"/>
      <c r="P658" s="78"/>
      <c r="R658" s="78"/>
    </row>
    <row r="659" spans="13:18" ht="15.75" customHeight="1" x14ac:dyDescent="0.3">
      <c r="M659" s="76"/>
      <c r="N659" s="76"/>
      <c r="O659" s="77"/>
      <c r="P659" s="78"/>
      <c r="R659" s="78"/>
    </row>
    <row r="660" spans="13:18" ht="15.75" customHeight="1" x14ac:dyDescent="0.3">
      <c r="M660" s="76"/>
      <c r="N660" s="76"/>
      <c r="O660" s="77"/>
      <c r="P660" s="78"/>
      <c r="R660" s="78"/>
    </row>
    <row r="661" spans="13:18" ht="15.75" customHeight="1" x14ac:dyDescent="0.3">
      <c r="M661" s="76"/>
      <c r="N661" s="76"/>
      <c r="O661" s="77"/>
      <c r="P661" s="78"/>
      <c r="R661" s="78"/>
    </row>
    <row r="662" spans="13:18" ht="15.75" customHeight="1" x14ac:dyDescent="0.3">
      <c r="M662" s="76"/>
      <c r="N662" s="76"/>
      <c r="O662" s="77"/>
      <c r="P662" s="78"/>
      <c r="R662" s="78"/>
    </row>
    <row r="663" spans="13:18" ht="15.75" customHeight="1" x14ac:dyDescent="0.3">
      <c r="M663" s="76"/>
      <c r="N663" s="76"/>
      <c r="O663" s="77"/>
      <c r="P663" s="78"/>
      <c r="R663" s="78"/>
    </row>
    <row r="664" spans="13:18" ht="15.75" customHeight="1" x14ac:dyDescent="0.3">
      <c r="M664" s="76"/>
      <c r="N664" s="76"/>
      <c r="O664" s="77"/>
      <c r="P664" s="78"/>
      <c r="R664" s="78"/>
    </row>
    <row r="665" spans="13:18" ht="15.75" customHeight="1" x14ac:dyDescent="0.3">
      <c r="M665" s="76"/>
      <c r="N665" s="76"/>
      <c r="O665" s="77"/>
      <c r="P665" s="78"/>
      <c r="R665" s="78"/>
    </row>
    <row r="666" spans="13:18" ht="15.75" customHeight="1" x14ac:dyDescent="0.3">
      <c r="M666" s="76"/>
      <c r="N666" s="76"/>
      <c r="O666" s="77"/>
      <c r="P666" s="78"/>
      <c r="R666" s="78"/>
    </row>
    <row r="667" spans="13:18" ht="15.75" customHeight="1" x14ac:dyDescent="0.3">
      <c r="M667" s="76"/>
      <c r="N667" s="76"/>
      <c r="O667" s="77"/>
      <c r="P667" s="78"/>
      <c r="R667" s="78"/>
    </row>
    <row r="668" spans="13:18" ht="15.75" customHeight="1" x14ac:dyDescent="0.3">
      <c r="M668" s="76"/>
      <c r="N668" s="76"/>
      <c r="O668" s="77"/>
      <c r="P668" s="78"/>
      <c r="R668" s="78"/>
    </row>
    <row r="669" spans="13:18" ht="15.75" customHeight="1" x14ac:dyDescent="0.3">
      <c r="M669" s="76"/>
      <c r="N669" s="76"/>
      <c r="O669" s="77"/>
      <c r="P669" s="78"/>
      <c r="R669" s="78"/>
    </row>
    <row r="670" spans="13:18" ht="15.75" customHeight="1" x14ac:dyDescent="0.3">
      <c r="M670" s="76"/>
      <c r="N670" s="76"/>
      <c r="O670" s="77"/>
      <c r="P670" s="78"/>
      <c r="R670" s="78"/>
    </row>
    <row r="671" spans="13:18" ht="15.75" customHeight="1" x14ac:dyDescent="0.3">
      <c r="M671" s="76"/>
      <c r="N671" s="76"/>
      <c r="O671" s="77"/>
      <c r="P671" s="78"/>
      <c r="R671" s="78"/>
    </row>
    <row r="672" spans="13:18" ht="15.75" customHeight="1" x14ac:dyDescent="0.3">
      <c r="M672" s="76"/>
      <c r="N672" s="76"/>
      <c r="O672" s="77"/>
      <c r="P672" s="78"/>
      <c r="R672" s="78"/>
    </row>
    <row r="673" spans="13:18" ht="15.75" customHeight="1" x14ac:dyDescent="0.3">
      <c r="M673" s="76"/>
      <c r="N673" s="76"/>
      <c r="O673" s="77"/>
      <c r="P673" s="78"/>
      <c r="R673" s="78"/>
    </row>
    <row r="674" spans="13:18" ht="15.75" customHeight="1" x14ac:dyDescent="0.3">
      <c r="M674" s="76"/>
      <c r="N674" s="76"/>
      <c r="O674" s="77"/>
      <c r="P674" s="78"/>
      <c r="R674" s="78"/>
    </row>
    <row r="675" spans="13:18" ht="15.75" customHeight="1" x14ac:dyDescent="0.3">
      <c r="M675" s="76"/>
      <c r="N675" s="76"/>
      <c r="O675" s="77"/>
      <c r="P675" s="78"/>
      <c r="R675" s="78"/>
    </row>
    <row r="676" spans="13:18" ht="15.75" customHeight="1" x14ac:dyDescent="0.3">
      <c r="M676" s="76"/>
      <c r="N676" s="76"/>
      <c r="O676" s="77"/>
      <c r="P676" s="78"/>
      <c r="R676" s="78"/>
    </row>
    <row r="677" spans="13:18" ht="15.75" customHeight="1" x14ac:dyDescent="0.3">
      <c r="M677" s="76"/>
      <c r="N677" s="76"/>
      <c r="O677" s="77"/>
      <c r="P677" s="78"/>
      <c r="R677" s="78"/>
    </row>
    <row r="678" spans="13:18" ht="15.75" customHeight="1" x14ac:dyDescent="0.3">
      <c r="M678" s="76"/>
      <c r="N678" s="76"/>
      <c r="O678" s="77"/>
      <c r="P678" s="78"/>
      <c r="R678" s="78"/>
    </row>
    <row r="679" spans="13:18" ht="15.75" customHeight="1" x14ac:dyDescent="0.3">
      <c r="M679" s="76"/>
      <c r="N679" s="76"/>
      <c r="O679" s="77"/>
      <c r="P679" s="78"/>
      <c r="R679" s="78"/>
    </row>
    <row r="680" spans="13:18" ht="15.75" customHeight="1" x14ac:dyDescent="0.3">
      <c r="M680" s="76"/>
      <c r="N680" s="76"/>
      <c r="O680" s="77"/>
      <c r="P680" s="78"/>
      <c r="R680" s="78"/>
    </row>
    <row r="681" spans="13:18" ht="15.75" customHeight="1" x14ac:dyDescent="0.3">
      <c r="M681" s="76"/>
      <c r="N681" s="76"/>
      <c r="O681" s="77"/>
      <c r="P681" s="78"/>
      <c r="R681" s="78"/>
    </row>
    <row r="682" spans="13:18" ht="15.75" customHeight="1" x14ac:dyDescent="0.3">
      <c r="M682" s="76"/>
      <c r="N682" s="76"/>
      <c r="O682" s="77"/>
      <c r="P682" s="78"/>
      <c r="R682" s="78"/>
    </row>
    <row r="683" spans="13:18" ht="15.75" customHeight="1" x14ac:dyDescent="0.3">
      <c r="M683" s="76"/>
      <c r="N683" s="76"/>
      <c r="O683" s="77"/>
      <c r="P683" s="78"/>
      <c r="R683" s="78"/>
    </row>
    <row r="684" spans="13:18" ht="15.75" customHeight="1" x14ac:dyDescent="0.3">
      <c r="M684" s="76"/>
      <c r="N684" s="76"/>
      <c r="O684" s="77"/>
      <c r="P684" s="78"/>
      <c r="R684" s="78"/>
    </row>
    <row r="685" spans="13:18" ht="15.75" customHeight="1" x14ac:dyDescent="0.3">
      <c r="M685" s="76"/>
      <c r="N685" s="76"/>
      <c r="O685" s="77"/>
      <c r="P685" s="78"/>
      <c r="R685" s="78"/>
    </row>
    <row r="686" spans="13:18" ht="15.75" customHeight="1" x14ac:dyDescent="0.3">
      <c r="M686" s="76"/>
      <c r="N686" s="76"/>
      <c r="O686" s="77"/>
      <c r="P686" s="78"/>
      <c r="R686" s="78"/>
    </row>
    <row r="687" spans="13:18" ht="15.75" customHeight="1" x14ac:dyDescent="0.3">
      <c r="M687" s="76"/>
      <c r="N687" s="76"/>
      <c r="O687" s="77"/>
      <c r="P687" s="78"/>
      <c r="R687" s="78"/>
    </row>
    <row r="688" spans="13:18" ht="15.75" customHeight="1" x14ac:dyDescent="0.3">
      <c r="M688" s="76"/>
      <c r="N688" s="76"/>
      <c r="O688" s="77"/>
      <c r="P688" s="78"/>
      <c r="R688" s="78"/>
    </row>
    <row r="689" spans="13:18" ht="15.75" customHeight="1" x14ac:dyDescent="0.3">
      <c r="M689" s="76"/>
      <c r="N689" s="76"/>
      <c r="O689" s="77"/>
      <c r="P689" s="78"/>
      <c r="R689" s="78"/>
    </row>
    <row r="690" spans="13:18" ht="15.75" customHeight="1" x14ac:dyDescent="0.3">
      <c r="M690" s="76"/>
      <c r="N690" s="76"/>
      <c r="O690" s="77"/>
      <c r="P690" s="78"/>
      <c r="R690" s="78"/>
    </row>
    <row r="691" spans="13:18" ht="15.75" customHeight="1" x14ac:dyDescent="0.3">
      <c r="M691" s="76"/>
      <c r="N691" s="76"/>
      <c r="O691" s="77"/>
      <c r="P691" s="78"/>
      <c r="R691" s="78"/>
    </row>
    <row r="692" spans="13:18" ht="15.75" customHeight="1" x14ac:dyDescent="0.3">
      <c r="M692" s="76"/>
      <c r="N692" s="76"/>
      <c r="O692" s="77"/>
      <c r="P692" s="78"/>
      <c r="R692" s="78"/>
    </row>
    <row r="693" spans="13:18" ht="15.75" customHeight="1" x14ac:dyDescent="0.3">
      <c r="M693" s="76"/>
      <c r="N693" s="76"/>
      <c r="O693" s="77"/>
      <c r="P693" s="78"/>
      <c r="R693" s="78"/>
    </row>
    <row r="694" spans="13:18" ht="15.75" customHeight="1" x14ac:dyDescent="0.3">
      <c r="M694" s="76"/>
      <c r="N694" s="76"/>
      <c r="O694" s="77"/>
      <c r="P694" s="78"/>
      <c r="R694" s="78"/>
    </row>
    <row r="695" spans="13:18" ht="15.75" customHeight="1" x14ac:dyDescent="0.3">
      <c r="M695" s="76"/>
      <c r="N695" s="76"/>
      <c r="O695" s="77"/>
      <c r="P695" s="78"/>
      <c r="R695" s="78"/>
    </row>
    <row r="696" spans="13:18" ht="15.75" customHeight="1" x14ac:dyDescent="0.3">
      <c r="M696" s="76"/>
      <c r="N696" s="76"/>
      <c r="O696" s="77"/>
      <c r="P696" s="78"/>
      <c r="R696" s="78"/>
    </row>
    <row r="697" spans="13:18" ht="15.75" customHeight="1" x14ac:dyDescent="0.3">
      <c r="M697" s="76"/>
      <c r="N697" s="76"/>
      <c r="O697" s="77"/>
      <c r="P697" s="78"/>
      <c r="R697" s="78"/>
    </row>
    <row r="698" spans="13:18" ht="15.75" customHeight="1" x14ac:dyDescent="0.3">
      <c r="M698" s="76"/>
      <c r="N698" s="76"/>
      <c r="O698" s="77"/>
      <c r="P698" s="78"/>
      <c r="R698" s="78"/>
    </row>
    <row r="699" spans="13:18" ht="15.75" customHeight="1" x14ac:dyDescent="0.3">
      <c r="M699" s="76"/>
      <c r="N699" s="76"/>
      <c r="O699" s="77"/>
      <c r="P699" s="78"/>
      <c r="R699" s="78"/>
    </row>
    <row r="700" spans="13:18" ht="15.75" customHeight="1" x14ac:dyDescent="0.3">
      <c r="M700" s="76"/>
      <c r="N700" s="76"/>
      <c r="O700" s="77"/>
      <c r="P700" s="78"/>
      <c r="R700" s="78"/>
    </row>
    <row r="701" spans="13:18" ht="15.75" customHeight="1" x14ac:dyDescent="0.3">
      <c r="M701" s="76"/>
      <c r="N701" s="76"/>
      <c r="O701" s="77"/>
      <c r="P701" s="78"/>
      <c r="R701" s="78"/>
    </row>
    <row r="702" spans="13:18" ht="15.75" customHeight="1" x14ac:dyDescent="0.3">
      <c r="M702" s="76"/>
      <c r="N702" s="76"/>
      <c r="O702" s="77"/>
      <c r="P702" s="78"/>
      <c r="R702" s="78"/>
    </row>
    <row r="703" spans="13:18" ht="15.75" customHeight="1" x14ac:dyDescent="0.3">
      <c r="M703" s="76"/>
      <c r="N703" s="76"/>
      <c r="O703" s="77"/>
      <c r="P703" s="78"/>
      <c r="R703" s="78"/>
    </row>
    <row r="704" spans="13:18" ht="15.75" customHeight="1" x14ac:dyDescent="0.3">
      <c r="M704" s="76"/>
      <c r="N704" s="76"/>
      <c r="O704" s="77"/>
      <c r="P704" s="78"/>
      <c r="R704" s="78"/>
    </row>
    <row r="705" spans="13:18" ht="15.75" customHeight="1" x14ac:dyDescent="0.3">
      <c r="M705" s="76"/>
      <c r="N705" s="76"/>
      <c r="O705" s="77"/>
      <c r="P705" s="78"/>
      <c r="R705" s="78"/>
    </row>
    <row r="706" spans="13:18" ht="15.75" customHeight="1" x14ac:dyDescent="0.3">
      <c r="M706" s="76"/>
      <c r="N706" s="76"/>
      <c r="O706" s="77"/>
      <c r="P706" s="78"/>
      <c r="R706" s="78"/>
    </row>
    <row r="707" spans="13:18" ht="15.75" customHeight="1" x14ac:dyDescent="0.3">
      <c r="M707" s="76"/>
      <c r="N707" s="76"/>
      <c r="O707" s="77"/>
      <c r="P707" s="78"/>
      <c r="R707" s="78"/>
    </row>
    <row r="708" spans="13:18" ht="15.75" customHeight="1" x14ac:dyDescent="0.3">
      <c r="M708" s="76"/>
      <c r="N708" s="76"/>
      <c r="O708" s="77"/>
      <c r="P708" s="78"/>
      <c r="R708" s="78"/>
    </row>
    <row r="709" spans="13:18" ht="15.75" customHeight="1" x14ac:dyDescent="0.3">
      <c r="M709" s="76"/>
      <c r="N709" s="76"/>
      <c r="O709" s="77"/>
      <c r="P709" s="78"/>
      <c r="R709" s="78"/>
    </row>
    <row r="710" spans="13:18" ht="15.75" customHeight="1" x14ac:dyDescent="0.3">
      <c r="M710" s="76"/>
      <c r="N710" s="76"/>
      <c r="O710" s="77"/>
      <c r="P710" s="78"/>
      <c r="R710" s="78"/>
    </row>
    <row r="711" spans="13:18" ht="15.75" customHeight="1" x14ac:dyDescent="0.3">
      <c r="M711" s="76"/>
      <c r="N711" s="76"/>
      <c r="O711" s="77"/>
      <c r="P711" s="78"/>
      <c r="R711" s="78"/>
    </row>
    <row r="712" spans="13:18" ht="15.75" customHeight="1" x14ac:dyDescent="0.3">
      <c r="M712" s="76"/>
      <c r="N712" s="76"/>
      <c r="O712" s="77"/>
      <c r="P712" s="78"/>
      <c r="R712" s="78"/>
    </row>
    <row r="713" spans="13:18" ht="15.75" customHeight="1" x14ac:dyDescent="0.3">
      <c r="M713" s="76"/>
      <c r="N713" s="76"/>
      <c r="O713" s="77"/>
      <c r="P713" s="78"/>
      <c r="R713" s="78"/>
    </row>
    <row r="714" spans="13:18" ht="15.75" customHeight="1" x14ac:dyDescent="0.3">
      <c r="M714" s="76"/>
      <c r="N714" s="76"/>
      <c r="O714" s="77"/>
      <c r="P714" s="78"/>
      <c r="R714" s="78"/>
    </row>
    <row r="715" spans="13:18" ht="15.75" customHeight="1" x14ac:dyDescent="0.3">
      <c r="M715" s="76"/>
      <c r="N715" s="76"/>
      <c r="O715" s="77"/>
      <c r="P715" s="78"/>
      <c r="R715" s="78"/>
    </row>
    <row r="716" spans="13:18" ht="15.75" customHeight="1" x14ac:dyDescent="0.3">
      <c r="M716" s="76"/>
      <c r="N716" s="76"/>
      <c r="O716" s="77"/>
      <c r="P716" s="78"/>
      <c r="R716" s="78"/>
    </row>
    <row r="717" spans="13:18" ht="15.75" customHeight="1" x14ac:dyDescent="0.3">
      <c r="M717" s="76"/>
      <c r="N717" s="76"/>
      <c r="O717" s="77"/>
      <c r="P717" s="78"/>
      <c r="R717" s="78"/>
    </row>
    <row r="718" spans="13:18" ht="15.75" customHeight="1" x14ac:dyDescent="0.3">
      <c r="M718" s="76"/>
      <c r="N718" s="76"/>
      <c r="O718" s="77"/>
      <c r="P718" s="78"/>
      <c r="R718" s="78"/>
    </row>
    <row r="719" spans="13:18" ht="15.75" customHeight="1" x14ac:dyDescent="0.3">
      <c r="M719" s="76"/>
      <c r="N719" s="76"/>
      <c r="O719" s="77"/>
      <c r="P719" s="78"/>
      <c r="R719" s="78"/>
    </row>
    <row r="720" spans="13:18" ht="15.75" customHeight="1" x14ac:dyDescent="0.3">
      <c r="M720" s="76"/>
      <c r="N720" s="76"/>
      <c r="O720" s="77"/>
      <c r="P720" s="78"/>
      <c r="R720" s="78"/>
    </row>
    <row r="721" spans="13:18" ht="15.75" customHeight="1" x14ac:dyDescent="0.3">
      <c r="M721" s="76"/>
      <c r="N721" s="76"/>
      <c r="O721" s="77"/>
      <c r="P721" s="78"/>
      <c r="R721" s="78"/>
    </row>
    <row r="722" spans="13:18" ht="15.75" customHeight="1" x14ac:dyDescent="0.3">
      <c r="M722" s="76"/>
      <c r="N722" s="76"/>
      <c r="O722" s="77"/>
      <c r="P722" s="78"/>
      <c r="R722" s="78"/>
    </row>
    <row r="723" spans="13:18" ht="15.75" customHeight="1" x14ac:dyDescent="0.3">
      <c r="M723" s="76"/>
      <c r="N723" s="76"/>
      <c r="O723" s="77"/>
      <c r="P723" s="78"/>
      <c r="R723" s="78"/>
    </row>
    <row r="724" spans="13:18" ht="15.75" customHeight="1" x14ac:dyDescent="0.3">
      <c r="M724" s="76"/>
      <c r="N724" s="76"/>
      <c r="O724" s="77"/>
      <c r="P724" s="78"/>
      <c r="R724" s="78"/>
    </row>
    <row r="725" spans="13:18" ht="15.75" customHeight="1" x14ac:dyDescent="0.3">
      <c r="M725" s="76"/>
      <c r="N725" s="76"/>
      <c r="O725" s="77"/>
      <c r="P725" s="78"/>
      <c r="R725" s="78"/>
    </row>
    <row r="726" spans="13:18" ht="15.75" customHeight="1" x14ac:dyDescent="0.3">
      <c r="M726" s="76"/>
      <c r="N726" s="76"/>
      <c r="O726" s="77"/>
      <c r="P726" s="78"/>
      <c r="R726" s="78"/>
    </row>
    <row r="727" spans="13:18" ht="15.75" customHeight="1" x14ac:dyDescent="0.3">
      <c r="M727" s="76"/>
      <c r="N727" s="76"/>
      <c r="O727" s="77"/>
      <c r="P727" s="78"/>
      <c r="R727" s="78"/>
    </row>
    <row r="728" spans="13:18" ht="15.75" customHeight="1" x14ac:dyDescent="0.3">
      <c r="M728" s="76"/>
      <c r="N728" s="76"/>
      <c r="O728" s="77"/>
      <c r="P728" s="78"/>
      <c r="R728" s="78"/>
    </row>
  </sheetData>
  <sheetProtection algorithmName="SHA-512" hashValue="28AONwS47zKGdyCMO6X37hrnzNYbOXifbxJuabcbJ2N3JW753BP0H3UEw/6kK6unb3hgQQEOr999QLiOhCT/JQ==" saltValue="6mZSchyMBT4yLxEc2EiVBQ==" spinCount="100000" sheet="1" formatCells="0" formatColumns="0" formatRows="0" insertColumns="0" insertRows="0" insertHyperlinks="0" deleteColumns="0" deleteRows="0" sort="0" autoFilter="0" pivotTables="0"/>
  <autoFilter ref="A2:J207" xr:uid="{00000000-0001-0000-0000-000000000000}"/>
  <mergeCells count="2">
    <mergeCell ref="A1:J1"/>
    <mergeCell ref="N1:N2"/>
  </mergeCells>
  <conditionalFormatting sqref="G4:G10 G12:G16 G18:G42 G44:G93 G95:G105 G107:G112 G114:G148 G150:G188 G190:G195 G197:G200">
    <cfRule type="containsBlanks" dxfId="2" priority="6">
      <formula>LEN(TRIM(G4))=0</formula>
    </cfRule>
  </conditionalFormatting>
  <conditionalFormatting sqref="G202:G207">
    <cfRule type="containsBlanks" dxfId="1" priority="2">
      <formula>LEN(TRIM(G202))=0</formula>
    </cfRule>
  </conditionalFormatting>
  <conditionalFormatting sqref="R1">
    <cfRule type="expression" dxfId="0" priority="1">
      <formula>"&gt;0"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(Mary Ruth's)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Tkachuk Valia</cp:lastModifiedBy>
  <dcterms:modified xsi:type="dcterms:W3CDTF">2025-12-01T04:55:21Z</dcterms:modified>
</cp:coreProperties>
</file>