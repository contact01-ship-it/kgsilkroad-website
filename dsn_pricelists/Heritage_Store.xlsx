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Acer\Desktop\Prices\Heritage Store\Продаж\"/>
    </mc:Choice>
  </mc:AlternateContent>
  <xr:revisionPtr revIDLastSave="0" documentId="13_ncr:1_{6CBFDDE4-B58C-47DF-A521-A2DA88A72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Heritage Store)" sheetId="1" r:id="rId1"/>
  </sheets>
  <definedNames>
    <definedName name="_xlnm._FilterDatabase" localSheetId="0" hidden="1">'DSN GROUP (Heritage Store)'!$A$2:$J$43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3" i="1"/>
  <c r="K2" i="1" l="1"/>
</calcChain>
</file>

<file path=xl/sharedStrings.xml><?xml version="1.0" encoding="utf-8"?>
<sst xmlns="http://schemas.openxmlformats.org/spreadsheetml/2006/main" count="137" uniqueCount="100">
  <si>
    <t>Nutra #</t>
  </si>
  <si>
    <t>Prod #</t>
  </si>
  <si>
    <t>WIP #</t>
  </si>
  <si>
    <t>UPC</t>
  </si>
  <si>
    <t>Description</t>
  </si>
  <si>
    <t>Case
Qty</t>
  </si>
  <si>
    <t>076970446124</t>
  </si>
  <si>
    <t>076970443642</t>
  </si>
  <si>
    <t>076970451685</t>
  </si>
  <si>
    <t>076970221097</t>
  </si>
  <si>
    <t>076970221042</t>
  </si>
  <si>
    <t>076970221585</t>
  </si>
  <si>
    <t>076970200818</t>
  </si>
  <si>
    <t>076970446568</t>
  </si>
  <si>
    <t>076970443710</t>
  </si>
  <si>
    <t>076970408696</t>
  </si>
  <si>
    <t>076970747429</t>
  </si>
  <si>
    <t>076970825714</t>
  </si>
  <si>
    <t>076970221356</t>
  </si>
  <si>
    <t xml:space="preserve"> </t>
  </si>
  <si>
    <t>076970221745</t>
  </si>
  <si>
    <t>076970504817</t>
  </si>
  <si>
    <t>076970632503</t>
  </si>
  <si>
    <t>076970685684</t>
  </si>
  <si>
    <t>076970794072</t>
  </si>
  <si>
    <t>076970774012</t>
  </si>
  <si>
    <t>076970842322</t>
  </si>
  <si>
    <t>076970221882</t>
  </si>
  <si>
    <t>076970554393</t>
  </si>
  <si>
    <t>076970706488</t>
  </si>
  <si>
    <t>076970080151</t>
  </si>
  <si>
    <t>076970547494</t>
  </si>
  <si>
    <t>076970110841</t>
  </si>
  <si>
    <t>076970231867</t>
  </si>
  <si>
    <t>076970449699</t>
  </si>
  <si>
    <t>076970446452</t>
  </si>
  <si>
    <t>076970442317</t>
  </si>
  <si>
    <t>076970971176</t>
  </si>
  <si>
    <t>076970414468</t>
  </si>
  <si>
    <t>076970498253</t>
  </si>
  <si>
    <t>076970111114</t>
  </si>
  <si>
    <t>076970111138</t>
  </si>
  <si>
    <t>076970910618</t>
  </si>
  <si>
    <t>076970512256</t>
  </si>
  <si>
    <t>076970930586</t>
  </si>
  <si>
    <t>076970280094</t>
  </si>
  <si>
    <t>076970893799</t>
  </si>
  <si>
    <t>Price</t>
  </si>
  <si>
    <t>Order</t>
  </si>
  <si>
    <t>Total</t>
  </si>
  <si>
    <t>WhatsApp → +380-9871-54085</t>
  </si>
  <si>
    <t>E-mail → info@dsn.group</t>
  </si>
  <si>
    <t>Instagram → https://www.instagram.com/dsngroup.official/</t>
  </si>
  <si>
    <r>
      <rPr>
        <b/>
        <sz val="11"/>
        <color rgb="FFFF0000"/>
        <rFont val="Calibri"/>
        <family val="2"/>
        <charset val="204"/>
        <scheme val="minor"/>
      </rPr>
      <t>Importantly!</t>
    </r>
    <r>
      <rPr>
        <sz val="11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</si>
  <si>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+13-322-093-910</t>
  </si>
  <si>
    <t>Poland → +48-459-568-603</t>
  </si>
  <si>
    <t>6</t>
  </si>
  <si>
    <t>2</t>
  </si>
  <si>
    <t>4</t>
  </si>
  <si>
    <t>Rosewater w/atomizer 8oz Rose</t>
  </si>
  <si>
    <t>Rosewater 8oz Rose</t>
  </si>
  <si>
    <t>Rosewater 1gal Rose</t>
  </si>
  <si>
    <t>Castor Oil 8oz Fragrance Free</t>
  </si>
  <si>
    <t>Castor Oil 4oz Fragrance Free</t>
  </si>
  <si>
    <t>Castor Oil 1gal Fragrance Free</t>
  </si>
  <si>
    <t>Rosewater &amp; Glycerin w/atomize 8oz Rose</t>
  </si>
  <si>
    <t>Rosewater &amp; Glycerin w/atomize 4oz Rose</t>
  </si>
  <si>
    <t>Rosewater &amp; Glycerin 4oz Rose</t>
  </si>
  <si>
    <t>Rosewater Facial Toner 8 oz Rose</t>
  </si>
  <si>
    <t>Black Seed Oil, Organic 8oz Natural</t>
  </si>
  <si>
    <t>Black Seed Oil, Organic 16oz Natural</t>
  </si>
  <si>
    <t>Black Castor Oil 8oz Fragrance Free</t>
  </si>
  <si>
    <t>Wool Flannel 12"x27" 1ea Fragrance Free</t>
  </si>
  <si>
    <t xml:space="preserve">Rose Oil 1oz  </t>
  </si>
  <si>
    <t xml:space="preserve">Rosewater Moisturizer 2oz  </t>
  </si>
  <si>
    <t>Rosewater Cleanser 4oz Rose</t>
  </si>
  <si>
    <t>Aura Smudge 4oz Juniper Sage</t>
  </si>
  <si>
    <t>Rosewater Vinegar 8 oz Rose</t>
  </si>
  <si>
    <t>Nascent Colloidal Iodine 1 oz 246 mcg Unflavored</t>
  </si>
  <si>
    <t>Cotton Flannel 13"x15" 1ea Fragrance Free</t>
  </si>
  <si>
    <t>Rosewater Serum with 1% HA 2 oz Rose</t>
  </si>
  <si>
    <t>Hydrogen Peroxide Mouthwsh Whi 16oz Menthol</t>
  </si>
  <si>
    <t>Hydrogen Peroxide 3% 16oz Fragrance Free</t>
  </si>
  <si>
    <t xml:space="preserve">HS Aura Glow Moisturizer 1.9oz  </t>
  </si>
  <si>
    <t>Vegetable Glycerin 8oz Fragrance Free</t>
  </si>
  <si>
    <t>Cotton Flannel, Organic 1ea Fragrance Free</t>
  </si>
  <si>
    <t>Black Seed Oil 3% Thymoquinone 1oz 30ct Natural</t>
  </si>
  <si>
    <t>Lavender Water w/atomizer 4oz Lavender</t>
  </si>
  <si>
    <t>Lavender Water w/atomizer 8oz Lavender</t>
  </si>
  <si>
    <t xml:space="preserve">HS Aura Glow Face Mask 2oz  </t>
  </si>
  <si>
    <t>Alka-Thyme, alkaline mouthwash 16oz Menthol</t>
  </si>
  <si>
    <t>Egyptian Gold Butter 4 oz Fragrance Free</t>
  </si>
  <si>
    <t>Colloidal Silver Salve 2oz Fragrance Free</t>
  </si>
  <si>
    <t xml:space="preserve">HS Aura Glow Eye Cream 15ml  </t>
  </si>
  <si>
    <t>Atomidine 2oz Unflavored</t>
  </si>
  <si>
    <t>Lavender Water &amp; Glycerin 8oz Lavender</t>
  </si>
  <si>
    <t>Ipsab Toothpaste 4.23oz Mint</t>
  </si>
  <si>
    <t>Rose Castor Oil Serum 2oz Rose</t>
  </si>
  <si>
    <t>Rosewater Concentrate 2oz Rose</t>
  </si>
  <si>
    <t>Weight,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</si>
</sst>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409]* #,##0.00_-;\-[$$-1409]* #,##0.00_-;_-[$$-14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A1F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0" xfId="0" applyAlignment="1" applyProtection="1">
      <alignment horizontal="center"/>
      <protection locked="0"/>
    </xf>
    <xf numFmtId="0" fontId="2" fillId="2" borderId="23" xfId="1" applyNumberFormat="1" applyFill="1" applyBorder="1" applyAlignment="1" applyProtection="1">
      <alignment horizontal="center" vertical="center" wrapText="1"/>
    </xf>
    <xf numFmtId="0" fontId="2" fillId="2" borderId="24" xfId="1" applyNumberFormat="1" applyFill="1" applyBorder="1" applyAlignment="1" applyProtection="1">
      <alignment horizontal="center" vertical="center" wrapText="1"/>
    </xf>
    <xf numFmtId="0" fontId="2" fillId="2" borderId="3" xfId="1" applyNumberFormat="1" applyFill="1" applyBorder="1" applyAlignment="1" applyProtection="1">
      <alignment horizontal="center" vertical="center" wrapText="1"/>
      <protection locked="0"/>
    </xf>
    <xf numFmtId="164" fontId="2" fillId="2" borderId="26" xfId="1" applyNumberFormat="1" applyFill="1" applyBorder="1" applyAlignment="1" applyProtection="1">
      <alignment horizontal="center" vertical="center" wrapText="1"/>
    </xf>
    <xf numFmtId="0" fontId="0" fillId="0" borderId="21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14" fontId="3" fillId="0" borderId="0" xfId="0" applyNumberFormat="1" applyFont="1" applyAlignment="1">
      <alignment horizontal="center" vertical="center"/>
    </xf>
    <xf numFmtId="164" fontId="2" fillId="2" borderId="25" xfId="1" applyNumberFormat="1" applyFill="1" applyBorder="1" applyAlignment="1" applyProtection="1">
      <alignment horizontal="center" vertical="center" wrapText="1"/>
    </xf>
    <xf numFmtId="164" fontId="0" fillId="0" borderId="20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0" xfId="0" applyNumberFormat="1"/>
    <xf numFmtId="164" fontId="0" fillId="0" borderId="22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7" xfId="0" applyFont="1" applyBorder="1" applyAlignment="1">
      <alignment horizontal="left" wrapText="1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Заголовок 3" xfId="1" builtinId="18"/>
    <cellStyle name="Звичайний" xfId="0" builtinId="0"/>
  </cellStyles>
  <dxfs count="0"/>
  <tableStyles count="0" defaultTableStyle="TableStyleMedium2" defaultPivotStyle="PivotStyleLight16"/>
  <colors>
    <mruColors>
      <color rgb="FFD1A1F9"/>
      <color rgb="FFF2BCEF"/>
      <color rgb="FFD1B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358588</xdr:colOff>
      <xdr:row>44</xdr:row>
      <xdr:rowOff>71718</xdr:rowOff>
    </xdr:from>
    <xdr:to>
      <xdr:col>4</xdr:col>
      <xdr:colOff>1349188</xdr:colOff>
      <xdr:row>44</xdr:row>
      <xdr:rowOff>384591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30FA038-E7CB-4BD0-BEE5-8E87B5DC248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7388" y="16656424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188260</xdr:colOff>
      <xdr:row>0</xdr:row>
      <xdr:rowOff>0</xdr:rowOff>
    </xdr:from>
    <xdr:to>
      <xdr:col>9</xdr:col>
      <xdr:colOff>203262</xdr:colOff>
      <xdr:row>0</xdr:row>
      <xdr:rowOff>1080259</xdr:rowOff>
    </xdr:to>
    <xdr:pic>
      <xdr:nvPicPr>
        <xdr:cNvPr id="3" name="Рисунок 2" descr="Heritage Store - Crunchbase Company Profile &amp; Funding">
          <a:extLst>
            <a:ext uri="{FF2B5EF4-FFF2-40B4-BE49-F238E27FC236}">
              <a16:creationId xmlns:a16="http://schemas.microsoft.com/office/drawing/2014/main" id="{DD346E26-4293-583C-A2E4-A7F94A098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0495" y="0"/>
          <a:ext cx="1843802" cy="1080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zoomScale="85" zoomScaleNormal="85" workbookViewId="0">
      <pane ySplit="2" topLeftCell="A3" activePane="bottomLeft" state="frozen"/>
      <selection pane="bottomLeft" activeCell="G7" sqref="G7"/>
    </sheetView>
  </sheetViews>
  <sheetFormatPr defaultRowHeight="14.4" x14ac:dyDescent="0.3"/>
  <cols>
    <col min="5" max="5" width="44.44140625" bestFit="1" customWidth="1"/>
    <col min="6" max="6" width="19.5546875" customWidth="1"/>
    <col min="7" max="7" width="8.88671875" style="1"/>
    <col min="8" max="8" width="8.88671875" style="27"/>
    <col min="9" max="9" width="8.88671875" style="14"/>
    <col min="10" max="10" width="12" style="27" bestFit="1" customWidth="1"/>
    <col min="11" max="11" width="14.6640625" customWidth="1"/>
  </cols>
  <sheetData>
    <row r="1" spans="1:11" ht="87" customHeight="1" thickBot="1" x14ac:dyDescent="0.35">
      <c r="A1" s="34" t="s">
        <v>53</v>
      </c>
      <c r="B1" s="35"/>
      <c r="C1" s="35"/>
      <c r="D1" s="35"/>
      <c r="E1" s="35"/>
      <c r="F1" s="35"/>
      <c r="G1" s="35"/>
      <c r="H1" s="35"/>
      <c r="I1" s="35"/>
      <c r="J1" s="35"/>
      <c r="K1" s="22">
        <v>45665</v>
      </c>
    </row>
    <row r="2" spans="1:11" ht="29.4" thickBot="1" x14ac:dyDescent="0.35">
      <c r="A2" s="15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99</v>
      </c>
      <c r="G2" s="16" t="s">
        <v>5</v>
      </c>
      <c r="H2" s="23" t="s">
        <v>47</v>
      </c>
      <c r="I2" s="17" t="s">
        <v>48</v>
      </c>
      <c r="J2" s="18" t="s">
        <v>49</v>
      </c>
      <c r="K2" s="18">
        <f>SUM(J3:J42)</f>
        <v>0</v>
      </c>
    </row>
    <row r="3" spans="1:11" x14ac:dyDescent="0.3">
      <c r="A3" s="10">
        <v>6638622</v>
      </c>
      <c r="B3" s="11">
        <v>44612</v>
      </c>
      <c r="C3" s="12">
        <v>4959936</v>
      </c>
      <c r="D3" s="13" t="s">
        <v>6</v>
      </c>
      <c r="E3" s="13" t="s">
        <v>59</v>
      </c>
      <c r="F3" s="13"/>
      <c r="G3" s="12" t="s">
        <v>56</v>
      </c>
      <c r="H3" s="24">
        <v>6.5975000000000001</v>
      </c>
      <c r="I3" s="19"/>
      <c r="J3" s="28">
        <f t="shared" ref="J3:J34" si="0">I3*H3</f>
        <v>0</v>
      </c>
    </row>
    <row r="4" spans="1:11" x14ac:dyDescent="0.3">
      <c r="A4" s="5">
        <v>7757246</v>
      </c>
      <c r="B4" s="2">
        <v>44364</v>
      </c>
      <c r="C4" s="3">
        <v>4959936</v>
      </c>
      <c r="D4" s="4" t="s">
        <v>7</v>
      </c>
      <c r="E4" s="4" t="s">
        <v>60</v>
      </c>
      <c r="F4" s="4"/>
      <c r="G4" s="3" t="s">
        <v>56</v>
      </c>
      <c r="H4" s="25">
        <v>6.0059999999999993</v>
      </c>
      <c r="I4" s="20"/>
      <c r="J4" s="29">
        <f t="shared" si="0"/>
        <v>0</v>
      </c>
    </row>
    <row r="5" spans="1:11" x14ac:dyDescent="0.3">
      <c r="A5" s="5">
        <v>6748507</v>
      </c>
      <c r="B5" s="2">
        <v>45168</v>
      </c>
      <c r="C5" s="3">
        <v>4959936</v>
      </c>
      <c r="D5" s="4" t="s">
        <v>8</v>
      </c>
      <c r="E5" s="4" t="s">
        <v>61</v>
      </c>
      <c r="F5" s="4"/>
      <c r="G5" s="3" t="s">
        <v>57</v>
      </c>
      <c r="H5" s="25">
        <v>60.469499999999996</v>
      </c>
      <c r="I5" s="20"/>
      <c r="J5" s="29">
        <f t="shared" si="0"/>
        <v>0</v>
      </c>
    </row>
    <row r="6" spans="1:11" x14ac:dyDescent="0.3">
      <c r="A6" s="5">
        <v>9655249</v>
      </c>
      <c r="B6" s="2">
        <v>22109</v>
      </c>
      <c r="C6" s="3">
        <v>7851954</v>
      </c>
      <c r="D6" s="4" t="s">
        <v>9</v>
      </c>
      <c r="E6" s="4" t="s">
        <v>62</v>
      </c>
      <c r="F6" s="4"/>
      <c r="G6" s="3" t="s">
        <v>56</v>
      </c>
      <c r="H6" s="25">
        <v>5.3690000000000007</v>
      </c>
      <c r="I6" s="20"/>
      <c r="J6" s="29">
        <f t="shared" si="0"/>
        <v>0</v>
      </c>
    </row>
    <row r="7" spans="1:11" x14ac:dyDescent="0.3">
      <c r="A7" s="5">
        <v>8383954</v>
      </c>
      <c r="B7" s="2">
        <v>22104</v>
      </c>
      <c r="C7" s="3">
        <v>7851954</v>
      </c>
      <c r="D7" s="4" t="s">
        <v>10</v>
      </c>
      <c r="E7" s="4" t="s">
        <v>63</v>
      </c>
      <c r="F7" s="4"/>
      <c r="G7" s="3" t="s">
        <v>56</v>
      </c>
      <c r="H7" s="25">
        <v>3.5034999999999998</v>
      </c>
      <c r="I7" s="20"/>
      <c r="J7" s="29">
        <f t="shared" si="0"/>
        <v>0</v>
      </c>
    </row>
    <row r="8" spans="1:11" x14ac:dyDescent="0.3">
      <c r="A8" s="5">
        <v>9574280</v>
      </c>
      <c r="B8" s="2">
        <v>22158</v>
      </c>
      <c r="C8" s="3">
        <v>7851954</v>
      </c>
      <c r="D8" s="4" t="s">
        <v>11</v>
      </c>
      <c r="E8" s="4" t="s">
        <v>64</v>
      </c>
      <c r="F8" s="4"/>
      <c r="G8" s="3" t="s">
        <v>57</v>
      </c>
      <c r="H8" s="25">
        <v>34.898499999999999</v>
      </c>
      <c r="I8" s="20"/>
      <c r="J8" s="29">
        <f t="shared" si="0"/>
        <v>0</v>
      </c>
    </row>
    <row r="9" spans="1:11" x14ac:dyDescent="0.3">
      <c r="A9" s="5">
        <v>6045777</v>
      </c>
      <c r="B9" s="2">
        <v>20081</v>
      </c>
      <c r="C9" s="3">
        <v>2255257</v>
      </c>
      <c r="D9" s="4" t="s">
        <v>12</v>
      </c>
      <c r="E9" s="4" t="s">
        <v>65</v>
      </c>
      <c r="F9" s="4"/>
      <c r="G9" s="3" t="s">
        <v>56</v>
      </c>
      <c r="H9" s="25">
        <v>6.734</v>
      </c>
      <c r="I9" s="20"/>
      <c r="J9" s="29">
        <f t="shared" si="0"/>
        <v>0</v>
      </c>
    </row>
    <row r="10" spans="1:11" x14ac:dyDescent="0.3">
      <c r="A10" s="5">
        <v>2630727</v>
      </c>
      <c r="B10" s="2">
        <v>44656</v>
      </c>
      <c r="C10" s="3">
        <v>2255257</v>
      </c>
      <c r="D10" s="4" t="s">
        <v>13</v>
      </c>
      <c r="E10" s="4" t="s">
        <v>66</v>
      </c>
      <c r="F10" s="4"/>
      <c r="G10" s="3" t="s">
        <v>56</v>
      </c>
      <c r="H10" s="25">
        <v>4.8685</v>
      </c>
      <c r="I10" s="20"/>
      <c r="J10" s="29">
        <f t="shared" si="0"/>
        <v>0</v>
      </c>
    </row>
    <row r="11" spans="1:11" x14ac:dyDescent="0.3">
      <c r="A11" s="5">
        <v>9013708</v>
      </c>
      <c r="B11" s="2">
        <v>44371</v>
      </c>
      <c r="C11" s="3">
        <v>2255257</v>
      </c>
      <c r="D11" s="4" t="s">
        <v>14</v>
      </c>
      <c r="E11" s="4" t="s">
        <v>67</v>
      </c>
      <c r="F11" s="4"/>
      <c r="G11" s="3" t="s">
        <v>56</v>
      </c>
      <c r="H11" s="25">
        <v>4.1859999999999991</v>
      </c>
      <c r="I11" s="20"/>
      <c r="J11" s="29">
        <f t="shared" si="0"/>
        <v>0</v>
      </c>
    </row>
    <row r="12" spans="1:11" x14ac:dyDescent="0.3">
      <c r="A12" s="5">
        <v>9852679</v>
      </c>
      <c r="B12" s="2">
        <v>40869</v>
      </c>
      <c r="C12" s="3">
        <v>1652008</v>
      </c>
      <c r="D12" s="4" t="s">
        <v>15</v>
      </c>
      <c r="E12" s="4" t="s">
        <v>68</v>
      </c>
      <c r="F12" s="4"/>
      <c r="G12" s="3" t="s">
        <v>56</v>
      </c>
      <c r="H12" s="25">
        <v>7.5984999999999996</v>
      </c>
      <c r="I12" s="20"/>
      <c r="J12" s="29">
        <f t="shared" si="0"/>
        <v>0</v>
      </c>
    </row>
    <row r="13" spans="1:11" x14ac:dyDescent="0.3">
      <c r="A13" s="5">
        <v>4189767</v>
      </c>
      <c r="B13" s="2">
        <v>74742</v>
      </c>
      <c r="C13" s="3">
        <v>6852118</v>
      </c>
      <c r="D13" s="4" t="s">
        <v>16</v>
      </c>
      <c r="E13" s="4" t="s">
        <v>69</v>
      </c>
      <c r="F13" s="4"/>
      <c r="G13" s="3" t="s">
        <v>56</v>
      </c>
      <c r="H13" s="25">
        <v>16.789499999999997</v>
      </c>
      <c r="I13" s="20"/>
      <c r="J13" s="29">
        <f t="shared" si="0"/>
        <v>0</v>
      </c>
    </row>
    <row r="14" spans="1:11" x14ac:dyDescent="0.3">
      <c r="A14" s="5">
        <v>6345280</v>
      </c>
      <c r="B14" s="2">
        <v>82571</v>
      </c>
      <c r="C14" s="3">
        <v>6852118</v>
      </c>
      <c r="D14" s="4" t="s">
        <v>17</v>
      </c>
      <c r="E14" s="4" t="s">
        <v>70</v>
      </c>
      <c r="F14" s="4"/>
      <c r="G14" s="3" t="s">
        <v>56</v>
      </c>
      <c r="H14" s="25">
        <v>31.531499999999998</v>
      </c>
      <c r="I14" s="20"/>
      <c r="J14" s="29">
        <f t="shared" si="0"/>
        <v>0</v>
      </c>
    </row>
    <row r="15" spans="1:11" x14ac:dyDescent="0.3">
      <c r="A15" s="5">
        <v>8075120</v>
      </c>
      <c r="B15" s="2">
        <v>22135</v>
      </c>
      <c r="C15" s="3">
        <v>3833188</v>
      </c>
      <c r="D15" s="4" t="s">
        <v>18</v>
      </c>
      <c r="E15" s="4" t="s">
        <v>71</v>
      </c>
      <c r="F15" s="4"/>
      <c r="G15" s="3" t="s">
        <v>56</v>
      </c>
      <c r="H15" s="25">
        <v>10.465</v>
      </c>
      <c r="I15" s="20"/>
      <c r="J15" s="29">
        <f t="shared" si="0"/>
        <v>0</v>
      </c>
    </row>
    <row r="16" spans="1:11" x14ac:dyDescent="0.3">
      <c r="A16" s="5">
        <v>6763567</v>
      </c>
      <c r="B16" s="2">
        <v>22174</v>
      </c>
      <c r="C16" s="3">
        <v>9516619</v>
      </c>
      <c r="D16" s="4" t="s">
        <v>20</v>
      </c>
      <c r="E16" s="4" t="s">
        <v>72</v>
      </c>
      <c r="F16" s="4"/>
      <c r="G16" s="3" t="s">
        <v>56</v>
      </c>
      <c r="H16" s="25">
        <v>8.463000000000001</v>
      </c>
      <c r="I16" s="20"/>
      <c r="J16" s="29">
        <f t="shared" si="0"/>
        <v>0</v>
      </c>
    </row>
    <row r="17" spans="1:10" x14ac:dyDescent="0.3">
      <c r="A17" s="5">
        <v>4102078</v>
      </c>
      <c r="B17" s="2">
        <v>68568</v>
      </c>
      <c r="C17" s="3">
        <v>4566414</v>
      </c>
      <c r="D17" s="4" t="s">
        <v>23</v>
      </c>
      <c r="E17" s="4" t="s">
        <v>73</v>
      </c>
      <c r="F17" s="4"/>
      <c r="G17" s="3" t="s">
        <v>56</v>
      </c>
      <c r="H17" s="25">
        <v>9.6914999999999996</v>
      </c>
      <c r="I17" s="20"/>
      <c r="J17" s="29">
        <f t="shared" si="0"/>
        <v>0</v>
      </c>
    </row>
    <row r="18" spans="1:10" x14ac:dyDescent="0.3">
      <c r="A18" s="5">
        <v>4000696</v>
      </c>
      <c r="B18" s="2">
        <v>79407</v>
      </c>
      <c r="C18" s="3">
        <v>1684490</v>
      </c>
      <c r="D18" s="4" t="s">
        <v>24</v>
      </c>
      <c r="E18" s="4" t="s">
        <v>74</v>
      </c>
      <c r="F18" s="4"/>
      <c r="G18" s="3" t="s">
        <v>56</v>
      </c>
      <c r="H18" s="25">
        <v>11.5115</v>
      </c>
      <c r="I18" s="20"/>
      <c r="J18" s="29">
        <f t="shared" si="0"/>
        <v>0</v>
      </c>
    </row>
    <row r="19" spans="1:10" x14ac:dyDescent="0.3">
      <c r="A19" s="5">
        <v>6921862</v>
      </c>
      <c r="B19" s="2">
        <v>77401</v>
      </c>
      <c r="C19" s="3">
        <v>1494358</v>
      </c>
      <c r="D19" s="4" t="s">
        <v>25</v>
      </c>
      <c r="E19" s="4" t="s">
        <v>75</v>
      </c>
      <c r="F19" s="4"/>
      <c r="G19" s="3" t="s">
        <v>56</v>
      </c>
      <c r="H19" s="25">
        <v>7.3255000000000008</v>
      </c>
      <c r="I19" s="20"/>
      <c r="J19" s="29">
        <f t="shared" si="0"/>
        <v>0</v>
      </c>
    </row>
    <row r="20" spans="1:10" x14ac:dyDescent="0.3">
      <c r="A20" s="5">
        <v>1974178</v>
      </c>
      <c r="B20" s="2">
        <v>63250</v>
      </c>
      <c r="C20" s="3">
        <v>9851376</v>
      </c>
      <c r="D20" s="4" t="s">
        <v>22</v>
      </c>
      <c r="E20" s="4" t="s">
        <v>76</v>
      </c>
      <c r="F20" s="4"/>
      <c r="G20" s="3" t="s">
        <v>56</v>
      </c>
      <c r="H20" s="25">
        <v>9.3729999999999993</v>
      </c>
      <c r="I20" s="20"/>
      <c r="J20" s="29">
        <f t="shared" si="0"/>
        <v>0</v>
      </c>
    </row>
    <row r="21" spans="1:10" x14ac:dyDescent="0.3">
      <c r="A21" s="5">
        <v>6350815</v>
      </c>
      <c r="B21" s="2">
        <v>50481</v>
      </c>
      <c r="C21" s="3">
        <v>1984808</v>
      </c>
      <c r="D21" s="4" t="s">
        <v>21</v>
      </c>
      <c r="E21" s="4" t="s">
        <v>77</v>
      </c>
      <c r="F21" s="4"/>
      <c r="G21" s="3" t="s">
        <v>56</v>
      </c>
      <c r="H21" s="25">
        <v>8.19</v>
      </c>
      <c r="I21" s="20"/>
      <c r="J21" s="29">
        <f t="shared" si="0"/>
        <v>0</v>
      </c>
    </row>
    <row r="22" spans="1:10" x14ac:dyDescent="0.3">
      <c r="A22" s="5">
        <v>7919803</v>
      </c>
      <c r="B22" s="2">
        <v>84232</v>
      </c>
      <c r="C22" s="3">
        <v>9407358</v>
      </c>
      <c r="D22" s="4" t="s">
        <v>26</v>
      </c>
      <c r="E22" s="4" t="s">
        <v>78</v>
      </c>
      <c r="F22" s="4"/>
      <c r="G22" s="3" t="s">
        <v>56</v>
      </c>
      <c r="H22" s="25">
        <v>13.286</v>
      </c>
      <c r="I22" s="20"/>
      <c r="J22" s="29">
        <f t="shared" si="0"/>
        <v>0</v>
      </c>
    </row>
    <row r="23" spans="1:10" x14ac:dyDescent="0.3">
      <c r="A23" s="5">
        <v>1637977</v>
      </c>
      <c r="B23" s="2">
        <v>22188</v>
      </c>
      <c r="C23" s="3">
        <v>6404653</v>
      </c>
      <c r="D23" s="4" t="s">
        <v>27</v>
      </c>
      <c r="E23" s="4" t="s">
        <v>79</v>
      </c>
      <c r="F23" s="4"/>
      <c r="G23" s="3" t="s">
        <v>56</v>
      </c>
      <c r="H23" s="25">
        <v>9.1910000000000007</v>
      </c>
      <c r="I23" s="20"/>
      <c r="J23" s="29">
        <f t="shared" si="0"/>
        <v>0</v>
      </c>
    </row>
    <row r="24" spans="1:10" x14ac:dyDescent="0.3">
      <c r="A24" s="5">
        <v>3318390</v>
      </c>
      <c r="B24" s="2">
        <v>55439</v>
      </c>
      <c r="C24" s="3">
        <v>9946920</v>
      </c>
      <c r="D24" s="4" t="s">
        <v>28</v>
      </c>
      <c r="E24" s="4" t="s">
        <v>80</v>
      </c>
      <c r="F24" s="4"/>
      <c r="G24" s="3" t="s">
        <v>56</v>
      </c>
      <c r="H24" s="25">
        <v>12.648999999999999</v>
      </c>
      <c r="I24" s="20"/>
      <c r="J24" s="29">
        <f t="shared" si="0"/>
        <v>0</v>
      </c>
    </row>
    <row r="25" spans="1:10" x14ac:dyDescent="0.3">
      <c r="A25" s="5">
        <v>4210074</v>
      </c>
      <c r="B25" s="2">
        <v>70648</v>
      </c>
      <c r="C25" s="3">
        <v>5276986</v>
      </c>
      <c r="D25" s="4" t="s">
        <v>29</v>
      </c>
      <c r="E25" s="4" t="s">
        <v>81</v>
      </c>
      <c r="F25" s="4"/>
      <c r="G25" s="3" t="s">
        <v>56</v>
      </c>
      <c r="H25" s="25">
        <v>6.6429999999999998</v>
      </c>
      <c r="I25" s="20"/>
      <c r="J25" s="29">
        <f t="shared" si="0"/>
        <v>0</v>
      </c>
    </row>
    <row r="26" spans="1:10" x14ac:dyDescent="0.3">
      <c r="A26" s="5">
        <v>5746229</v>
      </c>
      <c r="B26" s="2">
        <v>54749</v>
      </c>
      <c r="C26" s="3">
        <v>6453029</v>
      </c>
      <c r="D26" s="4" t="s">
        <v>31</v>
      </c>
      <c r="E26" s="4" t="s">
        <v>82</v>
      </c>
      <c r="F26" s="4"/>
      <c r="G26" s="3" t="s">
        <v>56</v>
      </c>
      <c r="H26" s="25">
        <v>6.0970000000000004</v>
      </c>
      <c r="I26" s="20"/>
      <c r="J26" s="29">
        <f t="shared" si="0"/>
        <v>0</v>
      </c>
    </row>
    <row r="27" spans="1:10" x14ac:dyDescent="0.3">
      <c r="A27" s="5">
        <v>3320758</v>
      </c>
      <c r="B27" s="2">
        <v>11084</v>
      </c>
      <c r="C27" s="3">
        <v>1442260</v>
      </c>
      <c r="D27" s="4" t="s">
        <v>32</v>
      </c>
      <c r="E27" s="4" t="s">
        <v>83</v>
      </c>
      <c r="F27" s="4"/>
      <c r="G27" s="3" t="s">
        <v>56</v>
      </c>
      <c r="H27" s="25">
        <v>13.013</v>
      </c>
      <c r="I27" s="20"/>
      <c r="J27" s="29">
        <f t="shared" si="0"/>
        <v>0</v>
      </c>
    </row>
    <row r="28" spans="1:10" x14ac:dyDescent="0.3">
      <c r="A28" s="5">
        <v>6422849</v>
      </c>
      <c r="B28" s="2">
        <v>8015</v>
      </c>
      <c r="C28" s="3">
        <v>8452576</v>
      </c>
      <c r="D28" s="4" t="s">
        <v>30</v>
      </c>
      <c r="E28" s="4" t="s">
        <v>84</v>
      </c>
      <c r="F28" s="4"/>
      <c r="G28" s="3" t="s">
        <v>56</v>
      </c>
      <c r="H28" s="25">
        <v>6.5520000000000005</v>
      </c>
      <c r="I28" s="20"/>
      <c r="J28" s="29">
        <f t="shared" si="0"/>
        <v>0</v>
      </c>
    </row>
    <row r="29" spans="1:10" x14ac:dyDescent="0.3">
      <c r="A29" s="5">
        <v>8332558</v>
      </c>
      <c r="B29" s="2">
        <v>23186</v>
      </c>
      <c r="C29" s="3">
        <v>8806132</v>
      </c>
      <c r="D29" s="4" t="s">
        <v>33</v>
      </c>
      <c r="E29" s="4" t="s">
        <v>85</v>
      </c>
      <c r="F29" s="4"/>
      <c r="G29" s="3" t="s">
        <v>56</v>
      </c>
      <c r="H29" s="25">
        <v>12.466999999999999</v>
      </c>
      <c r="I29" s="20"/>
      <c r="J29" s="29">
        <f t="shared" si="0"/>
        <v>0</v>
      </c>
    </row>
    <row r="30" spans="1:10" x14ac:dyDescent="0.3">
      <c r="A30" s="5">
        <v>2801664</v>
      </c>
      <c r="B30" s="2">
        <v>44969</v>
      </c>
      <c r="C30" s="3">
        <v>9958503</v>
      </c>
      <c r="D30" s="4" t="s">
        <v>34</v>
      </c>
      <c r="E30" s="4" t="s">
        <v>86</v>
      </c>
      <c r="F30" s="4"/>
      <c r="G30" s="3" t="s">
        <v>56</v>
      </c>
      <c r="H30" s="25">
        <v>15.743</v>
      </c>
      <c r="I30" s="20"/>
      <c r="J30" s="29">
        <f t="shared" si="0"/>
        <v>0</v>
      </c>
    </row>
    <row r="31" spans="1:10" x14ac:dyDescent="0.3">
      <c r="A31" s="5">
        <v>2033157</v>
      </c>
      <c r="B31" s="2">
        <v>44645</v>
      </c>
      <c r="C31" s="3">
        <v>9320409</v>
      </c>
      <c r="D31" s="4" t="s">
        <v>35</v>
      </c>
      <c r="E31" s="4" t="s">
        <v>87</v>
      </c>
      <c r="F31" s="4"/>
      <c r="G31" s="3" t="s">
        <v>56</v>
      </c>
      <c r="H31" s="25">
        <v>3.9584999999999995</v>
      </c>
      <c r="I31" s="20"/>
      <c r="J31" s="29">
        <f t="shared" si="0"/>
        <v>0</v>
      </c>
    </row>
    <row r="32" spans="1:10" x14ac:dyDescent="0.3">
      <c r="A32" s="5">
        <v>7550515</v>
      </c>
      <c r="B32" s="2">
        <v>44231</v>
      </c>
      <c r="C32" s="3">
        <v>9320409</v>
      </c>
      <c r="D32" s="4" t="s">
        <v>36</v>
      </c>
      <c r="E32" s="4" t="s">
        <v>88</v>
      </c>
      <c r="F32" s="4"/>
      <c r="G32" s="3" t="s">
        <v>56</v>
      </c>
      <c r="H32" s="25">
        <v>5.9604999999999997</v>
      </c>
      <c r="I32" s="20"/>
      <c r="J32" s="29">
        <f t="shared" si="0"/>
        <v>0</v>
      </c>
    </row>
    <row r="33" spans="1:10" x14ac:dyDescent="0.3">
      <c r="A33" s="5">
        <v>9637854</v>
      </c>
      <c r="B33" s="2">
        <v>97117</v>
      </c>
      <c r="C33" s="3">
        <v>7942362</v>
      </c>
      <c r="D33" s="4" t="s">
        <v>37</v>
      </c>
      <c r="E33" s="4" t="s">
        <v>89</v>
      </c>
      <c r="F33" s="4"/>
      <c r="G33" s="3" t="s">
        <v>56</v>
      </c>
      <c r="H33" s="25">
        <v>9.0544999999999991</v>
      </c>
      <c r="I33" s="20"/>
      <c r="J33" s="29">
        <f t="shared" si="0"/>
        <v>0</v>
      </c>
    </row>
    <row r="34" spans="1:10" x14ac:dyDescent="0.3">
      <c r="A34" s="5">
        <v>1555900</v>
      </c>
      <c r="B34" s="2">
        <v>11111</v>
      </c>
      <c r="C34" s="3">
        <v>9391641</v>
      </c>
      <c r="D34" s="4" t="s">
        <v>40</v>
      </c>
      <c r="E34" s="4" t="s">
        <v>90</v>
      </c>
      <c r="F34" s="4"/>
      <c r="G34" s="3" t="s">
        <v>56</v>
      </c>
      <c r="H34" s="25">
        <v>9.5094999999999992</v>
      </c>
      <c r="I34" s="20"/>
      <c r="J34" s="29">
        <f t="shared" si="0"/>
        <v>0</v>
      </c>
    </row>
    <row r="35" spans="1:10" x14ac:dyDescent="0.3">
      <c r="A35" s="5">
        <v>6292930</v>
      </c>
      <c r="B35" s="2">
        <v>49825</v>
      </c>
      <c r="C35" s="3">
        <v>4271724</v>
      </c>
      <c r="D35" s="4" t="s">
        <v>39</v>
      </c>
      <c r="E35" s="4" t="s">
        <v>91</v>
      </c>
      <c r="F35" s="4"/>
      <c r="G35" s="3" t="s">
        <v>56</v>
      </c>
      <c r="H35" s="25">
        <v>14.0595</v>
      </c>
      <c r="I35" s="20"/>
      <c r="J35" s="29">
        <f t="shared" ref="J35:J42" si="1">I35*H35</f>
        <v>0</v>
      </c>
    </row>
    <row r="36" spans="1:10" x14ac:dyDescent="0.3">
      <c r="A36" s="5">
        <v>5763266</v>
      </c>
      <c r="B36" s="2">
        <v>41446</v>
      </c>
      <c r="C36" s="3">
        <v>8914997</v>
      </c>
      <c r="D36" s="4" t="s">
        <v>38</v>
      </c>
      <c r="E36" s="4" t="s">
        <v>92</v>
      </c>
      <c r="F36" s="4"/>
      <c r="G36" s="3" t="s">
        <v>56</v>
      </c>
      <c r="H36" s="25">
        <v>13.0585</v>
      </c>
      <c r="I36" s="20"/>
      <c r="J36" s="29">
        <f t="shared" si="1"/>
        <v>0</v>
      </c>
    </row>
    <row r="37" spans="1:10" x14ac:dyDescent="0.3">
      <c r="A37" s="5">
        <v>4910998</v>
      </c>
      <c r="B37" s="2">
        <v>91061</v>
      </c>
      <c r="C37" s="3">
        <v>2387011</v>
      </c>
      <c r="D37" s="4" t="s">
        <v>42</v>
      </c>
      <c r="E37" s="4" t="s">
        <v>93</v>
      </c>
      <c r="F37" s="4"/>
      <c r="G37" s="3" t="s">
        <v>56</v>
      </c>
      <c r="H37" s="25">
        <v>10.738000000000001</v>
      </c>
      <c r="I37" s="20"/>
      <c r="J37" s="29">
        <f t="shared" si="1"/>
        <v>0</v>
      </c>
    </row>
    <row r="38" spans="1:10" x14ac:dyDescent="0.3">
      <c r="A38" s="5">
        <v>3931051</v>
      </c>
      <c r="B38" s="2">
        <v>11113</v>
      </c>
      <c r="C38" s="3">
        <v>9800254</v>
      </c>
      <c r="D38" s="4" t="s">
        <v>41</v>
      </c>
      <c r="E38" s="4" t="s">
        <v>94</v>
      </c>
      <c r="F38" s="4"/>
      <c r="G38" s="3" t="s">
        <v>56</v>
      </c>
      <c r="H38" s="25">
        <v>11.966500000000002</v>
      </c>
      <c r="I38" s="20"/>
      <c r="J38" s="29">
        <f t="shared" si="1"/>
        <v>0</v>
      </c>
    </row>
    <row r="39" spans="1:10" x14ac:dyDescent="0.3">
      <c r="A39" s="5">
        <v>1867559</v>
      </c>
      <c r="B39" s="2">
        <v>51225</v>
      </c>
      <c r="C39" s="3">
        <v>2334133</v>
      </c>
      <c r="D39" s="4" t="s">
        <v>43</v>
      </c>
      <c r="E39" s="4" t="s">
        <v>95</v>
      </c>
      <c r="F39" s="4"/>
      <c r="G39" s="3" t="s">
        <v>56</v>
      </c>
      <c r="H39" s="25">
        <v>5.8239999999999998</v>
      </c>
      <c r="I39" s="20"/>
      <c r="J39" s="29">
        <f t="shared" si="1"/>
        <v>0</v>
      </c>
    </row>
    <row r="40" spans="1:10" x14ac:dyDescent="0.3">
      <c r="A40" s="5">
        <v>4798011</v>
      </c>
      <c r="B40" s="2">
        <v>93058</v>
      </c>
      <c r="C40" s="3">
        <v>4798011</v>
      </c>
      <c r="D40" s="4" t="s">
        <v>44</v>
      </c>
      <c r="E40" s="4" t="s">
        <v>96</v>
      </c>
      <c r="F40" s="4"/>
      <c r="G40" s="3" t="s">
        <v>58</v>
      </c>
      <c r="H40" s="25">
        <v>5.1414999999999997</v>
      </c>
      <c r="I40" s="20"/>
      <c r="J40" s="29">
        <f t="shared" si="1"/>
        <v>0</v>
      </c>
    </row>
    <row r="41" spans="1:10" x14ac:dyDescent="0.3">
      <c r="A41" s="5">
        <v>2959138</v>
      </c>
      <c r="B41" s="2">
        <v>89379</v>
      </c>
      <c r="C41" s="3">
        <v>1678363</v>
      </c>
      <c r="D41" s="4" t="s">
        <v>46</v>
      </c>
      <c r="E41" s="4" t="s">
        <v>97</v>
      </c>
      <c r="F41" s="4"/>
      <c r="G41" s="3" t="s">
        <v>56</v>
      </c>
      <c r="H41" s="25">
        <v>10.373999999999999</v>
      </c>
      <c r="I41" s="20"/>
      <c r="J41" s="29">
        <f t="shared" si="1"/>
        <v>0</v>
      </c>
    </row>
    <row r="42" spans="1:10" ht="15" thickBot="1" x14ac:dyDescent="0.35">
      <c r="A42" s="6">
        <v>7306545</v>
      </c>
      <c r="B42" s="7">
        <v>28009</v>
      </c>
      <c r="C42" s="8">
        <v>7387192</v>
      </c>
      <c r="D42" s="9" t="s">
        <v>45</v>
      </c>
      <c r="E42" s="9" t="s">
        <v>98</v>
      </c>
      <c r="F42" s="9"/>
      <c r="G42" s="8" t="s">
        <v>56</v>
      </c>
      <c r="H42" s="26">
        <v>12.831000000000001</v>
      </c>
      <c r="I42" s="21"/>
      <c r="J42" s="30">
        <f t="shared" si="1"/>
        <v>0</v>
      </c>
    </row>
    <row r="43" spans="1:10" x14ac:dyDescent="0.3">
      <c r="E43" t="s">
        <v>19</v>
      </c>
    </row>
    <row r="44" spans="1:10" ht="15" thickBot="1" x14ac:dyDescent="0.35"/>
    <row r="45" spans="1:10" ht="34.799999999999997" customHeight="1" thickBot="1" x14ac:dyDescent="0.35">
      <c r="C45" s="36"/>
      <c r="D45" s="37"/>
      <c r="E45" s="38"/>
      <c r="F45" s="51"/>
    </row>
    <row r="46" spans="1:10" x14ac:dyDescent="0.3">
      <c r="C46" s="39" t="s">
        <v>54</v>
      </c>
      <c r="D46" s="40"/>
      <c r="E46" s="41"/>
      <c r="F46" s="51"/>
    </row>
    <row r="47" spans="1:10" x14ac:dyDescent="0.3">
      <c r="C47" s="42" t="s">
        <v>55</v>
      </c>
      <c r="D47" s="43"/>
      <c r="E47" s="44"/>
      <c r="F47" s="51"/>
    </row>
    <row r="48" spans="1:10" ht="15" thickBot="1" x14ac:dyDescent="0.35">
      <c r="C48" s="45" t="s">
        <v>50</v>
      </c>
      <c r="D48" s="46"/>
      <c r="E48" s="47"/>
      <c r="F48" s="51"/>
    </row>
    <row r="49" spans="3:6" x14ac:dyDescent="0.3">
      <c r="C49" s="48" t="s">
        <v>51</v>
      </c>
      <c r="D49" s="49"/>
      <c r="E49" s="50"/>
      <c r="F49" s="51"/>
    </row>
    <row r="50" spans="3:6" ht="15" thickBot="1" x14ac:dyDescent="0.35">
      <c r="C50" s="31" t="s">
        <v>52</v>
      </c>
      <c r="D50" s="32"/>
      <c r="E50" s="33"/>
      <c r="F50" s="51"/>
    </row>
  </sheetData>
  <sheetProtection formatCells="0" formatColumns="0" formatRows="0" insertColumns="0" insertRows="0" insertHyperlinks="0" deleteColumns="0" deleteRows="0" sort="0" autoFilter="0" pivotTables="0"/>
  <autoFilter ref="A2:J43" xr:uid="{00000000-0001-0000-0000-000000000000}"/>
  <mergeCells count="7">
    <mergeCell ref="C50:E50"/>
    <mergeCell ref="A1:J1"/>
    <mergeCell ref="C45:E45"/>
    <mergeCell ref="C46:E46"/>
    <mergeCell ref="C47:E47"/>
    <mergeCell ref="C48:E48"/>
    <mergeCell ref="C49:E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(Heritage Store)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2015-06-05T18:17:20Z</dcterms:created>
  <dcterms:modified xsi:type="dcterms:W3CDTF">2025-12-01T16:47:10Z</dcterms:modified>
</cp:coreProperties>
</file>