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5"/>
  <workbookPr/>
  <mc:AlternateContent xmlns:mc="http://schemas.openxmlformats.org/markup-compatibility/2006">
    <mc:Choice Requires="x15">
      <x15ac:absPath xmlns:x15ac="http://schemas.microsoft.com/office/spreadsheetml/2010/11/ac" url="C:\Users\Acer\Desktop\Prices\Zhou\Продаж\"/>
    </mc:Choice>
  </mc:AlternateContent>
  <xr:revisionPtr revIDLastSave="0" documentId="13_ncr:1_{249D9F4E-947A-4781-85F3-5A98B9317F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N GROUP (Zhou)" sheetId="1" r:id="rId1"/>
  </sheets>
  <externalReferences>
    <externalReference r:id="rId2"/>
  </externalReferences>
  <definedNames>
    <definedName name="_xlnm._FilterDatabase" localSheetId="0" hidden="1">'DSN GROUP (Zhou)'!$A$2:$J$79</definedName>
    <definedName name="myimage" localSheetId="0">_xlfn.XLOOKUP([1]Zhou!$E$1,#REF!,#REF!)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N4" i="1"/>
  <c r="O4" i="1"/>
  <c r="P4" i="1"/>
  <c r="M5" i="1"/>
  <c r="N5" i="1"/>
  <c r="O5" i="1"/>
  <c r="P5" i="1"/>
  <c r="R5" i="1" s="1"/>
  <c r="M6" i="1"/>
  <c r="N6" i="1"/>
  <c r="O6" i="1"/>
  <c r="P6" i="1"/>
  <c r="M7" i="1"/>
  <c r="N7" i="1"/>
  <c r="O7" i="1"/>
  <c r="P7" i="1"/>
  <c r="M8" i="1"/>
  <c r="N8" i="1"/>
  <c r="O8" i="1"/>
  <c r="P8" i="1"/>
  <c r="M9" i="1"/>
  <c r="N9" i="1"/>
  <c r="O9" i="1"/>
  <c r="P9" i="1"/>
  <c r="M10" i="1"/>
  <c r="N10" i="1"/>
  <c r="O10" i="1"/>
  <c r="P10" i="1"/>
  <c r="M11" i="1"/>
  <c r="N11" i="1"/>
  <c r="O11" i="1"/>
  <c r="P11" i="1"/>
  <c r="M12" i="1"/>
  <c r="N12" i="1"/>
  <c r="O12" i="1"/>
  <c r="P12" i="1"/>
  <c r="M13" i="1"/>
  <c r="N13" i="1"/>
  <c r="O13" i="1"/>
  <c r="P13" i="1"/>
  <c r="M14" i="1"/>
  <c r="N14" i="1"/>
  <c r="O14" i="1"/>
  <c r="P14" i="1"/>
  <c r="M15" i="1"/>
  <c r="N15" i="1"/>
  <c r="O15" i="1"/>
  <c r="P15" i="1"/>
  <c r="M16" i="1"/>
  <c r="N16" i="1"/>
  <c r="O16" i="1"/>
  <c r="P16" i="1"/>
  <c r="R16" i="1" s="1"/>
  <c r="M17" i="1"/>
  <c r="N17" i="1"/>
  <c r="O17" i="1"/>
  <c r="P17" i="1"/>
  <c r="M18" i="1"/>
  <c r="N18" i="1"/>
  <c r="O18" i="1"/>
  <c r="P18" i="1"/>
  <c r="R18" i="1" s="1"/>
  <c r="M19" i="1"/>
  <c r="N19" i="1"/>
  <c r="O19" i="1"/>
  <c r="P19" i="1"/>
  <c r="M20" i="1"/>
  <c r="N20" i="1"/>
  <c r="O20" i="1"/>
  <c r="P20" i="1"/>
  <c r="M21" i="1"/>
  <c r="N21" i="1"/>
  <c r="O21" i="1"/>
  <c r="P21" i="1"/>
  <c r="M22" i="1"/>
  <c r="N22" i="1"/>
  <c r="O22" i="1"/>
  <c r="P22" i="1"/>
  <c r="M23" i="1"/>
  <c r="N23" i="1"/>
  <c r="O23" i="1"/>
  <c r="P23" i="1"/>
  <c r="M24" i="1"/>
  <c r="N24" i="1"/>
  <c r="O24" i="1"/>
  <c r="P24" i="1"/>
  <c r="M25" i="1"/>
  <c r="N25" i="1"/>
  <c r="O25" i="1"/>
  <c r="P25" i="1"/>
  <c r="R25" i="1"/>
  <c r="M26" i="1"/>
  <c r="N26" i="1"/>
  <c r="O26" i="1"/>
  <c r="P26" i="1"/>
  <c r="R26" i="1" s="1"/>
  <c r="M27" i="1"/>
  <c r="N27" i="1"/>
  <c r="O27" i="1"/>
  <c r="P27" i="1"/>
  <c r="R27" i="1" s="1"/>
  <c r="M28" i="1"/>
  <c r="N28" i="1"/>
  <c r="O28" i="1"/>
  <c r="P28" i="1"/>
  <c r="M29" i="1"/>
  <c r="N29" i="1"/>
  <c r="O29" i="1"/>
  <c r="P29" i="1"/>
  <c r="M30" i="1"/>
  <c r="N30" i="1"/>
  <c r="O30" i="1"/>
  <c r="P30" i="1"/>
  <c r="M31" i="1"/>
  <c r="N31" i="1"/>
  <c r="O31" i="1"/>
  <c r="P31" i="1"/>
  <c r="M32" i="1"/>
  <c r="N32" i="1"/>
  <c r="O32" i="1"/>
  <c r="P32" i="1"/>
  <c r="R32" i="1" s="1"/>
  <c r="M33" i="1"/>
  <c r="N33" i="1"/>
  <c r="O33" i="1"/>
  <c r="P33" i="1"/>
  <c r="R33" i="1"/>
  <c r="M34" i="1"/>
  <c r="N34" i="1"/>
  <c r="O34" i="1"/>
  <c r="P34" i="1"/>
  <c r="M35" i="1"/>
  <c r="N35" i="1"/>
  <c r="O35" i="1"/>
  <c r="P35" i="1"/>
  <c r="M36" i="1"/>
  <c r="N36" i="1"/>
  <c r="O36" i="1"/>
  <c r="P36" i="1"/>
  <c r="M37" i="1"/>
  <c r="N37" i="1"/>
  <c r="O37" i="1"/>
  <c r="P37" i="1"/>
  <c r="M38" i="1"/>
  <c r="N38" i="1"/>
  <c r="O38" i="1"/>
  <c r="P38" i="1"/>
  <c r="M39" i="1"/>
  <c r="N39" i="1"/>
  <c r="O39" i="1"/>
  <c r="P39" i="1"/>
  <c r="R39" i="1" s="1"/>
  <c r="M40" i="1"/>
  <c r="N40" i="1"/>
  <c r="O40" i="1"/>
  <c r="P40" i="1"/>
  <c r="M41" i="1"/>
  <c r="N41" i="1"/>
  <c r="O41" i="1"/>
  <c r="P41" i="1"/>
  <c r="R41" i="1" s="1"/>
  <c r="M42" i="1"/>
  <c r="N42" i="1"/>
  <c r="O42" i="1"/>
  <c r="P42" i="1"/>
  <c r="M43" i="1"/>
  <c r="N43" i="1"/>
  <c r="O43" i="1"/>
  <c r="P43" i="1"/>
  <c r="M44" i="1"/>
  <c r="N44" i="1"/>
  <c r="O44" i="1"/>
  <c r="P44" i="1"/>
  <c r="M45" i="1"/>
  <c r="N45" i="1"/>
  <c r="O45" i="1"/>
  <c r="P45" i="1"/>
  <c r="M46" i="1"/>
  <c r="N46" i="1"/>
  <c r="O46" i="1"/>
  <c r="P46" i="1"/>
  <c r="M47" i="1"/>
  <c r="N47" i="1"/>
  <c r="O47" i="1"/>
  <c r="P47" i="1"/>
  <c r="R47" i="1" s="1"/>
  <c r="M48" i="1"/>
  <c r="N48" i="1"/>
  <c r="O48" i="1"/>
  <c r="P48" i="1"/>
  <c r="R48" i="1" s="1"/>
  <c r="M49" i="1"/>
  <c r="N49" i="1"/>
  <c r="O49" i="1"/>
  <c r="P49" i="1"/>
  <c r="R49" i="1" s="1"/>
  <c r="M50" i="1"/>
  <c r="N50" i="1"/>
  <c r="O50" i="1"/>
  <c r="P50" i="1"/>
  <c r="M51" i="1"/>
  <c r="N51" i="1"/>
  <c r="O51" i="1"/>
  <c r="P51" i="1"/>
  <c r="M52" i="1"/>
  <c r="N52" i="1"/>
  <c r="O52" i="1"/>
  <c r="P52" i="1"/>
  <c r="M53" i="1"/>
  <c r="N53" i="1"/>
  <c r="O53" i="1"/>
  <c r="P53" i="1"/>
  <c r="M54" i="1"/>
  <c r="N54" i="1"/>
  <c r="O54" i="1"/>
  <c r="P54" i="1"/>
  <c r="M55" i="1"/>
  <c r="N55" i="1"/>
  <c r="O55" i="1"/>
  <c r="P55" i="1"/>
  <c r="R55" i="1" s="1"/>
  <c r="M56" i="1"/>
  <c r="N56" i="1"/>
  <c r="O56" i="1"/>
  <c r="P56" i="1"/>
  <c r="M57" i="1"/>
  <c r="N57" i="1"/>
  <c r="O57" i="1"/>
  <c r="P57" i="1"/>
  <c r="R57" i="1" s="1"/>
  <c r="M58" i="1"/>
  <c r="N58" i="1"/>
  <c r="O58" i="1"/>
  <c r="P58" i="1"/>
  <c r="M59" i="1"/>
  <c r="N59" i="1"/>
  <c r="O59" i="1"/>
  <c r="P59" i="1"/>
  <c r="R59" i="1" s="1"/>
  <c r="M60" i="1"/>
  <c r="N60" i="1"/>
  <c r="O60" i="1"/>
  <c r="P60" i="1"/>
  <c r="M61" i="1"/>
  <c r="N61" i="1"/>
  <c r="O61" i="1"/>
  <c r="P61" i="1"/>
  <c r="M62" i="1"/>
  <c r="N62" i="1"/>
  <c r="O62" i="1"/>
  <c r="P62" i="1"/>
  <c r="M63" i="1"/>
  <c r="N63" i="1"/>
  <c r="O63" i="1"/>
  <c r="P63" i="1"/>
  <c r="R63" i="1" s="1"/>
  <c r="M64" i="1"/>
  <c r="N64" i="1"/>
  <c r="O64" i="1"/>
  <c r="P64" i="1"/>
  <c r="R64" i="1" s="1"/>
  <c r="M65" i="1"/>
  <c r="N65" i="1"/>
  <c r="O65" i="1"/>
  <c r="P65" i="1"/>
  <c r="R65" i="1" s="1"/>
  <c r="M66" i="1"/>
  <c r="N66" i="1"/>
  <c r="O66" i="1"/>
  <c r="P66" i="1"/>
  <c r="R66" i="1" s="1"/>
  <c r="M67" i="1"/>
  <c r="N67" i="1"/>
  <c r="O67" i="1"/>
  <c r="P67" i="1"/>
  <c r="M68" i="1"/>
  <c r="N68" i="1"/>
  <c r="O68" i="1"/>
  <c r="P68" i="1"/>
  <c r="M69" i="1"/>
  <c r="N69" i="1"/>
  <c r="O69" i="1"/>
  <c r="P69" i="1"/>
  <c r="M70" i="1"/>
  <c r="N70" i="1"/>
  <c r="O70" i="1"/>
  <c r="P70" i="1"/>
  <c r="M71" i="1"/>
  <c r="N71" i="1"/>
  <c r="O71" i="1"/>
  <c r="P71" i="1"/>
  <c r="M72" i="1"/>
  <c r="N72" i="1"/>
  <c r="O72" i="1"/>
  <c r="P72" i="1"/>
  <c r="R72" i="1" s="1"/>
  <c r="M73" i="1"/>
  <c r="N73" i="1"/>
  <c r="O73" i="1"/>
  <c r="P73" i="1"/>
  <c r="R73" i="1"/>
  <c r="M74" i="1"/>
  <c r="N74" i="1"/>
  <c r="O74" i="1"/>
  <c r="P74" i="1"/>
  <c r="R74" i="1"/>
  <c r="M75" i="1"/>
  <c r="N75" i="1"/>
  <c r="O75" i="1"/>
  <c r="P75" i="1"/>
  <c r="R75" i="1" s="1"/>
  <c r="M76" i="1"/>
  <c r="N76" i="1"/>
  <c r="O76" i="1"/>
  <c r="P76" i="1"/>
  <c r="R76" i="1" s="1"/>
  <c r="M77" i="1"/>
  <c r="N77" i="1"/>
  <c r="O77" i="1"/>
  <c r="P77" i="1"/>
  <c r="M78" i="1"/>
  <c r="N78" i="1"/>
  <c r="O78" i="1"/>
  <c r="P78" i="1"/>
  <c r="O3" i="1"/>
  <c r="P3" i="1" s="1"/>
  <c r="M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R20" i="1" s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R40" i="1" s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R60" i="1" s="1"/>
  <c r="J61" i="1"/>
  <c r="J62" i="1"/>
  <c r="J63" i="1"/>
  <c r="J64" i="1"/>
  <c r="J65" i="1"/>
  <c r="J66" i="1"/>
  <c r="J67" i="1"/>
  <c r="J68" i="1"/>
  <c r="R68" i="1" s="1"/>
  <c r="J69" i="1"/>
  <c r="J70" i="1"/>
  <c r="J71" i="1"/>
  <c r="J72" i="1"/>
  <c r="J73" i="1"/>
  <c r="J74" i="1"/>
  <c r="J75" i="1"/>
  <c r="J76" i="1"/>
  <c r="J77" i="1"/>
  <c r="J78" i="1"/>
  <c r="J3" i="1"/>
  <c r="R37" i="1" l="1"/>
  <c r="R35" i="1"/>
  <c r="R24" i="1"/>
  <c r="R3" i="1"/>
  <c r="R71" i="1"/>
  <c r="R69" i="1"/>
  <c r="R58" i="1"/>
  <c r="R56" i="1"/>
  <c r="R54" i="1"/>
  <c r="R52" i="1"/>
  <c r="R50" i="1"/>
  <c r="R22" i="1"/>
  <c r="R78" i="1"/>
  <c r="R67" i="1"/>
  <c r="R46" i="1"/>
  <c r="R44" i="1"/>
  <c r="R42" i="1"/>
  <c r="R31" i="1"/>
  <c r="R29" i="1"/>
  <c r="R14" i="1"/>
  <c r="R12" i="1"/>
  <c r="R10" i="1"/>
  <c r="R8" i="1"/>
  <c r="R61" i="1"/>
  <c r="R38" i="1"/>
  <c r="R36" i="1"/>
  <c r="R34" i="1"/>
  <c r="R23" i="1"/>
  <c r="R21" i="1"/>
  <c r="R4" i="1"/>
  <c r="R70" i="1"/>
  <c r="R53" i="1"/>
  <c r="R51" i="1"/>
  <c r="R19" i="1"/>
  <c r="R77" i="1"/>
  <c r="R45" i="1"/>
  <c r="R43" i="1"/>
  <c r="R30" i="1"/>
  <c r="R28" i="1"/>
  <c r="R17" i="1"/>
  <c r="R62" i="1"/>
  <c r="R15" i="1"/>
  <c r="R13" i="1"/>
  <c r="R11" i="1"/>
  <c r="R9" i="1"/>
  <c r="R7" i="1"/>
  <c r="O2" i="1"/>
  <c r="P2" i="1"/>
  <c r="N3" i="1" s="1"/>
  <c r="R6" i="1"/>
  <c r="K2" i="1"/>
  <c r="R1" i="1" l="1"/>
</calcChain>
</file>

<file path=xl/sharedStrings.xml><?xml version="1.0" encoding="utf-8"?>
<sst xmlns="http://schemas.openxmlformats.org/spreadsheetml/2006/main" count="174" uniqueCount="174">
  <si>
    <t>Nutra #</t>
  </si>
  <si>
    <t>Prod #</t>
  </si>
  <si>
    <t>WIP #</t>
  </si>
  <si>
    <t>UPC</t>
  </si>
  <si>
    <t>Description</t>
  </si>
  <si>
    <t>Case
Qty</t>
  </si>
  <si>
    <t>669191805407</t>
  </si>
  <si>
    <t>859805006140</t>
  </si>
  <si>
    <t xml:space="preserve"> </t>
  </si>
  <si>
    <t>669191679640</t>
  </si>
  <si>
    <t>859805006362</t>
  </si>
  <si>
    <t>669191979474</t>
  </si>
  <si>
    <t>669191967396</t>
  </si>
  <si>
    <t>859805006164</t>
  </si>
  <si>
    <t>859805006188</t>
  </si>
  <si>
    <t>669191370172</t>
  </si>
  <si>
    <t>859805006379</t>
  </si>
  <si>
    <t>859805006270</t>
  </si>
  <si>
    <t>859805006294</t>
  </si>
  <si>
    <t>859805006058</t>
  </si>
  <si>
    <t>859805006041</t>
  </si>
  <si>
    <t>859805006324</t>
  </si>
  <si>
    <t>669191899710</t>
  </si>
  <si>
    <t>859805006782</t>
  </si>
  <si>
    <t>859805006010</t>
  </si>
  <si>
    <t>859805006256</t>
  </si>
  <si>
    <t>859805006300</t>
  </si>
  <si>
    <t>859805006355</t>
  </si>
  <si>
    <t>859805006072</t>
  </si>
  <si>
    <t>669191721486</t>
  </si>
  <si>
    <t>669191172332</t>
  </si>
  <si>
    <t>859805006263</t>
  </si>
  <si>
    <t>669191679411</t>
  </si>
  <si>
    <t>669191503631</t>
  </si>
  <si>
    <t>669191505833</t>
  </si>
  <si>
    <t>859805006096</t>
  </si>
  <si>
    <t>859805006317</t>
  </si>
  <si>
    <t>859805006027</t>
  </si>
  <si>
    <t>859805006089</t>
  </si>
  <si>
    <t>669191188920</t>
  </si>
  <si>
    <t>859805006171</t>
  </si>
  <si>
    <t>859805006249</t>
  </si>
  <si>
    <t>859805006102</t>
  </si>
  <si>
    <t>669191377386</t>
  </si>
  <si>
    <t>669191518611</t>
  </si>
  <si>
    <t>669191140461</t>
  </si>
  <si>
    <t>669191918282</t>
  </si>
  <si>
    <t>859805006348</t>
  </si>
  <si>
    <t>859805006331</t>
  </si>
  <si>
    <t>669191235136</t>
  </si>
  <si>
    <t>669191811811</t>
  </si>
  <si>
    <t>669191354035</t>
  </si>
  <si>
    <t>669191820165</t>
  </si>
  <si>
    <t>859805006126</t>
  </si>
  <si>
    <t>669191797481</t>
  </si>
  <si>
    <t>669191494779</t>
  </si>
  <si>
    <t>859805006065</t>
  </si>
  <si>
    <t>669191895224</t>
  </si>
  <si>
    <t>859805006133</t>
  </si>
  <si>
    <t>859805006034</t>
  </si>
  <si>
    <t>669191528627</t>
  </si>
  <si>
    <t>669191593885</t>
  </si>
  <si>
    <t>669191579278</t>
  </si>
  <si>
    <t>669191525633</t>
  </si>
  <si>
    <t>669191624893</t>
  </si>
  <si>
    <t>859805006287</t>
  </si>
  <si>
    <t>669191113137</t>
  </si>
  <si>
    <t>669191221214</t>
  </si>
  <si>
    <t>669191672771</t>
  </si>
  <si>
    <t>669191460491</t>
  </si>
  <si>
    <t>669191640619</t>
  </si>
  <si>
    <t>669191204569</t>
  </si>
  <si>
    <t>669191455114</t>
  </si>
  <si>
    <t>669191412605</t>
  </si>
  <si>
    <t>669191144698</t>
  </si>
  <si>
    <t>669191795869</t>
  </si>
  <si>
    <t>669191258876</t>
  </si>
  <si>
    <t>669191362634</t>
  </si>
  <si>
    <t>669191934541</t>
  </si>
  <si>
    <t>669191659314</t>
  </si>
  <si>
    <t>669191443005</t>
  </si>
  <si>
    <t>669191861106</t>
  </si>
  <si>
    <t>669191177276</t>
  </si>
  <si>
    <t>Order</t>
  </si>
  <si>
    <t>Total</t>
  </si>
  <si>
    <t>Price</t>
  </si>
  <si>
    <r>
      <rPr>
        <b/>
        <sz val="11"/>
        <color rgb="FFFF0000"/>
        <rFont val="Calibri"/>
        <family val="2"/>
        <charset val="204"/>
        <scheme val="minor"/>
      </rPr>
      <t>Importantly!</t>
    </r>
    <r>
      <rPr>
        <sz val="11"/>
        <color theme="1"/>
        <rFont val="Calibri"/>
        <family val="2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</si>
  <si>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USA → +14-1770-86052</t>
  </si>
  <si>
    <t>Poland → +48-2260-22010</t>
  </si>
  <si>
    <t>WhatsApp → +380-9871-54085</t>
  </si>
  <si>
    <t>E-mail → info@dsn.group</t>
  </si>
  <si>
    <t>Instagram → https://www.instagram.com/dsngroup.official/</t>
  </si>
  <si>
    <t>Weight, kg</t>
  </si>
  <si>
    <t>Weight,
 kg</t>
  </si>
  <si>
    <t>Elder-Mune 60 ct 125 mg Gummy Elderberry</t>
  </si>
  <si>
    <t xml:space="preserve">Hairfluence 60ct Capsule  </t>
  </si>
  <si>
    <t>Apple Cider Vinegar Gummies 60ct Gummy Apple</t>
  </si>
  <si>
    <t xml:space="preserve">Turmeric Curcumin w/ Bioperine 90ct 1650mg Capsule  </t>
  </si>
  <si>
    <t xml:space="preserve">Berberine with Oregon Grape 60 ct 1000 mg Capsule  </t>
  </si>
  <si>
    <t>Vitamin C+ Gummies 60 ct 270 mg Gummy Orange</t>
  </si>
  <si>
    <t xml:space="preserve">Horny Goat Weed w/Maca &amp; Tribu 60ct Capsule  </t>
  </si>
  <si>
    <t xml:space="preserve">K2 + D3 60ct Capsule  </t>
  </si>
  <si>
    <t>D3 + K2 Gummies 60 ct Gummy Strawberry</t>
  </si>
  <si>
    <t xml:space="preserve">Water Away 60ct Capsule  </t>
  </si>
  <si>
    <t xml:space="preserve">Black Seed Oil Organic 8 oz Liquid  </t>
  </si>
  <si>
    <t xml:space="preserve">Resveratrol 60ct 1000mg Capsule  </t>
  </si>
  <si>
    <t xml:space="preserve">Collagen Peptides 18 oz Powder  </t>
  </si>
  <si>
    <t xml:space="preserve">Ceylon Cinnamon 60ct 120mg Capsule  </t>
  </si>
  <si>
    <t xml:space="preserve">Spirulina 6oz Powder  </t>
  </si>
  <si>
    <t>Elderberry Syrup Organic 8oz 6.2g Liquid Elderberry</t>
  </si>
  <si>
    <t>Methyl B12 5000 60 ct 5000 mcg Tablet Cherry</t>
  </si>
  <si>
    <t xml:space="preserve">Black Seed Oil 60 ct 1300 mg Softgel  </t>
  </si>
  <si>
    <t xml:space="preserve">N.O. PRO 120 ct Capsule  </t>
  </si>
  <si>
    <t xml:space="preserve">Saw Palmetto 100ct 500mg Capsule  </t>
  </si>
  <si>
    <t xml:space="preserve">Thyroid Support w/ Iodine 60ct Capsule  </t>
  </si>
  <si>
    <t xml:space="preserve">DIM Active 60ct 250mg Capsule  </t>
  </si>
  <si>
    <t xml:space="preserve">Plant Complete Vanilla 540g Powder  </t>
  </si>
  <si>
    <t xml:space="preserve">Mushroom 8-Plex 2.14oz 2000mg Powder  </t>
  </si>
  <si>
    <t xml:space="preserve">Neuro-Peak 30ct Capsule  </t>
  </si>
  <si>
    <t xml:space="preserve">Hydro-Fuel Powder 174g Powder  </t>
  </si>
  <si>
    <t xml:space="preserve">Muscle BCAA Powder 330g Powder  </t>
  </si>
  <si>
    <t>Screen Eyes Gummies 60 ct Gummy Mango</t>
  </si>
  <si>
    <t xml:space="preserve">Driftoff 60ct Capsule  </t>
  </si>
  <si>
    <t xml:space="preserve">Selenium 100ct 200mcg Capsule  </t>
  </si>
  <si>
    <t xml:space="preserve">Boost Elite 90ct Capsule  </t>
  </si>
  <si>
    <t xml:space="preserve">Cran-Defense 60ct Capsule  </t>
  </si>
  <si>
    <t xml:space="preserve">Cider Detox 60 ct 650 mg Capsule  </t>
  </si>
  <si>
    <t xml:space="preserve">Iron Beard 60 ct Capsule  </t>
  </si>
  <si>
    <t xml:space="preserve">Milk Thistle 60ct 450mg Capsule  </t>
  </si>
  <si>
    <t xml:space="preserve">ZH Energy + Focus 60ct Capsule  </t>
  </si>
  <si>
    <t xml:space="preserve">Lite UP Non STIM 213g Powder  </t>
  </si>
  <si>
    <t xml:space="preserve">Plant Complete Chocolate 608g Powder  </t>
  </si>
  <si>
    <t xml:space="preserve">Lite UP Xtra 213g Powder  </t>
  </si>
  <si>
    <t xml:space="preserve">Ashwagandha 60ct 1200mg Capsule  </t>
  </si>
  <si>
    <t xml:space="preserve">Tart Cherry Extract Celery See 60 ct 1000 mg Capsule  </t>
  </si>
  <si>
    <t xml:space="preserve">Spirulina 180ct Tablet  </t>
  </si>
  <si>
    <t xml:space="preserve">Mag Glycinate 180ct 350mg Capsule  </t>
  </si>
  <si>
    <t>Gut Guru 60ct Gummy Raspberry</t>
  </si>
  <si>
    <t xml:space="preserve">Daily Boost 30ct Capsule  </t>
  </si>
  <si>
    <t xml:space="preserve">Saccharomyces Boulardii 60 ct 8 bil Capsule  </t>
  </si>
  <si>
    <t xml:space="preserve">Garlic 90ct 400mg Tablet  </t>
  </si>
  <si>
    <t xml:space="preserve">MACA Superfood Organic 120 ct 1000 mg Capsule  </t>
  </si>
  <si>
    <t>MCT Collagen 13.4oz Powder Vanilla</t>
  </si>
  <si>
    <t xml:space="preserve">DHEA 60ct 50mg Capsule  </t>
  </si>
  <si>
    <t xml:space="preserve">Digestive Enzymes 30ct Capsule  </t>
  </si>
  <si>
    <t xml:space="preserve">GREEN TEA EXTRACT 120ct 500mg Capsule  </t>
  </si>
  <si>
    <t xml:space="preserve">ZH Calm Now 60ct Capsule  </t>
  </si>
  <si>
    <t>MCT Oil 16oz Liquid Unflavored</t>
  </si>
  <si>
    <t xml:space="preserve">ZH Supergreens Gummy 60ct Gummy  </t>
  </si>
  <si>
    <t xml:space="preserve">Daily Greens 6g Powder  </t>
  </si>
  <si>
    <t xml:space="preserve">Collagen Active 13.3oz Powder  </t>
  </si>
  <si>
    <t xml:space="preserve">Evening Primrose Oil 90ct 1300mg Softgel  </t>
  </si>
  <si>
    <t xml:space="preserve">PRO-CLENZ 30 ct Capsule  </t>
  </si>
  <si>
    <t xml:space="preserve">Daily Reds 6g Powder  </t>
  </si>
  <si>
    <t xml:space="preserve">ZH Superfruit Gummy 60ct Gummy  </t>
  </si>
  <si>
    <t xml:space="preserve">Daily Blues 6g Powder  </t>
  </si>
  <si>
    <t xml:space="preserve">Creatine Powder 225g Powder  </t>
  </si>
  <si>
    <t xml:space="preserve">Zinc Defender 60ct 30mg Capsule  </t>
  </si>
  <si>
    <t xml:space="preserve">Creatine Gummy 60ct Gummy  </t>
  </si>
  <si>
    <t xml:space="preserve">Glowfluence 30ct Capsule  </t>
  </si>
  <si>
    <t xml:space="preserve">Chlorophyll 90ct 100mg Tablet  </t>
  </si>
  <si>
    <t xml:space="preserve">Calcium Greens 120ct Tablet  </t>
  </si>
  <si>
    <t xml:space="preserve">ZH Fish Oil 120ct 120ct Softgel  </t>
  </si>
  <si>
    <t xml:space="preserve">ZH Total Greens 120ct 875mg Tablet  </t>
  </si>
  <si>
    <t xml:space="preserve">Chlorella 120ct 500mg Tablet  </t>
  </si>
  <si>
    <t xml:space="preserve">ZH Blue Green Algae 120ct 500mg Tablet  </t>
  </si>
  <si>
    <t xml:space="preserve">Turmeric CoconutChai Drink Mix 5.68oz Powder  </t>
  </si>
  <si>
    <t xml:space="preserve">Vegan Essentials Multi 60ct Capsule  </t>
  </si>
  <si>
    <t xml:space="preserve">Fast Support+ 60ct Capsule  </t>
  </si>
  <si>
    <t xml:space="preserve">3 Day Renew 27ct Capsule  </t>
  </si>
  <si>
    <t>Unіt Freight Cost</t>
  </si>
  <si>
    <t>unit, key</t>
  </si>
  <si>
    <t>Logistic Price</t>
  </si>
  <si>
    <t>Landed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</si>
</sst>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1009]* #,##0.00_-;\-[$$-1009]* #,##0.00_-;_-[$$-1009]* &quot;-&quot;??_-;_-@_-"/>
    <numFmt numFmtId="165" formatCode="_-[$$-409]* #,##0.00_ ;_-[$$-409]* \-#,##0.00\ ;_-[$$-409]* &quot;-&quot;??_ ;_-@_ "/>
    <numFmt numFmtId="166" formatCode="[$$-409]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b/>
      <sz val="12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8F6FEB"/>
        <bgColor indexed="64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</fills>
  <borders count="2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14" fontId="5" fillId="0" borderId="0" xfId="0" applyNumberFormat="1" applyFont="1" applyAlignment="1">
      <alignment horizontal="center" vertical="center"/>
    </xf>
    <xf numFmtId="0" fontId="6" fillId="2" borderId="2" xfId="1" applyNumberFormat="1" applyFont="1" applyFill="1" applyBorder="1" applyAlignment="1" applyProtection="1">
      <alignment horizontal="center" vertical="center" wrapText="1"/>
    </xf>
    <xf numFmtId="164" fontId="7" fillId="2" borderId="2" xfId="1" applyNumberFormat="1" applyFont="1" applyFill="1" applyBorder="1" applyAlignment="1" applyProtection="1">
      <alignment horizontal="center" vertical="center" wrapText="1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164" fontId="6" fillId="2" borderId="2" xfId="1" applyNumberFormat="1" applyFont="1" applyFill="1" applyBorder="1" applyAlignment="1" applyProtection="1">
      <alignment horizontal="center" vertical="center" wrapText="1"/>
    </xf>
    <xf numFmtId="164" fontId="0" fillId="0" borderId="2" xfId="0" applyNumberFormat="1" applyBorder="1"/>
    <xf numFmtId="0" fontId="0" fillId="0" borderId="0" xfId="0" applyBorder="1" applyAlignment="1">
      <alignment horizontal="center"/>
    </xf>
    <xf numFmtId="14" fontId="8" fillId="3" borderId="21" xfId="0" applyNumberFormat="1" applyFont="1" applyFill="1" applyBorder="1" applyAlignment="1">
      <alignment horizontal="center" vertical="center" wrapText="1"/>
    </xf>
    <xf numFmtId="14" fontId="8" fillId="3" borderId="22" xfId="0" applyNumberFormat="1" applyFont="1" applyFill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165" fontId="9" fillId="3" borderId="21" xfId="0" applyNumberFormat="1" applyFont="1" applyFill="1" applyBorder="1" applyAlignment="1" applyProtection="1">
      <alignment horizontal="center" vertical="center" wrapText="1" readingOrder="1"/>
      <protection hidden="1"/>
    </xf>
    <xf numFmtId="166" fontId="8" fillId="3" borderId="21" xfId="0" applyNumberFormat="1" applyFont="1" applyFill="1" applyBorder="1" applyAlignment="1">
      <alignment horizontal="center" vertical="center"/>
    </xf>
    <xf numFmtId="0" fontId="10" fillId="4" borderId="21" xfId="0" applyFont="1" applyFill="1" applyBorder="1" applyAlignment="1" applyProtection="1">
      <alignment horizontal="center" vertical="center" wrapText="1" readingOrder="1"/>
      <protection locked="0"/>
    </xf>
    <xf numFmtId="14" fontId="8" fillId="3" borderId="23" xfId="0" applyNumberFormat="1" applyFont="1" applyFill="1" applyBorder="1" applyAlignment="1">
      <alignment horizontal="center" vertical="center" wrapText="1"/>
    </xf>
    <xf numFmtId="4" fontId="8" fillId="4" borderId="23" xfId="0" applyNumberFormat="1" applyFont="1" applyFill="1" applyBorder="1" applyAlignment="1">
      <alignment horizontal="center" vertical="center"/>
    </xf>
    <xf numFmtId="165" fontId="9" fillId="4" borderId="21" xfId="0" applyNumberFormat="1" applyFont="1" applyFill="1" applyBorder="1" applyAlignment="1" applyProtection="1">
      <alignment horizontal="center" vertical="center" wrapText="1" readingOrder="1"/>
      <protection hidden="1"/>
    </xf>
    <xf numFmtId="165" fontId="9" fillId="0" borderId="0" xfId="0" applyNumberFormat="1" applyFont="1" applyAlignment="1" applyProtection="1">
      <alignment vertical="center" wrapText="1" readingOrder="1"/>
      <protection hidden="1"/>
    </xf>
    <xf numFmtId="0" fontId="8" fillId="5" borderId="21" xfId="0" applyFont="1" applyFill="1" applyBorder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</cellXfs>
  <cellStyles count="2">
    <cellStyle name="Заголовок 3" xfId="1" builtinId="18"/>
    <cellStyle name="Звичайний" xfId="0" builtinId="0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8F6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3156858</xdr:colOff>
          <xdr:row>0</xdr:row>
          <xdr:rowOff>54430</xdr:rowOff>
        </xdr:from>
        <xdr:to>
          <xdr:col>9</xdr:col>
          <xdr:colOff>141514</xdr:colOff>
          <xdr:row>0</xdr:row>
          <xdr:rowOff>1120786</xdr:rowOff>
        </xdr:to>
        <xdr:pic>
          <xdr:nvPicPr>
            <xdr:cNvPr id="2" name="Logo">
              <a:extLst>
                <a:ext uri="{FF2B5EF4-FFF2-40B4-BE49-F238E27FC236}">
                  <a16:creationId xmlns:a16="http://schemas.microsoft.com/office/drawing/2014/main" id="{0FCD5B0E-09AC-4277-98AB-F075429940A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myimage" spid="_x0000_s1047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542315" y="54430"/>
              <a:ext cx="3657599" cy="106635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</xdr:col>
      <xdr:colOff>825953</xdr:colOff>
      <xdr:row>80</xdr:row>
      <xdr:rowOff>54429</xdr:rowOff>
    </xdr:from>
    <xdr:to>
      <xdr:col>4</xdr:col>
      <xdr:colOff>1685926</xdr:colOff>
      <xdr:row>80</xdr:row>
      <xdr:rowOff>454739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BFCC4B55-C48E-4A6A-BC51-1F13A50670B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7203" y="15723054"/>
          <a:ext cx="1860098" cy="4003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Desktop\DSN%20Brand%20Catalog%20-%20Jan%202024%20(3).xlsx" TargetMode="External"/><Relationship Id="rId1" Type="http://schemas.openxmlformats.org/officeDocument/2006/relationships/externalLinkPath" Target="/Users/Acer/Desktop/DSN%20Brand%20Catalog%20-%20Jan%202024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laray"/>
      <sheetName val="Kal"/>
      <sheetName val="Zhou"/>
      <sheetName val="Heritage Store"/>
      <sheetName val="Life-flo"/>
      <sheetName val="Nature's Life"/>
      <sheetName val="Action Labs"/>
    </sheetNames>
    <sheetDataSet>
      <sheetData sheetId="0"/>
      <sheetData sheetId="1"/>
      <sheetData sheetId="2">
        <row r="1">
          <cell r="E1" t="str">
            <v>Zhou Nutrition Export Pricelist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682"/>
  <sheetViews>
    <sheetView tabSelected="1" zoomScale="80" zoomScaleNormal="80" workbookViewId="0">
      <pane ySplit="2" topLeftCell="A8" activePane="bottomLeft" state="frozen"/>
      <selection pane="bottomLeft" activeCell="E3" sqref="E3:E78"/>
    </sheetView>
  </sheetViews>
  <sheetFormatPr defaultRowHeight="14.4" x14ac:dyDescent="0.3"/>
  <cols>
    <col min="1" max="1" width="12.5546875" customWidth="1"/>
    <col min="2" max="3" width="11.109375" customWidth="1"/>
    <col min="4" max="4" width="14.5546875" bestFit="1" customWidth="1"/>
    <col min="5" max="5" width="50.77734375" bestFit="1" customWidth="1"/>
    <col min="6" max="6" width="13" customWidth="1"/>
    <col min="7" max="7" width="8.88671875" style="1"/>
    <col min="8" max="8" width="12.5546875" customWidth="1"/>
    <col min="9" max="9" width="12.109375" style="1" customWidth="1"/>
    <col min="10" max="10" width="13.5546875" customWidth="1"/>
    <col min="11" max="11" width="16.33203125" customWidth="1"/>
    <col min="13" max="18" width="10.33203125" customWidth="1"/>
  </cols>
  <sheetData>
    <row r="1" spans="1:18" ht="92.4" customHeight="1" thickBot="1" x14ac:dyDescent="0.35">
      <c r="A1" s="16" t="s">
        <v>86</v>
      </c>
      <c r="B1" s="17"/>
      <c r="C1" s="17"/>
      <c r="D1" s="17"/>
      <c r="E1" s="17"/>
      <c r="F1" s="17"/>
      <c r="G1" s="17"/>
      <c r="H1" s="17"/>
      <c r="I1" s="17"/>
      <c r="J1" s="17"/>
      <c r="K1" s="5">
        <v>45329</v>
      </c>
      <c r="M1" s="33" t="s">
        <v>170</v>
      </c>
      <c r="N1" s="34" t="s">
        <v>171</v>
      </c>
      <c r="O1" s="35" t="s">
        <v>92</v>
      </c>
      <c r="P1" s="36" t="s">
        <v>172</v>
      </c>
      <c r="R1" s="37" t="str">
        <f>IFERROR(IF(SUM(R3:R277)=0, "-", K2+P2), "-")</f>
        <v>-</v>
      </c>
    </row>
    <row r="2" spans="1:18" ht="29.4" thickBot="1" x14ac:dyDescent="0.3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93</v>
      </c>
      <c r="G2" s="6" t="s">
        <v>5</v>
      </c>
      <c r="H2" s="30" t="s">
        <v>85</v>
      </c>
      <c r="I2" s="6" t="s">
        <v>83</v>
      </c>
      <c r="J2" s="30" t="s">
        <v>84</v>
      </c>
      <c r="K2" s="7">
        <f>SUM(J3:J78)</f>
        <v>0</v>
      </c>
      <c r="M2" s="38"/>
      <c r="N2" s="39"/>
      <c r="O2" s="40" t="str">
        <f>IF(SUM(O3:O277)=0, "-", SUM(O3:O277))</f>
        <v>-</v>
      </c>
      <c r="P2" s="41" t="str">
        <f>IF(SUM(P3:P277)=0, "-", SUM(P3:P277))</f>
        <v>-</v>
      </c>
      <c r="Q2" s="42"/>
      <c r="R2" s="43" t="s">
        <v>173</v>
      </c>
    </row>
    <row r="3" spans="1:18" x14ac:dyDescent="0.3">
      <c r="A3" s="2">
        <v>2199431</v>
      </c>
      <c r="B3" s="2">
        <v>80540</v>
      </c>
      <c r="C3" s="3">
        <v>2944452</v>
      </c>
      <c r="D3" s="4" t="s">
        <v>6</v>
      </c>
      <c r="E3" s="4" t="s">
        <v>94</v>
      </c>
      <c r="F3" s="3">
        <v>0.22</v>
      </c>
      <c r="G3" s="3">
        <v>6</v>
      </c>
      <c r="H3" s="31">
        <v>10.808</v>
      </c>
      <c r="I3" s="8"/>
      <c r="J3" s="31">
        <f>I3*H3</f>
        <v>0</v>
      </c>
      <c r="M3" s="44" t="str">
        <f>IFERROR(IF($M$2*F3=0, "-", $M$2*F3), "-")</f>
        <v>-</v>
      </c>
      <c r="N3" s="44" t="str">
        <f>IF(I3&gt;0,H3+F3*I3/$O$2*$P$2/I3,"-")</f>
        <v>-</v>
      </c>
      <c r="O3" s="45" t="str">
        <f>IF(I3&gt;0,I3*F3*1.113, "-")</f>
        <v>-</v>
      </c>
      <c r="P3" s="46" t="str">
        <f>IFERROR(IF($M$2&gt;0, $M$2*O3, "-"), "-")</f>
        <v>-</v>
      </c>
      <c r="R3" s="46" t="str">
        <f>IFERROR(IF(P3+J3=0, "-", IF(P3&gt;0, P3+J3, "-")), "-")</f>
        <v>-</v>
      </c>
    </row>
    <row r="4" spans="1:18" x14ac:dyDescent="0.3">
      <c r="A4" s="2">
        <v>9562384</v>
      </c>
      <c r="B4" s="2">
        <v>614</v>
      </c>
      <c r="C4" s="3">
        <v>7839946</v>
      </c>
      <c r="D4" s="4" t="s">
        <v>7</v>
      </c>
      <c r="E4" s="4" t="s">
        <v>95</v>
      </c>
      <c r="F4" s="3">
        <v>7.0000000000000007E-2</v>
      </c>
      <c r="G4" s="3">
        <v>6</v>
      </c>
      <c r="H4" s="31">
        <v>18.591999999999999</v>
      </c>
      <c r="I4" s="8"/>
      <c r="J4" s="31">
        <f t="shared" ref="J4:J67" si="0">I4*H4</f>
        <v>0</v>
      </c>
      <c r="M4" s="44" t="str">
        <f t="shared" ref="M4:M67" si="1">IFERROR(IF($M$2*F4=0, "-", $M$2*F4), "-")</f>
        <v>-</v>
      </c>
      <c r="N4" s="44" t="str">
        <f t="shared" ref="N4:N67" si="2">IF(I4&gt;0,H4+F4*I4/$O$2*$P$2/I4,"-")</f>
        <v>-</v>
      </c>
      <c r="O4" s="45" t="str">
        <f t="shared" ref="O4:O67" si="3">IF(I4&gt;0,I4*F4*1.113, "-")</f>
        <v>-</v>
      </c>
      <c r="P4" s="46" t="str">
        <f t="shared" ref="P4:P67" si="4">IFERROR(IF($M$2&gt;0, $M$2*O4, "-"), "-")</f>
        <v>-</v>
      </c>
      <c r="R4" s="46" t="str">
        <f t="shared" ref="R4:R67" si="5">IFERROR(IF(P4+J4=0, "-", IF(P4&gt;0, P4+J4, "-")), "-")</f>
        <v>-</v>
      </c>
    </row>
    <row r="5" spans="1:18" x14ac:dyDescent="0.3">
      <c r="A5" s="2">
        <v>8355383</v>
      </c>
      <c r="B5" s="2">
        <v>67964</v>
      </c>
      <c r="C5" s="3">
        <v>8355383</v>
      </c>
      <c r="D5" s="4" t="s">
        <v>9</v>
      </c>
      <c r="E5" s="4" t="s">
        <v>96</v>
      </c>
      <c r="F5" s="3">
        <v>0.24</v>
      </c>
      <c r="G5" s="3">
        <v>6</v>
      </c>
      <c r="H5" s="31">
        <v>11.087999999999999</v>
      </c>
      <c r="I5" s="8"/>
      <c r="J5" s="31">
        <f t="shared" si="0"/>
        <v>0</v>
      </c>
      <c r="M5" s="44" t="str">
        <f t="shared" si="1"/>
        <v>-</v>
      </c>
      <c r="N5" s="44" t="str">
        <f t="shared" si="2"/>
        <v>-</v>
      </c>
      <c r="O5" s="45" t="str">
        <f t="shared" si="3"/>
        <v>-</v>
      </c>
      <c r="P5" s="46" t="str">
        <f t="shared" si="4"/>
        <v>-</v>
      </c>
      <c r="R5" s="46" t="str">
        <f t="shared" si="5"/>
        <v>-</v>
      </c>
    </row>
    <row r="6" spans="1:18" x14ac:dyDescent="0.3">
      <c r="A6" s="2">
        <v>4704935</v>
      </c>
      <c r="B6" s="2">
        <v>636</v>
      </c>
      <c r="C6" s="3">
        <v>8788273</v>
      </c>
      <c r="D6" s="4" t="s">
        <v>10</v>
      </c>
      <c r="E6" s="4" t="s">
        <v>97</v>
      </c>
      <c r="F6" s="3">
        <v>0.09</v>
      </c>
      <c r="G6" s="3">
        <v>6</v>
      </c>
      <c r="H6" s="31">
        <v>15.175999999999998</v>
      </c>
      <c r="I6" s="8"/>
      <c r="J6" s="31">
        <f t="shared" si="0"/>
        <v>0</v>
      </c>
      <c r="K6" t="s">
        <v>8</v>
      </c>
      <c r="M6" s="44" t="str">
        <f t="shared" si="1"/>
        <v>-</v>
      </c>
      <c r="N6" s="44" t="str">
        <f t="shared" si="2"/>
        <v>-</v>
      </c>
      <c r="O6" s="45" t="str">
        <f t="shared" si="3"/>
        <v>-</v>
      </c>
      <c r="P6" s="46" t="str">
        <f t="shared" si="4"/>
        <v>-</v>
      </c>
      <c r="R6" s="46" t="str">
        <f t="shared" si="5"/>
        <v>-</v>
      </c>
    </row>
    <row r="7" spans="1:18" x14ac:dyDescent="0.3">
      <c r="A7" s="2">
        <v>3024828</v>
      </c>
      <c r="B7" s="2">
        <v>97947</v>
      </c>
      <c r="C7" s="3">
        <v>1655633</v>
      </c>
      <c r="D7" s="4" t="s">
        <v>11</v>
      </c>
      <c r="E7" s="4" t="s">
        <v>98</v>
      </c>
      <c r="F7" s="3">
        <v>0.08</v>
      </c>
      <c r="G7" s="3">
        <v>6</v>
      </c>
      <c r="H7" s="31">
        <v>14.07</v>
      </c>
      <c r="I7" s="8"/>
      <c r="J7" s="31">
        <f t="shared" si="0"/>
        <v>0</v>
      </c>
      <c r="M7" s="44" t="str">
        <f t="shared" si="1"/>
        <v>-</v>
      </c>
      <c r="N7" s="44" t="str">
        <f t="shared" si="2"/>
        <v>-</v>
      </c>
      <c r="O7" s="45" t="str">
        <f t="shared" si="3"/>
        <v>-</v>
      </c>
      <c r="P7" s="46" t="str">
        <f t="shared" si="4"/>
        <v>-</v>
      </c>
      <c r="R7" s="46" t="str">
        <f t="shared" si="5"/>
        <v>-</v>
      </c>
    </row>
    <row r="8" spans="1:18" x14ac:dyDescent="0.3">
      <c r="A8" s="2">
        <v>3073585</v>
      </c>
      <c r="B8" s="2">
        <v>96739</v>
      </c>
      <c r="C8" s="3">
        <v>6330901</v>
      </c>
      <c r="D8" s="4" t="s">
        <v>12</v>
      </c>
      <c r="E8" s="4" t="s">
        <v>99</v>
      </c>
      <c r="F8" s="3">
        <v>0.24</v>
      </c>
      <c r="G8" s="3">
        <v>6</v>
      </c>
      <c r="H8" s="31">
        <v>10.808</v>
      </c>
      <c r="I8" s="8"/>
      <c r="J8" s="31">
        <f t="shared" si="0"/>
        <v>0</v>
      </c>
      <c r="M8" s="44" t="str">
        <f t="shared" si="1"/>
        <v>-</v>
      </c>
      <c r="N8" s="44" t="str">
        <f t="shared" si="2"/>
        <v>-</v>
      </c>
      <c r="O8" s="45" t="str">
        <f t="shared" si="3"/>
        <v>-</v>
      </c>
      <c r="P8" s="46" t="str">
        <f t="shared" si="4"/>
        <v>-</v>
      </c>
      <c r="R8" s="46" t="str">
        <f t="shared" si="5"/>
        <v>-</v>
      </c>
    </row>
    <row r="9" spans="1:18" x14ac:dyDescent="0.3">
      <c r="A9" s="2">
        <v>7441603</v>
      </c>
      <c r="B9" s="2">
        <v>16</v>
      </c>
      <c r="C9" s="3">
        <v>4326769</v>
      </c>
      <c r="D9" s="4" t="s">
        <v>13</v>
      </c>
      <c r="E9" s="4" t="s">
        <v>100</v>
      </c>
      <c r="F9" s="3">
        <v>0.09</v>
      </c>
      <c r="G9" s="3">
        <v>6</v>
      </c>
      <c r="H9" s="31">
        <v>13.649999999999999</v>
      </c>
      <c r="I9" s="8"/>
      <c r="J9" s="31">
        <f t="shared" si="0"/>
        <v>0</v>
      </c>
      <c r="M9" s="44" t="str">
        <f t="shared" si="1"/>
        <v>-</v>
      </c>
      <c r="N9" s="44" t="str">
        <f t="shared" si="2"/>
        <v>-</v>
      </c>
      <c r="O9" s="45" t="str">
        <f t="shared" si="3"/>
        <v>-</v>
      </c>
      <c r="P9" s="46" t="str">
        <f t="shared" si="4"/>
        <v>-</v>
      </c>
      <c r="R9" s="46" t="str">
        <f t="shared" si="5"/>
        <v>-</v>
      </c>
    </row>
    <row r="10" spans="1:18" x14ac:dyDescent="0.3">
      <c r="A10" s="2">
        <v>1360532</v>
      </c>
      <c r="B10" s="2">
        <v>18</v>
      </c>
      <c r="C10" s="3">
        <v>2042076</v>
      </c>
      <c r="D10" s="4" t="s">
        <v>14</v>
      </c>
      <c r="E10" s="4" t="s">
        <v>101</v>
      </c>
      <c r="F10" s="3">
        <v>0.06</v>
      </c>
      <c r="G10" s="3">
        <v>6</v>
      </c>
      <c r="H10" s="31">
        <v>12.963999999999999</v>
      </c>
      <c r="I10" s="8"/>
      <c r="J10" s="31">
        <f t="shared" si="0"/>
        <v>0</v>
      </c>
      <c r="M10" s="44" t="str">
        <f t="shared" si="1"/>
        <v>-</v>
      </c>
      <c r="N10" s="44" t="str">
        <f t="shared" si="2"/>
        <v>-</v>
      </c>
      <c r="O10" s="45" t="str">
        <f t="shared" si="3"/>
        <v>-</v>
      </c>
      <c r="P10" s="46" t="str">
        <f t="shared" si="4"/>
        <v>-</v>
      </c>
      <c r="R10" s="46" t="str">
        <f t="shared" si="5"/>
        <v>-</v>
      </c>
    </row>
    <row r="11" spans="1:18" x14ac:dyDescent="0.3">
      <c r="A11" s="2">
        <v>9620660</v>
      </c>
      <c r="B11" s="2">
        <v>37017</v>
      </c>
      <c r="C11" s="3">
        <v>1950991</v>
      </c>
      <c r="D11" s="4" t="s">
        <v>15</v>
      </c>
      <c r="E11" s="4" t="s">
        <v>102</v>
      </c>
      <c r="F11" s="3">
        <v>0.23</v>
      </c>
      <c r="G11" s="3">
        <v>6</v>
      </c>
      <c r="H11" s="31">
        <v>13.286</v>
      </c>
      <c r="I11" s="8"/>
      <c r="J11" s="31">
        <f t="shared" si="0"/>
        <v>0</v>
      </c>
      <c r="M11" s="44" t="str">
        <f t="shared" si="1"/>
        <v>-</v>
      </c>
      <c r="N11" s="44" t="str">
        <f t="shared" si="2"/>
        <v>-</v>
      </c>
      <c r="O11" s="45" t="str">
        <f t="shared" si="3"/>
        <v>-</v>
      </c>
      <c r="P11" s="46" t="str">
        <f t="shared" si="4"/>
        <v>-</v>
      </c>
      <c r="R11" s="46" t="str">
        <f t="shared" si="5"/>
        <v>-</v>
      </c>
    </row>
    <row r="12" spans="1:18" x14ac:dyDescent="0.3">
      <c r="A12" s="2">
        <v>3910587</v>
      </c>
      <c r="B12" s="2">
        <v>37</v>
      </c>
      <c r="C12" s="3">
        <v>4335634</v>
      </c>
      <c r="D12" s="4" t="s">
        <v>16</v>
      </c>
      <c r="E12" s="4" t="s">
        <v>103</v>
      </c>
      <c r="F12" s="3">
        <v>7.0000000000000007E-2</v>
      </c>
      <c r="G12" s="3">
        <v>6</v>
      </c>
      <c r="H12" s="31">
        <v>14.07</v>
      </c>
      <c r="I12" s="8"/>
      <c r="J12" s="31">
        <f t="shared" si="0"/>
        <v>0</v>
      </c>
      <c r="M12" s="44" t="str">
        <f t="shared" si="1"/>
        <v>-</v>
      </c>
      <c r="N12" s="44" t="str">
        <f t="shared" si="2"/>
        <v>-</v>
      </c>
      <c r="O12" s="45" t="str">
        <f t="shared" si="3"/>
        <v>-</v>
      </c>
      <c r="P12" s="46" t="str">
        <f t="shared" si="4"/>
        <v>-</v>
      </c>
      <c r="R12" s="46" t="str">
        <f t="shared" si="5"/>
        <v>-</v>
      </c>
    </row>
    <row r="13" spans="1:18" x14ac:dyDescent="0.3">
      <c r="A13" s="2">
        <v>9187527</v>
      </c>
      <c r="B13" s="2">
        <v>627</v>
      </c>
      <c r="C13" s="3">
        <v>4525133</v>
      </c>
      <c r="D13" s="4" t="s">
        <v>17</v>
      </c>
      <c r="E13" s="4" t="s">
        <v>104</v>
      </c>
      <c r="F13" s="3">
        <v>0.25</v>
      </c>
      <c r="G13" s="3">
        <v>6</v>
      </c>
      <c r="H13" s="31">
        <v>16.799999999999997</v>
      </c>
      <c r="I13" s="8"/>
      <c r="J13" s="31">
        <f t="shared" si="0"/>
        <v>0</v>
      </c>
      <c r="M13" s="44" t="str">
        <f t="shared" si="1"/>
        <v>-</v>
      </c>
      <c r="N13" s="44" t="str">
        <f t="shared" si="2"/>
        <v>-</v>
      </c>
      <c r="O13" s="45" t="str">
        <f t="shared" si="3"/>
        <v>-</v>
      </c>
      <c r="P13" s="46" t="str">
        <f t="shared" si="4"/>
        <v>-</v>
      </c>
      <c r="R13" s="46" t="str">
        <f t="shared" si="5"/>
        <v>-</v>
      </c>
    </row>
    <row r="14" spans="1:18" x14ac:dyDescent="0.3">
      <c r="A14" s="2">
        <v>1340661</v>
      </c>
      <c r="B14" s="2">
        <v>29</v>
      </c>
      <c r="C14" s="3">
        <v>3578937</v>
      </c>
      <c r="D14" s="4" t="s">
        <v>18</v>
      </c>
      <c r="E14" s="4" t="s">
        <v>105</v>
      </c>
      <c r="F14" s="3">
        <v>0.08</v>
      </c>
      <c r="G14" s="3">
        <v>6</v>
      </c>
      <c r="H14" s="31">
        <v>16.855999999999998</v>
      </c>
      <c r="I14" s="8"/>
      <c r="J14" s="31">
        <f t="shared" si="0"/>
        <v>0</v>
      </c>
      <c r="M14" s="44" t="str">
        <f t="shared" si="1"/>
        <v>-</v>
      </c>
      <c r="N14" s="44" t="str">
        <f t="shared" si="2"/>
        <v>-</v>
      </c>
      <c r="O14" s="45" t="str">
        <f t="shared" si="3"/>
        <v>-</v>
      </c>
      <c r="P14" s="46" t="str">
        <f t="shared" si="4"/>
        <v>-</v>
      </c>
      <c r="R14" s="46" t="str">
        <f t="shared" si="5"/>
        <v>-</v>
      </c>
    </row>
    <row r="15" spans="1:18" x14ac:dyDescent="0.3">
      <c r="A15" s="2">
        <v>6882453</v>
      </c>
      <c r="B15" s="2">
        <v>605</v>
      </c>
      <c r="C15" s="3">
        <v>2042890</v>
      </c>
      <c r="D15" s="4" t="s">
        <v>19</v>
      </c>
      <c r="E15" s="4" t="s">
        <v>106</v>
      </c>
      <c r="F15" s="3">
        <v>0.61</v>
      </c>
      <c r="G15" s="3">
        <v>6</v>
      </c>
      <c r="H15" s="31">
        <v>24.583999999999996</v>
      </c>
      <c r="I15" s="8"/>
      <c r="J15" s="31">
        <f t="shared" si="0"/>
        <v>0</v>
      </c>
      <c r="M15" s="44" t="str">
        <f t="shared" si="1"/>
        <v>-</v>
      </c>
      <c r="N15" s="44" t="str">
        <f t="shared" si="2"/>
        <v>-</v>
      </c>
      <c r="O15" s="45" t="str">
        <f t="shared" si="3"/>
        <v>-</v>
      </c>
      <c r="P15" s="46" t="str">
        <f t="shared" si="4"/>
        <v>-</v>
      </c>
      <c r="R15" s="46" t="str">
        <f t="shared" si="5"/>
        <v>-</v>
      </c>
    </row>
    <row r="16" spans="1:18" hidden="1" x14ac:dyDescent="0.3">
      <c r="A16" s="2">
        <v>2966003</v>
      </c>
      <c r="B16" s="2">
        <v>604</v>
      </c>
      <c r="C16" s="3">
        <v>6874948</v>
      </c>
      <c r="D16" s="4" t="s">
        <v>20</v>
      </c>
      <c r="E16" s="4" t="s">
        <v>107</v>
      </c>
      <c r="F16" s="3">
        <v>0</v>
      </c>
      <c r="G16" s="3">
        <v>6</v>
      </c>
      <c r="H16" s="31">
        <v>13.649999999999999</v>
      </c>
      <c r="I16" s="8"/>
      <c r="J16" s="31">
        <f t="shared" si="0"/>
        <v>0</v>
      </c>
      <c r="M16" s="44" t="str">
        <f t="shared" si="1"/>
        <v>-</v>
      </c>
      <c r="N16" s="44" t="str">
        <f t="shared" si="2"/>
        <v>-</v>
      </c>
      <c r="O16" s="45" t="str">
        <f t="shared" si="3"/>
        <v>-</v>
      </c>
      <c r="P16" s="46" t="str">
        <f t="shared" si="4"/>
        <v>-</v>
      </c>
      <c r="R16" s="46" t="str">
        <f t="shared" si="5"/>
        <v>-</v>
      </c>
    </row>
    <row r="17" spans="1:18" x14ac:dyDescent="0.3">
      <c r="A17" s="2">
        <v>2859641</v>
      </c>
      <c r="B17" s="2">
        <v>32</v>
      </c>
      <c r="C17" s="3">
        <v>4888361</v>
      </c>
      <c r="D17" s="4" t="s">
        <v>21</v>
      </c>
      <c r="E17" s="4" t="s">
        <v>108</v>
      </c>
      <c r="F17" s="3">
        <v>0.23</v>
      </c>
      <c r="G17" s="3">
        <v>6</v>
      </c>
      <c r="H17" s="31">
        <v>17.905999999999999</v>
      </c>
      <c r="I17" s="8"/>
      <c r="J17" s="31">
        <f t="shared" si="0"/>
        <v>0</v>
      </c>
      <c r="M17" s="44" t="str">
        <f t="shared" si="1"/>
        <v>-</v>
      </c>
      <c r="N17" s="44" t="str">
        <f t="shared" si="2"/>
        <v>-</v>
      </c>
      <c r="O17" s="45" t="str">
        <f t="shared" si="3"/>
        <v>-</v>
      </c>
      <c r="P17" s="46" t="str">
        <f t="shared" si="4"/>
        <v>-</v>
      </c>
      <c r="R17" s="46" t="str">
        <f t="shared" si="5"/>
        <v>-</v>
      </c>
    </row>
    <row r="18" spans="1:18" x14ac:dyDescent="0.3">
      <c r="A18" s="2">
        <v>7730449</v>
      </c>
      <c r="B18" s="2">
        <v>89971</v>
      </c>
      <c r="C18" s="3">
        <v>8439761</v>
      </c>
      <c r="D18" s="4" t="s">
        <v>22</v>
      </c>
      <c r="E18" s="4" t="s">
        <v>109</v>
      </c>
      <c r="F18" s="3">
        <v>0.45</v>
      </c>
      <c r="G18" s="3">
        <v>6</v>
      </c>
      <c r="H18" s="31">
        <v>14.07</v>
      </c>
      <c r="I18" s="8"/>
      <c r="J18" s="31">
        <f t="shared" si="0"/>
        <v>0</v>
      </c>
      <c r="M18" s="44" t="str">
        <f t="shared" si="1"/>
        <v>-</v>
      </c>
      <c r="N18" s="44" t="str">
        <f t="shared" si="2"/>
        <v>-</v>
      </c>
      <c r="O18" s="45" t="str">
        <f t="shared" si="3"/>
        <v>-</v>
      </c>
      <c r="P18" s="46" t="str">
        <f t="shared" si="4"/>
        <v>-</v>
      </c>
      <c r="R18" s="46" t="str">
        <f t="shared" si="5"/>
        <v>-</v>
      </c>
    </row>
    <row r="19" spans="1:18" x14ac:dyDescent="0.3">
      <c r="A19" s="2">
        <v>6397375</v>
      </c>
      <c r="B19" s="2">
        <v>678</v>
      </c>
      <c r="C19" s="3">
        <v>2084487</v>
      </c>
      <c r="D19" s="4" t="s">
        <v>23</v>
      </c>
      <c r="E19" s="4" t="s">
        <v>110</v>
      </c>
      <c r="F19" s="3">
        <v>0.05</v>
      </c>
      <c r="G19" s="3">
        <v>6</v>
      </c>
      <c r="H19" s="31">
        <v>11.241999999999999</v>
      </c>
      <c r="I19" s="8"/>
      <c r="J19" s="31">
        <f t="shared" si="0"/>
        <v>0</v>
      </c>
      <c r="M19" s="44" t="str">
        <f t="shared" si="1"/>
        <v>-</v>
      </c>
      <c r="N19" s="44" t="str">
        <f t="shared" si="2"/>
        <v>-</v>
      </c>
      <c r="O19" s="45" t="str">
        <f t="shared" si="3"/>
        <v>-</v>
      </c>
      <c r="P19" s="46" t="str">
        <f t="shared" si="4"/>
        <v>-</v>
      </c>
      <c r="R19" s="46" t="str">
        <f t="shared" si="5"/>
        <v>-</v>
      </c>
    </row>
    <row r="20" spans="1:18" x14ac:dyDescent="0.3">
      <c r="A20" s="2">
        <v>6920054</v>
      </c>
      <c r="B20" s="2">
        <v>601</v>
      </c>
      <c r="C20" s="3">
        <v>4914407</v>
      </c>
      <c r="D20" s="4" t="s">
        <v>24</v>
      </c>
      <c r="E20" s="4" t="s">
        <v>111</v>
      </c>
      <c r="F20" s="3">
        <v>0.08</v>
      </c>
      <c r="G20" s="3">
        <v>6</v>
      </c>
      <c r="H20" s="31">
        <v>14.867999999999999</v>
      </c>
      <c r="I20" s="8"/>
      <c r="J20" s="31">
        <f t="shared" si="0"/>
        <v>0</v>
      </c>
      <c r="M20" s="44" t="str">
        <f t="shared" si="1"/>
        <v>-</v>
      </c>
      <c r="N20" s="44" t="str">
        <f t="shared" si="2"/>
        <v>-</v>
      </c>
      <c r="O20" s="45" t="str">
        <f t="shared" si="3"/>
        <v>-</v>
      </c>
      <c r="P20" s="46" t="str">
        <f t="shared" si="4"/>
        <v>-</v>
      </c>
      <c r="R20" s="46" t="str">
        <f t="shared" si="5"/>
        <v>-</v>
      </c>
    </row>
    <row r="21" spans="1:18" x14ac:dyDescent="0.3">
      <c r="A21" s="2">
        <v>1371538</v>
      </c>
      <c r="B21" s="2">
        <v>625</v>
      </c>
      <c r="C21" s="3">
        <v>9474533</v>
      </c>
      <c r="D21" s="4" t="s">
        <v>25</v>
      </c>
      <c r="E21" s="4" t="s">
        <v>112</v>
      </c>
      <c r="F21" s="3">
        <v>0.18</v>
      </c>
      <c r="G21" s="3">
        <v>6</v>
      </c>
      <c r="H21" s="31">
        <v>21.573999999999998</v>
      </c>
      <c r="I21" s="8"/>
      <c r="J21" s="31">
        <f t="shared" si="0"/>
        <v>0</v>
      </c>
      <c r="M21" s="44" t="str">
        <f t="shared" si="1"/>
        <v>-</v>
      </c>
      <c r="N21" s="44" t="str">
        <f t="shared" si="2"/>
        <v>-</v>
      </c>
      <c r="O21" s="45" t="str">
        <f t="shared" si="3"/>
        <v>-</v>
      </c>
      <c r="P21" s="46" t="str">
        <f t="shared" si="4"/>
        <v>-</v>
      </c>
      <c r="R21" s="46" t="str">
        <f t="shared" si="5"/>
        <v>-</v>
      </c>
    </row>
    <row r="22" spans="1:18" x14ac:dyDescent="0.3">
      <c r="A22" s="2">
        <v>6635308</v>
      </c>
      <c r="B22" s="2">
        <v>630</v>
      </c>
      <c r="C22" s="3">
        <v>7340266</v>
      </c>
      <c r="D22" s="4" t="s">
        <v>26</v>
      </c>
      <c r="E22" s="4" t="s">
        <v>113</v>
      </c>
      <c r="F22" s="3">
        <v>0.09</v>
      </c>
      <c r="G22" s="3">
        <v>6</v>
      </c>
      <c r="H22" s="31">
        <v>14.07</v>
      </c>
      <c r="I22" s="8"/>
      <c r="J22" s="31">
        <f t="shared" si="0"/>
        <v>0</v>
      </c>
      <c r="M22" s="44" t="str">
        <f t="shared" si="1"/>
        <v>-</v>
      </c>
      <c r="N22" s="44" t="str">
        <f t="shared" si="2"/>
        <v>-</v>
      </c>
      <c r="O22" s="45" t="str">
        <f t="shared" si="3"/>
        <v>-</v>
      </c>
      <c r="P22" s="46" t="str">
        <f t="shared" si="4"/>
        <v>-</v>
      </c>
      <c r="R22" s="46" t="str">
        <f t="shared" si="5"/>
        <v>-</v>
      </c>
    </row>
    <row r="23" spans="1:18" x14ac:dyDescent="0.3">
      <c r="A23" s="2">
        <v>5359160</v>
      </c>
      <c r="B23" s="2">
        <v>35</v>
      </c>
      <c r="C23" s="3">
        <v>6244038</v>
      </c>
      <c r="D23" s="4" t="s">
        <v>27</v>
      </c>
      <c r="E23" s="4" t="s">
        <v>114</v>
      </c>
      <c r="F23" s="3">
        <v>0.09</v>
      </c>
      <c r="G23" s="3">
        <v>6</v>
      </c>
      <c r="H23" s="31">
        <v>16.282</v>
      </c>
      <c r="I23" s="8"/>
      <c r="J23" s="31">
        <f t="shared" si="0"/>
        <v>0</v>
      </c>
      <c r="M23" s="44" t="str">
        <f t="shared" si="1"/>
        <v>-</v>
      </c>
      <c r="N23" s="44" t="str">
        <f t="shared" si="2"/>
        <v>-</v>
      </c>
      <c r="O23" s="45" t="str">
        <f t="shared" si="3"/>
        <v>-</v>
      </c>
      <c r="P23" s="46" t="str">
        <f t="shared" si="4"/>
        <v>-</v>
      </c>
      <c r="R23" s="46" t="str">
        <f t="shared" si="5"/>
        <v>-</v>
      </c>
    </row>
    <row r="24" spans="1:18" x14ac:dyDescent="0.3">
      <c r="A24" s="2">
        <v>9686570</v>
      </c>
      <c r="B24" s="2">
        <v>607</v>
      </c>
      <c r="C24" s="3">
        <v>1866443</v>
      </c>
      <c r="D24" s="4" t="s">
        <v>28</v>
      </c>
      <c r="E24" s="4" t="s">
        <v>115</v>
      </c>
      <c r="F24" s="3">
        <v>7.0000000000000007E-2</v>
      </c>
      <c r="G24" s="3">
        <v>6</v>
      </c>
      <c r="H24" s="31">
        <v>16.855999999999998</v>
      </c>
      <c r="I24" s="8"/>
      <c r="J24" s="31">
        <f t="shared" si="0"/>
        <v>0</v>
      </c>
      <c r="M24" s="44" t="str">
        <f t="shared" si="1"/>
        <v>-</v>
      </c>
      <c r="N24" s="44" t="str">
        <f t="shared" si="2"/>
        <v>-</v>
      </c>
      <c r="O24" s="45" t="str">
        <f t="shared" si="3"/>
        <v>-</v>
      </c>
      <c r="P24" s="46" t="str">
        <f t="shared" si="4"/>
        <v>-</v>
      </c>
      <c r="R24" s="46" t="str">
        <f t="shared" si="5"/>
        <v>-</v>
      </c>
    </row>
    <row r="25" spans="1:18" x14ac:dyDescent="0.3">
      <c r="A25" s="2">
        <v>1207629</v>
      </c>
      <c r="B25" s="2">
        <v>72148</v>
      </c>
      <c r="C25" s="3">
        <v>8545028</v>
      </c>
      <c r="D25" s="4" t="s">
        <v>29</v>
      </c>
      <c r="E25" s="4" t="s">
        <v>116</v>
      </c>
      <c r="F25" s="3">
        <v>0.66</v>
      </c>
      <c r="G25" s="3">
        <v>6</v>
      </c>
      <c r="H25" s="31">
        <v>28.251999999999999</v>
      </c>
      <c r="I25" s="8"/>
      <c r="J25" s="31">
        <f t="shared" si="0"/>
        <v>0</v>
      </c>
      <c r="M25" s="44" t="str">
        <f t="shared" si="1"/>
        <v>-</v>
      </c>
      <c r="N25" s="44" t="str">
        <f t="shared" si="2"/>
        <v>-</v>
      </c>
      <c r="O25" s="45" t="str">
        <f t="shared" si="3"/>
        <v>-</v>
      </c>
      <c r="P25" s="46" t="str">
        <f t="shared" si="4"/>
        <v>-</v>
      </c>
      <c r="R25" s="46" t="str">
        <f t="shared" si="5"/>
        <v>-</v>
      </c>
    </row>
    <row r="26" spans="1:18" x14ac:dyDescent="0.3">
      <c r="A26" s="2">
        <v>1727537</v>
      </c>
      <c r="B26" s="2">
        <v>17233</v>
      </c>
      <c r="C26" s="3">
        <v>1852140</v>
      </c>
      <c r="D26" s="4" t="s">
        <v>30</v>
      </c>
      <c r="E26" s="4" t="s">
        <v>117</v>
      </c>
      <c r="F26" s="3">
        <v>0.16</v>
      </c>
      <c r="G26" s="3">
        <v>6</v>
      </c>
      <c r="H26" s="31">
        <v>14.07</v>
      </c>
      <c r="I26" s="8"/>
      <c r="J26" s="31">
        <f t="shared" si="0"/>
        <v>0</v>
      </c>
      <c r="M26" s="44" t="str">
        <f t="shared" si="1"/>
        <v>-</v>
      </c>
      <c r="N26" s="44" t="str">
        <f t="shared" si="2"/>
        <v>-</v>
      </c>
      <c r="O26" s="45" t="str">
        <f t="shared" si="3"/>
        <v>-</v>
      </c>
      <c r="P26" s="46" t="str">
        <f t="shared" si="4"/>
        <v>-</v>
      </c>
      <c r="R26" s="46" t="str">
        <f t="shared" si="5"/>
        <v>-</v>
      </c>
    </row>
    <row r="27" spans="1:18" x14ac:dyDescent="0.3">
      <c r="A27" s="2">
        <v>5539745</v>
      </c>
      <c r="B27" s="2">
        <v>26</v>
      </c>
      <c r="C27" s="3">
        <v>2346392</v>
      </c>
      <c r="D27" s="4" t="s">
        <v>31</v>
      </c>
      <c r="E27" s="4" t="s">
        <v>118</v>
      </c>
      <c r="F27" s="3">
        <v>0.05</v>
      </c>
      <c r="G27" s="3">
        <v>6</v>
      </c>
      <c r="H27" s="31">
        <v>17.429999999999996</v>
      </c>
      <c r="I27" s="8"/>
      <c r="J27" s="31">
        <f t="shared" si="0"/>
        <v>0</v>
      </c>
      <c r="M27" s="44" t="str">
        <f t="shared" si="1"/>
        <v>-</v>
      </c>
      <c r="N27" s="44" t="str">
        <f t="shared" si="2"/>
        <v>-</v>
      </c>
      <c r="O27" s="45" t="str">
        <f t="shared" si="3"/>
        <v>-</v>
      </c>
      <c r="P27" s="46" t="str">
        <f t="shared" si="4"/>
        <v>-</v>
      </c>
      <c r="R27" s="46" t="str">
        <f t="shared" si="5"/>
        <v>-</v>
      </c>
    </row>
    <row r="28" spans="1:18" hidden="1" x14ac:dyDescent="0.3">
      <c r="A28" s="2">
        <v>5833243</v>
      </c>
      <c r="B28" s="2">
        <v>67941</v>
      </c>
      <c r="C28" s="3">
        <v>9989235</v>
      </c>
      <c r="D28" s="4" t="s">
        <v>32</v>
      </c>
      <c r="E28" s="4" t="s">
        <v>119</v>
      </c>
      <c r="F28" s="3">
        <v>0</v>
      </c>
      <c r="G28" s="3">
        <v>6</v>
      </c>
      <c r="H28" s="31">
        <v>13.523999999999999</v>
      </c>
      <c r="I28" s="8"/>
      <c r="J28" s="31">
        <f t="shared" si="0"/>
        <v>0</v>
      </c>
      <c r="M28" s="44" t="str">
        <f t="shared" si="1"/>
        <v>-</v>
      </c>
      <c r="N28" s="44" t="str">
        <f t="shared" si="2"/>
        <v>-</v>
      </c>
      <c r="O28" s="45" t="str">
        <f t="shared" si="3"/>
        <v>-</v>
      </c>
      <c r="P28" s="46" t="str">
        <f t="shared" si="4"/>
        <v>-</v>
      </c>
      <c r="R28" s="46" t="str">
        <f t="shared" si="5"/>
        <v>-</v>
      </c>
    </row>
    <row r="29" spans="1:18" x14ac:dyDescent="0.3">
      <c r="A29" s="2">
        <v>4153716</v>
      </c>
      <c r="B29" s="2">
        <v>50363</v>
      </c>
      <c r="C29" s="3">
        <v>2493793</v>
      </c>
      <c r="D29" s="4" t="s">
        <v>33</v>
      </c>
      <c r="E29" s="4" t="s">
        <v>120</v>
      </c>
      <c r="F29" s="3">
        <v>0.4</v>
      </c>
      <c r="G29" s="3">
        <v>6</v>
      </c>
      <c r="H29" s="31">
        <v>21.686</v>
      </c>
      <c r="I29" s="8"/>
      <c r="J29" s="31">
        <f t="shared" si="0"/>
        <v>0</v>
      </c>
      <c r="M29" s="44" t="str">
        <f t="shared" si="1"/>
        <v>-</v>
      </c>
      <c r="N29" s="44" t="str">
        <f t="shared" si="2"/>
        <v>-</v>
      </c>
      <c r="O29" s="45" t="str">
        <f t="shared" si="3"/>
        <v>-</v>
      </c>
      <c r="P29" s="46" t="str">
        <f t="shared" si="4"/>
        <v>-</v>
      </c>
      <c r="R29" s="46" t="str">
        <f t="shared" si="5"/>
        <v>-</v>
      </c>
    </row>
    <row r="30" spans="1:18" x14ac:dyDescent="0.3">
      <c r="A30" s="2">
        <v>8792474</v>
      </c>
      <c r="B30" s="2">
        <v>50583</v>
      </c>
      <c r="C30" s="3">
        <v>2083883</v>
      </c>
      <c r="D30" s="4" t="s">
        <v>34</v>
      </c>
      <c r="E30" s="4" t="s">
        <v>121</v>
      </c>
      <c r="F30" s="3">
        <v>0.25</v>
      </c>
      <c r="G30" s="3">
        <v>6</v>
      </c>
      <c r="H30" s="31">
        <v>15.007999999999999</v>
      </c>
      <c r="I30" s="8"/>
      <c r="J30" s="31">
        <f t="shared" si="0"/>
        <v>0</v>
      </c>
      <c r="M30" s="44" t="str">
        <f t="shared" si="1"/>
        <v>-</v>
      </c>
      <c r="N30" s="44" t="str">
        <f t="shared" si="2"/>
        <v>-</v>
      </c>
      <c r="O30" s="45" t="str">
        <f t="shared" si="3"/>
        <v>-</v>
      </c>
      <c r="P30" s="46" t="str">
        <f t="shared" si="4"/>
        <v>-</v>
      </c>
      <c r="R30" s="46" t="str">
        <f t="shared" si="5"/>
        <v>-</v>
      </c>
    </row>
    <row r="31" spans="1:18" x14ac:dyDescent="0.3">
      <c r="A31" s="2">
        <v>3708241</v>
      </c>
      <c r="B31" s="2">
        <v>9</v>
      </c>
      <c r="C31" s="3">
        <v>5431849</v>
      </c>
      <c r="D31" s="4" t="s">
        <v>35</v>
      </c>
      <c r="E31" s="4" t="s">
        <v>122</v>
      </c>
      <c r="F31" s="3">
        <v>0.09</v>
      </c>
      <c r="G31" s="3">
        <v>6</v>
      </c>
      <c r="H31" s="31">
        <v>17.429999999999996</v>
      </c>
      <c r="I31" s="8"/>
      <c r="J31" s="31">
        <f t="shared" si="0"/>
        <v>0</v>
      </c>
      <c r="M31" s="44" t="str">
        <f t="shared" si="1"/>
        <v>-</v>
      </c>
      <c r="N31" s="44" t="str">
        <f t="shared" si="2"/>
        <v>-</v>
      </c>
      <c r="O31" s="45" t="str">
        <f t="shared" si="3"/>
        <v>-</v>
      </c>
      <c r="P31" s="46" t="str">
        <f t="shared" si="4"/>
        <v>-</v>
      </c>
      <c r="R31" s="46" t="str">
        <f t="shared" si="5"/>
        <v>-</v>
      </c>
    </row>
    <row r="32" spans="1:18" x14ac:dyDescent="0.3">
      <c r="A32" s="2">
        <v>6660741</v>
      </c>
      <c r="B32" s="2">
        <v>631</v>
      </c>
      <c r="C32" s="3">
        <v>7497404</v>
      </c>
      <c r="D32" s="4" t="s">
        <v>36</v>
      </c>
      <c r="E32" s="4" t="s">
        <v>123</v>
      </c>
      <c r="F32" s="3">
        <v>0.08</v>
      </c>
      <c r="G32" s="3">
        <v>6</v>
      </c>
      <c r="H32" s="31">
        <v>10.709999999999999</v>
      </c>
      <c r="I32" s="8"/>
      <c r="J32" s="31">
        <f t="shared" si="0"/>
        <v>0</v>
      </c>
      <c r="M32" s="44" t="str">
        <f t="shared" si="1"/>
        <v>-</v>
      </c>
      <c r="N32" s="44" t="str">
        <f t="shared" si="2"/>
        <v>-</v>
      </c>
      <c r="O32" s="45" t="str">
        <f t="shared" si="3"/>
        <v>-</v>
      </c>
      <c r="P32" s="46" t="str">
        <f t="shared" si="4"/>
        <v>-</v>
      </c>
      <c r="R32" s="46" t="str">
        <f t="shared" si="5"/>
        <v>-</v>
      </c>
    </row>
    <row r="33" spans="1:18" x14ac:dyDescent="0.3">
      <c r="A33" s="2">
        <v>2207842</v>
      </c>
      <c r="B33" s="2">
        <v>602</v>
      </c>
      <c r="C33" s="3">
        <v>6057838</v>
      </c>
      <c r="D33" s="4" t="s">
        <v>37</v>
      </c>
      <c r="E33" s="4" t="s">
        <v>124</v>
      </c>
      <c r="F33" s="3">
        <v>0.1</v>
      </c>
      <c r="G33" s="3">
        <v>6</v>
      </c>
      <c r="H33" s="31">
        <v>27.831999999999997</v>
      </c>
      <c r="I33" s="8"/>
      <c r="J33" s="31">
        <f t="shared" si="0"/>
        <v>0</v>
      </c>
      <c r="M33" s="44" t="str">
        <f t="shared" si="1"/>
        <v>-</v>
      </c>
      <c r="N33" s="44" t="str">
        <f t="shared" si="2"/>
        <v>-</v>
      </c>
      <c r="O33" s="45" t="str">
        <f t="shared" si="3"/>
        <v>-</v>
      </c>
      <c r="P33" s="46" t="str">
        <f t="shared" si="4"/>
        <v>-</v>
      </c>
      <c r="R33" s="46" t="str">
        <f t="shared" si="5"/>
        <v>-</v>
      </c>
    </row>
    <row r="34" spans="1:18" x14ac:dyDescent="0.3">
      <c r="A34" s="2">
        <v>8512636</v>
      </c>
      <c r="B34" s="2">
        <v>8</v>
      </c>
      <c r="C34" s="3">
        <v>6486984</v>
      </c>
      <c r="D34" s="4" t="s">
        <v>38</v>
      </c>
      <c r="E34" s="4" t="s">
        <v>125</v>
      </c>
      <c r="F34" s="3">
        <v>0.08</v>
      </c>
      <c r="G34" s="3">
        <v>6</v>
      </c>
      <c r="H34" s="31">
        <v>13.496</v>
      </c>
      <c r="I34" s="8"/>
      <c r="J34" s="31">
        <f t="shared" si="0"/>
        <v>0</v>
      </c>
      <c r="M34" s="44" t="str">
        <f t="shared" si="1"/>
        <v>-</v>
      </c>
      <c r="N34" s="44" t="str">
        <f t="shared" si="2"/>
        <v>-</v>
      </c>
      <c r="O34" s="45" t="str">
        <f t="shared" si="3"/>
        <v>-</v>
      </c>
      <c r="P34" s="46" t="str">
        <f t="shared" si="4"/>
        <v>-</v>
      </c>
      <c r="R34" s="46" t="str">
        <f t="shared" si="5"/>
        <v>-</v>
      </c>
    </row>
    <row r="35" spans="1:18" x14ac:dyDescent="0.3">
      <c r="A35" s="2">
        <v>4755230</v>
      </c>
      <c r="B35" s="2">
        <v>18892</v>
      </c>
      <c r="C35" s="3">
        <v>4553932</v>
      </c>
      <c r="D35" s="4" t="s">
        <v>39</v>
      </c>
      <c r="E35" s="4" t="s">
        <v>126</v>
      </c>
      <c r="F35" s="3">
        <v>0.09</v>
      </c>
      <c r="G35" s="3">
        <v>6</v>
      </c>
      <c r="H35" s="31">
        <v>15.329999999999998</v>
      </c>
      <c r="I35" s="8"/>
      <c r="J35" s="31">
        <f t="shared" si="0"/>
        <v>0</v>
      </c>
      <c r="M35" s="44" t="str">
        <f t="shared" si="1"/>
        <v>-</v>
      </c>
      <c r="N35" s="44" t="str">
        <f t="shared" si="2"/>
        <v>-</v>
      </c>
      <c r="O35" s="45" t="str">
        <f t="shared" si="3"/>
        <v>-</v>
      </c>
      <c r="P35" s="46" t="str">
        <f t="shared" si="4"/>
        <v>-</v>
      </c>
      <c r="R35" s="46" t="str">
        <f t="shared" si="5"/>
        <v>-</v>
      </c>
    </row>
    <row r="36" spans="1:18" x14ac:dyDescent="0.3">
      <c r="A36" s="2">
        <v>8741104</v>
      </c>
      <c r="B36" s="2">
        <v>617</v>
      </c>
      <c r="C36" s="3">
        <v>4380990</v>
      </c>
      <c r="D36" s="4" t="s">
        <v>40</v>
      </c>
      <c r="E36" s="4" t="s">
        <v>127</v>
      </c>
      <c r="F36" s="3">
        <v>0.09</v>
      </c>
      <c r="G36" s="3">
        <v>6</v>
      </c>
      <c r="H36" s="31">
        <v>17.639999999999997</v>
      </c>
      <c r="I36" s="8"/>
      <c r="J36" s="31">
        <f t="shared" si="0"/>
        <v>0</v>
      </c>
      <c r="M36" s="44" t="str">
        <f t="shared" si="1"/>
        <v>-</v>
      </c>
      <c r="N36" s="44" t="str">
        <f t="shared" si="2"/>
        <v>-</v>
      </c>
      <c r="O36" s="45" t="str">
        <f t="shared" si="3"/>
        <v>-</v>
      </c>
      <c r="P36" s="46" t="str">
        <f t="shared" si="4"/>
        <v>-</v>
      </c>
      <c r="R36" s="46" t="str">
        <f t="shared" si="5"/>
        <v>-</v>
      </c>
    </row>
    <row r="37" spans="1:18" x14ac:dyDescent="0.3">
      <c r="A37" s="2">
        <v>2994040</v>
      </c>
      <c r="B37" s="2">
        <v>24</v>
      </c>
      <c r="C37" s="3">
        <v>1560664</v>
      </c>
      <c r="D37" s="4" t="s">
        <v>41</v>
      </c>
      <c r="E37" s="4" t="s">
        <v>128</v>
      </c>
      <c r="F37" s="3">
        <v>0.05</v>
      </c>
      <c r="G37" s="3">
        <v>6</v>
      </c>
      <c r="H37" s="31">
        <v>10.821999999999999</v>
      </c>
      <c r="I37" s="8"/>
      <c r="J37" s="31">
        <f t="shared" si="0"/>
        <v>0</v>
      </c>
      <c r="M37" s="44" t="str">
        <f t="shared" si="1"/>
        <v>-</v>
      </c>
      <c r="N37" s="44" t="str">
        <f t="shared" si="2"/>
        <v>-</v>
      </c>
      <c r="O37" s="45" t="str">
        <f t="shared" si="3"/>
        <v>-</v>
      </c>
      <c r="P37" s="46" t="str">
        <f t="shared" si="4"/>
        <v>-</v>
      </c>
      <c r="R37" s="46" t="str">
        <f t="shared" si="5"/>
        <v>-</v>
      </c>
    </row>
    <row r="38" spans="1:18" x14ac:dyDescent="0.3">
      <c r="A38" s="2">
        <v>5432256</v>
      </c>
      <c r="B38" s="2">
        <v>10</v>
      </c>
      <c r="C38" s="3">
        <v>4057381</v>
      </c>
      <c r="D38" s="4" t="s">
        <v>42</v>
      </c>
      <c r="E38" s="4" t="s">
        <v>129</v>
      </c>
      <c r="F38" s="3">
        <v>0.06</v>
      </c>
      <c r="G38" s="3">
        <v>6</v>
      </c>
      <c r="H38" s="31">
        <v>15.749999999999998</v>
      </c>
      <c r="I38" s="8"/>
      <c r="J38" s="31">
        <f t="shared" si="0"/>
        <v>0</v>
      </c>
      <c r="M38" s="44" t="str">
        <f t="shared" si="1"/>
        <v>-</v>
      </c>
      <c r="N38" s="44" t="str">
        <f t="shared" si="2"/>
        <v>-</v>
      </c>
      <c r="O38" s="45" t="str">
        <f t="shared" si="3"/>
        <v>-</v>
      </c>
      <c r="P38" s="46" t="str">
        <f t="shared" si="4"/>
        <v>-</v>
      </c>
      <c r="R38" s="46" t="str">
        <f t="shared" si="5"/>
        <v>-</v>
      </c>
    </row>
    <row r="39" spans="1:18" x14ac:dyDescent="0.3">
      <c r="A39" s="2">
        <v>1834783</v>
      </c>
      <c r="B39" s="2">
        <v>37738</v>
      </c>
      <c r="C39" s="3">
        <v>3468748</v>
      </c>
      <c r="D39" s="4" t="s">
        <v>43</v>
      </c>
      <c r="E39" s="4" t="s">
        <v>130</v>
      </c>
      <c r="F39" s="3">
        <v>0.28999999999999998</v>
      </c>
      <c r="G39" s="3">
        <v>6</v>
      </c>
      <c r="H39" s="31">
        <v>21.377999999999997</v>
      </c>
      <c r="I39" s="8"/>
      <c r="J39" s="31">
        <f t="shared" si="0"/>
        <v>0</v>
      </c>
      <c r="M39" s="44" t="str">
        <f t="shared" si="1"/>
        <v>-</v>
      </c>
      <c r="N39" s="44" t="str">
        <f t="shared" si="2"/>
        <v>-</v>
      </c>
      <c r="O39" s="45" t="str">
        <f t="shared" si="3"/>
        <v>-</v>
      </c>
      <c r="P39" s="46" t="str">
        <f t="shared" si="4"/>
        <v>-</v>
      </c>
      <c r="R39" s="46" t="str">
        <f t="shared" si="5"/>
        <v>-</v>
      </c>
    </row>
    <row r="40" spans="1:18" x14ac:dyDescent="0.3">
      <c r="A40" s="2">
        <v>9074496</v>
      </c>
      <c r="B40" s="2">
        <v>51861</v>
      </c>
      <c r="C40" s="3">
        <v>5428465</v>
      </c>
      <c r="D40" s="4" t="s">
        <v>44</v>
      </c>
      <c r="E40" s="4" t="s">
        <v>131</v>
      </c>
      <c r="F40" s="3">
        <v>0.71</v>
      </c>
      <c r="G40" s="3">
        <v>6</v>
      </c>
      <c r="H40" s="31">
        <v>28</v>
      </c>
      <c r="I40" s="8"/>
      <c r="J40" s="31">
        <f t="shared" si="0"/>
        <v>0</v>
      </c>
      <c r="M40" s="44" t="str">
        <f t="shared" si="1"/>
        <v>-</v>
      </c>
      <c r="N40" s="44" t="str">
        <f t="shared" si="2"/>
        <v>-</v>
      </c>
      <c r="O40" s="45" t="str">
        <f t="shared" si="3"/>
        <v>-</v>
      </c>
      <c r="P40" s="46" t="str">
        <f t="shared" si="4"/>
        <v>-</v>
      </c>
      <c r="R40" s="46" t="str">
        <f t="shared" si="5"/>
        <v>-</v>
      </c>
    </row>
    <row r="41" spans="1:18" x14ac:dyDescent="0.3">
      <c r="A41" s="2">
        <v>3840279</v>
      </c>
      <c r="B41" s="2">
        <v>14046</v>
      </c>
      <c r="C41" s="3">
        <v>2569389</v>
      </c>
      <c r="D41" s="4" t="s">
        <v>45</v>
      </c>
      <c r="E41" s="4" t="s">
        <v>132</v>
      </c>
      <c r="F41" s="3">
        <v>0.28999999999999998</v>
      </c>
      <c r="G41" s="3">
        <v>6</v>
      </c>
      <c r="H41" s="31">
        <v>22.148</v>
      </c>
      <c r="I41" s="8"/>
      <c r="J41" s="31">
        <f t="shared" si="0"/>
        <v>0</v>
      </c>
      <c r="M41" s="44" t="str">
        <f t="shared" si="1"/>
        <v>-</v>
      </c>
      <c r="N41" s="44" t="str">
        <f t="shared" si="2"/>
        <v>-</v>
      </c>
      <c r="O41" s="45" t="str">
        <f t="shared" si="3"/>
        <v>-</v>
      </c>
      <c r="P41" s="46" t="str">
        <f t="shared" si="4"/>
        <v>-</v>
      </c>
      <c r="R41" s="46" t="str">
        <f t="shared" si="5"/>
        <v>-</v>
      </c>
    </row>
    <row r="42" spans="1:18" x14ac:dyDescent="0.3">
      <c r="A42" s="2">
        <v>9085810</v>
      </c>
      <c r="B42" s="2">
        <v>91828</v>
      </c>
      <c r="C42" s="3">
        <v>4318860</v>
      </c>
      <c r="D42" s="4" t="s">
        <v>46</v>
      </c>
      <c r="E42" s="4" t="s">
        <v>133</v>
      </c>
      <c r="F42" s="3">
        <v>0.08</v>
      </c>
      <c r="G42" s="3">
        <v>6</v>
      </c>
      <c r="H42" s="31">
        <v>14.07</v>
      </c>
      <c r="I42" s="8"/>
      <c r="J42" s="31">
        <f t="shared" si="0"/>
        <v>0</v>
      </c>
      <c r="M42" s="44" t="str">
        <f t="shared" si="1"/>
        <v>-</v>
      </c>
      <c r="N42" s="44" t="str">
        <f t="shared" si="2"/>
        <v>-</v>
      </c>
      <c r="O42" s="45" t="str">
        <f t="shared" si="3"/>
        <v>-</v>
      </c>
      <c r="P42" s="46" t="str">
        <f t="shared" si="4"/>
        <v>-</v>
      </c>
      <c r="R42" s="46" t="str">
        <f t="shared" si="5"/>
        <v>-</v>
      </c>
    </row>
    <row r="43" spans="1:18" x14ac:dyDescent="0.3">
      <c r="A43" s="2">
        <v>6931774</v>
      </c>
      <c r="B43" s="2">
        <v>634</v>
      </c>
      <c r="C43" s="3">
        <v>5797621</v>
      </c>
      <c r="D43" s="4" t="s">
        <v>47</v>
      </c>
      <c r="E43" s="4" t="s">
        <v>134</v>
      </c>
      <c r="F43" s="3">
        <v>7.0000000000000007E-2</v>
      </c>
      <c r="G43" s="3">
        <v>6</v>
      </c>
      <c r="H43" s="31">
        <v>15.749999999999998</v>
      </c>
      <c r="I43" s="8"/>
      <c r="J43" s="31">
        <f t="shared" si="0"/>
        <v>0</v>
      </c>
      <c r="M43" s="44" t="str">
        <f t="shared" si="1"/>
        <v>-</v>
      </c>
      <c r="N43" s="44" t="str">
        <f t="shared" si="2"/>
        <v>-</v>
      </c>
      <c r="O43" s="45" t="str">
        <f t="shared" si="3"/>
        <v>-</v>
      </c>
      <c r="P43" s="46" t="str">
        <f t="shared" si="4"/>
        <v>-</v>
      </c>
      <c r="R43" s="46" t="str">
        <f t="shared" si="5"/>
        <v>-</v>
      </c>
    </row>
    <row r="44" spans="1:18" x14ac:dyDescent="0.3">
      <c r="A44" s="2">
        <v>6656503</v>
      </c>
      <c r="B44" s="2">
        <v>633</v>
      </c>
      <c r="C44" s="3">
        <v>1554388</v>
      </c>
      <c r="D44" s="4" t="s">
        <v>48</v>
      </c>
      <c r="E44" s="4" t="s">
        <v>135</v>
      </c>
      <c r="F44" s="3">
        <v>0.12</v>
      </c>
      <c r="G44" s="3">
        <v>6</v>
      </c>
      <c r="H44" s="31">
        <v>16.855999999999998</v>
      </c>
      <c r="I44" s="8"/>
      <c r="J44" s="31">
        <f t="shared" si="0"/>
        <v>0</v>
      </c>
      <c r="M44" s="44" t="str">
        <f t="shared" si="1"/>
        <v>-</v>
      </c>
      <c r="N44" s="44" t="str">
        <f t="shared" si="2"/>
        <v>-</v>
      </c>
      <c r="O44" s="45" t="str">
        <f t="shared" si="3"/>
        <v>-</v>
      </c>
      <c r="P44" s="46" t="str">
        <f t="shared" si="4"/>
        <v>-</v>
      </c>
      <c r="R44" s="46" t="str">
        <f t="shared" si="5"/>
        <v>-</v>
      </c>
    </row>
    <row r="45" spans="1:18" x14ac:dyDescent="0.3">
      <c r="A45" s="2">
        <v>8628362</v>
      </c>
      <c r="B45" s="2">
        <v>23513</v>
      </c>
      <c r="C45" s="3">
        <v>6022928</v>
      </c>
      <c r="D45" s="4" t="s">
        <v>49</v>
      </c>
      <c r="E45" s="4" t="s">
        <v>136</v>
      </c>
      <c r="F45" s="3">
        <v>0.22</v>
      </c>
      <c r="G45" s="3">
        <v>6</v>
      </c>
      <c r="H45" s="31">
        <v>14.7</v>
      </c>
      <c r="I45" s="8"/>
      <c r="J45" s="31">
        <f t="shared" si="0"/>
        <v>0</v>
      </c>
      <c r="M45" s="44" t="str">
        <f t="shared" si="1"/>
        <v>-</v>
      </c>
      <c r="N45" s="44" t="str">
        <f t="shared" si="2"/>
        <v>-</v>
      </c>
      <c r="O45" s="45" t="str">
        <f t="shared" si="3"/>
        <v>-</v>
      </c>
      <c r="P45" s="46" t="str">
        <f t="shared" si="4"/>
        <v>-</v>
      </c>
      <c r="R45" s="46" t="str">
        <f t="shared" si="5"/>
        <v>-</v>
      </c>
    </row>
    <row r="46" spans="1:18" x14ac:dyDescent="0.3">
      <c r="A46" s="2">
        <v>1496512</v>
      </c>
      <c r="B46" s="2">
        <v>81181</v>
      </c>
      <c r="C46" s="3">
        <v>6877200</v>
      </c>
      <c r="D46" s="4" t="s">
        <v>50</v>
      </c>
      <c r="E46" s="4" t="s">
        <v>137</v>
      </c>
      <c r="F46" s="3">
        <v>0.27</v>
      </c>
      <c r="G46" s="3">
        <v>6</v>
      </c>
      <c r="H46" s="31">
        <v>16.855999999999998</v>
      </c>
      <c r="I46" s="8"/>
      <c r="J46" s="31">
        <f t="shared" si="0"/>
        <v>0</v>
      </c>
      <c r="M46" s="44" t="str">
        <f t="shared" si="1"/>
        <v>-</v>
      </c>
      <c r="N46" s="44" t="str">
        <f t="shared" si="2"/>
        <v>-</v>
      </c>
      <c r="O46" s="45" t="str">
        <f t="shared" si="3"/>
        <v>-</v>
      </c>
      <c r="P46" s="46" t="str">
        <f t="shared" si="4"/>
        <v>-</v>
      </c>
      <c r="R46" s="46" t="str">
        <f t="shared" si="5"/>
        <v>-</v>
      </c>
    </row>
    <row r="47" spans="1:18" x14ac:dyDescent="0.3">
      <c r="A47" s="2">
        <v>9235603</v>
      </c>
      <c r="B47" s="2">
        <v>35403</v>
      </c>
      <c r="C47" s="3">
        <v>4565039</v>
      </c>
      <c r="D47" s="4" t="s">
        <v>51</v>
      </c>
      <c r="E47" s="4" t="s">
        <v>138</v>
      </c>
      <c r="F47" s="3">
        <v>7.0000000000000007E-2</v>
      </c>
      <c r="G47" s="3">
        <v>6</v>
      </c>
      <c r="H47" s="31">
        <v>9.4499999999999993</v>
      </c>
      <c r="I47" s="8"/>
      <c r="J47" s="31">
        <f t="shared" si="0"/>
        <v>0</v>
      </c>
      <c r="M47" s="44" t="str">
        <f t="shared" si="1"/>
        <v>-</v>
      </c>
      <c r="N47" s="44" t="str">
        <f t="shared" si="2"/>
        <v>-</v>
      </c>
      <c r="O47" s="45" t="str">
        <f t="shared" si="3"/>
        <v>-</v>
      </c>
      <c r="P47" s="46" t="str">
        <f t="shared" si="4"/>
        <v>-</v>
      </c>
      <c r="R47" s="46" t="str">
        <f t="shared" si="5"/>
        <v>-</v>
      </c>
    </row>
    <row r="48" spans="1:18" hidden="1" x14ac:dyDescent="0.3">
      <c r="A48" s="2">
        <v>2345314</v>
      </c>
      <c r="B48" s="2">
        <v>82016</v>
      </c>
      <c r="C48" s="3">
        <v>6937980</v>
      </c>
      <c r="D48" s="4" t="s">
        <v>52</v>
      </c>
      <c r="E48" s="4" t="s">
        <v>139</v>
      </c>
      <c r="F48" s="3">
        <v>0</v>
      </c>
      <c r="G48" s="3">
        <v>6</v>
      </c>
      <c r="H48" s="31">
        <v>16.967999999999996</v>
      </c>
      <c r="I48" s="8"/>
      <c r="J48" s="31">
        <f t="shared" si="0"/>
        <v>0</v>
      </c>
      <c r="M48" s="44" t="str">
        <f t="shared" si="1"/>
        <v>-</v>
      </c>
      <c r="N48" s="44" t="str">
        <f t="shared" si="2"/>
        <v>-</v>
      </c>
      <c r="O48" s="45" t="str">
        <f t="shared" si="3"/>
        <v>-</v>
      </c>
      <c r="P48" s="46" t="str">
        <f t="shared" si="4"/>
        <v>-</v>
      </c>
      <c r="R48" s="46" t="str">
        <f t="shared" si="5"/>
        <v>-</v>
      </c>
    </row>
    <row r="49" spans="1:18" x14ac:dyDescent="0.3">
      <c r="A49" s="2">
        <v>7979986</v>
      </c>
      <c r="B49" s="2">
        <v>612</v>
      </c>
      <c r="C49" s="3">
        <v>2822430</v>
      </c>
      <c r="D49" s="4" t="s">
        <v>53</v>
      </c>
      <c r="E49" s="4" t="s">
        <v>140</v>
      </c>
      <c r="F49" s="3">
        <v>0.09</v>
      </c>
      <c r="G49" s="3">
        <v>6</v>
      </c>
      <c r="H49" s="31">
        <v>12.389999999999999</v>
      </c>
      <c r="I49" s="8"/>
      <c r="J49" s="31">
        <f t="shared" si="0"/>
        <v>0</v>
      </c>
      <c r="M49" s="44" t="str">
        <f t="shared" si="1"/>
        <v>-</v>
      </c>
      <c r="N49" s="44" t="str">
        <f t="shared" si="2"/>
        <v>-</v>
      </c>
      <c r="O49" s="45" t="str">
        <f t="shared" si="3"/>
        <v>-</v>
      </c>
      <c r="P49" s="46" t="str">
        <f t="shared" si="4"/>
        <v>-</v>
      </c>
      <c r="R49" s="46" t="str">
        <f t="shared" si="5"/>
        <v>-</v>
      </c>
    </row>
    <row r="50" spans="1:18" x14ac:dyDescent="0.3">
      <c r="A50" s="2">
        <v>5833486</v>
      </c>
      <c r="B50" s="2">
        <v>79748</v>
      </c>
      <c r="C50" s="3">
        <v>3234299</v>
      </c>
      <c r="D50" s="4" t="s">
        <v>54</v>
      </c>
      <c r="E50" s="4" t="s">
        <v>141</v>
      </c>
      <c r="F50" s="3">
        <v>0.12</v>
      </c>
      <c r="G50" s="3">
        <v>6</v>
      </c>
      <c r="H50" s="31">
        <v>8.4559999999999995</v>
      </c>
      <c r="I50" s="8"/>
      <c r="J50" s="31">
        <f t="shared" si="0"/>
        <v>0</v>
      </c>
      <c r="M50" s="44" t="str">
        <f t="shared" si="1"/>
        <v>-</v>
      </c>
      <c r="N50" s="44" t="str">
        <f t="shared" si="2"/>
        <v>-</v>
      </c>
      <c r="O50" s="45" t="str">
        <f t="shared" si="3"/>
        <v>-</v>
      </c>
      <c r="P50" s="46" t="str">
        <f t="shared" si="4"/>
        <v>-</v>
      </c>
      <c r="R50" s="46" t="str">
        <f t="shared" si="5"/>
        <v>-</v>
      </c>
    </row>
    <row r="51" spans="1:18" x14ac:dyDescent="0.3">
      <c r="A51" s="2">
        <v>1890190</v>
      </c>
      <c r="B51" s="2">
        <v>49477</v>
      </c>
      <c r="C51" s="3">
        <v>8723283</v>
      </c>
      <c r="D51" s="4" t="s">
        <v>55</v>
      </c>
      <c r="E51" s="4" t="s">
        <v>142</v>
      </c>
      <c r="F51" s="3">
        <v>0.49</v>
      </c>
      <c r="G51" s="3">
        <v>6</v>
      </c>
      <c r="H51" s="31">
        <v>35.111999999999995</v>
      </c>
      <c r="I51" s="8"/>
      <c r="J51" s="31">
        <f t="shared" si="0"/>
        <v>0</v>
      </c>
      <c r="M51" s="44" t="str">
        <f t="shared" si="1"/>
        <v>-</v>
      </c>
      <c r="N51" s="44" t="str">
        <f t="shared" si="2"/>
        <v>-</v>
      </c>
      <c r="O51" s="45" t="str">
        <f t="shared" si="3"/>
        <v>-</v>
      </c>
      <c r="P51" s="46" t="str">
        <f t="shared" si="4"/>
        <v>-</v>
      </c>
      <c r="R51" s="46" t="str">
        <f t="shared" si="5"/>
        <v>-</v>
      </c>
    </row>
    <row r="52" spans="1:18" x14ac:dyDescent="0.3">
      <c r="A52" s="2">
        <v>3909973</v>
      </c>
      <c r="B52" s="2">
        <v>6</v>
      </c>
      <c r="C52" s="3">
        <v>4242600</v>
      </c>
      <c r="D52" s="4" t="s">
        <v>56</v>
      </c>
      <c r="E52" s="4" t="s">
        <v>143</v>
      </c>
      <c r="F52" s="3">
        <v>0.06</v>
      </c>
      <c r="G52" s="3">
        <v>6</v>
      </c>
      <c r="H52" s="31">
        <v>13.075999999999999</v>
      </c>
      <c r="I52" s="8"/>
      <c r="J52" s="31">
        <f t="shared" si="0"/>
        <v>0</v>
      </c>
      <c r="M52" s="44" t="str">
        <f t="shared" si="1"/>
        <v>-</v>
      </c>
      <c r="N52" s="44" t="str">
        <f t="shared" si="2"/>
        <v>-</v>
      </c>
      <c r="O52" s="45" t="str">
        <f t="shared" si="3"/>
        <v>-</v>
      </c>
      <c r="P52" s="46" t="str">
        <f t="shared" si="4"/>
        <v>-</v>
      </c>
      <c r="R52" s="46" t="str">
        <f t="shared" si="5"/>
        <v>-</v>
      </c>
    </row>
    <row r="53" spans="1:18" x14ac:dyDescent="0.3">
      <c r="A53" s="2">
        <v>8741145</v>
      </c>
      <c r="B53" s="2">
        <v>89522</v>
      </c>
      <c r="C53" s="3">
        <v>6345217</v>
      </c>
      <c r="D53" s="4" t="s">
        <v>57</v>
      </c>
      <c r="E53" s="4" t="s">
        <v>144</v>
      </c>
      <c r="F53" s="3">
        <v>0.05</v>
      </c>
      <c r="G53" s="3">
        <v>6</v>
      </c>
      <c r="H53" s="31">
        <v>10.709999999999999</v>
      </c>
      <c r="I53" s="8"/>
      <c r="J53" s="31">
        <f t="shared" si="0"/>
        <v>0</v>
      </c>
      <c r="M53" s="44" t="str">
        <f t="shared" si="1"/>
        <v>-</v>
      </c>
      <c r="N53" s="44" t="str">
        <f t="shared" si="2"/>
        <v>-</v>
      </c>
      <c r="O53" s="45" t="str">
        <f t="shared" si="3"/>
        <v>-</v>
      </c>
      <c r="P53" s="46" t="str">
        <f t="shared" si="4"/>
        <v>-</v>
      </c>
      <c r="R53" s="46" t="str">
        <f t="shared" si="5"/>
        <v>-</v>
      </c>
    </row>
    <row r="54" spans="1:18" x14ac:dyDescent="0.3">
      <c r="A54" s="2">
        <v>3306216</v>
      </c>
      <c r="B54" s="2">
        <v>13</v>
      </c>
      <c r="C54" s="3">
        <v>1982817</v>
      </c>
      <c r="D54" s="4" t="s">
        <v>58</v>
      </c>
      <c r="E54" s="4" t="s">
        <v>145</v>
      </c>
      <c r="F54" s="3">
        <v>0.15</v>
      </c>
      <c r="G54" s="3">
        <v>6</v>
      </c>
      <c r="H54" s="31">
        <v>15.175999999999998</v>
      </c>
      <c r="I54" s="8"/>
      <c r="J54" s="31">
        <f t="shared" si="0"/>
        <v>0</v>
      </c>
      <c r="M54" s="44" t="str">
        <f t="shared" si="1"/>
        <v>-</v>
      </c>
      <c r="N54" s="44" t="str">
        <f t="shared" si="2"/>
        <v>-</v>
      </c>
      <c r="O54" s="45" t="str">
        <f t="shared" si="3"/>
        <v>-</v>
      </c>
      <c r="P54" s="46" t="str">
        <f t="shared" si="4"/>
        <v>-</v>
      </c>
      <c r="R54" s="46" t="str">
        <f t="shared" si="5"/>
        <v>-</v>
      </c>
    </row>
    <row r="55" spans="1:18" hidden="1" x14ac:dyDescent="0.3">
      <c r="A55" s="2">
        <v>7183811</v>
      </c>
      <c r="B55" s="2">
        <v>3</v>
      </c>
      <c r="C55" s="3">
        <v>1375109</v>
      </c>
      <c r="D55" s="4" t="s">
        <v>59</v>
      </c>
      <c r="E55" s="4" t="s">
        <v>146</v>
      </c>
      <c r="F55" s="3">
        <v>0</v>
      </c>
      <c r="G55" s="3">
        <v>6</v>
      </c>
      <c r="H55" s="31">
        <v>17.429999999999996</v>
      </c>
      <c r="I55" s="8"/>
      <c r="J55" s="31">
        <f t="shared" si="0"/>
        <v>0</v>
      </c>
      <c r="M55" s="44" t="str">
        <f t="shared" si="1"/>
        <v>-</v>
      </c>
      <c r="N55" s="44" t="str">
        <f t="shared" si="2"/>
        <v>-</v>
      </c>
      <c r="O55" s="45" t="str">
        <f t="shared" si="3"/>
        <v>-</v>
      </c>
      <c r="P55" s="46" t="str">
        <f t="shared" si="4"/>
        <v>-</v>
      </c>
      <c r="R55" s="46" t="str">
        <f t="shared" si="5"/>
        <v>-</v>
      </c>
    </row>
    <row r="56" spans="1:18" x14ac:dyDescent="0.3">
      <c r="A56" s="2">
        <v>7368712</v>
      </c>
      <c r="B56" s="2">
        <v>52862</v>
      </c>
      <c r="C56" s="3">
        <v>5217508</v>
      </c>
      <c r="D56" s="4" t="s">
        <v>60</v>
      </c>
      <c r="E56" s="4" t="s">
        <v>147</v>
      </c>
      <c r="F56" s="3">
        <v>0.47</v>
      </c>
      <c r="G56" s="3">
        <v>6</v>
      </c>
      <c r="H56" s="31">
        <v>13.327999999999999</v>
      </c>
      <c r="I56" s="8"/>
      <c r="J56" s="31">
        <f t="shared" si="0"/>
        <v>0</v>
      </c>
      <c r="M56" s="44" t="str">
        <f t="shared" si="1"/>
        <v>-</v>
      </c>
      <c r="N56" s="44" t="str">
        <f t="shared" si="2"/>
        <v>-</v>
      </c>
      <c r="O56" s="45" t="str">
        <f t="shared" si="3"/>
        <v>-</v>
      </c>
      <c r="P56" s="46" t="str">
        <f t="shared" si="4"/>
        <v>-</v>
      </c>
      <c r="R56" s="46" t="str">
        <f t="shared" si="5"/>
        <v>-</v>
      </c>
    </row>
    <row r="57" spans="1:18" hidden="1" x14ac:dyDescent="0.3">
      <c r="A57" s="2">
        <v>1801054</v>
      </c>
      <c r="B57" s="2">
        <v>59388</v>
      </c>
      <c r="C57" s="3">
        <v>5378722</v>
      </c>
      <c r="D57" s="4" t="s">
        <v>61</v>
      </c>
      <c r="E57" s="4" t="s">
        <v>148</v>
      </c>
      <c r="F57" s="3">
        <v>0</v>
      </c>
      <c r="G57" s="3">
        <v>6</v>
      </c>
      <c r="H57" s="31">
        <v>16.38</v>
      </c>
      <c r="I57" s="8"/>
      <c r="J57" s="31">
        <f t="shared" si="0"/>
        <v>0</v>
      </c>
      <c r="M57" s="44" t="str">
        <f t="shared" si="1"/>
        <v>-</v>
      </c>
      <c r="N57" s="44" t="str">
        <f t="shared" si="2"/>
        <v>-</v>
      </c>
      <c r="O57" s="45" t="str">
        <f t="shared" si="3"/>
        <v>-</v>
      </c>
      <c r="P57" s="46" t="str">
        <f t="shared" si="4"/>
        <v>-</v>
      </c>
      <c r="R57" s="46" t="str">
        <f t="shared" si="5"/>
        <v>-</v>
      </c>
    </row>
    <row r="58" spans="1:18" x14ac:dyDescent="0.3">
      <c r="A58" s="2">
        <v>3490452</v>
      </c>
      <c r="B58" s="2">
        <v>57927</v>
      </c>
      <c r="C58" s="3">
        <v>6067725</v>
      </c>
      <c r="D58" s="4" t="s">
        <v>62</v>
      </c>
      <c r="E58" s="4" t="s">
        <v>149</v>
      </c>
      <c r="F58" s="3">
        <v>0.2</v>
      </c>
      <c r="G58" s="3">
        <v>6</v>
      </c>
      <c r="H58" s="31">
        <v>15.749999999999998</v>
      </c>
      <c r="I58" s="8"/>
      <c r="J58" s="31">
        <f t="shared" si="0"/>
        <v>0</v>
      </c>
      <c r="M58" s="44" t="str">
        <f t="shared" si="1"/>
        <v>-</v>
      </c>
      <c r="N58" s="44" t="str">
        <f t="shared" si="2"/>
        <v>-</v>
      </c>
      <c r="O58" s="45" t="str">
        <f t="shared" si="3"/>
        <v>-</v>
      </c>
      <c r="P58" s="46" t="str">
        <f t="shared" si="4"/>
        <v>-</v>
      </c>
      <c r="R58" s="46" t="str">
        <f t="shared" si="5"/>
        <v>-</v>
      </c>
    </row>
    <row r="59" spans="1:18" hidden="1" x14ac:dyDescent="0.3">
      <c r="A59" s="2">
        <v>3329641</v>
      </c>
      <c r="B59" s="2">
        <v>52563</v>
      </c>
      <c r="C59" s="3">
        <v>1452588</v>
      </c>
      <c r="D59" s="4" t="s">
        <v>63</v>
      </c>
      <c r="E59" s="4" t="s">
        <v>150</v>
      </c>
      <c r="F59" s="3">
        <v>0</v>
      </c>
      <c r="G59" s="3">
        <v>6</v>
      </c>
      <c r="H59" s="31">
        <v>33.18</v>
      </c>
      <c r="I59" s="8"/>
      <c r="J59" s="31">
        <f t="shared" si="0"/>
        <v>0</v>
      </c>
      <c r="M59" s="44" t="str">
        <f t="shared" si="1"/>
        <v>-</v>
      </c>
      <c r="N59" s="44" t="str">
        <f t="shared" si="2"/>
        <v>-</v>
      </c>
      <c r="O59" s="45" t="str">
        <f t="shared" si="3"/>
        <v>-</v>
      </c>
      <c r="P59" s="46" t="str">
        <f t="shared" si="4"/>
        <v>-</v>
      </c>
      <c r="R59" s="46" t="str">
        <f t="shared" si="5"/>
        <v>-</v>
      </c>
    </row>
    <row r="60" spans="1:18" x14ac:dyDescent="0.3">
      <c r="A60" s="2">
        <v>9520908</v>
      </c>
      <c r="B60" s="2">
        <v>62489</v>
      </c>
      <c r="C60" s="3">
        <v>9000911</v>
      </c>
      <c r="D60" s="4" t="s">
        <v>64</v>
      </c>
      <c r="E60" s="4" t="s">
        <v>151</v>
      </c>
      <c r="F60" s="3">
        <v>0.2</v>
      </c>
      <c r="G60" s="3">
        <v>6</v>
      </c>
      <c r="H60" s="31">
        <v>15.007999999999999</v>
      </c>
      <c r="I60" s="8"/>
      <c r="J60" s="31">
        <f t="shared" si="0"/>
        <v>0</v>
      </c>
      <c r="M60" s="44" t="str">
        <f t="shared" si="1"/>
        <v>-</v>
      </c>
      <c r="N60" s="44" t="str">
        <f t="shared" si="2"/>
        <v>-</v>
      </c>
      <c r="O60" s="45" t="str">
        <f t="shared" si="3"/>
        <v>-</v>
      </c>
      <c r="P60" s="46" t="str">
        <f t="shared" si="4"/>
        <v>-</v>
      </c>
      <c r="R60" s="46" t="str">
        <f t="shared" si="5"/>
        <v>-</v>
      </c>
    </row>
    <row r="61" spans="1:18" x14ac:dyDescent="0.3">
      <c r="A61" s="2">
        <v>1541454</v>
      </c>
      <c r="B61" s="2">
        <v>28</v>
      </c>
      <c r="C61" s="3">
        <v>1108142</v>
      </c>
      <c r="D61" s="4" t="s">
        <v>65</v>
      </c>
      <c r="E61" s="4" t="s">
        <v>152</v>
      </c>
      <c r="F61" s="3">
        <v>0.09</v>
      </c>
      <c r="G61" s="3">
        <v>6</v>
      </c>
      <c r="H61" s="31">
        <v>11.396000000000001</v>
      </c>
      <c r="I61" s="8"/>
      <c r="J61" s="31">
        <f t="shared" si="0"/>
        <v>0</v>
      </c>
      <c r="M61" s="44" t="str">
        <f t="shared" si="1"/>
        <v>-</v>
      </c>
      <c r="N61" s="44" t="str">
        <f t="shared" si="2"/>
        <v>-</v>
      </c>
      <c r="O61" s="45" t="str">
        <f t="shared" si="3"/>
        <v>-</v>
      </c>
      <c r="P61" s="46" t="str">
        <f t="shared" si="4"/>
        <v>-</v>
      </c>
      <c r="R61" s="46" t="str">
        <f t="shared" si="5"/>
        <v>-</v>
      </c>
    </row>
    <row r="62" spans="1:18" hidden="1" x14ac:dyDescent="0.3">
      <c r="A62" s="2">
        <v>9035714</v>
      </c>
      <c r="B62" s="2">
        <v>11313</v>
      </c>
      <c r="C62" s="3">
        <v>8532926</v>
      </c>
      <c r="D62" s="4" t="s">
        <v>66</v>
      </c>
      <c r="E62" s="4" t="s">
        <v>153</v>
      </c>
      <c r="F62" s="3">
        <v>0</v>
      </c>
      <c r="G62" s="3">
        <v>6</v>
      </c>
      <c r="H62" s="31">
        <v>22.89</v>
      </c>
      <c r="I62" s="8"/>
      <c r="J62" s="31">
        <f t="shared" si="0"/>
        <v>0</v>
      </c>
      <c r="M62" s="44" t="str">
        <f t="shared" si="1"/>
        <v>-</v>
      </c>
      <c r="N62" s="44" t="str">
        <f t="shared" si="2"/>
        <v>-</v>
      </c>
      <c r="O62" s="45" t="str">
        <f t="shared" si="3"/>
        <v>-</v>
      </c>
      <c r="P62" s="46" t="str">
        <f t="shared" si="4"/>
        <v>-</v>
      </c>
      <c r="R62" s="46" t="str">
        <f t="shared" si="5"/>
        <v>-</v>
      </c>
    </row>
    <row r="63" spans="1:18" x14ac:dyDescent="0.3">
      <c r="A63" s="2">
        <v>9982641</v>
      </c>
      <c r="B63" s="2">
        <v>22121</v>
      </c>
      <c r="C63" s="3">
        <v>7540574</v>
      </c>
      <c r="D63" s="4" t="s">
        <v>67</v>
      </c>
      <c r="E63" s="4" t="s">
        <v>154</v>
      </c>
      <c r="F63" s="3">
        <v>0.18</v>
      </c>
      <c r="G63" s="3">
        <v>6</v>
      </c>
      <c r="H63" s="31">
        <v>16.38</v>
      </c>
      <c r="I63" s="8"/>
      <c r="J63" s="31">
        <f t="shared" si="0"/>
        <v>0</v>
      </c>
      <c r="M63" s="44" t="str">
        <f t="shared" si="1"/>
        <v>-</v>
      </c>
      <c r="N63" s="44" t="str">
        <f t="shared" si="2"/>
        <v>-</v>
      </c>
      <c r="O63" s="45" t="str">
        <f t="shared" si="3"/>
        <v>-</v>
      </c>
      <c r="P63" s="46" t="str">
        <f t="shared" si="4"/>
        <v>-</v>
      </c>
      <c r="R63" s="46" t="str">
        <f t="shared" si="5"/>
        <v>-</v>
      </c>
    </row>
    <row r="64" spans="1:18" x14ac:dyDescent="0.3">
      <c r="A64" s="2">
        <v>2420480</v>
      </c>
      <c r="B64" s="2">
        <v>67277</v>
      </c>
      <c r="C64" s="3">
        <v>3172622</v>
      </c>
      <c r="D64" s="4" t="s">
        <v>68</v>
      </c>
      <c r="E64" s="4" t="s">
        <v>155</v>
      </c>
      <c r="F64" s="3">
        <v>0.18</v>
      </c>
      <c r="G64" s="3">
        <v>6</v>
      </c>
      <c r="H64" s="31">
        <v>15.749999999999998</v>
      </c>
      <c r="I64" s="8"/>
      <c r="J64" s="31">
        <f t="shared" si="0"/>
        <v>0</v>
      </c>
      <c r="M64" s="44" t="str">
        <f t="shared" si="1"/>
        <v>-</v>
      </c>
      <c r="N64" s="44" t="str">
        <f t="shared" si="2"/>
        <v>-</v>
      </c>
      <c r="O64" s="45" t="str">
        <f t="shared" si="3"/>
        <v>-</v>
      </c>
      <c r="P64" s="46" t="str">
        <f t="shared" si="4"/>
        <v>-</v>
      </c>
      <c r="R64" s="46" t="str">
        <f t="shared" si="5"/>
        <v>-</v>
      </c>
    </row>
    <row r="65" spans="1:18" x14ac:dyDescent="0.3">
      <c r="A65" s="2">
        <v>6433984</v>
      </c>
      <c r="B65" s="2">
        <v>46049</v>
      </c>
      <c r="C65" s="3">
        <v>7348033</v>
      </c>
      <c r="D65" s="4" t="s">
        <v>69</v>
      </c>
      <c r="E65" s="4" t="s">
        <v>156</v>
      </c>
      <c r="F65" s="3">
        <v>0.28999999999999998</v>
      </c>
      <c r="G65" s="3">
        <v>6</v>
      </c>
      <c r="H65" s="31">
        <v>18.899999999999999</v>
      </c>
      <c r="I65" s="8"/>
      <c r="J65" s="31">
        <f t="shared" si="0"/>
        <v>0</v>
      </c>
      <c r="M65" s="44" t="str">
        <f t="shared" si="1"/>
        <v>-</v>
      </c>
      <c r="N65" s="44" t="str">
        <f t="shared" si="2"/>
        <v>-</v>
      </c>
      <c r="O65" s="45" t="str">
        <f t="shared" si="3"/>
        <v>-</v>
      </c>
      <c r="P65" s="46" t="str">
        <f t="shared" si="4"/>
        <v>-</v>
      </c>
      <c r="R65" s="46" t="str">
        <f t="shared" si="5"/>
        <v>-</v>
      </c>
    </row>
    <row r="66" spans="1:18" x14ac:dyDescent="0.3">
      <c r="A66" s="2">
        <v>4673028</v>
      </c>
      <c r="B66" s="2">
        <v>64061</v>
      </c>
      <c r="C66" s="3">
        <v>6821968</v>
      </c>
      <c r="D66" s="4" t="s">
        <v>70</v>
      </c>
      <c r="E66" s="4" t="s">
        <v>157</v>
      </c>
      <c r="F66" s="3">
        <v>0.06</v>
      </c>
      <c r="G66" s="3">
        <v>6</v>
      </c>
      <c r="H66" s="31">
        <v>7.4619999999999997</v>
      </c>
      <c r="I66" s="8"/>
      <c r="J66" s="31">
        <f t="shared" si="0"/>
        <v>0</v>
      </c>
      <c r="M66" s="44" t="str">
        <f t="shared" si="1"/>
        <v>-</v>
      </c>
      <c r="N66" s="44" t="str">
        <f t="shared" si="2"/>
        <v>-</v>
      </c>
      <c r="O66" s="45" t="str">
        <f t="shared" si="3"/>
        <v>-</v>
      </c>
      <c r="P66" s="46" t="str">
        <f t="shared" si="4"/>
        <v>-</v>
      </c>
      <c r="R66" s="46" t="str">
        <f t="shared" si="5"/>
        <v>-</v>
      </c>
    </row>
    <row r="67" spans="1:18" hidden="1" x14ac:dyDescent="0.3">
      <c r="A67" s="2">
        <v>8212015</v>
      </c>
      <c r="B67" s="2">
        <v>20456</v>
      </c>
      <c r="C67" s="3">
        <v>8212015</v>
      </c>
      <c r="D67" s="4" t="s">
        <v>71</v>
      </c>
      <c r="E67" s="4" t="s">
        <v>158</v>
      </c>
      <c r="F67" s="3">
        <v>0</v>
      </c>
      <c r="G67" s="3">
        <v>6</v>
      </c>
      <c r="H67" s="31">
        <v>22.049999999999997</v>
      </c>
      <c r="I67" s="8"/>
      <c r="J67" s="31">
        <f t="shared" si="0"/>
        <v>0</v>
      </c>
      <c r="M67" s="44" t="str">
        <f t="shared" si="1"/>
        <v>-</v>
      </c>
      <c r="N67" s="44" t="str">
        <f t="shared" si="2"/>
        <v>-</v>
      </c>
      <c r="O67" s="45" t="str">
        <f t="shared" si="3"/>
        <v>-</v>
      </c>
      <c r="P67" s="46" t="str">
        <f t="shared" si="4"/>
        <v>-</v>
      </c>
      <c r="R67" s="46" t="str">
        <f t="shared" si="5"/>
        <v>-</v>
      </c>
    </row>
    <row r="68" spans="1:18" x14ac:dyDescent="0.3">
      <c r="A68" s="2">
        <v>9205713</v>
      </c>
      <c r="B68" s="2">
        <v>45511</v>
      </c>
      <c r="C68" s="3">
        <v>2128983</v>
      </c>
      <c r="D68" s="4" t="s">
        <v>72</v>
      </c>
      <c r="E68" s="4" t="s">
        <v>159</v>
      </c>
      <c r="F68" s="3">
        <v>7.0000000000000007E-2</v>
      </c>
      <c r="G68" s="3">
        <v>6</v>
      </c>
      <c r="H68" s="31">
        <v>14.489999999999998</v>
      </c>
      <c r="I68" s="8"/>
      <c r="J68" s="31">
        <f t="shared" ref="J68:J78" si="6">I68*H68</f>
        <v>0</v>
      </c>
      <c r="M68" s="44" t="str">
        <f t="shared" ref="M68:M78" si="7">IFERROR(IF($M$2*F68=0, "-", $M$2*F68), "-")</f>
        <v>-</v>
      </c>
      <c r="N68" s="44" t="str">
        <f t="shared" ref="N68:N78" si="8">IF(I68&gt;0,H68+F68*I68/$O$2*$P$2/I68,"-")</f>
        <v>-</v>
      </c>
      <c r="O68" s="45" t="str">
        <f t="shared" ref="O68:O78" si="9">IF(I68&gt;0,I68*F68*1.113, "-")</f>
        <v>-</v>
      </c>
      <c r="P68" s="46" t="str">
        <f t="shared" ref="P68:P78" si="10">IFERROR(IF($M$2&gt;0, $M$2*O68, "-"), "-")</f>
        <v>-</v>
      </c>
      <c r="R68" s="46" t="str">
        <f t="shared" ref="R68:R78" si="11">IFERROR(IF(P68+J68=0, "-", IF(P68&gt;0, P68+J68, "-")), "-")</f>
        <v>-</v>
      </c>
    </row>
    <row r="69" spans="1:18" x14ac:dyDescent="0.3">
      <c r="A69" s="2">
        <v>6380278</v>
      </c>
      <c r="B69" s="2">
        <v>41260</v>
      </c>
      <c r="C69" s="3">
        <v>1435002</v>
      </c>
      <c r="D69" s="4" t="s">
        <v>73</v>
      </c>
      <c r="E69" s="4" t="s">
        <v>160</v>
      </c>
      <c r="F69" s="3">
        <v>7.0000000000000007E-2</v>
      </c>
      <c r="G69" s="3">
        <v>6</v>
      </c>
      <c r="H69" s="31">
        <v>12.305999999999997</v>
      </c>
      <c r="I69" s="8"/>
      <c r="J69" s="31">
        <f t="shared" si="6"/>
        <v>0</v>
      </c>
      <c r="M69" s="44" t="str">
        <f t="shared" si="7"/>
        <v>-</v>
      </c>
      <c r="N69" s="44" t="str">
        <f t="shared" si="8"/>
        <v>-</v>
      </c>
      <c r="O69" s="45" t="str">
        <f t="shared" si="9"/>
        <v>-</v>
      </c>
      <c r="P69" s="46" t="str">
        <f t="shared" si="10"/>
        <v>-</v>
      </c>
      <c r="R69" s="46" t="str">
        <f t="shared" si="11"/>
        <v>-</v>
      </c>
    </row>
    <row r="70" spans="1:18" x14ac:dyDescent="0.3">
      <c r="A70" s="2">
        <v>1183710</v>
      </c>
      <c r="B70" s="2">
        <v>14469</v>
      </c>
      <c r="C70" s="3">
        <v>9158218</v>
      </c>
      <c r="D70" s="4" t="s">
        <v>74</v>
      </c>
      <c r="E70" s="4" t="s">
        <v>161</v>
      </c>
      <c r="F70" s="3">
        <v>0.2</v>
      </c>
      <c r="G70" s="3">
        <v>6</v>
      </c>
      <c r="H70" s="31">
        <v>19.641999999999999</v>
      </c>
      <c r="I70" s="8"/>
      <c r="J70" s="31">
        <f t="shared" si="6"/>
        <v>0</v>
      </c>
      <c r="M70" s="44" t="str">
        <f t="shared" si="7"/>
        <v>-</v>
      </c>
      <c r="N70" s="44" t="str">
        <f t="shared" si="8"/>
        <v>-</v>
      </c>
      <c r="O70" s="45" t="str">
        <f t="shared" si="9"/>
        <v>-</v>
      </c>
      <c r="P70" s="46" t="str">
        <f t="shared" si="10"/>
        <v>-</v>
      </c>
      <c r="R70" s="46" t="str">
        <f t="shared" si="11"/>
        <v>-</v>
      </c>
    </row>
    <row r="71" spans="1:18" hidden="1" x14ac:dyDescent="0.3">
      <c r="A71" s="2">
        <v>8045151</v>
      </c>
      <c r="B71" s="2">
        <v>79586</v>
      </c>
      <c r="C71" s="3">
        <v>6402863</v>
      </c>
      <c r="D71" s="4" t="s">
        <v>75</v>
      </c>
      <c r="E71" s="4" t="s">
        <v>162</v>
      </c>
      <c r="F71" s="3">
        <v>0</v>
      </c>
      <c r="G71" s="3">
        <v>6</v>
      </c>
      <c r="H71" s="31">
        <v>17.009999999999998</v>
      </c>
      <c r="I71" s="8"/>
      <c r="J71" s="31">
        <f t="shared" si="6"/>
        <v>0</v>
      </c>
      <c r="M71" s="44" t="str">
        <f t="shared" si="7"/>
        <v>-</v>
      </c>
      <c r="N71" s="44" t="str">
        <f t="shared" si="8"/>
        <v>-</v>
      </c>
      <c r="O71" s="45" t="str">
        <f t="shared" si="9"/>
        <v>-</v>
      </c>
      <c r="P71" s="46" t="str">
        <f t="shared" si="10"/>
        <v>-</v>
      </c>
      <c r="R71" s="46" t="str">
        <f t="shared" si="11"/>
        <v>-</v>
      </c>
    </row>
    <row r="72" spans="1:18" x14ac:dyDescent="0.3">
      <c r="A72" s="2">
        <v>7116281</v>
      </c>
      <c r="B72" s="2">
        <v>25887</v>
      </c>
      <c r="C72" s="3">
        <v>1180876</v>
      </c>
      <c r="D72" s="4" t="s">
        <v>76</v>
      </c>
      <c r="E72" s="4" t="s">
        <v>163</v>
      </c>
      <c r="F72" s="3">
        <v>0.16</v>
      </c>
      <c r="G72" s="3">
        <v>6</v>
      </c>
      <c r="H72" s="31">
        <v>15.231999999999999</v>
      </c>
      <c r="I72" s="8"/>
      <c r="J72" s="31">
        <f t="shared" si="6"/>
        <v>0</v>
      </c>
      <c r="M72" s="44" t="str">
        <f t="shared" si="7"/>
        <v>-</v>
      </c>
      <c r="N72" s="44" t="str">
        <f t="shared" si="8"/>
        <v>-</v>
      </c>
      <c r="O72" s="45" t="str">
        <f t="shared" si="9"/>
        <v>-</v>
      </c>
      <c r="P72" s="46" t="str">
        <f t="shared" si="10"/>
        <v>-</v>
      </c>
      <c r="R72" s="46" t="str">
        <f t="shared" si="11"/>
        <v>-</v>
      </c>
    </row>
    <row r="73" spans="1:18" x14ac:dyDescent="0.3">
      <c r="A73" s="2">
        <v>9451092</v>
      </c>
      <c r="B73" s="2">
        <v>36263</v>
      </c>
      <c r="C73" s="3">
        <v>6702184</v>
      </c>
      <c r="D73" s="4" t="s">
        <v>77</v>
      </c>
      <c r="E73" s="4" t="s">
        <v>164</v>
      </c>
      <c r="F73" s="3">
        <v>0.11</v>
      </c>
      <c r="G73" s="3">
        <v>6</v>
      </c>
      <c r="H73" s="31">
        <v>13.132</v>
      </c>
      <c r="I73" s="8"/>
      <c r="J73" s="31">
        <f t="shared" si="6"/>
        <v>0</v>
      </c>
      <c r="M73" s="44" t="str">
        <f t="shared" si="7"/>
        <v>-</v>
      </c>
      <c r="N73" s="44" t="str">
        <f t="shared" si="8"/>
        <v>-</v>
      </c>
      <c r="O73" s="45" t="str">
        <f t="shared" si="9"/>
        <v>-</v>
      </c>
      <c r="P73" s="46" t="str">
        <f t="shared" si="10"/>
        <v>-</v>
      </c>
      <c r="R73" s="46" t="str">
        <f t="shared" si="11"/>
        <v>-</v>
      </c>
    </row>
    <row r="74" spans="1:18" hidden="1" x14ac:dyDescent="0.3">
      <c r="A74" s="2">
        <v>4693051</v>
      </c>
      <c r="B74" s="2">
        <v>93454</v>
      </c>
      <c r="C74" s="3">
        <v>8050003</v>
      </c>
      <c r="D74" s="4" t="s">
        <v>78</v>
      </c>
      <c r="E74" s="4" t="s">
        <v>165</v>
      </c>
      <c r="F74" s="3">
        <v>0</v>
      </c>
      <c r="G74" s="3">
        <v>6</v>
      </c>
      <c r="H74" s="31">
        <v>43.931999999999995</v>
      </c>
      <c r="I74" s="8"/>
      <c r="J74" s="31">
        <f t="shared" si="6"/>
        <v>0</v>
      </c>
      <c r="M74" s="44" t="str">
        <f t="shared" si="7"/>
        <v>-</v>
      </c>
      <c r="N74" s="44" t="str">
        <f t="shared" si="8"/>
        <v>-</v>
      </c>
      <c r="O74" s="45" t="str">
        <f t="shared" si="9"/>
        <v>-</v>
      </c>
      <c r="P74" s="46" t="str">
        <f t="shared" si="10"/>
        <v>-</v>
      </c>
      <c r="R74" s="46" t="str">
        <f t="shared" si="11"/>
        <v>-</v>
      </c>
    </row>
    <row r="75" spans="1:18" hidden="1" x14ac:dyDescent="0.3">
      <c r="A75" s="2">
        <v>9189664</v>
      </c>
      <c r="B75" s="2">
        <v>65931</v>
      </c>
      <c r="C75" s="3">
        <v>1025094</v>
      </c>
      <c r="D75" s="4" t="s">
        <v>79</v>
      </c>
      <c r="E75" s="4" t="s">
        <v>166</v>
      </c>
      <c r="F75" s="3">
        <v>0</v>
      </c>
      <c r="G75" s="3">
        <v>6</v>
      </c>
      <c r="H75" s="31">
        <v>19.529999999999998</v>
      </c>
      <c r="I75" s="8"/>
      <c r="J75" s="31">
        <f t="shared" si="6"/>
        <v>0</v>
      </c>
      <c r="M75" s="44" t="str">
        <f t="shared" si="7"/>
        <v>-</v>
      </c>
      <c r="N75" s="44" t="str">
        <f t="shared" si="8"/>
        <v>-</v>
      </c>
      <c r="O75" s="45" t="str">
        <f t="shared" si="9"/>
        <v>-</v>
      </c>
      <c r="P75" s="46" t="str">
        <f t="shared" si="10"/>
        <v>-</v>
      </c>
      <c r="R75" s="46" t="str">
        <f t="shared" si="11"/>
        <v>-</v>
      </c>
    </row>
    <row r="76" spans="1:18" x14ac:dyDescent="0.3">
      <c r="A76" s="2">
        <v>7251578</v>
      </c>
      <c r="B76" s="2">
        <v>44300</v>
      </c>
      <c r="C76" s="3">
        <v>6741589</v>
      </c>
      <c r="D76" s="4" t="s">
        <v>80</v>
      </c>
      <c r="E76" s="4" t="s">
        <v>167</v>
      </c>
      <c r="F76" s="3">
        <v>0.08</v>
      </c>
      <c r="G76" s="3">
        <v>6</v>
      </c>
      <c r="H76" s="31">
        <v>15.749999999999998</v>
      </c>
      <c r="I76" s="8"/>
      <c r="J76" s="31">
        <f t="shared" si="6"/>
        <v>0</v>
      </c>
      <c r="M76" s="44" t="str">
        <f t="shared" si="7"/>
        <v>-</v>
      </c>
      <c r="N76" s="44" t="str">
        <f t="shared" si="8"/>
        <v>-</v>
      </c>
      <c r="O76" s="45" t="str">
        <f t="shared" si="9"/>
        <v>-</v>
      </c>
      <c r="P76" s="46" t="str">
        <f t="shared" si="10"/>
        <v>-</v>
      </c>
      <c r="R76" s="46" t="str">
        <f t="shared" si="11"/>
        <v>-</v>
      </c>
    </row>
    <row r="77" spans="1:18" x14ac:dyDescent="0.3">
      <c r="A77" s="2">
        <v>4525179</v>
      </c>
      <c r="B77" s="2">
        <v>86110</v>
      </c>
      <c r="C77" s="3">
        <v>9349163</v>
      </c>
      <c r="D77" s="4" t="s">
        <v>81</v>
      </c>
      <c r="E77" s="4" t="s">
        <v>168</v>
      </c>
      <c r="F77" s="3">
        <v>7.0000000000000007E-2</v>
      </c>
      <c r="G77" s="3">
        <v>6</v>
      </c>
      <c r="H77" s="31">
        <v>9.4499999999999993</v>
      </c>
      <c r="I77" s="8"/>
      <c r="J77" s="31">
        <f t="shared" si="6"/>
        <v>0</v>
      </c>
      <c r="M77" s="44" t="str">
        <f t="shared" si="7"/>
        <v>-</v>
      </c>
      <c r="N77" s="44" t="str">
        <f t="shared" si="8"/>
        <v>-</v>
      </c>
      <c r="O77" s="45" t="str">
        <f t="shared" si="9"/>
        <v>-</v>
      </c>
      <c r="P77" s="46" t="str">
        <f t="shared" si="10"/>
        <v>-</v>
      </c>
      <c r="R77" s="46" t="str">
        <f t="shared" si="11"/>
        <v>-</v>
      </c>
    </row>
    <row r="78" spans="1:18" x14ac:dyDescent="0.3">
      <c r="A78" s="2">
        <v>7346223</v>
      </c>
      <c r="B78" s="2">
        <v>17727</v>
      </c>
      <c r="C78" s="3">
        <v>9409554</v>
      </c>
      <c r="D78" s="4" t="s">
        <v>82</v>
      </c>
      <c r="E78" s="4" t="s">
        <v>169</v>
      </c>
      <c r="F78" s="3">
        <v>7.0000000000000007E-2</v>
      </c>
      <c r="G78" s="3">
        <v>6</v>
      </c>
      <c r="H78" s="31">
        <v>12.6</v>
      </c>
      <c r="I78" s="8"/>
      <c r="J78" s="31">
        <f t="shared" si="6"/>
        <v>0</v>
      </c>
      <c r="M78" s="44" t="str">
        <f t="shared" si="7"/>
        <v>-</v>
      </c>
      <c r="N78" s="44" t="str">
        <f t="shared" si="8"/>
        <v>-</v>
      </c>
      <c r="O78" s="45" t="str">
        <f t="shared" si="9"/>
        <v>-</v>
      </c>
      <c r="P78" s="46" t="str">
        <f t="shared" si="10"/>
        <v>-</v>
      </c>
      <c r="R78" s="46" t="str">
        <f t="shared" si="11"/>
        <v>-</v>
      </c>
    </row>
    <row r="79" spans="1:18" x14ac:dyDescent="0.3">
      <c r="I79" s="9"/>
    </row>
    <row r="80" spans="1:18" ht="15" thickBot="1" x14ac:dyDescent="0.35">
      <c r="I80" s="9"/>
    </row>
    <row r="81" spans="3:9" ht="37.200000000000003" customHeight="1" thickBot="1" x14ac:dyDescent="0.35">
      <c r="C81" s="18"/>
      <c r="D81" s="19"/>
      <c r="E81" s="20"/>
      <c r="F81" s="32"/>
      <c r="I81" s="9"/>
    </row>
    <row r="82" spans="3:9" x14ac:dyDescent="0.3">
      <c r="C82" s="21" t="s">
        <v>87</v>
      </c>
      <c r="D82" s="22"/>
      <c r="E82" s="23"/>
      <c r="F82" s="32"/>
      <c r="I82" s="9"/>
    </row>
    <row r="83" spans="3:9" x14ac:dyDescent="0.3">
      <c r="C83" s="24" t="s">
        <v>88</v>
      </c>
      <c r="D83" s="25"/>
      <c r="E83" s="26"/>
      <c r="F83" s="32"/>
      <c r="I83" s="9"/>
    </row>
    <row r="84" spans="3:9" ht="15" thickBot="1" x14ac:dyDescent="0.35">
      <c r="C84" s="27" t="s">
        <v>89</v>
      </c>
      <c r="D84" s="28"/>
      <c r="E84" s="29"/>
      <c r="F84" s="32"/>
      <c r="I84" s="9"/>
    </row>
    <row r="85" spans="3:9" x14ac:dyDescent="0.3">
      <c r="C85" s="10" t="s">
        <v>90</v>
      </c>
      <c r="D85" s="11"/>
      <c r="E85" s="12"/>
      <c r="F85" s="32"/>
      <c r="I85" s="9"/>
    </row>
    <row r="86" spans="3:9" ht="15" thickBot="1" x14ac:dyDescent="0.35">
      <c r="C86" s="13" t="s">
        <v>91</v>
      </c>
      <c r="D86" s="14"/>
      <c r="E86" s="15"/>
      <c r="F86" s="32"/>
      <c r="I86" s="9"/>
    </row>
    <row r="87" spans="3:9" x14ac:dyDescent="0.3">
      <c r="I87" s="9"/>
    </row>
    <row r="88" spans="3:9" x14ac:dyDescent="0.3">
      <c r="I88" s="9"/>
    </row>
    <row r="89" spans="3:9" x14ac:dyDescent="0.3">
      <c r="I89" s="9"/>
    </row>
    <row r="90" spans="3:9" x14ac:dyDescent="0.3">
      <c r="I90" s="9"/>
    </row>
    <row r="91" spans="3:9" x14ac:dyDescent="0.3">
      <c r="I91" s="9"/>
    </row>
    <row r="92" spans="3:9" x14ac:dyDescent="0.3">
      <c r="I92" s="9"/>
    </row>
    <row r="93" spans="3:9" x14ac:dyDescent="0.3">
      <c r="I93" s="9"/>
    </row>
    <row r="94" spans="3:9" x14ac:dyDescent="0.3">
      <c r="I94" s="9"/>
    </row>
    <row r="95" spans="3:9" x14ac:dyDescent="0.3">
      <c r="I95" s="9"/>
    </row>
    <row r="96" spans="3:9" x14ac:dyDescent="0.3">
      <c r="I96" s="9"/>
    </row>
    <row r="97" spans="9:9" x14ac:dyDescent="0.3">
      <c r="I97" s="9"/>
    </row>
    <row r="98" spans="9:9" x14ac:dyDescent="0.3">
      <c r="I98" s="9"/>
    </row>
    <row r="99" spans="9:9" x14ac:dyDescent="0.3">
      <c r="I99" s="9"/>
    </row>
    <row r="100" spans="9:9" x14ac:dyDescent="0.3">
      <c r="I100" s="9"/>
    </row>
    <row r="101" spans="9:9" x14ac:dyDescent="0.3">
      <c r="I101" s="9"/>
    </row>
    <row r="102" spans="9:9" x14ac:dyDescent="0.3">
      <c r="I102" s="9"/>
    </row>
    <row r="103" spans="9:9" x14ac:dyDescent="0.3">
      <c r="I103" s="9"/>
    </row>
    <row r="104" spans="9:9" x14ac:dyDescent="0.3">
      <c r="I104" s="9"/>
    </row>
    <row r="105" spans="9:9" x14ac:dyDescent="0.3">
      <c r="I105" s="9"/>
    </row>
    <row r="106" spans="9:9" x14ac:dyDescent="0.3">
      <c r="I106" s="9"/>
    </row>
    <row r="107" spans="9:9" x14ac:dyDescent="0.3">
      <c r="I107" s="9"/>
    </row>
    <row r="108" spans="9:9" x14ac:dyDescent="0.3">
      <c r="I108" s="9"/>
    </row>
    <row r="109" spans="9:9" x14ac:dyDescent="0.3">
      <c r="I109" s="9"/>
    </row>
    <row r="110" spans="9:9" x14ac:dyDescent="0.3">
      <c r="I110" s="9"/>
    </row>
    <row r="111" spans="9:9" x14ac:dyDescent="0.3">
      <c r="I111" s="9"/>
    </row>
    <row r="112" spans="9:9" x14ac:dyDescent="0.3">
      <c r="I112" s="9"/>
    </row>
    <row r="113" spans="9:9" x14ac:dyDescent="0.3">
      <c r="I113" s="9"/>
    </row>
    <row r="114" spans="9:9" x14ac:dyDescent="0.3">
      <c r="I114" s="9"/>
    </row>
    <row r="115" spans="9:9" x14ac:dyDescent="0.3">
      <c r="I115" s="9"/>
    </row>
    <row r="116" spans="9:9" x14ac:dyDescent="0.3">
      <c r="I116" s="9"/>
    </row>
    <row r="117" spans="9:9" x14ac:dyDescent="0.3">
      <c r="I117" s="9"/>
    </row>
    <row r="118" spans="9:9" x14ac:dyDescent="0.3">
      <c r="I118" s="9"/>
    </row>
    <row r="119" spans="9:9" x14ac:dyDescent="0.3">
      <c r="I119" s="9"/>
    </row>
    <row r="120" spans="9:9" x14ac:dyDescent="0.3">
      <c r="I120" s="9"/>
    </row>
    <row r="121" spans="9:9" x14ac:dyDescent="0.3">
      <c r="I121" s="9"/>
    </row>
    <row r="122" spans="9:9" x14ac:dyDescent="0.3">
      <c r="I122" s="9"/>
    </row>
    <row r="123" spans="9:9" x14ac:dyDescent="0.3">
      <c r="I123" s="9"/>
    </row>
    <row r="124" spans="9:9" x14ac:dyDescent="0.3">
      <c r="I124" s="9"/>
    </row>
    <row r="125" spans="9:9" x14ac:dyDescent="0.3">
      <c r="I125" s="9"/>
    </row>
    <row r="126" spans="9:9" x14ac:dyDescent="0.3">
      <c r="I126" s="9"/>
    </row>
    <row r="127" spans="9:9" x14ac:dyDescent="0.3">
      <c r="I127" s="9"/>
    </row>
    <row r="128" spans="9:9" x14ac:dyDescent="0.3">
      <c r="I128" s="9"/>
    </row>
    <row r="129" spans="9:9" x14ac:dyDescent="0.3">
      <c r="I129" s="9"/>
    </row>
    <row r="130" spans="9:9" x14ac:dyDescent="0.3">
      <c r="I130" s="9"/>
    </row>
    <row r="131" spans="9:9" x14ac:dyDescent="0.3">
      <c r="I131" s="9"/>
    </row>
    <row r="132" spans="9:9" x14ac:dyDescent="0.3">
      <c r="I132" s="9"/>
    </row>
    <row r="133" spans="9:9" x14ac:dyDescent="0.3">
      <c r="I133" s="9"/>
    </row>
    <row r="134" spans="9:9" x14ac:dyDescent="0.3">
      <c r="I134" s="9"/>
    </row>
    <row r="135" spans="9:9" x14ac:dyDescent="0.3">
      <c r="I135" s="9"/>
    </row>
    <row r="136" spans="9:9" x14ac:dyDescent="0.3">
      <c r="I136" s="9"/>
    </row>
    <row r="137" spans="9:9" x14ac:dyDescent="0.3">
      <c r="I137" s="9"/>
    </row>
    <row r="138" spans="9:9" x14ac:dyDescent="0.3">
      <c r="I138" s="9"/>
    </row>
    <row r="139" spans="9:9" x14ac:dyDescent="0.3">
      <c r="I139" s="9"/>
    </row>
    <row r="140" spans="9:9" x14ac:dyDescent="0.3">
      <c r="I140" s="9"/>
    </row>
    <row r="141" spans="9:9" x14ac:dyDescent="0.3">
      <c r="I141" s="9"/>
    </row>
    <row r="142" spans="9:9" x14ac:dyDescent="0.3">
      <c r="I142" s="9"/>
    </row>
    <row r="143" spans="9:9" x14ac:dyDescent="0.3">
      <c r="I143" s="9"/>
    </row>
    <row r="144" spans="9:9" x14ac:dyDescent="0.3">
      <c r="I144" s="9"/>
    </row>
    <row r="145" spans="9:9" x14ac:dyDescent="0.3">
      <c r="I145" s="9"/>
    </row>
    <row r="146" spans="9:9" x14ac:dyDescent="0.3">
      <c r="I146" s="9"/>
    </row>
    <row r="147" spans="9:9" x14ac:dyDescent="0.3">
      <c r="I147" s="9"/>
    </row>
    <row r="148" spans="9:9" x14ac:dyDescent="0.3">
      <c r="I148" s="9"/>
    </row>
    <row r="149" spans="9:9" x14ac:dyDescent="0.3">
      <c r="I149" s="9"/>
    </row>
    <row r="150" spans="9:9" x14ac:dyDescent="0.3">
      <c r="I150" s="9"/>
    </row>
    <row r="151" spans="9:9" x14ac:dyDescent="0.3">
      <c r="I151" s="9"/>
    </row>
    <row r="152" spans="9:9" x14ac:dyDescent="0.3">
      <c r="I152" s="9"/>
    </row>
    <row r="153" spans="9:9" x14ac:dyDescent="0.3">
      <c r="I153" s="9"/>
    </row>
    <row r="154" spans="9:9" x14ac:dyDescent="0.3">
      <c r="I154" s="9"/>
    </row>
    <row r="155" spans="9:9" x14ac:dyDescent="0.3">
      <c r="I155" s="9"/>
    </row>
    <row r="156" spans="9:9" x14ac:dyDescent="0.3">
      <c r="I156" s="9"/>
    </row>
    <row r="157" spans="9:9" x14ac:dyDescent="0.3">
      <c r="I157" s="9"/>
    </row>
    <row r="158" spans="9:9" x14ac:dyDescent="0.3">
      <c r="I158" s="9"/>
    </row>
    <row r="159" spans="9:9" x14ac:dyDescent="0.3">
      <c r="I159" s="9"/>
    </row>
    <row r="160" spans="9:9" x14ac:dyDescent="0.3">
      <c r="I160" s="9"/>
    </row>
    <row r="161" spans="9:9" x14ac:dyDescent="0.3">
      <c r="I161" s="9"/>
    </row>
    <row r="162" spans="9:9" x14ac:dyDescent="0.3">
      <c r="I162" s="9"/>
    </row>
    <row r="163" spans="9:9" x14ac:dyDescent="0.3">
      <c r="I163" s="9"/>
    </row>
    <row r="164" spans="9:9" x14ac:dyDescent="0.3">
      <c r="I164" s="9"/>
    </row>
    <row r="165" spans="9:9" x14ac:dyDescent="0.3">
      <c r="I165" s="9"/>
    </row>
    <row r="166" spans="9:9" x14ac:dyDescent="0.3">
      <c r="I166" s="9"/>
    </row>
    <row r="167" spans="9:9" x14ac:dyDescent="0.3">
      <c r="I167" s="9"/>
    </row>
    <row r="168" spans="9:9" x14ac:dyDescent="0.3">
      <c r="I168" s="9"/>
    </row>
    <row r="169" spans="9:9" x14ac:dyDescent="0.3">
      <c r="I169" s="9"/>
    </row>
    <row r="170" spans="9:9" x14ac:dyDescent="0.3">
      <c r="I170" s="9"/>
    </row>
    <row r="171" spans="9:9" x14ac:dyDescent="0.3">
      <c r="I171" s="9"/>
    </row>
    <row r="172" spans="9:9" x14ac:dyDescent="0.3">
      <c r="I172" s="9"/>
    </row>
    <row r="173" spans="9:9" x14ac:dyDescent="0.3">
      <c r="I173" s="9"/>
    </row>
    <row r="174" spans="9:9" x14ac:dyDescent="0.3">
      <c r="I174" s="9"/>
    </row>
    <row r="175" spans="9:9" x14ac:dyDescent="0.3">
      <c r="I175" s="9"/>
    </row>
    <row r="176" spans="9:9" x14ac:dyDescent="0.3">
      <c r="I176" s="9"/>
    </row>
    <row r="177" spans="9:9" x14ac:dyDescent="0.3">
      <c r="I177" s="9"/>
    </row>
    <row r="178" spans="9:9" x14ac:dyDescent="0.3">
      <c r="I178" s="9"/>
    </row>
    <row r="179" spans="9:9" x14ac:dyDescent="0.3">
      <c r="I179" s="9"/>
    </row>
    <row r="180" spans="9:9" x14ac:dyDescent="0.3">
      <c r="I180" s="9"/>
    </row>
    <row r="181" spans="9:9" x14ac:dyDescent="0.3">
      <c r="I181" s="9"/>
    </row>
    <row r="182" spans="9:9" x14ac:dyDescent="0.3">
      <c r="I182" s="9"/>
    </row>
    <row r="183" spans="9:9" x14ac:dyDescent="0.3">
      <c r="I183" s="9"/>
    </row>
    <row r="184" spans="9:9" x14ac:dyDescent="0.3">
      <c r="I184" s="9"/>
    </row>
    <row r="185" spans="9:9" x14ac:dyDescent="0.3">
      <c r="I185" s="9"/>
    </row>
    <row r="186" spans="9:9" x14ac:dyDescent="0.3">
      <c r="I186" s="9"/>
    </row>
    <row r="187" spans="9:9" x14ac:dyDescent="0.3">
      <c r="I187" s="9"/>
    </row>
    <row r="188" spans="9:9" x14ac:dyDescent="0.3">
      <c r="I188" s="9"/>
    </row>
    <row r="189" spans="9:9" x14ac:dyDescent="0.3">
      <c r="I189" s="9"/>
    </row>
    <row r="190" spans="9:9" x14ac:dyDescent="0.3">
      <c r="I190" s="9"/>
    </row>
    <row r="191" spans="9:9" x14ac:dyDescent="0.3">
      <c r="I191" s="9"/>
    </row>
    <row r="192" spans="9:9" x14ac:dyDescent="0.3">
      <c r="I192" s="9"/>
    </row>
    <row r="193" spans="9:9" x14ac:dyDescent="0.3">
      <c r="I193" s="9"/>
    </row>
    <row r="194" spans="9:9" x14ac:dyDescent="0.3">
      <c r="I194" s="9"/>
    </row>
    <row r="195" spans="9:9" x14ac:dyDescent="0.3">
      <c r="I195" s="9"/>
    </row>
    <row r="196" spans="9:9" x14ac:dyDescent="0.3">
      <c r="I196" s="9"/>
    </row>
    <row r="197" spans="9:9" x14ac:dyDescent="0.3">
      <c r="I197" s="9"/>
    </row>
    <row r="198" spans="9:9" x14ac:dyDescent="0.3">
      <c r="I198" s="9"/>
    </row>
    <row r="199" spans="9:9" x14ac:dyDescent="0.3">
      <c r="I199" s="9"/>
    </row>
    <row r="200" spans="9:9" x14ac:dyDescent="0.3">
      <c r="I200" s="9"/>
    </row>
    <row r="201" spans="9:9" x14ac:dyDescent="0.3">
      <c r="I201" s="9"/>
    </row>
    <row r="202" spans="9:9" x14ac:dyDescent="0.3">
      <c r="I202" s="9"/>
    </row>
    <row r="203" spans="9:9" x14ac:dyDescent="0.3">
      <c r="I203" s="9"/>
    </row>
    <row r="204" spans="9:9" x14ac:dyDescent="0.3">
      <c r="I204" s="9"/>
    </row>
    <row r="205" spans="9:9" x14ac:dyDescent="0.3">
      <c r="I205" s="9"/>
    </row>
    <row r="206" spans="9:9" x14ac:dyDescent="0.3">
      <c r="I206" s="9"/>
    </row>
    <row r="207" spans="9:9" x14ac:dyDescent="0.3">
      <c r="I207" s="9"/>
    </row>
    <row r="208" spans="9:9" x14ac:dyDescent="0.3">
      <c r="I208" s="9"/>
    </row>
    <row r="209" spans="9:9" x14ac:dyDescent="0.3">
      <c r="I209" s="9"/>
    </row>
    <row r="210" spans="9:9" x14ac:dyDescent="0.3">
      <c r="I210" s="9"/>
    </row>
    <row r="211" spans="9:9" x14ac:dyDescent="0.3">
      <c r="I211" s="9"/>
    </row>
    <row r="212" spans="9:9" x14ac:dyDescent="0.3">
      <c r="I212" s="9"/>
    </row>
    <row r="213" spans="9:9" x14ac:dyDescent="0.3">
      <c r="I213" s="9"/>
    </row>
    <row r="214" spans="9:9" x14ac:dyDescent="0.3">
      <c r="I214" s="9"/>
    </row>
    <row r="215" spans="9:9" x14ac:dyDescent="0.3">
      <c r="I215" s="9"/>
    </row>
    <row r="216" spans="9:9" x14ac:dyDescent="0.3">
      <c r="I216" s="9"/>
    </row>
    <row r="217" spans="9:9" x14ac:dyDescent="0.3">
      <c r="I217" s="9"/>
    </row>
    <row r="218" spans="9:9" x14ac:dyDescent="0.3">
      <c r="I218" s="9"/>
    </row>
    <row r="219" spans="9:9" x14ac:dyDescent="0.3">
      <c r="I219" s="9"/>
    </row>
    <row r="220" spans="9:9" x14ac:dyDescent="0.3">
      <c r="I220" s="9"/>
    </row>
    <row r="221" spans="9:9" x14ac:dyDescent="0.3">
      <c r="I221" s="9"/>
    </row>
    <row r="222" spans="9:9" x14ac:dyDescent="0.3">
      <c r="I222" s="9"/>
    </row>
    <row r="223" spans="9:9" x14ac:dyDescent="0.3">
      <c r="I223" s="9"/>
    </row>
    <row r="224" spans="9:9" x14ac:dyDescent="0.3">
      <c r="I224" s="9"/>
    </row>
    <row r="225" spans="9:9" x14ac:dyDescent="0.3">
      <c r="I225" s="9"/>
    </row>
    <row r="226" spans="9:9" x14ac:dyDescent="0.3">
      <c r="I226" s="9"/>
    </row>
    <row r="227" spans="9:9" x14ac:dyDescent="0.3">
      <c r="I227" s="9"/>
    </row>
    <row r="228" spans="9:9" x14ac:dyDescent="0.3">
      <c r="I228" s="9"/>
    </row>
    <row r="229" spans="9:9" x14ac:dyDescent="0.3">
      <c r="I229" s="9"/>
    </row>
    <row r="230" spans="9:9" x14ac:dyDescent="0.3">
      <c r="I230" s="9"/>
    </row>
    <row r="231" spans="9:9" x14ac:dyDescent="0.3">
      <c r="I231" s="9"/>
    </row>
    <row r="232" spans="9:9" x14ac:dyDescent="0.3">
      <c r="I232" s="9"/>
    </row>
    <row r="233" spans="9:9" x14ac:dyDescent="0.3">
      <c r="I233" s="9"/>
    </row>
    <row r="234" spans="9:9" x14ac:dyDescent="0.3">
      <c r="I234" s="9"/>
    </row>
    <row r="235" spans="9:9" x14ac:dyDescent="0.3">
      <c r="I235" s="9"/>
    </row>
    <row r="236" spans="9:9" x14ac:dyDescent="0.3">
      <c r="I236" s="9"/>
    </row>
    <row r="237" spans="9:9" x14ac:dyDescent="0.3">
      <c r="I237" s="9"/>
    </row>
    <row r="238" spans="9:9" x14ac:dyDescent="0.3">
      <c r="I238" s="9"/>
    </row>
    <row r="239" spans="9:9" x14ac:dyDescent="0.3">
      <c r="I239" s="9"/>
    </row>
    <row r="240" spans="9:9" x14ac:dyDescent="0.3">
      <c r="I240" s="9"/>
    </row>
    <row r="241" spans="9:9" x14ac:dyDescent="0.3">
      <c r="I241" s="9"/>
    </row>
    <row r="242" spans="9:9" x14ac:dyDescent="0.3">
      <c r="I242" s="9"/>
    </row>
    <row r="243" spans="9:9" x14ac:dyDescent="0.3">
      <c r="I243" s="9"/>
    </row>
    <row r="244" spans="9:9" x14ac:dyDescent="0.3">
      <c r="I244" s="9"/>
    </row>
    <row r="245" spans="9:9" x14ac:dyDescent="0.3">
      <c r="I245" s="9"/>
    </row>
    <row r="246" spans="9:9" x14ac:dyDescent="0.3">
      <c r="I246" s="9"/>
    </row>
    <row r="247" spans="9:9" x14ac:dyDescent="0.3">
      <c r="I247" s="9"/>
    </row>
    <row r="248" spans="9:9" x14ac:dyDescent="0.3">
      <c r="I248" s="9"/>
    </row>
    <row r="249" spans="9:9" x14ac:dyDescent="0.3">
      <c r="I249" s="9"/>
    </row>
    <row r="250" spans="9:9" x14ac:dyDescent="0.3">
      <c r="I250" s="9"/>
    </row>
    <row r="251" spans="9:9" x14ac:dyDescent="0.3">
      <c r="I251" s="9"/>
    </row>
    <row r="252" spans="9:9" x14ac:dyDescent="0.3">
      <c r="I252" s="9"/>
    </row>
    <row r="253" spans="9:9" x14ac:dyDescent="0.3">
      <c r="I253" s="9"/>
    </row>
    <row r="254" spans="9:9" x14ac:dyDescent="0.3">
      <c r="I254" s="9"/>
    </row>
    <row r="255" spans="9:9" x14ac:dyDescent="0.3">
      <c r="I255" s="9"/>
    </row>
    <row r="256" spans="9:9" x14ac:dyDescent="0.3">
      <c r="I256" s="9"/>
    </row>
    <row r="257" spans="9:9" x14ac:dyDescent="0.3">
      <c r="I257" s="9"/>
    </row>
    <row r="258" spans="9:9" x14ac:dyDescent="0.3">
      <c r="I258" s="9"/>
    </row>
    <row r="259" spans="9:9" x14ac:dyDescent="0.3">
      <c r="I259" s="9"/>
    </row>
    <row r="260" spans="9:9" x14ac:dyDescent="0.3">
      <c r="I260" s="9"/>
    </row>
    <row r="261" spans="9:9" x14ac:dyDescent="0.3">
      <c r="I261" s="9"/>
    </row>
    <row r="262" spans="9:9" x14ac:dyDescent="0.3">
      <c r="I262" s="9"/>
    </row>
    <row r="263" spans="9:9" x14ac:dyDescent="0.3">
      <c r="I263" s="9"/>
    </row>
    <row r="264" spans="9:9" x14ac:dyDescent="0.3">
      <c r="I264" s="9"/>
    </row>
    <row r="265" spans="9:9" x14ac:dyDescent="0.3">
      <c r="I265" s="9"/>
    </row>
    <row r="266" spans="9:9" x14ac:dyDescent="0.3">
      <c r="I266" s="9"/>
    </row>
    <row r="267" spans="9:9" x14ac:dyDescent="0.3">
      <c r="I267" s="9"/>
    </row>
    <row r="268" spans="9:9" x14ac:dyDescent="0.3">
      <c r="I268" s="9"/>
    </row>
    <row r="269" spans="9:9" x14ac:dyDescent="0.3">
      <c r="I269" s="9"/>
    </row>
    <row r="270" spans="9:9" x14ac:dyDescent="0.3">
      <c r="I270" s="9"/>
    </row>
    <row r="271" spans="9:9" x14ac:dyDescent="0.3">
      <c r="I271" s="9"/>
    </row>
    <row r="272" spans="9:9" x14ac:dyDescent="0.3">
      <c r="I272" s="9"/>
    </row>
    <row r="273" spans="9:9" x14ac:dyDescent="0.3">
      <c r="I273" s="9"/>
    </row>
    <row r="274" spans="9:9" x14ac:dyDescent="0.3">
      <c r="I274" s="9"/>
    </row>
    <row r="275" spans="9:9" x14ac:dyDescent="0.3">
      <c r="I275" s="9"/>
    </row>
    <row r="276" spans="9:9" x14ac:dyDescent="0.3">
      <c r="I276" s="9"/>
    </row>
    <row r="277" spans="9:9" x14ac:dyDescent="0.3">
      <c r="I277" s="9"/>
    </row>
    <row r="278" spans="9:9" x14ac:dyDescent="0.3">
      <c r="I278" s="9"/>
    </row>
    <row r="279" spans="9:9" x14ac:dyDescent="0.3">
      <c r="I279" s="9"/>
    </row>
    <row r="280" spans="9:9" x14ac:dyDescent="0.3">
      <c r="I280" s="9"/>
    </row>
    <row r="281" spans="9:9" x14ac:dyDescent="0.3">
      <c r="I281" s="9"/>
    </row>
    <row r="282" spans="9:9" x14ac:dyDescent="0.3">
      <c r="I282" s="9"/>
    </row>
    <row r="283" spans="9:9" x14ac:dyDescent="0.3">
      <c r="I283" s="9"/>
    </row>
    <row r="284" spans="9:9" x14ac:dyDescent="0.3">
      <c r="I284" s="9"/>
    </row>
    <row r="285" spans="9:9" x14ac:dyDescent="0.3">
      <c r="I285" s="9"/>
    </row>
    <row r="286" spans="9:9" x14ac:dyDescent="0.3">
      <c r="I286" s="9"/>
    </row>
    <row r="287" spans="9:9" x14ac:dyDescent="0.3">
      <c r="I287" s="9"/>
    </row>
    <row r="288" spans="9:9" x14ac:dyDescent="0.3">
      <c r="I288" s="9"/>
    </row>
    <row r="289" spans="9:9" x14ac:dyDescent="0.3">
      <c r="I289" s="9"/>
    </row>
    <row r="290" spans="9:9" x14ac:dyDescent="0.3">
      <c r="I290" s="9"/>
    </row>
    <row r="291" spans="9:9" x14ac:dyDescent="0.3">
      <c r="I291" s="9"/>
    </row>
    <row r="292" spans="9:9" x14ac:dyDescent="0.3">
      <c r="I292" s="9"/>
    </row>
    <row r="293" spans="9:9" x14ac:dyDescent="0.3">
      <c r="I293" s="9"/>
    </row>
    <row r="294" spans="9:9" x14ac:dyDescent="0.3">
      <c r="I294" s="9"/>
    </row>
    <row r="295" spans="9:9" x14ac:dyDescent="0.3">
      <c r="I295" s="9"/>
    </row>
    <row r="296" spans="9:9" x14ac:dyDescent="0.3">
      <c r="I296" s="9"/>
    </row>
    <row r="297" spans="9:9" x14ac:dyDescent="0.3">
      <c r="I297" s="9"/>
    </row>
    <row r="298" spans="9:9" x14ac:dyDescent="0.3">
      <c r="I298" s="9"/>
    </row>
    <row r="299" spans="9:9" x14ac:dyDescent="0.3">
      <c r="I299" s="9"/>
    </row>
    <row r="300" spans="9:9" x14ac:dyDescent="0.3">
      <c r="I300" s="9"/>
    </row>
    <row r="301" spans="9:9" x14ac:dyDescent="0.3">
      <c r="I301" s="9"/>
    </row>
    <row r="302" spans="9:9" x14ac:dyDescent="0.3">
      <c r="I302" s="9"/>
    </row>
    <row r="303" spans="9:9" x14ac:dyDescent="0.3">
      <c r="I303" s="9"/>
    </row>
    <row r="304" spans="9:9" x14ac:dyDescent="0.3">
      <c r="I304" s="9"/>
    </row>
    <row r="305" spans="9:9" x14ac:dyDescent="0.3">
      <c r="I305" s="9"/>
    </row>
    <row r="306" spans="9:9" x14ac:dyDescent="0.3">
      <c r="I306" s="9"/>
    </row>
    <row r="307" spans="9:9" x14ac:dyDescent="0.3">
      <c r="I307" s="9"/>
    </row>
    <row r="308" spans="9:9" x14ac:dyDescent="0.3">
      <c r="I308" s="9"/>
    </row>
    <row r="309" spans="9:9" x14ac:dyDescent="0.3">
      <c r="I309" s="9"/>
    </row>
    <row r="310" spans="9:9" x14ac:dyDescent="0.3">
      <c r="I310" s="9"/>
    </row>
    <row r="311" spans="9:9" x14ac:dyDescent="0.3">
      <c r="I311" s="9"/>
    </row>
    <row r="312" spans="9:9" x14ac:dyDescent="0.3">
      <c r="I312" s="9"/>
    </row>
    <row r="313" spans="9:9" x14ac:dyDescent="0.3">
      <c r="I313" s="9"/>
    </row>
    <row r="314" spans="9:9" x14ac:dyDescent="0.3">
      <c r="I314" s="9"/>
    </row>
    <row r="315" spans="9:9" x14ac:dyDescent="0.3">
      <c r="I315" s="9"/>
    </row>
    <row r="316" spans="9:9" x14ac:dyDescent="0.3">
      <c r="I316" s="9"/>
    </row>
    <row r="317" spans="9:9" x14ac:dyDescent="0.3">
      <c r="I317" s="9"/>
    </row>
    <row r="318" spans="9:9" x14ac:dyDescent="0.3">
      <c r="I318" s="9"/>
    </row>
    <row r="319" spans="9:9" x14ac:dyDescent="0.3">
      <c r="I319" s="9"/>
    </row>
    <row r="320" spans="9:9" x14ac:dyDescent="0.3">
      <c r="I320" s="9"/>
    </row>
    <row r="321" spans="9:9" x14ac:dyDescent="0.3">
      <c r="I321" s="9"/>
    </row>
    <row r="322" spans="9:9" x14ac:dyDescent="0.3">
      <c r="I322" s="9"/>
    </row>
    <row r="323" spans="9:9" x14ac:dyDescent="0.3">
      <c r="I323" s="9"/>
    </row>
    <row r="324" spans="9:9" x14ac:dyDescent="0.3">
      <c r="I324" s="9"/>
    </row>
    <row r="325" spans="9:9" x14ac:dyDescent="0.3">
      <c r="I325" s="9"/>
    </row>
    <row r="326" spans="9:9" x14ac:dyDescent="0.3">
      <c r="I326" s="9"/>
    </row>
    <row r="327" spans="9:9" x14ac:dyDescent="0.3">
      <c r="I327" s="9"/>
    </row>
    <row r="328" spans="9:9" x14ac:dyDescent="0.3">
      <c r="I328" s="9"/>
    </row>
    <row r="329" spans="9:9" x14ac:dyDescent="0.3">
      <c r="I329" s="9"/>
    </row>
    <row r="330" spans="9:9" x14ac:dyDescent="0.3">
      <c r="I330" s="9"/>
    </row>
    <row r="331" spans="9:9" x14ac:dyDescent="0.3">
      <c r="I331" s="9"/>
    </row>
    <row r="332" spans="9:9" x14ac:dyDescent="0.3">
      <c r="I332" s="9"/>
    </row>
    <row r="333" spans="9:9" x14ac:dyDescent="0.3">
      <c r="I333" s="9"/>
    </row>
    <row r="334" spans="9:9" x14ac:dyDescent="0.3">
      <c r="I334" s="9"/>
    </row>
    <row r="335" spans="9:9" x14ac:dyDescent="0.3">
      <c r="I335" s="9"/>
    </row>
    <row r="336" spans="9:9" x14ac:dyDescent="0.3">
      <c r="I336" s="9"/>
    </row>
    <row r="337" spans="9:9" x14ac:dyDescent="0.3">
      <c r="I337" s="9"/>
    </row>
    <row r="338" spans="9:9" x14ac:dyDescent="0.3">
      <c r="I338" s="9"/>
    </row>
    <row r="339" spans="9:9" x14ac:dyDescent="0.3">
      <c r="I339" s="9"/>
    </row>
    <row r="340" spans="9:9" x14ac:dyDescent="0.3">
      <c r="I340" s="9"/>
    </row>
    <row r="341" spans="9:9" x14ac:dyDescent="0.3">
      <c r="I341" s="9"/>
    </row>
    <row r="342" spans="9:9" x14ac:dyDescent="0.3">
      <c r="I342" s="9"/>
    </row>
    <row r="343" spans="9:9" x14ac:dyDescent="0.3">
      <c r="I343" s="9"/>
    </row>
    <row r="344" spans="9:9" x14ac:dyDescent="0.3">
      <c r="I344" s="9"/>
    </row>
    <row r="345" spans="9:9" x14ac:dyDescent="0.3">
      <c r="I345" s="9"/>
    </row>
    <row r="346" spans="9:9" x14ac:dyDescent="0.3">
      <c r="I346" s="9"/>
    </row>
    <row r="347" spans="9:9" x14ac:dyDescent="0.3">
      <c r="I347" s="9"/>
    </row>
    <row r="348" spans="9:9" x14ac:dyDescent="0.3">
      <c r="I348" s="9"/>
    </row>
    <row r="349" spans="9:9" x14ac:dyDescent="0.3">
      <c r="I349" s="9"/>
    </row>
    <row r="350" spans="9:9" x14ac:dyDescent="0.3">
      <c r="I350" s="9"/>
    </row>
    <row r="351" spans="9:9" x14ac:dyDescent="0.3">
      <c r="I351" s="9"/>
    </row>
    <row r="352" spans="9:9" x14ac:dyDescent="0.3">
      <c r="I352" s="9"/>
    </row>
    <row r="353" spans="9:9" x14ac:dyDescent="0.3">
      <c r="I353" s="9"/>
    </row>
    <row r="354" spans="9:9" x14ac:dyDescent="0.3">
      <c r="I354" s="9"/>
    </row>
    <row r="355" spans="9:9" x14ac:dyDescent="0.3">
      <c r="I355" s="9"/>
    </row>
    <row r="356" spans="9:9" x14ac:dyDescent="0.3">
      <c r="I356" s="9"/>
    </row>
    <row r="357" spans="9:9" x14ac:dyDescent="0.3">
      <c r="I357" s="9"/>
    </row>
    <row r="358" spans="9:9" x14ac:dyDescent="0.3">
      <c r="I358" s="9"/>
    </row>
    <row r="359" spans="9:9" x14ac:dyDescent="0.3">
      <c r="I359" s="9"/>
    </row>
    <row r="360" spans="9:9" x14ac:dyDescent="0.3">
      <c r="I360" s="9"/>
    </row>
    <row r="361" spans="9:9" x14ac:dyDescent="0.3">
      <c r="I361" s="9"/>
    </row>
    <row r="362" spans="9:9" x14ac:dyDescent="0.3">
      <c r="I362" s="9"/>
    </row>
    <row r="363" spans="9:9" x14ac:dyDescent="0.3">
      <c r="I363" s="9"/>
    </row>
    <row r="364" spans="9:9" x14ac:dyDescent="0.3">
      <c r="I364" s="9"/>
    </row>
    <row r="365" spans="9:9" x14ac:dyDescent="0.3">
      <c r="I365" s="9"/>
    </row>
    <row r="366" spans="9:9" x14ac:dyDescent="0.3">
      <c r="I366" s="9"/>
    </row>
    <row r="367" spans="9:9" x14ac:dyDescent="0.3">
      <c r="I367" s="9"/>
    </row>
    <row r="368" spans="9:9" x14ac:dyDescent="0.3">
      <c r="I368" s="9"/>
    </row>
    <row r="369" spans="9:9" x14ac:dyDescent="0.3">
      <c r="I369" s="9"/>
    </row>
    <row r="370" spans="9:9" x14ac:dyDescent="0.3">
      <c r="I370" s="9"/>
    </row>
    <row r="371" spans="9:9" x14ac:dyDescent="0.3">
      <c r="I371" s="9"/>
    </row>
    <row r="372" spans="9:9" x14ac:dyDescent="0.3">
      <c r="I372" s="9"/>
    </row>
    <row r="373" spans="9:9" x14ac:dyDescent="0.3">
      <c r="I373" s="9"/>
    </row>
    <row r="374" spans="9:9" x14ac:dyDescent="0.3">
      <c r="I374" s="9"/>
    </row>
    <row r="375" spans="9:9" x14ac:dyDescent="0.3">
      <c r="I375" s="9"/>
    </row>
    <row r="376" spans="9:9" x14ac:dyDescent="0.3">
      <c r="I376" s="9"/>
    </row>
    <row r="377" spans="9:9" x14ac:dyDescent="0.3">
      <c r="I377" s="9"/>
    </row>
    <row r="378" spans="9:9" x14ac:dyDescent="0.3">
      <c r="I378" s="9"/>
    </row>
    <row r="379" spans="9:9" x14ac:dyDescent="0.3">
      <c r="I379" s="9"/>
    </row>
    <row r="380" spans="9:9" x14ac:dyDescent="0.3">
      <c r="I380" s="9"/>
    </row>
    <row r="381" spans="9:9" x14ac:dyDescent="0.3">
      <c r="I381" s="9"/>
    </row>
    <row r="382" spans="9:9" x14ac:dyDescent="0.3">
      <c r="I382" s="9"/>
    </row>
    <row r="383" spans="9:9" x14ac:dyDescent="0.3">
      <c r="I383" s="9"/>
    </row>
    <row r="384" spans="9:9" x14ac:dyDescent="0.3">
      <c r="I384" s="9"/>
    </row>
    <row r="385" spans="9:9" x14ac:dyDescent="0.3">
      <c r="I385" s="9"/>
    </row>
    <row r="386" spans="9:9" x14ac:dyDescent="0.3">
      <c r="I386" s="9"/>
    </row>
    <row r="387" spans="9:9" x14ac:dyDescent="0.3">
      <c r="I387" s="9"/>
    </row>
    <row r="388" spans="9:9" x14ac:dyDescent="0.3">
      <c r="I388" s="9"/>
    </row>
    <row r="389" spans="9:9" x14ac:dyDescent="0.3">
      <c r="I389" s="9"/>
    </row>
    <row r="390" spans="9:9" x14ac:dyDescent="0.3">
      <c r="I390" s="9"/>
    </row>
    <row r="391" spans="9:9" x14ac:dyDescent="0.3">
      <c r="I391" s="9"/>
    </row>
    <row r="392" spans="9:9" x14ac:dyDescent="0.3">
      <c r="I392" s="9"/>
    </row>
    <row r="393" spans="9:9" x14ac:dyDescent="0.3">
      <c r="I393" s="9"/>
    </row>
    <row r="394" spans="9:9" x14ac:dyDescent="0.3">
      <c r="I394" s="9"/>
    </row>
    <row r="395" spans="9:9" x14ac:dyDescent="0.3">
      <c r="I395" s="9"/>
    </row>
    <row r="396" spans="9:9" x14ac:dyDescent="0.3">
      <c r="I396" s="9"/>
    </row>
    <row r="397" spans="9:9" x14ac:dyDescent="0.3">
      <c r="I397" s="9"/>
    </row>
    <row r="398" spans="9:9" x14ac:dyDescent="0.3">
      <c r="I398" s="9"/>
    </row>
    <row r="399" spans="9:9" x14ac:dyDescent="0.3">
      <c r="I399" s="9"/>
    </row>
    <row r="400" spans="9:9" x14ac:dyDescent="0.3">
      <c r="I400" s="9"/>
    </row>
    <row r="401" spans="9:9" x14ac:dyDescent="0.3">
      <c r="I401" s="9"/>
    </row>
    <row r="402" spans="9:9" x14ac:dyDescent="0.3">
      <c r="I402" s="9"/>
    </row>
    <row r="403" spans="9:9" x14ac:dyDescent="0.3">
      <c r="I403" s="9"/>
    </row>
    <row r="404" spans="9:9" x14ac:dyDescent="0.3">
      <c r="I404" s="9"/>
    </row>
    <row r="405" spans="9:9" x14ac:dyDescent="0.3">
      <c r="I405" s="9"/>
    </row>
    <row r="406" spans="9:9" x14ac:dyDescent="0.3">
      <c r="I406" s="9"/>
    </row>
    <row r="407" spans="9:9" x14ac:dyDescent="0.3">
      <c r="I407" s="9"/>
    </row>
    <row r="408" spans="9:9" x14ac:dyDescent="0.3">
      <c r="I408" s="9"/>
    </row>
    <row r="409" spans="9:9" x14ac:dyDescent="0.3">
      <c r="I409" s="9"/>
    </row>
    <row r="410" spans="9:9" x14ac:dyDescent="0.3">
      <c r="I410" s="9"/>
    </row>
    <row r="411" spans="9:9" x14ac:dyDescent="0.3">
      <c r="I411" s="9"/>
    </row>
    <row r="412" spans="9:9" x14ac:dyDescent="0.3">
      <c r="I412" s="9"/>
    </row>
    <row r="413" spans="9:9" x14ac:dyDescent="0.3">
      <c r="I413" s="9"/>
    </row>
    <row r="414" spans="9:9" x14ac:dyDescent="0.3">
      <c r="I414" s="9"/>
    </row>
    <row r="415" spans="9:9" x14ac:dyDescent="0.3">
      <c r="I415" s="9"/>
    </row>
    <row r="416" spans="9:9" x14ac:dyDescent="0.3">
      <c r="I416" s="9"/>
    </row>
    <row r="417" spans="9:9" x14ac:dyDescent="0.3">
      <c r="I417" s="9"/>
    </row>
    <row r="418" spans="9:9" x14ac:dyDescent="0.3">
      <c r="I418" s="9"/>
    </row>
    <row r="419" spans="9:9" x14ac:dyDescent="0.3">
      <c r="I419" s="9"/>
    </row>
    <row r="420" spans="9:9" x14ac:dyDescent="0.3">
      <c r="I420" s="9"/>
    </row>
    <row r="421" spans="9:9" x14ac:dyDescent="0.3">
      <c r="I421" s="9"/>
    </row>
    <row r="422" spans="9:9" x14ac:dyDescent="0.3">
      <c r="I422" s="9"/>
    </row>
    <row r="423" spans="9:9" x14ac:dyDescent="0.3">
      <c r="I423" s="9"/>
    </row>
    <row r="424" spans="9:9" x14ac:dyDescent="0.3">
      <c r="I424" s="9"/>
    </row>
    <row r="425" spans="9:9" x14ac:dyDescent="0.3">
      <c r="I425" s="9"/>
    </row>
    <row r="426" spans="9:9" x14ac:dyDescent="0.3">
      <c r="I426" s="9"/>
    </row>
    <row r="427" spans="9:9" x14ac:dyDescent="0.3">
      <c r="I427" s="9"/>
    </row>
    <row r="428" spans="9:9" x14ac:dyDescent="0.3">
      <c r="I428" s="9"/>
    </row>
    <row r="429" spans="9:9" x14ac:dyDescent="0.3">
      <c r="I429" s="9"/>
    </row>
    <row r="430" spans="9:9" x14ac:dyDescent="0.3">
      <c r="I430" s="9"/>
    </row>
    <row r="431" spans="9:9" x14ac:dyDescent="0.3">
      <c r="I431" s="9"/>
    </row>
    <row r="432" spans="9:9" x14ac:dyDescent="0.3">
      <c r="I432" s="9"/>
    </row>
    <row r="433" spans="9:9" x14ac:dyDescent="0.3">
      <c r="I433" s="9"/>
    </row>
    <row r="434" spans="9:9" x14ac:dyDescent="0.3">
      <c r="I434" s="9"/>
    </row>
    <row r="435" spans="9:9" x14ac:dyDescent="0.3">
      <c r="I435" s="9"/>
    </row>
    <row r="436" spans="9:9" x14ac:dyDescent="0.3">
      <c r="I436" s="9"/>
    </row>
    <row r="437" spans="9:9" x14ac:dyDescent="0.3">
      <c r="I437" s="9"/>
    </row>
    <row r="438" spans="9:9" x14ac:dyDescent="0.3">
      <c r="I438" s="9"/>
    </row>
    <row r="439" spans="9:9" x14ac:dyDescent="0.3">
      <c r="I439" s="9"/>
    </row>
    <row r="440" spans="9:9" x14ac:dyDescent="0.3">
      <c r="I440" s="9"/>
    </row>
    <row r="441" spans="9:9" x14ac:dyDescent="0.3">
      <c r="I441" s="9"/>
    </row>
    <row r="442" spans="9:9" x14ac:dyDescent="0.3">
      <c r="I442" s="9"/>
    </row>
    <row r="443" spans="9:9" x14ac:dyDescent="0.3">
      <c r="I443" s="9"/>
    </row>
    <row r="444" spans="9:9" x14ac:dyDescent="0.3">
      <c r="I444" s="9"/>
    </row>
    <row r="445" spans="9:9" x14ac:dyDescent="0.3">
      <c r="I445" s="9"/>
    </row>
    <row r="446" spans="9:9" x14ac:dyDescent="0.3">
      <c r="I446" s="9"/>
    </row>
    <row r="447" spans="9:9" x14ac:dyDescent="0.3">
      <c r="I447" s="9"/>
    </row>
    <row r="448" spans="9:9" x14ac:dyDescent="0.3">
      <c r="I448" s="9"/>
    </row>
    <row r="449" spans="9:9" x14ac:dyDescent="0.3">
      <c r="I449" s="9"/>
    </row>
    <row r="450" spans="9:9" x14ac:dyDescent="0.3">
      <c r="I450" s="9"/>
    </row>
    <row r="451" spans="9:9" x14ac:dyDescent="0.3">
      <c r="I451" s="9"/>
    </row>
    <row r="452" spans="9:9" x14ac:dyDescent="0.3">
      <c r="I452" s="9"/>
    </row>
    <row r="453" spans="9:9" x14ac:dyDescent="0.3">
      <c r="I453" s="9"/>
    </row>
    <row r="454" spans="9:9" x14ac:dyDescent="0.3">
      <c r="I454" s="9"/>
    </row>
    <row r="455" spans="9:9" x14ac:dyDescent="0.3">
      <c r="I455" s="9"/>
    </row>
    <row r="456" spans="9:9" x14ac:dyDescent="0.3">
      <c r="I456" s="9"/>
    </row>
    <row r="457" spans="9:9" x14ac:dyDescent="0.3">
      <c r="I457" s="9"/>
    </row>
    <row r="458" spans="9:9" x14ac:dyDescent="0.3">
      <c r="I458" s="9"/>
    </row>
    <row r="459" spans="9:9" x14ac:dyDescent="0.3">
      <c r="I459" s="9"/>
    </row>
    <row r="460" spans="9:9" x14ac:dyDescent="0.3">
      <c r="I460" s="9"/>
    </row>
    <row r="461" spans="9:9" x14ac:dyDescent="0.3">
      <c r="I461" s="9"/>
    </row>
    <row r="462" spans="9:9" x14ac:dyDescent="0.3">
      <c r="I462" s="9"/>
    </row>
    <row r="463" spans="9:9" x14ac:dyDescent="0.3">
      <c r="I463" s="9"/>
    </row>
    <row r="464" spans="9:9" x14ac:dyDescent="0.3">
      <c r="I464" s="9"/>
    </row>
    <row r="465" spans="9:9" x14ac:dyDescent="0.3">
      <c r="I465" s="9"/>
    </row>
    <row r="466" spans="9:9" x14ac:dyDescent="0.3">
      <c r="I466" s="9"/>
    </row>
    <row r="467" spans="9:9" x14ac:dyDescent="0.3">
      <c r="I467" s="9"/>
    </row>
    <row r="468" spans="9:9" x14ac:dyDescent="0.3">
      <c r="I468" s="9"/>
    </row>
    <row r="469" spans="9:9" x14ac:dyDescent="0.3">
      <c r="I469" s="9"/>
    </row>
    <row r="470" spans="9:9" x14ac:dyDescent="0.3">
      <c r="I470" s="9"/>
    </row>
    <row r="471" spans="9:9" x14ac:dyDescent="0.3">
      <c r="I471" s="9"/>
    </row>
    <row r="472" spans="9:9" x14ac:dyDescent="0.3">
      <c r="I472" s="9"/>
    </row>
    <row r="473" spans="9:9" x14ac:dyDescent="0.3">
      <c r="I473" s="9"/>
    </row>
    <row r="474" spans="9:9" x14ac:dyDescent="0.3">
      <c r="I474" s="9"/>
    </row>
    <row r="475" spans="9:9" x14ac:dyDescent="0.3">
      <c r="I475" s="9"/>
    </row>
    <row r="476" spans="9:9" x14ac:dyDescent="0.3">
      <c r="I476" s="9"/>
    </row>
    <row r="477" spans="9:9" x14ac:dyDescent="0.3">
      <c r="I477" s="9"/>
    </row>
    <row r="478" spans="9:9" x14ac:dyDescent="0.3">
      <c r="I478" s="9"/>
    </row>
    <row r="479" spans="9:9" x14ac:dyDescent="0.3">
      <c r="I479" s="9"/>
    </row>
    <row r="480" spans="9:9" x14ac:dyDescent="0.3">
      <c r="I480" s="9"/>
    </row>
    <row r="481" spans="9:9" x14ac:dyDescent="0.3">
      <c r="I481" s="9"/>
    </row>
    <row r="482" spans="9:9" x14ac:dyDescent="0.3">
      <c r="I482" s="9"/>
    </row>
    <row r="483" spans="9:9" x14ac:dyDescent="0.3">
      <c r="I483" s="9"/>
    </row>
    <row r="484" spans="9:9" x14ac:dyDescent="0.3">
      <c r="I484" s="9"/>
    </row>
    <row r="485" spans="9:9" x14ac:dyDescent="0.3">
      <c r="I485" s="9"/>
    </row>
    <row r="486" spans="9:9" x14ac:dyDescent="0.3">
      <c r="I486" s="9"/>
    </row>
    <row r="487" spans="9:9" x14ac:dyDescent="0.3">
      <c r="I487" s="9"/>
    </row>
    <row r="488" spans="9:9" x14ac:dyDescent="0.3">
      <c r="I488" s="9"/>
    </row>
    <row r="489" spans="9:9" x14ac:dyDescent="0.3">
      <c r="I489" s="9"/>
    </row>
    <row r="490" spans="9:9" x14ac:dyDescent="0.3">
      <c r="I490" s="9"/>
    </row>
    <row r="491" spans="9:9" x14ac:dyDescent="0.3">
      <c r="I491" s="9"/>
    </row>
    <row r="492" spans="9:9" x14ac:dyDescent="0.3">
      <c r="I492" s="9"/>
    </row>
    <row r="493" spans="9:9" x14ac:dyDescent="0.3">
      <c r="I493" s="9"/>
    </row>
    <row r="494" spans="9:9" x14ac:dyDescent="0.3">
      <c r="I494" s="9"/>
    </row>
    <row r="495" spans="9:9" x14ac:dyDescent="0.3">
      <c r="I495" s="9"/>
    </row>
    <row r="496" spans="9:9" x14ac:dyDescent="0.3">
      <c r="I496" s="9"/>
    </row>
    <row r="497" spans="9:9" x14ac:dyDescent="0.3">
      <c r="I497" s="9"/>
    </row>
    <row r="498" spans="9:9" x14ac:dyDescent="0.3">
      <c r="I498" s="9"/>
    </row>
    <row r="499" spans="9:9" x14ac:dyDescent="0.3">
      <c r="I499" s="9"/>
    </row>
    <row r="500" spans="9:9" x14ac:dyDescent="0.3">
      <c r="I500" s="9"/>
    </row>
    <row r="501" spans="9:9" x14ac:dyDescent="0.3">
      <c r="I501" s="9"/>
    </row>
    <row r="502" spans="9:9" x14ac:dyDescent="0.3">
      <c r="I502" s="9"/>
    </row>
    <row r="503" spans="9:9" x14ac:dyDescent="0.3">
      <c r="I503" s="9"/>
    </row>
    <row r="504" spans="9:9" x14ac:dyDescent="0.3">
      <c r="I504" s="9"/>
    </row>
    <row r="505" spans="9:9" x14ac:dyDescent="0.3">
      <c r="I505" s="9"/>
    </row>
    <row r="506" spans="9:9" x14ac:dyDescent="0.3">
      <c r="I506" s="9"/>
    </row>
    <row r="507" spans="9:9" x14ac:dyDescent="0.3">
      <c r="I507" s="9"/>
    </row>
    <row r="508" spans="9:9" x14ac:dyDescent="0.3">
      <c r="I508" s="9"/>
    </row>
    <row r="509" spans="9:9" x14ac:dyDescent="0.3">
      <c r="I509" s="9"/>
    </row>
    <row r="510" spans="9:9" x14ac:dyDescent="0.3">
      <c r="I510" s="9"/>
    </row>
    <row r="511" spans="9:9" x14ac:dyDescent="0.3">
      <c r="I511" s="9"/>
    </row>
    <row r="512" spans="9:9" x14ac:dyDescent="0.3">
      <c r="I512" s="9"/>
    </row>
    <row r="513" spans="9:9" x14ac:dyDescent="0.3">
      <c r="I513" s="9"/>
    </row>
    <row r="514" spans="9:9" x14ac:dyDescent="0.3">
      <c r="I514" s="9"/>
    </row>
    <row r="515" spans="9:9" x14ac:dyDescent="0.3">
      <c r="I515" s="9"/>
    </row>
    <row r="516" spans="9:9" x14ac:dyDescent="0.3">
      <c r="I516" s="9"/>
    </row>
    <row r="517" spans="9:9" x14ac:dyDescent="0.3">
      <c r="I517" s="9"/>
    </row>
    <row r="518" spans="9:9" x14ac:dyDescent="0.3">
      <c r="I518" s="9"/>
    </row>
    <row r="519" spans="9:9" x14ac:dyDescent="0.3">
      <c r="I519" s="9"/>
    </row>
    <row r="520" spans="9:9" x14ac:dyDescent="0.3">
      <c r="I520" s="9"/>
    </row>
    <row r="521" spans="9:9" x14ac:dyDescent="0.3">
      <c r="I521" s="9"/>
    </row>
    <row r="522" spans="9:9" x14ac:dyDescent="0.3">
      <c r="I522" s="9"/>
    </row>
    <row r="523" spans="9:9" x14ac:dyDescent="0.3">
      <c r="I523" s="9"/>
    </row>
    <row r="524" spans="9:9" x14ac:dyDescent="0.3">
      <c r="I524" s="9"/>
    </row>
    <row r="525" spans="9:9" x14ac:dyDescent="0.3">
      <c r="I525" s="9"/>
    </row>
    <row r="526" spans="9:9" x14ac:dyDescent="0.3">
      <c r="I526" s="9"/>
    </row>
    <row r="527" spans="9:9" x14ac:dyDescent="0.3">
      <c r="I527" s="9"/>
    </row>
    <row r="528" spans="9:9" x14ac:dyDescent="0.3">
      <c r="I528" s="9"/>
    </row>
    <row r="529" spans="9:9" x14ac:dyDescent="0.3">
      <c r="I529" s="9"/>
    </row>
    <row r="530" spans="9:9" x14ac:dyDescent="0.3">
      <c r="I530" s="9"/>
    </row>
    <row r="531" spans="9:9" x14ac:dyDescent="0.3">
      <c r="I531" s="9"/>
    </row>
    <row r="532" spans="9:9" x14ac:dyDescent="0.3">
      <c r="I532" s="9"/>
    </row>
    <row r="533" spans="9:9" x14ac:dyDescent="0.3">
      <c r="I533" s="9"/>
    </row>
    <row r="534" spans="9:9" x14ac:dyDescent="0.3">
      <c r="I534" s="9"/>
    </row>
    <row r="535" spans="9:9" x14ac:dyDescent="0.3">
      <c r="I535" s="9"/>
    </row>
    <row r="536" spans="9:9" x14ac:dyDescent="0.3">
      <c r="I536" s="9"/>
    </row>
    <row r="537" spans="9:9" x14ac:dyDescent="0.3">
      <c r="I537" s="9"/>
    </row>
    <row r="538" spans="9:9" x14ac:dyDescent="0.3">
      <c r="I538" s="9"/>
    </row>
    <row r="539" spans="9:9" x14ac:dyDescent="0.3">
      <c r="I539" s="9"/>
    </row>
    <row r="540" spans="9:9" x14ac:dyDescent="0.3">
      <c r="I540" s="9"/>
    </row>
    <row r="541" spans="9:9" x14ac:dyDescent="0.3">
      <c r="I541" s="9"/>
    </row>
    <row r="542" spans="9:9" x14ac:dyDescent="0.3">
      <c r="I542" s="9"/>
    </row>
    <row r="543" spans="9:9" x14ac:dyDescent="0.3">
      <c r="I543" s="9"/>
    </row>
    <row r="544" spans="9:9" x14ac:dyDescent="0.3">
      <c r="I544" s="9"/>
    </row>
    <row r="545" spans="9:9" x14ac:dyDescent="0.3">
      <c r="I545" s="9"/>
    </row>
    <row r="546" spans="9:9" x14ac:dyDescent="0.3">
      <c r="I546" s="9"/>
    </row>
    <row r="547" spans="9:9" x14ac:dyDescent="0.3">
      <c r="I547" s="9"/>
    </row>
    <row r="548" spans="9:9" x14ac:dyDescent="0.3">
      <c r="I548" s="9"/>
    </row>
    <row r="549" spans="9:9" x14ac:dyDescent="0.3">
      <c r="I549" s="9"/>
    </row>
    <row r="550" spans="9:9" x14ac:dyDescent="0.3">
      <c r="I550" s="9"/>
    </row>
    <row r="551" spans="9:9" x14ac:dyDescent="0.3">
      <c r="I551" s="9"/>
    </row>
    <row r="552" spans="9:9" x14ac:dyDescent="0.3">
      <c r="I552" s="9"/>
    </row>
    <row r="553" spans="9:9" x14ac:dyDescent="0.3">
      <c r="I553" s="9"/>
    </row>
    <row r="554" spans="9:9" x14ac:dyDescent="0.3">
      <c r="I554" s="9"/>
    </row>
    <row r="555" spans="9:9" x14ac:dyDescent="0.3">
      <c r="I555" s="9"/>
    </row>
    <row r="556" spans="9:9" x14ac:dyDescent="0.3">
      <c r="I556" s="9"/>
    </row>
    <row r="557" spans="9:9" x14ac:dyDescent="0.3">
      <c r="I557" s="9"/>
    </row>
    <row r="558" spans="9:9" x14ac:dyDescent="0.3">
      <c r="I558" s="9"/>
    </row>
    <row r="559" spans="9:9" x14ac:dyDescent="0.3">
      <c r="I559" s="9"/>
    </row>
    <row r="560" spans="9:9" x14ac:dyDescent="0.3">
      <c r="I560" s="9"/>
    </row>
    <row r="561" spans="9:9" x14ac:dyDescent="0.3">
      <c r="I561" s="9"/>
    </row>
    <row r="562" spans="9:9" x14ac:dyDescent="0.3">
      <c r="I562" s="9"/>
    </row>
    <row r="563" spans="9:9" x14ac:dyDescent="0.3">
      <c r="I563" s="9"/>
    </row>
    <row r="564" spans="9:9" x14ac:dyDescent="0.3">
      <c r="I564" s="9"/>
    </row>
    <row r="565" spans="9:9" x14ac:dyDescent="0.3">
      <c r="I565" s="9"/>
    </row>
    <row r="566" spans="9:9" x14ac:dyDescent="0.3">
      <c r="I566" s="9"/>
    </row>
    <row r="567" spans="9:9" x14ac:dyDescent="0.3">
      <c r="I567" s="9"/>
    </row>
    <row r="568" spans="9:9" x14ac:dyDescent="0.3">
      <c r="I568" s="9"/>
    </row>
    <row r="569" spans="9:9" x14ac:dyDescent="0.3">
      <c r="I569" s="9"/>
    </row>
    <row r="570" spans="9:9" x14ac:dyDescent="0.3">
      <c r="I570" s="9"/>
    </row>
    <row r="571" spans="9:9" x14ac:dyDescent="0.3">
      <c r="I571" s="9"/>
    </row>
    <row r="572" spans="9:9" x14ac:dyDescent="0.3">
      <c r="I572" s="9"/>
    </row>
    <row r="573" spans="9:9" x14ac:dyDescent="0.3">
      <c r="I573" s="9"/>
    </row>
    <row r="574" spans="9:9" x14ac:dyDescent="0.3">
      <c r="I574" s="9"/>
    </row>
    <row r="575" spans="9:9" x14ac:dyDescent="0.3">
      <c r="I575" s="9"/>
    </row>
    <row r="576" spans="9:9" x14ac:dyDescent="0.3">
      <c r="I576" s="9"/>
    </row>
    <row r="577" spans="9:9" x14ac:dyDescent="0.3">
      <c r="I577" s="9"/>
    </row>
    <row r="578" spans="9:9" x14ac:dyDescent="0.3">
      <c r="I578" s="9"/>
    </row>
    <row r="579" spans="9:9" x14ac:dyDescent="0.3">
      <c r="I579" s="9"/>
    </row>
    <row r="580" spans="9:9" x14ac:dyDescent="0.3">
      <c r="I580" s="9"/>
    </row>
    <row r="581" spans="9:9" x14ac:dyDescent="0.3">
      <c r="I581" s="9"/>
    </row>
    <row r="582" spans="9:9" x14ac:dyDescent="0.3">
      <c r="I582" s="9"/>
    </row>
    <row r="583" spans="9:9" x14ac:dyDescent="0.3">
      <c r="I583" s="9"/>
    </row>
    <row r="584" spans="9:9" x14ac:dyDescent="0.3">
      <c r="I584" s="9"/>
    </row>
    <row r="585" spans="9:9" x14ac:dyDescent="0.3">
      <c r="I585" s="9"/>
    </row>
    <row r="586" spans="9:9" x14ac:dyDescent="0.3">
      <c r="I586" s="9"/>
    </row>
    <row r="587" spans="9:9" x14ac:dyDescent="0.3">
      <c r="I587" s="9"/>
    </row>
    <row r="588" spans="9:9" x14ac:dyDescent="0.3">
      <c r="I588" s="9"/>
    </row>
    <row r="589" spans="9:9" x14ac:dyDescent="0.3">
      <c r="I589" s="9"/>
    </row>
    <row r="590" spans="9:9" x14ac:dyDescent="0.3">
      <c r="I590" s="9"/>
    </row>
    <row r="591" spans="9:9" x14ac:dyDescent="0.3">
      <c r="I591" s="9"/>
    </row>
    <row r="592" spans="9:9" x14ac:dyDescent="0.3">
      <c r="I592" s="9"/>
    </row>
    <row r="593" spans="9:9" x14ac:dyDescent="0.3">
      <c r="I593" s="9"/>
    </row>
    <row r="594" spans="9:9" x14ac:dyDescent="0.3">
      <c r="I594" s="9"/>
    </row>
    <row r="595" spans="9:9" x14ac:dyDescent="0.3">
      <c r="I595" s="9"/>
    </row>
    <row r="596" spans="9:9" x14ac:dyDescent="0.3">
      <c r="I596" s="9"/>
    </row>
    <row r="597" spans="9:9" x14ac:dyDescent="0.3">
      <c r="I597" s="9"/>
    </row>
    <row r="598" spans="9:9" x14ac:dyDescent="0.3">
      <c r="I598" s="9"/>
    </row>
    <row r="599" spans="9:9" x14ac:dyDescent="0.3">
      <c r="I599" s="9"/>
    </row>
    <row r="600" spans="9:9" x14ac:dyDescent="0.3">
      <c r="I600" s="9"/>
    </row>
    <row r="601" spans="9:9" x14ac:dyDescent="0.3">
      <c r="I601" s="9"/>
    </row>
    <row r="602" spans="9:9" x14ac:dyDescent="0.3">
      <c r="I602" s="9"/>
    </row>
    <row r="603" spans="9:9" x14ac:dyDescent="0.3">
      <c r="I603" s="9"/>
    </row>
    <row r="604" spans="9:9" x14ac:dyDescent="0.3">
      <c r="I604" s="9"/>
    </row>
    <row r="605" spans="9:9" x14ac:dyDescent="0.3">
      <c r="I605" s="9"/>
    </row>
    <row r="606" spans="9:9" x14ac:dyDescent="0.3">
      <c r="I606" s="9"/>
    </row>
    <row r="607" spans="9:9" x14ac:dyDescent="0.3">
      <c r="I607" s="9"/>
    </row>
    <row r="608" spans="9:9" x14ac:dyDescent="0.3">
      <c r="I608" s="9"/>
    </row>
    <row r="609" spans="9:9" x14ac:dyDescent="0.3">
      <c r="I609" s="9"/>
    </row>
    <row r="610" spans="9:9" x14ac:dyDescent="0.3">
      <c r="I610" s="9"/>
    </row>
    <row r="611" spans="9:9" x14ac:dyDescent="0.3">
      <c r="I611" s="9"/>
    </row>
    <row r="612" spans="9:9" x14ac:dyDescent="0.3">
      <c r="I612" s="9"/>
    </row>
    <row r="613" spans="9:9" x14ac:dyDescent="0.3">
      <c r="I613" s="9"/>
    </row>
    <row r="614" spans="9:9" x14ac:dyDescent="0.3">
      <c r="I614" s="9"/>
    </row>
    <row r="615" spans="9:9" x14ac:dyDescent="0.3">
      <c r="I615" s="9"/>
    </row>
    <row r="616" spans="9:9" x14ac:dyDescent="0.3">
      <c r="I616" s="9"/>
    </row>
    <row r="617" spans="9:9" x14ac:dyDescent="0.3">
      <c r="I617" s="9"/>
    </row>
    <row r="618" spans="9:9" x14ac:dyDescent="0.3">
      <c r="I618" s="9"/>
    </row>
    <row r="619" spans="9:9" x14ac:dyDescent="0.3">
      <c r="I619" s="9"/>
    </row>
    <row r="620" spans="9:9" x14ac:dyDescent="0.3">
      <c r="I620" s="9"/>
    </row>
    <row r="621" spans="9:9" x14ac:dyDescent="0.3">
      <c r="I621" s="9"/>
    </row>
    <row r="622" spans="9:9" x14ac:dyDescent="0.3">
      <c r="I622" s="9"/>
    </row>
    <row r="623" spans="9:9" x14ac:dyDescent="0.3">
      <c r="I623" s="9"/>
    </row>
    <row r="624" spans="9:9" x14ac:dyDescent="0.3">
      <c r="I624" s="9"/>
    </row>
    <row r="625" spans="9:9" x14ac:dyDescent="0.3">
      <c r="I625" s="9"/>
    </row>
    <row r="626" spans="9:9" x14ac:dyDescent="0.3">
      <c r="I626" s="9"/>
    </row>
    <row r="627" spans="9:9" x14ac:dyDescent="0.3">
      <c r="I627" s="9"/>
    </row>
    <row r="628" spans="9:9" x14ac:dyDescent="0.3">
      <c r="I628" s="9"/>
    </row>
    <row r="629" spans="9:9" x14ac:dyDescent="0.3">
      <c r="I629" s="9"/>
    </row>
    <row r="630" spans="9:9" x14ac:dyDescent="0.3">
      <c r="I630" s="9"/>
    </row>
    <row r="631" spans="9:9" x14ac:dyDescent="0.3">
      <c r="I631" s="9"/>
    </row>
    <row r="632" spans="9:9" x14ac:dyDescent="0.3">
      <c r="I632" s="9"/>
    </row>
    <row r="633" spans="9:9" x14ac:dyDescent="0.3">
      <c r="I633" s="9"/>
    </row>
    <row r="634" spans="9:9" x14ac:dyDescent="0.3">
      <c r="I634" s="9"/>
    </row>
    <row r="635" spans="9:9" x14ac:dyDescent="0.3">
      <c r="I635" s="9"/>
    </row>
    <row r="636" spans="9:9" x14ac:dyDescent="0.3">
      <c r="I636" s="9"/>
    </row>
    <row r="637" spans="9:9" x14ac:dyDescent="0.3">
      <c r="I637" s="9"/>
    </row>
    <row r="638" spans="9:9" x14ac:dyDescent="0.3">
      <c r="I638" s="9"/>
    </row>
    <row r="639" spans="9:9" x14ac:dyDescent="0.3">
      <c r="I639" s="9"/>
    </row>
    <row r="640" spans="9:9" x14ac:dyDescent="0.3">
      <c r="I640" s="9"/>
    </row>
    <row r="641" spans="9:9" x14ac:dyDescent="0.3">
      <c r="I641" s="9"/>
    </row>
    <row r="642" spans="9:9" x14ac:dyDescent="0.3">
      <c r="I642" s="9"/>
    </row>
    <row r="643" spans="9:9" x14ac:dyDescent="0.3">
      <c r="I643" s="9"/>
    </row>
    <row r="644" spans="9:9" x14ac:dyDescent="0.3">
      <c r="I644" s="9"/>
    </row>
    <row r="645" spans="9:9" x14ac:dyDescent="0.3">
      <c r="I645" s="9"/>
    </row>
    <row r="646" spans="9:9" x14ac:dyDescent="0.3">
      <c r="I646" s="9"/>
    </row>
    <row r="647" spans="9:9" x14ac:dyDescent="0.3">
      <c r="I647" s="9"/>
    </row>
    <row r="648" spans="9:9" x14ac:dyDescent="0.3">
      <c r="I648" s="9"/>
    </row>
    <row r="649" spans="9:9" x14ac:dyDescent="0.3">
      <c r="I649" s="9"/>
    </row>
    <row r="650" spans="9:9" x14ac:dyDescent="0.3">
      <c r="I650" s="9"/>
    </row>
    <row r="651" spans="9:9" x14ac:dyDescent="0.3">
      <c r="I651" s="9"/>
    </row>
    <row r="652" spans="9:9" x14ac:dyDescent="0.3">
      <c r="I652" s="9"/>
    </row>
    <row r="653" spans="9:9" x14ac:dyDescent="0.3">
      <c r="I653" s="9"/>
    </row>
    <row r="654" spans="9:9" x14ac:dyDescent="0.3">
      <c r="I654" s="9"/>
    </row>
    <row r="655" spans="9:9" x14ac:dyDescent="0.3">
      <c r="I655" s="9"/>
    </row>
    <row r="656" spans="9:9" x14ac:dyDescent="0.3">
      <c r="I656" s="9"/>
    </row>
    <row r="657" spans="9:9" x14ac:dyDescent="0.3">
      <c r="I657" s="9"/>
    </row>
    <row r="658" spans="9:9" x14ac:dyDescent="0.3">
      <c r="I658" s="9"/>
    </row>
    <row r="659" spans="9:9" x14ac:dyDescent="0.3">
      <c r="I659" s="9"/>
    </row>
    <row r="660" spans="9:9" x14ac:dyDescent="0.3">
      <c r="I660" s="9"/>
    </row>
    <row r="661" spans="9:9" x14ac:dyDescent="0.3">
      <c r="I661" s="9"/>
    </row>
    <row r="662" spans="9:9" x14ac:dyDescent="0.3">
      <c r="I662" s="9"/>
    </row>
    <row r="663" spans="9:9" x14ac:dyDescent="0.3">
      <c r="I663" s="9"/>
    </row>
    <row r="664" spans="9:9" x14ac:dyDescent="0.3">
      <c r="I664" s="9"/>
    </row>
    <row r="665" spans="9:9" x14ac:dyDescent="0.3">
      <c r="I665" s="9"/>
    </row>
    <row r="666" spans="9:9" x14ac:dyDescent="0.3">
      <c r="I666" s="9"/>
    </row>
    <row r="667" spans="9:9" x14ac:dyDescent="0.3">
      <c r="I667" s="9"/>
    </row>
    <row r="668" spans="9:9" x14ac:dyDescent="0.3">
      <c r="I668" s="9"/>
    </row>
    <row r="669" spans="9:9" x14ac:dyDescent="0.3">
      <c r="I669" s="9"/>
    </row>
    <row r="670" spans="9:9" x14ac:dyDescent="0.3">
      <c r="I670" s="9"/>
    </row>
    <row r="671" spans="9:9" x14ac:dyDescent="0.3">
      <c r="I671" s="9"/>
    </row>
    <row r="672" spans="9:9" x14ac:dyDescent="0.3">
      <c r="I672" s="9"/>
    </row>
    <row r="673" spans="9:9" x14ac:dyDescent="0.3">
      <c r="I673" s="9"/>
    </row>
    <row r="674" spans="9:9" x14ac:dyDescent="0.3">
      <c r="I674" s="9"/>
    </row>
    <row r="675" spans="9:9" x14ac:dyDescent="0.3">
      <c r="I675" s="9"/>
    </row>
    <row r="676" spans="9:9" x14ac:dyDescent="0.3">
      <c r="I676" s="9"/>
    </row>
    <row r="677" spans="9:9" x14ac:dyDescent="0.3">
      <c r="I677" s="9"/>
    </row>
    <row r="678" spans="9:9" x14ac:dyDescent="0.3">
      <c r="I678" s="9"/>
    </row>
    <row r="679" spans="9:9" x14ac:dyDescent="0.3">
      <c r="I679" s="9"/>
    </row>
    <row r="680" spans="9:9" x14ac:dyDescent="0.3">
      <c r="I680" s="9"/>
    </row>
    <row r="681" spans="9:9" x14ac:dyDescent="0.3">
      <c r="I681" s="9"/>
    </row>
    <row r="682" spans="9:9" x14ac:dyDescent="0.3">
      <c r="I682" s="9"/>
    </row>
  </sheetData>
  <sheetProtection algorithmName="SHA-512" hashValue="KECIQGNCOBbvcLTrpgg1iUkaRIGuqR4dhVrEApdVZcLUmMKFlvFue9BijzM+kNoo3W2b48JZXNw0HJRmkGsBgg==" saltValue="19JpedztCa1/1QUtdcPJOA==" spinCount="100000" sheet="1" formatCells="0" formatColumns="0" formatRows="0" insertColumns="0" insertRows="0" insertHyperlinks="0" deleteColumns="0" deleteRows="0" sort="0" autoFilter="0" pivotTables="0"/>
  <autoFilter ref="A2:J79" xr:uid="{00000000-0001-0000-0000-000000000000}">
    <filterColumn colId="5">
      <filters blank="1">
        <filter val="0,05"/>
        <filter val="0,06"/>
        <filter val="0,07"/>
        <filter val="0,08"/>
        <filter val="0,09"/>
        <filter val="0,1"/>
        <filter val="0,11"/>
        <filter val="0,12"/>
        <filter val="0,15"/>
        <filter val="0,16"/>
        <filter val="0,18"/>
        <filter val="0,2"/>
        <filter val="0,22"/>
        <filter val="0,23"/>
        <filter val="0,24"/>
        <filter val="0,25"/>
        <filter val="0,27"/>
        <filter val="0,29"/>
        <filter val="0,4"/>
        <filter val="0,45"/>
        <filter val="0,47"/>
        <filter val="0,49"/>
        <filter val="0,61"/>
        <filter val="0,66"/>
        <filter val="0,71"/>
      </filters>
    </filterColumn>
  </autoFilter>
  <mergeCells count="8">
    <mergeCell ref="N1:N2"/>
    <mergeCell ref="C85:E85"/>
    <mergeCell ref="C86:E86"/>
    <mergeCell ref="A1:J1"/>
    <mergeCell ref="C81:E81"/>
    <mergeCell ref="C82:E82"/>
    <mergeCell ref="C83:E83"/>
    <mergeCell ref="C84:E84"/>
  </mergeCells>
  <conditionalFormatting sqref="R1">
    <cfRule type="expression" dxfId="0" priority="1">
      <formula>"&gt;0"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(Zhou)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Tkachuk Valia</cp:lastModifiedBy>
  <dcterms:created xsi:type="dcterms:W3CDTF">2015-06-05T18:17:20Z</dcterms:created>
  <dcterms:modified xsi:type="dcterms:W3CDTF">2025-12-01T17:45:15Z</dcterms:modified>
</cp:coreProperties>
</file>