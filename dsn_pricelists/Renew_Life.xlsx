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cer\Desktop\Prices\Renew Life\Продаж\"/>
    </mc:Choice>
  </mc:AlternateContent>
  <xr:revisionPtr revIDLastSave="0" documentId="13_ncr:1_{A3AAB6E3-2AE1-4C17-869B-976DBADCAC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NEW LIFE" sheetId="1" r:id="rId1"/>
  </sheets>
  <definedNames>
    <definedName name="_xlnm._FilterDatabase" localSheetId="0" hidden="1">'RENEW LIFE'!$A$2:$J$79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3" i="1"/>
  <c r="K2" i="1" l="1"/>
</calcChain>
</file>

<file path=xl/sharedStrings.xml><?xml version="1.0" encoding="utf-8"?>
<sst xmlns="http://schemas.openxmlformats.org/spreadsheetml/2006/main" count="226" uniqueCount="141">
  <si>
    <t>PRODUCT #</t>
  </si>
  <si>
    <t>PRODUCT DESCRIPTION</t>
  </si>
  <si>
    <t>SIZE</t>
  </si>
  <si>
    <t>FORM</t>
  </si>
  <si>
    <t>WHLSLE</t>
  </si>
  <si>
    <t xml:space="preserve"> UPC</t>
  </si>
  <si>
    <t>RN1550091</t>
  </si>
  <si>
    <t>Extra Care 150 Billion 40 Strains Delayed Release</t>
  </si>
  <si>
    <t>Capsules</t>
  </si>
  <si>
    <t>RN1550162</t>
  </si>
  <si>
    <t>Extra Care 100 Billion 12 Strains Delayed Release</t>
  </si>
  <si>
    <t>RN1550148</t>
  </si>
  <si>
    <t>Extra Care 50 Billion 12 Strains Delayed Release</t>
  </si>
  <si>
    <t>RN1550149</t>
  </si>
  <si>
    <t>RN1550150</t>
  </si>
  <si>
    <t>RN1550139</t>
  </si>
  <si>
    <t>Everyday Care 15 Billion 12 Strains Delayed Release</t>
  </si>
  <si>
    <t>RN1550140</t>
  </si>
  <si>
    <t>RN1550146</t>
  </si>
  <si>
    <t>Women's Complete 90 Billion 12 Strains Delayed Release</t>
  </si>
  <si>
    <t>RN1550145</t>
  </si>
  <si>
    <t>RN1550155</t>
  </si>
  <si>
    <t>Women's Vaginal Care 50 Billion 12 Strains Delayed Release</t>
  </si>
  <si>
    <t>RN1550156</t>
  </si>
  <si>
    <t>RN1530102</t>
  </si>
  <si>
    <t>Women's Vaginal &amp; Urinary Delayed Release</t>
  </si>
  <si>
    <t>RN1550161</t>
  </si>
  <si>
    <t>Men's Complete 90 Billion 12 Strains Delayed Release</t>
  </si>
  <si>
    <t>RN1530124</t>
  </si>
  <si>
    <t>Men's Care 50 Billion 12 Strains Delayed Release</t>
  </si>
  <si>
    <t>RN1550133</t>
  </si>
  <si>
    <t>Adult 50+ 30 Billion 12 Strains Delayed Release</t>
  </si>
  <si>
    <t>RN1550134</t>
  </si>
  <si>
    <t>RN1550135</t>
  </si>
  <si>
    <t>RN1550159</t>
  </si>
  <si>
    <t>Colon Care 80 Billion 12 Strains Delayed Release</t>
  </si>
  <si>
    <t>RN1550152</t>
  </si>
  <si>
    <t>RN1550184</t>
  </si>
  <si>
    <t>Extra Care Go Pack 50 Billion 12 Strains Delayed Release</t>
  </si>
  <si>
    <t>RN1550183</t>
  </si>
  <si>
    <t>RN1530118</t>
  </si>
  <si>
    <t>Extra Care Go Pack 30 Billion 12 Strains Delayed Release</t>
  </si>
  <si>
    <t>RN1550111</t>
  </si>
  <si>
    <t>Everyday Care Go Pack 15 Billion 12 Strains Delayed Release</t>
  </si>
  <si>
    <t>RN1550112</t>
  </si>
  <si>
    <t>RN1530089</t>
  </si>
  <si>
    <t>Extra Care Digestive Gummy 2 Billion</t>
  </si>
  <si>
    <t>Gummies</t>
  </si>
  <si>
    <t>RN1530087</t>
  </si>
  <si>
    <t>Women's Care Gummy 2 Billion</t>
  </si>
  <si>
    <t>RN1550185</t>
  </si>
  <si>
    <t>Women's Care Go Pack 15 Billion 12 Strains Delayed Release</t>
  </si>
  <si>
    <t>RN27491</t>
  </si>
  <si>
    <t>Woman's Once Daily 65 Billion 26 Strains Delayed Release</t>
  </si>
  <si>
    <t>RN1530114</t>
  </si>
  <si>
    <t>Metabolic Boost Pre/Pro/Postbiotic</t>
  </si>
  <si>
    <t>RN1530115</t>
  </si>
  <si>
    <t>Digestive Duo Probiotic + Enzymes</t>
  </si>
  <si>
    <t>RN27501</t>
  </si>
  <si>
    <t>Digestive 65 Billion 31 Strains Delayed Release</t>
  </si>
  <si>
    <t>RN15417</t>
  </si>
  <si>
    <t>Saccharomyces Boulardii</t>
  </si>
  <si>
    <t>RN27502</t>
  </si>
  <si>
    <t>Men's Once Daily 65 Billion 31 Strains</t>
  </si>
  <si>
    <t>RN27511</t>
  </si>
  <si>
    <t>Daily Mood 65 Billion 20 Strains Delayed Release</t>
  </si>
  <si>
    <t>RN1550108</t>
  </si>
  <si>
    <t>RN1550167</t>
  </si>
  <si>
    <t>Daily Balance Probiotic &amp; Prebiotic</t>
  </si>
  <si>
    <t>RN1550168</t>
  </si>
  <si>
    <t>Women's Daily Probiotic &amp; Prebiotic</t>
  </si>
  <si>
    <t>RN1530090</t>
  </si>
  <si>
    <t xml:space="preserve">Kid's Tummy Gummy 1 Billion </t>
  </si>
  <si>
    <t>RN15806</t>
  </si>
  <si>
    <t>Kid's Probiotic 3 Billion Chewables</t>
  </si>
  <si>
    <t>Chewables</t>
  </si>
  <si>
    <t>RN15718</t>
  </si>
  <si>
    <t>RN1570004</t>
  </si>
  <si>
    <t>RN1550059</t>
  </si>
  <si>
    <t xml:space="preserve">Digest More </t>
  </si>
  <si>
    <t>RN1550060</t>
  </si>
  <si>
    <t>Digest More Ultra</t>
  </si>
  <si>
    <t>RN15541</t>
  </si>
  <si>
    <t>Gas Stop</t>
  </si>
  <si>
    <t>RN15523</t>
  </si>
  <si>
    <t>Cleanse More</t>
  </si>
  <si>
    <t>RN15644</t>
  </si>
  <si>
    <t>RN15978</t>
  </si>
  <si>
    <t>3-Day Cleanse</t>
  </si>
  <si>
    <t>RN1550071</t>
  </si>
  <si>
    <t>3-Day Liver Cleanse</t>
  </si>
  <si>
    <t>2-PT KIT</t>
  </si>
  <si>
    <t>RN15522</t>
  </si>
  <si>
    <t>Cleanse Smart Total Body Cleanse 30-Day Program</t>
  </si>
  <si>
    <t>RN15521</t>
  </si>
  <si>
    <t>ParaSmart Cleansing 15-Day Program</t>
  </si>
  <si>
    <t>Capsules &amp; Tincture</t>
  </si>
  <si>
    <t>RN15524</t>
  </si>
  <si>
    <t>CandiSmart Yeast Balancing 15-Day Program</t>
  </si>
  <si>
    <t>RN1550104</t>
  </si>
  <si>
    <t>7-Day Rapid Total Body Cleanse</t>
  </si>
  <si>
    <t>3-PT KIT</t>
  </si>
  <si>
    <t>Packs</t>
  </si>
  <si>
    <t>RN1550042</t>
  </si>
  <si>
    <t>14-Day Total Body Cleanse</t>
  </si>
  <si>
    <t>RN1550105</t>
  </si>
  <si>
    <t>Bowel Cleanse</t>
  </si>
  <si>
    <t>RN15525</t>
  </si>
  <si>
    <t>Liver Detox</t>
  </si>
  <si>
    <t>RN1550069</t>
  </si>
  <si>
    <t>Liver Support</t>
  </si>
  <si>
    <t>RN1581106</t>
  </si>
  <si>
    <t>Daily Digestive Prebiotic Fiber</t>
  </si>
  <si>
    <t>RN1581105</t>
  </si>
  <si>
    <t xml:space="preserve">Completely Clear Organic Prebiotic Fiber </t>
  </si>
  <si>
    <t>7 oz</t>
  </si>
  <si>
    <t>Powder</t>
  </si>
  <si>
    <t>RN1581104</t>
  </si>
  <si>
    <t>Daily Digestive Organic Prebiotic Fiber</t>
  </si>
  <si>
    <t>8.5 oz</t>
  </si>
  <si>
    <t>RN15632</t>
  </si>
  <si>
    <t>Fiber Smart</t>
  </si>
  <si>
    <t>RN15629</t>
  </si>
  <si>
    <t>RN15638</t>
  </si>
  <si>
    <t>IntestiNew Powder</t>
  </si>
  <si>
    <t>5.7 oz</t>
  </si>
  <si>
    <t>RN15643</t>
  </si>
  <si>
    <t>IntestiNew</t>
  </si>
  <si>
    <t>RN15579</t>
  </si>
  <si>
    <t>Norwegian Gold Critical Omega</t>
  </si>
  <si>
    <t>Fish Softgels</t>
  </si>
  <si>
    <t>RN15405</t>
  </si>
  <si>
    <t>RN15554</t>
  </si>
  <si>
    <t>Norwegian Gold Super Critical Omega</t>
  </si>
  <si>
    <t>RN15407</t>
  </si>
  <si>
    <t>Order</t>
  </si>
  <si>
    <t>Total</t>
  </si>
  <si>
    <t>Total with discount</t>
  </si>
  <si>
    <t>Price 15% OFF
(Total 432 qty~)</t>
  </si>
  <si>
    <r>
      <rPr>
        <b/>
        <sz val="9"/>
        <color rgb="FFFF0000"/>
        <rFont val="Calibri"/>
        <family val="2"/>
        <charset val="204"/>
        <scheme val="minor"/>
      </rPr>
      <t>Importantly!</t>
    </r>
    <r>
      <rPr>
        <sz val="9"/>
        <color theme="1"/>
        <rFont val="Calibri"/>
        <family val="2"/>
        <scheme val="minor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</si>
  <si>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26.06.2025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</si>
</sst>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&quot;$&quot;#,##0.00;[Red]&quot;$&quot;#,##0.00"/>
    <numFmt numFmtId="167" formatCode="_-[$$-1009]* #,##0.00_-;\-[$$-1009]* #,##0.00_-;_-[$$-1009]* &quot;-&quot;??_-;_-@_-"/>
  </numFmts>
  <fonts count="12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7">
    <xf numFmtId="0" fontId="0" fillId="0" borderId="0" xfId="0"/>
    <xf numFmtId="164" fontId="5" fillId="0" borderId="2" xfId="1" applyFont="1" applyFill="1" applyBorder="1" applyAlignment="1">
      <alignment vertical="center"/>
    </xf>
    <xf numFmtId="164" fontId="0" fillId="0" borderId="2" xfId="1" applyFont="1" applyFill="1" applyBorder="1" applyAlignment="1">
      <alignment vertical="center"/>
    </xf>
    <xf numFmtId="167" fontId="0" fillId="0" borderId="0" xfId="0" applyNumberFormat="1"/>
    <xf numFmtId="164" fontId="8" fillId="0" borderId="2" xfId="0" applyNumberFormat="1" applyFont="1" applyBorder="1"/>
    <xf numFmtId="0" fontId="0" fillId="0" borderId="2" xfId="0" applyNumberForma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/>
    </xf>
    <xf numFmtId="0" fontId="0" fillId="0" borderId="2" xfId="0" applyFill="1" applyBorder="1"/>
    <xf numFmtId="165" fontId="0" fillId="0" borderId="2" xfId="0" applyNumberFormat="1" applyFill="1" applyBorder="1" applyAlignment="1">
      <alignment horizontal="center" vertical="center"/>
    </xf>
    <xf numFmtId="1" fontId="0" fillId="0" borderId="2" xfId="0" applyNumberFormat="1" applyFill="1" applyBorder="1" applyAlignment="1">
      <alignment horizontal="center" vertical="center"/>
    </xf>
    <xf numFmtId="165" fontId="4" fillId="0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167" fontId="0" fillId="0" borderId="2" xfId="0" applyNumberFormat="1" applyBorder="1"/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vertical="center"/>
    </xf>
    <xf numFmtId="1" fontId="4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left" vertical="center"/>
    </xf>
    <xf numFmtId="164" fontId="0" fillId="0" borderId="2" xfId="0" applyNumberFormat="1" applyFill="1" applyBorder="1" applyAlignment="1">
      <alignment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vertical="center"/>
    </xf>
    <xf numFmtId="0" fontId="0" fillId="0" borderId="7" xfId="0" applyNumberFormat="1" applyFill="1" applyBorder="1" applyAlignment="1">
      <alignment horizontal="center" vertical="center"/>
    </xf>
    <xf numFmtId="165" fontId="0" fillId="0" borderId="7" xfId="0" applyNumberFormat="1" applyFill="1" applyBorder="1" applyAlignment="1">
      <alignment horizontal="center" vertical="center"/>
    </xf>
    <xf numFmtId="1" fontId="0" fillId="0" borderId="7" xfId="0" applyNumberFormat="1" applyFill="1" applyBorder="1" applyAlignment="1">
      <alignment horizontal="center" vertical="center"/>
    </xf>
    <xf numFmtId="164" fontId="0" fillId="0" borderId="7" xfId="1" applyFont="1" applyFill="1" applyBorder="1" applyAlignment="1">
      <alignment vertical="center"/>
    </xf>
    <xf numFmtId="164" fontId="8" fillId="0" borderId="7" xfId="0" applyNumberFormat="1" applyFont="1" applyBorder="1"/>
    <xf numFmtId="167" fontId="0" fillId="0" borderId="7" xfId="0" applyNumberFormat="1" applyBorder="1"/>
    <xf numFmtId="167" fontId="0" fillId="0" borderId="8" xfId="0" applyNumberFormat="1" applyBorder="1"/>
    <xf numFmtId="2" fontId="0" fillId="0" borderId="9" xfId="0" applyNumberFormat="1" applyFill="1" applyBorder="1" applyAlignment="1">
      <alignment horizontal="center" vertical="center"/>
    </xf>
    <xf numFmtId="167" fontId="0" fillId="0" borderId="10" xfId="0" applyNumberFormat="1" applyBorder="1"/>
    <xf numFmtId="0" fontId="0" fillId="0" borderId="9" xfId="0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/>
    </xf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vertical="center"/>
    </xf>
    <xf numFmtId="0" fontId="0" fillId="0" borderId="12" xfId="0" applyNumberFormat="1" applyFill="1" applyBorder="1" applyAlignment="1">
      <alignment horizontal="center" vertical="center"/>
    </xf>
    <xf numFmtId="165" fontId="0" fillId="0" borderId="12" xfId="0" applyNumberFormat="1" applyFill="1" applyBorder="1" applyAlignment="1">
      <alignment horizontal="center" vertical="center"/>
    </xf>
    <xf numFmtId="1" fontId="0" fillId="0" borderId="12" xfId="0" applyNumberFormat="1" applyFill="1" applyBorder="1" applyAlignment="1">
      <alignment horizontal="center" vertical="center"/>
    </xf>
    <xf numFmtId="164" fontId="5" fillId="0" borderId="12" xfId="1" applyFont="1" applyFill="1" applyBorder="1" applyAlignment="1">
      <alignment vertical="center"/>
    </xf>
    <xf numFmtId="164" fontId="8" fillId="0" borderId="12" xfId="0" applyNumberFormat="1" applyFont="1" applyBorder="1"/>
    <xf numFmtId="167" fontId="0" fillId="0" borderId="12" xfId="0" applyNumberFormat="1" applyBorder="1"/>
    <xf numFmtId="167" fontId="0" fillId="0" borderId="13" xfId="0" applyNumberFormat="1" applyBorder="1"/>
    <xf numFmtId="167" fontId="7" fillId="0" borderId="1" xfId="0" applyNumberFormat="1" applyFont="1" applyBorder="1" applyAlignment="1">
      <alignment horizontal="center" vertical="center"/>
    </xf>
    <xf numFmtId="0" fontId="9" fillId="0" borderId="14" xfId="0" applyFont="1" applyBorder="1" applyAlignment="1"/>
    <xf numFmtId="0" fontId="11" fillId="0" borderId="14" xfId="0" applyFont="1" applyBorder="1" applyAlignment="1">
      <alignment wrapText="1"/>
    </xf>
    <xf numFmtId="0" fontId="7" fillId="0" borderId="0" xfId="0" quotePrefix="1" applyFont="1" applyAlignment="1">
      <alignment horizontal="center" vertical="center"/>
    </xf>
    <xf numFmtId="0" fontId="0" fillId="0" borderId="7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</cellXfs>
  <cellStyles count="2">
    <cellStyle name="Грошовий" xfId="1" builtinId="4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137160</xdr:colOff>
      <xdr:row>0</xdr:row>
      <xdr:rowOff>160020</xdr:rowOff>
    </xdr:from>
    <xdr:to>
      <xdr:col>7</xdr:col>
      <xdr:colOff>792480</xdr:colOff>
      <xdr:row>0</xdr:row>
      <xdr:rowOff>788010</xdr:rowOff>
    </xdr:to>
    <xdr:pic>
      <xdr:nvPicPr>
        <xdr:cNvPr id="2" name="Рисунок 1" descr="Amazon.com: Renew Life: Featured Deals">
          <a:extLst>
            <a:ext uri="{FF2B5EF4-FFF2-40B4-BE49-F238E27FC236}">
              <a16:creationId xmlns:a16="http://schemas.microsoft.com/office/drawing/2014/main" id="{AF8FB7E0-C0A7-28D8-B0C2-AB9444C5B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60020"/>
          <a:ext cx="2667000" cy="627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0"/>
  <sheetViews>
    <sheetView tabSelected="1" workbookViewId="0">
      <pane ySplit="2" topLeftCell="A3" activePane="bottomLeft" state="frozen"/>
      <selection pane="bottomLeft" activeCell="K1048571" sqref="K1048571"/>
    </sheetView>
  </sheetViews>
  <sheetFormatPr defaultColWidth="11.59765625" defaultRowHeight="15.6"/>
  <cols>
    <col min="1" max="1" width="13.59765625" bestFit="1" customWidth="1"/>
    <col min="2" max="2" width="52.09765625" bestFit="1" customWidth="1"/>
    <col min="3" max="3" width="8.09765625" bestFit="1" customWidth="1"/>
    <col min="4" max="4" width="15.3984375" bestFit="1" customWidth="1"/>
    <col min="5" max="5" width="13" bestFit="1" customWidth="1"/>
    <col min="6" max="6" width="11" bestFit="1" customWidth="1"/>
    <col min="7" max="7" width="15.3984375" customWidth="1"/>
    <col min="8" max="8" width="11.59765625" style="56"/>
    <col min="9" max="10" width="11.59765625" style="3"/>
  </cols>
  <sheetData>
    <row r="1" spans="1:11" ht="72.599999999999994" customHeight="1" thickBot="1">
      <c r="A1" s="50" t="s">
        <v>139</v>
      </c>
      <c r="B1" s="49"/>
      <c r="C1" s="49"/>
      <c r="D1" s="49"/>
      <c r="E1" s="49"/>
      <c r="F1" s="49"/>
      <c r="G1" s="49"/>
      <c r="H1" s="49"/>
      <c r="I1" s="49"/>
      <c r="J1" s="49"/>
      <c r="K1" s="51" t="s">
        <v>140</v>
      </c>
    </row>
    <row r="2" spans="1:11" ht="29.4" thickBot="1">
      <c r="A2" s="11" t="s">
        <v>0</v>
      </c>
      <c r="B2" s="12" t="s">
        <v>1</v>
      </c>
      <c r="C2" s="13" t="s">
        <v>2</v>
      </c>
      <c r="D2" s="13" t="s">
        <v>3</v>
      </c>
      <c r="E2" s="14" t="s">
        <v>5</v>
      </c>
      <c r="F2" s="15" t="s">
        <v>4</v>
      </c>
      <c r="G2" s="16" t="s">
        <v>138</v>
      </c>
      <c r="H2" s="17" t="s">
        <v>135</v>
      </c>
      <c r="I2" s="17" t="s">
        <v>136</v>
      </c>
      <c r="J2" s="17" t="s">
        <v>137</v>
      </c>
      <c r="K2" s="48">
        <f>SUM(J3:J70)</f>
        <v>0</v>
      </c>
    </row>
    <row r="3" spans="1:11">
      <c r="A3" s="25" t="s">
        <v>6</v>
      </c>
      <c r="B3" s="26" t="s">
        <v>7</v>
      </c>
      <c r="C3" s="27">
        <v>30</v>
      </c>
      <c r="D3" s="28" t="s">
        <v>8</v>
      </c>
      <c r="E3" s="29">
        <v>631257121202</v>
      </c>
      <c r="F3" s="30">
        <v>57.707000000000001</v>
      </c>
      <c r="G3" s="31">
        <v>49.05095</v>
      </c>
      <c r="H3" s="52"/>
      <c r="I3" s="32">
        <f>H3*F3</f>
        <v>0</v>
      </c>
      <c r="J3" s="33">
        <f>IF(H3&gt;431,H3*G3,H3*F3)</f>
        <v>0</v>
      </c>
    </row>
    <row r="4" spans="1:11">
      <c r="A4" s="34" t="s">
        <v>9</v>
      </c>
      <c r="B4" s="18" t="s">
        <v>10</v>
      </c>
      <c r="C4" s="5">
        <v>30</v>
      </c>
      <c r="D4" s="8" t="s">
        <v>8</v>
      </c>
      <c r="E4" s="9">
        <v>631257121035</v>
      </c>
      <c r="F4" s="2">
        <v>46.787000000000006</v>
      </c>
      <c r="G4" s="4">
        <v>39.768950000000004</v>
      </c>
      <c r="H4" s="53"/>
      <c r="I4" s="19">
        <f t="shared" ref="I4:I67" si="0">H4*F4</f>
        <v>0</v>
      </c>
      <c r="J4" s="35">
        <f t="shared" ref="J4:J67" si="1">IF(H4&gt;431,H4*G4,H4*F4)</f>
        <v>0</v>
      </c>
    </row>
    <row r="5" spans="1:11">
      <c r="A5" s="36" t="s">
        <v>11</v>
      </c>
      <c r="B5" s="18" t="s">
        <v>12</v>
      </c>
      <c r="C5" s="5">
        <v>30</v>
      </c>
      <c r="D5" s="8" t="s">
        <v>8</v>
      </c>
      <c r="E5" s="9">
        <v>631257121066</v>
      </c>
      <c r="F5" s="2">
        <v>35.086999999999996</v>
      </c>
      <c r="G5" s="4">
        <v>29.823949999999996</v>
      </c>
      <c r="H5" s="53"/>
      <c r="I5" s="19">
        <f t="shared" si="0"/>
        <v>0</v>
      </c>
      <c r="J5" s="35">
        <f t="shared" si="1"/>
        <v>0</v>
      </c>
    </row>
    <row r="6" spans="1:11">
      <c r="A6" s="36" t="s">
        <v>13</v>
      </c>
      <c r="B6" s="18" t="s">
        <v>12</v>
      </c>
      <c r="C6" s="5">
        <v>60</v>
      </c>
      <c r="D6" s="8" t="s">
        <v>8</v>
      </c>
      <c r="E6" s="9">
        <v>631257121080</v>
      </c>
      <c r="F6" s="2">
        <v>60.826999999999998</v>
      </c>
      <c r="G6" s="4">
        <v>51.702949999999994</v>
      </c>
      <c r="H6" s="53"/>
      <c r="I6" s="19">
        <f t="shared" si="0"/>
        <v>0</v>
      </c>
      <c r="J6" s="35">
        <f t="shared" si="1"/>
        <v>0</v>
      </c>
    </row>
    <row r="7" spans="1:11">
      <c r="A7" s="36" t="s">
        <v>14</v>
      </c>
      <c r="B7" s="18" t="s">
        <v>12</v>
      </c>
      <c r="C7" s="5">
        <v>90</v>
      </c>
      <c r="D7" s="8" t="s">
        <v>8</v>
      </c>
      <c r="E7" s="9">
        <v>631257121097</v>
      </c>
      <c r="F7" s="2">
        <v>77.987000000000009</v>
      </c>
      <c r="G7" s="4">
        <v>66.28895</v>
      </c>
      <c r="H7" s="53"/>
      <c r="I7" s="19">
        <f t="shared" si="0"/>
        <v>0</v>
      </c>
      <c r="J7" s="35">
        <f t="shared" si="1"/>
        <v>0</v>
      </c>
    </row>
    <row r="8" spans="1:11">
      <c r="A8" s="36" t="s">
        <v>15</v>
      </c>
      <c r="B8" s="18" t="s">
        <v>16</v>
      </c>
      <c r="C8" s="5">
        <v>30</v>
      </c>
      <c r="D8" s="8" t="s">
        <v>8</v>
      </c>
      <c r="E8" s="9">
        <v>631257120977</v>
      </c>
      <c r="F8" s="2">
        <v>19.487000000000002</v>
      </c>
      <c r="G8" s="4">
        <v>16.563950000000002</v>
      </c>
      <c r="H8" s="54"/>
      <c r="I8" s="19">
        <f t="shared" si="0"/>
        <v>0</v>
      </c>
      <c r="J8" s="35">
        <f t="shared" si="1"/>
        <v>0</v>
      </c>
    </row>
    <row r="9" spans="1:11">
      <c r="A9" s="36" t="s">
        <v>17</v>
      </c>
      <c r="B9" s="18" t="s">
        <v>16</v>
      </c>
      <c r="C9" s="5">
        <v>60</v>
      </c>
      <c r="D9" s="8" t="s">
        <v>8</v>
      </c>
      <c r="E9" s="9">
        <v>631257120984</v>
      </c>
      <c r="F9" s="2">
        <v>33.917000000000002</v>
      </c>
      <c r="G9" s="4">
        <v>28.829450000000001</v>
      </c>
      <c r="H9" s="53"/>
      <c r="I9" s="19">
        <f t="shared" si="0"/>
        <v>0</v>
      </c>
      <c r="J9" s="35">
        <f t="shared" si="1"/>
        <v>0</v>
      </c>
    </row>
    <row r="10" spans="1:11">
      <c r="A10" s="36" t="s">
        <v>18</v>
      </c>
      <c r="B10" s="18" t="s">
        <v>19</v>
      </c>
      <c r="C10" s="5">
        <v>30</v>
      </c>
      <c r="D10" s="8" t="s">
        <v>8</v>
      </c>
      <c r="E10" s="9">
        <v>631257121004</v>
      </c>
      <c r="F10" s="2">
        <v>42.887000000000008</v>
      </c>
      <c r="G10" s="4">
        <v>36.453949999999999</v>
      </c>
      <c r="H10" s="53"/>
      <c r="I10" s="19">
        <f t="shared" si="0"/>
        <v>0</v>
      </c>
      <c r="J10" s="35">
        <f t="shared" si="1"/>
        <v>0</v>
      </c>
    </row>
    <row r="11" spans="1:11">
      <c r="A11" s="36" t="s">
        <v>20</v>
      </c>
      <c r="B11" s="18" t="s">
        <v>19</v>
      </c>
      <c r="C11" s="5">
        <v>60</v>
      </c>
      <c r="D11" s="8" t="s">
        <v>8</v>
      </c>
      <c r="E11" s="9">
        <v>631257121011</v>
      </c>
      <c r="F11" s="1">
        <v>74.555000000000007</v>
      </c>
      <c r="G11" s="4">
        <v>63.371750000000006</v>
      </c>
      <c r="H11" s="53"/>
      <c r="I11" s="19">
        <f t="shared" si="0"/>
        <v>0</v>
      </c>
      <c r="J11" s="35">
        <f t="shared" si="1"/>
        <v>0</v>
      </c>
    </row>
    <row r="12" spans="1:11">
      <c r="A12" s="36" t="s">
        <v>21</v>
      </c>
      <c r="B12" s="18" t="s">
        <v>22</v>
      </c>
      <c r="C12" s="5">
        <v>30</v>
      </c>
      <c r="D12" s="8" t="s">
        <v>8</v>
      </c>
      <c r="E12" s="9">
        <v>631257121165</v>
      </c>
      <c r="F12" s="2">
        <v>35.086999999999996</v>
      </c>
      <c r="G12" s="4">
        <v>29.823949999999996</v>
      </c>
      <c r="H12" s="53"/>
      <c r="I12" s="19">
        <f t="shared" si="0"/>
        <v>0</v>
      </c>
      <c r="J12" s="35">
        <f t="shared" si="1"/>
        <v>0</v>
      </c>
    </row>
    <row r="13" spans="1:11">
      <c r="A13" s="36" t="s">
        <v>23</v>
      </c>
      <c r="B13" s="18" t="s">
        <v>22</v>
      </c>
      <c r="C13" s="5">
        <v>60</v>
      </c>
      <c r="D13" s="8" t="s">
        <v>8</v>
      </c>
      <c r="E13" s="9">
        <v>631257121196</v>
      </c>
      <c r="F13" s="2">
        <v>60.826999999999998</v>
      </c>
      <c r="G13" s="4">
        <v>51.702949999999994</v>
      </c>
      <c r="H13" s="53"/>
      <c r="I13" s="19">
        <f t="shared" si="0"/>
        <v>0</v>
      </c>
      <c r="J13" s="35">
        <f t="shared" si="1"/>
        <v>0</v>
      </c>
    </row>
    <row r="14" spans="1:11">
      <c r="A14" s="36" t="s">
        <v>24</v>
      </c>
      <c r="B14" s="18" t="s">
        <v>25</v>
      </c>
      <c r="C14" s="5">
        <v>60</v>
      </c>
      <c r="D14" s="8" t="s">
        <v>8</v>
      </c>
      <c r="E14" s="9">
        <v>631257122278</v>
      </c>
      <c r="F14" s="2">
        <v>23.387</v>
      </c>
      <c r="G14" s="4">
        <v>19.878949999999996</v>
      </c>
      <c r="H14" s="53"/>
      <c r="I14" s="19">
        <f t="shared" si="0"/>
        <v>0</v>
      </c>
      <c r="J14" s="35">
        <f t="shared" si="1"/>
        <v>0</v>
      </c>
    </row>
    <row r="15" spans="1:11">
      <c r="A15" s="36" t="s">
        <v>26</v>
      </c>
      <c r="B15" s="18" t="s">
        <v>27</v>
      </c>
      <c r="C15" s="5">
        <v>30</v>
      </c>
      <c r="D15" s="8" t="s">
        <v>8</v>
      </c>
      <c r="E15" s="9">
        <v>631257121257</v>
      </c>
      <c r="F15" s="2">
        <v>42.887000000000008</v>
      </c>
      <c r="G15" s="4">
        <v>36.453949999999999</v>
      </c>
      <c r="H15" s="53"/>
      <c r="I15" s="19">
        <f t="shared" si="0"/>
        <v>0</v>
      </c>
      <c r="J15" s="35">
        <f t="shared" si="1"/>
        <v>0</v>
      </c>
    </row>
    <row r="16" spans="1:11">
      <c r="A16" s="36" t="s">
        <v>28</v>
      </c>
      <c r="B16" s="18" t="s">
        <v>29</v>
      </c>
      <c r="C16" s="5">
        <v>30</v>
      </c>
      <c r="D16" s="8" t="s">
        <v>8</v>
      </c>
      <c r="E16" s="9">
        <v>631257122520</v>
      </c>
      <c r="F16" s="2">
        <v>35.086999999999996</v>
      </c>
      <c r="G16" s="4">
        <v>29.823949999999996</v>
      </c>
      <c r="H16" s="53"/>
      <c r="I16" s="19">
        <f t="shared" si="0"/>
        <v>0</v>
      </c>
      <c r="J16" s="35">
        <f t="shared" si="1"/>
        <v>0</v>
      </c>
    </row>
    <row r="17" spans="1:10">
      <c r="A17" s="36" t="s">
        <v>30</v>
      </c>
      <c r="B17" s="18" t="s">
        <v>31</v>
      </c>
      <c r="C17" s="5">
        <v>30</v>
      </c>
      <c r="D17" s="8" t="s">
        <v>8</v>
      </c>
      <c r="E17" s="9">
        <v>631257121127</v>
      </c>
      <c r="F17" s="2">
        <v>20.254000000000001</v>
      </c>
      <c r="G17" s="4">
        <v>17.215900000000001</v>
      </c>
      <c r="H17" s="53"/>
      <c r="I17" s="19">
        <f t="shared" si="0"/>
        <v>0</v>
      </c>
      <c r="J17" s="35">
        <f t="shared" si="1"/>
        <v>0</v>
      </c>
    </row>
    <row r="18" spans="1:10">
      <c r="A18" s="36" t="s">
        <v>32</v>
      </c>
      <c r="B18" s="18" t="s">
        <v>31</v>
      </c>
      <c r="C18" s="5">
        <v>60</v>
      </c>
      <c r="D18" s="8" t="s">
        <v>8</v>
      </c>
      <c r="E18" s="9">
        <v>631257121134</v>
      </c>
      <c r="F18" s="2">
        <v>41.326999999999998</v>
      </c>
      <c r="G18" s="4">
        <v>35.127949999999998</v>
      </c>
      <c r="H18" s="53"/>
      <c r="I18" s="19">
        <f t="shared" si="0"/>
        <v>0</v>
      </c>
      <c r="J18" s="35">
        <f t="shared" si="1"/>
        <v>0</v>
      </c>
    </row>
    <row r="19" spans="1:10">
      <c r="A19" s="36" t="s">
        <v>33</v>
      </c>
      <c r="B19" s="18" t="s">
        <v>31</v>
      </c>
      <c r="C19" s="5">
        <v>90</v>
      </c>
      <c r="D19" s="8" t="s">
        <v>8</v>
      </c>
      <c r="E19" s="9">
        <v>631257121141</v>
      </c>
      <c r="F19" s="2">
        <v>54.587000000000003</v>
      </c>
      <c r="G19" s="4">
        <v>46.398949999999999</v>
      </c>
      <c r="H19" s="53"/>
      <c r="I19" s="19">
        <f t="shared" si="0"/>
        <v>0</v>
      </c>
      <c r="J19" s="35">
        <f t="shared" si="1"/>
        <v>0</v>
      </c>
    </row>
    <row r="20" spans="1:10">
      <c r="A20" s="36" t="s">
        <v>34</v>
      </c>
      <c r="B20" s="18" t="s">
        <v>35</v>
      </c>
      <c r="C20" s="5">
        <v>60</v>
      </c>
      <c r="D20" s="8" t="s">
        <v>8</v>
      </c>
      <c r="E20" s="9">
        <v>631257121240</v>
      </c>
      <c r="F20" s="2">
        <v>70.187000000000012</v>
      </c>
      <c r="G20" s="4">
        <v>59.658950000000004</v>
      </c>
      <c r="H20" s="53"/>
      <c r="I20" s="19">
        <f t="shared" si="0"/>
        <v>0</v>
      </c>
      <c r="J20" s="35">
        <f t="shared" si="1"/>
        <v>0</v>
      </c>
    </row>
    <row r="21" spans="1:10">
      <c r="A21" s="36" t="s">
        <v>36</v>
      </c>
      <c r="B21" s="18" t="s">
        <v>35</v>
      </c>
      <c r="C21" s="5">
        <v>30</v>
      </c>
      <c r="D21" s="8" t="s">
        <v>8</v>
      </c>
      <c r="E21" s="9">
        <v>631257121226</v>
      </c>
      <c r="F21" s="2">
        <v>41.326999999999998</v>
      </c>
      <c r="G21" s="4">
        <v>35.127949999999998</v>
      </c>
      <c r="H21" s="53"/>
      <c r="I21" s="19">
        <f t="shared" si="0"/>
        <v>0</v>
      </c>
      <c r="J21" s="35">
        <f t="shared" si="1"/>
        <v>0</v>
      </c>
    </row>
    <row r="22" spans="1:10">
      <c r="A22" s="37" t="s">
        <v>37</v>
      </c>
      <c r="B22" s="21" t="s">
        <v>38</v>
      </c>
      <c r="C22" s="6">
        <v>30</v>
      </c>
      <c r="D22" s="10" t="s">
        <v>8</v>
      </c>
      <c r="E22" s="22">
        <v>631257158093</v>
      </c>
      <c r="F22" s="2">
        <v>35.086999999999996</v>
      </c>
      <c r="G22" s="4">
        <v>29.823949999999996</v>
      </c>
      <c r="H22" s="53"/>
      <c r="I22" s="19">
        <f t="shared" si="0"/>
        <v>0</v>
      </c>
      <c r="J22" s="35">
        <f t="shared" si="1"/>
        <v>0</v>
      </c>
    </row>
    <row r="23" spans="1:10">
      <c r="A23" s="37" t="s">
        <v>39</v>
      </c>
      <c r="B23" s="21" t="s">
        <v>38</v>
      </c>
      <c r="C23" s="6">
        <v>60</v>
      </c>
      <c r="D23" s="10" t="s">
        <v>8</v>
      </c>
      <c r="E23" s="22">
        <v>631257159779</v>
      </c>
      <c r="F23" s="2">
        <v>60.826999999999998</v>
      </c>
      <c r="G23" s="4">
        <v>51.702949999999994</v>
      </c>
      <c r="H23" s="53"/>
      <c r="I23" s="19">
        <f t="shared" si="0"/>
        <v>0</v>
      </c>
      <c r="J23" s="35">
        <f t="shared" si="1"/>
        <v>0</v>
      </c>
    </row>
    <row r="24" spans="1:10">
      <c r="A24" s="37" t="s">
        <v>40</v>
      </c>
      <c r="B24" s="21" t="s">
        <v>41</v>
      </c>
      <c r="C24" s="6">
        <v>30</v>
      </c>
      <c r="D24" s="10" t="s">
        <v>8</v>
      </c>
      <c r="E24" s="22">
        <v>631257156730</v>
      </c>
      <c r="F24" s="2">
        <v>23.387</v>
      </c>
      <c r="G24" s="4">
        <v>19.878949999999996</v>
      </c>
      <c r="H24" s="53"/>
      <c r="I24" s="19">
        <f t="shared" si="0"/>
        <v>0</v>
      </c>
      <c r="J24" s="35">
        <f t="shared" si="1"/>
        <v>0</v>
      </c>
    </row>
    <row r="25" spans="1:10">
      <c r="A25" s="37" t="s">
        <v>42</v>
      </c>
      <c r="B25" s="18" t="s">
        <v>43</v>
      </c>
      <c r="C25" s="6">
        <v>30</v>
      </c>
      <c r="D25" s="10" t="s">
        <v>8</v>
      </c>
      <c r="E25" s="22">
        <v>631257158703</v>
      </c>
      <c r="F25" s="2">
        <v>19.487000000000002</v>
      </c>
      <c r="G25" s="4">
        <v>16.563950000000002</v>
      </c>
      <c r="H25" s="53"/>
      <c r="I25" s="19">
        <f t="shared" si="0"/>
        <v>0</v>
      </c>
      <c r="J25" s="35">
        <f t="shared" si="1"/>
        <v>0</v>
      </c>
    </row>
    <row r="26" spans="1:10">
      <c r="A26" s="37" t="s">
        <v>44</v>
      </c>
      <c r="B26" s="18" t="s">
        <v>43</v>
      </c>
      <c r="C26" s="6">
        <v>60</v>
      </c>
      <c r="D26" s="10" t="s">
        <v>8</v>
      </c>
      <c r="E26" s="22">
        <v>631257158772</v>
      </c>
      <c r="F26" s="2">
        <v>29.626999999999999</v>
      </c>
      <c r="G26" s="4">
        <v>25.182949999999998</v>
      </c>
      <c r="H26" s="53"/>
      <c r="I26" s="19">
        <f t="shared" si="0"/>
        <v>0</v>
      </c>
      <c r="J26" s="35">
        <f t="shared" si="1"/>
        <v>0</v>
      </c>
    </row>
    <row r="27" spans="1:10">
      <c r="A27" s="37" t="s">
        <v>45</v>
      </c>
      <c r="B27" s="21" t="s">
        <v>46</v>
      </c>
      <c r="C27" s="6">
        <v>48</v>
      </c>
      <c r="D27" s="10" t="s">
        <v>47</v>
      </c>
      <c r="E27" s="22">
        <v>631257122179</v>
      </c>
      <c r="F27" s="2">
        <v>15.587000000000002</v>
      </c>
      <c r="G27" s="4">
        <v>13.248950000000001</v>
      </c>
      <c r="H27" s="53"/>
      <c r="I27" s="19">
        <f t="shared" si="0"/>
        <v>0</v>
      </c>
      <c r="J27" s="35">
        <f t="shared" si="1"/>
        <v>0</v>
      </c>
    </row>
    <row r="28" spans="1:10">
      <c r="A28" s="37" t="s">
        <v>48</v>
      </c>
      <c r="B28" s="18" t="s">
        <v>49</v>
      </c>
      <c r="C28" s="6">
        <v>48</v>
      </c>
      <c r="D28" s="10" t="s">
        <v>47</v>
      </c>
      <c r="E28" s="22">
        <v>631257122155</v>
      </c>
      <c r="F28" s="2">
        <v>15.587000000000002</v>
      </c>
      <c r="G28" s="4">
        <v>13.248950000000001</v>
      </c>
      <c r="H28" s="53"/>
      <c r="I28" s="19">
        <f t="shared" si="0"/>
        <v>0</v>
      </c>
      <c r="J28" s="35">
        <f t="shared" si="1"/>
        <v>0</v>
      </c>
    </row>
    <row r="29" spans="1:10">
      <c r="A29" s="37" t="s">
        <v>50</v>
      </c>
      <c r="B29" s="18" t="s">
        <v>51</v>
      </c>
      <c r="C29" s="6">
        <v>30</v>
      </c>
      <c r="D29" s="10" t="s">
        <v>8</v>
      </c>
      <c r="E29" s="22">
        <v>631257158727</v>
      </c>
      <c r="F29" s="2">
        <v>19.487000000000002</v>
      </c>
      <c r="G29" s="4">
        <v>16.563950000000002</v>
      </c>
      <c r="H29" s="53"/>
      <c r="I29" s="19">
        <f t="shared" si="0"/>
        <v>0</v>
      </c>
      <c r="J29" s="35">
        <f t="shared" si="1"/>
        <v>0</v>
      </c>
    </row>
    <row r="30" spans="1:10">
      <c r="A30" s="37" t="s">
        <v>52</v>
      </c>
      <c r="B30" s="18" t="s">
        <v>53</v>
      </c>
      <c r="C30" s="6">
        <v>30</v>
      </c>
      <c r="D30" s="10" t="s">
        <v>8</v>
      </c>
      <c r="E30" s="22">
        <v>850068583065</v>
      </c>
      <c r="F30" s="2">
        <v>26</v>
      </c>
      <c r="G30" s="4">
        <v>22.1</v>
      </c>
      <c r="H30" s="53"/>
      <c r="I30" s="19">
        <f t="shared" si="0"/>
        <v>0</v>
      </c>
      <c r="J30" s="35">
        <f t="shared" si="1"/>
        <v>0</v>
      </c>
    </row>
    <row r="31" spans="1:10">
      <c r="A31" s="37" t="s">
        <v>54</v>
      </c>
      <c r="B31" s="18" t="s">
        <v>55</v>
      </c>
      <c r="C31" s="6">
        <v>30</v>
      </c>
      <c r="D31" s="10" t="s">
        <v>8</v>
      </c>
      <c r="E31" s="22">
        <v>631257122452</v>
      </c>
      <c r="F31" s="2">
        <v>20.254000000000001</v>
      </c>
      <c r="G31" s="4">
        <v>17.215900000000001</v>
      </c>
      <c r="H31" s="53"/>
      <c r="I31" s="19">
        <f t="shared" si="0"/>
        <v>0</v>
      </c>
      <c r="J31" s="35">
        <f t="shared" si="1"/>
        <v>0</v>
      </c>
    </row>
    <row r="32" spans="1:10">
      <c r="A32" s="37" t="s">
        <v>56</v>
      </c>
      <c r="B32" s="18" t="s">
        <v>57</v>
      </c>
      <c r="C32" s="6">
        <v>30</v>
      </c>
      <c r="D32" s="10" t="s">
        <v>8</v>
      </c>
      <c r="E32" s="22">
        <v>631257122469</v>
      </c>
      <c r="F32" s="2">
        <v>19.759999999999998</v>
      </c>
      <c r="G32" s="4">
        <v>16.795999999999999</v>
      </c>
      <c r="H32" s="53"/>
      <c r="I32" s="19">
        <f t="shared" si="0"/>
        <v>0</v>
      </c>
      <c r="J32" s="35">
        <f t="shared" si="1"/>
        <v>0</v>
      </c>
    </row>
    <row r="33" spans="1:10">
      <c r="A33" s="38" t="s">
        <v>58</v>
      </c>
      <c r="B33" s="7" t="s">
        <v>59</v>
      </c>
      <c r="C33" s="5">
        <v>30</v>
      </c>
      <c r="D33" s="8" t="s">
        <v>8</v>
      </c>
      <c r="E33" s="9">
        <v>850068583072</v>
      </c>
      <c r="F33" s="2">
        <v>26</v>
      </c>
      <c r="G33" s="4">
        <v>22.1</v>
      </c>
      <c r="H33" s="53"/>
      <c r="I33" s="19">
        <f t="shared" si="0"/>
        <v>0</v>
      </c>
      <c r="J33" s="35">
        <f t="shared" si="1"/>
        <v>0</v>
      </c>
    </row>
    <row r="34" spans="1:10">
      <c r="A34" s="37" t="s">
        <v>60</v>
      </c>
      <c r="B34" s="18" t="s">
        <v>61</v>
      </c>
      <c r="C34" s="6">
        <v>20</v>
      </c>
      <c r="D34" s="10" t="s">
        <v>8</v>
      </c>
      <c r="E34" s="22">
        <v>631257154170</v>
      </c>
      <c r="F34" s="2">
        <v>12.779</v>
      </c>
      <c r="G34" s="4">
        <v>10.86215</v>
      </c>
      <c r="H34" s="53"/>
      <c r="I34" s="19">
        <f t="shared" si="0"/>
        <v>0</v>
      </c>
      <c r="J34" s="35">
        <f t="shared" si="1"/>
        <v>0</v>
      </c>
    </row>
    <row r="35" spans="1:10">
      <c r="A35" s="38" t="s">
        <v>62</v>
      </c>
      <c r="B35" s="7" t="s">
        <v>63</v>
      </c>
      <c r="C35" s="5">
        <v>30</v>
      </c>
      <c r="D35" s="8" t="s">
        <v>8</v>
      </c>
      <c r="E35" s="9">
        <v>850068583089</v>
      </c>
      <c r="F35" s="2">
        <v>26</v>
      </c>
      <c r="G35" s="4">
        <v>22.1</v>
      </c>
      <c r="H35" s="53"/>
      <c r="I35" s="19">
        <f t="shared" si="0"/>
        <v>0</v>
      </c>
      <c r="J35" s="35">
        <f t="shared" si="1"/>
        <v>0</v>
      </c>
    </row>
    <row r="36" spans="1:10">
      <c r="A36" s="38" t="s">
        <v>64</v>
      </c>
      <c r="B36" s="7" t="s">
        <v>65</v>
      </c>
      <c r="C36" s="9">
        <v>60</v>
      </c>
      <c r="D36" s="8" t="s">
        <v>8</v>
      </c>
      <c r="E36" s="9">
        <v>850068583096</v>
      </c>
      <c r="F36" s="2">
        <v>30.55</v>
      </c>
      <c r="G36" s="4">
        <v>25.967499999999998</v>
      </c>
      <c r="H36" s="53"/>
      <c r="I36" s="19">
        <f t="shared" si="0"/>
        <v>0</v>
      </c>
      <c r="J36" s="35">
        <f t="shared" si="1"/>
        <v>0</v>
      </c>
    </row>
    <row r="37" spans="1:10">
      <c r="A37" s="37" t="s">
        <v>66</v>
      </c>
      <c r="B37" s="18" t="s">
        <v>51</v>
      </c>
      <c r="C37" s="6">
        <v>60</v>
      </c>
      <c r="D37" s="10" t="s">
        <v>8</v>
      </c>
      <c r="E37" s="22">
        <v>631257158789</v>
      </c>
      <c r="F37" s="2">
        <v>29.626999999999999</v>
      </c>
      <c r="G37" s="4">
        <v>25.182949999999998</v>
      </c>
      <c r="H37" s="53"/>
      <c r="I37" s="19">
        <f t="shared" si="0"/>
        <v>0</v>
      </c>
      <c r="J37" s="35">
        <f t="shared" si="1"/>
        <v>0</v>
      </c>
    </row>
    <row r="38" spans="1:10">
      <c r="A38" s="37" t="s">
        <v>67</v>
      </c>
      <c r="B38" s="21" t="s">
        <v>68</v>
      </c>
      <c r="C38" s="6">
        <v>60</v>
      </c>
      <c r="D38" s="10" t="s">
        <v>8</v>
      </c>
      <c r="E38" s="22">
        <v>631257159809</v>
      </c>
      <c r="F38" s="2">
        <v>33.527000000000001</v>
      </c>
      <c r="G38" s="4">
        <v>28.497949999999999</v>
      </c>
      <c r="H38" s="53"/>
      <c r="I38" s="19">
        <f t="shared" si="0"/>
        <v>0</v>
      </c>
      <c r="J38" s="35">
        <f t="shared" si="1"/>
        <v>0</v>
      </c>
    </row>
    <row r="39" spans="1:10">
      <c r="A39" s="37" t="s">
        <v>69</v>
      </c>
      <c r="B39" s="21" t="s">
        <v>70</v>
      </c>
      <c r="C39" s="6">
        <v>60</v>
      </c>
      <c r="D39" s="10" t="s">
        <v>8</v>
      </c>
      <c r="E39" s="22">
        <v>631257159847</v>
      </c>
      <c r="F39" s="2">
        <v>33.527000000000001</v>
      </c>
      <c r="G39" s="4">
        <v>28.497949999999999</v>
      </c>
      <c r="H39" s="53"/>
      <c r="I39" s="19">
        <f t="shared" si="0"/>
        <v>0</v>
      </c>
      <c r="J39" s="35">
        <f t="shared" si="1"/>
        <v>0</v>
      </c>
    </row>
    <row r="40" spans="1:10">
      <c r="A40" s="36" t="s">
        <v>71</v>
      </c>
      <c r="B40" s="18" t="s">
        <v>72</v>
      </c>
      <c r="C40" s="5">
        <v>30</v>
      </c>
      <c r="D40" s="8" t="s">
        <v>47</v>
      </c>
      <c r="E40" s="9">
        <v>631257122186</v>
      </c>
      <c r="F40" s="2">
        <v>11.687000000000001</v>
      </c>
      <c r="G40" s="4">
        <v>9.9339499999999994</v>
      </c>
      <c r="H40" s="53"/>
      <c r="I40" s="19">
        <f t="shared" si="0"/>
        <v>0</v>
      </c>
      <c r="J40" s="35">
        <f t="shared" si="1"/>
        <v>0</v>
      </c>
    </row>
    <row r="41" spans="1:10">
      <c r="A41" s="37" t="s">
        <v>73</v>
      </c>
      <c r="B41" s="21" t="s">
        <v>74</v>
      </c>
      <c r="C41" s="6">
        <v>30</v>
      </c>
      <c r="D41" s="10" t="s">
        <v>75</v>
      </c>
      <c r="E41" s="22">
        <v>631257158680</v>
      </c>
      <c r="F41" s="2">
        <v>15.587000000000002</v>
      </c>
      <c r="G41" s="4">
        <v>13.248950000000001</v>
      </c>
      <c r="H41" s="53"/>
      <c r="I41" s="19">
        <f t="shared" si="0"/>
        <v>0</v>
      </c>
      <c r="J41" s="35">
        <f t="shared" si="1"/>
        <v>0</v>
      </c>
    </row>
    <row r="42" spans="1:10">
      <c r="A42" s="37" t="s">
        <v>76</v>
      </c>
      <c r="B42" s="21" t="s">
        <v>74</v>
      </c>
      <c r="C42" s="6">
        <v>60</v>
      </c>
      <c r="D42" s="10" t="s">
        <v>75</v>
      </c>
      <c r="E42" s="22">
        <v>631257157188</v>
      </c>
      <c r="F42" s="2">
        <v>28.847000000000001</v>
      </c>
      <c r="G42" s="4">
        <v>24.519950000000001</v>
      </c>
      <c r="H42" s="53"/>
      <c r="I42" s="19">
        <f t="shared" si="0"/>
        <v>0</v>
      </c>
      <c r="J42" s="35">
        <f t="shared" si="1"/>
        <v>0</v>
      </c>
    </row>
    <row r="43" spans="1:10">
      <c r="A43" s="37" t="s">
        <v>77</v>
      </c>
      <c r="B43" s="21" t="s">
        <v>74</v>
      </c>
      <c r="C43" s="6">
        <v>90</v>
      </c>
      <c r="D43" s="10" t="s">
        <v>75</v>
      </c>
      <c r="E43" s="22">
        <v>631257120250</v>
      </c>
      <c r="F43" s="2">
        <v>38.987000000000002</v>
      </c>
      <c r="G43" s="4">
        <v>33.138950000000001</v>
      </c>
      <c r="H43" s="53"/>
      <c r="I43" s="19">
        <f t="shared" si="0"/>
        <v>0</v>
      </c>
      <c r="J43" s="35">
        <f t="shared" si="1"/>
        <v>0</v>
      </c>
    </row>
    <row r="44" spans="1:10">
      <c r="A44" s="37" t="s">
        <v>56</v>
      </c>
      <c r="B44" s="23" t="s">
        <v>57</v>
      </c>
      <c r="C44" s="6">
        <v>30</v>
      </c>
      <c r="D44" s="20" t="s">
        <v>8</v>
      </c>
      <c r="E44" s="22">
        <v>631257122469</v>
      </c>
      <c r="F44" s="24">
        <v>19.759999999999998</v>
      </c>
      <c r="G44" s="4">
        <v>16.795999999999999</v>
      </c>
      <c r="H44" s="53"/>
      <c r="I44" s="19">
        <f t="shared" si="0"/>
        <v>0</v>
      </c>
      <c r="J44" s="35">
        <f t="shared" si="1"/>
        <v>0</v>
      </c>
    </row>
    <row r="45" spans="1:10">
      <c r="A45" s="37" t="s">
        <v>78</v>
      </c>
      <c r="B45" s="18" t="s">
        <v>79</v>
      </c>
      <c r="C45" s="6">
        <v>90</v>
      </c>
      <c r="D45" s="10" t="s">
        <v>8</v>
      </c>
      <c r="E45" s="22">
        <v>631257120694</v>
      </c>
      <c r="F45" s="2">
        <v>20.266999999999999</v>
      </c>
      <c r="G45" s="4">
        <v>17.226950000000002</v>
      </c>
      <c r="H45" s="53"/>
      <c r="I45" s="19">
        <f t="shared" si="0"/>
        <v>0</v>
      </c>
      <c r="J45" s="35">
        <f t="shared" si="1"/>
        <v>0</v>
      </c>
    </row>
    <row r="46" spans="1:10">
      <c r="A46" s="37" t="s">
        <v>80</v>
      </c>
      <c r="B46" s="21" t="s">
        <v>81</v>
      </c>
      <c r="C46" s="6">
        <v>90</v>
      </c>
      <c r="D46" s="10" t="s">
        <v>8</v>
      </c>
      <c r="E46" s="22">
        <v>631257120700</v>
      </c>
      <c r="F46" s="2">
        <v>41.326999999999998</v>
      </c>
      <c r="G46" s="4">
        <v>35.127949999999998</v>
      </c>
      <c r="H46" s="53"/>
      <c r="I46" s="19">
        <f t="shared" si="0"/>
        <v>0</v>
      </c>
      <c r="J46" s="35">
        <f t="shared" si="1"/>
        <v>0</v>
      </c>
    </row>
    <row r="47" spans="1:10">
      <c r="A47" s="37" t="s">
        <v>82</v>
      </c>
      <c r="B47" s="21" t="s">
        <v>83</v>
      </c>
      <c r="C47" s="6">
        <v>60</v>
      </c>
      <c r="D47" s="10" t="s">
        <v>8</v>
      </c>
      <c r="E47" s="22">
        <v>631257534897</v>
      </c>
      <c r="F47" s="2">
        <v>17.146999999999998</v>
      </c>
      <c r="G47" s="4">
        <v>14.574949999999999</v>
      </c>
      <c r="H47" s="53"/>
      <c r="I47" s="19">
        <f t="shared" si="0"/>
        <v>0</v>
      </c>
      <c r="J47" s="35">
        <f t="shared" si="1"/>
        <v>0</v>
      </c>
    </row>
    <row r="48" spans="1:10">
      <c r="A48" s="37" t="s">
        <v>84</v>
      </c>
      <c r="B48" s="18" t="s">
        <v>85</v>
      </c>
      <c r="C48" s="6">
        <v>60</v>
      </c>
      <c r="D48" s="10" t="s">
        <v>8</v>
      </c>
      <c r="E48" s="22">
        <v>631257534408</v>
      </c>
      <c r="F48" s="2">
        <v>16.367000000000001</v>
      </c>
      <c r="G48" s="4">
        <v>13.911949999999999</v>
      </c>
      <c r="H48" s="53"/>
      <c r="I48" s="19">
        <f t="shared" si="0"/>
        <v>0</v>
      </c>
      <c r="J48" s="35">
        <f t="shared" si="1"/>
        <v>0</v>
      </c>
    </row>
    <row r="49" spans="1:10">
      <c r="A49" s="37" t="s">
        <v>86</v>
      </c>
      <c r="B49" s="21" t="s">
        <v>85</v>
      </c>
      <c r="C49" s="6">
        <v>100</v>
      </c>
      <c r="D49" s="10" t="s">
        <v>8</v>
      </c>
      <c r="E49" s="22">
        <v>631257534699</v>
      </c>
      <c r="F49" s="2">
        <v>24.557000000000002</v>
      </c>
      <c r="G49" s="4">
        <v>20.873450000000002</v>
      </c>
      <c r="H49" s="53"/>
      <c r="I49" s="19">
        <f t="shared" si="0"/>
        <v>0</v>
      </c>
      <c r="J49" s="35">
        <f t="shared" si="1"/>
        <v>0</v>
      </c>
    </row>
    <row r="50" spans="1:10">
      <c r="A50" s="37" t="s">
        <v>87</v>
      </c>
      <c r="B50" s="21" t="s">
        <v>88</v>
      </c>
      <c r="C50" s="6">
        <v>12</v>
      </c>
      <c r="D50" s="10" t="s">
        <v>8</v>
      </c>
      <c r="E50" s="22">
        <v>631257159786</v>
      </c>
      <c r="F50" s="2">
        <v>7.0069999999999997</v>
      </c>
      <c r="G50" s="4">
        <v>5.9559499999999996</v>
      </c>
      <c r="H50" s="53"/>
      <c r="I50" s="19">
        <f t="shared" si="0"/>
        <v>0</v>
      </c>
      <c r="J50" s="35">
        <f t="shared" si="1"/>
        <v>0</v>
      </c>
    </row>
    <row r="51" spans="1:10">
      <c r="A51" s="37" t="s">
        <v>89</v>
      </c>
      <c r="B51" s="21" t="s">
        <v>90</v>
      </c>
      <c r="C51" s="10" t="s">
        <v>91</v>
      </c>
      <c r="D51" s="10" t="s">
        <v>8</v>
      </c>
      <c r="E51" s="22">
        <v>631257120878</v>
      </c>
      <c r="F51" s="2">
        <v>9.3470000000000013</v>
      </c>
      <c r="G51" s="4">
        <v>7.9449500000000004</v>
      </c>
      <c r="H51" s="53"/>
      <c r="I51" s="19">
        <f t="shared" si="0"/>
        <v>0</v>
      </c>
      <c r="J51" s="35">
        <f t="shared" si="1"/>
        <v>0</v>
      </c>
    </row>
    <row r="52" spans="1:10">
      <c r="A52" s="37" t="s">
        <v>92</v>
      </c>
      <c r="B52" s="21" t="s">
        <v>93</v>
      </c>
      <c r="C52" s="10" t="s">
        <v>91</v>
      </c>
      <c r="D52" s="10" t="s">
        <v>8</v>
      </c>
      <c r="E52" s="22">
        <v>631257534507</v>
      </c>
      <c r="F52" s="2">
        <v>27.286999999999999</v>
      </c>
      <c r="G52" s="4">
        <v>23.193950000000001</v>
      </c>
      <c r="H52" s="53"/>
      <c r="I52" s="19">
        <f t="shared" si="0"/>
        <v>0</v>
      </c>
      <c r="J52" s="35">
        <f t="shared" si="1"/>
        <v>0</v>
      </c>
    </row>
    <row r="53" spans="1:10">
      <c r="A53" s="37" t="s">
        <v>94</v>
      </c>
      <c r="B53" s="21" t="s">
        <v>95</v>
      </c>
      <c r="C53" s="10" t="s">
        <v>91</v>
      </c>
      <c r="D53" s="10" t="s">
        <v>96</v>
      </c>
      <c r="E53" s="22">
        <v>631257320902</v>
      </c>
      <c r="F53" s="2">
        <v>31.186999999999998</v>
      </c>
      <c r="G53" s="4">
        <v>26.508949999999999</v>
      </c>
      <c r="H53" s="53"/>
      <c r="I53" s="19">
        <f t="shared" si="0"/>
        <v>0</v>
      </c>
      <c r="J53" s="35">
        <f t="shared" si="1"/>
        <v>0</v>
      </c>
    </row>
    <row r="54" spans="1:10">
      <c r="A54" s="37" t="s">
        <v>97</v>
      </c>
      <c r="B54" s="21" t="s">
        <v>98</v>
      </c>
      <c r="C54" s="10" t="s">
        <v>91</v>
      </c>
      <c r="D54" s="10" t="s">
        <v>96</v>
      </c>
      <c r="E54" s="22">
        <v>631257355553</v>
      </c>
      <c r="F54" s="2">
        <v>31.186999999999998</v>
      </c>
      <c r="G54" s="4">
        <v>26.508949999999999</v>
      </c>
      <c r="H54" s="53"/>
      <c r="I54" s="19">
        <f t="shared" si="0"/>
        <v>0</v>
      </c>
      <c r="J54" s="35">
        <f t="shared" si="1"/>
        <v>0</v>
      </c>
    </row>
    <row r="55" spans="1:10">
      <c r="A55" s="37" t="s">
        <v>99</v>
      </c>
      <c r="B55" s="21" t="s">
        <v>100</v>
      </c>
      <c r="C55" s="10" t="s">
        <v>101</v>
      </c>
      <c r="D55" s="10" t="s">
        <v>102</v>
      </c>
      <c r="E55" s="22">
        <v>631257560247</v>
      </c>
      <c r="F55" s="2">
        <v>25.727</v>
      </c>
      <c r="G55" s="4">
        <v>21.86795</v>
      </c>
      <c r="H55" s="53"/>
      <c r="I55" s="19">
        <f t="shared" si="0"/>
        <v>0</v>
      </c>
      <c r="J55" s="35">
        <f t="shared" si="1"/>
        <v>0</v>
      </c>
    </row>
    <row r="56" spans="1:10">
      <c r="A56" s="37" t="s">
        <v>103</v>
      </c>
      <c r="B56" s="21" t="s">
        <v>104</v>
      </c>
      <c r="C56" s="10" t="s">
        <v>101</v>
      </c>
      <c r="D56" s="10" t="s">
        <v>102</v>
      </c>
      <c r="E56" s="22">
        <v>631257560209</v>
      </c>
      <c r="F56" s="2">
        <v>31.186999999999998</v>
      </c>
      <c r="G56" s="4">
        <v>26.508949999999999</v>
      </c>
      <c r="H56" s="53"/>
      <c r="I56" s="19">
        <f t="shared" si="0"/>
        <v>0</v>
      </c>
      <c r="J56" s="35">
        <f t="shared" si="1"/>
        <v>0</v>
      </c>
    </row>
    <row r="57" spans="1:10">
      <c r="A57" s="37" t="s">
        <v>105</v>
      </c>
      <c r="B57" s="21" t="s">
        <v>106</v>
      </c>
      <c r="C57" s="6">
        <v>150</v>
      </c>
      <c r="D57" s="10" t="s">
        <v>8</v>
      </c>
      <c r="E57" s="22">
        <v>631257535467</v>
      </c>
      <c r="F57" s="2">
        <v>15.587000000000002</v>
      </c>
      <c r="G57" s="4">
        <v>13.248950000000001</v>
      </c>
      <c r="H57" s="53"/>
      <c r="I57" s="19">
        <f t="shared" si="0"/>
        <v>0</v>
      </c>
      <c r="J57" s="35">
        <f t="shared" si="1"/>
        <v>0</v>
      </c>
    </row>
    <row r="58" spans="1:10">
      <c r="A58" s="37" t="s">
        <v>107</v>
      </c>
      <c r="B58" s="21" t="s">
        <v>108</v>
      </c>
      <c r="C58" s="10" t="s">
        <v>91</v>
      </c>
      <c r="D58" s="10" t="s">
        <v>102</v>
      </c>
      <c r="E58" s="22">
        <v>631257624505</v>
      </c>
      <c r="F58" s="2">
        <v>33.527000000000001</v>
      </c>
      <c r="G58" s="4">
        <v>28.497949999999999</v>
      </c>
      <c r="H58" s="53"/>
      <c r="I58" s="19">
        <f t="shared" si="0"/>
        <v>0</v>
      </c>
      <c r="J58" s="35">
        <f t="shared" si="1"/>
        <v>0</v>
      </c>
    </row>
    <row r="59" spans="1:10">
      <c r="A59" s="37" t="s">
        <v>109</v>
      </c>
      <c r="B59" s="21" t="s">
        <v>110</v>
      </c>
      <c r="C59" s="6">
        <v>90</v>
      </c>
      <c r="D59" s="10" t="s">
        <v>8</v>
      </c>
      <c r="E59" s="22">
        <v>631257155702</v>
      </c>
      <c r="F59" s="2">
        <v>31.186999999999998</v>
      </c>
      <c r="G59" s="4">
        <v>26.508949999999999</v>
      </c>
      <c r="H59" s="53"/>
      <c r="I59" s="19">
        <f t="shared" si="0"/>
        <v>0</v>
      </c>
      <c r="J59" s="35">
        <f t="shared" si="1"/>
        <v>0</v>
      </c>
    </row>
    <row r="60" spans="1:10">
      <c r="A60" s="37" t="s">
        <v>111</v>
      </c>
      <c r="B60" s="18" t="s">
        <v>112</v>
      </c>
      <c r="C60" s="6">
        <v>150</v>
      </c>
      <c r="D60" s="10" t="s">
        <v>8</v>
      </c>
      <c r="E60" s="22">
        <v>631257121325</v>
      </c>
      <c r="F60" s="2">
        <v>16.094000000000001</v>
      </c>
      <c r="G60" s="4">
        <v>13.6799</v>
      </c>
      <c r="H60" s="53"/>
      <c r="I60" s="19">
        <f t="shared" si="0"/>
        <v>0</v>
      </c>
      <c r="J60" s="35">
        <f t="shared" si="1"/>
        <v>0</v>
      </c>
    </row>
    <row r="61" spans="1:10">
      <c r="A61" s="37" t="s">
        <v>113</v>
      </c>
      <c r="B61" s="18" t="s">
        <v>114</v>
      </c>
      <c r="C61" s="10" t="s">
        <v>115</v>
      </c>
      <c r="D61" s="10" t="s">
        <v>116</v>
      </c>
      <c r="E61" s="22">
        <v>631257121301</v>
      </c>
      <c r="F61" s="2">
        <v>19.487000000000002</v>
      </c>
      <c r="G61" s="4">
        <v>16.563950000000002</v>
      </c>
      <c r="H61" s="53"/>
      <c r="I61" s="19">
        <f t="shared" si="0"/>
        <v>0</v>
      </c>
      <c r="J61" s="35">
        <f t="shared" si="1"/>
        <v>0</v>
      </c>
    </row>
    <row r="62" spans="1:10">
      <c r="A62" s="37" t="s">
        <v>117</v>
      </c>
      <c r="B62" s="18" t="s">
        <v>118</v>
      </c>
      <c r="C62" s="10" t="s">
        <v>119</v>
      </c>
      <c r="D62" s="10" t="s">
        <v>116</v>
      </c>
      <c r="E62" s="22">
        <v>631257121288</v>
      </c>
      <c r="F62" s="2">
        <v>13.247</v>
      </c>
      <c r="G62" s="4">
        <v>11.25995</v>
      </c>
      <c r="H62" s="53"/>
      <c r="I62" s="19">
        <f t="shared" si="0"/>
        <v>0</v>
      </c>
      <c r="J62" s="35">
        <f t="shared" si="1"/>
        <v>0</v>
      </c>
    </row>
    <row r="63" spans="1:10">
      <c r="A63" s="37" t="s">
        <v>120</v>
      </c>
      <c r="B63" s="18" t="s">
        <v>121</v>
      </c>
      <c r="C63" s="6">
        <v>120</v>
      </c>
      <c r="D63" s="10" t="s">
        <v>8</v>
      </c>
      <c r="E63" s="22">
        <v>631257534095</v>
      </c>
      <c r="F63" s="2">
        <v>14.026999999999999</v>
      </c>
      <c r="G63" s="4">
        <v>11.922949999999998</v>
      </c>
      <c r="H63" s="53"/>
      <c r="I63" s="19">
        <f t="shared" si="0"/>
        <v>0</v>
      </c>
      <c r="J63" s="35">
        <f t="shared" si="1"/>
        <v>0</v>
      </c>
    </row>
    <row r="64" spans="1:10">
      <c r="A64" s="37" t="s">
        <v>122</v>
      </c>
      <c r="B64" s="18" t="s">
        <v>121</v>
      </c>
      <c r="C64" s="6">
        <v>200</v>
      </c>
      <c r="D64" s="10" t="s">
        <v>8</v>
      </c>
      <c r="E64" s="22">
        <v>631257534682</v>
      </c>
      <c r="F64" s="2">
        <v>21.826999999999998</v>
      </c>
      <c r="G64" s="4">
        <v>18.552949999999999</v>
      </c>
      <c r="H64" s="53"/>
      <c r="I64" s="19">
        <f t="shared" si="0"/>
        <v>0</v>
      </c>
      <c r="J64" s="35">
        <f t="shared" si="1"/>
        <v>0</v>
      </c>
    </row>
    <row r="65" spans="1:10">
      <c r="A65" s="37" t="s">
        <v>123</v>
      </c>
      <c r="B65" s="18" t="s">
        <v>124</v>
      </c>
      <c r="C65" s="10" t="s">
        <v>125</v>
      </c>
      <c r="D65" s="10" t="s">
        <v>116</v>
      </c>
      <c r="E65" s="22">
        <v>631257632128</v>
      </c>
      <c r="F65" s="2">
        <v>33.527000000000001</v>
      </c>
      <c r="G65" s="4">
        <v>28.497949999999999</v>
      </c>
      <c r="H65" s="53"/>
      <c r="I65" s="19">
        <f t="shared" si="0"/>
        <v>0</v>
      </c>
      <c r="J65" s="35">
        <f t="shared" si="1"/>
        <v>0</v>
      </c>
    </row>
    <row r="66" spans="1:10">
      <c r="A66" s="37" t="s">
        <v>126</v>
      </c>
      <c r="B66" s="18" t="s">
        <v>127</v>
      </c>
      <c r="C66" s="6">
        <v>90</v>
      </c>
      <c r="D66" s="10" t="s">
        <v>8</v>
      </c>
      <c r="E66" s="22">
        <v>631257347299</v>
      </c>
      <c r="F66" s="2">
        <v>31.186999999999998</v>
      </c>
      <c r="G66" s="4">
        <v>26.508949999999999</v>
      </c>
      <c r="H66" s="53"/>
      <c r="I66" s="19">
        <f t="shared" si="0"/>
        <v>0</v>
      </c>
      <c r="J66" s="35">
        <f t="shared" si="1"/>
        <v>0</v>
      </c>
    </row>
    <row r="67" spans="1:10">
      <c r="A67" s="36" t="s">
        <v>128</v>
      </c>
      <c r="B67" s="18" t="s">
        <v>129</v>
      </c>
      <c r="C67" s="5">
        <v>60</v>
      </c>
      <c r="D67" s="8" t="s">
        <v>130</v>
      </c>
      <c r="E67" s="9">
        <v>631257155795</v>
      </c>
      <c r="F67" s="1">
        <v>25.727</v>
      </c>
      <c r="G67" s="4">
        <v>21.86795</v>
      </c>
      <c r="H67" s="53"/>
      <c r="I67" s="19">
        <f t="shared" si="0"/>
        <v>0</v>
      </c>
      <c r="J67" s="35">
        <f t="shared" si="1"/>
        <v>0</v>
      </c>
    </row>
    <row r="68" spans="1:10">
      <c r="A68" s="36" t="s">
        <v>131</v>
      </c>
      <c r="B68" s="18" t="s">
        <v>129</v>
      </c>
      <c r="C68" s="5">
        <v>120</v>
      </c>
      <c r="D68" s="8" t="s">
        <v>130</v>
      </c>
      <c r="E68" s="9">
        <v>631257154057</v>
      </c>
      <c r="F68" s="1">
        <v>44.446999999999996</v>
      </c>
      <c r="G68" s="4">
        <v>37.779949999999999</v>
      </c>
      <c r="H68" s="53"/>
      <c r="I68" s="19">
        <f t="shared" ref="I68:I70" si="2">H68*F68</f>
        <v>0</v>
      </c>
      <c r="J68" s="35">
        <f t="shared" ref="J68:J70" si="3">IF(H68&gt;431,H68*G68,H68*F68)</f>
        <v>0</v>
      </c>
    </row>
    <row r="69" spans="1:10">
      <c r="A69" s="36" t="s">
        <v>132</v>
      </c>
      <c r="B69" s="18" t="s">
        <v>133</v>
      </c>
      <c r="C69" s="5">
        <v>30</v>
      </c>
      <c r="D69" s="8" t="s">
        <v>130</v>
      </c>
      <c r="E69" s="9">
        <v>631257155542</v>
      </c>
      <c r="F69" s="1">
        <v>25.727</v>
      </c>
      <c r="G69" s="4">
        <v>21.86795</v>
      </c>
      <c r="H69" s="53"/>
      <c r="I69" s="19">
        <f t="shared" si="2"/>
        <v>0</v>
      </c>
      <c r="J69" s="35">
        <f t="shared" si="3"/>
        <v>0</v>
      </c>
    </row>
    <row r="70" spans="1:10" ht="16.2" thickBot="1">
      <c r="A70" s="39" t="s">
        <v>134</v>
      </c>
      <c r="B70" s="40" t="s">
        <v>133</v>
      </c>
      <c r="C70" s="41">
        <v>60</v>
      </c>
      <c r="D70" s="42" t="s">
        <v>130</v>
      </c>
      <c r="E70" s="43">
        <v>631257154071</v>
      </c>
      <c r="F70" s="44">
        <v>44.446999999999996</v>
      </c>
      <c r="G70" s="45">
        <v>37.779949999999999</v>
      </c>
      <c r="H70" s="55"/>
      <c r="I70" s="46">
        <f t="shared" si="2"/>
        <v>0</v>
      </c>
      <c r="J70" s="47">
        <f t="shared" si="3"/>
        <v>0</v>
      </c>
    </row>
  </sheetData>
  <sheetProtection algorithmName="SHA-512" hashValue="H6lv8YMtMukQkTrLOG+KI6trmj/xM6/jnaLRP2YeQwGajanZeNQO4OtWet+7JtSrETKSo/x6OCfrsq7x85h9Eg==" saltValue="aXyZk6BSSdIwq5YG2fuxrg==" spinCount="100000" sheet="1" formatCells="0" formatColumns="0" formatRows="0" insertColumns="0" insertRows="0" insertHyperlinks="0" deleteColumns="0" deleteRows="0" sort="0" autoFilter="0" pivotTables="0"/>
  <autoFilter ref="A2:J79" xr:uid="{00000000-0001-0000-0300-000000000000}"/>
  <mergeCells count="1">
    <mergeCell ref="A1:J1"/>
  </mergeCells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RENEW LIFE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Tkachuk Valia</cp:lastModifiedBy>
  <dcterms:created xsi:type="dcterms:W3CDTF">2025-05-30T14:35:39Z</dcterms:created>
  <dcterms:modified xsi:type="dcterms:W3CDTF">2025-06-26T12:54:54Z</dcterms:modified>
</cp:coreProperties>
</file>