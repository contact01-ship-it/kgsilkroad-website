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61A70A55-A00D-43E2-8E48-8AB31440ED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ANE WHOLESALE" sheetId="1" r:id="rId1"/>
  </sheets>
  <definedNames>
    <definedName name="_xlnm._FilterDatabase" localSheetId="0" hidden="1">'INSANE WHOLESALE'!$A$2:$H$159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M4" i="1" s="1"/>
  <c r="N4" i="1"/>
  <c r="O4" i="1"/>
  <c r="L5" i="1"/>
  <c r="M5" i="1" s="1"/>
  <c r="N5" i="1"/>
  <c r="O5" i="1"/>
  <c r="L6" i="1"/>
  <c r="M6" i="1"/>
  <c r="N6" i="1"/>
  <c r="O6" i="1"/>
  <c r="L7" i="1"/>
  <c r="M7" i="1" s="1"/>
  <c r="N7" i="1"/>
  <c r="O7" i="1"/>
  <c r="L8" i="1"/>
  <c r="M8" i="1" s="1"/>
  <c r="N8" i="1"/>
  <c r="O8" i="1"/>
  <c r="L9" i="1"/>
  <c r="M9" i="1" s="1"/>
  <c r="N9" i="1"/>
  <c r="O9" i="1"/>
  <c r="L10" i="1"/>
  <c r="M10" i="1" s="1"/>
  <c r="N10" i="1"/>
  <c r="O10" i="1"/>
  <c r="L11" i="1"/>
  <c r="M11" i="1"/>
  <c r="N11" i="1"/>
  <c r="O11" i="1"/>
  <c r="L12" i="1"/>
  <c r="M12" i="1" s="1"/>
  <c r="N12" i="1"/>
  <c r="O12" i="1"/>
  <c r="L13" i="1"/>
  <c r="M13" i="1" s="1"/>
  <c r="N13" i="1"/>
  <c r="O13" i="1"/>
  <c r="Q13" i="1" s="1"/>
  <c r="L14" i="1"/>
  <c r="M14" i="1" s="1"/>
  <c r="N14" i="1"/>
  <c r="O14" i="1"/>
  <c r="Q14" i="1" s="1"/>
  <c r="L15" i="1"/>
  <c r="M15" i="1" s="1"/>
  <c r="N15" i="1"/>
  <c r="O15" i="1"/>
  <c r="Q15" i="1"/>
  <c r="L16" i="1"/>
  <c r="M16" i="1"/>
  <c r="N16" i="1"/>
  <c r="O16" i="1"/>
  <c r="Q16" i="1"/>
  <c r="L17" i="1"/>
  <c r="M17" i="1" s="1"/>
  <c r="N17" i="1"/>
  <c r="O17" i="1"/>
  <c r="Q17" i="1" s="1"/>
  <c r="L18" i="1"/>
  <c r="M18" i="1" s="1"/>
  <c r="N18" i="1"/>
  <c r="O18" i="1"/>
  <c r="Q18" i="1" s="1"/>
  <c r="L19" i="1"/>
  <c r="M19" i="1" s="1"/>
  <c r="N19" i="1"/>
  <c r="O19" i="1"/>
  <c r="Q19" i="1" s="1"/>
  <c r="L20" i="1"/>
  <c r="M20" i="1"/>
  <c r="N20" i="1"/>
  <c r="O20" i="1"/>
  <c r="Q20" i="1"/>
  <c r="L21" i="1"/>
  <c r="M21" i="1" s="1"/>
  <c r="N21" i="1"/>
  <c r="O21" i="1"/>
  <c r="Q21" i="1" s="1"/>
  <c r="L22" i="1"/>
  <c r="M22" i="1"/>
  <c r="N22" i="1"/>
  <c r="O22" i="1"/>
  <c r="Q22" i="1" s="1"/>
  <c r="L23" i="1"/>
  <c r="M23" i="1" s="1"/>
  <c r="N23" i="1"/>
  <c r="O23" i="1"/>
  <c r="Q23" i="1" s="1"/>
  <c r="L24" i="1"/>
  <c r="M24" i="1" s="1"/>
  <c r="N24" i="1"/>
  <c r="O24" i="1"/>
  <c r="Q24" i="1"/>
  <c r="L25" i="1"/>
  <c r="M25" i="1" s="1"/>
  <c r="N25" i="1"/>
  <c r="O25" i="1"/>
  <c r="Q25" i="1" s="1"/>
  <c r="L26" i="1"/>
  <c r="M26" i="1"/>
  <c r="N26" i="1"/>
  <c r="O26" i="1"/>
  <c r="Q26" i="1"/>
  <c r="L27" i="1"/>
  <c r="M27" i="1" s="1"/>
  <c r="N27" i="1"/>
  <c r="O27" i="1"/>
  <c r="Q27" i="1" s="1"/>
  <c r="L28" i="1"/>
  <c r="M28" i="1"/>
  <c r="N28" i="1"/>
  <c r="O28" i="1"/>
  <c r="Q28" i="1"/>
  <c r="L29" i="1"/>
  <c r="M29" i="1" s="1"/>
  <c r="N29" i="1"/>
  <c r="O29" i="1"/>
  <c r="Q29" i="1"/>
  <c r="L30" i="1"/>
  <c r="M30" i="1" s="1"/>
  <c r="N30" i="1"/>
  <c r="O30" i="1"/>
  <c r="Q30" i="1" s="1"/>
  <c r="L31" i="1"/>
  <c r="M31" i="1" s="1"/>
  <c r="N31" i="1"/>
  <c r="O31" i="1"/>
  <c r="Q31" i="1"/>
  <c r="L32" i="1"/>
  <c r="M32" i="1"/>
  <c r="N32" i="1"/>
  <c r="O32" i="1"/>
  <c r="Q32" i="1"/>
  <c r="L33" i="1"/>
  <c r="M33" i="1" s="1"/>
  <c r="N33" i="1"/>
  <c r="O33" i="1"/>
  <c r="Q33" i="1" s="1"/>
  <c r="L34" i="1"/>
  <c r="M34" i="1" s="1"/>
  <c r="N34" i="1"/>
  <c r="O34" i="1"/>
  <c r="Q34" i="1" s="1"/>
  <c r="L35" i="1"/>
  <c r="M35" i="1" s="1"/>
  <c r="N35" i="1"/>
  <c r="O35" i="1"/>
  <c r="Q35" i="1"/>
  <c r="L36" i="1"/>
  <c r="M36" i="1" s="1"/>
  <c r="N36" i="1"/>
  <c r="O36" i="1"/>
  <c r="Q36" i="1" s="1"/>
  <c r="L37" i="1"/>
  <c r="M37" i="1" s="1"/>
  <c r="N37" i="1"/>
  <c r="O37" i="1"/>
  <c r="Q37" i="1" s="1"/>
  <c r="L38" i="1"/>
  <c r="M38" i="1" s="1"/>
  <c r="N38" i="1"/>
  <c r="O38" i="1"/>
  <c r="Q38" i="1"/>
  <c r="L39" i="1"/>
  <c r="M39" i="1"/>
  <c r="N39" i="1"/>
  <c r="O39" i="1"/>
  <c r="Q39" i="1"/>
  <c r="L40" i="1"/>
  <c r="M40" i="1" s="1"/>
  <c r="N40" i="1"/>
  <c r="O40" i="1"/>
  <c r="Q40" i="1" s="1"/>
  <c r="L41" i="1"/>
  <c r="M41" i="1" s="1"/>
  <c r="N41" i="1"/>
  <c r="O41" i="1"/>
  <c r="Q41" i="1" s="1"/>
  <c r="L42" i="1"/>
  <c r="M42" i="1" s="1"/>
  <c r="N42" i="1"/>
  <c r="O42" i="1"/>
  <c r="Q42" i="1" s="1"/>
  <c r="L43" i="1"/>
  <c r="M43" i="1"/>
  <c r="N43" i="1"/>
  <c r="O43" i="1"/>
  <c r="Q43" i="1"/>
  <c r="L44" i="1"/>
  <c r="M44" i="1" s="1"/>
  <c r="N44" i="1"/>
  <c r="O44" i="1"/>
  <c r="Q44" i="1" s="1"/>
  <c r="L45" i="1"/>
  <c r="M45" i="1" s="1"/>
  <c r="N45" i="1"/>
  <c r="O45" i="1"/>
  <c r="Q45" i="1" s="1"/>
  <c r="L46" i="1"/>
  <c r="M46" i="1" s="1"/>
  <c r="N46" i="1"/>
  <c r="O46" i="1"/>
  <c r="Q46" i="1" s="1"/>
  <c r="L47" i="1"/>
  <c r="M47" i="1" s="1"/>
  <c r="N47" i="1"/>
  <c r="O47" i="1"/>
  <c r="Q47" i="1"/>
  <c r="L48" i="1"/>
  <c r="M48" i="1"/>
  <c r="N48" i="1"/>
  <c r="O48" i="1"/>
  <c r="Q48" i="1" s="1"/>
  <c r="L49" i="1"/>
  <c r="M49" i="1" s="1"/>
  <c r="N49" i="1"/>
  <c r="O49" i="1"/>
  <c r="Q49" i="1" s="1"/>
  <c r="L50" i="1"/>
  <c r="M50" i="1" s="1"/>
  <c r="N50" i="1"/>
  <c r="O50" i="1"/>
  <c r="Q50" i="1" s="1"/>
  <c r="L51" i="1"/>
  <c r="M51" i="1" s="1"/>
  <c r="N51" i="1"/>
  <c r="O51" i="1"/>
  <c r="Q51" i="1"/>
  <c r="L52" i="1"/>
  <c r="M52" i="1" s="1"/>
  <c r="N52" i="1"/>
  <c r="O52" i="1"/>
  <c r="Q52" i="1" s="1"/>
  <c r="L53" i="1"/>
  <c r="M53" i="1" s="1"/>
  <c r="N53" i="1"/>
  <c r="O53" i="1"/>
  <c r="Q53" i="1"/>
  <c r="L54" i="1"/>
  <c r="M54" i="1" s="1"/>
  <c r="N54" i="1"/>
  <c r="O54" i="1"/>
  <c r="Q54" i="1"/>
  <c r="L55" i="1"/>
  <c r="M55" i="1" s="1"/>
  <c r="N55" i="1"/>
  <c r="O55" i="1"/>
  <c r="Q55" i="1" s="1"/>
  <c r="L56" i="1"/>
  <c r="M56" i="1"/>
  <c r="N56" i="1"/>
  <c r="O56" i="1"/>
  <c r="Q56" i="1"/>
  <c r="L57" i="1"/>
  <c r="M57" i="1" s="1"/>
  <c r="N57" i="1"/>
  <c r="O57" i="1"/>
  <c r="Q57" i="1" s="1"/>
  <c r="L58" i="1"/>
  <c r="M58" i="1"/>
  <c r="N58" i="1"/>
  <c r="O58" i="1"/>
  <c r="Q58" i="1" s="1"/>
  <c r="L59" i="1"/>
  <c r="M59" i="1" s="1"/>
  <c r="N59" i="1"/>
  <c r="O59" i="1"/>
  <c r="Q59" i="1" s="1"/>
  <c r="L60" i="1"/>
  <c r="M60" i="1"/>
  <c r="N60" i="1"/>
  <c r="O60" i="1"/>
  <c r="Q60" i="1" s="1"/>
  <c r="L61" i="1"/>
  <c r="M61" i="1" s="1"/>
  <c r="N61" i="1"/>
  <c r="O61" i="1"/>
  <c r="Q61" i="1" s="1"/>
  <c r="L62" i="1"/>
  <c r="M62" i="1" s="1"/>
  <c r="N62" i="1"/>
  <c r="O62" i="1"/>
  <c r="Q62" i="1" s="1"/>
  <c r="L63" i="1"/>
  <c r="M63" i="1" s="1"/>
  <c r="N63" i="1"/>
  <c r="O63" i="1"/>
  <c r="Q63" i="1" s="1"/>
  <c r="L64" i="1"/>
  <c r="M64" i="1"/>
  <c r="N64" i="1"/>
  <c r="O64" i="1"/>
  <c r="Q64" i="1"/>
  <c r="L65" i="1"/>
  <c r="M65" i="1"/>
  <c r="N65" i="1"/>
  <c r="O65" i="1"/>
  <c r="Q65" i="1"/>
  <c r="L66" i="1"/>
  <c r="M66" i="1" s="1"/>
  <c r="N66" i="1"/>
  <c r="O66" i="1"/>
  <c r="Q66" i="1" s="1"/>
  <c r="L67" i="1"/>
  <c r="M67" i="1" s="1"/>
  <c r="N67" i="1"/>
  <c r="O67" i="1"/>
  <c r="Q67" i="1" s="1"/>
  <c r="L68" i="1"/>
  <c r="M68" i="1"/>
  <c r="N68" i="1"/>
  <c r="O68" i="1"/>
  <c r="Q68" i="1"/>
  <c r="L69" i="1"/>
  <c r="M69" i="1"/>
  <c r="N69" i="1"/>
  <c r="O69" i="1"/>
  <c r="Q69" i="1" s="1"/>
  <c r="L70" i="1"/>
  <c r="M70" i="1" s="1"/>
  <c r="N70" i="1"/>
  <c r="O70" i="1"/>
  <c r="Q70" i="1" s="1"/>
  <c r="L71" i="1"/>
  <c r="M71" i="1" s="1"/>
  <c r="N71" i="1"/>
  <c r="O71" i="1"/>
  <c r="Q71" i="1"/>
  <c r="L72" i="1"/>
  <c r="M72" i="1"/>
  <c r="N72" i="1"/>
  <c r="O72" i="1"/>
  <c r="Q72" i="1" s="1"/>
  <c r="L73" i="1"/>
  <c r="M73" i="1" s="1"/>
  <c r="N73" i="1"/>
  <c r="O73" i="1"/>
  <c r="Q73" i="1" s="1"/>
  <c r="L74" i="1"/>
  <c r="M74" i="1"/>
  <c r="N74" i="1"/>
  <c r="O74" i="1"/>
  <c r="Q74" i="1" s="1"/>
  <c r="L75" i="1"/>
  <c r="M75" i="1" s="1"/>
  <c r="N75" i="1"/>
  <c r="O75" i="1"/>
  <c r="Q75" i="1" s="1"/>
  <c r="L76" i="1"/>
  <c r="M76" i="1" s="1"/>
  <c r="N76" i="1"/>
  <c r="O76" i="1"/>
  <c r="Q76" i="1"/>
  <c r="L77" i="1"/>
  <c r="M77" i="1" s="1"/>
  <c r="N77" i="1"/>
  <c r="O77" i="1"/>
  <c r="Q77" i="1" s="1"/>
  <c r="L78" i="1"/>
  <c r="M78" i="1" s="1"/>
  <c r="N78" i="1"/>
  <c r="O78" i="1"/>
  <c r="Q78" i="1" s="1"/>
  <c r="L79" i="1"/>
  <c r="M79" i="1" s="1"/>
  <c r="N79" i="1"/>
  <c r="O79" i="1"/>
  <c r="Q79" i="1"/>
  <c r="L80" i="1"/>
  <c r="M80" i="1" s="1"/>
  <c r="N80" i="1"/>
  <c r="O80" i="1"/>
  <c r="Q80" i="1" s="1"/>
  <c r="L81" i="1"/>
  <c r="M81" i="1"/>
  <c r="N81" i="1"/>
  <c r="O81" i="1"/>
  <c r="Q81" i="1" s="1"/>
  <c r="L82" i="1"/>
  <c r="M82" i="1"/>
  <c r="N82" i="1"/>
  <c r="O82" i="1"/>
  <c r="Q82" i="1" s="1"/>
  <c r="L83" i="1"/>
  <c r="M83" i="1" s="1"/>
  <c r="N83" i="1"/>
  <c r="O83" i="1"/>
  <c r="Q83" i="1" s="1"/>
  <c r="L84" i="1"/>
  <c r="M84" i="1" s="1"/>
  <c r="N84" i="1"/>
  <c r="O84" i="1"/>
  <c r="Q84" i="1"/>
  <c r="L85" i="1"/>
  <c r="M85" i="1"/>
  <c r="N85" i="1"/>
  <c r="O85" i="1"/>
  <c r="Q85" i="1" s="1"/>
  <c r="L86" i="1"/>
  <c r="M86" i="1" s="1"/>
  <c r="N86" i="1"/>
  <c r="O86" i="1"/>
  <c r="Q86" i="1" s="1"/>
  <c r="L87" i="1"/>
  <c r="M87" i="1" s="1"/>
  <c r="N87" i="1"/>
  <c r="O87" i="1"/>
  <c r="Q87" i="1" s="1"/>
  <c r="L88" i="1"/>
  <c r="M88" i="1" s="1"/>
  <c r="N88" i="1"/>
  <c r="O88" i="1"/>
  <c r="Q88" i="1"/>
  <c r="L89" i="1"/>
  <c r="M89" i="1" s="1"/>
  <c r="N89" i="1"/>
  <c r="O89" i="1"/>
  <c r="Q89" i="1"/>
  <c r="L90" i="1"/>
  <c r="M90" i="1" s="1"/>
  <c r="N90" i="1"/>
  <c r="O90" i="1"/>
  <c r="Q90" i="1" s="1"/>
  <c r="L91" i="1"/>
  <c r="M91" i="1"/>
  <c r="N91" i="1"/>
  <c r="O91" i="1"/>
  <c r="Q91" i="1"/>
  <c r="L92" i="1"/>
  <c r="M92" i="1" s="1"/>
  <c r="N92" i="1"/>
  <c r="O92" i="1"/>
  <c r="Q92" i="1" s="1"/>
  <c r="L93" i="1"/>
  <c r="M93" i="1" s="1"/>
  <c r="N93" i="1"/>
  <c r="O93" i="1"/>
  <c r="Q93" i="1" s="1"/>
  <c r="L94" i="1"/>
  <c r="M94" i="1"/>
  <c r="N94" i="1"/>
  <c r="O94" i="1"/>
  <c r="Q94" i="1"/>
  <c r="L95" i="1"/>
  <c r="M95" i="1" s="1"/>
  <c r="N95" i="1"/>
  <c r="O95" i="1"/>
  <c r="Q95" i="1" s="1"/>
  <c r="L96" i="1"/>
  <c r="M96" i="1"/>
  <c r="N96" i="1"/>
  <c r="O96" i="1"/>
  <c r="Q96" i="1" s="1"/>
  <c r="L97" i="1"/>
  <c r="M97" i="1" s="1"/>
  <c r="N97" i="1"/>
  <c r="O97" i="1"/>
  <c r="Q97" i="1"/>
  <c r="L98" i="1"/>
  <c r="M98" i="1" s="1"/>
  <c r="N98" i="1"/>
  <c r="O98" i="1"/>
  <c r="Q98" i="1" s="1"/>
  <c r="L99" i="1"/>
  <c r="M99" i="1" s="1"/>
  <c r="N99" i="1"/>
  <c r="O99" i="1"/>
  <c r="Q99" i="1" s="1"/>
  <c r="L100" i="1"/>
  <c r="M100" i="1" s="1"/>
  <c r="N100" i="1"/>
  <c r="O100" i="1"/>
  <c r="Q100" i="1" s="1"/>
  <c r="L101" i="1"/>
  <c r="M101" i="1" s="1"/>
  <c r="N101" i="1"/>
  <c r="O101" i="1"/>
  <c r="Q101" i="1" s="1"/>
  <c r="L102" i="1"/>
  <c r="M102" i="1"/>
  <c r="N102" i="1"/>
  <c r="O102" i="1"/>
  <c r="Q102" i="1"/>
  <c r="L103" i="1"/>
  <c r="M103" i="1" s="1"/>
  <c r="N103" i="1"/>
  <c r="O103" i="1"/>
  <c r="Q103" i="1" s="1"/>
  <c r="L104" i="1"/>
  <c r="M104" i="1" s="1"/>
  <c r="N104" i="1"/>
  <c r="O104" i="1"/>
  <c r="Q104" i="1"/>
  <c r="L105" i="1"/>
  <c r="M105" i="1" s="1"/>
  <c r="N105" i="1"/>
  <c r="O105" i="1"/>
  <c r="Q105" i="1" s="1"/>
  <c r="L106" i="1"/>
  <c r="M106" i="1"/>
  <c r="N106" i="1"/>
  <c r="O106" i="1"/>
  <c r="Q106" i="1" s="1"/>
  <c r="L107" i="1"/>
  <c r="M107" i="1" s="1"/>
  <c r="N107" i="1"/>
  <c r="O107" i="1"/>
  <c r="Q107" i="1" s="1"/>
  <c r="L108" i="1"/>
  <c r="M108" i="1" s="1"/>
  <c r="N108" i="1"/>
  <c r="O108" i="1"/>
  <c r="Q108" i="1"/>
  <c r="L109" i="1"/>
  <c r="M109" i="1" s="1"/>
  <c r="N109" i="1"/>
  <c r="O109" i="1"/>
  <c r="Q109" i="1" s="1"/>
  <c r="L110" i="1"/>
  <c r="M110" i="1"/>
  <c r="N110" i="1"/>
  <c r="O110" i="1"/>
  <c r="Q110" i="1"/>
  <c r="L111" i="1"/>
  <c r="M111" i="1" s="1"/>
  <c r="N111" i="1"/>
  <c r="O111" i="1"/>
  <c r="Q111" i="1" s="1"/>
  <c r="L112" i="1"/>
  <c r="M112" i="1" s="1"/>
  <c r="N112" i="1"/>
  <c r="O112" i="1"/>
  <c r="Q112" i="1" s="1"/>
  <c r="L113" i="1"/>
  <c r="M113" i="1" s="1"/>
  <c r="N113" i="1"/>
  <c r="O113" i="1"/>
  <c r="Q113" i="1"/>
  <c r="L114" i="1"/>
  <c r="M114" i="1" s="1"/>
  <c r="N114" i="1"/>
  <c r="O114" i="1"/>
  <c r="Q114" i="1" s="1"/>
  <c r="L115" i="1"/>
  <c r="M115" i="1" s="1"/>
  <c r="N115" i="1"/>
  <c r="O115" i="1"/>
  <c r="Q115" i="1" s="1"/>
  <c r="L116" i="1"/>
  <c r="M116" i="1" s="1"/>
  <c r="N116" i="1"/>
  <c r="O116" i="1"/>
  <c r="Q116" i="1"/>
  <c r="L117" i="1"/>
  <c r="M117" i="1" s="1"/>
  <c r="N117" i="1"/>
  <c r="O117" i="1"/>
  <c r="Q117" i="1"/>
  <c r="L118" i="1"/>
  <c r="M118" i="1" s="1"/>
  <c r="N118" i="1"/>
  <c r="O118" i="1"/>
  <c r="Q118" i="1" s="1"/>
  <c r="L119" i="1"/>
  <c r="M119" i="1" s="1"/>
  <c r="N119" i="1"/>
  <c r="O119" i="1"/>
  <c r="Q119" i="1" s="1"/>
  <c r="L120" i="1"/>
  <c r="M120" i="1" s="1"/>
  <c r="N120" i="1"/>
  <c r="O120" i="1"/>
  <c r="Q120" i="1"/>
  <c r="L121" i="1"/>
  <c r="M121" i="1" s="1"/>
  <c r="N121" i="1"/>
  <c r="O121" i="1"/>
  <c r="Q121" i="1"/>
  <c r="L122" i="1"/>
  <c r="M122" i="1" s="1"/>
  <c r="N122" i="1"/>
  <c r="O122" i="1"/>
  <c r="Q122" i="1"/>
  <c r="L123" i="1"/>
  <c r="M123" i="1" s="1"/>
  <c r="N123" i="1"/>
  <c r="O123" i="1"/>
  <c r="Q123" i="1" s="1"/>
  <c r="L124" i="1"/>
  <c r="M124" i="1" s="1"/>
  <c r="N124" i="1"/>
  <c r="O124" i="1"/>
  <c r="L125" i="1"/>
  <c r="M125" i="1"/>
  <c r="N125" i="1"/>
  <c r="O125" i="1"/>
  <c r="L126" i="1"/>
  <c r="M126" i="1" s="1"/>
  <c r="N126" i="1"/>
  <c r="O126" i="1"/>
  <c r="L127" i="1"/>
  <c r="M127" i="1"/>
  <c r="N127" i="1"/>
  <c r="O127" i="1"/>
  <c r="L128" i="1"/>
  <c r="M128" i="1" s="1"/>
  <c r="N128" i="1"/>
  <c r="O128" i="1"/>
  <c r="L129" i="1"/>
  <c r="M129" i="1" s="1"/>
  <c r="N129" i="1"/>
  <c r="O129" i="1"/>
  <c r="L130" i="1"/>
  <c r="M130" i="1"/>
  <c r="N130" i="1"/>
  <c r="O130" i="1" s="1"/>
  <c r="L131" i="1"/>
  <c r="M131" i="1"/>
  <c r="N131" i="1"/>
  <c r="O131" i="1"/>
  <c r="L132" i="1"/>
  <c r="M132" i="1" s="1"/>
  <c r="N132" i="1"/>
  <c r="O132" i="1"/>
  <c r="L133" i="1"/>
  <c r="M133" i="1"/>
  <c r="N133" i="1"/>
  <c r="O133" i="1"/>
  <c r="L134" i="1"/>
  <c r="M134" i="1"/>
  <c r="N134" i="1"/>
  <c r="O134" i="1" s="1"/>
  <c r="L135" i="1"/>
  <c r="M135" i="1" s="1"/>
  <c r="N135" i="1"/>
  <c r="O135" i="1"/>
  <c r="L136" i="1"/>
  <c r="M136" i="1" s="1"/>
  <c r="N136" i="1"/>
  <c r="O136" i="1"/>
  <c r="L137" i="1"/>
  <c r="M137" i="1" s="1"/>
  <c r="N137" i="1"/>
  <c r="O137" i="1"/>
  <c r="L138" i="1"/>
  <c r="M138" i="1"/>
  <c r="N138" i="1"/>
  <c r="O138" i="1" s="1"/>
  <c r="L139" i="1"/>
  <c r="M139" i="1"/>
  <c r="N139" i="1"/>
  <c r="O139" i="1"/>
  <c r="L140" i="1"/>
  <c r="M140" i="1" s="1"/>
  <c r="N140" i="1"/>
  <c r="O140" i="1"/>
  <c r="L141" i="1"/>
  <c r="M141" i="1" s="1"/>
  <c r="N141" i="1"/>
  <c r="O141" i="1"/>
  <c r="L142" i="1"/>
  <c r="M142" i="1" s="1"/>
  <c r="N142" i="1"/>
  <c r="O142" i="1" s="1"/>
  <c r="L143" i="1"/>
  <c r="M143" i="1"/>
  <c r="N143" i="1"/>
  <c r="O143" i="1"/>
  <c r="L144" i="1"/>
  <c r="M144" i="1"/>
  <c r="N144" i="1"/>
  <c r="O144" i="1"/>
  <c r="L145" i="1"/>
  <c r="M145" i="1" s="1"/>
  <c r="N145" i="1"/>
  <c r="O145" i="1"/>
  <c r="L146" i="1"/>
  <c r="M146" i="1" s="1"/>
  <c r="N146" i="1"/>
  <c r="O146" i="1" s="1"/>
  <c r="L147" i="1"/>
  <c r="M147" i="1" s="1"/>
  <c r="N147" i="1"/>
  <c r="O147" i="1"/>
  <c r="L148" i="1"/>
  <c r="M148" i="1"/>
  <c r="N148" i="1"/>
  <c r="O148" i="1"/>
  <c r="L149" i="1"/>
  <c r="M149" i="1"/>
  <c r="N149" i="1"/>
  <c r="O149" i="1"/>
  <c r="L150" i="1"/>
  <c r="M150" i="1" s="1"/>
  <c r="N150" i="1"/>
  <c r="O150" i="1" s="1"/>
  <c r="L151" i="1"/>
  <c r="M151" i="1" s="1"/>
  <c r="N151" i="1"/>
  <c r="O151" i="1" s="1"/>
  <c r="L152" i="1"/>
  <c r="M152" i="1" s="1"/>
  <c r="N152" i="1"/>
  <c r="O152" i="1"/>
  <c r="L153" i="1"/>
  <c r="M153" i="1" s="1"/>
  <c r="N153" i="1"/>
  <c r="O153" i="1"/>
  <c r="L154" i="1"/>
  <c r="M154" i="1" s="1"/>
  <c r="N154" i="1"/>
  <c r="O154" i="1"/>
  <c r="L155" i="1"/>
  <c r="M155" i="1"/>
  <c r="N155" i="1"/>
  <c r="O155" i="1"/>
  <c r="L156" i="1"/>
  <c r="M156" i="1" s="1"/>
  <c r="N156" i="1"/>
  <c r="O156" i="1"/>
  <c r="L157" i="1"/>
  <c r="M157" i="1" s="1"/>
  <c r="N157" i="1"/>
  <c r="O157" i="1"/>
  <c r="L158" i="1"/>
  <c r="M158" i="1"/>
  <c r="N158" i="1"/>
  <c r="O158" i="1"/>
  <c r="L159" i="1"/>
  <c r="M159" i="1"/>
  <c r="N159" i="1"/>
  <c r="O159" i="1"/>
  <c r="O3" i="1"/>
  <c r="N3" i="1"/>
  <c r="L3" i="1"/>
  <c r="M3" i="1" s="1"/>
  <c r="N2" i="1" l="1"/>
  <c r="H3" i="1" l="1"/>
  <c r="H18" i="1" l="1"/>
  <c r="H17" i="1"/>
  <c r="H150" i="1"/>
  <c r="Q150" i="1" s="1"/>
  <c r="H159" i="1"/>
  <c r="Q159" i="1" s="1"/>
  <c r="H49" i="1"/>
  <c r="H158" i="1"/>
  <c r="Q158" i="1" s="1"/>
  <c r="H157" i="1"/>
  <c r="Q157" i="1" s="1"/>
  <c r="H156" i="1"/>
  <c r="Q156" i="1" s="1"/>
  <c r="H63" i="1"/>
  <c r="H62" i="1"/>
  <c r="H61" i="1"/>
  <c r="H60" i="1"/>
  <c r="H122" i="1"/>
  <c r="H121" i="1"/>
  <c r="H125" i="1"/>
  <c r="Q125" i="1" s="1"/>
  <c r="H37" i="1"/>
  <c r="H9" i="1"/>
  <c r="Q9" i="1" s="1"/>
  <c r="H19" i="1"/>
  <c r="H149" i="1"/>
  <c r="Q149" i="1" s="1"/>
  <c r="H148" i="1"/>
  <c r="Q148" i="1" s="1"/>
  <c r="H147" i="1"/>
  <c r="Q147" i="1" s="1"/>
  <c r="H75" i="1"/>
  <c r="H74" i="1"/>
  <c r="H73" i="1"/>
  <c r="H8" i="1"/>
  <c r="Q8" i="1" s="1"/>
  <c r="H7" i="1"/>
  <c r="Q7" i="1" s="1"/>
  <c r="H6" i="1"/>
  <c r="Q6" i="1" s="1"/>
  <c r="H5" i="1"/>
  <c r="Q5" i="1" s="1"/>
  <c r="H4" i="1"/>
  <c r="Q4" i="1" s="1"/>
  <c r="H30" i="1"/>
  <c r="H31" i="1"/>
  <c r="H38" i="1"/>
  <c r="H20" i="1"/>
  <c r="H21" i="1"/>
  <c r="H155" i="1"/>
  <c r="Q155" i="1" s="1"/>
  <c r="H154" i="1"/>
  <c r="Q154" i="1" s="1"/>
  <c r="H153" i="1"/>
  <c r="Q153" i="1" s="1"/>
  <c r="H152" i="1"/>
  <c r="Q152" i="1" s="1"/>
  <c r="H151" i="1"/>
  <c r="Q151" i="1" s="1"/>
  <c r="H146" i="1"/>
  <c r="Q146" i="1" s="1"/>
  <c r="H145" i="1"/>
  <c r="Q145" i="1" s="1"/>
  <c r="H144" i="1"/>
  <c r="Q144" i="1" s="1"/>
  <c r="H143" i="1"/>
  <c r="Q143" i="1" s="1"/>
  <c r="H142" i="1"/>
  <c r="Q142" i="1" s="1"/>
  <c r="H141" i="1"/>
  <c r="Q141" i="1" s="1"/>
  <c r="H140" i="1"/>
  <c r="Q140" i="1" s="1"/>
  <c r="H139" i="1"/>
  <c r="Q139" i="1" s="1"/>
  <c r="H138" i="1"/>
  <c r="Q138" i="1" s="1"/>
  <c r="H137" i="1"/>
  <c r="Q137" i="1" s="1"/>
  <c r="H136" i="1"/>
  <c r="Q136" i="1" s="1"/>
  <c r="H135" i="1"/>
  <c r="Q135" i="1" s="1"/>
  <c r="H134" i="1"/>
  <c r="Q134" i="1" s="1"/>
  <c r="H133" i="1"/>
  <c r="Q133" i="1" s="1"/>
  <c r="H132" i="1"/>
  <c r="Q132" i="1" s="1"/>
  <c r="H131" i="1"/>
  <c r="Q131" i="1" s="1"/>
  <c r="H130" i="1"/>
  <c r="Q130" i="1" s="1"/>
  <c r="H129" i="1"/>
  <c r="Q129" i="1" s="1"/>
  <c r="H128" i="1"/>
  <c r="Q128" i="1" s="1"/>
  <c r="H127" i="1"/>
  <c r="Q127" i="1" s="1"/>
  <c r="H126" i="1"/>
  <c r="Q126" i="1" s="1"/>
  <c r="H124" i="1"/>
  <c r="Q124" i="1" s="1"/>
  <c r="H123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2" i="1"/>
  <c r="H71" i="1"/>
  <c r="H70" i="1"/>
  <c r="H69" i="1"/>
  <c r="H68" i="1"/>
  <c r="H67" i="1"/>
  <c r="H66" i="1"/>
  <c r="H65" i="1"/>
  <c r="H64" i="1"/>
  <c r="H59" i="1"/>
  <c r="H58" i="1"/>
  <c r="H57" i="1"/>
  <c r="H56" i="1"/>
  <c r="H55" i="1"/>
  <c r="H54" i="1"/>
  <c r="H53" i="1"/>
  <c r="H52" i="1"/>
  <c r="H51" i="1"/>
  <c r="H50" i="1"/>
  <c r="H48" i="1"/>
  <c r="H47" i="1"/>
  <c r="H46" i="1"/>
  <c r="H45" i="1"/>
  <c r="H44" i="1"/>
  <c r="H43" i="1"/>
  <c r="H42" i="1"/>
  <c r="H41" i="1"/>
  <c r="H40" i="1"/>
  <c r="H39" i="1"/>
  <c r="H36" i="1"/>
  <c r="H35" i="1"/>
  <c r="H34" i="1"/>
  <c r="H33" i="1"/>
  <c r="H32" i="1"/>
  <c r="H29" i="1"/>
  <c r="H28" i="1"/>
  <c r="H27" i="1"/>
  <c r="H26" i="1"/>
  <c r="H25" i="1"/>
  <c r="H24" i="1"/>
  <c r="H23" i="1"/>
  <c r="H22" i="1"/>
  <c r="H16" i="1"/>
  <c r="H15" i="1"/>
  <c r="H14" i="1"/>
  <c r="H13" i="1"/>
  <c r="H12" i="1"/>
  <c r="Q12" i="1" s="1"/>
  <c r="H11" i="1"/>
  <c r="Q11" i="1" s="1"/>
  <c r="H10" i="1"/>
  <c r="Q10" i="1" s="1"/>
  <c r="J2" i="1" l="1"/>
  <c r="Q3" i="1"/>
  <c r="O2" i="1"/>
  <c r="Q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<sst xmlns="http://schemas.openxmlformats.org/spreadsheetml/2006/main" count="491" uniqueCount="264">
  <si>
    <t>Product</t>
  </si>
  <si>
    <t>Flavor</t>
  </si>
  <si>
    <t>Case Qty</t>
  </si>
  <si>
    <t>Cost</t>
  </si>
  <si>
    <t>Order</t>
  </si>
  <si>
    <t>LEMONADE</t>
  </si>
  <si>
    <t>FRUIT PUNCH</t>
  </si>
  <si>
    <t>PSYCHOTIC VARIETY BAG</t>
  </si>
  <si>
    <t>FRUIT PUNCH, GRAPE, BLUE RAZZ</t>
  </si>
  <si>
    <t>PSYCHOTIC GOLD VARIETY BAG</t>
  </si>
  <si>
    <t>BLUE PUNCH, FRUIT PUNCH, GUMMY</t>
  </si>
  <si>
    <t>BLUE RASPBERRY, FRUIT PUNCH, GRAPE</t>
  </si>
  <si>
    <t>PSYCHOTIC BLACK</t>
  </si>
  <si>
    <t>WATERMELON</t>
  </si>
  <si>
    <t>GRAPE</t>
  </si>
  <si>
    <t>GUMMY CANDY</t>
  </si>
  <si>
    <t>CITRUS GRAPEFRUIT</t>
  </si>
  <si>
    <t>PSYCHOTIC</t>
  </si>
  <si>
    <t>APPLE</t>
  </si>
  <si>
    <t>COTTON CANDY</t>
  </si>
  <si>
    <t>CHERRY LIMEADE</t>
  </si>
  <si>
    <t>PEACH MANGO</t>
  </si>
  <si>
    <t>HAWIIAN ORANGE</t>
  </si>
  <si>
    <t>BLUE RASPBERRY</t>
  </si>
  <si>
    <t>STRAWBERRY LEMONADE</t>
  </si>
  <si>
    <t>CHERRY BOMB</t>
  </si>
  <si>
    <t>PSYCHOTIC GOLD</t>
  </si>
  <si>
    <t>ORANGE</t>
  </si>
  <si>
    <t>BLUE PUNCH</t>
  </si>
  <si>
    <t>PSYCHOTIC HELLBOY</t>
  </si>
  <si>
    <t>BLUE RAZZ</t>
  </si>
  <si>
    <t>PSYCHOTIC TEST</t>
  </si>
  <si>
    <t>LEMON LIME</t>
  </si>
  <si>
    <t>INSANE VEINZ</t>
  </si>
  <si>
    <t>UNFLAVORED</t>
  </si>
  <si>
    <t>INSANE VEINZ GOLD</t>
  </si>
  <si>
    <t>I AM GOD</t>
  </si>
  <si>
    <t>DRINK YE ALL OF IT</t>
  </si>
  <si>
    <t>THOU SHALT NOT COVET</t>
  </si>
  <si>
    <t>PSYCHOTIC DIABLO</t>
  </si>
  <si>
    <t>CAPSULE</t>
  </si>
  <si>
    <t>PSYCHOTIC DIABLO POWDER</t>
  </si>
  <si>
    <t>CHERRY LEMONADE</t>
  </si>
  <si>
    <t>INSANE CUTZ</t>
  </si>
  <si>
    <t>KILL H20</t>
  </si>
  <si>
    <t>The Surgeon</t>
  </si>
  <si>
    <t>RED APPLE</t>
  </si>
  <si>
    <t>Demon BCAA</t>
  </si>
  <si>
    <t>INSANE AMINO HELLBOY EDITION</t>
  </si>
  <si>
    <t>CHOCOLATE</t>
  </si>
  <si>
    <t>STRAWBERRY</t>
  </si>
  <si>
    <t>VANILLA</t>
  </si>
  <si>
    <t>COOKIES AND CREAM</t>
  </si>
  <si>
    <t>BIRTHDAY CAKE</t>
  </si>
  <si>
    <t>CHOCOLATE PEANUT BUTTER</t>
  </si>
  <si>
    <t>100% WHEY</t>
  </si>
  <si>
    <t>INSANE WHEY RIPPED</t>
  </si>
  <si>
    <t>INSANE ISO</t>
  </si>
  <si>
    <t>MOTHER Plant Protein</t>
  </si>
  <si>
    <t>VANILLA LATTE</t>
  </si>
  <si>
    <t>POSSESSED</t>
  </si>
  <si>
    <t>GUMMY WORM</t>
  </si>
  <si>
    <t>STRAWBERRY PINEAPPLE</t>
  </si>
  <si>
    <t>REDRUM</t>
  </si>
  <si>
    <t>DEVILS BLOOD</t>
  </si>
  <si>
    <t>MURDER IN A BOTTLE</t>
  </si>
  <si>
    <t>DEMON DUST</t>
  </si>
  <si>
    <t>CINNAMONIC</t>
  </si>
  <si>
    <t>RAW</t>
  </si>
  <si>
    <t>ACS CREATINE 1,000g</t>
  </si>
  <si>
    <t>GLUTAMINE 60 SERVING</t>
  </si>
  <si>
    <t>D-ASPARTIC ACID</t>
  </si>
  <si>
    <t>AGMATINE SULFATE</t>
  </si>
  <si>
    <t>BETA ALANINE</t>
  </si>
  <si>
    <t>ZMA</t>
  </si>
  <si>
    <t>HMB</t>
  </si>
  <si>
    <t>VITAMIN C + ZINC</t>
  </si>
  <si>
    <t>CAFFEINE</t>
  </si>
  <si>
    <t>L-CARNITINE CAPULES</t>
  </si>
  <si>
    <t>TRIBULUS</t>
  </si>
  <si>
    <t>YOHIMBINE HCL</t>
  </si>
  <si>
    <t>OXYGOLD</t>
  </si>
  <si>
    <t>L-CITRULLINE</t>
  </si>
  <si>
    <t>NIGHTMARE</t>
  </si>
  <si>
    <t>28 DAYS LATER</t>
  </si>
  <si>
    <t>THEY LIVE</t>
  </si>
  <si>
    <t>PSYCHOTIC SAW</t>
  </si>
  <si>
    <t>BLOOD ORANGE</t>
  </si>
  <si>
    <t>SAW BLOOD BATH</t>
  </si>
  <si>
    <t>SAW FAT BURNER</t>
  </si>
  <si>
    <t>PSYCHOTIC BLACK VARIETY BAG</t>
  </si>
  <si>
    <t>PSYCHOTIC GOLD 60 SERV</t>
  </si>
  <si>
    <t>BLUE LEMONADE</t>
  </si>
  <si>
    <t>BlOOD CANDY</t>
  </si>
  <si>
    <t>INSANE VEINZ XTREME *NEW*</t>
  </si>
  <si>
    <t>PSYCHOTIC XTREME *NEW*</t>
  </si>
  <si>
    <t>AGUA FRESCA</t>
  </si>
  <si>
    <t>PALOMA</t>
  </si>
  <si>
    <t>TAMARINDO</t>
  </si>
  <si>
    <t>PSYCHOTIC SAW 60 SERV *NEW*</t>
  </si>
  <si>
    <t>PILLS</t>
  </si>
  <si>
    <t>PSYCHOTIC CAPSULES *NEW*</t>
  </si>
  <si>
    <t>CAPSULES</t>
  </si>
  <si>
    <t>PSYCHOTIC GOLD CAPSULES *NEW*</t>
  </si>
  <si>
    <t>ACS CREATINE 500g *NEW*</t>
  </si>
  <si>
    <t>DEMINTED</t>
  </si>
  <si>
    <t>DEMON DUST *NEW*</t>
  </si>
  <si>
    <t>CREA-2 *NEW*</t>
  </si>
  <si>
    <t>PSYCHOPATH</t>
  </si>
  <si>
    <t>PSYCHOTIC BLACK CAPSULES *NEW*</t>
  </si>
  <si>
    <t>CARB-2 *NEW*</t>
  </si>
  <si>
    <t>PINK LEMONADE</t>
  </si>
  <si>
    <t>CHERRY</t>
  </si>
  <si>
    <t>BOSS A** B!#?H *NEW*</t>
  </si>
  <si>
    <t>PSYCHOTIC GOLD 60 SERV *NEW*</t>
  </si>
  <si>
    <t>N/A</t>
  </si>
  <si>
    <t>PSYCHO GRIP *NEW*</t>
  </si>
  <si>
    <t>PSYCHOTIC SAW VARIETY BAG *NEW*</t>
  </si>
  <si>
    <t>PSYCHOTIC BLACK 60 SERV *NEW*</t>
  </si>
  <si>
    <t>ACS CREATINE 300g</t>
  </si>
  <si>
    <t>Amount</t>
  </si>
  <si>
    <t>Total:</t>
  </si>
  <si>
    <r>
      <rPr>
        <b/>
        <sz val="9"/>
        <color rgb="FFFF0000"/>
        <rFont val="Aptos Narrow"/>
        <family val="2"/>
        <charset val="204"/>
        <scheme val="minor"/>
      </rPr>
      <t>Importantly!</t>
    </r>
    <r>
      <rPr>
        <sz val="9"/>
        <color theme="1"/>
        <rFont val="Aptos Narrow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</si>
  <si>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Weight</t>
  </si>
  <si>
    <t>UPC</t>
  </si>
  <si>
    <t/>
  </si>
  <si>
    <t>PSYCHOTIC 60 SERVING</t>
  </si>
  <si>
    <t>810212610030</t>
  </si>
  <si>
    <t>051497274436</t>
  </si>
  <si>
    <t>040232458736</t>
  </si>
  <si>
    <t>051497274290</t>
  </si>
  <si>
    <t>051497274306</t>
  </si>
  <si>
    <t>051497274627</t>
  </si>
  <si>
    <t>INSANE WHEY 2LB</t>
  </si>
  <si>
    <t>STRAWBERRIES &amp; CREAM</t>
  </si>
  <si>
    <t>COOKIES &amp; CREAM</t>
  </si>
  <si>
    <t>INSANE WHEY 5LB</t>
  </si>
  <si>
    <t>INSANE WHEY 10LB</t>
  </si>
  <si>
    <t>040232459061</t>
  </si>
  <si>
    <t>850009705761</t>
  </si>
  <si>
    <t>850009705921</t>
  </si>
  <si>
    <t>850009705938</t>
  </si>
  <si>
    <t>850009705167</t>
  </si>
  <si>
    <t>850009705174</t>
  </si>
  <si>
    <t>040232459160</t>
  </si>
  <si>
    <t>051497274535</t>
  </si>
  <si>
    <t>051497274528</t>
  </si>
  <si>
    <t>850009705440</t>
  </si>
  <si>
    <t>040232204173</t>
  </si>
  <si>
    <t>040232246005</t>
  </si>
  <si>
    <t>040232182907</t>
  </si>
  <si>
    <t>051497274603</t>
  </si>
  <si>
    <t>040232472237</t>
  </si>
  <si>
    <t>040232550119</t>
  </si>
  <si>
    <t>850009705457</t>
  </si>
  <si>
    <t>051497274474</t>
  </si>
  <si>
    <t>051497274450</t>
  </si>
  <si>
    <t>051497274467</t>
  </si>
  <si>
    <t>040232585388</t>
  </si>
  <si>
    <t>040232585401</t>
  </si>
  <si>
    <t>040232585395</t>
  </si>
  <si>
    <t>040232458408</t>
  </si>
  <si>
    <t>040232459177</t>
  </si>
  <si>
    <t>051497274504</t>
  </si>
  <si>
    <t>051497274511</t>
  </si>
  <si>
    <t>850009705433</t>
  </si>
  <si>
    <t>850009705402</t>
  </si>
  <si>
    <t>850009705426</t>
  </si>
  <si>
    <t>850009705419</t>
  </si>
  <si>
    <t>850009705556</t>
  </si>
  <si>
    <t>040232228834</t>
  </si>
  <si>
    <t>040232228858</t>
  </si>
  <si>
    <t>051497274481</t>
  </si>
  <si>
    <t>051497274498</t>
  </si>
  <si>
    <t>040232459344</t>
  </si>
  <si>
    <t>040232459337</t>
  </si>
  <si>
    <t>040232459320</t>
  </si>
  <si>
    <t>051497274900</t>
  </si>
  <si>
    <t>850009705648</t>
  </si>
  <si>
    <t>850009705662</t>
  </si>
  <si>
    <t>850009705655</t>
  </si>
  <si>
    <t>850009705907</t>
  </si>
  <si>
    <t>040232585043</t>
  </si>
  <si>
    <t>040232246111</t>
  </si>
  <si>
    <t>040232182884</t>
  </si>
  <si>
    <t>040232182891</t>
  </si>
  <si>
    <t>051497274894</t>
  </si>
  <si>
    <t>040232459122</t>
  </si>
  <si>
    <t>040232228933</t>
  </si>
  <si>
    <t>040232228919</t>
  </si>
  <si>
    <t>040232228926</t>
  </si>
  <si>
    <t>850009705976</t>
  </si>
  <si>
    <t>850009705983</t>
  </si>
  <si>
    <t>850009705990</t>
  </si>
  <si>
    <t>040232550126</t>
  </si>
  <si>
    <t>040232550140</t>
  </si>
  <si>
    <t>040232550133</t>
  </si>
  <si>
    <t>040232228988</t>
  </si>
  <si>
    <t>040232204166</t>
  </si>
  <si>
    <t>040232458422</t>
  </si>
  <si>
    <t>040232459092</t>
  </si>
  <si>
    <t>040232459085</t>
  </si>
  <si>
    <t>040232228872</t>
  </si>
  <si>
    <t>040232228889</t>
  </si>
  <si>
    <t>040232228865</t>
  </si>
  <si>
    <t>040232229053</t>
  </si>
  <si>
    <t>040232229077</t>
  </si>
  <si>
    <t>040232229060</t>
  </si>
  <si>
    <t>051497274313</t>
  </si>
  <si>
    <t>051497274320</t>
  </si>
  <si>
    <t>040232585210</t>
  </si>
  <si>
    <t>040232585258</t>
  </si>
  <si>
    <t>040232585227</t>
  </si>
  <si>
    <t>051497274924</t>
  </si>
  <si>
    <t>051497274375</t>
  </si>
  <si>
    <t>040232229091</t>
  </si>
  <si>
    <t>051497274276</t>
  </si>
  <si>
    <t>051497274283</t>
  </si>
  <si>
    <t>051497274030</t>
  </si>
  <si>
    <t>051497274047</t>
  </si>
  <si>
    <t>040232459214</t>
  </si>
  <si>
    <t>040232459207</t>
  </si>
  <si>
    <t>040232459306</t>
  </si>
  <si>
    <t>040232459290</t>
  </si>
  <si>
    <t>040232322921</t>
  </si>
  <si>
    <t>040232322938</t>
  </si>
  <si>
    <t>040232459115</t>
  </si>
  <si>
    <t>040232585692</t>
  </si>
  <si>
    <t>040232585715</t>
  </si>
  <si>
    <t>040232582708</t>
  </si>
  <si>
    <t>040232245794</t>
  </si>
  <si>
    <t>850009705891</t>
  </si>
  <si>
    <t>850009705884</t>
  </si>
  <si>
    <t>040232458712</t>
  </si>
  <si>
    <t>040232458729</t>
  </si>
  <si>
    <t>040232458996</t>
  </si>
  <si>
    <t>040232458743</t>
  </si>
  <si>
    <t>040232459009</t>
  </si>
  <si>
    <t>051497274740</t>
  </si>
  <si>
    <t>051497274757</t>
  </si>
  <si>
    <t>051497274764</t>
  </si>
  <si>
    <t>051497274771</t>
  </si>
  <si>
    <t>040232459221</t>
  </si>
  <si>
    <t>040232458767</t>
  </si>
  <si>
    <t>040232228438</t>
  </si>
  <si>
    <t>850009705198</t>
  </si>
  <si>
    <t>850009705204</t>
  </si>
  <si>
    <t>850009705211</t>
  </si>
  <si>
    <t>850009705280</t>
  </si>
  <si>
    <t>850009705297</t>
  </si>
  <si>
    <t>850009705846</t>
  </si>
  <si>
    <t>850009705853</t>
  </si>
  <si>
    <t>850009705839</t>
  </si>
  <si>
    <t>850009705235</t>
  </si>
  <si>
    <t>850009705259</t>
  </si>
  <si>
    <t>850009705242</t>
  </si>
  <si>
    <t>850009705303</t>
  </si>
  <si>
    <t>810212610115</t>
  </si>
  <si>
    <t>810212610054</t>
  </si>
  <si>
    <t>Unіt Freight Cost</t>
  </si>
  <si>
    <t>unit, key</t>
  </si>
  <si>
    <t>Weight, kg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</si>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</sst>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.00"/>
    <numFmt numFmtId="167" formatCode="[$$-409]#,##0.00"/>
    <numFmt numFmtId="168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202124"/>
      <name val="Calibri"/>
      <family val="2"/>
    </font>
    <font>
      <sz val="9"/>
      <color theme="1"/>
      <name val="Aptos Narrow"/>
      <family val="2"/>
      <charset val="204"/>
      <scheme val="minor"/>
    </font>
    <font>
      <b/>
      <sz val="9"/>
      <color rgb="FFFF0000"/>
      <name val="Aptos Narrow"/>
      <family val="2"/>
      <charset val="204"/>
      <scheme val="minor"/>
    </font>
    <font>
      <sz val="9"/>
      <color theme="1"/>
      <name val="Aptos Narrow"/>
      <family val="2"/>
      <scheme val="minor"/>
    </font>
    <font>
      <b/>
      <sz val="11"/>
      <color rgb="FF000000"/>
      <name val="Calibri"/>
      <family val="2"/>
      <charset val="204"/>
    </font>
    <font>
      <b/>
      <sz val="11"/>
      <color rgb="FF202124"/>
      <name val="Calibri"/>
      <family val="2"/>
      <charset val="204"/>
    </font>
    <font>
      <b/>
      <sz val="11"/>
      <color theme="1"/>
      <name val="Aptos Narrow"/>
      <family val="2"/>
      <charset val="204"/>
      <scheme val="minor"/>
    </font>
    <font>
      <sz val="10"/>
      <color theme="1"/>
      <name val="Aptos Display"/>
      <family val="2"/>
      <scheme val="maj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6" fillId="0" borderId="0"/>
  </cellStyleXfs>
  <cellXfs count="94">
    <xf numFmtId="0" fontId="0" fillId="0" borderId="0" xfId="0"/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6" fontId="7" fillId="0" borderId="9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166" fontId="7" fillId="3" borderId="12" xfId="0" applyNumberFormat="1" applyFont="1" applyFill="1" applyBorder="1" applyAlignment="1">
      <alignment horizontal="right" vertical="center"/>
    </xf>
    <xf numFmtId="1" fontId="7" fillId="0" borderId="12" xfId="0" applyNumberFormat="1" applyFont="1" applyBorder="1" applyAlignment="1">
      <alignment horizontal="right" vertical="center"/>
    </xf>
    <xf numFmtId="166" fontId="7" fillId="0" borderId="13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66" fontId="7" fillId="3" borderId="2" xfId="0" applyNumberFormat="1" applyFont="1" applyFill="1" applyBorder="1" applyAlignment="1">
      <alignment horizontal="right" vertical="center"/>
    </xf>
    <xf numFmtId="1" fontId="7" fillId="0" borderId="2" xfId="0" applyNumberFormat="1" applyFont="1" applyBorder="1" applyAlignment="1">
      <alignment horizontal="right" vertical="center"/>
    </xf>
    <xf numFmtId="166" fontId="7" fillId="0" borderId="5" xfId="0" applyNumberFormat="1" applyFont="1" applyBorder="1" applyAlignment="1">
      <alignment horizontal="right" vertical="center"/>
    </xf>
    <xf numFmtId="0" fontId="7" fillId="3" borderId="4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right" vertical="center"/>
    </xf>
    <xf numFmtId="166" fontId="7" fillId="3" borderId="5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right" vertical="center"/>
    </xf>
    <xf numFmtId="1" fontId="2" fillId="3" borderId="2" xfId="0" applyNumberFormat="1" applyFont="1" applyFill="1" applyBorder="1" applyAlignment="1">
      <alignment horizontal="right" vertical="center"/>
    </xf>
    <xf numFmtId="166" fontId="2" fillId="3" borderId="5" xfId="0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right" vertical="center"/>
    </xf>
    <xf numFmtId="166" fontId="2" fillId="0" borderId="5" xfId="0" applyNumberFormat="1" applyFont="1" applyBorder="1" applyAlignment="1">
      <alignment horizontal="right" vertical="center"/>
    </xf>
    <xf numFmtId="1" fontId="2" fillId="3" borderId="2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4" xfId="2" applyFont="1" applyBorder="1" applyAlignment="1">
      <alignment vertical="center"/>
    </xf>
    <xf numFmtId="0" fontId="2" fillId="0" borderId="2" xfId="2" applyFont="1" applyBorder="1" applyAlignment="1">
      <alignment horizontal="left" vertical="center"/>
    </xf>
    <xf numFmtId="0" fontId="2" fillId="0" borderId="2" xfId="2" applyFont="1" applyBorder="1" applyAlignment="1">
      <alignment horizontal="center" vertical="center"/>
    </xf>
    <xf numFmtId="166" fontId="2" fillId="3" borderId="2" xfId="2" applyNumberFormat="1" applyFont="1" applyFill="1" applyBorder="1" applyAlignment="1">
      <alignment horizontal="right" vertical="center"/>
    </xf>
    <xf numFmtId="0" fontId="2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7" fillId="0" borderId="4" xfId="2" applyFont="1" applyBorder="1" applyAlignment="1">
      <alignment vertical="center"/>
    </xf>
    <xf numFmtId="0" fontId="7" fillId="0" borderId="2" xfId="2" applyFont="1" applyBorder="1" applyAlignment="1">
      <alignment horizontal="left" vertical="center"/>
    </xf>
    <xf numFmtId="0" fontId="7" fillId="0" borderId="2" xfId="2" applyFont="1" applyBorder="1" applyAlignment="1">
      <alignment horizontal="center" vertical="center"/>
    </xf>
    <xf numFmtId="166" fontId="7" fillId="3" borderId="2" xfId="2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164" fontId="7" fillId="3" borderId="7" xfId="0" applyNumberFormat="1" applyFont="1" applyFill="1" applyBorder="1" applyAlignment="1">
      <alignment vertical="center"/>
    </xf>
    <xf numFmtId="1" fontId="7" fillId="0" borderId="7" xfId="0" applyNumberFormat="1" applyFont="1" applyBorder="1" applyAlignment="1">
      <alignment vertical="center"/>
    </xf>
    <xf numFmtId="166" fontId="7" fillId="0" borderId="8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vertical="center"/>
    </xf>
    <xf numFmtId="0" fontId="12" fillId="0" borderId="4" xfId="0" applyFont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2" fontId="7" fillId="0" borderId="12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2" fillId="0" borderId="2" xfId="2" applyNumberFormat="1" applyFont="1" applyBorder="1" applyAlignment="1">
      <alignment horizontal="center" vertical="center"/>
    </xf>
    <xf numFmtId="2" fontId="7" fillId="0" borderId="2" xfId="2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4" fontId="14" fillId="5" borderId="3" xfId="0" applyNumberFormat="1" applyFont="1" applyFill="1" applyBorder="1" applyAlignment="1">
      <alignment horizontal="center" vertical="center" wrapText="1"/>
    </xf>
    <xf numFmtId="4" fontId="16" fillId="5" borderId="3" xfId="0" applyNumberFormat="1" applyFont="1" applyFill="1" applyBorder="1" applyAlignment="1" applyProtection="1">
      <alignment horizontal="center" vertical="center" wrapText="1" readingOrder="1"/>
      <protection hidden="1"/>
    </xf>
    <xf numFmtId="167" fontId="14" fillId="5" borderId="3" xfId="0" applyNumberFormat="1" applyFont="1" applyFill="1" applyBorder="1" applyAlignment="1">
      <alignment horizontal="center" vertical="center"/>
    </xf>
    <xf numFmtId="4" fontId="17" fillId="3" borderId="3" xfId="0" applyNumberFormat="1" applyFont="1" applyFill="1" applyBorder="1" applyAlignment="1" applyProtection="1">
      <alignment horizontal="center" vertical="center" wrapText="1" readingOrder="1"/>
      <protection locked="0"/>
    </xf>
    <xf numFmtId="4" fontId="14" fillId="3" borderId="16" xfId="0" applyNumberFormat="1" applyFont="1" applyFill="1" applyBorder="1" applyAlignment="1">
      <alignment horizontal="center" vertical="center"/>
    </xf>
    <xf numFmtId="168" fontId="16" fillId="0" borderId="0" xfId="0" applyNumberFormat="1" applyFont="1" applyAlignment="1" applyProtection="1">
      <alignment vertical="center" wrapText="1" readingOrder="1"/>
      <protection hidden="1"/>
    </xf>
    <xf numFmtId="0" fontId="14" fillId="6" borderId="3" xfId="0" applyFont="1" applyFill="1" applyBorder="1" applyAlignment="1">
      <alignment horizontal="center" vertical="center" wrapText="1"/>
    </xf>
    <xf numFmtId="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5" fillId="4" borderId="14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4" fontId="14" fillId="5" borderId="15" xfId="0" applyNumberFormat="1" applyFont="1" applyFill="1" applyBorder="1" applyAlignment="1">
      <alignment horizontal="center" vertical="center" wrapText="1"/>
    </xf>
    <xf numFmtId="4" fontId="14" fillId="5" borderId="16" xfId="0" applyNumberFormat="1" applyFont="1" applyFill="1" applyBorder="1" applyAlignment="1">
      <alignment horizontal="center" vertical="center" wrapText="1"/>
    </xf>
  </cellXfs>
  <cellStyles count="3">
    <cellStyle name="Normal 2" xfId="2" xr:uid="{00000000-0005-0000-0000-000000000000}"/>
    <cellStyle name="Грошовий" xfId="1" builtinId="4"/>
    <cellStyle name="Звичайний" xfId="0" builtinId="0"/>
  </cellStyles>
  <dxfs count="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92"/>
  <sheetViews>
    <sheetView tabSelected="1" zoomScale="85" zoomScaleNormal="85" workbookViewId="0">
      <pane ySplit="2" topLeftCell="A3" activePane="bottomLeft" state="frozen"/>
      <selection pane="bottomLeft" activeCell="K6" sqref="K6"/>
    </sheetView>
  </sheetViews>
  <sheetFormatPr defaultColWidth="12.6640625" defaultRowHeight="14.4" x14ac:dyDescent="0.3"/>
  <cols>
    <col min="1" max="1" width="13.5546875" style="10" bestFit="1" customWidth="1"/>
    <col min="2" max="2" width="35.77734375" style="10" customWidth="1"/>
    <col min="3" max="3" width="34.44140625" style="10" bestFit="1" customWidth="1"/>
    <col min="4" max="5" width="12.6640625" style="10"/>
    <col min="6" max="6" width="8.77734375" style="28" customWidth="1"/>
    <col min="7" max="7" width="12.88671875" style="66" customWidth="1"/>
    <col min="8" max="9" width="12.6640625" style="10"/>
    <col min="10" max="10" width="14.5546875" style="10" bestFit="1" customWidth="1"/>
    <col min="11" max="16384" width="12.6640625" style="10"/>
  </cols>
  <sheetData>
    <row r="1" spans="1:27" s="2" customFormat="1" ht="75.599999999999994" customHeight="1" thickBot="1" x14ac:dyDescent="0.35">
      <c r="A1" s="91" t="s">
        <v>122</v>
      </c>
      <c r="B1" s="91"/>
      <c r="C1" s="91"/>
      <c r="D1" s="91"/>
      <c r="E1" s="1"/>
      <c r="F1" s="90" t="e" vm="1">
        <v>#VALUE!</v>
      </c>
      <c r="G1" s="90"/>
      <c r="H1" s="90"/>
      <c r="I1" s="90"/>
      <c r="J1" s="90"/>
      <c r="L1" s="80" t="s">
        <v>259</v>
      </c>
      <c r="M1" s="92" t="s">
        <v>260</v>
      </c>
      <c r="N1" s="80" t="s">
        <v>261</v>
      </c>
      <c r="O1" s="81" t="s">
        <v>262</v>
      </c>
      <c r="Q1" s="82" t="str">
        <f>IFERROR(IF(SUM(Q3:Q159)=0, "-", J2+O2), "-")</f>
        <v>-</v>
      </c>
    </row>
    <row r="2" spans="1:27" ht="15" customHeight="1" thickBot="1" x14ac:dyDescent="0.35">
      <c r="A2" s="3" t="s">
        <v>124</v>
      </c>
      <c r="B2" s="3" t="s">
        <v>0</v>
      </c>
      <c r="C2" s="4" t="s">
        <v>1</v>
      </c>
      <c r="D2" s="3" t="s">
        <v>2</v>
      </c>
      <c r="E2" s="3" t="s">
        <v>123</v>
      </c>
      <c r="F2" s="5" t="s">
        <v>3</v>
      </c>
      <c r="G2" s="3" t="s">
        <v>4</v>
      </c>
      <c r="H2" s="3" t="s">
        <v>120</v>
      </c>
      <c r="I2" s="6" t="s">
        <v>121</v>
      </c>
      <c r="J2" s="7">
        <f>SUM(H:H)</f>
        <v>0</v>
      </c>
      <c r="K2" s="2"/>
      <c r="L2" s="83"/>
      <c r="M2" s="93"/>
      <c r="N2" s="84" t="str">
        <f>IF(SUM(N3:N159)=0, "-", SUM(N3:N159))</f>
        <v>-</v>
      </c>
      <c r="O2" s="84" t="str">
        <f>IF(SUM(O3:O159)=0, "-", SUM(O3:O159))</f>
        <v>-</v>
      </c>
      <c r="P2" s="85"/>
      <c r="Q2" s="86" t="s">
        <v>263</v>
      </c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5.75" customHeight="1" x14ac:dyDescent="0.3">
      <c r="A3" s="68" t="s">
        <v>139</v>
      </c>
      <c r="B3" s="11" t="s">
        <v>95</v>
      </c>
      <c r="C3" s="12" t="s">
        <v>6</v>
      </c>
      <c r="D3" s="13">
        <v>24</v>
      </c>
      <c r="E3" s="70">
        <v>0.38933817583718749</v>
      </c>
      <c r="F3" s="14">
        <v>25</v>
      </c>
      <c r="G3" s="15"/>
      <c r="H3" s="16">
        <f t="shared" ref="H3:H9" si="0">F3*G3</f>
        <v>0</v>
      </c>
      <c r="L3" s="87" t="str">
        <f>IFERROR(IF($L$2*E3=0, "-", $L$2*E3), "-")</f>
        <v>-</v>
      </c>
      <c r="M3" s="87" t="str">
        <f>IFERROR(IF(F3+L3=0, "-", IF(L3&gt;0, F3+L3, "-")), "-")</f>
        <v>-</v>
      </c>
      <c r="N3" s="87" t="str">
        <f>IF(G3&gt;0,E3*G3, "-")</f>
        <v>-</v>
      </c>
      <c r="O3" s="87" t="str">
        <f>IFERROR(IF($L$2&gt;0, $L$2*N3, "-"), "-")</f>
        <v>-</v>
      </c>
      <c r="P3" s="88"/>
      <c r="Q3" s="87" t="str">
        <f>IFERROR(IF(O3+H3=0, "-", IF(O3&gt;0, O3+H3, "-")), "-")</f>
        <v>-</v>
      </c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.75" customHeight="1" x14ac:dyDescent="0.3">
      <c r="A4" s="68" t="s">
        <v>140</v>
      </c>
      <c r="B4" s="17" t="s">
        <v>95</v>
      </c>
      <c r="C4" s="18" t="s">
        <v>13</v>
      </c>
      <c r="D4" s="19">
        <v>24</v>
      </c>
      <c r="E4" s="71">
        <v>0.38612050496250006</v>
      </c>
      <c r="F4" s="20">
        <v>25</v>
      </c>
      <c r="G4" s="21"/>
      <c r="H4" s="22">
        <f t="shared" si="0"/>
        <v>0</v>
      </c>
      <c r="L4" s="87" t="str">
        <f t="shared" ref="L4:L67" si="1">IFERROR(IF($L$2*E4=0, "-", $L$2*E4), "-")</f>
        <v>-</v>
      </c>
      <c r="M4" s="87" t="str">
        <f t="shared" ref="M4:M67" si="2">IFERROR(IF(F4+L4=0, "-", IF(L4&gt;0, F4+L4, "-")), "-")</f>
        <v>-</v>
      </c>
      <c r="N4" s="87" t="str">
        <f t="shared" ref="N4:N67" si="3">IF(G4&gt;0,E4*G4, "-")</f>
        <v>-</v>
      </c>
      <c r="O4" s="87" t="str">
        <f t="shared" ref="O4:O67" si="4">IFERROR(IF($L$2&gt;0, $L$2*N4, "-"), "-")</f>
        <v>-</v>
      </c>
      <c r="P4" s="88"/>
      <c r="Q4" s="87" t="str">
        <f t="shared" ref="Q4:Q67" si="5">IFERROR(IF(O4+H4=0, "-", IF(O4&gt;0, O4+H4, "-")), "-")</f>
        <v>-</v>
      </c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5.75" customHeight="1" x14ac:dyDescent="0.3">
      <c r="A5" s="68" t="s">
        <v>141</v>
      </c>
      <c r="B5" s="17" t="s">
        <v>95</v>
      </c>
      <c r="C5" s="18" t="s">
        <v>14</v>
      </c>
      <c r="D5" s="19">
        <v>24</v>
      </c>
      <c r="E5" s="71">
        <v>0.38826561887895844</v>
      </c>
      <c r="F5" s="20">
        <v>25</v>
      </c>
      <c r="G5" s="21"/>
      <c r="H5" s="22">
        <f t="shared" si="0"/>
        <v>0</v>
      </c>
      <c r="L5" s="87" t="str">
        <f t="shared" si="1"/>
        <v>-</v>
      </c>
      <c r="M5" s="87" t="str">
        <f t="shared" si="2"/>
        <v>-</v>
      </c>
      <c r="N5" s="87" t="str">
        <f t="shared" si="3"/>
        <v>-</v>
      </c>
      <c r="O5" s="87" t="str">
        <f t="shared" si="4"/>
        <v>-</v>
      </c>
      <c r="P5" s="88"/>
      <c r="Q5" s="87" t="str">
        <f t="shared" si="5"/>
        <v>-</v>
      </c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.75" customHeight="1" x14ac:dyDescent="0.3">
      <c r="A6" s="68" t="s">
        <v>125</v>
      </c>
      <c r="B6" s="17" t="s">
        <v>95</v>
      </c>
      <c r="C6" s="18" t="s">
        <v>96</v>
      </c>
      <c r="D6" s="19">
        <v>24</v>
      </c>
      <c r="E6" s="71">
        <v>0.38826561887895844</v>
      </c>
      <c r="F6" s="20">
        <v>25</v>
      </c>
      <c r="G6" s="21"/>
      <c r="H6" s="22">
        <f t="shared" si="0"/>
        <v>0</v>
      </c>
      <c r="L6" s="87" t="str">
        <f t="shared" si="1"/>
        <v>-</v>
      </c>
      <c r="M6" s="87" t="str">
        <f t="shared" si="2"/>
        <v>-</v>
      </c>
      <c r="N6" s="87" t="str">
        <f t="shared" si="3"/>
        <v>-</v>
      </c>
      <c r="O6" s="87" t="str">
        <f t="shared" si="4"/>
        <v>-</v>
      </c>
      <c r="P6" s="88"/>
      <c r="Q6" s="87" t="str">
        <f t="shared" si="5"/>
        <v>-</v>
      </c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.75" customHeight="1" x14ac:dyDescent="0.3">
      <c r="A7" s="68" t="s">
        <v>125</v>
      </c>
      <c r="B7" s="17" t="s">
        <v>95</v>
      </c>
      <c r="C7" s="18" t="s">
        <v>97</v>
      </c>
      <c r="D7" s="19">
        <v>24</v>
      </c>
      <c r="E7" s="71">
        <v>0.38826561887895844</v>
      </c>
      <c r="F7" s="20">
        <v>25</v>
      </c>
      <c r="G7" s="21"/>
      <c r="H7" s="22">
        <f t="shared" si="0"/>
        <v>0</v>
      </c>
      <c r="L7" s="87" t="str">
        <f t="shared" si="1"/>
        <v>-</v>
      </c>
      <c r="M7" s="87" t="str">
        <f t="shared" si="2"/>
        <v>-</v>
      </c>
      <c r="N7" s="87" t="str">
        <f t="shared" si="3"/>
        <v>-</v>
      </c>
      <c r="O7" s="87" t="str">
        <f t="shared" si="4"/>
        <v>-</v>
      </c>
      <c r="P7" s="88"/>
      <c r="Q7" s="87" t="str">
        <f t="shared" si="5"/>
        <v>-</v>
      </c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28" customFormat="1" ht="15.75" customHeight="1" x14ac:dyDescent="0.3">
      <c r="A8" s="68" t="s">
        <v>125</v>
      </c>
      <c r="B8" s="23" t="s">
        <v>95</v>
      </c>
      <c r="C8" s="24" t="s">
        <v>98</v>
      </c>
      <c r="D8" s="25">
        <v>24</v>
      </c>
      <c r="E8" s="72">
        <v>0.38826561887895844</v>
      </c>
      <c r="F8" s="20">
        <v>25</v>
      </c>
      <c r="G8" s="26"/>
      <c r="H8" s="27">
        <f t="shared" si="0"/>
        <v>0</v>
      </c>
      <c r="L8" s="87" t="str">
        <f t="shared" si="1"/>
        <v>-</v>
      </c>
      <c r="M8" s="87" t="str">
        <f t="shared" si="2"/>
        <v>-</v>
      </c>
      <c r="N8" s="87" t="str">
        <f t="shared" si="3"/>
        <v>-</v>
      </c>
      <c r="O8" s="87" t="str">
        <f t="shared" si="4"/>
        <v>-</v>
      </c>
      <c r="P8" s="88"/>
      <c r="Q8" s="87" t="str">
        <f t="shared" si="5"/>
        <v>-</v>
      </c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s="28" customFormat="1" ht="15.75" customHeight="1" x14ac:dyDescent="0.3">
      <c r="A9" s="68" t="s">
        <v>125</v>
      </c>
      <c r="B9" s="23" t="s">
        <v>109</v>
      </c>
      <c r="C9" s="24" t="s">
        <v>102</v>
      </c>
      <c r="D9" s="25">
        <v>24</v>
      </c>
      <c r="E9" s="72" t="s">
        <v>125</v>
      </c>
      <c r="F9" s="20">
        <v>15</v>
      </c>
      <c r="G9" s="26"/>
      <c r="H9" s="27">
        <f t="shared" si="0"/>
        <v>0</v>
      </c>
      <c r="L9" s="87" t="str">
        <f t="shared" si="1"/>
        <v>-</v>
      </c>
      <c r="M9" s="87" t="str">
        <f t="shared" si="2"/>
        <v>-</v>
      </c>
      <c r="N9" s="87" t="str">
        <f t="shared" si="3"/>
        <v>-</v>
      </c>
      <c r="O9" s="87" t="str">
        <f t="shared" si="4"/>
        <v>-</v>
      </c>
      <c r="P9" s="88"/>
      <c r="Q9" s="87" t="str">
        <f t="shared" si="5"/>
        <v>-</v>
      </c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s="28" customFormat="1" ht="15.75" customHeight="1" x14ac:dyDescent="0.3">
      <c r="A10" s="68" t="s">
        <v>125</v>
      </c>
      <c r="B10" s="30" t="s">
        <v>90</v>
      </c>
      <c r="C10" s="31" t="s">
        <v>11</v>
      </c>
      <c r="D10" s="32">
        <v>24</v>
      </c>
      <c r="E10" s="73">
        <v>0.26492156868260414</v>
      </c>
      <c r="F10" s="33">
        <v>20</v>
      </c>
      <c r="G10" s="34"/>
      <c r="H10" s="35">
        <f t="shared" ref="H10:H81" si="6">F10*G10</f>
        <v>0</v>
      </c>
      <c r="L10" s="87" t="str">
        <f t="shared" si="1"/>
        <v>-</v>
      </c>
      <c r="M10" s="87" t="str">
        <f t="shared" si="2"/>
        <v>-</v>
      </c>
      <c r="N10" s="87" t="str">
        <f t="shared" si="3"/>
        <v>-</v>
      </c>
      <c r="O10" s="87" t="str">
        <f t="shared" si="4"/>
        <v>-</v>
      </c>
      <c r="P10" s="88"/>
      <c r="Q10" s="87" t="str">
        <f t="shared" si="5"/>
        <v>-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ht="15.75" customHeight="1" x14ac:dyDescent="0.3">
      <c r="A11" s="68" t="s">
        <v>142</v>
      </c>
      <c r="B11" s="36" t="s">
        <v>12</v>
      </c>
      <c r="C11" s="37" t="s">
        <v>6</v>
      </c>
      <c r="D11" s="38">
        <v>24</v>
      </c>
      <c r="E11" s="74">
        <v>0.38933817583718749</v>
      </c>
      <c r="F11" s="33">
        <v>15</v>
      </c>
      <c r="G11" s="39"/>
      <c r="H11" s="40">
        <f t="shared" si="6"/>
        <v>0</v>
      </c>
      <c r="L11" s="87" t="str">
        <f t="shared" si="1"/>
        <v>-</v>
      </c>
      <c r="M11" s="87" t="str">
        <f t="shared" si="2"/>
        <v>-</v>
      </c>
      <c r="N11" s="87" t="str">
        <f t="shared" si="3"/>
        <v>-</v>
      </c>
      <c r="O11" s="87" t="str">
        <f t="shared" si="4"/>
        <v>-</v>
      </c>
      <c r="P11" s="88"/>
      <c r="Q11" s="87" t="str">
        <f t="shared" si="5"/>
        <v>-</v>
      </c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.75" customHeight="1" x14ac:dyDescent="0.3">
      <c r="A12" s="68" t="s">
        <v>143</v>
      </c>
      <c r="B12" s="36" t="s">
        <v>12</v>
      </c>
      <c r="C12" s="37" t="s">
        <v>13</v>
      </c>
      <c r="D12" s="38">
        <v>24</v>
      </c>
      <c r="E12" s="74">
        <v>0.38933817583718749</v>
      </c>
      <c r="F12" s="33">
        <v>15</v>
      </c>
      <c r="G12" s="39"/>
      <c r="H12" s="40">
        <f t="shared" si="6"/>
        <v>0</v>
      </c>
      <c r="L12" s="87" t="str">
        <f t="shared" si="1"/>
        <v>-</v>
      </c>
      <c r="M12" s="87" t="str">
        <f t="shared" si="2"/>
        <v>-</v>
      </c>
      <c r="N12" s="87" t="str">
        <f t="shared" si="3"/>
        <v>-</v>
      </c>
      <c r="O12" s="87" t="str">
        <f t="shared" si="4"/>
        <v>-</v>
      </c>
      <c r="P12" s="88"/>
      <c r="Q12" s="87" t="str">
        <f t="shared" si="5"/>
        <v>-</v>
      </c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.75" customHeight="1" x14ac:dyDescent="0.3">
      <c r="A13" s="68" t="s">
        <v>144</v>
      </c>
      <c r="B13" s="36" t="s">
        <v>12</v>
      </c>
      <c r="C13" s="37" t="s">
        <v>14</v>
      </c>
      <c r="D13" s="38">
        <v>24</v>
      </c>
      <c r="E13" s="74">
        <v>0.38933817583718749</v>
      </c>
      <c r="F13" s="33">
        <v>15</v>
      </c>
      <c r="G13" s="39"/>
      <c r="H13" s="40">
        <f t="shared" si="6"/>
        <v>0</v>
      </c>
      <c r="L13" s="87" t="str">
        <f t="shared" si="1"/>
        <v>-</v>
      </c>
      <c r="M13" s="87" t="str">
        <f t="shared" si="2"/>
        <v>-</v>
      </c>
      <c r="N13" s="87" t="str">
        <f t="shared" si="3"/>
        <v>-</v>
      </c>
      <c r="O13" s="87" t="str">
        <f t="shared" si="4"/>
        <v>-</v>
      </c>
      <c r="P13" s="88"/>
      <c r="Q13" s="87" t="str">
        <f t="shared" si="5"/>
        <v>-</v>
      </c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2.6" customHeight="1" x14ac:dyDescent="0.3">
      <c r="A14" s="68" t="s">
        <v>145</v>
      </c>
      <c r="B14" s="36" t="s">
        <v>12</v>
      </c>
      <c r="C14" s="37" t="s">
        <v>23</v>
      </c>
      <c r="D14" s="38">
        <v>24</v>
      </c>
      <c r="E14" s="74">
        <v>0.38933817583718749</v>
      </c>
      <c r="F14" s="33">
        <v>15</v>
      </c>
      <c r="G14" s="39"/>
      <c r="H14" s="40">
        <f t="shared" si="6"/>
        <v>0</v>
      </c>
      <c r="L14" s="87" t="str">
        <f t="shared" si="1"/>
        <v>-</v>
      </c>
      <c r="M14" s="87" t="str">
        <f t="shared" si="2"/>
        <v>-</v>
      </c>
      <c r="N14" s="87" t="str">
        <f t="shared" si="3"/>
        <v>-</v>
      </c>
      <c r="O14" s="87" t="str">
        <f t="shared" si="4"/>
        <v>-</v>
      </c>
      <c r="P14" s="88"/>
      <c r="Q14" s="87" t="str">
        <f t="shared" si="5"/>
        <v>-</v>
      </c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.75" customHeight="1" x14ac:dyDescent="0.3">
      <c r="A15" s="68" t="s">
        <v>146</v>
      </c>
      <c r="B15" s="36" t="s">
        <v>12</v>
      </c>
      <c r="C15" s="37" t="s">
        <v>15</v>
      </c>
      <c r="D15" s="38">
        <v>24</v>
      </c>
      <c r="E15" s="74">
        <v>0.38933817583718749</v>
      </c>
      <c r="F15" s="33">
        <v>15</v>
      </c>
      <c r="G15" s="39"/>
      <c r="H15" s="40">
        <f t="shared" si="6"/>
        <v>0</v>
      </c>
      <c r="L15" s="87" t="str">
        <f t="shared" si="1"/>
        <v>-</v>
      </c>
      <c r="M15" s="87" t="str">
        <f t="shared" si="2"/>
        <v>-</v>
      </c>
      <c r="N15" s="87" t="str">
        <f t="shared" si="3"/>
        <v>-</v>
      </c>
      <c r="O15" s="87" t="str">
        <f t="shared" si="4"/>
        <v>-</v>
      </c>
      <c r="P15" s="88"/>
      <c r="Q15" s="87" t="str">
        <f t="shared" si="5"/>
        <v>-</v>
      </c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28" customFormat="1" ht="15.75" customHeight="1" x14ac:dyDescent="0.3">
      <c r="A16" s="68" t="s">
        <v>147</v>
      </c>
      <c r="B16" s="30" t="s">
        <v>12</v>
      </c>
      <c r="C16" s="31" t="s">
        <v>16</v>
      </c>
      <c r="D16" s="32">
        <v>24</v>
      </c>
      <c r="E16" s="74">
        <v>0.38933817583718749</v>
      </c>
      <c r="F16" s="33">
        <v>15</v>
      </c>
      <c r="G16" s="34"/>
      <c r="H16" s="35">
        <f t="shared" si="6"/>
        <v>0</v>
      </c>
      <c r="L16" s="87" t="str">
        <f t="shared" si="1"/>
        <v>-</v>
      </c>
      <c r="M16" s="87" t="str">
        <f t="shared" si="2"/>
        <v>-</v>
      </c>
      <c r="N16" s="87" t="str">
        <f t="shared" si="3"/>
        <v>-</v>
      </c>
      <c r="O16" s="87" t="str">
        <f t="shared" si="4"/>
        <v>-</v>
      </c>
      <c r="P16" s="88"/>
      <c r="Q16" s="87" t="str">
        <f t="shared" si="5"/>
        <v>-</v>
      </c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27" s="28" customFormat="1" ht="15.75" customHeight="1" x14ac:dyDescent="0.3">
      <c r="A17" s="68" t="s">
        <v>125</v>
      </c>
      <c r="B17" s="17" t="s">
        <v>118</v>
      </c>
      <c r="C17" s="18" t="s">
        <v>6</v>
      </c>
      <c r="D17" s="19">
        <v>24</v>
      </c>
      <c r="E17" s="71">
        <v>0.38933817583718749</v>
      </c>
      <c r="F17" s="20">
        <v>21</v>
      </c>
      <c r="G17" s="21"/>
      <c r="H17" s="22">
        <f t="shared" ref="H17:H18" si="7">F17*G17</f>
        <v>0</v>
      </c>
      <c r="L17" s="87" t="str">
        <f t="shared" si="1"/>
        <v>-</v>
      </c>
      <c r="M17" s="87" t="str">
        <f t="shared" si="2"/>
        <v>-</v>
      </c>
      <c r="N17" s="87" t="str">
        <f t="shared" si="3"/>
        <v>-</v>
      </c>
      <c r="O17" s="87" t="str">
        <f t="shared" si="4"/>
        <v>-</v>
      </c>
      <c r="P17" s="88"/>
      <c r="Q17" s="87" t="str">
        <f t="shared" si="5"/>
        <v>-</v>
      </c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1:27" s="28" customFormat="1" ht="15.75" customHeight="1" x14ac:dyDescent="0.3">
      <c r="A18" s="68" t="s">
        <v>125</v>
      </c>
      <c r="B18" s="17" t="s">
        <v>118</v>
      </c>
      <c r="C18" s="18" t="s">
        <v>14</v>
      </c>
      <c r="D18" s="19">
        <v>24</v>
      </c>
      <c r="E18" s="71">
        <v>0.38933817583718749</v>
      </c>
      <c r="F18" s="20">
        <v>21</v>
      </c>
      <c r="G18" s="21"/>
      <c r="H18" s="22">
        <f t="shared" si="7"/>
        <v>0</v>
      </c>
      <c r="L18" s="87" t="str">
        <f t="shared" si="1"/>
        <v>-</v>
      </c>
      <c r="M18" s="87" t="str">
        <f t="shared" si="2"/>
        <v>-</v>
      </c>
      <c r="N18" s="87" t="str">
        <f t="shared" si="3"/>
        <v>-</v>
      </c>
      <c r="O18" s="87" t="str">
        <f t="shared" si="4"/>
        <v>-</v>
      </c>
      <c r="P18" s="88"/>
      <c r="Q18" s="87" t="str">
        <f t="shared" si="5"/>
        <v>-</v>
      </c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27" s="28" customFormat="1" ht="15.75" customHeight="1" x14ac:dyDescent="0.3">
      <c r="A19" s="68" t="s">
        <v>125</v>
      </c>
      <c r="B19" s="23" t="s">
        <v>101</v>
      </c>
      <c r="C19" s="24" t="s">
        <v>100</v>
      </c>
      <c r="D19" s="25">
        <v>24</v>
      </c>
      <c r="E19" s="72">
        <v>0.26813923955729169</v>
      </c>
      <c r="F19" s="20">
        <v>20</v>
      </c>
      <c r="G19" s="26"/>
      <c r="H19" s="27">
        <f t="shared" si="6"/>
        <v>0</v>
      </c>
      <c r="L19" s="87" t="str">
        <f t="shared" si="1"/>
        <v>-</v>
      </c>
      <c r="M19" s="87" t="str">
        <f t="shared" si="2"/>
        <v>-</v>
      </c>
      <c r="N19" s="87" t="str">
        <f t="shared" si="3"/>
        <v>-</v>
      </c>
      <c r="O19" s="87" t="str">
        <f t="shared" si="4"/>
        <v>-</v>
      </c>
      <c r="P19" s="88"/>
      <c r="Q19" s="87" t="str">
        <f t="shared" si="5"/>
        <v>-</v>
      </c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27" ht="15.75" customHeight="1" x14ac:dyDescent="0.3">
      <c r="A20" s="68" t="s">
        <v>125</v>
      </c>
      <c r="B20" s="36" t="s">
        <v>7</v>
      </c>
      <c r="C20" s="37" t="s">
        <v>8</v>
      </c>
      <c r="D20" s="38">
        <v>24</v>
      </c>
      <c r="E20" s="74">
        <v>0.37861260625489584</v>
      </c>
      <c r="F20" s="33">
        <v>25</v>
      </c>
      <c r="G20" s="39"/>
      <c r="H20" s="40">
        <f t="shared" ref="H20" si="8">F20*G20</f>
        <v>0</v>
      </c>
      <c r="L20" s="87" t="str">
        <f t="shared" si="1"/>
        <v>-</v>
      </c>
      <c r="M20" s="87" t="str">
        <f t="shared" si="2"/>
        <v>-</v>
      </c>
      <c r="N20" s="87" t="str">
        <f t="shared" si="3"/>
        <v>-</v>
      </c>
      <c r="O20" s="87" t="str">
        <f t="shared" si="4"/>
        <v>-</v>
      </c>
      <c r="P20" s="88"/>
      <c r="Q20" s="87" t="str">
        <f t="shared" si="5"/>
        <v>-</v>
      </c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.75" customHeight="1" x14ac:dyDescent="0.3">
      <c r="A21" s="68" t="s">
        <v>148</v>
      </c>
      <c r="B21" s="36" t="s">
        <v>17</v>
      </c>
      <c r="C21" s="37" t="s">
        <v>18</v>
      </c>
      <c r="D21" s="38">
        <v>24</v>
      </c>
      <c r="E21" s="74">
        <v>0.37861260625489584</v>
      </c>
      <c r="F21" s="33">
        <v>20</v>
      </c>
      <c r="G21" s="39"/>
      <c r="H21" s="40">
        <f t="shared" si="6"/>
        <v>0</v>
      </c>
      <c r="L21" s="87" t="str">
        <f t="shared" si="1"/>
        <v>-</v>
      </c>
      <c r="M21" s="87" t="str">
        <f t="shared" si="2"/>
        <v>-</v>
      </c>
      <c r="N21" s="87" t="str">
        <f t="shared" si="3"/>
        <v>-</v>
      </c>
      <c r="O21" s="87" t="str">
        <f t="shared" si="4"/>
        <v>-</v>
      </c>
      <c r="P21" s="88"/>
      <c r="Q21" s="87" t="str">
        <f t="shared" si="5"/>
        <v>-</v>
      </c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.75" customHeight="1" x14ac:dyDescent="0.3">
      <c r="A22" s="68" t="s">
        <v>149</v>
      </c>
      <c r="B22" s="36" t="s">
        <v>17</v>
      </c>
      <c r="C22" s="37" t="s">
        <v>19</v>
      </c>
      <c r="D22" s="38">
        <v>24</v>
      </c>
      <c r="E22" s="74">
        <v>0.37861260625489584</v>
      </c>
      <c r="F22" s="33">
        <v>20</v>
      </c>
      <c r="G22" s="39"/>
      <c r="H22" s="40">
        <f t="shared" si="6"/>
        <v>0</v>
      </c>
      <c r="L22" s="87" t="str">
        <f t="shared" si="1"/>
        <v>-</v>
      </c>
      <c r="M22" s="87" t="str">
        <f t="shared" si="2"/>
        <v>-</v>
      </c>
      <c r="N22" s="87" t="str">
        <f t="shared" si="3"/>
        <v>-</v>
      </c>
      <c r="O22" s="87" t="str">
        <f t="shared" si="4"/>
        <v>-</v>
      </c>
      <c r="P22" s="88"/>
      <c r="Q22" s="87" t="str">
        <f t="shared" si="5"/>
        <v>-</v>
      </c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.75" customHeight="1" x14ac:dyDescent="0.3">
      <c r="A23" s="68" t="s">
        <v>150</v>
      </c>
      <c r="B23" s="36" t="s">
        <v>17</v>
      </c>
      <c r="C23" s="37" t="s">
        <v>6</v>
      </c>
      <c r="D23" s="38">
        <v>24</v>
      </c>
      <c r="E23" s="74">
        <v>0.37861260625489584</v>
      </c>
      <c r="F23" s="33">
        <v>20</v>
      </c>
      <c r="G23" s="39"/>
      <c r="H23" s="40">
        <f t="shared" si="6"/>
        <v>0</v>
      </c>
      <c r="L23" s="87" t="str">
        <f t="shared" si="1"/>
        <v>-</v>
      </c>
      <c r="M23" s="87" t="str">
        <f t="shared" si="2"/>
        <v>-</v>
      </c>
      <c r="N23" s="87" t="str">
        <f t="shared" si="3"/>
        <v>-</v>
      </c>
      <c r="O23" s="87" t="str">
        <f t="shared" si="4"/>
        <v>-</v>
      </c>
      <c r="P23" s="88"/>
      <c r="Q23" s="87" t="str">
        <f t="shared" si="5"/>
        <v>-</v>
      </c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 customHeight="1" x14ac:dyDescent="0.3">
      <c r="A24" s="68" t="s">
        <v>125</v>
      </c>
      <c r="B24" s="36" t="s">
        <v>17</v>
      </c>
      <c r="C24" s="37" t="s">
        <v>14</v>
      </c>
      <c r="D24" s="38">
        <v>24</v>
      </c>
      <c r="E24" s="74">
        <v>0.37861260625489584</v>
      </c>
      <c r="F24" s="33">
        <v>20</v>
      </c>
      <c r="G24" s="39"/>
      <c r="H24" s="40">
        <f t="shared" si="6"/>
        <v>0</v>
      </c>
      <c r="L24" s="87" t="str">
        <f t="shared" si="1"/>
        <v>-</v>
      </c>
      <c r="M24" s="87" t="str">
        <f t="shared" si="2"/>
        <v>-</v>
      </c>
      <c r="N24" s="87" t="str">
        <f t="shared" si="3"/>
        <v>-</v>
      </c>
      <c r="O24" s="87" t="str">
        <f t="shared" si="4"/>
        <v>-</v>
      </c>
      <c r="P24" s="88"/>
      <c r="Q24" s="87" t="str">
        <f t="shared" si="5"/>
        <v>-</v>
      </c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 customHeight="1" x14ac:dyDescent="0.3">
      <c r="A25" s="68" t="s">
        <v>151</v>
      </c>
      <c r="B25" s="36" t="s">
        <v>17</v>
      </c>
      <c r="C25" s="37" t="s">
        <v>20</v>
      </c>
      <c r="D25" s="38">
        <v>24</v>
      </c>
      <c r="E25" s="74">
        <v>0.37861260625489584</v>
      </c>
      <c r="F25" s="33">
        <v>20</v>
      </c>
      <c r="G25" s="39"/>
      <c r="H25" s="40">
        <f t="shared" si="6"/>
        <v>0</v>
      </c>
      <c r="L25" s="87" t="str">
        <f t="shared" si="1"/>
        <v>-</v>
      </c>
      <c r="M25" s="87" t="str">
        <f t="shared" si="2"/>
        <v>-</v>
      </c>
      <c r="N25" s="87" t="str">
        <f t="shared" si="3"/>
        <v>-</v>
      </c>
      <c r="O25" s="87" t="str">
        <f t="shared" si="4"/>
        <v>-</v>
      </c>
      <c r="P25" s="88"/>
      <c r="Q25" s="87" t="str">
        <f t="shared" si="5"/>
        <v>-</v>
      </c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 customHeight="1" x14ac:dyDescent="0.3">
      <c r="A26" s="68" t="s">
        <v>152</v>
      </c>
      <c r="B26" s="36" t="s">
        <v>17</v>
      </c>
      <c r="C26" s="37" t="s">
        <v>13</v>
      </c>
      <c r="D26" s="38">
        <v>24</v>
      </c>
      <c r="E26" s="74">
        <v>0.37861260625489584</v>
      </c>
      <c r="F26" s="33">
        <v>20</v>
      </c>
      <c r="G26" s="39"/>
      <c r="H26" s="40">
        <f t="shared" si="6"/>
        <v>0</v>
      </c>
      <c r="L26" s="87" t="str">
        <f t="shared" si="1"/>
        <v>-</v>
      </c>
      <c r="M26" s="87" t="str">
        <f t="shared" si="2"/>
        <v>-</v>
      </c>
      <c r="N26" s="87" t="str">
        <f t="shared" si="3"/>
        <v>-</v>
      </c>
      <c r="O26" s="87" t="str">
        <f t="shared" si="4"/>
        <v>-</v>
      </c>
      <c r="P26" s="88"/>
      <c r="Q26" s="87" t="str">
        <f t="shared" si="5"/>
        <v>-</v>
      </c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.75" customHeight="1" x14ac:dyDescent="0.3">
      <c r="A27" s="68" t="s">
        <v>153</v>
      </c>
      <c r="B27" s="36" t="s">
        <v>17</v>
      </c>
      <c r="C27" s="37" t="s">
        <v>15</v>
      </c>
      <c r="D27" s="38">
        <v>24</v>
      </c>
      <c r="E27" s="74">
        <v>0.37861260625489584</v>
      </c>
      <c r="F27" s="33">
        <v>20</v>
      </c>
      <c r="G27" s="39"/>
      <c r="H27" s="40">
        <f t="shared" si="6"/>
        <v>0</v>
      </c>
      <c r="L27" s="87" t="str">
        <f t="shared" si="1"/>
        <v>-</v>
      </c>
      <c r="M27" s="87" t="str">
        <f t="shared" si="2"/>
        <v>-</v>
      </c>
      <c r="N27" s="87" t="str">
        <f t="shared" si="3"/>
        <v>-</v>
      </c>
      <c r="O27" s="87" t="str">
        <f t="shared" si="4"/>
        <v>-</v>
      </c>
      <c r="P27" s="88"/>
      <c r="Q27" s="87" t="str">
        <f t="shared" si="5"/>
        <v>-</v>
      </c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 customHeight="1" x14ac:dyDescent="0.3">
      <c r="A28" s="68" t="s">
        <v>125</v>
      </c>
      <c r="B28" s="36" t="s">
        <v>17</v>
      </c>
      <c r="C28" s="37" t="s">
        <v>21</v>
      </c>
      <c r="D28" s="38">
        <v>24</v>
      </c>
      <c r="E28" s="74">
        <v>0.37861260625489584</v>
      </c>
      <c r="F28" s="33">
        <v>20</v>
      </c>
      <c r="G28" s="39"/>
      <c r="H28" s="40">
        <f t="shared" si="6"/>
        <v>0</v>
      </c>
      <c r="L28" s="87" t="str">
        <f t="shared" si="1"/>
        <v>-</v>
      </c>
      <c r="M28" s="87" t="str">
        <f t="shared" si="2"/>
        <v>-</v>
      </c>
      <c r="N28" s="87" t="str">
        <f t="shared" si="3"/>
        <v>-</v>
      </c>
      <c r="O28" s="87" t="str">
        <f t="shared" si="4"/>
        <v>-</v>
      </c>
      <c r="P28" s="88"/>
      <c r="Q28" s="87" t="str">
        <f t="shared" si="5"/>
        <v>-</v>
      </c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.75" customHeight="1" x14ac:dyDescent="0.3">
      <c r="A29" s="68" t="s">
        <v>125</v>
      </c>
      <c r="B29" s="36" t="s">
        <v>17</v>
      </c>
      <c r="C29" s="37" t="s">
        <v>22</v>
      </c>
      <c r="D29" s="38">
        <v>24</v>
      </c>
      <c r="E29" s="74">
        <v>0.37861260625489584</v>
      </c>
      <c r="F29" s="33">
        <v>20</v>
      </c>
      <c r="G29" s="39"/>
      <c r="H29" s="40">
        <f t="shared" si="6"/>
        <v>0</v>
      </c>
      <c r="L29" s="87" t="str">
        <f t="shared" si="1"/>
        <v>-</v>
      </c>
      <c r="M29" s="87" t="str">
        <f t="shared" si="2"/>
        <v>-</v>
      </c>
      <c r="N29" s="87" t="str">
        <f t="shared" si="3"/>
        <v>-</v>
      </c>
      <c r="O29" s="87" t="str">
        <f t="shared" si="4"/>
        <v>-</v>
      </c>
      <c r="P29" s="88"/>
      <c r="Q29" s="87" t="str">
        <f t="shared" si="5"/>
        <v>-</v>
      </c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.75" customHeight="1" x14ac:dyDescent="0.3">
      <c r="A30" s="68" t="s">
        <v>125</v>
      </c>
      <c r="B30" s="36" t="s">
        <v>17</v>
      </c>
      <c r="C30" s="37" t="s">
        <v>93</v>
      </c>
      <c r="D30" s="38">
        <v>24</v>
      </c>
      <c r="E30" s="74">
        <v>0.37861260625489584</v>
      </c>
      <c r="F30" s="33">
        <v>20</v>
      </c>
      <c r="G30" s="39"/>
      <c r="H30" s="40">
        <f t="shared" ref="H30" si="9">F30*G30</f>
        <v>0</v>
      </c>
      <c r="L30" s="87" t="str">
        <f t="shared" si="1"/>
        <v>-</v>
      </c>
      <c r="M30" s="87" t="str">
        <f t="shared" si="2"/>
        <v>-</v>
      </c>
      <c r="N30" s="87" t="str">
        <f t="shared" si="3"/>
        <v>-</v>
      </c>
      <c r="O30" s="87" t="str">
        <f t="shared" si="4"/>
        <v>-</v>
      </c>
      <c r="P30" s="88"/>
      <c r="Q30" s="87" t="str">
        <f t="shared" si="5"/>
        <v>-</v>
      </c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75" customHeight="1" x14ac:dyDescent="0.3">
      <c r="A31" s="68" t="s">
        <v>125</v>
      </c>
      <c r="B31" s="36" t="s">
        <v>17</v>
      </c>
      <c r="C31" s="37" t="s">
        <v>92</v>
      </c>
      <c r="D31" s="38">
        <v>24</v>
      </c>
      <c r="E31" s="74">
        <v>0.37861260625489584</v>
      </c>
      <c r="F31" s="33">
        <v>20</v>
      </c>
      <c r="G31" s="39"/>
      <c r="H31" s="40">
        <f t="shared" si="6"/>
        <v>0</v>
      </c>
      <c r="L31" s="87" t="str">
        <f t="shared" si="1"/>
        <v>-</v>
      </c>
      <c r="M31" s="87" t="str">
        <f t="shared" si="2"/>
        <v>-</v>
      </c>
      <c r="N31" s="87" t="str">
        <f t="shared" si="3"/>
        <v>-</v>
      </c>
      <c r="O31" s="87" t="str">
        <f t="shared" si="4"/>
        <v>-</v>
      </c>
      <c r="P31" s="88"/>
      <c r="Q31" s="87" t="str">
        <f t="shared" si="5"/>
        <v>-</v>
      </c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 customHeight="1" x14ac:dyDescent="0.3">
      <c r="A32" s="68" t="s">
        <v>125</v>
      </c>
      <c r="B32" s="36" t="s">
        <v>17</v>
      </c>
      <c r="C32" s="37" t="s">
        <v>23</v>
      </c>
      <c r="D32" s="38">
        <v>24</v>
      </c>
      <c r="E32" s="74">
        <v>0.37861260625489584</v>
      </c>
      <c r="F32" s="33">
        <v>20</v>
      </c>
      <c r="G32" s="39"/>
      <c r="H32" s="40">
        <f t="shared" si="6"/>
        <v>0</v>
      </c>
      <c r="L32" s="87" t="str">
        <f t="shared" si="1"/>
        <v>-</v>
      </c>
      <c r="M32" s="87" t="str">
        <f t="shared" si="2"/>
        <v>-</v>
      </c>
      <c r="N32" s="87" t="str">
        <f t="shared" si="3"/>
        <v>-</v>
      </c>
      <c r="O32" s="87" t="str">
        <f t="shared" si="4"/>
        <v>-</v>
      </c>
      <c r="P32" s="88"/>
      <c r="Q32" s="87" t="str">
        <f t="shared" si="5"/>
        <v>-</v>
      </c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s="28" customFormat="1" ht="15.75" customHeight="1" x14ac:dyDescent="0.3">
      <c r="A33" s="68" t="s">
        <v>154</v>
      </c>
      <c r="B33" s="30" t="s">
        <v>17</v>
      </c>
      <c r="C33" s="31" t="s">
        <v>24</v>
      </c>
      <c r="D33" s="32">
        <v>24</v>
      </c>
      <c r="E33" s="74">
        <v>0.37861260625489584</v>
      </c>
      <c r="F33" s="33">
        <v>20</v>
      </c>
      <c r="G33" s="34"/>
      <c r="H33" s="35">
        <f t="shared" si="6"/>
        <v>0</v>
      </c>
      <c r="L33" s="87" t="str">
        <f t="shared" si="1"/>
        <v>-</v>
      </c>
      <c r="M33" s="87" t="str">
        <f t="shared" si="2"/>
        <v>-</v>
      </c>
      <c r="N33" s="87" t="str">
        <f t="shared" si="3"/>
        <v>-</v>
      </c>
      <c r="O33" s="87" t="str">
        <f t="shared" si="4"/>
        <v>-</v>
      </c>
      <c r="P33" s="88"/>
      <c r="Q33" s="87" t="str">
        <f t="shared" si="5"/>
        <v>-</v>
      </c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spans="1:27" ht="15.75" customHeight="1" x14ac:dyDescent="0.3">
      <c r="A34" s="68" t="s">
        <v>155</v>
      </c>
      <c r="B34" s="36" t="s">
        <v>126</v>
      </c>
      <c r="C34" s="37" t="s">
        <v>14</v>
      </c>
      <c r="D34" s="38">
        <v>24</v>
      </c>
      <c r="E34" s="74">
        <v>0.54914916261333335</v>
      </c>
      <c r="F34" s="33">
        <v>25</v>
      </c>
      <c r="G34" s="39"/>
      <c r="H34" s="40">
        <f t="shared" si="6"/>
        <v>0</v>
      </c>
      <c r="L34" s="87" t="str">
        <f t="shared" si="1"/>
        <v>-</v>
      </c>
      <c r="M34" s="87" t="str">
        <f t="shared" si="2"/>
        <v>-</v>
      </c>
      <c r="N34" s="87" t="str">
        <f t="shared" si="3"/>
        <v>-</v>
      </c>
      <c r="O34" s="87" t="str">
        <f t="shared" si="4"/>
        <v>-</v>
      </c>
      <c r="P34" s="88"/>
      <c r="Q34" s="87" t="str">
        <f t="shared" si="5"/>
        <v>-</v>
      </c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.75" customHeight="1" x14ac:dyDescent="0.3">
      <c r="A35" s="68" t="s">
        <v>156</v>
      </c>
      <c r="B35" s="36" t="s">
        <v>126</v>
      </c>
      <c r="C35" s="37" t="s">
        <v>6</v>
      </c>
      <c r="D35" s="38">
        <v>24</v>
      </c>
      <c r="E35" s="74">
        <v>0.54914916261333335</v>
      </c>
      <c r="F35" s="33">
        <v>25</v>
      </c>
      <c r="G35" s="39"/>
      <c r="H35" s="40">
        <f t="shared" si="6"/>
        <v>0</v>
      </c>
      <c r="L35" s="87" t="str">
        <f t="shared" si="1"/>
        <v>-</v>
      </c>
      <c r="M35" s="87" t="str">
        <f t="shared" si="2"/>
        <v>-</v>
      </c>
      <c r="N35" s="87" t="str">
        <f t="shared" si="3"/>
        <v>-</v>
      </c>
      <c r="O35" s="87" t="str">
        <f t="shared" si="4"/>
        <v>-</v>
      </c>
      <c r="P35" s="88"/>
      <c r="Q35" s="87" t="str">
        <f t="shared" si="5"/>
        <v>-</v>
      </c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.75" customHeight="1" x14ac:dyDescent="0.3">
      <c r="A36" s="68" t="s">
        <v>157</v>
      </c>
      <c r="B36" s="36" t="s">
        <v>126</v>
      </c>
      <c r="C36" s="37" t="s">
        <v>13</v>
      </c>
      <c r="D36" s="38">
        <v>24</v>
      </c>
      <c r="E36" s="74">
        <v>0.54914916261333335</v>
      </c>
      <c r="F36" s="33">
        <v>25</v>
      </c>
      <c r="G36" s="39"/>
      <c r="H36" s="40">
        <f t="shared" si="6"/>
        <v>0</v>
      </c>
      <c r="L36" s="87" t="str">
        <f t="shared" si="1"/>
        <v>-</v>
      </c>
      <c r="M36" s="87" t="str">
        <f t="shared" si="2"/>
        <v>-</v>
      </c>
      <c r="N36" s="87" t="str">
        <f t="shared" si="3"/>
        <v>-</v>
      </c>
      <c r="O36" s="87" t="str">
        <f t="shared" si="4"/>
        <v>-</v>
      </c>
      <c r="P36" s="88"/>
      <c r="Q36" s="87" t="str">
        <f t="shared" si="5"/>
        <v>-</v>
      </c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5.75" customHeight="1" x14ac:dyDescent="0.3">
      <c r="A37" s="68" t="s">
        <v>127</v>
      </c>
      <c r="B37" s="23" t="s">
        <v>103</v>
      </c>
      <c r="C37" s="24" t="s">
        <v>100</v>
      </c>
      <c r="D37" s="25">
        <v>24</v>
      </c>
      <c r="E37" s="72">
        <v>0.26813923955729169</v>
      </c>
      <c r="F37" s="20">
        <v>20</v>
      </c>
      <c r="G37" s="26"/>
      <c r="H37" s="27">
        <f t="shared" ref="H37" si="10">F37*G37</f>
        <v>0</v>
      </c>
      <c r="L37" s="87" t="str">
        <f t="shared" si="1"/>
        <v>-</v>
      </c>
      <c r="M37" s="87" t="str">
        <f t="shared" si="2"/>
        <v>-</v>
      </c>
      <c r="N37" s="87" t="str">
        <f t="shared" si="3"/>
        <v>-</v>
      </c>
      <c r="O37" s="87" t="str">
        <f t="shared" si="4"/>
        <v>-</v>
      </c>
      <c r="P37" s="88"/>
      <c r="Q37" s="87" t="str">
        <f t="shared" si="5"/>
        <v>-</v>
      </c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5.75" customHeight="1" x14ac:dyDescent="0.3">
      <c r="A38" s="67" t="s">
        <v>128</v>
      </c>
      <c r="B38" s="36" t="s">
        <v>9</v>
      </c>
      <c r="C38" s="37" t="s">
        <v>10</v>
      </c>
      <c r="D38" s="38">
        <v>24</v>
      </c>
      <c r="E38" s="74">
        <v>0.26384901172437508</v>
      </c>
      <c r="F38" s="33">
        <v>25</v>
      </c>
      <c r="G38" s="39"/>
      <c r="H38" s="40">
        <f t="shared" ref="H38" si="11">F38*G38</f>
        <v>0</v>
      </c>
      <c r="L38" s="87" t="str">
        <f t="shared" si="1"/>
        <v>-</v>
      </c>
      <c r="M38" s="87" t="str">
        <f t="shared" si="2"/>
        <v>-</v>
      </c>
      <c r="N38" s="87" t="str">
        <f t="shared" si="3"/>
        <v>-</v>
      </c>
      <c r="O38" s="87" t="str">
        <f t="shared" si="4"/>
        <v>-</v>
      </c>
      <c r="P38" s="88"/>
      <c r="Q38" s="87" t="str">
        <f t="shared" si="5"/>
        <v>-</v>
      </c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5.75" customHeight="1" x14ac:dyDescent="0.3">
      <c r="A39" s="68" t="s">
        <v>158</v>
      </c>
      <c r="B39" s="36" t="s">
        <v>26</v>
      </c>
      <c r="C39" s="37" t="s">
        <v>6</v>
      </c>
      <c r="D39" s="38">
        <v>24</v>
      </c>
      <c r="E39" s="74">
        <v>0.36681447971437503</v>
      </c>
      <c r="F39" s="33">
        <v>20</v>
      </c>
      <c r="G39" s="39"/>
      <c r="H39" s="40">
        <f t="shared" si="6"/>
        <v>0</v>
      </c>
      <c r="L39" s="87" t="str">
        <f t="shared" si="1"/>
        <v>-</v>
      </c>
      <c r="M39" s="87" t="str">
        <f t="shared" si="2"/>
        <v>-</v>
      </c>
      <c r="N39" s="87" t="str">
        <f t="shared" si="3"/>
        <v>-</v>
      </c>
      <c r="O39" s="87" t="str">
        <f t="shared" si="4"/>
        <v>-</v>
      </c>
      <c r="P39" s="88"/>
      <c r="Q39" s="87" t="str">
        <f t="shared" si="5"/>
        <v>-</v>
      </c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5.75" customHeight="1" x14ac:dyDescent="0.3">
      <c r="A40" s="68" t="s">
        <v>159</v>
      </c>
      <c r="B40" s="36" t="s">
        <v>26</v>
      </c>
      <c r="C40" s="37" t="s">
        <v>15</v>
      </c>
      <c r="D40" s="38">
        <v>24</v>
      </c>
      <c r="E40" s="74">
        <v>0.36681447971437503</v>
      </c>
      <c r="F40" s="33">
        <v>20</v>
      </c>
      <c r="G40" s="39"/>
      <c r="H40" s="40">
        <f t="shared" si="6"/>
        <v>0</v>
      </c>
      <c r="L40" s="87" t="str">
        <f t="shared" si="1"/>
        <v>-</v>
      </c>
      <c r="M40" s="87" t="str">
        <f t="shared" si="2"/>
        <v>-</v>
      </c>
      <c r="N40" s="87" t="str">
        <f t="shared" si="3"/>
        <v>-</v>
      </c>
      <c r="O40" s="87" t="str">
        <f t="shared" si="4"/>
        <v>-</v>
      </c>
      <c r="P40" s="88"/>
      <c r="Q40" s="87" t="str">
        <f t="shared" si="5"/>
        <v>-</v>
      </c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5.75" customHeight="1" x14ac:dyDescent="0.3">
      <c r="A41" s="68" t="s">
        <v>160</v>
      </c>
      <c r="B41" s="36" t="s">
        <v>26</v>
      </c>
      <c r="C41" s="37" t="s">
        <v>27</v>
      </c>
      <c r="D41" s="38">
        <v>24</v>
      </c>
      <c r="E41" s="74">
        <v>0.36681447971437503</v>
      </c>
      <c r="F41" s="33">
        <v>20</v>
      </c>
      <c r="G41" s="39"/>
      <c r="H41" s="40">
        <f t="shared" si="6"/>
        <v>0</v>
      </c>
      <c r="L41" s="87" t="str">
        <f t="shared" si="1"/>
        <v>-</v>
      </c>
      <c r="M41" s="87" t="str">
        <f t="shared" si="2"/>
        <v>-</v>
      </c>
      <c r="N41" s="87" t="str">
        <f t="shared" si="3"/>
        <v>-</v>
      </c>
      <c r="O41" s="87" t="str">
        <f t="shared" si="4"/>
        <v>-</v>
      </c>
      <c r="P41" s="88"/>
      <c r="Q41" s="87" t="str">
        <f t="shared" si="5"/>
        <v>-</v>
      </c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.75" customHeight="1" x14ac:dyDescent="0.3">
      <c r="A42" s="68" t="s">
        <v>161</v>
      </c>
      <c r="B42" s="36" t="s">
        <v>26</v>
      </c>
      <c r="C42" s="37" t="s">
        <v>28</v>
      </c>
      <c r="D42" s="38">
        <v>24</v>
      </c>
      <c r="E42" s="74">
        <v>0.36681447971437503</v>
      </c>
      <c r="F42" s="33">
        <v>20</v>
      </c>
      <c r="G42" s="39"/>
      <c r="H42" s="40">
        <f t="shared" si="6"/>
        <v>0</v>
      </c>
      <c r="L42" s="87" t="str">
        <f t="shared" si="1"/>
        <v>-</v>
      </c>
      <c r="M42" s="87" t="str">
        <f t="shared" si="2"/>
        <v>-</v>
      </c>
      <c r="N42" s="87" t="str">
        <f t="shared" si="3"/>
        <v>-</v>
      </c>
      <c r="O42" s="87" t="str">
        <f t="shared" si="4"/>
        <v>-</v>
      </c>
      <c r="P42" s="88"/>
      <c r="Q42" s="87" t="str">
        <f t="shared" si="5"/>
        <v>-</v>
      </c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5.75" customHeight="1" x14ac:dyDescent="0.3">
      <c r="A43" s="68" t="s">
        <v>162</v>
      </c>
      <c r="B43" s="36" t="s">
        <v>26</v>
      </c>
      <c r="C43" s="37" t="s">
        <v>25</v>
      </c>
      <c r="D43" s="38">
        <v>24</v>
      </c>
      <c r="E43" s="74">
        <v>0.36681447971437503</v>
      </c>
      <c r="F43" s="33">
        <v>20</v>
      </c>
      <c r="G43" s="39"/>
      <c r="H43" s="40">
        <f t="shared" si="6"/>
        <v>0</v>
      </c>
      <c r="L43" s="87" t="str">
        <f t="shared" si="1"/>
        <v>-</v>
      </c>
      <c r="M43" s="87" t="str">
        <f t="shared" si="2"/>
        <v>-</v>
      </c>
      <c r="N43" s="87" t="str">
        <f t="shared" si="3"/>
        <v>-</v>
      </c>
      <c r="O43" s="87" t="str">
        <f t="shared" si="4"/>
        <v>-</v>
      </c>
      <c r="P43" s="88"/>
      <c r="Q43" s="87" t="str">
        <f t="shared" si="5"/>
        <v>-</v>
      </c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5.75" customHeight="1" x14ac:dyDescent="0.3">
      <c r="A44" s="68" t="s">
        <v>163</v>
      </c>
      <c r="B44" s="36" t="s">
        <v>26</v>
      </c>
      <c r="C44" s="37" t="s">
        <v>14</v>
      </c>
      <c r="D44" s="38">
        <v>24</v>
      </c>
      <c r="E44" s="74">
        <v>0.36681447971437503</v>
      </c>
      <c r="F44" s="33">
        <v>20</v>
      </c>
      <c r="G44" s="39"/>
      <c r="H44" s="40">
        <f t="shared" si="6"/>
        <v>0</v>
      </c>
      <c r="L44" s="87" t="str">
        <f t="shared" si="1"/>
        <v>-</v>
      </c>
      <c r="M44" s="87" t="str">
        <f t="shared" si="2"/>
        <v>-</v>
      </c>
      <c r="N44" s="87" t="str">
        <f t="shared" si="3"/>
        <v>-</v>
      </c>
      <c r="O44" s="87" t="str">
        <f t="shared" si="4"/>
        <v>-</v>
      </c>
      <c r="P44" s="88"/>
      <c r="Q44" s="87" t="str">
        <f t="shared" si="5"/>
        <v>-</v>
      </c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5.75" customHeight="1" x14ac:dyDescent="0.3">
      <c r="A45" s="68" t="s">
        <v>164</v>
      </c>
      <c r="B45" s="36" t="s">
        <v>26</v>
      </c>
      <c r="C45" s="37" t="s">
        <v>13</v>
      </c>
      <c r="D45" s="38">
        <v>24</v>
      </c>
      <c r="E45" s="74">
        <v>0.36681447971437503</v>
      </c>
      <c r="F45" s="33">
        <v>20</v>
      </c>
      <c r="G45" s="39"/>
      <c r="H45" s="40">
        <f t="shared" si="6"/>
        <v>0</v>
      </c>
      <c r="L45" s="87" t="str">
        <f t="shared" si="1"/>
        <v>-</v>
      </c>
      <c r="M45" s="87" t="str">
        <f t="shared" si="2"/>
        <v>-</v>
      </c>
      <c r="N45" s="87" t="str">
        <f t="shared" si="3"/>
        <v>-</v>
      </c>
      <c r="O45" s="87" t="str">
        <f t="shared" si="4"/>
        <v>-</v>
      </c>
      <c r="P45" s="88"/>
      <c r="Q45" s="87" t="str">
        <f t="shared" si="5"/>
        <v>-</v>
      </c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s="28" customFormat="1" ht="15.75" customHeight="1" x14ac:dyDescent="0.3">
      <c r="A46" s="68" t="s">
        <v>165</v>
      </c>
      <c r="B46" s="30" t="s">
        <v>26</v>
      </c>
      <c r="C46" s="31" t="s">
        <v>21</v>
      </c>
      <c r="D46" s="32">
        <v>24</v>
      </c>
      <c r="E46" s="74">
        <v>0.36681447971437503</v>
      </c>
      <c r="F46" s="33">
        <v>20</v>
      </c>
      <c r="G46" s="34"/>
      <c r="H46" s="35">
        <f t="shared" si="6"/>
        <v>0</v>
      </c>
      <c r="L46" s="87" t="str">
        <f t="shared" si="1"/>
        <v>-</v>
      </c>
      <c r="M46" s="87" t="str">
        <f t="shared" si="2"/>
        <v>-</v>
      </c>
      <c r="N46" s="87" t="str">
        <f t="shared" si="3"/>
        <v>-</v>
      </c>
      <c r="O46" s="87" t="str">
        <f t="shared" si="4"/>
        <v>-</v>
      </c>
      <c r="P46" s="88"/>
      <c r="Q46" s="87" t="str">
        <f t="shared" si="5"/>
        <v>-</v>
      </c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1:27" s="28" customFormat="1" ht="15.75" customHeight="1" x14ac:dyDescent="0.3">
      <c r="A47" s="68" t="s">
        <v>166</v>
      </c>
      <c r="B47" s="30" t="s">
        <v>91</v>
      </c>
      <c r="C47" s="31" t="s">
        <v>6</v>
      </c>
      <c r="D47" s="32">
        <v>24</v>
      </c>
      <c r="E47" s="73">
        <v>0.5416412639057292</v>
      </c>
      <c r="F47" s="33">
        <v>27.5</v>
      </c>
      <c r="G47" s="41"/>
      <c r="H47" s="35">
        <f t="shared" si="6"/>
        <v>0</v>
      </c>
      <c r="L47" s="87" t="str">
        <f t="shared" si="1"/>
        <v>-</v>
      </c>
      <c r="M47" s="87" t="str">
        <f t="shared" si="2"/>
        <v>-</v>
      </c>
      <c r="N47" s="87" t="str">
        <f t="shared" si="3"/>
        <v>-</v>
      </c>
      <c r="O47" s="87" t="str">
        <f t="shared" si="4"/>
        <v>-</v>
      </c>
      <c r="P47" s="88"/>
      <c r="Q47" s="87" t="str">
        <f t="shared" si="5"/>
        <v>-</v>
      </c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1:27" s="28" customFormat="1" ht="15.75" customHeight="1" x14ac:dyDescent="0.3">
      <c r="A48" s="68" t="s">
        <v>167</v>
      </c>
      <c r="B48" s="30" t="s">
        <v>91</v>
      </c>
      <c r="C48" s="31" t="s">
        <v>28</v>
      </c>
      <c r="D48" s="32">
        <v>24</v>
      </c>
      <c r="E48" s="73">
        <v>0.5416412639057292</v>
      </c>
      <c r="F48" s="33">
        <v>27.5</v>
      </c>
      <c r="G48" s="34"/>
      <c r="H48" s="35">
        <f t="shared" si="6"/>
        <v>0</v>
      </c>
      <c r="L48" s="87" t="str">
        <f t="shared" si="1"/>
        <v>-</v>
      </c>
      <c r="M48" s="87" t="str">
        <f t="shared" si="2"/>
        <v>-</v>
      </c>
      <c r="N48" s="87" t="str">
        <f t="shared" si="3"/>
        <v>-</v>
      </c>
      <c r="O48" s="87" t="str">
        <f t="shared" si="4"/>
        <v>-</v>
      </c>
      <c r="P48" s="88"/>
      <c r="Q48" s="87" t="str">
        <f t="shared" si="5"/>
        <v>-</v>
      </c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1:27" s="28" customFormat="1" ht="15.75" customHeight="1" x14ac:dyDescent="0.3">
      <c r="A49" s="68" t="s">
        <v>168</v>
      </c>
      <c r="B49" s="30" t="s">
        <v>91</v>
      </c>
      <c r="C49" s="31" t="s">
        <v>14</v>
      </c>
      <c r="D49" s="32">
        <v>24</v>
      </c>
      <c r="E49" s="73">
        <v>0.5416412639057292</v>
      </c>
      <c r="F49" s="33">
        <v>27.5</v>
      </c>
      <c r="G49" s="34"/>
      <c r="H49" s="35">
        <f t="shared" ref="H49" si="12">F49*G49</f>
        <v>0</v>
      </c>
      <c r="L49" s="87" t="str">
        <f t="shared" si="1"/>
        <v>-</v>
      </c>
      <c r="M49" s="87" t="str">
        <f t="shared" si="2"/>
        <v>-</v>
      </c>
      <c r="N49" s="87" t="str">
        <f t="shared" si="3"/>
        <v>-</v>
      </c>
      <c r="O49" s="87" t="str">
        <f t="shared" si="4"/>
        <v>-</v>
      </c>
      <c r="P49" s="88"/>
      <c r="Q49" s="87" t="str">
        <f t="shared" si="5"/>
        <v>-</v>
      </c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1:27" s="28" customFormat="1" ht="15.75" customHeight="1" x14ac:dyDescent="0.3">
      <c r="A50" s="68" t="s">
        <v>169</v>
      </c>
      <c r="B50" s="23" t="s">
        <v>114</v>
      </c>
      <c r="C50" s="24" t="s">
        <v>15</v>
      </c>
      <c r="D50" s="25">
        <v>24</v>
      </c>
      <c r="E50" s="72">
        <v>0.5416412639057292</v>
      </c>
      <c r="F50" s="20">
        <v>27.5</v>
      </c>
      <c r="G50" s="26"/>
      <c r="H50" s="27">
        <f t="shared" si="6"/>
        <v>0</v>
      </c>
      <c r="L50" s="87" t="str">
        <f t="shared" si="1"/>
        <v>-</v>
      </c>
      <c r="M50" s="87" t="str">
        <f t="shared" si="2"/>
        <v>-</v>
      </c>
      <c r="N50" s="87" t="str">
        <f t="shared" si="3"/>
        <v>-</v>
      </c>
      <c r="O50" s="87" t="str">
        <f t="shared" si="4"/>
        <v>-</v>
      </c>
      <c r="P50" s="88"/>
      <c r="Q50" s="87" t="str">
        <f t="shared" si="5"/>
        <v>-</v>
      </c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27" ht="15.75" customHeight="1" x14ac:dyDescent="0.3">
      <c r="A51" s="68" t="s">
        <v>170</v>
      </c>
      <c r="B51" s="36" t="s">
        <v>29</v>
      </c>
      <c r="C51" s="37" t="s">
        <v>6</v>
      </c>
      <c r="D51" s="38">
        <v>24</v>
      </c>
      <c r="E51" s="74">
        <v>0.40220885933593753</v>
      </c>
      <c r="F51" s="33">
        <v>20</v>
      </c>
      <c r="G51" s="39"/>
      <c r="H51" s="40">
        <f t="shared" si="6"/>
        <v>0</v>
      </c>
      <c r="L51" s="87" t="str">
        <f t="shared" si="1"/>
        <v>-</v>
      </c>
      <c r="M51" s="87" t="str">
        <f t="shared" si="2"/>
        <v>-</v>
      </c>
      <c r="N51" s="87" t="str">
        <f t="shared" si="3"/>
        <v>-</v>
      </c>
      <c r="O51" s="87" t="str">
        <f t="shared" si="4"/>
        <v>-</v>
      </c>
      <c r="P51" s="88"/>
      <c r="Q51" s="87" t="str">
        <f t="shared" si="5"/>
        <v>-</v>
      </c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5.75" customHeight="1" x14ac:dyDescent="0.3">
      <c r="A52" s="68" t="s">
        <v>171</v>
      </c>
      <c r="B52" s="36" t="s">
        <v>29</v>
      </c>
      <c r="C52" s="37" t="s">
        <v>5</v>
      </c>
      <c r="D52" s="38">
        <v>24</v>
      </c>
      <c r="E52" s="74">
        <v>0.40435397325239586</v>
      </c>
      <c r="F52" s="33">
        <v>20</v>
      </c>
      <c r="G52" s="39"/>
      <c r="H52" s="40">
        <f t="shared" si="6"/>
        <v>0</v>
      </c>
      <c r="L52" s="87" t="str">
        <f t="shared" si="1"/>
        <v>-</v>
      </c>
      <c r="M52" s="87" t="str">
        <f t="shared" si="2"/>
        <v>-</v>
      </c>
      <c r="N52" s="87" t="str">
        <f t="shared" si="3"/>
        <v>-</v>
      </c>
      <c r="O52" s="87" t="str">
        <f t="shared" si="4"/>
        <v>-</v>
      </c>
      <c r="P52" s="88"/>
      <c r="Q52" s="87" t="str">
        <f t="shared" si="5"/>
        <v>-</v>
      </c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5.75" customHeight="1" x14ac:dyDescent="0.3">
      <c r="A53" s="68" t="s">
        <v>125</v>
      </c>
      <c r="B53" s="36" t="s">
        <v>29</v>
      </c>
      <c r="C53" s="37" t="s">
        <v>30</v>
      </c>
      <c r="D53" s="38">
        <v>24</v>
      </c>
      <c r="E53" s="74">
        <v>0.40435397325239586</v>
      </c>
      <c r="F53" s="33">
        <v>20</v>
      </c>
      <c r="G53" s="39"/>
      <c r="H53" s="40">
        <f t="shared" si="6"/>
        <v>0</v>
      </c>
      <c r="L53" s="87" t="str">
        <f t="shared" si="1"/>
        <v>-</v>
      </c>
      <c r="M53" s="87" t="str">
        <f t="shared" si="2"/>
        <v>-</v>
      </c>
      <c r="N53" s="87" t="str">
        <f t="shared" si="3"/>
        <v>-</v>
      </c>
      <c r="O53" s="87" t="str">
        <f t="shared" si="4"/>
        <v>-</v>
      </c>
      <c r="P53" s="88"/>
      <c r="Q53" s="87" t="str">
        <f t="shared" si="5"/>
        <v>-</v>
      </c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5.75" customHeight="1" x14ac:dyDescent="0.3">
      <c r="A54" s="68" t="s">
        <v>172</v>
      </c>
      <c r="B54" s="36" t="s">
        <v>29</v>
      </c>
      <c r="C54" s="37" t="s">
        <v>14</v>
      </c>
      <c r="D54" s="38">
        <v>24</v>
      </c>
      <c r="E54" s="74">
        <v>0.40757164412708335</v>
      </c>
      <c r="F54" s="33">
        <v>20</v>
      </c>
      <c r="G54" s="39"/>
      <c r="H54" s="40">
        <f t="shared" si="6"/>
        <v>0</v>
      </c>
      <c r="L54" s="87" t="str">
        <f t="shared" si="1"/>
        <v>-</v>
      </c>
      <c r="M54" s="87" t="str">
        <f t="shared" si="2"/>
        <v>-</v>
      </c>
      <c r="N54" s="87" t="str">
        <f t="shared" si="3"/>
        <v>-</v>
      </c>
      <c r="O54" s="87" t="str">
        <f t="shared" si="4"/>
        <v>-</v>
      </c>
      <c r="P54" s="88"/>
      <c r="Q54" s="87" t="str">
        <f t="shared" si="5"/>
        <v>-</v>
      </c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5.75" customHeight="1" x14ac:dyDescent="0.3">
      <c r="A55" s="68" t="s">
        <v>173</v>
      </c>
      <c r="B55" s="36" t="s">
        <v>29</v>
      </c>
      <c r="C55" s="37" t="s">
        <v>20</v>
      </c>
      <c r="D55" s="38">
        <v>24</v>
      </c>
      <c r="E55" s="74">
        <v>0.41186187196000001</v>
      </c>
      <c r="F55" s="33">
        <v>20</v>
      </c>
      <c r="G55" s="39"/>
      <c r="H55" s="40">
        <f t="shared" si="6"/>
        <v>0</v>
      </c>
      <c r="L55" s="87" t="str">
        <f t="shared" si="1"/>
        <v>-</v>
      </c>
      <c r="M55" s="87" t="str">
        <f t="shared" si="2"/>
        <v>-</v>
      </c>
      <c r="N55" s="87" t="str">
        <f t="shared" si="3"/>
        <v>-</v>
      </c>
      <c r="O55" s="87" t="str">
        <f t="shared" si="4"/>
        <v>-</v>
      </c>
      <c r="P55" s="88"/>
      <c r="Q55" s="87" t="str">
        <f t="shared" si="5"/>
        <v>-</v>
      </c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customHeight="1" x14ac:dyDescent="0.3">
      <c r="A56" s="68" t="s">
        <v>174</v>
      </c>
      <c r="B56" s="36" t="s">
        <v>31</v>
      </c>
      <c r="C56" s="37" t="s">
        <v>6</v>
      </c>
      <c r="D56" s="38">
        <v>24</v>
      </c>
      <c r="E56" s="74">
        <v>0.43331301112458337</v>
      </c>
      <c r="F56" s="33">
        <v>20</v>
      </c>
      <c r="G56" s="39"/>
      <c r="H56" s="40">
        <f t="shared" si="6"/>
        <v>0</v>
      </c>
      <c r="L56" s="87" t="str">
        <f t="shared" si="1"/>
        <v>-</v>
      </c>
      <c r="M56" s="87" t="str">
        <f t="shared" si="2"/>
        <v>-</v>
      </c>
      <c r="N56" s="87" t="str">
        <f t="shared" si="3"/>
        <v>-</v>
      </c>
      <c r="O56" s="87" t="str">
        <f t="shared" si="4"/>
        <v>-</v>
      </c>
      <c r="P56" s="88"/>
      <c r="Q56" s="87" t="str">
        <f t="shared" si="5"/>
        <v>-</v>
      </c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5.75" customHeight="1" x14ac:dyDescent="0.3">
      <c r="A57" s="68" t="s">
        <v>175</v>
      </c>
      <c r="B57" s="36" t="s">
        <v>31</v>
      </c>
      <c r="C57" s="37" t="s">
        <v>13</v>
      </c>
      <c r="D57" s="38">
        <v>24</v>
      </c>
      <c r="E57" s="74">
        <v>0.4354581250410417</v>
      </c>
      <c r="F57" s="33">
        <v>20</v>
      </c>
      <c r="G57" s="39"/>
      <c r="H57" s="40">
        <f t="shared" si="6"/>
        <v>0</v>
      </c>
      <c r="L57" s="87" t="str">
        <f t="shared" si="1"/>
        <v>-</v>
      </c>
      <c r="M57" s="87" t="str">
        <f t="shared" si="2"/>
        <v>-</v>
      </c>
      <c r="N57" s="87" t="str">
        <f t="shared" si="3"/>
        <v>-</v>
      </c>
      <c r="O57" s="87" t="str">
        <f t="shared" si="4"/>
        <v>-</v>
      </c>
      <c r="P57" s="88"/>
      <c r="Q57" s="87" t="str">
        <f t="shared" si="5"/>
        <v>-</v>
      </c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5.75" customHeight="1" x14ac:dyDescent="0.3">
      <c r="A58" s="68" t="s">
        <v>176</v>
      </c>
      <c r="B58" s="36" t="s">
        <v>31</v>
      </c>
      <c r="C58" s="37" t="s">
        <v>14</v>
      </c>
      <c r="D58" s="38">
        <v>24</v>
      </c>
      <c r="E58" s="74">
        <v>0.4354581250410417</v>
      </c>
      <c r="F58" s="33">
        <v>20</v>
      </c>
      <c r="G58" s="39"/>
      <c r="H58" s="40">
        <f t="shared" si="6"/>
        <v>0</v>
      </c>
      <c r="L58" s="87" t="str">
        <f t="shared" si="1"/>
        <v>-</v>
      </c>
      <c r="M58" s="87" t="str">
        <f t="shared" si="2"/>
        <v>-</v>
      </c>
      <c r="N58" s="87" t="str">
        <f t="shared" si="3"/>
        <v>-</v>
      </c>
      <c r="O58" s="87" t="str">
        <f t="shared" si="4"/>
        <v>-</v>
      </c>
      <c r="P58" s="88"/>
      <c r="Q58" s="87" t="str">
        <f t="shared" si="5"/>
        <v>-</v>
      </c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5.75" customHeight="1" x14ac:dyDescent="0.3">
      <c r="A59" s="68" t="s">
        <v>177</v>
      </c>
      <c r="B59" s="36" t="s">
        <v>31</v>
      </c>
      <c r="C59" s="37" t="s">
        <v>32</v>
      </c>
      <c r="D59" s="38">
        <v>24</v>
      </c>
      <c r="E59" s="74">
        <v>0.43653068199927086</v>
      </c>
      <c r="F59" s="33">
        <v>20</v>
      </c>
      <c r="G59" s="39"/>
      <c r="H59" s="40">
        <f t="shared" si="6"/>
        <v>0</v>
      </c>
      <c r="L59" s="87" t="str">
        <f t="shared" si="1"/>
        <v>-</v>
      </c>
      <c r="M59" s="87" t="str">
        <f t="shared" si="2"/>
        <v>-</v>
      </c>
      <c r="N59" s="87" t="str">
        <f t="shared" si="3"/>
        <v>-</v>
      </c>
      <c r="O59" s="87" t="str">
        <f t="shared" si="4"/>
        <v>-</v>
      </c>
      <c r="P59" s="88"/>
      <c r="Q59" s="87" t="str">
        <f t="shared" si="5"/>
        <v>-</v>
      </c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5.75" customHeight="1" x14ac:dyDescent="0.3">
      <c r="A60" s="68" t="s">
        <v>178</v>
      </c>
      <c r="B60" s="36" t="s">
        <v>108</v>
      </c>
      <c r="C60" s="37" t="s">
        <v>6</v>
      </c>
      <c r="D60" s="38">
        <v>24</v>
      </c>
      <c r="E60" s="74">
        <v>0.33892799880041669</v>
      </c>
      <c r="F60" s="33">
        <v>20</v>
      </c>
      <c r="G60" s="39"/>
      <c r="H60" s="40">
        <f t="shared" ref="H60:H63" si="13">F60*G60</f>
        <v>0</v>
      </c>
      <c r="L60" s="87" t="str">
        <f t="shared" si="1"/>
        <v>-</v>
      </c>
      <c r="M60" s="87" t="str">
        <f t="shared" si="2"/>
        <v>-</v>
      </c>
      <c r="N60" s="87" t="str">
        <f t="shared" si="3"/>
        <v>-</v>
      </c>
      <c r="O60" s="87" t="str">
        <f t="shared" si="4"/>
        <v>-</v>
      </c>
      <c r="P60" s="88"/>
      <c r="Q60" s="87" t="str">
        <f t="shared" si="5"/>
        <v>-</v>
      </c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5.75" customHeight="1" x14ac:dyDescent="0.3">
      <c r="A61" s="68" t="s">
        <v>179</v>
      </c>
      <c r="B61" s="36" t="s">
        <v>108</v>
      </c>
      <c r="C61" s="37" t="s">
        <v>13</v>
      </c>
      <c r="D61" s="38">
        <v>24</v>
      </c>
      <c r="E61" s="74">
        <v>0.33571032792572919</v>
      </c>
      <c r="F61" s="33">
        <v>20</v>
      </c>
      <c r="G61" s="39"/>
      <c r="H61" s="40">
        <f t="shared" si="13"/>
        <v>0</v>
      </c>
      <c r="L61" s="87" t="str">
        <f t="shared" si="1"/>
        <v>-</v>
      </c>
      <c r="M61" s="87" t="str">
        <f t="shared" si="2"/>
        <v>-</v>
      </c>
      <c r="N61" s="87" t="str">
        <f t="shared" si="3"/>
        <v>-</v>
      </c>
      <c r="O61" s="87" t="str">
        <f t="shared" si="4"/>
        <v>-</v>
      </c>
      <c r="P61" s="88"/>
      <c r="Q61" s="87" t="str">
        <f t="shared" si="5"/>
        <v>-</v>
      </c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5.75" customHeight="1" x14ac:dyDescent="0.3">
      <c r="A62" s="68" t="s">
        <v>180</v>
      </c>
      <c r="B62" s="36" t="s">
        <v>108</v>
      </c>
      <c r="C62" s="37" t="s">
        <v>23</v>
      </c>
      <c r="D62" s="38">
        <v>24</v>
      </c>
      <c r="E62" s="74">
        <v>0.33678288488395836</v>
      </c>
      <c r="F62" s="33">
        <v>20</v>
      </c>
      <c r="G62" s="39"/>
      <c r="H62" s="40">
        <f t="shared" si="13"/>
        <v>0</v>
      </c>
      <c r="L62" s="87" t="str">
        <f t="shared" si="1"/>
        <v>-</v>
      </c>
      <c r="M62" s="87" t="str">
        <f t="shared" si="2"/>
        <v>-</v>
      </c>
      <c r="N62" s="87" t="str">
        <f t="shared" si="3"/>
        <v>-</v>
      </c>
      <c r="O62" s="87" t="str">
        <f t="shared" si="4"/>
        <v>-</v>
      </c>
      <c r="P62" s="88"/>
      <c r="Q62" s="87" t="str">
        <f t="shared" si="5"/>
        <v>-</v>
      </c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5.75" customHeight="1" x14ac:dyDescent="0.3">
      <c r="A63" s="68" t="s">
        <v>181</v>
      </c>
      <c r="B63" s="36" t="s">
        <v>108</v>
      </c>
      <c r="C63" s="37" t="s">
        <v>14</v>
      </c>
      <c r="D63" s="38">
        <v>24</v>
      </c>
      <c r="E63" s="74">
        <v>0.33356521400927086</v>
      </c>
      <c r="F63" s="33">
        <v>20</v>
      </c>
      <c r="G63" s="39"/>
      <c r="H63" s="40">
        <f t="shared" si="13"/>
        <v>0</v>
      </c>
      <c r="L63" s="87" t="str">
        <f t="shared" si="1"/>
        <v>-</v>
      </c>
      <c r="M63" s="87" t="str">
        <f t="shared" si="2"/>
        <v>-</v>
      </c>
      <c r="N63" s="87" t="str">
        <f t="shared" si="3"/>
        <v>-</v>
      </c>
      <c r="O63" s="87" t="str">
        <f t="shared" si="4"/>
        <v>-</v>
      </c>
      <c r="P63" s="88"/>
      <c r="Q63" s="87" t="str">
        <f t="shared" si="5"/>
        <v>-</v>
      </c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5.75" customHeight="1" x14ac:dyDescent="0.3">
      <c r="A64" s="68" t="s">
        <v>182</v>
      </c>
      <c r="B64" s="36" t="s">
        <v>33</v>
      </c>
      <c r="C64" s="37" t="s">
        <v>18</v>
      </c>
      <c r="D64" s="38">
        <v>24</v>
      </c>
      <c r="E64" s="74">
        <v>0.29280804959656254</v>
      </c>
      <c r="F64" s="33">
        <v>15</v>
      </c>
      <c r="G64" s="39"/>
      <c r="H64" s="40">
        <f t="shared" si="6"/>
        <v>0</v>
      </c>
      <c r="L64" s="87" t="str">
        <f t="shared" si="1"/>
        <v>-</v>
      </c>
      <c r="M64" s="87" t="str">
        <f t="shared" si="2"/>
        <v>-</v>
      </c>
      <c r="N64" s="87" t="str">
        <f t="shared" si="3"/>
        <v>-</v>
      </c>
      <c r="O64" s="87" t="str">
        <f t="shared" si="4"/>
        <v>-</v>
      </c>
      <c r="P64" s="88"/>
      <c r="Q64" s="87" t="str">
        <f t="shared" si="5"/>
        <v>-</v>
      </c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customHeight="1" x14ac:dyDescent="0.3">
      <c r="A65" s="68" t="s">
        <v>183</v>
      </c>
      <c r="B65" s="36" t="s">
        <v>33</v>
      </c>
      <c r="C65" s="37" t="s">
        <v>34</v>
      </c>
      <c r="D65" s="38">
        <v>24</v>
      </c>
      <c r="E65" s="74">
        <v>0.23274485993572921</v>
      </c>
      <c r="F65" s="33">
        <v>15</v>
      </c>
      <c r="G65" s="39"/>
      <c r="H65" s="40">
        <f t="shared" si="6"/>
        <v>0</v>
      </c>
      <c r="L65" s="87" t="str">
        <f t="shared" si="1"/>
        <v>-</v>
      </c>
      <c r="M65" s="87" t="str">
        <f t="shared" si="2"/>
        <v>-</v>
      </c>
      <c r="N65" s="87" t="str">
        <f t="shared" si="3"/>
        <v>-</v>
      </c>
      <c r="O65" s="87" t="str">
        <f t="shared" si="4"/>
        <v>-</v>
      </c>
      <c r="P65" s="88"/>
      <c r="Q65" s="87" t="str">
        <f t="shared" si="5"/>
        <v>-</v>
      </c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5.75" customHeight="1" x14ac:dyDescent="0.3">
      <c r="A66" s="68" t="s">
        <v>184</v>
      </c>
      <c r="B66" s="36" t="s">
        <v>33</v>
      </c>
      <c r="C66" s="37" t="s">
        <v>6</v>
      </c>
      <c r="D66" s="38">
        <v>24</v>
      </c>
      <c r="E66" s="74">
        <v>0.28851782176364588</v>
      </c>
      <c r="F66" s="33">
        <v>15</v>
      </c>
      <c r="G66" s="39"/>
      <c r="H66" s="40">
        <f t="shared" si="6"/>
        <v>0</v>
      </c>
      <c r="L66" s="87" t="str">
        <f t="shared" si="1"/>
        <v>-</v>
      </c>
      <c r="M66" s="87" t="str">
        <f t="shared" si="2"/>
        <v>-</v>
      </c>
      <c r="N66" s="87" t="str">
        <f t="shared" si="3"/>
        <v>-</v>
      </c>
      <c r="O66" s="87" t="str">
        <f t="shared" si="4"/>
        <v>-</v>
      </c>
      <c r="P66" s="88"/>
      <c r="Q66" s="87" t="str">
        <f t="shared" si="5"/>
        <v>-</v>
      </c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5.75" customHeight="1" x14ac:dyDescent="0.3">
      <c r="A67" s="68" t="s">
        <v>185</v>
      </c>
      <c r="B67" s="36" t="s">
        <v>33</v>
      </c>
      <c r="C67" s="37" t="s">
        <v>14</v>
      </c>
      <c r="D67" s="38">
        <v>24</v>
      </c>
      <c r="E67" s="74">
        <v>0.29280804959656254</v>
      </c>
      <c r="F67" s="33">
        <v>15</v>
      </c>
      <c r="G67" s="39"/>
      <c r="H67" s="40">
        <f t="shared" si="6"/>
        <v>0</v>
      </c>
      <c r="L67" s="87" t="str">
        <f t="shared" si="1"/>
        <v>-</v>
      </c>
      <c r="M67" s="87" t="str">
        <f t="shared" si="2"/>
        <v>-</v>
      </c>
      <c r="N67" s="87" t="str">
        <f t="shared" si="3"/>
        <v>-</v>
      </c>
      <c r="O67" s="87" t="str">
        <f t="shared" si="4"/>
        <v>-</v>
      </c>
      <c r="P67" s="88"/>
      <c r="Q67" s="87" t="str">
        <f t="shared" si="5"/>
        <v>-</v>
      </c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5.75" customHeight="1" x14ac:dyDescent="0.3">
      <c r="A68" s="68" t="s">
        <v>186</v>
      </c>
      <c r="B68" s="36" t="s">
        <v>33</v>
      </c>
      <c r="C68" s="37" t="s">
        <v>23</v>
      </c>
      <c r="D68" s="38">
        <v>24</v>
      </c>
      <c r="E68" s="74">
        <v>0.30353361917885419</v>
      </c>
      <c r="F68" s="33">
        <v>15</v>
      </c>
      <c r="G68" s="39"/>
      <c r="H68" s="40">
        <f t="shared" si="6"/>
        <v>0</v>
      </c>
      <c r="L68" s="87" t="str">
        <f t="shared" ref="L68:L131" si="14">IFERROR(IF($L$2*E68=0, "-", $L$2*E68), "-")</f>
        <v>-</v>
      </c>
      <c r="M68" s="87" t="str">
        <f t="shared" ref="M68:M131" si="15">IFERROR(IF(F68+L68=0, "-", IF(L68&gt;0, F68+L68, "-")), "-")</f>
        <v>-</v>
      </c>
      <c r="N68" s="87" t="str">
        <f t="shared" ref="N68:N131" si="16">IF(G68&gt;0,E68*G68, "-")</f>
        <v>-</v>
      </c>
      <c r="O68" s="87" t="str">
        <f t="shared" ref="O68:O131" si="17">IFERROR(IF($L$2&gt;0, $L$2*N68, "-"), "-")</f>
        <v>-</v>
      </c>
      <c r="P68" s="88"/>
      <c r="Q68" s="87" t="str">
        <f t="shared" ref="Q68:Q131" si="18">IFERROR(IF(O68+H68=0, "-", IF(O68&gt;0, O68+H68, "-")), "-")</f>
        <v>-</v>
      </c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5.75" customHeight="1" x14ac:dyDescent="0.3">
      <c r="A69" s="68" t="s">
        <v>187</v>
      </c>
      <c r="B69" s="36" t="s">
        <v>35</v>
      </c>
      <c r="C69" s="37" t="s">
        <v>15</v>
      </c>
      <c r="D69" s="38">
        <v>24</v>
      </c>
      <c r="E69" s="74">
        <v>0.33034754313458342</v>
      </c>
      <c r="F69" s="33">
        <v>17.5</v>
      </c>
      <c r="G69" s="39"/>
      <c r="H69" s="40">
        <f t="shared" si="6"/>
        <v>0</v>
      </c>
      <c r="L69" s="87" t="str">
        <f t="shared" si="14"/>
        <v>-</v>
      </c>
      <c r="M69" s="87" t="str">
        <f t="shared" si="15"/>
        <v>-</v>
      </c>
      <c r="N69" s="87" t="str">
        <f t="shared" si="16"/>
        <v>-</v>
      </c>
      <c r="O69" s="87" t="str">
        <f t="shared" si="17"/>
        <v>-</v>
      </c>
      <c r="P69" s="88"/>
      <c r="Q69" s="87" t="str">
        <f t="shared" si="18"/>
        <v>-</v>
      </c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5.75" customHeight="1" x14ac:dyDescent="0.3">
      <c r="A70" s="68" t="s">
        <v>188</v>
      </c>
      <c r="B70" s="36" t="s">
        <v>35</v>
      </c>
      <c r="C70" s="37" t="s">
        <v>6</v>
      </c>
      <c r="D70" s="38">
        <v>24</v>
      </c>
      <c r="E70" s="74">
        <v>0.33142010009281242</v>
      </c>
      <c r="F70" s="33">
        <v>17.5</v>
      </c>
      <c r="G70" s="39"/>
      <c r="H70" s="40">
        <f t="shared" si="6"/>
        <v>0</v>
      </c>
      <c r="L70" s="87" t="str">
        <f t="shared" si="14"/>
        <v>-</v>
      </c>
      <c r="M70" s="87" t="str">
        <f t="shared" si="15"/>
        <v>-</v>
      </c>
      <c r="N70" s="87" t="str">
        <f t="shared" si="16"/>
        <v>-</v>
      </c>
      <c r="O70" s="87" t="str">
        <f t="shared" si="17"/>
        <v>-</v>
      </c>
      <c r="P70" s="88"/>
      <c r="Q70" s="87" t="str">
        <f t="shared" si="18"/>
        <v>-</v>
      </c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5.75" customHeight="1" x14ac:dyDescent="0.3">
      <c r="A71" s="67" t="s">
        <v>189</v>
      </c>
      <c r="B71" s="36" t="s">
        <v>35</v>
      </c>
      <c r="C71" s="37" t="s">
        <v>18</v>
      </c>
      <c r="D71" s="38">
        <v>24</v>
      </c>
      <c r="E71" s="74">
        <v>0.33142010009281242</v>
      </c>
      <c r="F71" s="33">
        <v>17.5</v>
      </c>
      <c r="G71" s="39"/>
      <c r="H71" s="40">
        <f t="shared" si="6"/>
        <v>0</v>
      </c>
      <c r="L71" s="87" t="str">
        <f t="shared" si="14"/>
        <v>-</v>
      </c>
      <c r="M71" s="87" t="str">
        <f t="shared" si="15"/>
        <v>-</v>
      </c>
      <c r="N71" s="87" t="str">
        <f t="shared" si="16"/>
        <v>-</v>
      </c>
      <c r="O71" s="87" t="str">
        <f t="shared" si="17"/>
        <v>-</v>
      </c>
      <c r="P71" s="88"/>
      <c r="Q71" s="87" t="str">
        <f t="shared" si="18"/>
        <v>-</v>
      </c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5.75" customHeight="1" x14ac:dyDescent="0.3">
      <c r="A72" s="68" t="s">
        <v>190</v>
      </c>
      <c r="B72" s="36" t="s">
        <v>35</v>
      </c>
      <c r="C72" s="37" t="s">
        <v>14</v>
      </c>
      <c r="D72" s="38">
        <v>24</v>
      </c>
      <c r="E72" s="74">
        <v>0.34107311271687502</v>
      </c>
      <c r="F72" s="33">
        <v>17.5</v>
      </c>
      <c r="G72" s="39"/>
      <c r="H72" s="40">
        <f t="shared" si="6"/>
        <v>0</v>
      </c>
      <c r="L72" s="87" t="str">
        <f t="shared" si="14"/>
        <v>-</v>
      </c>
      <c r="M72" s="87" t="str">
        <f t="shared" si="15"/>
        <v>-</v>
      </c>
      <c r="N72" s="87" t="str">
        <f t="shared" si="16"/>
        <v>-</v>
      </c>
      <c r="O72" s="87" t="str">
        <f t="shared" si="17"/>
        <v>-</v>
      </c>
      <c r="P72" s="88"/>
      <c r="Q72" s="87" t="str">
        <f t="shared" si="18"/>
        <v>-</v>
      </c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5.75" customHeight="1" x14ac:dyDescent="0.3">
      <c r="A73" s="68" t="s">
        <v>191</v>
      </c>
      <c r="B73" s="17" t="s">
        <v>94</v>
      </c>
      <c r="C73" s="18" t="s">
        <v>6</v>
      </c>
      <c r="D73" s="19">
        <v>24</v>
      </c>
      <c r="E73" s="71">
        <v>0.39041073279541666</v>
      </c>
      <c r="F73" s="20">
        <v>20</v>
      </c>
      <c r="G73" s="21"/>
      <c r="H73" s="22">
        <f t="shared" ref="H73:H75" si="19">F73*G73</f>
        <v>0</v>
      </c>
      <c r="L73" s="87" t="str">
        <f t="shared" si="14"/>
        <v>-</v>
      </c>
      <c r="M73" s="87" t="str">
        <f t="shared" si="15"/>
        <v>-</v>
      </c>
      <c r="N73" s="87" t="str">
        <f t="shared" si="16"/>
        <v>-</v>
      </c>
      <c r="O73" s="87" t="str">
        <f t="shared" si="17"/>
        <v>-</v>
      </c>
      <c r="P73" s="88"/>
      <c r="Q73" s="87" t="str">
        <f t="shared" si="18"/>
        <v>-</v>
      </c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customHeight="1" x14ac:dyDescent="0.3">
      <c r="A74" s="68" t="s">
        <v>192</v>
      </c>
      <c r="B74" s="17" t="s">
        <v>94</v>
      </c>
      <c r="C74" s="18" t="s">
        <v>14</v>
      </c>
      <c r="D74" s="19">
        <v>24</v>
      </c>
      <c r="E74" s="71">
        <v>0.39041073279541666</v>
      </c>
      <c r="F74" s="20">
        <v>20</v>
      </c>
      <c r="G74" s="21"/>
      <c r="H74" s="22">
        <f t="shared" si="19"/>
        <v>0</v>
      </c>
      <c r="L74" s="87" t="str">
        <f t="shared" si="14"/>
        <v>-</v>
      </c>
      <c r="M74" s="87" t="str">
        <f t="shared" si="15"/>
        <v>-</v>
      </c>
      <c r="N74" s="87" t="str">
        <f t="shared" si="16"/>
        <v>-</v>
      </c>
      <c r="O74" s="87" t="str">
        <f t="shared" si="17"/>
        <v>-</v>
      </c>
      <c r="P74" s="88"/>
      <c r="Q74" s="87" t="str">
        <f t="shared" si="18"/>
        <v>-</v>
      </c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5.75" customHeight="1" x14ac:dyDescent="0.3">
      <c r="A75" s="68" t="s">
        <v>193</v>
      </c>
      <c r="B75" s="17" t="s">
        <v>94</v>
      </c>
      <c r="C75" s="18" t="s">
        <v>13</v>
      </c>
      <c r="D75" s="19">
        <v>24</v>
      </c>
      <c r="E75" s="71">
        <v>0.39041073279541666</v>
      </c>
      <c r="F75" s="20">
        <v>20</v>
      </c>
      <c r="G75" s="21"/>
      <c r="H75" s="22">
        <f t="shared" si="19"/>
        <v>0</v>
      </c>
      <c r="L75" s="87" t="str">
        <f t="shared" si="14"/>
        <v>-</v>
      </c>
      <c r="M75" s="87" t="str">
        <f t="shared" si="15"/>
        <v>-</v>
      </c>
      <c r="N75" s="87" t="str">
        <f t="shared" si="16"/>
        <v>-</v>
      </c>
      <c r="O75" s="87" t="str">
        <f t="shared" si="17"/>
        <v>-</v>
      </c>
      <c r="P75" s="88"/>
      <c r="Q75" s="87" t="str">
        <f t="shared" si="18"/>
        <v>-</v>
      </c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5.75" customHeight="1" x14ac:dyDescent="0.3">
      <c r="A76" s="68" t="s">
        <v>194</v>
      </c>
      <c r="B76" s="36" t="s">
        <v>36</v>
      </c>
      <c r="C76" s="37" t="s">
        <v>18</v>
      </c>
      <c r="D76" s="38">
        <v>24</v>
      </c>
      <c r="E76" s="74">
        <v>0.45583670724739583</v>
      </c>
      <c r="F76" s="33">
        <v>17.5</v>
      </c>
      <c r="G76" s="39"/>
      <c r="H76" s="40">
        <f t="shared" si="6"/>
        <v>0</v>
      </c>
      <c r="L76" s="87" t="str">
        <f t="shared" si="14"/>
        <v>-</v>
      </c>
      <c r="M76" s="87" t="str">
        <f t="shared" si="15"/>
        <v>-</v>
      </c>
      <c r="N76" s="87" t="str">
        <f t="shared" si="16"/>
        <v>-</v>
      </c>
      <c r="O76" s="87" t="str">
        <f t="shared" si="17"/>
        <v>-</v>
      </c>
      <c r="P76" s="88"/>
      <c r="Q76" s="87" t="str">
        <f t="shared" si="18"/>
        <v>-</v>
      </c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5.75" customHeight="1" x14ac:dyDescent="0.3">
      <c r="A77" s="68" t="s">
        <v>195</v>
      </c>
      <c r="B77" s="36" t="s">
        <v>36</v>
      </c>
      <c r="C77" s="37" t="s">
        <v>37</v>
      </c>
      <c r="D77" s="38">
        <v>24</v>
      </c>
      <c r="E77" s="74">
        <v>0.46227204899677088</v>
      </c>
      <c r="F77" s="33">
        <v>17.5</v>
      </c>
      <c r="G77" s="39"/>
      <c r="H77" s="40">
        <f t="shared" si="6"/>
        <v>0</v>
      </c>
      <c r="L77" s="87" t="str">
        <f t="shared" si="14"/>
        <v>-</v>
      </c>
      <c r="M77" s="87" t="str">
        <f t="shared" si="15"/>
        <v>-</v>
      </c>
      <c r="N77" s="87" t="str">
        <f t="shared" si="16"/>
        <v>-</v>
      </c>
      <c r="O77" s="87" t="str">
        <f t="shared" si="17"/>
        <v>-</v>
      </c>
      <c r="P77" s="88"/>
      <c r="Q77" s="87" t="str">
        <f t="shared" si="18"/>
        <v>-</v>
      </c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5.75" customHeight="1" x14ac:dyDescent="0.3">
      <c r="A78" s="68" t="s">
        <v>196</v>
      </c>
      <c r="B78" s="36" t="s">
        <v>36</v>
      </c>
      <c r="C78" s="37" t="s">
        <v>6</v>
      </c>
      <c r="D78" s="38">
        <v>24</v>
      </c>
      <c r="E78" s="74">
        <v>0.45690926420562511</v>
      </c>
      <c r="F78" s="33">
        <v>17.5</v>
      </c>
      <c r="G78" s="39"/>
      <c r="H78" s="40">
        <f t="shared" si="6"/>
        <v>0</v>
      </c>
      <c r="L78" s="87" t="str">
        <f t="shared" si="14"/>
        <v>-</v>
      </c>
      <c r="M78" s="87" t="str">
        <f t="shared" si="15"/>
        <v>-</v>
      </c>
      <c r="N78" s="87" t="str">
        <f t="shared" si="16"/>
        <v>-</v>
      </c>
      <c r="O78" s="87" t="str">
        <f t="shared" si="17"/>
        <v>-</v>
      </c>
      <c r="P78" s="88"/>
      <c r="Q78" s="87" t="str">
        <f t="shared" si="18"/>
        <v>-</v>
      </c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5.75" customHeight="1" x14ac:dyDescent="0.3">
      <c r="A79" s="68" t="s">
        <v>125</v>
      </c>
      <c r="B79" s="36" t="s">
        <v>36</v>
      </c>
      <c r="C79" s="37" t="s">
        <v>38</v>
      </c>
      <c r="D79" s="38">
        <v>24</v>
      </c>
      <c r="E79" s="74">
        <v>0.45690926420562511</v>
      </c>
      <c r="F79" s="33">
        <v>17.5</v>
      </c>
      <c r="G79" s="39"/>
      <c r="H79" s="40">
        <f t="shared" si="6"/>
        <v>0</v>
      </c>
      <c r="L79" s="87" t="str">
        <f t="shared" si="14"/>
        <v>-</v>
      </c>
      <c r="M79" s="87" t="str">
        <f t="shared" si="15"/>
        <v>-</v>
      </c>
      <c r="N79" s="87" t="str">
        <f t="shared" si="16"/>
        <v>-</v>
      </c>
      <c r="O79" s="87" t="str">
        <f t="shared" si="17"/>
        <v>-</v>
      </c>
      <c r="P79" s="88"/>
      <c r="Q79" s="87" t="str">
        <f t="shared" si="18"/>
        <v>-</v>
      </c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.75" customHeight="1" x14ac:dyDescent="0.3">
      <c r="A80" s="68" t="s">
        <v>197</v>
      </c>
      <c r="B80" s="36" t="s">
        <v>39</v>
      </c>
      <c r="C80" s="37" t="s">
        <v>40</v>
      </c>
      <c r="D80" s="38">
        <v>24</v>
      </c>
      <c r="E80" s="74">
        <v>0.13728729065333334</v>
      </c>
      <c r="F80" s="33">
        <v>15</v>
      </c>
      <c r="G80" s="39"/>
      <c r="H80" s="40">
        <f t="shared" si="6"/>
        <v>0</v>
      </c>
      <c r="L80" s="87" t="str">
        <f t="shared" si="14"/>
        <v>-</v>
      </c>
      <c r="M80" s="87" t="str">
        <f t="shared" si="15"/>
        <v>-</v>
      </c>
      <c r="N80" s="87" t="str">
        <f t="shared" si="16"/>
        <v>-</v>
      </c>
      <c r="O80" s="87" t="str">
        <f t="shared" si="17"/>
        <v>-</v>
      </c>
      <c r="P80" s="88"/>
      <c r="Q80" s="87" t="str">
        <f t="shared" si="18"/>
        <v>-</v>
      </c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5.75" customHeight="1" x14ac:dyDescent="0.3">
      <c r="A81" s="68" t="s">
        <v>132</v>
      </c>
      <c r="B81" s="36" t="s">
        <v>41</v>
      </c>
      <c r="C81" s="37" t="s">
        <v>42</v>
      </c>
      <c r="D81" s="38">
        <v>24</v>
      </c>
      <c r="E81" s="74">
        <v>0.36145169492322926</v>
      </c>
      <c r="F81" s="33">
        <v>17.5</v>
      </c>
      <c r="G81" s="39"/>
      <c r="H81" s="40">
        <f t="shared" si="6"/>
        <v>0</v>
      </c>
      <c r="L81" s="87" t="str">
        <f t="shared" si="14"/>
        <v>-</v>
      </c>
      <c r="M81" s="87" t="str">
        <f t="shared" si="15"/>
        <v>-</v>
      </c>
      <c r="N81" s="87" t="str">
        <f t="shared" si="16"/>
        <v>-</v>
      </c>
      <c r="O81" s="87" t="str">
        <f t="shared" si="17"/>
        <v>-</v>
      </c>
      <c r="P81" s="88"/>
      <c r="Q81" s="87" t="str">
        <f t="shared" si="18"/>
        <v>-</v>
      </c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5.75" customHeight="1" x14ac:dyDescent="0.3">
      <c r="A82" s="68" t="s">
        <v>198</v>
      </c>
      <c r="B82" s="36" t="s">
        <v>43</v>
      </c>
      <c r="C82" s="37" t="s">
        <v>40</v>
      </c>
      <c r="D82" s="38">
        <v>24</v>
      </c>
      <c r="E82" s="74">
        <v>0.12656172107104169</v>
      </c>
      <c r="F82" s="33">
        <v>12.5</v>
      </c>
      <c r="G82" s="39"/>
      <c r="H82" s="40">
        <f t="shared" ref="H82:H152" si="20">F82*G82</f>
        <v>0</v>
      </c>
      <c r="L82" s="87" t="str">
        <f t="shared" si="14"/>
        <v>-</v>
      </c>
      <c r="M82" s="87" t="str">
        <f t="shared" si="15"/>
        <v>-</v>
      </c>
      <c r="N82" s="87" t="str">
        <f t="shared" si="16"/>
        <v>-</v>
      </c>
      <c r="O82" s="87" t="str">
        <f t="shared" si="17"/>
        <v>-</v>
      </c>
      <c r="P82" s="88"/>
      <c r="Q82" s="87" t="str">
        <f t="shared" si="18"/>
        <v>-</v>
      </c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customHeight="1" x14ac:dyDescent="0.3">
      <c r="A83" s="68" t="s">
        <v>199</v>
      </c>
      <c r="B83" s="36" t="s">
        <v>44</v>
      </c>
      <c r="C83" s="37" t="s">
        <v>40</v>
      </c>
      <c r="D83" s="38">
        <v>24</v>
      </c>
      <c r="E83" s="74">
        <v>0.14586774631916669</v>
      </c>
      <c r="F83" s="33">
        <v>10</v>
      </c>
      <c r="G83" s="39"/>
      <c r="H83" s="40">
        <f t="shared" si="20"/>
        <v>0</v>
      </c>
      <c r="L83" s="87" t="str">
        <f t="shared" si="14"/>
        <v>-</v>
      </c>
      <c r="M83" s="87" t="str">
        <f t="shared" si="15"/>
        <v>-</v>
      </c>
      <c r="N83" s="87" t="str">
        <f t="shared" si="16"/>
        <v>-</v>
      </c>
      <c r="O83" s="87" t="str">
        <f t="shared" si="17"/>
        <v>-</v>
      </c>
      <c r="P83" s="88"/>
      <c r="Q83" s="87" t="str">
        <f t="shared" si="18"/>
        <v>-</v>
      </c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5.75" customHeight="1" x14ac:dyDescent="0.3">
      <c r="A84" s="68" t="s">
        <v>125</v>
      </c>
      <c r="B84" s="36" t="s">
        <v>45</v>
      </c>
      <c r="C84" s="37" t="s">
        <v>6</v>
      </c>
      <c r="D84" s="38">
        <v>24</v>
      </c>
      <c r="E84" s="74"/>
      <c r="F84" s="33">
        <v>10</v>
      </c>
      <c r="G84" s="39"/>
      <c r="H84" s="40">
        <f t="shared" si="20"/>
        <v>0</v>
      </c>
      <c r="L84" s="87" t="str">
        <f t="shared" si="14"/>
        <v>-</v>
      </c>
      <c r="M84" s="87" t="str">
        <f t="shared" si="15"/>
        <v>-</v>
      </c>
      <c r="N84" s="87" t="str">
        <f t="shared" si="16"/>
        <v>-</v>
      </c>
      <c r="O84" s="87" t="str">
        <f t="shared" si="17"/>
        <v>-</v>
      </c>
      <c r="P84" s="88"/>
      <c r="Q84" s="87" t="str">
        <f t="shared" si="18"/>
        <v>-</v>
      </c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5.75" customHeight="1" x14ac:dyDescent="0.3">
      <c r="A85" s="68" t="s">
        <v>125</v>
      </c>
      <c r="B85" s="36" t="s">
        <v>45</v>
      </c>
      <c r="C85" s="37" t="s">
        <v>30</v>
      </c>
      <c r="D85" s="38">
        <v>24</v>
      </c>
      <c r="E85" s="74"/>
      <c r="F85" s="33">
        <v>10</v>
      </c>
      <c r="G85" s="39"/>
      <c r="H85" s="40">
        <f t="shared" si="20"/>
        <v>0</v>
      </c>
      <c r="L85" s="87" t="str">
        <f t="shared" si="14"/>
        <v>-</v>
      </c>
      <c r="M85" s="87" t="str">
        <f t="shared" si="15"/>
        <v>-</v>
      </c>
      <c r="N85" s="87" t="str">
        <f t="shared" si="16"/>
        <v>-</v>
      </c>
      <c r="O85" s="87" t="str">
        <f t="shared" si="17"/>
        <v>-</v>
      </c>
      <c r="P85" s="88"/>
      <c r="Q85" s="87" t="str">
        <f t="shared" si="18"/>
        <v>-</v>
      </c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5.75" customHeight="1" x14ac:dyDescent="0.3">
      <c r="A86" s="68" t="s">
        <v>125</v>
      </c>
      <c r="B86" s="36" t="s">
        <v>45</v>
      </c>
      <c r="C86" s="37" t="s">
        <v>46</v>
      </c>
      <c r="D86" s="38">
        <v>24</v>
      </c>
      <c r="E86" s="74"/>
      <c r="F86" s="33">
        <v>10</v>
      </c>
      <c r="G86" s="39"/>
      <c r="H86" s="40">
        <f t="shared" si="20"/>
        <v>0</v>
      </c>
      <c r="L86" s="87" t="str">
        <f t="shared" si="14"/>
        <v>-</v>
      </c>
      <c r="M86" s="87" t="str">
        <f t="shared" si="15"/>
        <v>-</v>
      </c>
      <c r="N86" s="87" t="str">
        <f t="shared" si="16"/>
        <v>-</v>
      </c>
      <c r="O86" s="87" t="str">
        <f t="shared" si="17"/>
        <v>-</v>
      </c>
      <c r="P86" s="88"/>
      <c r="Q86" s="87" t="str">
        <f t="shared" si="18"/>
        <v>-</v>
      </c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5.75" customHeight="1" x14ac:dyDescent="0.3">
      <c r="A87" s="68" t="s">
        <v>200</v>
      </c>
      <c r="B87" s="36" t="s">
        <v>47</v>
      </c>
      <c r="C87" s="37" t="s">
        <v>23</v>
      </c>
      <c r="D87" s="38">
        <v>12</v>
      </c>
      <c r="E87" s="74">
        <v>0.62422814968937501</v>
      </c>
      <c r="F87" s="33">
        <v>15</v>
      </c>
      <c r="G87" s="39"/>
      <c r="H87" s="40">
        <f t="shared" si="20"/>
        <v>0</v>
      </c>
      <c r="L87" s="87" t="str">
        <f t="shared" si="14"/>
        <v>-</v>
      </c>
      <c r="M87" s="87" t="str">
        <f t="shared" si="15"/>
        <v>-</v>
      </c>
      <c r="N87" s="87" t="str">
        <f t="shared" si="16"/>
        <v>-</v>
      </c>
      <c r="O87" s="87" t="str">
        <f t="shared" si="17"/>
        <v>-</v>
      </c>
      <c r="P87" s="88"/>
      <c r="Q87" s="87" t="str">
        <f t="shared" si="18"/>
        <v>-</v>
      </c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5.75" customHeight="1" x14ac:dyDescent="0.3">
      <c r="A88" s="68" t="s">
        <v>201</v>
      </c>
      <c r="B88" s="36" t="s">
        <v>47</v>
      </c>
      <c r="C88" s="37" t="s">
        <v>14</v>
      </c>
      <c r="D88" s="38">
        <v>12</v>
      </c>
      <c r="E88" s="74">
        <v>0.62422814968937501</v>
      </c>
      <c r="F88" s="33">
        <v>15</v>
      </c>
      <c r="G88" s="39"/>
      <c r="H88" s="40">
        <f t="shared" si="20"/>
        <v>0</v>
      </c>
      <c r="L88" s="87" t="str">
        <f t="shared" si="14"/>
        <v>-</v>
      </c>
      <c r="M88" s="87" t="str">
        <f t="shared" si="15"/>
        <v>-</v>
      </c>
      <c r="N88" s="87" t="str">
        <f t="shared" si="16"/>
        <v>-</v>
      </c>
      <c r="O88" s="87" t="str">
        <f t="shared" si="17"/>
        <v>-</v>
      </c>
      <c r="P88" s="88"/>
      <c r="Q88" s="87" t="str">
        <f t="shared" si="18"/>
        <v>-</v>
      </c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5.75" customHeight="1" x14ac:dyDescent="0.3">
      <c r="A89" s="68" t="s">
        <v>202</v>
      </c>
      <c r="B89" s="36" t="s">
        <v>48</v>
      </c>
      <c r="C89" s="37" t="s">
        <v>23</v>
      </c>
      <c r="D89" s="38">
        <v>24</v>
      </c>
      <c r="E89" s="74">
        <v>0.36145169492322926</v>
      </c>
      <c r="F89" s="33">
        <v>12.5</v>
      </c>
      <c r="G89" s="39"/>
      <c r="H89" s="40">
        <f t="shared" si="20"/>
        <v>0</v>
      </c>
      <c r="L89" s="87" t="str">
        <f t="shared" si="14"/>
        <v>-</v>
      </c>
      <c r="M89" s="87" t="str">
        <f t="shared" si="15"/>
        <v>-</v>
      </c>
      <c r="N89" s="87" t="str">
        <f t="shared" si="16"/>
        <v>-</v>
      </c>
      <c r="O89" s="87" t="str">
        <f t="shared" si="17"/>
        <v>-</v>
      </c>
      <c r="P89" s="88"/>
      <c r="Q89" s="87" t="str">
        <f t="shared" si="18"/>
        <v>-</v>
      </c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5.75" customHeight="1" x14ac:dyDescent="0.3">
      <c r="A90" s="68" t="s">
        <v>203</v>
      </c>
      <c r="B90" s="36" t="s">
        <v>48</v>
      </c>
      <c r="C90" s="37" t="s">
        <v>5</v>
      </c>
      <c r="D90" s="38">
        <v>24</v>
      </c>
      <c r="E90" s="74">
        <v>0.36145169492322926</v>
      </c>
      <c r="F90" s="33">
        <v>12.5</v>
      </c>
      <c r="G90" s="39"/>
      <c r="H90" s="40">
        <f t="shared" si="20"/>
        <v>0</v>
      </c>
      <c r="L90" s="87" t="str">
        <f t="shared" si="14"/>
        <v>-</v>
      </c>
      <c r="M90" s="87" t="str">
        <f t="shared" si="15"/>
        <v>-</v>
      </c>
      <c r="N90" s="87" t="str">
        <f t="shared" si="16"/>
        <v>-</v>
      </c>
      <c r="O90" s="87" t="str">
        <f t="shared" si="17"/>
        <v>-</v>
      </c>
      <c r="P90" s="88"/>
      <c r="Q90" s="87" t="str">
        <f t="shared" si="18"/>
        <v>-</v>
      </c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5.75" customHeight="1" x14ac:dyDescent="0.3">
      <c r="A91" s="68" t="s">
        <v>204</v>
      </c>
      <c r="B91" s="36" t="s">
        <v>48</v>
      </c>
      <c r="C91" s="37" t="s">
        <v>6</v>
      </c>
      <c r="D91" s="38">
        <v>24</v>
      </c>
      <c r="E91" s="74">
        <v>0.36145169492322926</v>
      </c>
      <c r="F91" s="33">
        <v>12.5</v>
      </c>
      <c r="G91" s="39"/>
      <c r="H91" s="40">
        <f t="shared" si="20"/>
        <v>0</v>
      </c>
      <c r="L91" s="87" t="str">
        <f t="shared" si="14"/>
        <v>-</v>
      </c>
      <c r="M91" s="87" t="str">
        <f t="shared" si="15"/>
        <v>-</v>
      </c>
      <c r="N91" s="87" t="str">
        <f t="shared" si="16"/>
        <v>-</v>
      </c>
      <c r="O91" s="87" t="str">
        <f t="shared" si="17"/>
        <v>-</v>
      </c>
      <c r="P91" s="88"/>
      <c r="Q91" s="87" t="str">
        <f t="shared" si="18"/>
        <v>-</v>
      </c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customHeight="1" x14ac:dyDescent="0.3">
      <c r="A92" s="68" t="s">
        <v>205</v>
      </c>
      <c r="B92" s="36" t="s">
        <v>133</v>
      </c>
      <c r="C92" s="37" t="s">
        <v>49</v>
      </c>
      <c r="D92" s="38">
        <v>4</v>
      </c>
      <c r="E92" s="75">
        <v>1.6345768043412501</v>
      </c>
      <c r="F92" s="33">
        <v>30</v>
      </c>
      <c r="G92" s="39"/>
      <c r="H92" s="40">
        <f t="shared" si="20"/>
        <v>0</v>
      </c>
      <c r="L92" s="87" t="str">
        <f t="shared" si="14"/>
        <v>-</v>
      </c>
      <c r="M92" s="87" t="str">
        <f t="shared" si="15"/>
        <v>-</v>
      </c>
      <c r="N92" s="87" t="str">
        <f t="shared" si="16"/>
        <v>-</v>
      </c>
      <c r="O92" s="87" t="str">
        <f t="shared" si="17"/>
        <v>-</v>
      </c>
      <c r="P92" s="88"/>
      <c r="Q92" s="87" t="str">
        <f t="shared" si="18"/>
        <v>-</v>
      </c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5.75" customHeight="1" x14ac:dyDescent="0.3">
      <c r="A93" s="68" t="s">
        <v>206</v>
      </c>
      <c r="B93" s="36" t="s">
        <v>133</v>
      </c>
      <c r="C93" s="37" t="s">
        <v>134</v>
      </c>
      <c r="D93" s="38">
        <v>4</v>
      </c>
      <c r="E93" s="75">
        <v>1.6345768043412501</v>
      </c>
      <c r="F93" s="33">
        <v>30</v>
      </c>
      <c r="G93" s="39"/>
      <c r="H93" s="40">
        <f t="shared" si="20"/>
        <v>0</v>
      </c>
      <c r="L93" s="87" t="str">
        <f t="shared" si="14"/>
        <v>-</v>
      </c>
      <c r="M93" s="87" t="str">
        <f t="shared" si="15"/>
        <v>-</v>
      </c>
      <c r="N93" s="87" t="str">
        <f t="shared" si="16"/>
        <v>-</v>
      </c>
      <c r="O93" s="87" t="str">
        <f t="shared" si="17"/>
        <v>-</v>
      </c>
      <c r="P93" s="88"/>
      <c r="Q93" s="87" t="str">
        <f t="shared" si="18"/>
        <v>-</v>
      </c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5.75" customHeight="1" x14ac:dyDescent="0.3">
      <c r="A94" s="68" t="s">
        <v>207</v>
      </c>
      <c r="B94" s="36" t="s">
        <v>133</v>
      </c>
      <c r="C94" s="37" t="s">
        <v>51</v>
      </c>
      <c r="D94" s="38">
        <v>4</v>
      </c>
      <c r="E94" s="75">
        <v>1.6345768043412501</v>
      </c>
      <c r="F94" s="33">
        <v>30</v>
      </c>
      <c r="G94" s="39"/>
      <c r="H94" s="40">
        <f t="shared" si="20"/>
        <v>0</v>
      </c>
      <c r="L94" s="87" t="str">
        <f t="shared" si="14"/>
        <v>-</v>
      </c>
      <c r="M94" s="87" t="str">
        <f t="shared" si="15"/>
        <v>-</v>
      </c>
      <c r="N94" s="87" t="str">
        <f t="shared" si="16"/>
        <v>-</v>
      </c>
      <c r="O94" s="87" t="str">
        <f t="shared" si="17"/>
        <v>-</v>
      </c>
      <c r="P94" s="88"/>
      <c r="Q94" s="87" t="str">
        <f t="shared" si="18"/>
        <v>-</v>
      </c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5.75" customHeight="1" x14ac:dyDescent="0.3">
      <c r="A95" s="68" t="s">
        <v>208</v>
      </c>
      <c r="B95" s="36" t="s">
        <v>133</v>
      </c>
      <c r="C95" s="37" t="s">
        <v>135</v>
      </c>
      <c r="D95" s="38">
        <v>4</v>
      </c>
      <c r="E95" s="75">
        <v>1.6345768043412501</v>
      </c>
      <c r="F95" s="33">
        <v>30</v>
      </c>
      <c r="G95" s="39"/>
      <c r="H95" s="40">
        <f t="shared" si="20"/>
        <v>0</v>
      </c>
      <c r="L95" s="87" t="str">
        <f t="shared" si="14"/>
        <v>-</v>
      </c>
      <c r="M95" s="87" t="str">
        <f t="shared" si="15"/>
        <v>-</v>
      </c>
      <c r="N95" s="87" t="str">
        <f t="shared" si="16"/>
        <v>-</v>
      </c>
      <c r="O95" s="87" t="str">
        <f t="shared" si="17"/>
        <v>-</v>
      </c>
      <c r="P95" s="88"/>
      <c r="Q95" s="87" t="str">
        <f t="shared" si="18"/>
        <v>-</v>
      </c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5.75" customHeight="1" x14ac:dyDescent="0.3">
      <c r="A96" s="68" t="s">
        <v>209</v>
      </c>
      <c r="B96" s="36" t="s">
        <v>133</v>
      </c>
      <c r="C96" s="37" t="s">
        <v>53</v>
      </c>
      <c r="D96" s="38">
        <v>4</v>
      </c>
      <c r="E96" s="75">
        <v>1.6345768043412501</v>
      </c>
      <c r="F96" s="33">
        <v>30</v>
      </c>
      <c r="G96" s="39"/>
      <c r="H96" s="40">
        <f t="shared" si="20"/>
        <v>0</v>
      </c>
      <c r="L96" s="87" t="str">
        <f t="shared" si="14"/>
        <v>-</v>
      </c>
      <c r="M96" s="87" t="str">
        <f t="shared" si="15"/>
        <v>-</v>
      </c>
      <c r="N96" s="87" t="str">
        <f t="shared" si="16"/>
        <v>-</v>
      </c>
      <c r="O96" s="87" t="str">
        <f t="shared" si="17"/>
        <v>-</v>
      </c>
      <c r="P96" s="88"/>
      <c r="Q96" s="87" t="str">
        <f t="shared" si="18"/>
        <v>-</v>
      </c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5.75" customHeight="1" x14ac:dyDescent="0.3">
      <c r="A97" s="68" t="s">
        <v>210</v>
      </c>
      <c r="B97" s="89" t="s">
        <v>136</v>
      </c>
      <c r="C97" s="37" t="s">
        <v>50</v>
      </c>
      <c r="D97" s="38">
        <v>4</v>
      </c>
      <c r="E97" s="75">
        <v>3.2434122416850002</v>
      </c>
      <c r="F97" s="33">
        <v>45</v>
      </c>
      <c r="G97" s="39"/>
      <c r="H97" s="40">
        <f t="shared" si="20"/>
        <v>0</v>
      </c>
      <c r="L97" s="87" t="str">
        <f t="shared" si="14"/>
        <v>-</v>
      </c>
      <c r="M97" s="87" t="str">
        <f t="shared" si="15"/>
        <v>-</v>
      </c>
      <c r="N97" s="87" t="str">
        <f t="shared" si="16"/>
        <v>-</v>
      </c>
      <c r="O97" s="87" t="str">
        <f t="shared" si="17"/>
        <v>-</v>
      </c>
      <c r="P97" s="88"/>
      <c r="Q97" s="87" t="str">
        <f t="shared" si="18"/>
        <v>-</v>
      </c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5.75" customHeight="1" x14ac:dyDescent="0.3">
      <c r="A98" s="68" t="s">
        <v>211</v>
      </c>
      <c r="B98" s="89" t="s">
        <v>136</v>
      </c>
      <c r="C98" s="37" t="s">
        <v>49</v>
      </c>
      <c r="D98" s="38">
        <v>4</v>
      </c>
      <c r="E98" s="75">
        <v>3.2434122416850002</v>
      </c>
      <c r="F98" s="33">
        <v>45</v>
      </c>
      <c r="G98" s="39"/>
      <c r="H98" s="40">
        <f t="shared" si="20"/>
        <v>0</v>
      </c>
      <c r="L98" s="87" t="str">
        <f t="shared" si="14"/>
        <v>-</v>
      </c>
      <c r="M98" s="87" t="str">
        <f t="shared" si="15"/>
        <v>-</v>
      </c>
      <c r="N98" s="87" t="str">
        <f t="shared" si="16"/>
        <v>-</v>
      </c>
      <c r="O98" s="87" t="str">
        <f t="shared" si="17"/>
        <v>-</v>
      </c>
      <c r="P98" s="88"/>
      <c r="Q98" s="87" t="str">
        <f t="shared" si="18"/>
        <v>-</v>
      </c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5.75" customHeight="1" x14ac:dyDescent="0.3">
      <c r="A99" s="68" t="s">
        <v>212</v>
      </c>
      <c r="B99" s="89" t="s">
        <v>136</v>
      </c>
      <c r="C99" s="37" t="s">
        <v>51</v>
      </c>
      <c r="D99" s="38">
        <v>4</v>
      </c>
      <c r="E99" s="75">
        <v>3.2434122416850002</v>
      </c>
      <c r="F99" s="33">
        <v>45</v>
      </c>
      <c r="G99" s="39"/>
      <c r="H99" s="40">
        <f t="shared" si="20"/>
        <v>0</v>
      </c>
      <c r="L99" s="87" t="str">
        <f t="shared" si="14"/>
        <v>-</v>
      </c>
      <c r="M99" s="87" t="str">
        <f t="shared" si="15"/>
        <v>-</v>
      </c>
      <c r="N99" s="87" t="str">
        <f t="shared" si="16"/>
        <v>-</v>
      </c>
      <c r="O99" s="87" t="str">
        <f t="shared" si="17"/>
        <v>-</v>
      </c>
      <c r="P99" s="88"/>
      <c r="Q99" s="87" t="str">
        <f t="shared" si="18"/>
        <v>-</v>
      </c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5.75" customHeight="1" x14ac:dyDescent="0.3">
      <c r="A100" s="68" t="s">
        <v>213</v>
      </c>
      <c r="B100" s="89" t="s">
        <v>136</v>
      </c>
      <c r="C100" s="37" t="s">
        <v>53</v>
      </c>
      <c r="D100" s="38">
        <v>4</v>
      </c>
      <c r="E100" s="75">
        <v>3.2434122416850002</v>
      </c>
      <c r="F100" s="33">
        <v>45</v>
      </c>
      <c r="G100" s="39"/>
      <c r="H100" s="40">
        <f t="shared" si="20"/>
        <v>0</v>
      </c>
      <c r="L100" s="87" t="str">
        <f t="shared" si="14"/>
        <v>-</v>
      </c>
      <c r="M100" s="87" t="str">
        <f t="shared" si="15"/>
        <v>-</v>
      </c>
      <c r="N100" s="87" t="str">
        <f t="shared" si="16"/>
        <v>-</v>
      </c>
      <c r="O100" s="87" t="str">
        <f t="shared" si="17"/>
        <v>-</v>
      </c>
      <c r="P100" s="88"/>
      <c r="Q100" s="87" t="str">
        <f t="shared" si="18"/>
        <v>-</v>
      </c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customHeight="1" x14ac:dyDescent="0.3">
      <c r="A101" s="68" t="s">
        <v>214</v>
      </c>
      <c r="B101" s="89" t="s">
        <v>136</v>
      </c>
      <c r="C101" s="37" t="s">
        <v>135</v>
      </c>
      <c r="D101" s="38">
        <v>4</v>
      </c>
      <c r="E101" s="75">
        <v>3.2434122416850002</v>
      </c>
      <c r="F101" s="33">
        <v>45</v>
      </c>
      <c r="G101" s="39"/>
      <c r="H101" s="40">
        <f t="shared" si="20"/>
        <v>0</v>
      </c>
      <c r="L101" s="87" t="str">
        <f t="shared" si="14"/>
        <v>-</v>
      </c>
      <c r="M101" s="87" t="str">
        <f t="shared" si="15"/>
        <v>-</v>
      </c>
      <c r="N101" s="87" t="str">
        <f t="shared" si="16"/>
        <v>-</v>
      </c>
      <c r="O101" s="87" t="str">
        <f t="shared" si="17"/>
        <v>-</v>
      </c>
      <c r="P101" s="88"/>
      <c r="Q101" s="87" t="str">
        <f t="shared" si="18"/>
        <v>-</v>
      </c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5.75" customHeight="1" x14ac:dyDescent="0.3">
      <c r="A102" s="68" t="s">
        <v>215</v>
      </c>
      <c r="B102" s="89" t="s">
        <v>136</v>
      </c>
      <c r="C102" s="43" t="s">
        <v>54</v>
      </c>
      <c r="D102" s="44">
        <v>4</v>
      </c>
      <c r="E102" s="75">
        <v>3.2434122416850002</v>
      </c>
      <c r="F102" s="33">
        <v>45</v>
      </c>
      <c r="G102" s="39"/>
      <c r="H102" s="40">
        <f>F102*G102</f>
        <v>0</v>
      </c>
      <c r="L102" s="87" t="str">
        <f t="shared" si="14"/>
        <v>-</v>
      </c>
      <c r="M102" s="87" t="str">
        <f t="shared" si="15"/>
        <v>-</v>
      </c>
      <c r="N102" s="87" t="str">
        <f t="shared" si="16"/>
        <v>-</v>
      </c>
      <c r="O102" s="87" t="str">
        <f t="shared" si="17"/>
        <v>-</v>
      </c>
      <c r="P102" s="88"/>
      <c r="Q102" s="87" t="str">
        <f t="shared" si="18"/>
        <v>-</v>
      </c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5.75" customHeight="1" x14ac:dyDescent="0.3">
      <c r="A103" s="68" t="s">
        <v>216</v>
      </c>
      <c r="B103" s="42" t="s">
        <v>137</v>
      </c>
      <c r="C103" s="43" t="s">
        <v>49</v>
      </c>
      <c r="D103" s="44">
        <v>4</v>
      </c>
      <c r="E103" s="75">
        <v>5.3670750189787508</v>
      </c>
      <c r="F103" s="45">
        <v>100</v>
      </c>
      <c r="G103" s="39"/>
      <c r="H103" s="40">
        <f>F103*G103</f>
        <v>0</v>
      </c>
      <c r="L103" s="87" t="str">
        <f t="shared" si="14"/>
        <v>-</v>
      </c>
      <c r="M103" s="87" t="str">
        <f t="shared" si="15"/>
        <v>-</v>
      </c>
      <c r="N103" s="87" t="str">
        <f t="shared" si="16"/>
        <v>-</v>
      </c>
      <c r="O103" s="87" t="str">
        <f t="shared" si="17"/>
        <v>-</v>
      </c>
      <c r="P103" s="88"/>
      <c r="Q103" s="87" t="str">
        <f t="shared" si="18"/>
        <v>-</v>
      </c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.75" customHeight="1" x14ac:dyDescent="0.3">
      <c r="A104" s="68" t="s">
        <v>125</v>
      </c>
      <c r="B104" s="42" t="s">
        <v>137</v>
      </c>
      <c r="C104" s="43" t="s">
        <v>52</v>
      </c>
      <c r="D104" s="44">
        <v>4</v>
      </c>
      <c r="E104" s="75">
        <v>5.3670750189787508</v>
      </c>
      <c r="F104" s="45">
        <v>100</v>
      </c>
      <c r="G104" s="39"/>
      <c r="H104" s="40">
        <f t="shared" si="20"/>
        <v>0</v>
      </c>
      <c r="L104" s="87" t="str">
        <f t="shared" si="14"/>
        <v>-</v>
      </c>
      <c r="M104" s="87" t="str">
        <f t="shared" si="15"/>
        <v>-</v>
      </c>
      <c r="N104" s="87" t="str">
        <f t="shared" si="16"/>
        <v>-</v>
      </c>
      <c r="O104" s="87" t="str">
        <f t="shared" si="17"/>
        <v>-</v>
      </c>
      <c r="P104" s="88"/>
      <c r="Q104" s="87" t="str">
        <f t="shared" si="18"/>
        <v>-</v>
      </c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5.75" customHeight="1" x14ac:dyDescent="0.3">
      <c r="A105" s="68" t="s">
        <v>217</v>
      </c>
      <c r="B105" s="42" t="s">
        <v>137</v>
      </c>
      <c r="C105" s="43" t="s">
        <v>51</v>
      </c>
      <c r="D105" s="44">
        <v>4</v>
      </c>
      <c r="E105" s="75">
        <v>5.3670750189787508</v>
      </c>
      <c r="F105" s="45">
        <v>100</v>
      </c>
      <c r="G105" s="39"/>
      <c r="H105" s="40">
        <f t="shared" si="20"/>
        <v>0</v>
      </c>
      <c r="L105" s="87" t="str">
        <f t="shared" si="14"/>
        <v>-</v>
      </c>
      <c r="M105" s="87" t="str">
        <f t="shared" si="15"/>
        <v>-</v>
      </c>
      <c r="N105" s="87" t="str">
        <f t="shared" si="16"/>
        <v>-</v>
      </c>
      <c r="O105" s="87" t="str">
        <f t="shared" si="17"/>
        <v>-</v>
      </c>
      <c r="P105" s="88"/>
      <c r="Q105" s="87" t="str">
        <f t="shared" si="18"/>
        <v>-</v>
      </c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s="28" customFormat="1" ht="15.75" customHeight="1" x14ac:dyDescent="0.3">
      <c r="A106" s="68" t="s">
        <v>218</v>
      </c>
      <c r="B106" s="46" t="s">
        <v>55</v>
      </c>
      <c r="C106" s="47" t="s">
        <v>49</v>
      </c>
      <c r="D106" s="48">
        <v>8</v>
      </c>
      <c r="E106" s="76">
        <v>2.5741366997500004</v>
      </c>
      <c r="F106" s="45">
        <v>35</v>
      </c>
      <c r="G106" s="34"/>
      <c r="H106" s="40">
        <f t="shared" si="20"/>
        <v>0</v>
      </c>
      <c r="L106" s="87" t="str">
        <f t="shared" si="14"/>
        <v>-</v>
      </c>
      <c r="M106" s="87" t="str">
        <f t="shared" si="15"/>
        <v>-</v>
      </c>
      <c r="N106" s="87" t="str">
        <f t="shared" si="16"/>
        <v>-</v>
      </c>
      <c r="O106" s="87" t="str">
        <f t="shared" si="17"/>
        <v>-</v>
      </c>
      <c r="P106" s="88"/>
      <c r="Q106" s="87" t="str">
        <f t="shared" si="18"/>
        <v>-</v>
      </c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spans="1:27" s="28" customFormat="1" ht="15.75" customHeight="1" x14ac:dyDescent="0.3">
      <c r="A107" s="68" t="s">
        <v>219</v>
      </c>
      <c r="B107" s="46" t="s">
        <v>55</v>
      </c>
      <c r="C107" s="47" t="s">
        <v>51</v>
      </c>
      <c r="D107" s="48">
        <v>8</v>
      </c>
      <c r="E107" s="76">
        <v>2.5741366997500004</v>
      </c>
      <c r="F107" s="45">
        <v>35</v>
      </c>
      <c r="G107" s="34"/>
      <c r="H107" s="40">
        <f t="shared" si="20"/>
        <v>0</v>
      </c>
      <c r="L107" s="87" t="str">
        <f t="shared" si="14"/>
        <v>-</v>
      </c>
      <c r="M107" s="87" t="str">
        <f t="shared" si="15"/>
        <v>-</v>
      </c>
      <c r="N107" s="87" t="str">
        <f t="shared" si="16"/>
        <v>-</v>
      </c>
      <c r="O107" s="87" t="str">
        <f t="shared" si="17"/>
        <v>-</v>
      </c>
      <c r="P107" s="88"/>
      <c r="Q107" s="87" t="str">
        <f t="shared" si="18"/>
        <v>-</v>
      </c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spans="1:27" ht="15.75" customHeight="1" x14ac:dyDescent="0.3">
      <c r="A108" s="68" t="s">
        <v>220</v>
      </c>
      <c r="B108" s="36" t="s">
        <v>56</v>
      </c>
      <c r="C108" s="37" t="s">
        <v>51</v>
      </c>
      <c r="D108" s="38">
        <v>4</v>
      </c>
      <c r="E108" s="74">
        <v>2.9216451542162498</v>
      </c>
      <c r="F108" s="33">
        <v>47.5</v>
      </c>
      <c r="G108" s="39"/>
      <c r="H108" s="40">
        <f t="shared" si="20"/>
        <v>0</v>
      </c>
      <c r="L108" s="87" t="str">
        <f t="shared" si="14"/>
        <v>-</v>
      </c>
      <c r="M108" s="87" t="str">
        <f t="shared" si="15"/>
        <v>-</v>
      </c>
      <c r="N108" s="87" t="str">
        <f t="shared" si="16"/>
        <v>-</v>
      </c>
      <c r="O108" s="87" t="str">
        <f t="shared" si="17"/>
        <v>-</v>
      </c>
      <c r="P108" s="88"/>
      <c r="Q108" s="87" t="str">
        <f t="shared" si="18"/>
        <v>-</v>
      </c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5.75" customHeight="1" x14ac:dyDescent="0.3">
      <c r="A109" s="68" t="s">
        <v>221</v>
      </c>
      <c r="B109" s="36" t="s">
        <v>56</v>
      </c>
      <c r="C109" s="37" t="s">
        <v>49</v>
      </c>
      <c r="D109" s="38">
        <v>4</v>
      </c>
      <c r="E109" s="74">
        <v>3.2755889504318749</v>
      </c>
      <c r="F109" s="33">
        <v>47.5</v>
      </c>
      <c r="G109" s="39"/>
      <c r="H109" s="40">
        <f t="shared" si="20"/>
        <v>0</v>
      </c>
      <c r="L109" s="87" t="str">
        <f t="shared" si="14"/>
        <v>-</v>
      </c>
      <c r="M109" s="87" t="str">
        <f t="shared" si="15"/>
        <v>-</v>
      </c>
      <c r="N109" s="87" t="str">
        <f t="shared" si="16"/>
        <v>-</v>
      </c>
      <c r="O109" s="87" t="str">
        <f t="shared" si="17"/>
        <v>-</v>
      </c>
      <c r="P109" s="88"/>
      <c r="Q109" s="87" t="str">
        <f t="shared" si="18"/>
        <v>-</v>
      </c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customHeight="1" x14ac:dyDescent="0.3">
      <c r="A110" s="68" t="s">
        <v>222</v>
      </c>
      <c r="B110" s="36" t="s">
        <v>57</v>
      </c>
      <c r="C110" s="37" t="s">
        <v>51</v>
      </c>
      <c r="D110" s="38">
        <v>4</v>
      </c>
      <c r="E110" s="74">
        <v>2.8508563949731252</v>
      </c>
      <c r="F110" s="33">
        <v>65</v>
      </c>
      <c r="G110" s="39"/>
      <c r="H110" s="40">
        <f t="shared" si="20"/>
        <v>0</v>
      </c>
      <c r="L110" s="87" t="str">
        <f t="shared" si="14"/>
        <v>-</v>
      </c>
      <c r="M110" s="87" t="str">
        <f t="shared" si="15"/>
        <v>-</v>
      </c>
      <c r="N110" s="87" t="str">
        <f t="shared" si="16"/>
        <v>-</v>
      </c>
      <c r="O110" s="87" t="str">
        <f t="shared" si="17"/>
        <v>-</v>
      </c>
      <c r="P110" s="88"/>
      <c r="Q110" s="87" t="str">
        <f t="shared" si="18"/>
        <v>-</v>
      </c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5.75" customHeight="1" x14ac:dyDescent="0.3">
      <c r="A111" s="68" t="s">
        <v>223</v>
      </c>
      <c r="B111" s="36" t="s">
        <v>57</v>
      </c>
      <c r="C111" s="37" t="s">
        <v>49</v>
      </c>
      <c r="D111" s="38">
        <v>4</v>
      </c>
      <c r="E111" s="74">
        <v>2.8508563949731252</v>
      </c>
      <c r="F111" s="33">
        <v>65</v>
      </c>
      <c r="G111" s="39"/>
      <c r="H111" s="40">
        <f t="shared" si="20"/>
        <v>0</v>
      </c>
      <c r="L111" s="87" t="str">
        <f t="shared" si="14"/>
        <v>-</v>
      </c>
      <c r="M111" s="87" t="str">
        <f t="shared" si="15"/>
        <v>-</v>
      </c>
      <c r="N111" s="87" t="str">
        <f t="shared" si="16"/>
        <v>-</v>
      </c>
      <c r="O111" s="87" t="str">
        <f t="shared" si="17"/>
        <v>-</v>
      </c>
      <c r="P111" s="88"/>
      <c r="Q111" s="87" t="str">
        <f t="shared" si="18"/>
        <v>-</v>
      </c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5.75" customHeight="1" x14ac:dyDescent="0.3">
      <c r="A112" s="68" t="s">
        <v>130</v>
      </c>
      <c r="B112" s="36" t="s">
        <v>58</v>
      </c>
      <c r="C112" s="37" t="s">
        <v>49</v>
      </c>
      <c r="D112" s="38">
        <v>4</v>
      </c>
      <c r="E112" s="74">
        <v>1.4415165518599999</v>
      </c>
      <c r="F112" s="33">
        <v>35</v>
      </c>
      <c r="G112" s="39"/>
      <c r="H112" s="40">
        <f t="shared" si="20"/>
        <v>0</v>
      </c>
      <c r="L112" s="87" t="str">
        <f t="shared" si="14"/>
        <v>-</v>
      </c>
      <c r="M112" s="87" t="str">
        <f t="shared" si="15"/>
        <v>-</v>
      </c>
      <c r="N112" s="87" t="str">
        <f t="shared" si="16"/>
        <v>-</v>
      </c>
      <c r="O112" s="87" t="str">
        <f t="shared" si="17"/>
        <v>-</v>
      </c>
      <c r="P112" s="88"/>
      <c r="Q112" s="87" t="str">
        <f t="shared" si="18"/>
        <v>-</v>
      </c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5.75" customHeight="1" x14ac:dyDescent="0.3">
      <c r="A113" s="68" t="s">
        <v>131</v>
      </c>
      <c r="B113" s="36" t="s">
        <v>58</v>
      </c>
      <c r="C113" s="37" t="s">
        <v>59</v>
      </c>
      <c r="D113" s="38">
        <v>4</v>
      </c>
      <c r="E113" s="74">
        <v>1.4415165518599999</v>
      </c>
      <c r="F113" s="33">
        <v>35</v>
      </c>
      <c r="G113" s="39"/>
      <c r="H113" s="40">
        <f t="shared" si="20"/>
        <v>0</v>
      </c>
      <c r="L113" s="87" t="str">
        <f t="shared" si="14"/>
        <v>-</v>
      </c>
      <c r="M113" s="87" t="str">
        <f t="shared" si="15"/>
        <v>-</v>
      </c>
      <c r="N113" s="87" t="str">
        <f t="shared" si="16"/>
        <v>-</v>
      </c>
      <c r="O113" s="87" t="str">
        <f t="shared" si="17"/>
        <v>-</v>
      </c>
      <c r="P113" s="88"/>
      <c r="Q113" s="87" t="str">
        <f t="shared" si="18"/>
        <v>-</v>
      </c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5.75" customHeight="1" x14ac:dyDescent="0.3">
      <c r="A114" s="68" t="s">
        <v>224</v>
      </c>
      <c r="B114" s="36" t="s">
        <v>60</v>
      </c>
      <c r="C114" s="37" t="s">
        <v>61</v>
      </c>
      <c r="D114" s="38">
        <v>24</v>
      </c>
      <c r="E114" s="74">
        <v>0.40006374541947914</v>
      </c>
      <c r="F114" s="33">
        <v>12.5</v>
      </c>
      <c r="G114" s="39"/>
      <c r="H114" s="40">
        <f t="shared" si="20"/>
        <v>0</v>
      </c>
      <c r="L114" s="87" t="str">
        <f t="shared" si="14"/>
        <v>-</v>
      </c>
      <c r="M114" s="87" t="str">
        <f t="shared" si="15"/>
        <v>-</v>
      </c>
      <c r="N114" s="87" t="str">
        <f t="shared" si="16"/>
        <v>-</v>
      </c>
      <c r="O114" s="87" t="str">
        <f t="shared" si="17"/>
        <v>-</v>
      </c>
      <c r="P114" s="88"/>
      <c r="Q114" s="87" t="str">
        <f t="shared" si="18"/>
        <v>-</v>
      </c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5.75" customHeight="1" x14ac:dyDescent="0.3">
      <c r="A115" s="68" t="s">
        <v>225</v>
      </c>
      <c r="B115" s="36" t="s">
        <v>60</v>
      </c>
      <c r="C115" s="37" t="s">
        <v>62</v>
      </c>
      <c r="D115" s="38">
        <v>24</v>
      </c>
      <c r="E115" s="74">
        <v>0.40006374541947914</v>
      </c>
      <c r="F115" s="33">
        <v>12.5</v>
      </c>
      <c r="G115" s="39"/>
      <c r="H115" s="40">
        <f t="shared" si="20"/>
        <v>0</v>
      </c>
      <c r="L115" s="87" t="str">
        <f t="shared" si="14"/>
        <v>-</v>
      </c>
      <c r="M115" s="87" t="str">
        <f t="shared" si="15"/>
        <v>-</v>
      </c>
      <c r="N115" s="87" t="str">
        <f t="shared" si="16"/>
        <v>-</v>
      </c>
      <c r="O115" s="87" t="str">
        <f t="shared" si="17"/>
        <v>-</v>
      </c>
      <c r="P115" s="88"/>
      <c r="Q115" s="87" t="str">
        <f t="shared" si="18"/>
        <v>-</v>
      </c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5.75" customHeight="1" x14ac:dyDescent="0.3">
      <c r="A116" s="68" t="s">
        <v>226</v>
      </c>
      <c r="B116" s="36" t="s">
        <v>60</v>
      </c>
      <c r="C116" s="37" t="s">
        <v>13</v>
      </c>
      <c r="D116" s="38">
        <v>24</v>
      </c>
      <c r="E116" s="74">
        <v>0.40006374541947914</v>
      </c>
      <c r="F116" s="33">
        <v>12.5</v>
      </c>
      <c r="G116" s="39"/>
      <c r="H116" s="40">
        <f t="shared" si="20"/>
        <v>0</v>
      </c>
      <c r="L116" s="87" t="str">
        <f t="shared" si="14"/>
        <v>-</v>
      </c>
      <c r="M116" s="87" t="str">
        <f t="shared" si="15"/>
        <v>-</v>
      </c>
      <c r="N116" s="87" t="str">
        <f t="shared" si="16"/>
        <v>-</v>
      </c>
      <c r="O116" s="87" t="str">
        <f t="shared" si="17"/>
        <v>-</v>
      </c>
      <c r="P116" s="88"/>
      <c r="Q116" s="87" t="str">
        <f t="shared" si="18"/>
        <v>-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5.75" customHeight="1" x14ac:dyDescent="0.3">
      <c r="A117" s="68" t="s">
        <v>227</v>
      </c>
      <c r="B117" s="36" t="s">
        <v>63</v>
      </c>
      <c r="C117" s="37" t="s">
        <v>63</v>
      </c>
      <c r="D117" s="38">
        <v>24</v>
      </c>
      <c r="E117" s="74">
        <v>0.30889640396999996</v>
      </c>
      <c r="F117" s="33">
        <v>12.5</v>
      </c>
      <c r="G117" s="39"/>
      <c r="H117" s="40">
        <f t="shared" si="20"/>
        <v>0</v>
      </c>
      <c r="L117" s="87" t="str">
        <f t="shared" si="14"/>
        <v>-</v>
      </c>
      <c r="M117" s="87" t="str">
        <f t="shared" si="15"/>
        <v>-</v>
      </c>
      <c r="N117" s="87" t="str">
        <f t="shared" si="16"/>
        <v>-</v>
      </c>
      <c r="O117" s="87" t="str">
        <f t="shared" si="17"/>
        <v>-</v>
      </c>
      <c r="P117" s="88"/>
      <c r="Q117" s="87" t="str">
        <f t="shared" si="18"/>
        <v>-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5.75" customHeight="1" x14ac:dyDescent="0.3">
      <c r="A118" s="68" t="s">
        <v>228</v>
      </c>
      <c r="B118" s="36" t="s">
        <v>63</v>
      </c>
      <c r="C118" s="37" t="s">
        <v>64</v>
      </c>
      <c r="D118" s="38">
        <v>24</v>
      </c>
      <c r="E118" s="74">
        <v>0.31533174571937506</v>
      </c>
      <c r="F118" s="33">
        <v>12.5</v>
      </c>
      <c r="G118" s="39"/>
      <c r="H118" s="40">
        <f t="shared" si="20"/>
        <v>0</v>
      </c>
      <c r="L118" s="87" t="str">
        <f t="shared" si="14"/>
        <v>-</v>
      </c>
      <c r="M118" s="87" t="str">
        <f t="shared" si="15"/>
        <v>-</v>
      </c>
      <c r="N118" s="87" t="str">
        <f t="shared" si="16"/>
        <v>-</v>
      </c>
      <c r="O118" s="87" t="str">
        <f t="shared" si="17"/>
        <v>-</v>
      </c>
      <c r="P118" s="88"/>
      <c r="Q118" s="87" t="str">
        <f t="shared" si="18"/>
        <v>-</v>
      </c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customHeight="1" x14ac:dyDescent="0.3">
      <c r="A119" s="68" t="s">
        <v>229</v>
      </c>
      <c r="B119" s="36" t="s">
        <v>63</v>
      </c>
      <c r="C119" s="37" t="s">
        <v>65</v>
      </c>
      <c r="D119" s="38">
        <v>24</v>
      </c>
      <c r="E119" s="74">
        <v>0.31962197355229166</v>
      </c>
      <c r="F119" s="33">
        <v>12.5</v>
      </c>
      <c r="G119" s="39"/>
      <c r="H119" s="40">
        <f t="shared" si="20"/>
        <v>0</v>
      </c>
      <c r="L119" s="87" t="str">
        <f t="shared" si="14"/>
        <v>-</v>
      </c>
      <c r="M119" s="87" t="str">
        <f t="shared" si="15"/>
        <v>-</v>
      </c>
      <c r="N119" s="87" t="str">
        <f t="shared" si="16"/>
        <v>-</v>
      </c>
      <c r="O119" s="87" t="str">
        <f t="shared" si="17"/>
        <v>-</v>
      </c>
      <c r="P119" s="88"/>
      <c r="Q119" s="87" t="str">
        <f t="shared" si="18"/>
        <v>-</v>
      </c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5.75" customHeight="1" x14ac:dyDescent="0.3">
      <c r="A120" s="68" t="s">
        <v>230</v>
      </c>
      <c r="B120" s="36" t="s">
        <v>66</v>
      </c>
      <c r="C120" s="37" t="s">
        <v>67</v>
      </c>
      <c r="D120" s="38">
        <v>24</v>
      </c>
      <c r="E120" s="74">
        <v>0.1254891641128125</v>
      </c>
      <c r="F120" s="33">
        <v>12.5</v>
      </c>
      <c r="G120" s="39"/>
      <c r="H120" s="40">
        <f t="shared" si="20"/>
        <v>0</v>
      </c>
      <c r="L120" s="87" t="str">
        <f t="shared" si="14"/>
        <v>-</v>
      </c>
      <c r="M120" s="87" t="str">
        <f t="shared" si="15"/>
        <v>-</v>
      </c>
      <c r="N120" s="87" t="str">
        <f t="shared" si="16"/>
        <v>-</v>
      </c>
      <c r="O120" s="87" t="str">
        <f t="shared" si="17"/>
        <v>-</v>
      </c>
      <c r="P120" s="88"/>
      <c r="Q120" s="87" t="str">
        <f t="shared" si="18"/>
        <v>-</v>
      </c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5.75" customHeight="1" x14ac:dyDescent="0.3">
      <c r="A121" s="68" t="s">
        <v>231</v>
      </c>
      <c r="B121" s="17" t="s">
        <v>106</v>
      </c>
      <c r="C121" s="18" t="s">
        <v>105</v>
      </c>
      <c r="D121" s="19">
        <v>24</v>
      </c>
      <c r="E121" s="71">
        <v>0.1254891641128125</v>
      </c>
      <c r="F121" s="20">
        <v>12.5</v>
      </c>
      <c r="G121" s="21"/>
      <c r="H121" s="22">
        <f t="shared" ref="H121:H122" si="21">F121*G121</f>
        <v>0</v>
      </c>
      <c r="L121" s="87" t="str">
        <f t="shared" si="14"/>
        <v>-</v>
      </c>
      <c r="M121" s="87" t="str">
        <f t="shared" si="15"/>
        <v>-</v>
      </c>
      <c r="N121" s="87" t="str">
        <f t="shared" si="16"/>
        <v>-</v>
      </c>
      <c r="O121" s="87" t="str">
        <f t="shared" si="17"/>
        <v>-</v>
      </c>
      <c r="P121" s="88"/>
      <c r="Q121" s="87" t="str">
        <f t="shared" si="18"/>
        <v>-</v>
      </c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5.75" customHeight="1" x14ac:dyDescent="0.3">
      <c r="A122" s="68" t="s">
        <v>232</v>
      </c>
      <c r="B122" s="17" t="s">
        <v>107</v>
      </c>
      <c r="C122" s="18" t="s">
        <v>68</v>
      </c>
      <c r="D122" s="19">
        <v>24</v>
      </c>
      <c r="E122" s="71">
        <v>0.49337620078541672</v>
      </c>
      <c r="F122" s="20">
        <v>15</v>
      </c>
      <c r="G122" s="21"/>
      <c r="H122" s="22">
        <f t="shared" si="21"/>
        <v>0</v>
      </c>
      <c r="L122" s="87" t="str">
        <f t="shared" si="14"/>
        <v>-</v>
      </c>
      <c r="M122" s="87" t="str">
        <f t="shared" si="15"/>
        <v>-</v>
      </c>
      <c r="N122" s="87" t="str">
        <f t="shared" si="16"/>
        <v>-</v>
      </c>
      <c r="O122" s="87" t="str">
        <f t="shared" si="17"/>
        <v>-</v>
      </c>
      <c r="P122" s="88"/>
      <c r="Q122" s="87" t="str">
        <f t="shared" si="18"/>
        <v>-</v>
      </c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5.75" customHeight="1" x14ac:dyDescent="0.3">
      <c r="A123" s="68" t="s">
        <v>125</v>
      </c>
      <c r="B123" s="36" t="s">
        <v>119</v>
      </c>
      <c r="C123" s="37" t="s">
        <v>68</v>
      </c>
      <c r="D123" s="38">
        <v>24</v>
      </c>
      <c r="E123" s="74" t="s">
        <v>125</v>
      </c>
      <c r="F123" s="33">
        <v>10</v>
      </c>
      <c r="G123" s="39"/>
      <c r="H123" s="40">
        <f t="shared" si="20"/>
        <v>0</v>
      </c>
      <c r="L123" s="87" t="str">
        <f t="shared" si="14"/>
        <v>-</v>
      </c>
      <c r="M123" s="87" t="str">
        <f t="shared" si="15"/>
        <v>-</v>
      </c>
      <c r="N123" s="87" t="str">
        <f t="shared" si="16"/>
        <v>-</v>
      </c>
      <c r="O123" s="87" t="str">
        <f t="shared" si="17"/>
        <v>-</v>
      </c>
      <c r="P123" s="88"/>
      <c r="Q123" s="87" t="str">
        <f t="shared" si="18"/>
        <v>-</v>
      </c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s="28" customFormat="1" ht="15.75" customHeight="1" x14ac:dyDescent="0.3">
      <c r="A124" s="68" t="s">
        <v>125</v>
      </c>
      <c r="B124" s="23" t="s">
        <v>104</v>
      </c>
      <c r="C124" s="24" t="s">
        <v>68</v>
      </c>
      <c r="D124" s="25">
        <v>24</v>
      </c>
      <c r="E124" s="72" t="s">
        <v>125</v>
      </c>
      <c r="F124" s="20">
        <v>15</v>
      </c>
      <c r="G124" s="26"/>
      <c r="H124" s="27">
        <f t="shared" si="20"/>
        <v>0</v>
      </c>
      <c r="L124" s="87" t="str">
        <f t="shared" si="14"/>
        <v>-</v>
      </c>
      <c r="M124" s="87" t="str">
        <f t="shared" si="15"/>
        <v>-</v>
      </c>
      <c r="N124" s="87" t="str">
        <f t="shared" si="16"/>
        <v>-</v>
      </c>
      <c r="O124" s="87" t="str">
        <f t="shared" si="17"/>
        <v>-</v>
      </c>
      <c r="P124" s="88"/>
      <c r="Q124" s="87" t="str">
        <f t="shared" si="18"/>
        <v>-</v>
      </c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spans="1:27" s="28" customFormat="1" ht="15.75" customHeight="1" x14ac:dyDescent="0.3">
      <c r="A125" s="68" t="s">
        <v>125</v>
      </c>
      <c r="B125" s="30" t="s">
        <v>69</v>
      </c>
      <c r="C125" s="31" t="s">
        <v>68</v>
      </c>
      <c r="D125" s="32">
        <v>24</v>
      </c>
      <c r="E125" s="73" t="s">
        <v>125</v>
      </c>
      <c r="F125" s="33">
        <v>25</v>
      </c>
      <c r="G125" s="34"/>
      <c r="H125" s="35">
        <f t="shared" ref="H125" si="22">F125*G125</f>
        <v>0</v>
      </c>
      <c r="L125" s="87" t="str">
        <f t="shared" si="14"/>
        <v>-</v>
      </c>
      <c r="M125" s="87" t="str">
        <f t="shared" si="15"/>
        <v>-</v>
      </c>
      <c r="N125" s="87" t="str">
        <f t="shared" si="16"/>
        <v>-</v>
      </c>
      <c r="O125" s="87" t="str">
        <f t="shared" si="17"/>
        <v>-</v>
      </c>
      <c r="P125" s="88"/>
      <c r="Q125" s="87" t="str">
        <f t="shared" si="18"/>
        <v>-</v>
      </c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spans="1:27" ht="15.75" customHeight="1" x14ac:dyDescent="0.3">
      <c r="A126" s="68" t="s">
        <v>138</v>
      </c>
      <c r="B126" s="36" t="s">
        <v>70</v>
      </c>
      <c r="C126" s="37" t="s">
        <v>68</v>
      </c>
      <c r="D126" s="38">
        <v>24</v>
      </c>
      <c r="E126" s="74">
        <v>0.48586830207781256</v>
      </c>
      <c r="F126" s="33">
        <v>10</v>
      </c>
      <c r="G126" s="39"/>
      <c r="H126" s="40">
        <f t="shared" si="20"/>
        <v>0</v>
      </c>
      <c r="L126" s="87" t="str">
        <f t="shared" si="14"/>
        <v>-</v>
      </c>
      <c r="M126" s="87" t="str">
        <f t="shared" si="15"/>
        <v>-</v>
      </c>
      <c r="N126" s="87" t="str">
        <f t="shared" si="16"/>
        <v>-</v>
      </c>
      <c r="O126" s="87" t="str">
        <f t="shared" si="17"/>
        <v>-</v>
      </c>
      <c r="P126" s="88"/>
      <c r="Q126" s="87" t="str">
        <f t="shared" si="18"/>
        <v>-</v>
      </c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5.75" customHeight="1" x14ac:dyDescent="0.3">
      <c r="A127" s="68" t="s">
        <v>233</v>
      </c>
      <c r="B127" s="36" t="s">
        <v>71</v>
      </c>
      <c r="C127" s="37" t="s">
        <v>68</v>
      </c>
      <c r="D127" s="38">
        <v>24</v>
      </c>
      <c r="E127" s="74">
        <v>0.22416440426989584</v>
      </c>
      <c r="F127" s="33">
        <v>5</v>
      </c>
      <c r="G127" s="39"/>
      <c r="H127" s="40">
        <f t="shared" si="20"/>
        <v>0</v>
      </c>
      <c r="L127" s="87" t="str">
        <f t="shared" si="14"/>
        <v>-</v>
      </c>
      <c r="M127" s="87" t="str">
        <f t="shared" si="15"/>
        <v>-</v>
      </c>
      <c r="N127" s="87" t="str">
        <f t="shared" si="16"/>
        <v>-</v>
      </c>
      <c r="O127" s="87" t="str">
        <f t="shared" si="17"/>
        <v>-</v>
      </c>
      <c r="P127" s="88"/>
      <c r="Q127" s="87" t="str">
        <f t="shared" si="18"/>
        <v>-</v>
      </c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customHeight="1" x14ac:dyDescent="0.3">
      <c r="A128" s="68" t="s">
        <v>129</v>
      </c>
      <c r="B128" s="36" t="s">
        <v>72</v>
      </c>
      <c r="C128" s="37" t="s">
        <v>68</v>
      </c>
      <c r="D128" s="38">
        <v>24</v>
      </c>
      <c r="E128" s="74">
        <v>0.10082035407354167</v>
      </c>
      <c r="F128" s="33">
        <v>7.5</v>
      </c>
      <c r="G128" s="39"/>
      <c r="H128" s="40">
        <f t="shared" si="20"/>
        <v>0</v>
      </c>
      <c r="L128" s="87" t="str">
        <f t="shared" si="14"/>
        <v>-</v>
      </c>
      <c r="M128" s="87" t="str">
        <f t="shared" si="15"/>
        <v>-</v>
      </c>
      <c r="N128" s="87" t="str">
        <f t="shared" si="16"/>
        <v>-</v>
      </c>
      <c r="O128" s="87" t="str">
        <f t="shared" si="17"/>
        <v>-</v>
      </c>
      <c r="P128" s="88"/>
      <c r="Q128" s="87" t="str">
        <f t="shared" si="18"/>
        <v>-</v>
      </c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5.75" customHeight="1" x14ac:dyDescent="0.3">
      <c r="A129" s="68" t="s">
        <v>234</v>
      </c>
      <c r="B129" s="36" t="s">
        <v>73</v>
      </c>
      <c r="C129" s="37" t="s">
        <v>68</v>
      </c>
      <c r="D129" s="38">
        <v>24</v>
      </c>
      <c r="E129" s="74">
        <v>0.23059974601927086</v>
      </c>
      <c r="F129" s="33">
        <v>7.5</v>
      </c>
      <c r="G129" s="39"/>
      <c r="H129" s="40">
        <f t="shared" si="20"/>
        <v>0</v>
      </c>
      <c r="L129" s="87" t="str">
        <f t="shared" si="14"/>
        <v>-</v>
      </c>
      <c r="M129" s="87" t="str">
        <f t="shared" si="15"/>
        <v>-</v>
      </c>
      <c r="N129" s="87" t="str">
        <f t="shared" si="16"/>
        <v>-</v>
      </c>
      <c r="O129" s="87" t="str">
        <f t="shared" si="17"/>
        <v>-</v>
      </c>
      <c r="P129" s="88"/>
      <c r="Q129" s="87" t="str">
        <f t="shared" si="18"/>
        <v>-</v>
      </c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5.75" customHeight="1" x14ac:dyDescent="0.3">
      <c r="A130" s="68" t="s">
        <v>235</v>
      </c>
      <c r="B130" s="36" t="s">
        <v>74</v>
      </c>
      <c r="C130" s="37" t="s">
        <v>40</v>
      </c>
      <c r="D130" s="38">
        <v>24</v>
      </c>
      <c r="E130" s="74">
        <v>0.18126212594072916</v>
      </c>
      <c r="F130" s="33">
        <v>10</v>
      </c>
      <c r="G130" s="39"/>
      <c r="H130" s="40">
        <f t="shared" si="20"/>
        <v>0</v>
      </c>
      <c r="L130" s="87" t="str">
        <f t="shared" si="14"/>
        <v>-</v>
      </c>
      <c r="M130" s="87" t="str">
        <f t="shared" si="15"/>
        <v>-</v>
      </c>
      <c r="N130" s="87" t="str">
        <f t="shared" si="16"/>
        <v>-</v>
      </c>
      <c r="O130" s="87" t="str">
        <f t="shared" si="17"/>
        <v>-</v>
      </c>
      <c r="P130" s="88"/>
      <c r="Q130" s="87" t="str">
        <f t="shared" si="18"/>
        <v>-</v>
      </c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5.75" customHeight="1" x14ac:dyDescent="0.3">
      <c r="A131" s="68" t="s">
        <v>236</v>
      </c>
      <c r="B131" s="36" t="s">
        <v>75</v>
      </c>
      <c r="C131" s="37" t="s">
        <v>40</v>
      </c>
      <c r="D131" s="38">
        <v>24</v>
      </c>
      <c r="E131" s="74">
        <v>0.18126212594072916</v>
      </c>
      <c r="F131" s="33">
        <v>10</v>
      </c>
      <c r="G131" s="39"/>
      <c r="H131" s="40">
        <f t="shared" si="20"/>
        <v>0</v>
      </c>
      <c r="L131" s="87" t="str">
        <f t="shared" si="14"/>
        <v>-</v>
      </c>
      <c r="M131" s="87" t="str">
        <f t="shared" si="15"/>
        <v>-</v>
      </c>
      <c r="N131" s="87" t="str">
        <f t="shared" si="16"/>
        <v>-</v>
      </c>
      <c r="O131" s="87" t="str">
        <f t="shared" si="17"/>
        <v>-</v>
      </c>
      <c r="P131" s="88"/>
      <c r="Q131" s="87" t="str">
        <f t="shared" si="18"/>
        <v>-</v>
      </c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5.75" customHeight="1" x14ac:dyDescent="0.3">
      <c r="A132" s="68" t="s">
        <v>237</v>
      </c>
      <c r="B132" s="36" t="s">
        <v>76</v>
      </c>
      <c r="C132" s="37" t="s">
        <v>40</v>
      </c>
      <c r="D132" s="38">
        <v>24</v>
      </c>
      <c r="E132" s="74">
        <v>0.20807604989645834</v>
      </c>
      <c r="F132" s="33">
        <v>7.5</v>
      </c>
      <c r="G132" s="39"/>
      <c r="H132" s="40">
        <f t="shared" si="20"/>
        <v>0</v>
      </c>
      <c r="L132" s="87" t="str">
        <f t="shared" ref="L132:L159" si="23">IFERROR(IF($L$2*E132=0, "-", $L$2*E132), "-")</f>
        <v>-</v>
      </c>
      <c r="M132" s="87" t="str">
        <f t="shared" ref="M132:M159" si="24">IFERROR(IF(F132+L132=0, "-", IF(L132&gt;0, F132+L132, "-")), "-")</f>
        <v>-</v>
      </c>
      <c r="N132" s="87" t="str">
        <f t="shared" ref="N132:N159" si="25">IF(G132&gt;0,E132*G132, "-")</f>
        <v>-</v>
      </c>
      <c r="O132" s="87" t="str">
        <f t="shared" ref="O132:O159" si="26">IFERROR(IF($L$2&gt;0, $L$2*N132, "-"), "-")</f>
        <v>-</v>
      </c>
      <c r="P132" s="88"/>
      <c r="Q132" s="87" t="str">
        <f t="shared" ref="Q132:Q159" si="27">IFERROR(IF(O132+H132=0, "-", IF(O132&gt;0, O132+H132, "-")), "-")</f>
        <v>-</v>
      </c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5.75" customHeight="1" x14ac:dyDescent="0.3">
      <c r="A133" s="68" t="s">
        <v>238</v>
      </c>
      <c r="B133" s="36" t="s">
        <v>77</v>
      </c>
      <c r="C133" s="37" t="s">
        <v>40</v>
      </c>
      <c r="D133" s="38">
        <v>24</v>
      </c>
      <c r="E133" s="74">
        <v>0.18018956898250002</v>
      </c>
      <c r="F133" s="33">
        <v>7.5</v>
      </c>
      <c r="G133" s="39"/>
      <c r="H133" s="40">
        <f t="shared" si="20"/>
        <v>0</v>
      </c>
      <c r="L133" s="87" t="str">
        <f t="shared" si="23"/>
        <v>-</v>
      </c>
      <c r="M133" s="87" t="str">
        <f t="shared" si="24"/>
        <v>-</v>
      </c>
      <c r="N133" s="87" t="str">
        <f t="shared" si="25"/>
        <v>-</v>
      </c>
      <c r="O133" s="87" t="str">
        <f t="shared" si="26"/>
        <v>-</v>
      </c>
      <c r="P133" s="88"/>
      <c r="Q133" s="87" t="str">
        <f t="shared" si="27"/>
        <v>-</v>
      </c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5.75" customHeight="1" x14ac:dyDescent="0.3">
      <c r="A134" s="68" t="s">
        <v>239</v>
      </c>
      <c r="B134" s="36" t="s">
        <v>78</v>
      </c>
      <c r="C134" s="37" t="s">
        <v>40</v>
      </c>
      <c r="D134" s="38">
        <v>24</v>
      </c>
      <c r="E134" s="74">
        <v>0.18233468289895835</v>
      </c>
      <c r="F134" s="33">
        <v>7.5</v>
      </c>
      <c r="G134" s="39"/>
      <c r="H134" s="40">
        <f t="shared" si="20"/>
        <v>0</v>
      </c>
      <c r="L134" s="87" t="str">
        <f t="shared" si="23"/>
        <v>-</v>
      </c>
      <c r="M134" s="87" t="str">
        <f t="shared" si="24"/>
        <v>-</v>
      </c>
      <c r="N134" s="87" t="str">
        <f t="shared" si="25"/>
        <v>-</v>
      </c>
      <c r="O134" s="87" t="str">
        <f t="shared" si="26"/>
        <v>-</v>
      </c>
      <c r="P134" s="88"/>
      <c r="Q134" s="87" t="str">
        <f t="shared" si="27"/>
        <v>-</v>
      </c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5.75" customHeight="1" x14ac:dyDescent="0.3">
      <c r="A135" s="68" t="s">
        <v>240</v>
      </c>
      <c r="B135" s="36" t="s">
        <v>79</v>
      </c>
      <c r="C135" s="37" t="s">
        <v>40</v>
      </c>
      <c r="D135" s="38">
        <v>24</v>
      </c>
      <c r="E135" s="74">
        <v>0.1758993411495833</v>
      </c>
      <c r="F135" s="33">
        <v>7.5</v>
      </c>
      <c r="G135" s="39"/>
      <c r="H135" s="40">
        <f t="shared" si="20"/>
        <v>0</v>
      </c>
      <c r="L135" s="87" t="str">
        <f t="shared" si="23"/>
        <v>-</v>
      </c>
      <c r="M135" s="87" t="str">
        <f t="shared" si="24"/>
        <v>-</v>
      </c>
      <c r="N135" s="87" t="str">
        <f t="shared" si="25"/>
        <v>-</v>
      </c>
      <c r="O135" s="87" t="str">
        <f t="shared" si="26"/>
        <v>-</v>
      </c>
      <c r="P135" s="88"/>
      <c r="Q135" s="87" t="str">
        <f t="shared" si="27"/>
        <v>-</v>
      </c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5.75" customHeight="1" x14ac:dyDescent="0.3">
      <c r="A136" s="68" t="s">
        <v>241</v>
      </c>
      <c r="B136" s="36" t="s">
        <v>80</v>
      </c>
      <c r="C136" s="37" t="s">
        <v>40</v>
      </c>
      <c r="D136" s="38">
        <v>24</v>
      </c>
      <c r="E136" s="74">
        <v>0.1758993411495833</v>
      </c>
      <c r="F136" s="33">
        <v>7.5</v>
      </c>
      <c r="G136" s="39"/>
      <c r="H136" s="40">
        <f t="shared" si="20"/>
        <v>0</v>
      </c>
      <c r="L136" s="87" t="str">
        <f t="shared" si="23"/>
        <v>-</v>
      </c>
      <c r="M136" s="87" t="str">
        <f t="shared" si="24"/>
        <v>-</v>
      </c>
      <c r="N136" s="87" t="str">
        <f t="shared" si="25"/>
        <v>-</v>
      </c>
      <c r="O136" s="87" t="str">
        <f t="shared" si="26"/>
        <v>-</v>
      </c>
      <c r="P136" s="88"/>
      <c r="Q136" s="87" t="str">
        <f t="shared" si="27"/>
        <v>-</v>
      </c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customHeight="1" x14ac:dyDescent="0.3">
      <c r="A137" s="68" t="s">
        <v>125</v>
      </c>
      <c r="B137" s="36" t="s">
        <v>81</v>
      </c>
      <c r="C137" s="37" t="s">
        <v>40</v>
      </c>
      <c r="D137" s="38">
        <v>24</v>
      </c>
      <c r="E137" s="74"/>
      <c r="F137" s="33">
        <v>12.5</v>
      </c>
      <c r="G137" s="39"/>
      <c r="H137" s="40">
        <f t="shared" si="20"/>
        <v>0</v>
      </c>
      <c r="L137" s="87" t="str">
        <f t="shared" si="23"/>
        <v>-</v>
      </c>
      <c r="M137" s="87" t="str">
        <f t="shared" si="24"/>
        <v>-</v>
      </c>
      <c r="N137" s="87" t="str">
        <f t="shared" si="25"/>
        <v>-</v>
      </c>
      <c r="O137" s="87" t="str">
        <f t="shared" si="26"/>
        <v>-</v>
      </c>
      <c r="P137" s="88"/>
      <c r="Q137" s="87" t="str">
        <f t="shared" si="27"/>
        <v>-</v>
      </c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5.75" customHeight="1" x14ac:dyDescent="0.3">
      <c r="A138" s="68" t="s">
        <v>242</v>
      </c>
      <c r="B138" s="36" t="s">
        <v>82</v>
      </c>
      <c r="C138" s="37" t="s">
        <v>34</v>
      </c>
      <c r="D138" s="38">
        <v>24</v>
      </c>
      <c r="E138" s="74">
        <v>0.32605731530166665</v>
      </c>
      <c r="F138" s="33">
        <v>7.5</v>
      </c>
      <c r="G138" s="39"/>
      <c r="H138" s="40">
        <f t="shared" si="20"/>
        <v>0</v>
      </c>
      <c r="L138" s="87" t="str">
        <f t="shared" si="23"/>
        <v>-</v>
      </c>
      <c r="M138" s="87" t="str">
        <f t="shared" si="24"/>
        <v>-</v>
      </c>
      <c r="N138" s="87" t="str">
        <f t="shared" si="25"/>
        <v>-</v>
      </c>
      <c r="O138" s="87" t="str">
        <f t="shared" si="26"/>
        <v>-</v>
      </c>
      <c r="P138" s="88"/>
      <c r="Q138" s="87" t="str">
        <f t="shared" si="27"/>
        <v>-</v>
      </c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5.75" customHeight="1" x14ac:dyDescent="0.3">
      <c r="A139" s="68" t="s">
        <v>243</v>
      </c>
      <c r="B139" s="36" t="s">
        <v>83</v>
      </c>
      <c r="C139" s="37" t="s">
        <v>6</v>
      </c>
      <c r="D139" s="38">
        <v>24</v>
      </c>
      <c r="E139" s="74">
        <v>0.37968516321312495</v>
      </c>
      <c r="F139" s="33">
        <v>17.5</v>
      </c>
      <c r="G139" s="39"/>
      <c r="H139" s="40">
        <f t="shared" si="20"/>
        <v>0</v>
      </c>
      <c r="L139" s="87" t="str">
        <f t="shared" si="23"/>
        <v>-</v>
      </c>
      <c r="M139" s="87" t="str">
        <f t="shared" si="24"/>
        <v>-</v>
      </c>
      <c r="N139" s="87" t="str">
        <f t="shared" si="25"/>
        <v>-</v>
      </c>
      <c r="O139" s="87" t="str">
        <f t="shared" si="26"/>
        <v>-</v>
      </c>
      <c r="P139" s="88"/>
      <c r="Q139" s="87" t="str">
        <f t="shared" si="27"/>
        <v>-</v>
      </c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5.75" customHeight="1" x14ac:dyDescent="0.3">
      <c r="A140" s="68" t="s">
        <v>244</v>
      </c>
      <c r="B140" s="36" t="s">
        <v>84</v>
      </c>
      <c r="C140" s="37" t="s">
        <v>40</v>
      </c>
      <c r="D140" s="38">
        <v>24</v>
      </c>
      <c r="E140" s="74">
        <v>0.16731888548375001</v>
      </c>
      <c r="F140" s="33">
        <v>17.5</v>
      </c>
      <c r="G140" s="39"/>
      <c r="H140" s="40">
        <f t="shared" si="20"/>
        <v>0</v>
      </c>
      <c r="L140" s="87" t="str">
        <f t="shared" si="23"/>
        <v>-</v>
      </c>
      <c r="M140" s="87" t="str">
        <f t="shared" si="24"/>
        <v>-</v>
      </c>
      <c r="N140" s="87" t="str">
        <f t="shared" si="25"/>
        <v>-</v>
      </c>
      <c r="O140" s="87" t="str">
        <f t="shared" si="26"/>
        <v>-</v>
      </c>
      <c r="P140" s="88"/>
      <c r="Q140" s="87" t="str">
        <f t="shared" si="27"/>
        <v>-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5.75" customHeight="1" x14ac:dyDescent="0.3">
      <c r="A141" s="68" t="s">
        <v>125</v>
      </c>
      <c r="B141" s="36" t="s">
        <v>85</v>
      </c>
      <c r="C141" s="37" t="s">
        <v>40</v>
      </c>
      <c r="D141" s="38">
        <v>24</v>
      </c>
      <c r="E141" s="74" t="s">
        <v>125</v>
      </c>
      <c r="F141" s="33">
        <v>12.5</v>
      </c>
      <c r="G141" s="39"/>
      <c r="H141" s="40">
        <f t="shared" si="20"/>
        <v>0</v>
      </c>
      <c r="L141" s="87" t="str">
        <f t="shared" si="23"/>
        <v>-</v>
      </c>
      <c r="M141" s="87" t="str">
        <f t="shared" si="24"/>
        <v>-</v>
      </c>
      <c r="N141" s="87" t="str">
        <f t="shared" si="25"/>
        <v>-</v>
      </c>
      <c r="O141" s="87" t="str">
        <f t="shared" si="26"/>
        <v>-</v>
      </c>
      <c r="P141" s="88"/>
      <c r="Q141" s="87" t="str">
        <f t="shared" si="27"/>
        <v>-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5.75" customHeight="1" x14ac:dyDescent="0.3">
      <c r="A142" s="68" t="s">
        <v>245</v>
      </c>
      <c r="B142" s="49" t="s">
        <v>86</v>
      </c>
      <c r="C142" s="50" t="s">
        <v>6</v>
      </c>
      <c r="D142" s="51">
        <v>24</v>
      </c>
      <c r="E142" s="77">
        <v>0.33463777096750003</v>
      </c>
      <c r="F142" s="52">
        <v>25</v>
      </c>
      <c r="G142" s="39"/>
      <c r="H142" s="40">
        <f t="shared" si="20"/>
        <v>0</v>
      </c>
      <c r="I142" s="53"/>
      <c r="J142" s="53"/>
      <c r="K142" s="53"/>
      <c r="L142" s="87" t="str">
        <f t="shared" si="23"/>
        <v>-</v>
      </c>
      <c r="M142" s="87" t="str">
        <f t="shared" si="24"/>
        <v>-</v>
      </c>
      <c r="N142" s="87" t="str">
        <f t="shared" si="25"/>
        <v>-</v>
      </c>
      <c r="O142" s="87" t="str">
        <f t="shared" si="26"/>
        <v>-</v>
      </c>
      <c r="P142" s="88"/>
      <c r="Q142" s="87" t="str">
        <f t="shared" si="27"/>
        <v>-</v>
      </c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 spans="1:27" ht="15.75" customHeight="1" x14ac:dyDescent="0.3">
      <c r="A143" s="68" t="s">
        <v>246</v>
      </c>
      <c r="B143" s="49" t="s">
        <v>86</v>
      </c>
      <c r="C143" s="50" t="s">
        <v>13</v>
      </c>
      <c r="D143" s="51">
        <v>24</v>
      </c>
      <c r="E143" s="77">
        <v>0.33892799880041669</v>
      </c>
      <c r="F143" s="52">
        <v>25</v>
      </c>
      <c r="G143" s="39"/>
      <c r="H143" s="40">
        <f t="shared" si="20"/>
        <v>0</v>
      </c>
      <c r="I143" s="53"/>
      <c r="J143" s="53"/>
      <c r="K143" s="53"/>
      <c r="L143" s="87" t="str">
        <f t="shared" si="23"/>
        <v>-</v>
      </c>
      <c r="M143" s="87" t="str">
        <f t="shared" si="24"/>
        <v>-</v>
      </c>
      <c r="N143" s="87" t="str">
        <f t="shared" si="25"/>
        <v>-</v>
      </c>
      <c r="O143" s="87" t="str">
        <f t="shared" si="26"/>
        <v>-</v>
      </c>
      <c r="P143" s="88"/>
      <c r="Q143" s="87" t="str">
        <f t="shared" si="27"/>
        <v>-</v>
      </c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 spans="1:27" ht="15.75" customHeight="1" x14ac:dyDescent="0.3">
      <c r="A144" s="68" t="s">
        <v>247</v>
      </c>
      <c r="B144" s="49" t="s">
        <v>86</v>
      </c>
      <c r="C144" s="50" t="s">
        <v>14</v>
      </c>
      <c r="D144" s="51">
        <v>24</v>
      </c>
      <c r="E144" s="77">
        <v>0.34321822663333329</v>
      </c>
      <c r="F144" s="52">
        <v>25</v>
      </c>
      <c r="G144" s="39"/>
      <c r="H144" s="40">
        <f t="shared" si="20"/>
        <v>0</v>
      </c>
      <c r="I144" s="53"/>
      <c r="J144" s="53"/>
      <c r="K144" s="53"/>
      <c r="L144" s="87" t="str">
        <f t="shared" si="23"/>
        <v>-</v>
      </c>
      <c r="M144" s="87" t="str">
        <f t="shared" si="24"/>
        <v>-</v>
      </c>
      <c r="N144" s="87" t="str">
        <f t="shared" si="25"/>
        <v>-</v>
      </c>
      <c r="O144" s="87" t="str">
        <f t="shared" si="26"/>
        <v>-</v>
      </c>
      <c r="P144" s="88"/>
      <c r="Q144" s="87" t="str">
        <f t="shared" si="27"/>
        <v>-</v>
      </c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 spans="1:27" ht="15.75" customHeight="1" x14ac:dyDescent="0.3">
      <c r="A145" s="68" t="s">
        <v>248</v>
      </c>
      <c r="B145" s="49" t="s">
        <v>86</v>
      </c>
      <c r="C145" s="50" t="s">
        <v>23</v>
      </c>
      <c r="D145" s="51">
        <v>24</v>
      </c>
      <c r="E145" s="77">
        <v>0.33678288488395836</v>
      </c>
      <c r="F145" s="52">
        <v>25</v>
      </c>
      <c r="G145" s="39"/>
      <c r="H145" s="40">
        <f t="shared" si="20"/>
        <v>0</v>
      </c>
      <c r="I145" s="53"/>
      <c r="J145" s="53"/>
      <c r="K145" s="53"/>
      <c r="L145" s="87" t="str">
        <f t="shared" si="23"/>
        <v>-</v>
      </c>
      <c r="M145" s="87" t="str">
        <f t="shared" si="24"/>
        <v>-</v>
      </c>
      <c r="N145" s="87" t="str">
        <f t="shared" si="25"/>
        <v>-</v>
      </c>
      <c r="O145" s="87" t="str">
        <f t="shared" si="26"/>
        <v>-</v>
      </c>
      <c r="P145" s="88"/>
      <c r="Q145" s="87" t="str">
        <f t="shared" si="27"/>
        <v>-</v>
      </c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 spans="1:27" ht="15.75" customHeight="1" x14ac:dyDescent="0.3">
      <c r="A146" s="68" t="s">
        <v>249</v>
      </c>
      <c r="B146" s="49" t="s">
        <v>86</v>
      </c>
      <c r="C146" s="50" t="s">
        <v>87</v>
      </c>
      <c r="D146" s="51">
        <v>24</v>
      </c>
      <c r="E146" s="77">
        <v>0.33892799880041669</v>
      </c>
      <c r="F146" s="52">
        <v>25</v>
      </c>
      <c r="G146" s="39"/>
      <c r="H146" s="40">
        <f t="shared" si="20"/>
        <v>0</v>
      </c>
      <c r="I146" s="53"/>
      <c r="J146" s="53"/>
      <c r="K146" s="53"/>
      <c r="L146" s="87" t="str">
        <f t="shared" si="23"/>
        <v>-</v>
      </c>
      <c r="M146" s="87" t="str">
        <f t="shared" si="24"/>
        <v>-</v>
      </c>
      <c r="N146" s="87" t="str">
        <f t="shared" si="25"/>
        <v>-</v>
      </c>
      <c r="O146" s="87" t="str">
        <f t="shared" si="26"/>
        <v>-</v>
      </c>
      <c r="P146" s="88"/>
      <c r="Q146" s="87" t="str">
        <f t="shared" si="27"/>
        <v>-</v>
      </c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 spans="1:27" ht="15.75" customHeight="1" x14ac:dyDescent="0.3">
      <c r="A147" s="68" t="s">
        <v>250</v>
      </c>
      <c r="B147" s="55" t="s">
        <v>99</v>
      </c>
      <c r="C147" s="56" t="s">
        <v>6</v>
      </c>
      <c r="D147" s="57">
        <v>24</v>
      </c>
      <c r="E147" s="78">
        <v>0.5416412639057292</v>
      </c>
      <c r="F147" s="58">
        <v>30</v>
      </c>
      <c r="G147" s="21"/>
      <c r="H147" s="22">
        <f t="shared" ref="H147:H150" si="28">F147*G147</f>
        <v>0</v>
      </c>
      <c r="I147" s="53"/>
      <c r="J147" s="53"/>
      <c r="K147" s="53"/>
      <c r="L147" s="87" t="str">
        <f t="shared" si="23"/>
        <v>-</v>
      </c>
      <c r="M147" s="87" t="str">
        <f t="shared" si="24"/>
        <v>-</v>
      </c>
      <c r="N147" s="87" t="str">
        <f t="shared" si="25"/>
        <v>-</v>
      </c>
      <c r="O147" s="87" t="str">
        <f t="shared" si="26"/>
        <v>-</v>
      </c>
      <c r="P147" s="88"/>
      <c r="Q147" s="87" t="str">
        <f t="shared" si="27"/>
        <v>-</v>
      </c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 spans="1:27" ht="15.75" customHeight="1" x14ac:dyDescent="0.3">
      <c r="A148" s="68" t="s">
        <v>251</v>
      </c>
      <c r="B148" s="55" t="s">
        <v>99</v>
      </c>
      <c r="C148" s="56" t="s">
        <v>13</v>
      </c>
      <c r="D148" s="57">
        <v>24</v>
      </c>
      <c r="E148" s="78">
        <v>0.5416412639057292</v>
      </c>
      <c r="F148" s="58">
        <v>30</v>
      </c>
      <c r="G148" s="21"/>
      <c r="H148" s="22">
        <f t="shared" si="28"/>
        <v>0</v>
      </c>
      <c r="I148" s="53"/>
      <c r="J148" s="53"/>
      <c r="K148" s="53"/>
      <c r="L148" s="87" t="str">
        <f t="shared" si="23"/>
        <v>-</v>
      </c>
      <c r="M148" s="87" t="str">
        <f t="shared" si="24"/>
        <v>-</v>
      </c>
      <c r="N148" s="87" t="str">
        <f t="shared" si="25"/>
        <v>-</v>
      </c>
      <c r="O148" s="87" t="str">
        <f t="shared" si="26"/>
        <v>-</v>
      </c>
      <c r="P148" s="88"/>
      <c r="Q148" s="87" t="str">
        <f t="shared" si="27"/>
        <v>-</v>
      </c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 spans="1:27" ht="15.75" customHeight="1" x14ac:dyDescent="0.3">
      <c r="A149" s="68" t="s">
        <v>252</v>
      </c>
      <c r="B149" s="55" t="s">
        <v>99</v>
      </c>
      <c r="C149" s="56" t="s">
        <v>14</v>
      </c>
      <c r="D149" s="57">
        <v>24</v>
      </c>
      <c r="E149" s="78">
        <v>0.5416412639057292</v>
      </c>
      <c r="F149" s="58">
        <v>30</v>
      </c>
      <c r="G149" s="21"/>
      <c r="H149" s="22">
        <f t="shared" si="28"/>
        <v>0</v>
      </c>
      <c r="I149" s="53"/>
      <c r="J149" s="53"/>
      <c r="K149" s="53"/>
      <c r="L149" s="87" t="str">
        <f t="shared" si="23"/>
        <v>-</v>
      </c>
      <c r="M149" s="87" t="str">
        <f t="shared" si="24"/>
        <v>-</v>
      </c>
      <c r="N149" s="87" t="str">
        <f t="shared" si="25"/>
        <v>-</v>
      </c>
      <c r="O149" s="87" t="str">
        <f t="shared" si="26"/>
        <v>-</v>
      </c>
      <c r="P149" s="88"/>
      <c r="Q149" s="87" t="str">
        <f t="shared" si="27"/>
        <v>-</v>
      </c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 spans="1:27" ht="15.75" customHeight="1" x14ac:dyDescent="0.3">
      <c r="A150" s="68" t="s">
        <v>125</v>
      </c>
      <c r="B150" s="55" t="s">
        <v>117</v>
      </c>
      <c r="C150" s="56" t="s">
        <v>8</v>
      </c>
      <c r="D150" s="57">
        <v>24</v>
      </c>
      <c r="E150" s="78"/>
      <c r="F150" s="58">
        <v>30</v>
      </c>
      <c r="G150" s="21"/>
      <c r="H150" s="22">
        <f t="shared" si="28"/>
        <v>0</v>
      </c>
      <c r="I150" s="53"/>
      <c r="J150" s="53"/>
      <c r="K150" s="53"/>
      <c r="L150" s="87" t="str">
        <f t="shared" si="23"/>
        <v>-</v>
      </c>
      <c r="M150" s="87" t="str">
        <f t="shared" si="24"/>
        <v>-</v>
      </c>
      <c r="N150" s="87" t="str">
        <f t="shared" si="25"/>
        <v>-</v>
      </c>
      <c r="O150" s="87" t="str">
        <f t="shared" si="26"/>
        <v>-</v>
      </c>
      <c r="P150" s="88"/>
      <c r="Q150" s="87" t="str">
        <f t="shared" si="27"/>
        <v>-</v>
      </c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 spans="1:27" x14ac:dyDescent="0.3">
      <c r="A151" s="68" t="s">
        <v>253</v>
      </c>
      <c r="B151" s="49" t="s">
        <v>88</v>
      </c>
      <c r="C151" s="50" t="s">
        <v>6</v>
      </c>
      <c r="D151" s="51">
        <v>24</v>
      </c>
      <c r="E151" s="77">
        <v>0.50195665645124998</v>
      </c>
      <c r="F151" s="52">
        <v>20</v>
      </c>
      <c r="G151" s="39"/>
      <c r="H151" s="40">
        <f t="shared" si="20"/>
        <v>0</v>
      </c>
      <c r="I151" s="53"/>
      <c r="J151" s="53"/>
      <c r="K151" s="53"/>
      <c r="L151" s="87" t="str">
        <f t="shared" si="23"/>
        <v>-</v>
      </c>
      <c r="M151" s="87" t="str">
        <f t="shared" si="24"/>
        <v>-</v>
      </c>
      <c r="N151" s="87" t="str">
        <f t="shared" si="25"/>
        <v>-</v>
      </c>
      <c r="O151" s="87" t="str">
        <f t="shared" si="26"/>
        <v>-</v>
      </c>
      <c r="P151" s="88"/>
      <c r="Q151" s="87" t="str">
        <f t="shared" si="27"/>
        <v>-</v>
      </c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 spans="1:27" ht="15.75" customHeight="1" x14ac:dyDescent="0.3">
      <c r="A152" s="68" t="s">
        <v>254</v>
      </c>
      <c r="B152" s="49" t="s">
        <v>88</v>
      </c>
      <c r="C152" s="50" t="s">
        <v>13</v>
      </c>
      <c r="D152" s="51">
        <v>24</v>
      </c>
      <c r="E152" s="77">
        <v>0.50195665645124998</v>
      </c>
      <c r="F152" s="52">
        <v>20</v>
      </c>
      <c r="G152" s="39"/>
      <c r="H152" s="40">
        <f t="shared" si="20"/>
        <v>0</v>
      </c>
      <c r="I152" s="53"/>
      <c r="J152" s="53"/>
      <c r="K152" s="53"/>
      <c r="L152" s="87" t="str">
        <f t="shared" si="23"/>
        <v>-</v>
      </c>
      <c r="M152" s="87" t="str">
        <f t="shared" si="24"/>
        <v>-</v>
      </c>
      <c r="N152" s="87" t="str">
        <f t="shared" si="25"/>
        <v>-</v>
      </c>
      <c r="O152" s="87" t="str">
        <f t="shared" si="26"/>
        <v>-</v>
      </c>
      <c r="P152" s="88"/>
      <c r="Q152" s="87" t="str">
        <f t="shared" si="27"/>
        <v>-</v>
      </c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 spans="1:27" ht="15.75" customHeight="1" x14ac:dyDescent="0.3">
      <c r="A153" s="68" t="s">
        <v>255</v>
      </c>
      <c r="B153" s="49" t="s">
        <v>88</v>
      </c>
      <c r="C153" s="50" t="s">
        <v>14</v>
      </c>
      <c r="D153" s="51">
        <v>24</v>
      </c>
      <c r="E153" s="77">
        <v>0.50195665645124998</v>
      </c>
      <c r="F153" s="52">
        <v>20</v>
      </c>
      <c r="G153" s="39"/>
      <c r="H153" s="40">
        <f t="shared" ref="H153:H157" si="29">F153*G153</f>
        <v>0</v>
      </c>
      <c r="I153" s="53"/>
      <c r="J153" s="53"/>
      <c r="K153" s="53"/>
      <c r="L153" s="87" t="str">
        <f t="shared" si="23"/>
        <v>-</v>
      </c>
      <c r="M153" s="87" t="str">
        <f t="shared" si="24"/>
        <v>-</v>
      </c>
      <c r="N153" s="87" t="str">
        <f t="shared" si="25"/>
        <v>-</v>
      </c>
      <c r="O153" s="87" t="str">
        <f t="shared" si="26"/>
        <v>-</v>
      </c>
      <c r="P153" s="88"/>
      <c r="Q153" s="87" t="str">
        <f t="shared" si="27"/>
        <v>-</v>
      </c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 spans="1:27" ht="15.75" customHeight="1" x14ac:dyDescent="0.3">
      <c r="A154" s="68" t="s">
        <v>256</v>
      </c>
      <c r="B154" s="49" t="s">
        <v>88</v>
      </c>
      <c r="C154" s="50" t="s">
        <v>34</v>
      </c>
      <c r="D154" s="51">
        <v>24</v>
      </c>
      <c r="E154" s="77">
        <v>0.50195665645124998</v>
      </c>
      <c r="F154" s="52">
        <v>20</v>
      </c>
      <c r="G154" s="39"/>
      <c r="H154" s="40">
        <f t="shared" si="29"/>
        <v>0</v>
      </c>
      <c r="I154" s="53"/>
      <c r="J154" s="53"/>
      <c r="K154" s="53"/>
      <c r="L154" s="87" t="str">
        <f t="shared" si="23"/>
        <v>-</v>
      </c>
      <c r="M154" s="87" t="str">
        <f t="shared" si="24"/>
        <v>-</v>
      </c>
      <c r="N154" s="87" t="str">
        <f t="shared" si="25"/>
        <v>-</v>
      </c>
      <c r="O154" s="87" t="str">
        <f t="shared" si="26"/>
        <v>-</v>
      </c>
      <c r="P154" s="88"/>
      <c r="Q154" s="87" t="str">
        <f t="shared" si="27"/>
        <v>-</v>
      </c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 spans="1:27" ht="15.75" customHeight="1" x14ac:dyDescent="0.3">
      <c r="A155" s="68" t="s">
        <v>125</v>
      </c>
      <c r="B155" s="49" t="s">
        <v>89</v>
      </c>
      <c r="C155" s="50" t="s">
        <v>40</v>
      </c>
      <c r="D155" s="51">
        <v>24</v>
      </c>
      <c r="E155" s="77"/>
      <c r="F155" s="52">
        <v>12.5</v>
      </c>
      <c r="G155" s="39"/>
      <c r="H155" s="40">
        <f t="shared" si="29"/>
        <v>0</v>
      </c>
      <c r="I155" s="53"/>
      <c r="J155" s="53"/>
      <c r="K155" s="53"/>
      <c r="L155" s="87" t="str">
        <f t="shared" si="23"/>
        <v>-</v>
      </c>
      <c r="M155" s="87" t="str">
        <f t="shared" si="24"/>
        <v>-</v>
      </c>
      <c r="N155" s="87" t="str">
        <f t="shared" si="25"/>
        <v>-</v>
      </c>
      <c r="O155" s="87" t="str">
        <f t="shared" si="26"/>
        <v>-</v>
      </c>
      <c r="P155" s="88"/>
      <c r="Q155" s="87" t="str">
        <f t="shared" si="27"/>
        <v>-</v>
      </c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 spans="1:27" ht="15.75" customHeight="1" x14ac:dyDescent="0.3">
      <c r="A156" s="68" t="s">
        <v>257</v>
      </c>
      <c r="B156" s="55" t="s">
        <v>110</v>
      </c>
      <c r="C156" s="56" t="s">
        <v>34</v>
      </c>
      <c r="D156" s="57">
        <v>24</v>
      </c>
      <c r="E156" s="78">
        <v>0.96530126240625003</v>
      </c>
      <c r="F156" s="58">
        <v>17.5</v>
      </c>
      <c r="G156" s="21"/>
      <c r="H156" s="22">
        <f t="shared" si="29"/>
        <v>0</v>
      </c>
      <c r="I156" s="53"/>
      <c r="J156" s="53"/>
      <c r="K156" s="53"/>
      <c r="L156" s="87" t="str">
        <f t="shared" si="23"/>
        <v>-</v>
      </c>
      <c r="M156" s="87" t="str">
        <f t="shared" si="24"/>
        <v>-</v>
      </c>
      <c r="N156" s="87" t="str">
        <f t="shared" si="25"/>
        <v>-</v>
      </c>
      <c r="O156" s="87" t="str">
        <f t="shared" si="26"/>
        <v>-</v>
      </c>
      <c r="P156" s="88"/>
      <c r="Q156" s="87" t="str">
        <f t="shared" si="27"/>
        <v>-</v>
      </c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 spans="1:27" ht="15.75" customHeight="1" x14ac:dyDescent="0.3">
      <c r="A157" s="68" t="s">
        <v>125</v>
      </c>
      <c r="B157" s="55" t="s">
        <v>113</v>
      </c>
      <c r="C157" s="56" t="s">
        <v>111</v>
      </c>
      <c r="D157" s="57">
        <v>24</v>
      </c>
      <c r="E157" s="78">
        <v>0.32820242921812504</v>
      </c>
      <c r="F157" s="58">
        <v>15</v>
      </c>
      <c r="G157" s="21"/>
      <c r="H157" s="22">
        <f t="shared" si="29"/>
        <v>0</v>
      </c>
      <c r="I157" s="53"/>
      <c r="J157" s="53"/>
      <c r="K157" s="53"/>
      <c r="L157" s="87" t="str">
        <f t="shared" si="23"/>
        <v>-</v>
      </c>
      <c r="M157" s="87" t="str">
        <f t="shared" si="24"/>
        <v>-</v>
      </c>
      <c r="N157" s="87" t="str">
        <f t="shared" si="25"/>
        <v>-</v>
      </c>
      <c r="O157" s="87" t="str">
        <f t="shared" si="26"/>
        <v>-</v>
      </c>
      <c r="P157" s="88"/>
      <c r="Q157" s="87" t="str">
        <f t="shared" si="27"/>
        <v>-</v>
      </c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 spans="1:27" ht="15.75" customHeight="1" x14ac:dyDescent="0.3">
      <c r="A158" s="68" t="s">
        <v>258</v>
      </c>
      <c r="B158" s="55" t="s">
        <v>113</v>
      </c>
      <c r="C158" s="56" t="s">
        <v>112</v>
      </c>
      <c r="D158" s="57">
        <v>24</v>
      </c>
      <c r="E158" s="78">
        <v>0.32820242921812504</v>
      </c>
      <c r="F158" s="58">
        <v>15</v>
      </c>
      <c r="G158" s="21"/>
      <c r="H158" s="22">
        <f t="shared" ref="H158:H159" si="30">F158*G158</f>
        <v>0</v>
      </c>
      <c r="I158" s="53"/>
      <c r="J158" s="53"/>
      <c r="K158" s="53"/>
      <c r="L158" s="87" t="str">
        <f t="shared" si="23"/>
        <v>-</v>
      </c>
      <c r="M158" s="87" t="str">
        <f t="shared" si="24"/>
        <v>-</v>
      </c>
      <c r="N158" s="87" t="str">
        <f t="shared" si="25"/>
        <v>-</v>
      </c>
      <c r="O158" s="87" t="str">
        <f t="shared" si="26"/>
        <v>-</v>
      </c>
      <c r="P158" s="88"/>
      <c r="Q158" s="87" t="str">
        <f t="shared" si="27"/>
        <v>-</v>
      </c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 spans="1:27" ht="15.75" customHeight="1" thickBot="1" x14ac:dyDescent="0.35">
      <c r="A159" s="69" t="s">
        <v>125</v>
      </c>
      <c r="B159" s="59" t="s">
        <v>116</v>
      </c>
      <c r="C159" s="60" t="s">
        <v>115</v>
      </c>
      <c r="D159" s="61">
        <v>250</v>
      </c>
      <c r="E159" s="79"/>
      <c r="F159" s="62">
        <v>7.5</v>
      </c>
      <c r="G159" s="63"/>
      <c r="H159" s="64">
        <f t="shared" si="30"/>
        <v>0</v>
      </c>
      <c r="L159" s="87" t="str">
        <f t="shared" si="23"/>
        <v>-</v>
      </c>
      <c r="M159" s="87" t="str">
        <f t="shared" si="24"/>
        <v>-</v>
      </c>
      <c r="N159" s="87" t="str">
        <f t="shared" si="25"/>
        <v>-</v>
      </c>
      <c r="O159" s="87" t="str">
        <f t="shared" si="26"/>
        <v>-</v>
      </c>
      <c r="P159" s="88"/>
      <c r="Q159" s="87" t="str">
        <f t="shared" si="27"/>
        <v>-</v>
      </c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5.75" customHeight="1" x14ac:dyDescent="0.3">
      <c r="C160" s="65"/>
      <c r="D160" s="8"/>
      <c r="E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3:27" ht="15.75" customHeight="1" x14ac:dyDescent="0.3">
      <c r="C161" s="65"/>
      <c r="D161" s="8"/>
      <c r="E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3:27" ht="15.75" customHeight="1" x14ac:dyDescent="0.3">
      <c r="C162" s="65"/>
      <c r="D162" s="8"/>
      <c r="E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3:27" ht="15.75" customHeight="1" x14ac:dyDescent="0.3">
      <c r="C163" s="65"/>
      <c r="D163" s="8"/>
      <c r="E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3:27" ht="15.75" customHeight="1" x14ac:dyDescent="0.3">
      <c r="C164" s="65"/>
      <c r="D164" s="8"/>
      <c r="E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3:27" ht="15.75" customHeight="1" x14ac:dyDescent="0.3">
      <c r="C165" s="65"/>
      <c r="D165" s="8"/>
      <c r="E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3:27" ht="15.75" customHeight="1" x14ac:dyDescent="0.3">
      <c r="C166" s="65"/>
      <c r="D166" s="8"/>
      <c r="E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3:27" ht="15.75" customHeight="1" x14ac:dyDescent="0.3">
      <c r="C167" s="65"/>
      <c r="D167" s="8"/>
      <c r="E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3:27" ht="15.75" customHeight="1" x14ac:dyDescent="0.3">
      <c r="C168" s="65"/>
      <c r="D168" s="8"/>
      <c r="E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3:27" ht="15.75" customHeight="1" x14ac:dyDescent="0.3">
      <c r="C169" s="65"/>
      <c r="D169" s="8"/>
      <c r="E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3:27" ht="15.75" customHeight="1" x14ac:dyDescent="0.3">
      <c r="C170" s="65"/>
      <c r="D170" s="8"/>
      <c r="E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3:27" ht="15.75" customHeight="1" x14ac:dyDescent="0.3">
      <c r="C171" s="65"/>
      <c r="D171" s="8"/>
      <c r="E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3:27" ht="15.75" customHeight="1" x14ac:dyDescent="0.3">
      <c r="C172" s="65"/>
      <c r="D172" s="8"/>
      <c r="E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3:27" ht="15.75" customHeight="1" x14ac:dyDescent="0.3">
      <c r="C173" s="65"/>
      <c r="D173" s="8"/>
      <c r="E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3:27" ht="15.75" customHeight="1" x14ac:dyDescent="0.3">
      <c r="C174" s="65"/>
      <c r="D174" s="8"/>
      <c r="E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3:27" ht="15.75" customHeight="1" x14ac:dyDescent="0.3">
      <c r="C175" s="65"/>
      <c r="D175" s="8"/>
      <c r="E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3:27" ht="15.75" customHeight="1" x14ac:dyDescent="0.3">
      <c r="C176" s="65"/>
      <c r="D176" s="8"/>
      <c r="E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3:27" ht="15.75" customHeight="1" x14ac:dyDescent="0.3">
      <c r="C177" s="65"/>
      <c r="D177" s="8"/>
      <c r="E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3:27" ht="15.75" customHeight="1" x14ac:dyDescent="0.3">
      <c r="C178" s="65"/>
      <c r="D178" s="8"/>
      <c r="E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3:27" ht="15.75" customHeight="1" x14ac:dyDescent="0.3">
      <c r="C179" s="65"/>
      <c r="D179" s="8"/>
      <c r="E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3:27" ht="15.75" customHeight="1" x14ac:dyDescent="0.3">
      <c r="C180" s="65"/>
      <c r="D180" s="8"/>
      <c r="E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3:27" ht="15.75" customHeight="1" x14ac:dyDescent="0.3">
      <c r="C181" s="65"/>
      <c r="D181" s="8"/>
      <c r="E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3:27" ht="15.75" customHeight="1" x14ac:dyDescent="0.3">
      <c r="C182" s="65"/>
      <c r="D182" s="8"/>
      <c r="E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3:27" ht="15.75" customHeight="1" x14ac:dyDescent="0.3">
      <c r="C183" s="65"/>
      <c r="D183" s="8"/>
      <c r="E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3:27" ht="15.75" customHeight="1" x14ac:dyDescent="0.3">
      <c r="C184" s="65"/>
      <c r="D184" s="8"/>
      <c r="E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3:27" ht="15.75" customHeight="1" x14ac:dyDescent="0.3">
      <c r="C185" s="65"/>
      <c r="D185" s="8"/>
      <c r="E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3:27" ht="15.75" customHeight="1" x14ac:dyDescent="0.3">
      <c r="C186" s="65"/>
      <c r="D186" s="8"/>
      <c r="E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3:27" ht="15.75" customHeight="1" x14ac:dyDescent="0.3">
      <c r="C187" s="65"/>
      <c r="D187" s="8"/>
      <c r="E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3:27" ht="15.75" customHeight="1" x14ac:dyDescent="0.3">
      <c r="C188" s="65"/>
      <c r="D188" s="8"/>
      <c r="E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3:27" ht="15.75" customHeight="1" x14ac:dyDescent="0.3">
      <c r="C189" s="65"/>
      <c r="D189" s="8"/>
      <c r="E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3:27" ht="15.75" customHeight="1" x14ac:dyDescent="0.3">
      <c r="C190" s="65"/>
      <c r="D190" s="8"/>
      <c r="E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3:27" ht="15.75" customHeight="1" x14ac:dyDescent="0.3">
      <c r="C191" s="65"/>
      <c r="D191" s="8"/>
      <c r="E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3:27" ht="15.75" customHeight="1" x14ac:dyDescent="0.3">
      <c r="C192" s="65"/>
      <c r="D192" s="8"/>
      <c r="E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3:27" ht="15.75" customHeight="1" x14ac:dyDescent="0.3">
      <c r="C193" s="65"/>
      <c r="D193" s="8"/>
      <c r="E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3:27" ht="15.75" customHeight="1" x14ac:dyDescent="0.3">
      <c r="C194" s="65"/>
      <c r="D194" s="8"/>
      <c r="E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3:27" ht="15.75" customHeight="1" x14ac:dyDescent="0.3">
      <c r="C195" s="65"/>
      <c r="D195" s="8"/>
      <c r="E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3:27" ht="15.75" customHeight="1" x14ac:dyDescent="0.3">
      <c r="C196" s="65"/>
      <c r="D196" s="8"/>
      <c r="E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3:27" ht="15.75" customHeight="1" x14ac:dyDescent="0.3">
      <c r="C197" s="65"/>
      <c r="D197" s="8"/>
      <c r="E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3:27" ht="15.75" customHeight="1" x14ac:dyDescent="0.3">
      <c r="C198" s="65"/>
      <c r="D198" s="8"/>
      <c r="E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3:27" ht="15.75" customHeight="1" x14ac:dyDescent="0.3">
      <c r="C199" s="65"/>
      <c r="D199" s="8"/>
      <c r="E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3:27" ht="15.75" customHeight="1" x14ac:dyDescent="0.3">
      <c r="C200" s="65"/>
      <c r="D200" s="8"/>
      <c r="E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3:27" ht="15.75" customHeight="1" x14ac:dyDescent="0.3">
      <c r="C201" s="65"/>
      <c r="D201" s="8"/>
      <c r="E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3:27" ht="15.75" customHeight="1" x14ac:dyDescent="0.3">
      <c r="C202" s="65"/>
      <c r="D202" s="8"/>
      <c r="E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3:27" ht="15.75" customHeight="1" x14ac:dyDescent="0.3">
      <c r="C203" s="65"/>
      <c r="D203" s="8"/>
      <c r="E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3:27" ht="15.75" customHeight="1" x14ac:dyDescent="0.3">
      <c r="C204" s="65"/>
      <c r="D204" s="8"/>
      <c r="E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3:27" ht="15.75" customHeight="1" x14ac:dyDescent="0.3">
      <c r="C205" s="65"/>
      <c r="D205" s="8"/>
      <c r="E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3:27" ht="15.75" customHeight="1" x14ac:dyDescent="0.3">
      <c r="C206" s="65"/>
      <c r="D206" s="8"/>
      <c r="E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3:27" ht="15.75" customHeight="1" x14ac:dyDescent="0.3">
      <c r="C207" s="65"/>
      <c r="D207" s="8"/>
      <c r="E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3:27" ht="15.75" customHeight="1" x14ac:dyDescent="0.3">
      <c r="C208" s="65"/>
      <c r="D208" s="8"/>
      <c r="E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3:27" ht="15.75" customHeight="1" x14ac:dyDescent="0.3">
      <c r="C209" s="65"/>
      <c r="D209" s="8"/>
      <c r="E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3:27" ht="15.75" customHeight="1" x14ac:dyDescent="0.3">
      <c r="C210" s="65"/>
      <c r="D210" s="8"/>
      <c r="E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3:27" ht="15.75" customHeight="1" x14ac:dyDescent="0.3">
      <c r="C211" s="65"/>
      <c r="D211" s="8"/>
      <c r="E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3:27" ht="15.75" customHeight="1" x14ac:dyDescent="0.3">
      <c r="C212" s="65"/>
      <c r="D212" s="8"/>
      <c r="E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3:27" ht="15.75" customHeight="1" x14ac:dyDescent="0.3">
      <c r="C213" s="65"/>
      <c r="D213" s="8"/>
      <c r="E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3:27" ht="15.75" customHeight="1" x14ac:dyDescent="0.3">
      <c r="C214" s="65"/>
      <c r="D214" s="8"/>
      <c r="E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3:27" ht="15.75" customHeight="1" x14ac:dyDescent="0.3">
      <c r="C215" s="65"/>
      <c r="D215" s="8"/>
      <c r="E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3:27" ht="15.75" customHeight="1" x14ac:dyDescent="0.3">
      <c r="C216" s="65"/>
      <c r="D216" s="8"/>
      <c r="E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3:27" ht="15.75" customHeight="1" x14ac:dyDescent="0.3">
      <c r="C217" s="65"/>
      <c r="D217" s="8"/>
      <c r="E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3:27" ht="15.75" customHeight="1" x14ac:dyDescent="0.3">
      <c r="C218" s="65"/>
      <c r="D218" s="8"/>
      <c r="E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3:27" ht="15.75" customHeight="1" x14ac:dyDescent="0.3">
      <c r="C219" s="65"/>
      <c r="D219" s="8"/>
      <c r="E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3:27" ht="15.75" customHeight="1" x14ac:dyDescent="0.3">
      <c r="C220" s="65"/>
      <c r="D220" s="8"/>
      <c r="E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3:27" ht="15.75" customHeight="1" x14ac:dyDescent="0.3">
      <c r="C221" s="65"/>
      <c r="D221" s="8"/>
      <c r="E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3:27" ht="15.75" customHeight="1" x14ac:dyDescent="0.3">
      <c r="C222" s="65"/>
      <c r="D222" s="8"/>
      <c r="E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3:27" ht="15.75" customHeight="1" x14ac:dyDescent="0.3">
      <c r="C223" s="65"/>
      <c r="D223" s="8"/>
      <c r="E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3:27" ht="15.75" customHeight="1" x14ac:dyDescent="0.3">
      <c r="C224" s="65"/>
      <c r="D224" s="8"/>
      <c r="E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3:27" ht="15.75" customHeight="1" x14ac:dyDescent="0.3">
      <c r="C225" s="65"/>
      <c r="D225" s="8"/>
      <c r="E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3:27" ht="15.75" customHeight="1" x14ac:dyDescent="0.3">
      <c r="C226" s="65"/>
      <c r="D226" s="8"/>
      <c r="E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3:27" ht="15.75" customHeight="1" x14ac:dyDescent="0.3">
      <c r="C227" s="65"/>
      <c r="D227" s="8"/>
      <c r="E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3:27" ht="15.75" customHeight="1" x14ac:dyDescent="0.3">
      <c r="C228" s="65"/>
      <c r="D228" s="8"/>
      <c r="E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3:27" ht="15.75" customHeight="1" x14ac:dyDescent="0.3">
      <c r="C229" s="65"/>
      <c r="D229" s="8"/>
      <c r="E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3:27" ht="15.75" customHeight="1" x14ac:dyDescent="0.3">
      <c r="C230" s="65"/>
      <c r="D230" s="8"/>
      <c r="E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3:27" ht="15.75" customHeight="1" x14ac:dyDescent="0.3">
      <c r="C231" s="65"/>
      <c r="D231" s="8"/>
      <c r="E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3:27" ht="15.75" customHeight="1" x14ac:dyDescent="0.3">
      <c r="C232" s="65"/>
      <c r="D232" s="8"/>
      <c r="E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3:27" ht="15.75" customHeight="1" x14ac:dyDescent="0.3">
      <c r="C233" s="65"/>
      <c r="D233" s="8"/>
      <c r="E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3:27" ht="15.75" customHeight="1" x14ac:dyDescent="0.3">
      <c r="C234" s="65"/>
      <c r="D234" s="8"/>
      <c r="E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3:27" ht="15.75" customHeight="1" x14ac:dyDescent="0.3">
      <c r="C235" s="65"/>
      <c r="D235" s="8"/>
      <c r="E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3:27" ht="15.75" customHeight="1" x14ac:dyDescent="0.3">
      <c r="C236" s="65"/>
      <c r="D236" s="8"/>
      <c r="E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3:27" ht="15.75" customHeight="1" x14ac:dyDescent="0.3">
      <c r="C237" s="65"/>
      <c r="D237" s="8"/>
      <c r="E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3:27" ht="15.75" customHeight="1" x14ac:dyDescent="0.3">
      <c r="C238" s="65"/>
      <c r="D238" s="8"/>
      <c r="E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3:27" ht="15.75" customHeight="1" x14ac:dyDescent="0.3">
      <c r="C239" s="65"/>
      <c r="D239" s="8"/>
      <c r="E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3:27" ht="15.75" customHeight="1" x14ac:dyDescent="0.3">
      <c r="C240" s="65"/>
      <c r="D240" s="8"/>
      <c r="E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3:27" ht="15.75" customHeight="1" x14ac:dyDescent="0.3">
      <c r="C241" s="65"/>
      <c r="D241" s="8"/>
      <c r="E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3:27" ht="15.75" customHeight="1" x14ac:dyDescent="0.3">
      <c r="C242" s="65"/>
      <c r="D242" s="8"/>
      <c r="E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3:27" ht="15.75" customHeight="1" x14ac:dyDescent="0.3">
      <c r="C243" s="65"/>
      <c r="D243" s="8"/>
      <c r="E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3:27" ht="15.75" customHeight="1" x14ac:dyDescent="0.3">
      <c r="C244" s="65"/>
      <c r="D244" s="8"/>
      <c r="E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3:27" ht="15.75" customHeight="1" x14ac:dyDescent="0.3">
      <c r="C245" s="65"/>
      <c r="D245" s="8"/>
      <c r="E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3:27" ht="15.75" customHeight="1" x14ac:dyDescent="0.3">
      <c r="C246" s="65"/>
      <c r="D246" s="8"/>
      <c r="E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3:27" ht="15.75" customHeight="1" x14ac:dyDescent="0.3">
      <c r="C247" s="65"/>
      <c r="D247" s="8"/>
      <c r="E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3:27" ht="15.75" customHeight="1" x14ac:dyDescent="0.3">
      <c r="C248" s="65"/>
      <c r="D248" s="8"/>
      <c r="E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3:27" ht="15.75" customHeight="1" x14ac:dyDescent="0.3">
      <c r="C249" s="65"/>
      <c r="D249" s="8"/>
      <c r="E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3:27" ht="15.75" customHeight="1" x14ac:dyDescent="0.3">
      <c r="C250" s="65"/>
      <c r="D250" s="8"/>
      <c r="E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3:27" ht="15.75" customHeight="1" x14ac:dyDescent="0.3">
      <c r="C251" s="65"/>
      <c r="D251" s="8"/>
      <c r="E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3:27" ht="15.75" customHeight="1" x14ac:dyDescent="0.3">
      <c r="C252" s="65"/>
      <c r="D252" s="8"/>
      <c r="E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3:27" ht="15.75" customHeight="1" x14ac:dyDescent="0.3">
      <c r="C253" s="65"/>
      <c r="D253" s="8"/>
      <c r="E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3:27" ht="15.75" customHeight="1" x14ac:dyDescent="0.3">
      <c r="C254" s="65"/>
      <c r="D254" s="8"/>
      <c r="E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3:27" ht="15.75" customHeight="1" x14ac:dyDescent="0.3">
      <c r="C255" s="65"/>
      <c r="D255" s="8"/>
      <c r="E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3:27" ht="15.75" customHeight="1" x14ac:dyDescent="0.3">
      <c r="C256" s="65"/>
      <c r="D256" s="8"/>
      <c r="E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3:27" ht="15.75" customHeight="1" x14ac:dyDescent="0.3">
      <c r="C257" s="65"/>
      <c r="D257" s="8"/>
      <c r="E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3:27" ht="15.75" customHeight="1" x14ac:dyDescent="0.3">
      <c r="C258" s="65"/>
      <c r="D258" s="8"/>
      <c r="E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3:27" ht="15.75" customHeight="1" x14ac:dyDescent="0.3">
      <c r="C259" s="65"/>
      <c r="D259" s="8"/>
      <c r="E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3:27" ht="15.75" customHeight="1" x14ac:dyDescent="0.3">
      <c r="C260" s="65"/>
      <c r="D260" s="8"/>
      <c r="E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3:27" ht="15.75" customHeight="1" x14ac:dyDescent="0.3">
      <c r="C261" s="65"/>
      <c r="D261" s="8"/>
      <c r="E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3:27" ht="15.75" customHeight="1" x14ac:dyDescent="0.3">
      <c r="C262" s="65"/>
      <c r="D262" s="8"/>
      <c r="E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3:27" ht="15.75" customHeight="1" x14ac:dyDescent="0.3">
      <c r="C263" s="65"/>
      <c r="D263" s="8"/>
      <c r="E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3:27" ht="15.75" customHeight="1" x14ac:dyDescent="0.3">
      <c r="C264" s="65"/>
      <c r="D264" s="8"/>
      <c r="E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3:27" ht="15.75" customHeight="1" x14ac:dyDescent="0.3">
      <c r="C265" s="65"/>
      <c r="D265" s="8"/>
      <c r="E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3:27" ht="15.75" customHeight="1" x14ac:dyDescent="0.3">
      <c r="C266" s="65"/>
      <c r="D266" s="8"/>
      <c r="E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3:27" ht="15.75" customHeight="1" x14ac:dyDescent="0.3">
      <c r="C267" s="65"/>
      <c r="D267" s="8"/>
      <c r="E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3:27" ht="15.75" customHeight="1" x14ac:dyDescent="0.3">
      <c r="C268" s="65"/>
      <c r="D268" s="8"/>
      <c r="E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3:27" ht="15.75" customHeight="1" x14ac:dyDescent="0.3">
      <c r="C269" s="65"/>
      <c r="D269" s="8"/>
      <c r="E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3:27" ht="15.75" customHeight="1" x14ac:dyDescent="0.3">
      <c r="C270" s="65"/>
      <c r="D270" s="8"/>
      <c r="E270" s="8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3:27" ht="15.75" customHeight="1" x14ac:dyDescent="0.3">
      <c r="C271" s="65"/>
      <c r="D271" s="8"/>
      <c r="E271" s="8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3:27" ht="15.75" customHeight="1" x14ac:dyDescent="0.3">
      <c r="C272" s="65"/>
      <c r="D272" s="8"/>
      <c r="E272" s="8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3:27" ht="15.75" customHeight="1" x14ac:dyDescent="0.3">
      <c r="C273" s="65"/>
      <c r="D273" s="8"/>
      <c r="E273" s="8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3:27" ht="15.75" customHeight="1" x14ac:dyDescent="0.3">
      <c r="C274" s="65"/>
      <c r="D274" s="8"/>
      <c r="E274" s="8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3:27" ht="15.75" customHeight="1" x14ac:dyDescent="0.3">
      <c r="C275" s="65"/>
      <c r="D275" s="8"/>
      <c r="E275" s="8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3:27" ht="15.75" customHeight="1" x14ac:dyDescent="0.3">
      <c r="C276" s="65"/>
      <c r="D276" s="8"/>
      <c r="E276" s="8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3:27" ht="15.75" customHeight="1" x14ac:dyDescent="0.3">
      <c r="C277" s="65"/>
      <c r="D277" s="8"/>
      <c r="E277" s="8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3:27" ht="15.75" customHeight="1" x14ac:dyDescent="0.3">
      <c r="C278" s="65"/>
      <c r="D278" s="8"/>
      <c r="E278" s="8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3:27" ht="15.75" customHeight="1" x14ac:dyDescent="0.3">
      <c r="C279" s="65"/>
      <c r="D279" s="8"/>
      <c r="E279" s="8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3:27" ht="15.75" customHeight="1" x14ac:dyDescent="0.3">
      <c r="C280" s="65"/>
      <c r="D280" s="8"/>
      <c r="E280" s="8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3:27" ht="15.75" customHeight="1" x14ac:dyDescent="0.3">
      <c r="C281" s="65"/>
      <c r="D281" s="8"/>
      <c r="E281" s="8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3:27" ht="15.75" customHeight="1" x14ac:dyDescent="0.3">
      <c r="C282" s="65"/>
      <c r="D282" s="8"/>
      <c r="E282" s="8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3:27" ht="15.75" customHeight="1" x14ac:dyDescent="0.3">
      <c r="C283" s="65"/>
      <c r="D283" s="8"/>
      <c r="E283" s="8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3:27" ht="15.75" customHeight="1" x14ac:dyDescent="0.3">
      <c r="C284" s="65"/>
      <c r="D284" s="8"/>
      <c r="E284" s="8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3:27" ht="15.75" customHeight="1" x14ac:dyDescent="0.3">
      <c r="C285" s="65"/>
      <c r="D285" s="8"/>
      <c r="E285" s="8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3:27" ht="15.75" customHeight="1" x14ac:dyDescent="0.3">
      <c r="C286" s="65"/>
      <c r="D286" s="8"/>
      <c r="E286" s="8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3:27" ht="15.75" customHeight="1" x14ac:dyDescent="0.3">
      <c r="C287" s="65"/>
      <c r="D287" s="8"/>
      <c r="E287" s="8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3:27" ht="15.75" customHeight="1" x14ac:dyDescent="0.3">
      <c r="C288" s="65"/>
      <c r="D288" s="8"/>
      <c r="E288" s="8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3:27" ht="15.75" customHeight="1" x14ac:dyDescent="0.3">
      <c r="C289" s="65"/>
      <c r="D289" s="8"/>
      <c r="E289" s="8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3:27" ht="15.75" customHeight="1" x14ac:dyDescent="0.3">
      <c r="C290" s="65"/>
      <c r="D290" s="8"/>
      <c r="E290" s="8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3:27" ht="15.75" customHeight="1" x14ac:dyDescent="0.3">
      <c r="C291" s="65"/>
      <c r="D291" s="8"/>
      <c r="E291" s="8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3:27" ht="15.75" customHeight="1" x14ac:dyDescent="0.3">
      <c r="C292" s="65"/>
      <c r="D292" s="8"/>
      <c r="E292" s="8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3:27" ht="15.75" customHeight="1" x14ac:dyDescent="0.3">
      <c r="C293" s="65"/>
      <c r="D293" s="8"/>
      <c r="E293" s="8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3:27" ht="15.75" customHeight="1" x14ac:dyDescent="0.3">
      <c r="C294" s="65"/>
      <c r="D294" s="8"/>
      <c r="E294" s="8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3:27" ht="15.75" customHeight="1" x14ac:dyDescent="0.3">
      <c r="C295" s="65"/>
      <c r="D295" s="8"/>
      <c r="E295" s="8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3:27" ht="15.75" customHeight="1" x14ac:dyDescent="0.3">
      <c r="C296" s="65"/>
      <c r="D296" s="8"/>
      <c r="E296" s="8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3:27" ht="15.75" customHeight="1" x14ac:dyDescent="0.3">
      <c r="C297" s="65"/>
      <c r="D297" s="8"/>
      <c r="E297" s="8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3:27" ht="15.75" customHeight="1" x14ac:dyDescent="0.3">
      <c r="C298" s="65"/>
      <c r="D298" s="8"/>
      <c r="E298" s="8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3:27" ht="15.75" customHeight="1" x14ac:dyDescent="0.3">
      <c r="C299" s="65"/>
      <c r="D299" s="8"/>
      <c r="E299" s="8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3:27" ht="15.75" customHeight="1" x14ac:dyDescent="0.3">
      <c r="C300" s="65"/>
      <c r="D300" s="8"/>
      <c r="E300" s="8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3:27" ht="15.75" customHeight="1" x14ac:dyDescent="0.3">
      <c r="C301" s="65"/>
      <c r="D301" s="8"/>
      <c r="E301" s="8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3:27" ht="15.75" customHeight="1" x14ac:dyDescent="0.3">
      <c r="C302" s="65"/>
      <c r="D302" s="8"/>
      <c r="E302" s="8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3:27" ht="15.75" customHeight="1" x14ac:dyDescent="0.3">
      <c r="C303" s="65"/>
      <c r="D303" s="8"/>
      <c r="E303" s="8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3:27" ht="15.75" customHeight="1" x14ac:dyDescent="0.3">
      <c r="C304" s="65"/>
      <c r="D304" s="8"/>
      <c r="E304" s="8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3:27" ht="15.75" customHeight="1" x14ac:dyDescent="0.3">
      <c r="C305" s="65"/>
      <c r="D305" s="8"/>
      <c r="E305" s="8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3:27" ht="15.75" customHeight="1" x14ac:dyDescent="0.3">
      <c r="C306" s="65"/>
      <c r="D306" s="8"/>
      <c r="E306" s="8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3:27" ht="15.75" customHeight="1" x14ac:dyDescent="0.3">
      <c r="C307" s="65"/>
      <c r="D307" s="8"/>
      <c r="E307" s="8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3:27" ht="15.75" customHeight="1" x14ac:dyDescent="0.3">
      <c r="C308" s="65"/>
      <c r="D308" s="8"/>
      <c r="E308" s="8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3:27" ht="15.75" customHeight="1" x14ac:dyDescent="0.3">
      <c r="C309" s="65"/>
      <c r="D309" s="8"/>
      <c r="E309" s="8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3:27" ht="15.75" customHeight="1" x14ac:dyDescent="0.3">
      <c r="C310" s="65"/>
      <c r="D310" s="8"/>
      <c r="E310" s="8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3:27" ht="15.75" customHeight="1" x14ac:dyDescent="0.3">
      <c r="C311" s="65"/>
      <c r="D311" s="8"/>
      <c r="E311" s="8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3:27" ht="15.75" customHeight="1" x14ac:dyDescent="0.3">
      <c r="C312" s="65"/>
      <c r="D312" s="8"/>
      <c r="E312" s="8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3:27" ht="15.75" customHeight="1" x14ac:dyDescent="0.3">
      <c r="C313" s="65"/>
      <c r="D313" s="8"/>
      <c r="E313" s="8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3:27" ht="15.75" customHeight="1" x14ac:dyDescent="0.3">
      <c r="C314" s="65"/>
      <c r="D314" s="8"/>
      <c r="E314" s="8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3:27" ht="15.75" customHeight="1" x14ac:dyDescent="0.3">
      <c r="C315" s="65"/>
      <c r="D315" s="8"/>
      <c r="E315" s="8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3:27" ht="15.75" customHeight="1" x14ac:dyDescent="0.3">
      <c r="C316" s="65"/>
      <c r="D316" s="8"/>
      <c r="E316" s="8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3:27" ht="15.75" customHeight="1" x14ac:dyDescent="0.3">
      <c r="C317" s="65"/>
      <c r="D317" s="8"/>
      <c r="E317" s="8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3:27" ht="15.75" customHeight="1" x14ac:dyDescent="0.3">
      <c r="C318" s="65"/>
      <c r="D318" s="8"/>
      <c r="E318" s="8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3:27" ht="15.75" customHeight="1" x14ac:dyDescent="0.3">
      <c r="C319" s="65"/>
      <c r="D319" s="8"/>
      <c r="E319" s="8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3:27" ht="15.75" customHeight="1" x14ac:dyDescent="0.3">
      <c r="C320" s="65"/>
      <c r="D320" s="8"/>
      <c r="E320" s="8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3:27" ht="15.75" customHeight="1" x14ac:dyDescent="0.3">
      <c r="C321" s="65"/>
      <c r="D321" s="8"/>
      <c r="E321" s="8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3:27" ht="15.75" customHeight="1" x14ac:dyDescent="0.3">
      <c r="C322" s="65"/>
      <c r="D322" s="8"/>
      <c r="E322" s="8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3:27" ht="15.75" customHeight="1" x14ac:dyDescent="0.3">
      <c r="C323" s="65"/>
      <c r="D323" s="8"/>
      <c r="E323" s="8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3:27" ht="15.75" customHeight="1" x14ac:dyDescent="0.3">
      <c r="C324" s="65"/>
      <c r="D324" s="8"/>
      <c r="E324" s="8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3:27" ht="15.75" customHeight="1" x14ac:dyDescent="0.3">
      <c r="C325" s="65"/>
      <c r="D325" s="8"/>
      <c r="E325" s="8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3:27" ht="15.75" customHeight="1" x14ac:dyDescent="0.3">
      <c r="C326" s="65"/>
      <c r="D326" s="8"/>
      <c r="E326" s="8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3:27" ht="15.75" customHeight="1" x14ac:dyDescent="0.3">
      <c r="C327" s="65"/>
      <c r="D327" s="8"/>
      <c r="E327" s="8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3:27" ht="15.75" customHeight="1" x14ac:dyDescent="0.3">
      <c r="C328" s="65"/>
      <c r="D328" s="8"/>
      <c r="E328" s="8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3:27" ht="15.75" customHeight="1" x14ac:dyDescent="0.3">
      <c r="C329" s="65"/>
      <c r="D329" s="8"/>
      <c r="E329" s="8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3:27" ht="15.75" customHeight="1" x14ac:dyDescent="0.3">
      <c r="C330" s="65"/>
      <c r="D330" s="8"/>
      <c r="E330" s="8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3:27" ht="15.75" customHeight="1" x14ac:dyDescent="0.3">
      <c r="C331" s="65"/>
      <c r="D331" s="8"/>
      <c r="E331" s="8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3:27" ht="15.75" customHeight="1" x14ac:dyDescent="0.3">
      <c r="C332" s="65"/>
      <c r="D332" s="8"/>
      <c r="E332" s="8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3:27" ht="15.75" customHeight="1" x14ac:dyDescent="0.3">
      <c r="C333" s="65"/>
      <c r="D333" s="8"/>
      <c r="E333" s="8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3:27" ht="15.75" customHeight="1" x14ac:dyDescent="0.3">
      <c r="C334" s="65"/>
      <c r="D334" s="8"/>
      <c r="E334" s="8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3:27" ht="15.75" customHeight="1" x14ac:dyDescent="0.3">
      <c r="C335" s="65"/>
      <c r="D335" s="8"/>
      <c r="E335" s="8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3:27" ht="15.75" customHeight="1" x14ac:dyDescent="0.3">
      <c r="C336" s="65"/>
      <c r="D336" s="8"/>
      <c r="E336" s="8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3:27" ht="15.75" customHeight="1" x14ac:dyDescent="0.3">
      <c r="C337" s="65"/>
      <c r="D337" s="8"/>
      <c r="E337" s="8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3:27" ht="15.75" customHeight="1" x14ac:dyDescent="0.3">
      <c r="C338" s="65"/>
      <c r="D338" s="8"/>
      <c r="E338" s="8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3:27" ht="15.75" customHeight="1" x14ac:dyDescent="0.3">
      <c r="C339" s="65"/>
      <c r="D339" s="8"/>
      <c r="E339" s="8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3:27" ht="15.75" customHeight="1" x14ac:dyDescent="0.3">
      <c r="C340" s="65"/>
      <c r="D340" s="8"/>
      <c r="E340" s="8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3:27" ht="15.75" customHeight="1" x14ac:dyDescent="0.3">
      <c r="C341" s="65"/>
      <c r="D341" s="8"/>
      <c r="E341" s="8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3:27" ht="15.75" customHeight="1" x14ac:dyDescent="0.3">
      <c r="C342" s="65"/>
      <c r="D342" s="8"/>
      <c r="E342" s="8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3:27" ht="15.75" customHeight="1" x14ac:dyDescent="0.3">
      <c r="C343" s="65"/>
      <c r="D343" s="8"/>
      <c r="E343" s="8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3:27" ht="15.75" customHeight="1" x14ac:dyDescent="0.3">
      <c r="C344" s="65"/>
      <c r="D344" s="8"/>
      <c r="E344" s="8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3:27" ht="15.75" customHeight="1" x14ac:dyDescent="0.3">
      <c r="C345" s="65"/>
      <c r="D345" s="8"/>
      <c r="E345" s="8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3:27" ht="15.75" customHeight="1" x14ac:dyDescent="0.3">
      <c r="C346" s="65"/>
      <c r="D346" s="8"/>
      <c r="E346" s="8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3:27" ht="15.75" customHeight="1" x14ac:dyDescent="0.3">
      <c r="C347" s="65"/>
      <c r="D347" s="8"/>
      <c r="E347" s="8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3:27" ht="15.75" customHeight="1" x14ac:dyDescent="0.3">
      <c r="C348" s="65"/>
      <c r="D348" s="8"/>
      <c r="E348" s="8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3:27" ht="15.75" customHeight="1" x14ac:dyDescent="0.3">
      <c r="C349" s="65"/>
      <c r="D349" s="8"/>
      <c r="E349" s="8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3:27" ht="15.75" customHeight="1" x14ac:dyDescent="0.3">
      <c r="C350" s="65"/>
      <c r="D350" s="8"/>
      <c r="E350" s="8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3:27" ht="15.75" customHeight="1" x14ac:dyDescent="0.3">
      <c r="C351" s="65"/>
      <c r="D351" s="8"/>
      <c r="E351" s="8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3:27" ht="15.75" customHeight="1" x14ac:dyDescent="0.3">
      <c r="C352" s="65"/>
      <c r="D352" s="8"/>
      <c r="E352" s="8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3:27" ht="15.75" customHeight="1" x14ac:dyDescent="0.3">
      <c r="C353" s="65"/>
      <c r="D353" s="8"/>
      <c r="E353" s="8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3:27" ht="15.75" customHeight="1" x14ac:dyDescent="0.3">
      <c r="C354" s="65"/>
      <c r="D354" s="8"/>
      <c r="E354" s="8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3:27" ht="15.75" customHeight="1" x14ac:dyDescent="0.3">
      <c r="C355" s="65"/>
      <c r="D355" s="8"/>
      <c r="E355" s="8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3:27" ht="15.75" customHeight="1" x14ac:dyDescent="0.3">
      <c r="C356" s="65"/>
      <c r="D356" s="8"/>
      <c r="E356" s="8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3:27" ht="15.75" customHeight="1" x14ac:dyDescent="0.3">
      <c r="C357" s="65"/>
      <c r="D357" s="8"/>
      <c r="E357" s="8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3:27" ht="15.75" customHeight="1" x14ac:dyDescent="0.3">
      <c r="C358" s="65"/>
      <c r="D358" s="8"/>
      <c r="E358" s="8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3:27" ht="15.75" customHeight="1" x14ac:dyDescent="0.3">
      <c r="C359" s="65"/>
      <c r="D359" s="8"/>
      <c r="E359" s="8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3:27" ht="15.75" customHeight="1" x14ac:dyDescent="0.3">
      <c r="C360" s="65"/>
      <c r="D360" s="8"/>
      <c r="E360" s="8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3:27" ht="15.75" customHeight="1" x14ac:dyDescent="0.3">
      <c r="C361" s="65"/>
      <c r="D361" s="8"/>
      <c r="E361" s="8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3:27" ht="15.75" customHeight="1" x14ac:dyDescent="0.3">
      <c r="C362" s="65"/>
      <c r="D362" s="8"/>
      <c r="E362" s="8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3:27" ht="15.75" customHeight="1" x14ac:dyDescent="0.3">
      <c r="C363" s="65"/>
      <c r="D363" s="8"/>
      <c r="E363" s="8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3:27" ht="15.75" customHeight="1" x14ac:dyDescent="0.3">
      <c r="C364" s="65"/>
      <c r="D364" s="8"/>
      <c r="E364" s="8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3:27" ht="15.75" customHeight="1" x14ac:dyDescent="0.3">
      <c r="C365" s="65"/>
      <c r="D365" s="8"/>
      <c r="E365" s="8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3:27" ht="15.75" customHeight="1" x14ac:dyDescent="0.3">
      <c r="C366" s="65"/>
      <c r="D366" s="8"/>
      <c r="E366" s="8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3:27" ht="15.75" customHeight="1" x14ac:dyDescent="0.3">
      <c r="C367" s="65"/>
      <c r="D367" s="8"/>
      <c r="E367" s="8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3:27" ht="15.75" customHeight="1" x14ac:dyDescent="0.3">
      <c r="C368" s="65"/>
      <c r="D368" s="8"/>
      <c r="E368" s="8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3:27" ht="15.75" customHeight="1" x14ac:dyDescent="0.3">
      <c r="C369" s="65"/>
      <c r="D369" s="8"/>
      <c r="E369" s="8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3:27" ht="15.75" customHeight="1" x14ac:dyDescent="0.3">
      <c r="C370" s="65"/>
      <c r="D370" s="8"/>
      <c r="E370" s="8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3:27" ht="15.75" customHeight="1" x14ac:dyDescent="0.3">
      <c r="C371" s="65"/>
      <c r="D371" s="8"/>
      <c r="E371" s="8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3:27" ht="15.75" customHeight="1" x14ac:dyDescent="0.3">
      <c r="C372" s="65"/>
      <c r="D372" s="8"/>
      <c r="E372" s="8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3:27" ht="15.75" customHeight="1" x14ac:dyDescent="0.3">
      <c r="C373" s="65"/>
      <c r="D373" s="8"/>
      <c r="E373" s="8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3:27" ht="15.75" customHeight="1" x14ac:dyDescent="0.3">
      <c r="C374" s="65"/>
      <c r="D374" s="8"/>
      <c r="E374" s="8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3:27" ht="15.75" customHeight="1" x14ac:dyDescent="0.3">
      <c r="C375" s="65"/>
      <c r="D375" s="8"/>
      <c r="E375" s="8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3:27" ht="15.75" customHeight="1" x14ac:dyDescent="0.3">
      <c r="C376" s="65"/>
      <c r="D376" s="8"/>
      <c r="E376" s="8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3:27" ht="15.75" customHeight="1" x14ac:dyDescent="0.3">
      <c r="C377" s="65"/>
      <c r="D377" s="8"/>
      <c r="E377" s="8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3:27" ht="15.75" customHeight="1" x14ac:dyDescent="0.3">
      <c r="C378" s="65"/>
      <c r="D378" s="8"/>
      <c r="E378" s="8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3:27" ht="15.75" customHeight="1" x14ac:dyDescent="0.3">
      <c r="C379" s="65"/>
      <c r="D379" s="8"/>
      <c r="E379" s="8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3:27" ht="15.75" customHeight="1" x14ac:dyDescent="0.3">
      <c r="C380" s="65"/>
      <c r="D380" s="8"/>
      <c r="E380" s="8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3:27" ht="15.75" customHeight="1" x14ac:dyDescent="0.3">
      <c r="C381" s="65"/>
      <c r="D381" s="8"/>
      <c r="E381" s="8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3:27" ht="15.75" customHeight="1" x14ac:dyDescent="0.3">
      <c r="C382" s="65"/>
      <c r="D382" s="8"/>
      <c r="E382" s="8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3:27" ht="15.75" customHeight="1" x14ac:dyDescent="0.3">
      <c r="C383" s="65"/>
      <c r="D383" s="8"/>
      <c r="E383" s="8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3:27" ht="15.75" customHeight="1" x14ac:dyDescent="0.3">
      <c r="C384" s="65"/>
      <c r="D384" s="8"/>
      <c r="E384" s="8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3:27" ht="15.75" customHeight="1" x14ac:dyDescent="0.3">
      <c r="C385" s="65"/>
      <c r="D385" s="8"/>
      <c r="E385" s="8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3:27" ht="15.75" customHeight="1" x14ac:dyDescent="0.3">
      <c r="C386" s="65"/>
      <c r="D386" s="8"/>
      <c r="E386" s="8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3:27" ht="15.75" customHeight="1" x14ac:dyDescent="0.3">
      <c r="C387" s="65"/>
      <c r="D387" s="8"/>
      <c r="E387" s="8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3:27" ht="15.75" customHeight="1" x14ac:dyDescent="0.3">
      <c r="C388" s="65"/>
      <c r="D388" s="8"/>
      <c r="E388" s="8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3:27" ht="15.75" customHeight="1" x14ac:dyDescent="0.3">
      <c r="C389" s="65"/>
      <c r="D389" s="8"/>
      <c r="E389" s="8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3:27" ht="15.75" customHeight="1" x14ac:dyDescent="0.3">
      <c r="C390" s="65"/>
      <c r="D390" s="8"/>
      <c r="E390" s="8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3:27" ht="15.75" customHeight="1" x14ac:dyDescent="0.3">
      <c r="C391" s="65"/>
      <c r="D391" s="8"/>
      <c r="E391" s="8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3:27" ht="15.75" customHeight="1" x14ac:dyDescent="0.3">
      <c r="C392" s="65"/>
      <c r="D392" s="8"/>
      <c r="E392" s="8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3:27" ht="15.75" customHeight="1" x14ac:dyDescent="0.3">
      <c r="C393" s="65"/>
      <c r="D393" s="8"/>
      <c r="E393" s="8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3:27" ht="15.75" customHeight="1" x14ac:dyDescent="0.3">
      <c r="C394" s="65"/>
      <c r="D394" s="8"/>
      <c r="E394" s="8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3:27" ht="15.75" customHeight="1" x14ac:dyDescent="0.3">
      <c r="C395" s="65"/>
      <c r="D395" s="8"/>
      <c r="E395" s="8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3:27" ht="15.75" customHeight="1" x14ac:dyDescent="0.3">
      <c r="C396" s="65"/>
      <c r="D396" s="8"/>
      <c r="E396" s="8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3:27" ht="15.75" customHeight="1" x14ac:dyDescent="0.3">
      <c r="C397" s="65"/>
      <c r="D397" s="8"/>
      <c r="E397" s="8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3:27" ht="15.75" customHeight="1" x14ac:dyDescent="0.3">
      <c r="C398" s="65"/>
      <c r="D398" s="8"/>
      <c r="E398" s="8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3:27" ht="15.75" customHeight="1" x14ac:dyDescent="0.3">
      <c r="C399" s="65"/>
      <c r="D399" s="8"/>
      <c r="E399" s="8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3:27" ht="15.75" customHeight="1" x14ac:dyDescent="0.3">
      <c r="C400" s="65"/>
      <c r="D400" s="8"/>
      <c r="E400" s="8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3:27" ht="15.75" customHeight="1" x14ac:dyDescent="0.3">
      <c r="C401" s="65"/>
      <c r="D401" s="8"/>
      <c r="E401" s="8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3:27" ht="15.75" customHeight="1" x14ac:dyDescent="0.3">
      <c r="C402" s="65"/>
      <c r="D402" s="8"/>
      <c r="E402" s="8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3:27" ht="15.75" customHeight="1" x14ac:dyDescent="0.3">
      <c r="C403" s="65"/>
      <c r="D403" s="8"/>
      <c r="E403" s="8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3:27" ht="15.75" customHeight="1" x14ac:dyDescent="0.3">
      <c r="C404" s="65"/>
      <c r="D404" s="8"/>
      <c r="E404" s="8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3:27" ht="15.75" customHeight="1" x14ac:dyDescent="0.3">
      <c r="C405" s="65"/>
      <c r="D405" s="8"/>
      <c r="E405" s="8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3:27" ht="15.75" customHeight="1" x14ac:dyDescent="0.3">
      <c r="C406" s="65"/>
      <c r="D406" s="8"/>
      <c r="E406" s="8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3:27" ht="15.75" customHeight="1" x14ac:dyDescent="0.3">
      <c r="C407" s="65"/>
      <c r="D407" s="8"/>
      <c r="E407" s="8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3:27" ht="15.75" customHeight="1" x14ac:dyDescent="0.3">
      <c r="C408" s="65"/>
      <c r="D408" s="8"/>
      <c r="E408" s="8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3:27" ht="15.75" customHeight="1" x14ac:dyDescent="0.3">
      <c r="C409" s="65"/>
      <c r="D409" s="8"/>
      <c r="E409" s="8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3:27" ht="15.75" customHeight="1" x14ac:dyDescent="0.3">
      <c r="C410" s="65"/>
      <c r="D410" s="8"/>
      <c r="E410" s="8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3:27" ht="15.75" customHeight="1" x14ac:dyDescent="0.3">
      <c r="C411" s="65"/>
      <c r="D411" s="8"/>
      <c r="E411" s="8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3:27" ht="15.75" customHeight="1" x14ac:dyDescent="0.3">
      <c r="C412" s="65"/>
      <c r="D412" s="8"/>
      <c r="E412" s="8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3:27" ht="15.75" customHeight="1" x14ac:dyDescent="0.3">
      <c r="C413" s="65"/>
      <c r="D413" s="8"/>
      <c r="E413" s="8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3:27" ht="15.75" customHeight="1" x14ac:dyDescent="0.3">
      <c r="C414" s="65"/>
      <c r="D414" s="8"/>
      <c r="E414" s="8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3:27" ht="15.75" customHeight="1" x14ac:dyDescent="0.3">
      <c r="C415" s="65"/>
      <c r="D415" s="8"/>
      <c r="E415" s="8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3:27" ht="15.75" customHeight="1" x14ac:dyDescent="0.3">
      <c r="C416" s="65"/>
      <c r="D416" s="8"/>
      <c r="E416" s="8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3:27" ht="15.75" customHeight="1" x14ac:dyDescent="0.3">
      <c r="C417" s="65"/>
      <c r="D417" s="8"/>
      <c r="E417" s="8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3:27" ht="15.75" customHeight="1" x14ac:dyDescent="0.3">
      <c r="C418" s="65"/>
      <c r="D418" s="8"/>
      <c r="E418" s="8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3:27" ht="15.75" customHeight="1" x14ac:dyDescent="0.3">
      <c r="C419" s="65"/>
      <c r="D419" s="8"/>
      <c r="E419" s="8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3:27" ht="15.75" customHeight="1" x14ac:dyDescent="0.3">
      <c r="C420" s="65"/>
      <c r="D420" s="8"/>
      <c r="E420" s="8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3:27" ht="15.75" customHeight="1" x14ac:dyDescent="0.3">
      <c r="C421" s="65"/>
      <c r="D421" s="8"/>
      <c r="E421" s="8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3:27" ht="15.75" customHeight="1" x14ac:dyDescent="0.3">
      <c r="C422" s="65"/>
      <c r="D422" s="8"/>
      <c r="E422" s="8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3:27" ht="15.75" customHeight="1" x14ac:dyDescent="0.3">
      <c r="C423" s="65"/>
      <c r="D423" s="8"/>
      <c r="E423" s="8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3:27" ht="15.75" customHeight="1" x14ac:dyDescent="0.3">
      <c r="C424" s="65"/>
      <c r="D424" s="8"/>
      <c r="E424" s="8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3:27" ht="15.75" customHeight="1" x14ac:dyDescent="0.3">
      <c r="C425" s="65"/>
      <c r="D425" s="8"/>
      <c r="E425" s="8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3:27" ht="15.75" customHeight="1" x14ac:dyDescent="0.3">
      <c r="C426" s="65"/>
      <c r="D426" s="8"/>
      <c r="E426" s="8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3:27" ht="15.75" customHeight="1" x14ac:dyDescent="0.3">
      <c r="C427" s="65"/>
      <c r="D427" s="8"/>
      <c r="E427" s="8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3:27" ht="15.75" customHeight="1" x14ac:dyDescent="0.3">
      <c r="C428" s="65"/>
      <c r="D428" s="8"/>
      <c r="E428" s="8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3:27" ht="15.75" customHeight="1" x14ac:dyDescent="0.3">
      <c r="C429" s="65"/>
      <c r="D429" s="8"/>
      <c r="E429" s="8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3:27" ht="15.75" customHeight="1" x14ac:dyDescent="0.3">
      <c r="C430" s="65"/>
      <c r="D430" s="8"/>
      <c r="E430" s="8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3:27" ht="15.75" customHeight="1" x14ac:dyDescent="0.3">
      <c r="C431" s="65"/>
      <c r="D431" s="8"/>
      <c r="E431" s="8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3:27" ht="15.75" customHeight="1" x14ac:dyDescent="0.3">
      <c r="C432" s="65"/>
      <c r="D432" s="8"/>
      <c r="E432" s="8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3:27" ht="15.75" customHeight="1" x14ac:dyDescent="0.3">
      <c r="C433" s="65"/>
      <c r="D433" s="8"/>
      <c r="E433" s="8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3:27" ht="15.75" customHeight="1" x14ac:dyDescent="0.3">
      <c r="C434" s="65"/>
      <c r="D434" s="8"/>
      <c r="E434" s="8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3:27" ht="15.75" customHeight="1" x14ac:dyDescent="0.3">
      <c r="C435" s="65"/>
      <c r="D435" s="8"/>
      <c r="E435" s="8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3:27" ht="15.75" customHeight="1" x14ac:dyDescent="0.3">
      <c r="C436" s="65"/>
      <c r="D436" s="8"/>
      <c r="E436" s="8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3:27" ht="15.75" customHeight="1" x14ac:dyDescent="0.3">
      <c r="C437" s="65"/>
      <c r="D437" s="8"/>
      <c r="E437" s="8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3:27" ht="15.75" customHeight="1" x14ac:dyDescent="0.3">
      <c r="C438" s="65"/>
      <c r="D438" s="8"/>
      <c r="E438" s="8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3:27" ht="15.75" customHeight="1" x14ac:dyDescent="0.3">
      <c r="C439" s="65"/>
      <c r="D439" s="8"/>
      <c r="E439" s="8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3:27" ht="15.75" customHeight="1" x14ac:dyDescent="0.3">
      <c r="C440" s="65"/>
      <c r="D440" s="8"/>
      <c r="E440" s="8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3:27" ht="15.75" customHeight="1" x14ac:dyDescent="0.3">
      <c r="C441" s="65"/>
      <c r="D441" s="8"/>
      <c r="E441" s="8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3:27" ht="15.75" customHeight="1" x14ac:dyDescent="0.3">
      <c r="C442" s="65"/>
      <c r="D442" s="8"/>
      <c r="E442" s="8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3:27" ht="15.75" customHeight="1" x14ac:dyDescent="0.3">
      <c r="C443" s="65"/>
      <c r="D443" s="8"/>
      <c r="E443" s="8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3:27" ht="15.75" customHeight="1" x14ac:dyDescent="0.3">
      <c r="C444" s="65"/>
      <c r="D444" s="8"/>
      <c r="E444" s="8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3:27" ht="15.75" customHeight="1" x14ac:dyDescent="0.3">
      <c r="C445" s="65"/>
      <c r="D445" s="8"/>
      <c r="E445" s="8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3:27" ht="15.75" customHeight="1" x14ac:dyDescent="0.3">
      <c r="C446" s="65"/>
      <c r="D446" s="8"/>
      <c r="E446" s="8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3:27" ht="15.75" customHeight="1" x14ac:dyDescent="0.3">
      <c r="C447" s="65"/>
      <c r="D447" s="8"/>
      <c r="E447" s="8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3:27" ht="15.75" customHeight="1" x14ac:dyDescent="0.3">
      <c r="C448" s="65"/>
      <c r="D448" s="8"/>
      <c r="E448" s="8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3:27" ht="15.75" customHeight="1" x14ac:dyDescent="0.3">
      <c r="C449" s="65"/>
      <c r="D449" s="8"/>
      <c r="E449" s="8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3:27" ht="15.75" customHeight="1" x14ac:dyDescent="0.3">
      <c r="C450" s="65"/>
      <c r="D450" s="8"/>
      <c r="E450" s="8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3:27" ht="15.75" customHeight="1" x14ac:dyDescent="0.3">
      <c r="C451" s="65"/>
      <c r="D451" s="8"/>
      <c r="E451" s="8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3:27" ht="15.75" customHeight="1" x14ac:dyDescent="0.3">
      <c r="C452" s="65"/>
      <c r="D452" s="8"/>
      <c r="E452" s="8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3:27" ht="15.75" customHeight="1" x14ac:dyDescent="0.3">
      <c r="C453" s="65"/>
      <c r="D453" s="8"/>
      <c r="E453" s="8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3:27" ht="15.75" customHeight="1" x14ac:dyDescent="0.3">
      <c r="C454" s="65"/>
      <c r="D454" s="8"/>
      <c r="E454" s="8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3:27" ht="15.75" customHeight="1" x14ac:dyDescent="0.3">
      <c r="C455" s="65"/>
      <c r="D455" s="8"/>
      <c r="E455" s="8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3:27" ht="15.75" customHeight="1" x14ac:dyDescent="0.3">
      <c r="C456" s="65"/>
      <c r="D456" s="8"/>
      <c r="E456" s="8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3:27" ht="15.75" customHeight="1" x14ac:dyDescent="0.3">
      <c r="C457" s="65"/>
      <c r="D457" s="8"/>
      <c r="E457" s="8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3:27" ht="15.75" customHeight="1" x14ac:dyDescent="0.3">
      <c r="C458" s="65"/>
      <c r="D458" s="8"/>
      <c r="E458" s="8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3:27" ht="15.75" customHeight="1" x14ac:dyDescent="0.3">
      <c r="C459" s="65"/>
      <c r="D459" s="8"/>
      <c r="E459" s="8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3:27" ht="15.75" customHeight="1" x14ac:dyDescent="0.3">
      <c r="C460" s="65"/>
      <c r="D460" s="8"/>
      <c r="E460" s="8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3:27" ht="15.75" customHeight="1" x14ac:dyDescent="0.3">
      <c r="C461" s="65"/>
      <c r="D461" s="8"/>
      <c r="E461" s="8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3:27" ht="15.75" customHeight="1" x14ac:dyDescent="0.3">
      <c r="C462" s="65"/>
      <c r="D462" s="8"/>
      <c r="E462" s="8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3:27" ht="15.75" customHeight="1" x14ac:dyDescent="0.3">
      <c r="C463" s="65"/>
      <c r="D463" s="8"/>
      <c r="E463" s="8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3:27" ht="15.75" customHeight="1" x14ac:dyDescent="0.3">
      <c r="C464" s="65"/>
      <c r="D464" s="8"/>
      <c r="E464" s="8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3:27" ht="15.75" customHeight="1" x14ac:dyDescent="0.3">
      <c r="C465" s="65"/>
      <c r="D465" s="8"/>
      <c r="E465" s="8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3:27" ht="15.75" customHeight="1" x14ac:dyDescent="0.3">
      <c r="C466" s="65"/>
      <c r="D466" s="8"/>
      <c r="E466" s="8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3:27" ht="15.75" customHeight="1" x14ac:dyDescent="0.3">
      <c r="C467" s="65"/>
      <c r="D467" s="8"/>
      <c r="E467" s="8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3:27" ht="15.75" customHeight="1" x14ac:dyDescent="0.3">
      <c r="C468" s="65"/>
      <c r="D468" s="8"/>
      <c r="E468" s="8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3:27" ht="15.75" customHeight="1" x14ac:dyDescent="0.3">
      <c r="C469" s="65"/>
      <c r="D469" s="8"/>
      <c r="E469" s="8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3:27" ht="15.75" customHeight="1" x14ac:dyDescent="0.3">
      <c r="C470" s="65"/>
      <c r="D470" s="8"/>
      <c r="E470" s="8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3:27" ht="15.75" customHeight="1" x14ac:dyDescent="0.3">
      <c r="C471" s="65"/>
      <c r="D471" s="8"/>
      <c r="E471" s="8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3:27" ht="15.75" customHeight="1" x14ac:dyDescent="0.3">
      <c r="C472" s="65"/>
      <c r="D472" s="8"/>
      <c r="E472" s="8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3:27" ht="15.75" customHeight="1" x14ac:dyDescent="0.3">
      <c r="C473" s="65"/>
      <c r="D473" s="8"/>
      <c r="E473" s="8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3:27" ht="15.75" customHeight="1" x14ac:dyDescent="0.3">
      <c r="C474" s="65"/>
      <c r="D474" s="8"/>
      <c r="E474" s="8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3:27" ht="15.75" customHeight="1" x14ac:dyDescent="0.3">
      <c r="C475" s="65"/>
      <c r="D475" s="8"/>
      <c r="E475" s="8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3:27" ht="15.75" customHeight="1" x14ac:dyDescent="0.3">
      <c r="C476" s="65"/>
      <c r="D476" s="8"/>
      <c r="E476" s="8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3:27" ht="15.75" customHeight="1" x14ac:dyDescent="0.3">
      <c r="C477" s="65"/>
      <c r="D477" s="8"/>
      <c r="E477" s="8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3:27" ht="15.75" customHeight="1" x14ac:dyDescent="0.3">
      <c r="C478" s="65"/>
      <c r="D478" s="8"/>
      <c r="E478" s="8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3:27" ht="15.75" customHeight="1" x14ac:dyDescent="0.3">
      <c r="C479" s="65"/>
      <c r="D479" s="8"/>
      <c r="E479" s="8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3:27" ht="15.75" customHeight="1" x14ac:dyDescent="0.3">
      <c r="C480" s="65"/>
      <c r="D480" s="8"/>
      <c r="E480" s="8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3:27" ht="15.75" customHeight="1" x14ac:dyDescent="0.3">
      <c r="C481" s="65"/>
      <c r="D481" s="8"/>
      <c r="E481" s="8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3:27" ht="15.75" customHeight="1" x14ac:dyDescent="0.3">
      <c r="C482" s="65"/>
      <c r="D482" s="8"/>
      <c r="E482" s="8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3:27" ht="15.75" customHeight="1" x14ac:dyDescent="0.3">
      <c r="C483" s="65"/>
      <c r="D483" s="8"/>
      <c r="E483" s="8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3:27" ht="15.75" customHeight="1" x14ac:dyDescent="0.3">
      <c r="C484" s="65"/>
      <c r="D484" s="8"/>
      <c r="E484" s="8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3:27" ht="15.75" customHeight="1" x14ac:dyDescent="0.3">
      <c r="C485" s="65"/>
      <c r="D485" s="8"/>
      <c r="E485" s="8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3:27" ht="15.75" customHeight="1" x14ac:dyDescent="0.3">
      <c r="C486" s="65"/>
      <c r="D486" s="8"/>
      <c r="E486" s="8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3:27" ht="15.75" customHeight="1" x14ac:dyDescent="0.3">
      <c r="C487" s="65"/>
      <c r="D487" s="8"/>
      <c r="E487" s="8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3:27" ht="15.75" customHeight="1" x14ac:dyDescent="0.3">
      <c r="C488" s="65"/>
      <c r="D488" s="8"/>
      <c r="E488" s="8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3:27" ht="15.75" customHeight="1" x14ac:dyDescent="0.3">
      <c r="C489" s="65"/>
      <c r="D489" s="8"/>
      <c r="E489" s="8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3:27" ht="15.75" customHeight="1" x14ac:dyDescent="0.3">
      <c r="C490" s="65"/>
      <c r="D490" s="8"/>
      <c r="E490" s="8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3:27" ht="15.75" customHeight="1" x14ac:dyDescent="0.3">
      <c r="C491" s="65"/>
      <c r="D491" s="8"/>
      <c r="E491" s="8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3:27" ht="15.75" customHeight="1" x14ac:dyDescent="0.3">
      <c r="C492" s="65"/>
      <c r="D492" s="8"/>
      <c r="E492" s="8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3:27" ht="15.75" customHeight="1" x14ac:dyDescent="0.3">
      <c r="C493" s="65"/>
      <c r="D493" s="8"/>
      <c r="E493" s="8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3:27" ht="15.75" customHeight="1" x14ac:dyDescent="0.3">
      <c r="C494" s="65"/>
      <c r="D494" s="8"/>
      <c r="E494" s="8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3:27" ht="15.75" customHeight="1" x14ac:dyDescent="0.3">
      <c r="C495" s="65"/>
      <c r="D495" s="8"/>
      <c r="E495" s="8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3:27" ht="15.75" customHeight="1" x14ac:dyDescent="0.3">
      <c r="C496" s="65"/>
      <c r="D496" s="8"/>
      <c r="E496" s="8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3:27" ht="15.75" customHeight="1" x14ac:dyDescent="0.3">
      <c r="C497" s="65"/>
      <c r="D497" s="8"/>
      <c r="E497" s="8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3:27" ht="15.75" customHeight="1" x14ac:dyDescent="0.3">
      <c r="C498" s="65"/>
      <c r="D498" s="8"/>
      <c r="E498" s="8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3:27" ht="15.75" customHeight="1" x14ac:dyDescent="0.3">
      <c r="C499" s="65"/>
      <c r="D499" s="8"/>
      <c r="E499" s="8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3:27" ht="15.75" customHeight="1" x14ac:dyDescent="0.3">
      <c r="C500" s="65"/>
      <c r="D500" s="8"/>
      <c r="E500" s="8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3:27" ht="15.75" customHeight="1" x14ac:dyDescent="0.3">
      <c r="C501" s="65"/>
      <c r="D501" s="8"/>
      <c r="E501" s="8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3:27" ht="15.75" customHeight="1" x14ac:dyDescent="0.3">
      <c r="C502" s="65"/>
      <c r="D502" s="8"/>
      <c r="E502" s="8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3:27" ht="15.75" customHeight="1" x14ac:dyDescent="0.3">
      <c r="C503" s="65"/>
      <c r="D503" s="8"/>
      <c r="E503" s="8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3:27" ht="15.75" customHeight="1" x14ac:dyDescent="0.3">
      <c r="C504" s="65"/>
      <c r="D504" s="8"/>
      <c r="E504" s="8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3:27" ht="15.75" customHeight="1" x14ac:dyDescent="0.3">
      <c r="C505" s="65"/>
      <c r="D505" s="8"/>
      <c r="E505" s="8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3:27" ht="15.75" customHeight="1" x14ac:dyDescent="0.3">
      <c r="C506" s="65"/>
      <c r="D506" s="8"/>
      <c r="E506" s="8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3:27" ht="15.75" customHeight="1" x14ac:dyDescent="0.3">
      <c r="C507" s="65"/>
      <c r="D507" s="8"/>
      <c r="E507" s="8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3:27" ht="15.75" customHeight="1" x14ac:dyDescent="0.3">
      <c r="C508" s="65"/>
      <c r="D508" s="8"/>
      <c r="E508" s="8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3:27" ht="15.75" customHeight="1" x14ac:dyDescent="0.3">
      <c r="C509" s="65"/>
      <c r="D509" s="8"/>
      <c r="E509" s="8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3:27" ht="15.75" customHeight="1" x14ac:dyDescent="0.3">
      <c r="C510" s="65"/>
      <c r="D510" s="8"/>
      <c r="E510" s="8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3:27" ht="15.75" customHeight="1" x14ac:dyDescent="0.3">
      <c r="C511" s="65"/>
      <c r="D511" s="8"/>
      <c r="E511" s="8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3:27" ht="15.75" customHeight="1" x14ac:dyDescent="0.3">
      <c r="C512" s="65"/>
      <c r="D512" s="8"/>
      <c r="E512" s="8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3:27" ht="15.75" customHeight="1" x14ac:dyDescent="0.3">
      <c r="C513" s="65"/>
      <c r="D513" s="8"/>
      <c r="E513" s="8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3:27" ht="15.75" customHeight="1" x14ac:dyDescent="0.3">
      <c r="C514" s="65"/>
      <c r="D514" s="8"/>
      <c r="E514" s="8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3:27" ht="15.75" customHeight="1" x14ac:dyDescent="0.3">
      <c r="C515" s="65"/>
      <c r="D515" s="8"/>
      <c r="E515" s="8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3:27" ht="15.75" customHeight="1" x14ac:dyDescent="0.3">
      <c r="C516" s="65"/>
      <c r="D516" s="8"/>
      <c r="E516" s="8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3:27" ht="15.75" customHeight="1" x14ac:dyDescent="0.3">
      <c r="C517" s="65"/>
      <c r="D517" s="8"/>
      <c r="E517" s="8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3:27" ht="15.75" customHeight="1" x14ac:dyDescent="0.3">
      <c r="C518" s="65"/>
      <c r="D518" s="8"/>
      <c r="E518" s="8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3:27" ht="15.75" customHeight="1" x14ac:dyDescent="0.3">
      <c r="C519" s="65"/>
      <c r="D519" s="8"/>
      <c r="E519" s="8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3:27" ht="15.75" customHeight="1" x14ac:dyDescent="0.3">
      <c r="C520" s="65"/>
      <c r="D520" s="8"/>
      <c r="E520" s="8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3:27" ht="15.75" customHeight="1" x14ac:dyDescent="0.3">
      <c r="C521" s="65"/>
      <c r="D521" s="8"/>
      <c r="E521" s="8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3:27" ht="15.75" customHeight="1" x14ac:dyDescent="0.3">
      <c r="C522" s="65"/>
      <c r="D522" s="8"/>
      <c r="E522" s="8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3:27" ht="15.75" customHeight="1" x14ac:dyDescent="0.3">
      <c r="C523" s="65"/>
      <c r="D523" s="8"/>
      <c r="E523" s="8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3:27" ht="15.75" customHeight="1" x14ac:dyDescent="0.3">
      <c r="C524" s="65"/>
      <c r="D524" s="8"/>
      <c r="E524" s="8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3:27" ht="15.75" customHeight="1" x14ac:dyDescent="0.3">
      <c r="C525" s="65"/>
      <c r="D525" s="8"/>
      <c r="E525" s="8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3:27" ht="15.75" customHeight="1" x14ac:dyDescent="0.3">
      <c r="C526" s="65"/>
      <c r="D526" s="8"/>
      <c r="E526" s="8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3:27" ht="15.75" customHeight="1" x14ac:dyDescent="0.3">
      <c r="C527" s="65"/>
      <c r="D527" s="8"/>
      <c r="E527" s="8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3:27" ht="15.75" customHeight="1" x14ac:dyDescent="0.3">
      <c r="C528" s="65"/>
      <c r="D528" s="8"/>
      <c r="E528" s="8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3:27" ht="15.75" customHeight="1" x14ac:dyDescent="0.3">
      <c r="C529" s="65"/>
      <c r="D529" s="8"/>
      <c r="E529" s="8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3:27" ht="15.75" customHeight="1" x14ac:dyDescent="0.3">
      <c r="C530" s="65"/>
      <c r="D530" s="8"/>
      <c r="E530" s="8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3:27" ht="15.75" customHeight="1" x14ac:dyDescent="0.3">
      <c r="C531" s="65"/>
      <c r="D531" s="8"/>
      <c r="E531" s="8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3:27" ht="15.75" customHeight="1" x14ac:dyDescent="0.3">
      <c r="C532" s="65"/>
      <c r="D532" s="8"/>
      <c r="E532" s="8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3:27" ht="15.75" customHeight="1" x14ac:dyDescent="0.3">
      <c r="C533" s="65"/>
      <c r="D533" s="8"/>
      <c r="E533" s="8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3:27" ht="15.75" customHeight="1" x14ac:dyDescent="0.3">
      <c r="C534" s="65"/>
      <c r="D534" s="8"/>
      <c r="E534" s="8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3:27" ht="15.75" customHeight="1" x14ac:dyDescent="0.3">
      <c r="C535" s="65"/>
      <c r="D535" s="8"/>
      <c r="E535" s="8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3:27" ht="15.75" customHeight="1" x14ac:dyDescent="0.3">
      <c r="C536" s="65"/>
      <c r="D536" s="8"/>
      <c r="E536" s="8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3:27" ht="15.75" customHeight="1" x14ac:dyDescent="0.3">
      <c r="C537" s="65"/>
      <c r="D537" s="8"/>
      <c r="E537" s="8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3:27" ht="15.75" customHeight="1" x14ac:dyDescent="0.3">
      <c r="C538" s="65"/>
      <c r="D538" s="8"/>
      <c r="E538" s="8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3:27" ht="15.75" customHeight="1" x14ac:dyDescent="0.3">
      <c r="C539" s="65"/>
      <c r="D539" s="8"/>
      <c r="E539" s="8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3:27" ht="15.75" customHeight="1" x14ac:dyDescent="0.3">
      <c r="C540" s="65"/>
      <c r="D540" s="8"/>
      <c r="E540" s="8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3:27" ht="15.75" customHeight="1" x14ac:dyDescent="0.3">
      <c r="C541" s="65"/>
      <c r="D541" s="8"/>
      <c r="E541" s="8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3:27" ht="15.75" customHeight="1" x14ac:dyDescent="0.3">
      <c r="C542" s="65"/>
      <c r="D542" s="8"/>
      <c r="E542" s="8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3:27" ht="15.75" customHeight="1" x14ac:dyDescent="0.3">
      <c r="C543" s="65"/>
      <c r="D543" s="8"/>
      <c r="E543" s="8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3:27" ht="15.75" customHeight="1" x14ac:dyDescent="0.3">
      <c r="C544" s="65"/>
      <c r="D544" s="8"/>
      <c r="E544" s="8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3:27" ht="15.75" customHeight="1" x14ac:dyDescent="0.3">
      <c r="C545" s="65"/>
      <c r="D545" s="8"/>
      <c r="E545" s="8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3:27" ht="15.75" customHeight="1" x14ac:dyDescent="0.3">
      <c r="C546" s="65"/>
      <c r="D546" s="8"/>
      <c r="E546" s="8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3:27" ht="15.75" customHeight="1" x14ac:dyDescent="0.3">
      <c r="C547" s="65"/>
      <c r="D547" s="8"/>
      <c r="E547" s="8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3:27" ht="15.75" customHeight="1" x14ac:dyDescent="0.3">
      <c r="C548" s="65"/>
      <c r="D548" s="8"/>
      <c r="E548" s="8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3:27" ht="15.75" customHeight="1" x14ac:dyDescent="0.3">
      <c r="C549" s="65"/>
      <c r="D549" s="8"/>
      <c r="E549" s="8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3:27" ht="15.75" customHeight="1" x14ac:dyDescent="0.3">
      <c r="C550" s="65"/>
      <c r="D550" s="8"/>
      <c r="E550" s="8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3:27" ht="15.75" customHeight="1" x14ac:dyDescent="0.3">
      <c r="C551" s="65"/>
      <c r="D551" s="8"/>
      <c r="E551" s="8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3:27" ht="15.75" customHeight="1" x14ac:dyDescent="0.3">
      <c r="C552" s="65"/>
      <c r="D552" s="8"/>
      <c r="E552" s="8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3:27" ht="15.75" customHeight="1" x14ac:dyDescent="0.3">
      <c r="C553" s="65"/>
      <c r="D553" s="8"/>
      <c r="E553" s="8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3:27" ht="15.75" customHeight="1" x14ac:dyDescent="0.3">
      <c r="C554" s="65"/>
      <c r="D554" s="8"/>
      <c r="E554" s="8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3:27" ht="15.75" customHeight="1" x14ac:dyDescent="0.3">
      <c r="C555" s="65"/>
      <c r="D555" s="8"/>
      <c r="E555" s="8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3:27" ht="15.75" customHeight="1" x14ac:dyDescent="0.3">
      <c r="C556" s="65"/>
      <c r="D556" s="8"/>
      <c r="E556" s="8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3:27" ht="15.75" customHeight="1" x14ac:dyDescent="0.3">
      <c r="C557" s="65"/>
      <c r="D557" s="8"/>
      <c r="E557" s="8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3:27" ht="15.75" customHeight="1" x14ac:dyDescent="0.3">
      <c r="C558" s="65"/>
      <c r="D558" s="8"/>
      <c r="E558" s="8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3:27" ht="15.75" customHeight="1" x14ac:dyDescent="0.3">
      <c r="C559" s="65"/>
      <c r="D559" s="8"/>
      <c r="E559" s="8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3:27" ht="15.75" customHeight="1" x14ac:dyDescent="0.3">
      <c r="C560" s="65"/>
      <c r="D560" s="8"/>
      <c r="E560" s="8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3:27" ht="15.75" customHeight="1" x14ac:dyDescent="0.3">
      <c r="C561" s="65"/>
      <c r="D561" s="8"/>
      <c r="E561" s="8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3:27" ht="15.75" customHeight="1" x14ac:dyDescent="0.3">
      <c r="C562" s="65"/>
      <c r="D562" s="8"/>
      <c r="E562" s="8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3:27" ht="15.75" customHeight="1" x14ac:dyDescent="0.3">
      <c r="C563" s="65"/>
      <c r="D563" s="8"/>
      <c r="E563" s="8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3:27" ht="15.75" customHeight="1" x14ac:dyDescent="0.3">
      <c r="C564" s="65"/>
      <c r="D564" s="8"/>
      <c r="E564" s="8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3:27" ht="15.75" customHeight="1" x14ac:dyDescent="0.3">
      <c r="C565" s="65"/>
      <c r="D565" s="8"/>
      <c r="E565" s="8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3:27" ht="15.75" customHeight="1" x14ac:dyDescent="0.3">
      <c r="C566" s="65"/>
      <c r="D566" s="8"/>
      <c r="E566" s="8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3:27" ht="15.75" customHeight="1" x14ac:dyDescent="0.3">
      <c r="C567" s="65"/>
      <c r="D567" s="8"/>
      <c r="E567" s="8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3:27" ht="15.75" customHeight="1" x14ac:dyDescent="0.3">
      <c r="C568" s="65"/>
      <c r="D568" s="8"/>
      <c r="E568" s="8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3:27" ht="15.75" customHeight="1" x14ac:dyDescent="0.3">
      <c r="C569" s="65"/>
      <c r="D569" s="8"/>
      <c r="E569" s="8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3:27" ht="15.75" customHeight="1" x14ac:dyDescent="0.3">
      <c r="C570" s="65"/>
      <c r="D570" s="8"/>
      <c r="E570" s="8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3:27" ht="15.75" customHeight="1" x14ac:dyDescent="0.3">
      <c r="C571" s="65"/>
      <c r="D571" s="8"/>
      <c r="E571" s="8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3:27" ht="15.75" customHeight="1" x14ac:dyDescent="0.3">
      <c r="C572" s="65"/>
      <c r="D572" s="8"/>
      <c r="E572" s="8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3:27" ht="15.75" customHeight="1" x14ac:dyDescent="0.3">
      <c r="C573" s="65"/>
      <c r="D573" s="8"/>
      <c r="E573" s="8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3:27" ht="15.75" customHeight="1" x14ac:dyDescent="0.3">
      <c r="C574" s="65"/>
      <c r="D574" s="8"/>
      <c r="E574" s="8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3:27" ht="15.75" customHeight="1" x14ac:dyDescent="0.3">
      <c r="C575" s="65"/>
      <c r="D575" s="8"/>
      <c r="E575" s="8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3:27" ht="15.75" customHeight="1" x14ac:dyDescent="0.3">
      <c r="C576" s="65"/>
      <c r="D576" s="8"/>
      <c r="E576" s="8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3:27" ht="15.75" customHeight="1" x14ac:dyDescent="0.3">
      <c r="C577" s="65"/>
      <c r="D577" s="8"/>
      <c r="E577" s="8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3:27" ht="15.75" customHeight="1" x14ac:dyDescent="0.3">
      <c r="C578" s="65"/>
      <c r="D578" s="8"/>
      <c r="E578" s="8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3:27" ht="15.75" customHeight="1" x14ac:dyDescent="0.3">
      <c r="C579" s="65"/>
      <c r="D579" s="8"/>
      <c r="E579" s="8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3:27" ht="15.75" customHeight="1" x14ac:dyDescent="0.3">
      <c r="C580" s="65"/>
      <c r="D580" s="8"/>
      <c r="E580" s="8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3:27" ht="15.75" customHeight="1" x14ac:dyDescent="0.3">
      <c r="C581" s="65"/>
      <c r="D581" s="8"/>
      <c r="E581" s="8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3:27" ht="15.75" customHeight="1" x14ac:dyDescent="0.3">
      <c r="C582" s="65"/>
      <c r="D582" s="8"/>
      <c r="E582" s="8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3:27" ht="15.75" customHeight="1" x14ac:dyDescent="0.3">
      <c r="C583" s="65"/>
      <c r="D583" s="8"/>
      <c r="E583" s="8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3:27" ht="15.75" customHeight="1" x14ac:dyDescent="0.3">
      <c r="C584" s="65"/>
      <c r="D584" s="8"/>
      <c r="E584" s="8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3:27" ht="15.75" customHeight="1" x14ac:dyDescent="0.3">
      <c r="C585" s="65"/>
      <c r="D585" s="8"/>
      <c r="E585" s="8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3:27" ht="15.75" customHeight="1" x14ac:dyDescent="0.3">
      <c r="C586" s="65"/>
      <c r="D586" s="8"/>
      <c r="E586" s="8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3:27" ht="15.75" customHeight="1" x14ac:dyDescent="0.3">
      <c r="C587" s="65"/>
      <c r="D587" s="8"/>
      <c r="E587" s="8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3:27" ht="15.75" customHeight="1" x14ac:dyDescent="0.3">
      <c r="C588" s="65"/>
      <c r="D588" s="8"/>
      <c r="E588" s="8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3:27" ht="15.75" customHeight="1" x14ac:dyDescent="0.3">
      <c r="C589" s="65"/>
      <c r="D589" s="8"/>
      <c r="E589" s="8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3:27" ht="15.75" customHeight="1" x14ac:dyDescent="0.3">
      <c r="C590" s="65"/>
      <c r="D590" s="8"/>
      <c r="E590" s="8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3:27" ht="15.75" customHeight="1" x14ac:dyDescent="0.3">
      <c r="C591" s="65"/>
      <c r="D591" s="8"/>
      <c r="E591" s="8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3:27" ht="15.75" customHeight="1" x14ac:dyDescent="0.3">
      <c r="C592" s="65"/>
      <c r="D592" s="8"/>
      <c r="E592" s="8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3:27" ht="15.75" customHeight="1" x14ac:dyDescent="0.3">
      <c r="C593" s="65"/>
      <c r="D593" s="8"/>
      <c r="E593" s="8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3:27" ht="15.75" customHeight="1" x14ac:dyDescent="0.3">
      <c r="C594" s="65"/>
      <c r="D594" s="8"/>
      <c r="E594" s="8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3:27" ht="15.75" customHeight="1" x14ac:dyDescent="0.3">
      <c r="C595" s="65"/>
      <c r="D595" s="8"/>
      <c r="E595" s="8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3:27" ht="15.75" customHeight="1" x14ac:dyDescent="0.3">
      <c r="C596" s="65"/>
      <c r="D596" s="8"/>
      <c r="E596" s="8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3:27" ht="15.75" customHeight="1" x14ac:dyDescent="0.3">
      <c r="C597" s="65"/>
      <c r="D597" s="8"/>
      <c r="E597" s="8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3:27" ht="15.75" customHeight="1" x14ac:dyDescent="0.3">
      <c r="C598" s="65"/>
      <c r="D598" s="8"/>
      <c r="E598" s="8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3:27" ht="15.75" customHeight="1" x14ac:dyDescent="0.3">
      <c r="C599" s="65"/>
      <c r="D599" s="8"/>
      <c r="E599" s="8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3:27" ht="15.75" customHeight="1" x14ac:dyDescent="0.3">
      <c r="C600" s="65"/>
      <c r="D600" s="8"/>
      <c r="E600" s="8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3:27" ht="15.75" customHeight="1" x14ac:dyDescent="0.3">
      <c r="C601" s="65"/>
      <c r="D601" s="8"/>
      <c r="E601" s="8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3:27" ht="15.75" customHeight="1" x14ac:dyDescent="0.3">
      <c r="C602" s="65"/>
      <c r="D602" s="8"/>
      <c r="E602" s="8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3:27" ht="15.75" customHeight="1" x14ac:dyDescent="0.3">
      <c r="C603" s="65"/>
      <c r="D603" s="8"/>
      <c r="E603" s="8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3:27" ht="15.75" customHeight="1" x14ac:dyDescent="0.3">
      <c r="C604" s="65"/>
      <c r="D604" s="8"/>
      <c r="E604" s="8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3:27" ht="15.75" customHeight="1" x14ac:dyDescent="0.3">
      <c r="C605" s="65"/>
      <c r="D605" s="8"/>
      <c r="E605" s="8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3:27" ht="15.75" customHeight="1" x14ac:dyDescent="0.3">
      <c r="C606" s="65"/>
      <c r="D606" s="8"/>
      <c r="E606" s="8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3:27" ht="15.75" customHeight="1" x14ac:dyDescent="0.3">
      <c r="C607" s="65"/>
      <c r="D607" s="8"/>
      <c r="E607" s="8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3:27" ht="15.75" customHeight="1" x14ac:dyDescent="0.3">
      <c r="C608" s="65"/>
      <c r="D608" s="8"/>
      <c r="E608" s="8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3:27" ht="15.75" customHeight="1" x14ac:dyDescent="0.3">
      <c r="C609" s="65"/>
      <c r="D609" s="8"/>
      <c r="E609" s="8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3:27" ht="15.75" customHeight="1" x14ac:dyDescent="0.3">
      <c r="C610" s="65"/>
      <c r="D610" s="8"/>
      <c r="E610" s="8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3:27" ht="15.75" customHeight="1" x14ac:dyDescent="0.3">
      <c r="C611" s="65"/>
      <c r="D611" s="8"/>
      <c r="E611" s="8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3:27" ht="15.75" customHeight="1" x14ac:dyDescent="0.3">
      <c r="C612" s="65"/>
      <c r="D612" s="8"/>
      <c r="E612" s="8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3:27" ht="15.75" customHeight="1" x14ac:dyDescent="0.3">
      <c r="C613" s="65"/>
      <c r="D613" s="8"/>
      <c r="E613" s="8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3:27" ht="15.75" customHeight="1" x14ac:dyDescent="0.3">
      <c r="C614" s="65"/>
      <c r="D614" s="8"/>
      <c r="E614" s="8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3:27" ht="15.75" customHeight="1" x14ac:dyDescent="0.3">
      <c r="C615" s="65"/>
      <c r="D615" s="8"/>
      <c r="E615" s="8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3:27" ht="15.75" customHeight="1" x14ac:dyDescent="0.3">
      <c r="C616" s="65"/>
      <c r="D616" s="8"/>
      <c r="E616" s="8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3:27" ht="15.75" customHeight="1" x14ac:dyDescent="0.3">
      <c r="C617" s="65"/>
      <c r="D617" s="8"/>
      <c r="E617" s="8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3:27" ht="15.75" customHeight="1" x14ac:dyDescent="0.3">
      <c r="C618" s="65"/>
      <c r="D618" s="8"/>
      <c r="E618" s="8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3:27" ht="15.75" customHeight="1" x14ac:dyDescent="0.3">
      <c r="C619" s="65"/>
      <c r="D619" s="8"/>
      <c r="E619" s="8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3:27" ht="15.75" customHeight="1" x14ac:dyDescent="0.3">
      <c r="C620" s="65"/>
      <c r="D620" s="8"/>
      <c r="E620" s="8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3:27" ht="15.75" customHeight="1" x14ac:dyDescent="0.3">
      <c r="C621" s="65"/>
      <c r="D621" s="8"/>
      <c r="E621" s="8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3:27" ht="15.75" customHeight="1" x14ac:dyDescent="0.3">
      <c r="C622" s="65"/>
      <c r="D622" s="8"/>
      <c r="E622" s="8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3:27" ht="15.75" customHeight="1" x14ac:dyDescent="0.3">
      <c r="C623" s="65"/>
      <c r="D623" s="8"/>
      <c r="E623" s="8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3:27" ht="15.75" customHeight="1" x14ac:dyDescent="0.3">
      <c r="C624" s="65"/>
      <c r="D624" s="8"/>
      <c r="E624" s="8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3:27" ht="15.75" customHeight="1" x14ac:dyDescent="0.3">
      <c r="C625" s="65"/>
      <c r="D625" s="8"/>
      <c r="E625" s="8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3:27" ht="15.75" customHeight="1" x14ac:dyDescent="0.3">
      <c r="C626" s="65"/>
      <c r="D626" s="8"/>
      <c r="E626" s="8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3:27" ht="15.75" customHeight="1" x14ac:dyDescent="0.3">
      <c r="C627" s="65"/>
      <c r="D627" s="8"/>
      <c r="E627" s="8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3:27" ht="15.75" customHeight="1" x14ac:dyDescent="0.3">
      <c r="C628" s="65"/>
      <c r="D628" s="8"/>
      <c r="E628" s="8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3:27" ht="15.75" customHeight="1" x14ac:dyDescent="0.3">
      <c r="C629" s="65"/>
      <c r="D629" s="8"/>
      <c r="E629" s="8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3:27" ht="15.75" customHeight="1" x14ac:dyDescent="0.3">
      <c r="C630" s="65"/>
      <c r="D630" s="8"/>
      <c r="E630" s="8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3:27" ht="15.75" customHeight="1" x14ac:dyDescent="0.3">
      <c r="C631" s="65"/>
      <c r="D631" s="8"/>
      <c r="E631" s="8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3:27" ht="15.75" customHeight="1" x14ac:dyDescent="0.3">
      <c r="C632" s="65"/>
      <c r="D632" s="8"/>
      <c r="E632" s="8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3:27" ht="15.75" customHeight="1" x14ac:dyDescent="0.3">
      <c r="C633" s="65"/>
      <c r="D633" s="8"/>
      <c r="E633" s="8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3:27" ht="15.75" customHeight="1" x14ac:dyDescent="0.3">
      <c r="C634" s="65"/>
      <c r="D634" s="8"/>
      <c r="E634" s="8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3:27" ht="15.75" customHeight="1" x14ac:dyDescent="0.3">
      <c r="C635" s="65"/>
      <c r="D635" s="8"/>
      <c r="E635" s="8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3:27" ht="15.75" customHeight="1" x14ac:dyDescent="0.3">
      <c r="C636" s="65"/>
      <c r="D636" s="8"/>
      <c r="E636" s="8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3:27" ht="15.75" customHeight="1" x14ac:dyDescent="0.3">
      <c r="C637" s="65"/>
      <c r="D637" s="8"/>
      <c r="E637" s="8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3:27" ht="15.75" customHeight="1" x14ac:dyDescent="0.3">
      <c r="C638" s="65"/>
      <c r="D638" s="8"/>
      <c r="E638" s="8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3:27" ht="15.75" customHeight="1" x14ac:dyDescent="0.3">
      <c r="C639" s="65"/>
      <c r="D639" s="8"/>
      <c r="E639" s="8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3:27" ht="15.75" customHeight="1" x14ac:dyDescent="0.3">
      <c r="C640" s="65"/>
      <c r="D640" s="8"/>
      <c r="E640" s="8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3:27" ht="15.75" customHeight="1" x14ac:dyDescent="0.3">
      <c r="C641" s="65"/>
      <c r="D641" s="8"/>
      <c r="E641" s="8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3:27" ht="15.75" customHeight="1" x14ac:dyDescent="0.3">
      <c r="C642" s="65"/>
      <c r="D642" s="8"/>
      <c r="E642" s="8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3:27" ht="15.75" customHeight="1" x14ac:dyDescent="0.3">
      <c r="C643" s="65"/>
      <c r="D643" s="8"/>
      <c r="E643" s="8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3:27" ht="15.75" customHeight="1" x14ac:dyDescent="0.3">
      <c r="C644" s="65"/>
      <c r="D644" s="8"/>
      <c r="E644" s="8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3:27" ht="15.75" customHeight="1" x14ac:dyDescent="0.3">
      <c r="C645" s="65"/>
      <c r="D645" s="8"/>
      <c r="E645" s="8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3:27" ht="15.75" customHeight="1" x14ac:dyDescent="0.3">
      <c r="C646" s="65"/>
      <c r="D646" s="8"/>
      <c r="E646" s="8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3:27" ht="15.75" customHeight="1" x14ac:dyDescent="0.3">
      <c r="C647" s="65"/>
      <c r="D647" s="8"/>
      <c r="E647" s="8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3:27" ht="15.75" customHeight="1" x14ac:dyDescent="0.3">
      <c r="C648" s="65"/>
      <c r="D648" s="8"/>
      <c r="E648" s="8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3:27" ht="15.75" customHeight="1" x14ac:dyDescent="0.3">
      <c r="C649" s="65"/>
      <c r="D649" s="8"/>
      <c r="E649" s="8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3:27" ht="15.75" customHeight="1" x14ac:dyDescent="0.3">
      <c r="C650" s="65"/>
      <c r="D650" s="8"/>
      <c r="E650" s="8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3:27" ht="15.75" customHeight="1" x14ac:dyDescent="0.3">
      <c r="C651" s="65"/>
      <c r="D651" s="8"/>
      <c r="E651" s="8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3:27" ht="15.75" customHeight="1" x14ac:dyDescent="0.3">
      <c r="C652" s="65"/>
      <c r="D652" s="8"/>
      <c r="E652" s="8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3:27" ht="15.75" customHeight="1" x14ac:dyDescent="0.3">
      <c r="C653" s="65"/>
      <c r="D653" s="8"/>
      <c r="E653" s="8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3:27" ht="15.75" customHeight="1" x14ac:dyDescent="0.3">
      <c r="C654" s="65"/>
      <c r="D654" s="8"/>
      <c r="E654" s="8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3:27" ht="15.75" customHeight="1" x14ac:dyDescent="0.3">
      <c r="C655" s="65"/>
      <c r="D655" s="8"/>
      <c r="E655" s="8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3:27" ht="15.75" customHeight="1" x14ac:dyDescent="0.3">
      <c r="C656" s="65"/>
      <c r="D656" s="8"/>
      <c r="E656" s="8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3:27" ht="15.75" customHeight="1" x14ac:dyDescent="0.3">
      <c r="C657" s="65"/>
      <c r="D657" s="8"/>
      <c r="E657" s="8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3:27" ht="15.75" customHeight="1" x14ac:dyDescent="0.3">
      <c r="C658" s="65"/>
      <c r="D658" s="8"/>
      <c r="E658" s="8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3:27" ht="15.75" customHeight="1" x14ac:dyDescent="0.3">
      <c r="C659" s="65"/>
      <c r="D659" s="8"/>
      <c r="E659" s="8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3:27" ht="15.75" customHeight="1" x14ac:dyDescent="0.3">
      <c r="C660" s="65"/>
      <c r="D660" s="8"/>
      <c r="E660" s="8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3:27" ht="15.75" customHeight="1" x14ac:dyDescent="0.3">
      <c r="C661" s="65"/>
      <c r="D661" s="8"/>
      <c r="E661" s="8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3:27" ht="15.75" customHeight="1" x14ac:dyDescent="0.3">
      <c r="C662" s="65"/>
      <c r="D662" s="8"/>
      <c r="E662" s="8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3:27" ht="15.75" customHeight="1" x14ac:dyDescent="0.3">
      <c r="C663" s="65"/>
      <c r="D663" s="8"/>
      <c r="E663" s="8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3:27" ht="15.75" customHeight="1" x14ac:dyDescent="0.3">
      <c r="C664" s="65"/>
      <c r="D664" s="8"/>
      <c r="E664" s="8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3:27" ht="15.75" customHeight="1" x14ac:dyDescent="0.3">
      <c r="C665" s="65"/>
      <c r="D665" s="8"/>
      <c r="E665" s="8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3:27" ht="15.75" customHeight="1" x14ac:dyDescent="0.3">
      <c r="C666" s="65"/>
      <c r="D666" s="8"/>
      <c r="E666" s="8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3:27" ht="15.75" customHeight="1" x14ac:dyDescent="0.3">
      <c r="C667" s="65"/>
      <c r="D667" s="8"/>
      <c r="E667" s="8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3:27" ht="15.75" customHeight="1" x14ac:dyDescent="0.3">
      <c r="C668" s="65"/>
      <c r="D668" s="8"/>
      <c r="E668" s="8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3:27" ht="15.75" customHeight="1" x14ac:dyDescent="0.3">
      <c r="C669" s="65"/>
      <c r="D669" s="8"/>
      <c r="E669" s="8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3:27" ht="15.75" customHeight="1" x14ac:dyDescent="0.3">
      <c r="C670" s="65"/>
      <c r="D670" s="8"/>
      <c r="E670" s="8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3:27" ht="15.75" customHeight="1" x14ac:dyDescent="0.3">
      <c r="C671" s="65"/>
      <c r="D671" s="8"/>
      <c r="E671" s="8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3:27" ht="15.75" customHeight="1" x14ac:dyDescent="0.3">
      <c r="C672" s="65"/>
      <c r="D672" s="8"/>
      <c r="E672" s="8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3:27" ht="15.75" customHeight="1" x14ac:dyDescent="0.3">
      <c r="C673" s="65"/>
      <c r="D673" s="8"/>
      <c r="E673" s="8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3:27" ht="15.75" customHeight="1" x14ac:dyDescent="0.3">
      <c r="C674" s="65"/>
      <c r="D674" s="8"/>
      <c r="E674" s="8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3:27" ht="15.75" customHeight="1" x14ac:dyDescent="0.3">
      <c r="C675" s="65"/>
      <c r="D675" s="8"/>
      <c r="E675" s="8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3:27" ht="15.75" customHeight="1" x14ac:dyDescent="0.3">
      <c r="C676" s="65"/>
      <c r="D676" s="8"/>
      <c r="E676" s="8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3:27" ht="15.75" customHeight="1" x14ac:dyDescent="0.3">
      <c r="C677" s="65"/>
      <c r="D677" s="8"/>
      <c r="E677" s="8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3:27" ht="15.75" customHeight="1" x14ac:dyDescent="0.3">
      <c r="C678" s="65"/>
      <c r="D678" s="8"/>
      <c r="E678" s="8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3:27" ht="15.75" customHeight="1" x14ac:dyDescent="0.3">
      <c r="C679" s="65"/>
      <c r="D679" s="8"/>
      <c r="E679" s="8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3:27" ht="15.75" customHeight="1" x14ac:dyDescent="0.3">
      <c r="C680" s="65"/>
      <c r="D680" s="8"/>
      <c r="E680" s="8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3:27" ht="15.75" customHeight="1" x14ac:dyDescent="0.3">
      <c r="C681" s="65"/>
      <c r="D681" s="8"/>
      <c r="E681" s="8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3:27" ht="15.75" customHeight="1" x14ac:dyDescent="0.3">
      <c r="C682" s="65"/>
      <c r="D682" s="8"/>
      <c r="E682" s="8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3:27" ht="15.75" customHeight="1" x14ac:dyDescent="0.3">
      <c r="C683" s="65"/>
      <c r="D683" s="8"/>
      <c r="E683" s="8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3:27" ht="15.75" customHeight="1" x14ac:dyDescent="0.3">
      <c r="C684" s="65"/>
      <c r="D684" s="8"/>
      <c r="E684" s="8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3:27" ht="15.75" customHeight="1" x14ac:dyDescent="0.3">
      <c r="C685" s="65"/>
      <c r="D685" s="8"/>
      <c r="E685" s="8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3:27" ht="15.75" customHeight="1" x14ac:dyDescent="0.3">
      <c r="C686" s="65"/>
      <c r="D686" s="8"/>
      <c r="E686" s="8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3:27" ht="15.75" customHeight="1" x14ac:dyDescent="0.3">
      <c r="C687" s="65"/>
      <c r="D687" s="8"/>
      <c r="E687" s="8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3:27" ht="15.75" customHeight="1" x14ac:dyDescent="0.3">
      <c r="C688" s="65"/>
      <c r="D688" s="8"/>
      <c r="E688" s="8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3:27" ht="15.75" customHeight="1" x14ac:dyDescent="0.3">
      <c r="C689" s="65"/>
      <c r="D689" s="8"/>
      <c r="E689" s="8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3:27" ht="15.75" customHeight="1" x14ac:dyDescent="0.3">
      <c r="C690" s="65"/>
      <c r="D690" s="8"/>
      <c r="E690" s="8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3:27" ht="15.75" customHeight="1" x14ac:dyDescent="0.3">
      <c r="C691" s="65"/>
      <c r="D691" s="8"/>
      <c r="E691" s="8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3:27" ht="15.75" customHeight="1" x14ac:dyDescent="0.3">
      <c r="C692" s="65"/>
      <c r="D692" s="8"/>
      <c r="E692" s="8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3:27" ht="15.75" customHeight="1" x14ac:dyDescent="0.3">
      <c r="C693" s="65"/>
      <c r="D693" s="8"/>
      <c r="E693" s="8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3:27" ht="15.75" customHeight="1" x14ac:dyDescent="0.3">
      <c r="C694" s="65"/>
      <c r="D694" s="8"/>
      <c r="E694" s="8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3:27" ht="15.75" customHeight="1" x14ac:dyDescent="0.3">
      <c r="C695" s="65"/>
      <c r="D695" s="8"/>
      <c r="E695" s="8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3:27" ht="15.75" customHeight="1" x14ac:dyDescent="0.3">
      <c r="C696" s="65"/>
      <c r="D696" s="8"/>
      <c r="E696" s="8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3:27" ht="15.75" customHeight="1" x14ac:dyDescent="0.3">
      <c r="C697" s="65"/>
      <c r="D697" s="8"/>
      <c r="E697" s="8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3:27" ht="15.75" customHeight="1" x14ac:dyDescent="0.3">
      <c r="C698" s="65"/>
      <c r="D698" s="8"/>
      <c r="E698" s="8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3:27" ht="15.75" customHeight="1" x14ac:dyDescent="0.3">
      <c r="C699" s="65"/>
      <c r="D699" s="8"/>
      <c r="E699" s="8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3:27" ht="15.75" customHeight="1" x14ac:dyDescent="0.3">
      <c r="C700" s="65"/>
      <c r="D700" s="8"/>
      <c r="E700" s="8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3:27" ht="15.75" customHeight="1" x14ac:dyDescent="0.3">
      <c r="C701" s="65"/>
      <c r="D701" s="8"/>
      <c r="E701" s="8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3:27" ht="15.75" customHeight="1" x14ac:dyDescent="0.3">
      <c r="C702" s="65"/>
      <c r="D702" s="8"/>
      <c r="E702" s="8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3:27" ht="15.75" customHeight="1" x14ac:dyDescent="0.3">
      <c r="C703" s="65"/>
      <c r="D703" s="8"/>
      <c r="E703" s="8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3:27" ht="15.75" customHeight="1" x14ac:dyDescent="0.3">
      <c r="C704" s="65"/>
      <c r="D704" s="8"/>
      <c r="E704" s="8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3:27" ht="15.75" customHeight="1" x14ac:dyDescent="0.3">
      <c r="C705" s="65"/>
      <c r="D705" s="8"/>
      <c r="E705" s="8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3:27" ht="15.75" customHeight="1" x14ac:dyDescent="0.3">
      <c r="C706" s="65"/>
      <c r="D706" s="8"/>
      <c r="E706" s="8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3:27" ht="15.75" customHeight="1" x14ac:dyDescent="0.3">
      <c r="C707" s="65"/>
      <c r="D707" s="8"/>
      <c r="E707" s="8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3:27" ht="15.75" customHeight="1" x14ac:dyDescent="0.3">
      <c r="C708" s="65"/>
      <c r="D708" s="8"/>
      <c r="E708" s="8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3:27" ht="15.75" customHeight="1" x14ac:dyDescent="0.3">
      <c r="C709" s="65"/>
      <c r="D709" s="8"/>
      <c r="E709" s="8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3:27" ht="15.75" customHeight="1" x14ac:dyDescent="0.3">
      <c r="C710" s="65"/>
      <c r="D710" s="8"/>
      <c r="E710" s="8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3:27" ht="15.75" customHeight="1" x14ac:dyDescent="0.3">
      <c r="C711" s="65"/>
      <c r="D711" s="8"/>
      <c r="E711" s="8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3:27" ht="15.75" customHeight="1" x14ac:dyDescent="0.3">
      <c r="C712" s="65"/>
      <c r="D712" s="8"/>
      <c r="E712" s="8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3:27" ht="15.75" customHeight="1" x14ac:dyDescent="0.3">
      <c r="C713" s="65"/>
      <c r="D713" s="8"/>
      <c r="E713" s="8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3:27" ht="15.75" customHeight="1" x14ac:dyDescent="0.3">
      <c r="C714" s="65"/>
      <c r="D714" s="8"/>
      <c r="E714" s="8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3:27" ht="15.75" customHeight="1" x14ac:dyDescent="0.3">
      <c r="C715" s="65"/>
      <c r="D715" s="8"/>
      <c r="E715" s="8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3:27" ht="15.75" customHeight="1" x14ac:dyDescent="0.3">
      <c r="C716" s="65"/>
      <c r="D716" s="8"/>
      <c r="E716" s="8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3:27" ht="15.75" customHeight="1" x14ac:dyDescent="0.3">
      <c r="C717" s="65"/>
      <c r="D717" s="8"/>
      <c r="E717" s="8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3:27" ht="15.75" customHeight="1" x14ac:dyDescent="0.3">
      <c r="C718" s="65"/>
      <c r="D718" s="8"/>
      <c r="E718" s="8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3:27" ht="15.75" customHeight="1" x14ac:dyDescent="0.3">
      <c r="C719" s="65"/>
      <c r="D719" s="8"/>
      <c r="E719" s="8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3:27" ht="15.75" customHeight="1" x14ac:dyDescent="0.3">
      <c r="C720" s="65"/>
      <c r="D720" s="8"/>
      <c r="E720" s="8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3:27" ht="15.75" customHeight="1" x14ac:dyDescent="0.3">
      <c r="C721" s="65"/>
      <c r="D721" s="8"/>
      <c r="E721" s="8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3:27" ht="15.75" customHeight="1" x14ac:dyDescent="0.3">
      <c r="C722" s="65"/>
      <c r="D722" s="8"/>
      <c r="E722" s="8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3:27" ht="15.75" customHeight="1" x14ac:dyDescent="0.3">
      <c r="C723" s="65"/>
      <c r="D723" s="8"/>
      <c r="E723" s="8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3:27" ht="15.75" customHeight="1" x14ac:dyDescent="0.3">
      <c r="C724" s="65"/>
      <c r="D724" s="8"/>
      <c r="E724" s="8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3:27" ht="15.75" customHeight="1" x14ac:dyDescent="0.3">
      <c r="C725" s="65"/>
      <c r="D725" s="8"/>
      <c r="E725" s="8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3:27" ht="15.75" customHeight="1" x14ac:dyDescent="0.3">
      <c r="C726" s="65"/>
      <c r="D726" s="8"/>
      <c r="E726" s="8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3:27" ht="15.75" customHeight="1" x14ac:dyDescent="0.3">
      <c r="C727" s="65"/>
      <c r="D727" s="8"/>
      <c r="E727" s="8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3:27" ht="15.75" customHeight="1" x14ac:dyDescent="0.3">
      <c r="C728" s="65"/>
      <c r="D728" s="8"/>
      <c r="E728" s="8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3:27" ht="15.75" customHeight="1" x14ac:dyDescent="0.3">
      <c r="C729" s="65"/>
      <c r="D729" s="8"/>
      <c r="E729" s="8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3:27" ht="15.75" customHeight="1" x14ac:dyDescent="0.3">
      <c r="C730" s="65"/>
      <c r="D730" s="8"/>
      <c r="E730" s="8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3:27" ht="15.75" customHeight="1" x14ac:dyDescent="0.3">
      <c r="C731" s="65"/>
      <c r="D731" s="8"/>
      <c r="E731" s="8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3:27" ht="15.75" customHeight="1" x14ac:dyDescent="0.3">
      <c r="C732" s="65"/>
      <c r="D732" s="8"/>
      <c r="E732" s="8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3:27" ht="15.75" customHeight="1" x14ac:dyDescent="0.3">
      <c r="C733" s="65"/>
      <c r="D733" s="8"/>
      <c r="E733" s="8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3:27" ht="15.75" customHeight="1" x14ac:dyDescent="0.3">
      <c r="C734" s="65"/>
      <c r="D734" s="8"/>
      <c r="E734" s="8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3:27" ht="15.75" customHeight="1" x14ac:dyDescent="0.3">
      <c r="C735" s="65"/>
      <c r="D735" s="8"/>
      <c r="E735" s="8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3:27" ht="15.75" customHeight="1" x14ac:dyDescent="0.3">
      <c r="C736" s="65"/>
      <c r="D736" s="8"/>
      <c r="E736" s="8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3:27" ht="15.75" customHeight="1" x14ac:dyDescent="0.3">
      <c r="C737" s="65"/>
      <c r="D737" s="8"/>
      <c r="E737" s="8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3:27" ht="15.75" customHeight="1" x14ac:dyDescent="0.3">
      <c r="C738" s="65"/>
      <c r="D738" s="8"/>
      <c r="E738" s="8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3:27" ht="15.75" customHeight="1" x14ac:dyDescent="0.3">
      <c r="C739" s="65"/>
      <c r="D739" s="8"/>
      <c r="E739" s="8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3:27" ht="15.75" customHeight="1" x14ac:dyDescent="0.3">
      <c r="C740" s="65"/>
      <c r="D740" s="8"/>
      <c r="E740" s="8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3:27" ht="15.75" customHeight="1" x14ac:dyDescent="0.3">
      <c r="C741" s="65"/>
      <c r="D741" s="8"/>
      <c r="E741" s="8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3:27" ht="15.75" customHeight="1" x14ac:dyDescent="0.3">
      <c r="C742" s="65"/>
      <c r="D742" s="8"/>
      <c r="E742" s="8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3:27" ht="15.75" customHeight="1" x14ac:dyDescent="0.3">
      <c r="C743" s="65"/>
      <c r="D743" s="8"/>
      <c r="E743" s="8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3:27" ht="15.75" customHeight="1" x14ac:dyDescent="0.3">
      <c r="C744" s="65"/>
      <c r="D744" s="8"/>
      <c r="E744" s="8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3:27" ht="15.75" customHeight="1" x14ac:dyDescent="0.3">
      <c r="C745" s="65"/>
      <c r="D745" s="8"/>
      <c r="E745" s="8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3:27" ht="15.75" customHeight="1" x14ac:dyDescent="0.3">
      <c r="C746" s="65"/>
      <c r="D746" s="8"/>
      <c r="E746" s="8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3:27" ht="15.75" customHeight="1" x14ac:dyDescent="0.3">
      <c r="C747" s="65"/>
      <c r="D747" s="8"/>
      <c r="E747" s="8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3:27" ht="15.75" customHeight="1" x14ac:dyDescent="0.3">
      <c r="C748" s="65"/>
      <c r="D748" s="8"/>
      <c r="E748" s="8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3:27" ht="15.75" customHeight="1" x14ac:dyDescent="0.3">
      <c r="C749" s="65"/>
      <c r="D749" s="8"/>
      <c r="E749" s="8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3:27" ht="15.75" customHeight="1" x14ac:dyDescent="0.3">
      <c r="C750" s="65"/>
      <c r="D750" s="8"/>
      <c r="E750" s="8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3:27" ht="15.75" customHeight="1" x14ac:dyDescent="0.3">
      <c r="C751" s="65"/>
      <c r="D751" s="8"/>
      <c r="E751" s="8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3:27" ht="15.75" customHeight="1" x14ac:dyDescent="0.3">
      <c r="C752" s="65"/>
      <c r="D752" s="8"/>
      <c r="E752" s="8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3:27" ht="15.75" customHeight="1" x14ac:dyDescent="0.3">
      <c r="C753" s="65"/>
      <c r="D753" s="8"/>
      <c r="E753" s="8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3:27" ht="15.75" customHeight="1" x14ac:dyDescent="0.3">
      <c r="C754" s="65"/>
      <c r="D754" s="8"/>
      <c r="E754" s="8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3:27" ht="15.75" customHeight="1" x14ac:dyDescent="0.3">
      <c r="C755" s="65"/>
      <c r="D755" s="8"/>
      <c r="E755" s="8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3:27" ht="15.75" customHeight="1" x14ac:dyDescent="0.3">
      <c r="C756" s="65"/>
      <c r="D756" s="8"/>
      <c r="E756" s="8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3:27" ht="15.75" customHeight="1" x14ac:dyDescent="0.3">
      <c r="C757" s="65"/>
      <c r="D757" s="8"/>
      <c r="E757" s="8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3:27" ht="15.75" customHeight="1" x14ac:dyDescent="0.3">
      <c r="C758" s="65"/>
      <c r="D758" s="8"/>
      <c r="E758" s="8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3:27" ht="15.75" customHeight="1" x14ac:dyDescent="0.3">
      <c r="C759" s="65"/>
      <c r="D759" s="8"/>
      <c r="E759" s="8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3:27" ht="15.75" customHeight="1" x14ac:dyDescent="0.3">
      <c r="C760" s="65"/>
      <c r="D760" s="8"/>
      <c r="E760" s="8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3:27" ht="15.75" customHeight="1" x14ac:dyDescent="0.3">
      <c r="C761" s="65"/>
      <c r="D761" s="8"/>
      <c r="E761" s="8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3:27" ht="15.75" customHeight="1" x14ac:dyDescent="0.3">
      <c r="C762" s="65"/>
      <c r="D762" s="8"/>
      <c r="E762" s="8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3:27" ht="15.75" customHeight="1" x14ac:dyDescent="0.3">
      <c r="C763" s="65"/>
      <c r="D763" s="8"/>
      <c r="E763" s="8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3:27" ht="15.75" customHeight="1" x14ac:dyDescent="0.3">
      <c r="C764" s="65"/>
      <c r="D764" s="8"/>
      <c r="E764" s="8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3:27" ht="15.75" customHeight="1" x14ac:dyDescent="0.3">
      <c r="C765" s="65"/>
      <c r="D765" s="8"/>
      <c r="E765" s="8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3:27" ht="15.75" customHeight="1" x14ac:dyDescent="0.3">
      <c r="C766" s="65"/>
      <c r="D766" s="8"/>
      <c r="E766" s="8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3:27" ht="15.75" customHeight="1" x14ac:dyDescent="0.3">
      <c r="C767" s="65"/>
      <c r="D767" s="8"/>
      <c r="E767" s="8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3:27" ht="15.75" customHeight="1" x14ac:dyDescent="0.3">
      <c r="C768" s="65"/>
      <c r="D768" s="8"/>
      <c r="E768" s="8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3:27" ht="15.75" customHeight="1" x14ac:dyDescent="0.3">
      <c r="C769" s="65"/>
      <c r="D769" s="8"/>
      <c r="E769" s="8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3:27" ht="15.75" customHeight="1" x14ac:dyDescent="0.3">
      <c r="C770" s="65"/>
      <c r="D770" s="8"/>
      <c r="E770" s="8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3:27" ht="15.75" customHeight="1" x14ac:dyDescent="0.3">
      <c r="C771" s="65"/>
      <c r="D771" s="8"/>
      <c r="E771" s="8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3:27" ht="15.75" customHeight="1" x14ac:dyDescent="0.3">
      <c r="C772" s="65"/>
      <c r="D772" s="8"/>
      <c r="E772" s="8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3:27" ht="15.75" customHeight="1" x14ac:dyDescent="0.3">
      <c r="C773" s="65"/>
      <c r="D773" s="8"/>
      <c r="E773" s="8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3:27" ht="15.75" customHeight="1" x14ac:dyDescent="0.3">
      <c r="C774" s="65"/>
      <c r="D774" s="8"/>
      <c r="E774" s="8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3:27" ht="15.75" customHeight="1" x14ac:dyDescent="0.3">
      <c r="C775" s="65"/>
      <c r="D775" s="8"/>
      <c r="E775" s="8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3:27" ht="15.75" customHeight="1" x14ac:dyDescent="0.3">
      <c r="C776" s="65"/>
      <c r="D776" s="8"/>
      <c r="E776" s="8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3:27" ht="15.75" customHeight="1" x14ac:dyDescent="0.3">
      <c r="C777" s="65"/>
      <c r="D777" s="8"/>
      <c r="E777" s="8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3:27" ht="15.75" customHeight="1" x14ac:dyDescent="0.3">
      <c r="C778" s="65"/>
      <c r="D778" s="8"/>
      <c r="E778" s="8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3:27" ht="15.75" customHeight="1" x14ac:dyDescent="0.3">
      <c r="C779" s="65"/>
      <c r="D779" s="8"/>
      <c r="E779" s="8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3:27" ht="15.75" customHeight="1" x14ac:dyDescent="0.3">
      <c r="C780" s="65"/>
      <c r="D780" s="8"/>
      <c r="E780" s="8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3:27" ht="15.75" customHeight="1" x14ac:dyDescent="0.3">
      <c r="C781" s="65"/>
      <c r="D781" s="8"/>
      <c r="E781" s="8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3:27" ht="15.75" customHeight="1" x14ac:dyDescent="0.3">
      <c r="C782" s="65"/>
      <c r="D782" s="8"/>
      <c r="E782" s="8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3:27" ht="15.75" customHeight="1" x14ac:dyDescent="0.3">
      <c r="C783" s="65"/>
      <c r="D783" s="8"/>
      <c r="E783" s="8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3:27" ht="15.75" customHeight="1" x14ac:dyDescent="0.3">
      <c r="C784" s="65"/>
      <c r="D784" s="8"/>
      <c r="E784" s="8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3:27" ht="15.75" customHeight="1" x14ac:dyDescent="0.3">
      <c r="C785" s="65"/>
      <c r="D785" s="8"/>
      <c r="E785" s="8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3:27" ht="15.75" customHeight="1" x14ac:dyDescent="0.3">
      <c r="C786" s="65"/>
      <c r="D786" s="8"/>
      <c r="E786" s="8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3:27" ht="15.75" customHeight="1" x14ac:dyDescent="0.3">
      <c r="C787" s="65"/>
      <c r="D787" s="8"/>
      <c r="E787" s="8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3:27" ht="15.75" customHeight="1" x14ac:dyDescent="0.3">
      <c r="C788" s="65"/>
      <c r="D788" s="8"/>
      <c r="E788" s="8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3:27" ht="15.75" customHeight="1" x14ac:dyDescent="0.3">
      <c r="C789" s="65"/>
      <c r="D789" s="8"/>
      <c r="E789" s="8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3:27" ht="15.75" customHeight="1" x14ac:dyDescent="0.3">
      <c r="C790" s="65"/>
      <c r="D790" s="8"/>
      <c r="E790" s="8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3:27" ht="15.75" customHeight="1" x14ac:dyDescent="0.3">
      <c r="C791" s="65"/>
      <c r="D791" s="8"/>
      <c r="E791" s="8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3:27" ht="15.75" customHeight="1" x14ac:dyDescent="0.3">
      <c r="C792" s="65"/>
      <c r="D792" s="8"/>
      <c r="E792" s="8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3:27" ht="15.75" customHeight="1" x14ac:dyDescent="0.3">
      <c r="C793" s="65"/>
      <c r="D793" s="8"/>
      <c r="E793" s="8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3:27" ht="15.75" customHeight="1" x14ac:dyDescent="0.3">
      <c r="C794" s="65"/>
      <c r="D794" s="8"/>
      <c r="E794" s="8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3:27" ht="15.75" customHeight="1" x14ac:dyDescent="0.3">
      <c r="C795" s="65"/>
      <c r="D795" s="8"/>
      <c r="E795" s="8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3:27" ht="15.75" customHeight="1" x14ac:dyDescent="0.3">
      <c r="C796" s="65"/>
      <c r="D796" s="8"/>
      <c r="E796" s="8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3:27" ht="15.75" customHeight="1" x14ac:dyDescent="0.3">
      <c r="C797" s="65"/>
      <c r="D797" s="8"/>
      <c r="E797" s="8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3:27" ht="15.75" customHeight="1" x14ac:dyDescent="0.3">
      <c r="C798" s="65"/>
      <c r="D798" s="8"/>
      <c r="E798" s="8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3:27" ht="15.75" customHeight="1" x14ac:dyDescent="0.3">
      <c r="C799" s="65"/>
      <c r="D799" s="8"/>
      <c r="E799" s="8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3:27" ht="15.75" customHeight="1" x14ac:dyDescent="0.3">
      <c r="C800" s="65"/>
      <c r="D800" s="8"/>
      <c r="E800" s="8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3:27" ht="15.75" customHeight="1" x14ac:dyDescent="0.3">
      <c r="C801" s="65"/>
      <c r="D801" s="8"/>
      <c r="E801" s="8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3:27" ht="15.75" customHeight="1" x14ac:dyDescent="0.3">
      <c r="C802" s="65"/>
      <c r="D802" s="8"/>
      <c r="E802" s="8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3:27" ht="15.75" customHeight="1" x14ac:dyDescent="0.3">
      <c r="C803" s="65"/>
      <c r="D803" s="8"/>
      <c r="E803" s="8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3:27" ht="15.75" customHeight="1" x14ac:dyDescent="0.3">
      <c r="C804" s="65"/>
      <c r="D804" s="8"/>
      <c r="E804" s="8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3:27" ht="15.75" customHeight="1" x14ac:dyDescent="0.3">
      <c r="C805" s="65"/>
      <c r="D805" s="8"/>
      <c r="E805" s="8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3:27" ht="15.75" customHeight="1" x14ac:dyDescent="0.3">
      <c r="C806" s="65"/>
      <c r="D806" s="8"/>
      <c r="E806" s="8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3:27" ht="15.75" customHeight="1" x14ac:dyDescent="0.3">
      <c r="C807" s="65"/>
      <c r="D807" s="8"/>
      <c r="E807" s="8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3:27" ht="15.75" customHeight="1" x14ac:dyDescent="0.3">
      <c r="C808" s="65"/>
      <c r="D808" s="8"/>
      <c r="E808" s="8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3:27" ht="15.75" customHeight="1" x14ac:dyDescent="0.3">
      <c r="C809" s="65"/>
      <c r="D809" s="8"/>
      <c r="E809" s="8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3:27" ht="15.75" customHeight="1" x14ac:dyDescent="0.3">
      <c r="C810" s="65"/>
      <c r="D810" s="8"/>
      <c r="E810" s="8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3:27" ht="15.75" customHeight="1" x14ac:dyDescent="0.3">
      <c r="C811" s="65"/>
      <c r="D811" s="8"/>
      <c r="E811" s="8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3:27" ht="15.75" customHeight="1" x14ac:dyDescent="0.3">
      <c r="C812" s="65"/>
      <c r="D812" s="8"/>
      <c r="E812" s="8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3:27" ht="15.75" customHeight="1" x14ac:dyDescent="0.3">
      <c r="C813" s="65"/>
      <c r="D813" s="8"/>
      <c r="E813" s="8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3:27" ht="15.75" customHeight="1" x14ac:dyDescent="0.3">
      <c r="C814" s="65"/>
      <c r="D814" s="8"/>
      <c r="E814" s="8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3:27" ht="15.75" customHeight="1" x14ac:dyDescent="0.3">
      <c r="C815" s="65"/>
      <c r="D815" s="8"/>
      <c r="E815" s="8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3:27" ht="15.75" customHeight="1" x14ac:dyDescent="0.3">
      <c r="C816" s="65"/>
      <c r="D816" s="8"/>
      <c r="E816" s="8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3:27" ht="15.75" customHeight="1" x14ac:dyDescent="0.3">
      <c r="C817" s="65"/>
      <c r="D817" s="8"/>
      <c r="E817" s="8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3:27" ht="15.75" customHeight="1" x14ac:dyDescent="0.3">
      <c r="C818" s="65"/>
      <c r="D818" s="8"/>
      <c r="E818" s="8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3:27" ht="15.75" customHeight="1" x14ac:dyDescent="0.3">
      <c r="C819" s="65"/>
      <c r="D819" s="8"/>
      <c r="E819" s="8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3:27" ht="15.75" customHeight="1" x14ac:dyDescent="0.3">
      <c r="C820" s="65"/>
      <c r="D820" s="8"/>
      <c r="E820" s="8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3:27" ht="15.75" customHeight="1" x14ac:dyDescent="0.3">
      <c r="C821" s="65"/>
      <c r="D821" s="8"/>
      <c r="E821" s="8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3:27" ht="15.75" customHeight="1" x14ac:dyDescent="0.3">
      <c r="C822" s="65"/>
      <c r="D822" s="8"/>
      <c r="E822" s="8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3:27" ht="15.75" customHeight="1" x14ac:dyDescent="0.3">
      <c r="C823" s="65"/>
      <c r="D823" s="8"/>
      <c r="E823" s="8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3:27" ht="15.75" customHeight="1" x14ac:dyDescent="0.3">
      <c r="C824" s="65"/>
      <c r="D824" s="8"/>
      <c r="E824" s="8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3:27" ht="15.75" customHeight="1" x14ac:dyDescent="0.3">
      <c r="C825" s="65"/>
      <c r="D825" s="8"/>
      <c r="E825" s="8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3:27" ht="15.75" customHeight="1" x14ac:dyDescent="0.3">
      <c r="C826" s="65"/>
      <c r="D826" s="8"/>
      <c r="E826" s="8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3:27" ht="15.75" customHeight="1" x14ac:dyDescent="0.3">
      <c r="C827" s="65"/>
      <c r="D827" s="8"/>
      <c r="E827" s="8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3:27" ht="15.75" customHeight="1" x14ac:dyDescent="0.3">
      <c r="C828" s="65"/>
      <c r="D828" s="8"/>
      <c r="E828" s="8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3:27" ht="15.75" customHeight="1" x14ac:dyDescent="0.3">
      <c r="C829" s="65"/>
      <c r="D829" s="8"/>
      <c r="E829" s="8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3:27" ht="15.75" customHeight="1" x14ac:dyDescent="0.3">
      <c r="C830" s="65"/>
      <c r="D830" s="8"/>
      <c r="E830" s="8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3:27" ht="15.75" customHeight="1" x14ac:dyDescent="0.3">
      <c r="C831" s="65"/>
      <c r="D831" s="8"/>
      <c r="E831" s="8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3:27" ht="15.75" customHeight="1" x14ac:dyDescent="0.3">
      <c r="C832" s="65"/>
      <c r="D832" s="8"/>
      <c r="E832" s="8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3:27" ht="15.75" customHeight="1" x14ac:dyDescent="0.3">
      <c r="C833" s="65"/>
      <c r="D833" s="8"/>
      <c r="E833" s="8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3:27" ht="15.75" customHeight="1" x14ac:dyDescent="0.3">
      <c r="C834" s="65"/>
      <c r="D834" s="8"/>
      <c r="E834" s="8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3:27" ht="15.75" customHeight="1" x14ac:dyDescent="0.3">
      <c r="C835" s="65"/>
      <c r="D835" s="8"/>
      <c r="E835" s="8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3:27" ht="15.75" customHeight="1" x14ac:dyDescent="0.3">
      <c r="C836" s="65"/>
      <c r="D836" s="8"/>
      <c r="E836" s="8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3:27" ht="15.75" customHeight="1" x14ac:dyDescent="0.3">
      <c r="C837" s="65"/>
      <c r="D837" s="8"/>
      <c r="E837" s="8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3:27" ht="15.75" customHeight="1" x14ac:dyDescent="0.3">
      <c r="C838" s="65"/>
      <c r="D838" s="8"/>
      <c r="E838" s="8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3:27" ht="15.75" customHeight="1" x14ac:dyDescent="0.3">
      <c r="C839" s="65"/>
      <c r="D839" s="8"/>
      <c r="E839" s="8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3:27" ht="15.75" customHeight="1" x14ac:dyDescent="0.3">
      <c r="C840" s="65"/>
      <c r="D840" s="8"/>
      <c r="E840" s="8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3:27" ht="15.75" customHeight="1" x14ac:dyDescent="0.3">
      <c r="C841" s="65"/>
      <c r="D841" s="8"/>
      <c r="E841" s="8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3:27" ht="15.75" customHeight="1" x14ac:dyDescent="0.3">
      <c r="C842" s="65"/>
      <c r="D842" s="8"/>
      <c r="E842" s="8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3:27" ht="15.75" customHeight="1" x14ac:dyDescent="0.3">
      <c r="C843" s="65"/>
      <c r="D843" s="8"/>
      <c r="E843" s="8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3:27" ht="15.75" customHeight="1" x14ac:dyDescent="0.3">
      <c r="C844" s="65"/>
      <c r="D844" s="8"/>
      <c r="E844" s="8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3:27" ht="15.75" customHeight="1" x14ac:dyDescent="0.3">
      <c r="C845" s="65"/>
      <c r="D845" s="8"/>
      <c r="E845" s="8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3:27" ht="15.75" customHeight="1" x14ac:dyDescent="0.3">
      <c r="C846" s="65"/>
      <c r="D846" s="8"/>
      <c r="E846" s="8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3:27" ht="15.75" customHeight="1" x14ac:dyDescent="0.3">
      <c r="C847" s="65"/>
      <c r="D847" s="8"/>
      <c r="E847" s="8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3:27" ht="15.75" customHeight="1" x14ac:dyDescent="0.3">
      <c r="C848" s="65"/>
      <c r="D848" s="8"/>
      <c r="E848" s="8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3:27" ht="15.75" customHeight="1" x14ac:dyDescent="0.3">
      <c r="C849" s="65"/>
      <c r="D849" s="8"/>
      <c r="E849" s="8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3:27" ht="15.75" customHeight="1" x14ac:dyDescent="0.3">
      <c r="C850" s="65"/>
      <c r="D850" s="8"/>
      <c r="E850" s="8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3:27" ht="15.75" customHeight="1" x14ac:dyDescent="0.3">
      <c r="C851" s="65"/>
      <c r="D851" s="8"/>
      <c r="E851" s="8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3:27" ht="15.75" customHeight="1" x14ac:dyDescent="0.3">
      <c r="C852" s="65"/>
      <c r="D852" s="8"/>
      <c r="E852" s="8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3:27" ht="15.75" customHeight="1" x14ac:dyDescent="0.3">
      <c r="C853" s="65"/>
      <c r="D853" s="8"/>
      <c r="E853" s="8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3:27" ht="15.75" customHeight="1" x14ac:dyDescent="0.3">
      <c r="C854" s="65"/>
      <c r="D854" s="8"/>
      <c r="E854" s="8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3:27" ht="15.75" customHeight="1" x14ac:dyDescent="0.3">
      <c r="C855" s="65"/>
      <c r="D855" s="8"/>
      <c r="E855" s="8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3:27" ht="15.75" customHeight="1" x14ac:dyDescent="0.3">
      <c r="C856" s="65"/>
      <c r="D856" s="8"/>
      <c r="E856" s="8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3:27" ht="15.75" customHeight="1" x14ac:dyDescent="0.3">
      <c r="C857" s="65"/>
      <c r="D857" s="8"/>
      <c r="E857" s="8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3:27" ht="15.75" customHeight="1" x14ac:dyDescent="0.3">
      <c r="C858" s="65"/>
      <c r="D858" s="8"/>
      <c r="E858" s="8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3:27" ht="15.75" customHeight="1" x14ac:dyDescent="0.3">
      <c r="C859" s="65"/>
      <c r="D859" s="8"/>
      <c r="E859" s="8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3:27" ht="15.75" customHeight="1" x14ac:dyDescent="0.3">
      <c r="C860" s="65"/>
      <c r="D860" s="8"/>
      <c r="E860" s="8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3:27" ht="15.75" customHeight="1" x14ac:dyDescent="0.3">
      <c r="C861" s="65"/>
      <c r="D861" s="8"/>
      <c r="E861" s="8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3:27" ht="15.75" customHeight="1" x14ac:dyDescent="0.3">
      <c r="C862" s="65"/>
      <c r="D862" s="8"/>
      <c r="E862" s="8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3:27" ht="15.75" customHeight="1" x14ac:dyDescent="0.3">
      <c r="C863" s="65"/>
      <c r="D863" s="8"/>
      <c r="E863" s="8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3:27" ht="15.75" customHeight="1" x14ac:dyDescent="0.3">
      <c r="C864" s="65"/>
      <c r="D864" s="8"/>
      <c r="E864" s="8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3:27" ht="15.75" customHeight="1" x14ac:dyDescent="0.3">
      <c r="C865" s="65"/>
      <c r="D865" s="8"/>
      <c r="E865" s="8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3:27" ht="15.75" customHeight="1" x14ac:dyDescent="0.3">
      <c r="C866" s="65"/>
      <c r="D866" s="8"/>
      <c r="E866" s="8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3:27" ht="15.75" customHeight="1" x14ac:dyDescent="0.3">
      <c r="C867" s="65"/>
      <c r="D867" s="8"/>
      <c r="E867" s="8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3:27" ht="15.75" customHeight="1" x14ac:dyDescent="0.3">
      <c r="C868" s="65"/>
      <c r="D868" s="8"/>
      <c r="E868" s="8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3:27" ht="15.75" customHeight="1" x14ac:dyDescent="0.3">
      <c r="C869" s="65"/>
      <c r="D869" s="8"/>
      <c r="E869" s="8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3:27" ht="15.75" customHeight="1" x14ac:dyDescent="0.3">
      <c r="C870" s="65"/>
      <c r="D870" s="8"/>
      <c r="E870" s="8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3:27" ht="15.75" customHeight="1" x14ac:dyDescent="0.3">
      <c r="C871" s="65"/>
      <c r="D871" s="8"/>
      <c r="E871" s="8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3:27" ht="15.75" customHeight="1" x14ac:dyDescent="0.3">
      <c r="C872" s="65"/>
      <c r="D872" s="8"/>
      <c r="E872" s="8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3:27" ht="15.75" customHeight="1" x14ac:dyDescent="0.3">
      <c r="C873" s="65"/>
      <c r="D873" s="8"/>
      <c r="E873" s="8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3:27" ht="15.75" customHeight="1" x14ac:dyDescent="0.3">
      <c r="C874" s="65"/>
      <c r="D874" s="8"/>
      <c r="E874" s="8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3:27" ht="15.75" customHeight="1" x14ac:dyDescent="0.3">
      <c r="C875" s="65"/>
      <c r="D875" s="8"/>
      <c r="E875" s="8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3:27" ht="15.75" customHeight="1" x14ac:dyDescent="0.3">
      <c r="C876" s="65"/>
      <c r="D876" s="8"/>
      <c r="E876" s="8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3:27" ht="15.75" customHeight="1" x14ac:dyDescent="0.3">
      <c r="C877" s="65"/>
      <c r="D877" s="8"/>
      <c r="E877" s="8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3:27" ht="15.75" customHeight="1" x14ac:dyDescent="0.3">
      <c r="C878" s="65"/>
      <c r="D878" s="8"/>
      <c r="E878" s="8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3:27" ht="15.75" customHeight="1" x14ac:dyDescent="0.3">
      <c r="C879" s="65"/>
      <c r="D879" s="8"/>
      <c r="E879" s="8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3:27" ht="15.75" customHeight="1" x14ac:dyDescent="0.3">
      <c r="C880" s="65"/>
      <c r="D880" s="8"/>
      <c r="E880" s="8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3:27" ht="15.75" customHeight="1" x14ac:dyDescent="0.3">
      <c r="C881" s="65"/>
      <c r="D881" s="8"/>
      <c r="E881" s="8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3:27" ht="15.75" customHeight="1" x14ac:dyDescent="0.3">
      <c r="C882" s="65"/>
      <c r="D882" s="8"/>
      <c r="E882" s="8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3:27" ht="15.75" customHeight="1" x14ac:dyDescent="0.3">
      <c r="C883" s="65"/>
      <c r="D883" s="8"/>
      <c r="E883" s="8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3:27" ht="15.75" customHeight="1" x14ac:dyDescent="0.3">
      <c r="C884" s="65"/>
      <c r="D884" s="8"/>
      <c r="E884" s="8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3:27" ht="15.75" customHeight="1" x14ac:dyDescent="0.3">
      <c r="C885" s="65"/>
      <c r="D885" s="8"/>
      <c r="E885" s="8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3:27" ht="15.75" customHeight="1" x14ac:dyDescent="0.3">
      <c r="C886" s="65"/>
      <c r="D886" s="8"/>
      <c r="E886" s="8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3:27" ht="15.75" customHeight="1" x14ac:dyDescent="0.3">
      <c r="C887" s="65"/>
      <c r="D887" s="8"/>
      <c r="E887" s="8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3:27" ht="15.75" customHeight="1" x14ac:dyDescent="0.3">
      <c r="C888" s="65"/>
      <c r="D888" s="8"/>
      <c r="E888" s="8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3:27" ht="15.75" customHeight="1" x14ac:dyDescent="0.3">
      <c r="C889" s="65"/>
      <c r="D889" s="8"/>
      <c r="E889" s="8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3:27" ht="15.75" customHeight="1" x14ac:dyDescent="0.3">
      <c r="C890" s="65"/>
      <c r="D890" s="8"/>
      <c r="E890" s="8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3:27" ht="15.75" customHeight="1" x14ac:dyDescent="0.3">
      <c r="C891" s="65"/>
      <c r="D891" s="8"/>
      <c r="E891" s="8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3:27" ht="15.75" customHeight="1" x14ac:dyDescent="0.3">
      <c r="C892" s="65"/>
      <c r="D892" s="8"/>
      <c r="E892" s="8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3:27" ht="15.75" customHeight="1" x14ac:dyDescent="0.3">
      <c r="C893" s="65"/>
      <c r="D893" s="8"/>
      <c r="E893" s="8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3:27" ht="15.75" customHeight="1" x14ac:dyDescent="0.3">
      <c r="C894" s="65"/>
      <c r="D894" s="8"/>
      <c r="E894" s="8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3:27" ht="15.75" customHeight="1" x14ac:dyDescent="0.3">
      <c r="C895" s="65"/>
      <c r="D895" s="8"/>
      <c r="E895" s="8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3:27" ht="15.75" customHeight="1" x14ac:dyDescent="0.3">
      <c r="C896" s="65"/>
      <c r="D896" s="8"/>
      <c r="E896" s="8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3:27" ht="15.75" customHeight="1" x14ac:dyDescent="0.3">
      <c r="C897" s="65"/>
      <c r="D897" s="8"/>
      <c r="E897" s="8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3:27" ht="15.75" customHeight="1" x14ac:dyDescent="0.3">
      <c r="C898" s="65"/>
      <c r="D898" s="8"/>
      <c r="E898" s="8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3:27" ht="15.75" customHeight="1" x14ac:dyDescent="0.3">
      <c r="C899" s="65"/>
      <c r="D899" s="8"/>
      <c r="E899" s="8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3:27" ht="15.75" customHeight="1" x14ac:dyDescent="0.3">
      <c r="C900" s="65"/>
      <c r="D900" s="8"/>
      <c r="E900" s="8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3:27" ht="15.75" customHeight="1" x14ac:dyDescent="0.3">
      <c r="C901" s="65"/>
      <c r="D901" s="8"/>
      <c r="E901" s="8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3:27" ht="15.75" customHeight="1" x14ac:dyDescent="0.3">
      <c r="C902" s="65"/>
      <c r="D902" s="8"/>
      <c r="E902" s="8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3:27" ht="15.75" customHeight="1" x14ac:dyDescent="0.3">
      <c r="C903" s="65"/>
      <c r="D903" s="8"/>
      <c r="E903" s="8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3:27" ht="15.75" customHeight="1" x14ac:dyDescent="0.3">
      <c r="C904" s="65"/>
      <c r="D904" s="8"/>
      <c r="E904" s="8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3:27" ht="15.75" customHeight="1" x14ac:dyDescent="0.3">
      <c r="C905" s="65"/>
      <c r="D905" s="8"/>
      <c r="E905" s="8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3:27" ht="15.75" customHeight="1" x14ac:dyDescent="0.3">
      <c r="C906" s="65"/>
      <c r="D906" s="8"/>
      <c r="E906" s="8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3:27" ht="15.75" customHeight="1" x14ac:dyDescent="0.3">
      <c r="C907" s="65"/>
      <c r="D907" s="8"/>
      <c r="E907" s="8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3:27" ht="15.75" customHeight="1" x14ac:dyDescent="0.3">
      <c r="C908" s="65"/>
      <c r="D908" s="8"/>
      <c r="E908" s="8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3:27" ht="15.75" customHeight="1" x14ac:dyDescent="0.3">
      <c r="C909" s="65"/>
      <c r="D909" s="8"/>
      <c r="E909" s="8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3:27" ht="15.75" customHeight="1" x14ac:dyDescent="0.3">
      <c r="C910" s="65"/>
      <c r="D910" s="8"/>
      <c r="E910" s="8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3:27" ht="15.75" customHeight="1" x14ac:dyDescent="0.3">
      <c r="C911" s="65"/>
      <c r="D911" s="8"/>
      <c r="E911" s="8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3:27" ht="15.75" customHeight="1" x14ac:dyDescent="0.3">
      <c r="C912" s="65"/>
      <c r="D912" s="8"/>
      <c r="E912" s="8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3:27" ht="15.75" customHeight="1" x14ac:dyDescent="0.3">
      <c r="C913" s="65"/>
      <c r="D913" s="8"/>
      <c r="E913" s="8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3:27" ht="15.75" customHeight="1" x14ac:dyDescent="0.3">
      <c r="C914" s="65"/>
      <c r="D914" s="8"/>
      <c r="E914" s="8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3:27" ht="15.75" customHeight="1" x14ac:dyDescent="0.3">
      <c r="C915" s="65"/>
      <c r="D915" s="8"/>
      <c r="E915" s="8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3:27" ht="15.75" customHeight="1" x14ac:dyDescent="0.3">
      <c r="C916" s="65"/>
      <c r="D916" s="8"/>
      <c r="E916" s="8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3:27" ht="15.75" customHeight="1" x14ac:dyDescent="0.3">
      <c r="C917" s="65"/>
      <c r="D917" s="8"/>
      <c r="E917" s="8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3:27" ht="15.75" customHeight="1" x14ac:dyDescent="0.3">
      <c r="C918" s="65"/>
      <c r="D918" s="8"/>
      <c r="E918" s="8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3:27" ht="15.75" customHeight="1" x14ac:dyDescent="0.3">
      <c r="C919" s="65"/>
      <c r="D919" s="8"/>
      <c r="E919" s="8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3:27" ht="15.75" customHeight="1" x14ac:dyDescent="0.3">
      <c r="C920" s="65"/>
      <c r="D920" s="8"/>
      <c r="E920" s="8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3:27" ht="15.75" customHeight="1" x14ac:dyDescent="0.3">
      <c r="C921" s="65"/>
      <c r="D921" s="8"/>
      <c r="E921" s="8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3:27" ht="15.75" customHeight="1" x14ac:dyDescent="0.3">
      <c r="C922" s="65"/>
      <c r="D922" s="8"/>
      <c r="E922" s="8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3:27" ht="15.75" customHeight="1" x14ac:dyDescent="0.3">
      <c r="C923" s="65"/>
      <c r="D923" s="8"/>
      <c r="E923" s="8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3:27" ht="15.75" customHeight="1" x14ac:dyDescent="0.3">
      <c r="C924" s="65"/>
      <c r="D924" s="8"/>
      <c r="E924" s="8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3:27" ht="15.75" customHeight="1" x14ac:dyDescent="0.3">
      <c r="C925" s="65"/>
      <c r="D925" s="8"/>
      <c r="E925" s="8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3:27" ht="15.75" customHeight="1" x14ac:dyDescent="0.3">
      <c r="C926" s="65"/>
      <c r="D926" s="8"/>
      <c r="E926" s="8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3:27" ht="15.75" customHeight="1" x14ac:dyDescent="0.3">
      <c r="C927" s="65"/>
      <c r="D927" s="8"/>
      <c r="E927" s="8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3:27" ht="15.75" customHeight="1" x14ac:dyDescent="0.3">
      <c r="C928" s="65"/>
      <c r="D928" s="8"/>
      <c r="E928" s="8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3:27" ht="15.75" customHeight="1" x14ac:dyDescent="0.3">
      <c r="C929" s="65"/>
      <c r="D929" s="8"/>
      <c r="E929" s="8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3:27" ht="15.75" customHeight="1" x14ac:dyDescent="0.3">
      <c r="C930" s="65"/>
      <c r="D930" s="8"/>
      <c r="E930" s="8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3:27" ht="15.75" customHeight="1" x14ac:dyDescent="0.3">
      <c r="C931" s="65"/>
      <c r="D931" s="8"/>
      <c r="E931" s="8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3:27" ht="15.75" customHeight="1" x14ac:dyDescent="0.3">
      <c r="C932" s="65"/>
      <c r="D932" s="8"/>
      <c r="E932" s="8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3:27" ht="15.75" customHeight="1" x14ac:dyDescent="0.3">
      <c r="C933" s="65"/>
      <c r="D933" s="8"/>
      <c r="E933" s="8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3:27" ht="15.75" customHeight="1" x14ac:dyDescent="0.3">
      <c r="C934" s="65"/>
      <c r="D934" s="8"/>
      <c r="E934" s="8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3:27" ht="15.75" customHeight="1" x14ac:dyDescent="0.3">
      <c r="C935" s="65"/>
      <c r="D935" s="8"/>
      <c r="E935" s="8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3:27" ht="15.75" customHeight="1" x14ac:dyDescent="0.3">
      <c r="C936" s="65"/>
      <c r="D936" s="8"/>
      <c r="E936" s="8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3:27" ht="15.75" customHeight="1" x14ac:dyDescent="0.3">
      <c r="C937" s="65"/>
      <c r="D937" s="8"/>
      <c r="E937" s="8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3:27" ht="15.75" customHeight="1" x14ac:dyDescent="0.3">
      <c r="C938" s="65"/>
      <c r="D938" s="8"/>
      <c r="E938" s="8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3:27" ht="15.75" customHeight="1" x14ac:dyDescent="0.3">
      <c r="C939" s="65"/>
      <c r="D939" s="8"/>
      <c r="E939" s="8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3:27" ht="15.75" customHeight="1" x14ac:dyDescent="0.3">
      <c r="C940" s="65"/>
      <c r="D940" s="8"/>
      <c r="E940" s="8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3:27" ht="15.75" customHeight="1" x14ac:dyDescent="0.3">
      <c r="C941" s="65"/>
      <c r="D941" s="8"/>
      <c r="E941" s="8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3:27" ht="15.75" customHeight="1" x14ac:dyDescent="0.3">
      <c r="C942" s="65"/>
      <c r="D942" s="8"/>
      <c r="E942" s="8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3:27" ht="15.75" customHeight="1" x14ac:dyDescent="0.3">
      <c r="C943" s="65"/>
      <c r="D943" s="8"/>
      <c r="E943" s="8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3:27" ht="15.75" customHeight="1" x14ac:dyDescent="0.3">
      <c r="C944" s="65"/>
      <c r="D944" s="8"/>
      <c r="E944" s="8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3:27" ht="15.75" customHeight="1" x14ac:dyDescent="0.3">
      <c r="C945" s="65"/>
      <c r="D945" s="8"/>
      <c r="E945" s="8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3:27" ht="15.75" customHeight="1" x14ac:dyDescent="0.3">
      <c r="C946" s="65"/>
      <c r="D946" s="8"/>
      <c r="E946" s="8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3:27" ht="15.75" customHeight="1" x14ac:dyDescent="0.3">
      <c r="C947" s="65"/>
      <c r="D947" s="8"/>
      <c r="E947" s="8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3:27" ht="15.75" customHeight="1" x14ac:dyDescent="0.3">
      <c r="C948" s="65"/>
      <c r="D948" s="8"/>
      <c r="E948" s="8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3:27" ht="15.75" customHeight="1" x14ac:dyDescent="0.3">
      <c r="C949" s="65"/>
      <c r="D949" s="8"/>
      <c r="E949" s="8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3:27" ht="15.75" customHeight="1" x14ac:dyDescent="0.3">
      <c r="C950" s="65"/>
      <c r="D950" s="8"/>
      <c r="E950" s="8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3:27" ht="15.75" customHeight="1" x14ac:dyDescent="0.3">
      <c r="C951" s="65"/>
      <c r="D951" s="8"/>
      <c r="E951" s="8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3:27" ht="15.75" customHeight="1" x14ac:dyDescent="0.3">
      <c r="C952" s="65"/>
      <c r="D952" s="8"/>
      <c r="E952" s="8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3:27" ht="15.75" customHeight="1" x14ac:dyDescent="0.3">
      <c r="C953" s="65"/>
      <c r="D953" s="8"/>
      <c r="E953" s="8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3:27" ht="15.75" customHeight="1" x14ac:dyDescent="0.3">
      <c r="C954" s="65"/>
      <c r="D954" s="8"/>
      <c r="E954" s="8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3:27" ht="15.75" customHeight="1" x14ac:dyDescent="0.3">
      <c r="C955" s="65"/>
      <c r="D955" s="8"/>
      <c r="E955" s="8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3:27" ht="15.75" customHeight="1" x14ac:dyDescent="0.3">
      <c r="C956" s="65"/>
      <c r="D956" s="8"/>
      <c r="E956" s="8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3:27" ht="15.75" customHeight="1" x14ac:dyDescent="0.3">
      <c r="C957" s="65"/>
      <c r="D957" s="8"/>
      <c r="E957" s="8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3:27" ht="15.75" customHeight="1" x14ac:dyDescent="0.3">
      <c r="C958" s="65"/>
      <c r="D958" s="8"/>
      <c r="E958" s="8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3:27" ht="15.75" customHeight="1" x14ac:dyDescent="0.3">
      <c r="C959" s="65"/>
      <c r="D959" s="8"/>
      <c r="E959" s="8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3:27" ht="15.75" customHeight="1" x14ac:dyDescent="0.3">
      <c r="C960" s="65"/>
      <c r="D960" s="8"/>
      <c r="E960" s="8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3:27" ht="15.75" customHeight="1" x14ac:dyDescent="0.3">
      <c r="C961" s="65"/>
      <c r="D961" s="8"/>
      <c r="E961" s="8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3:27" ht="15.75" customHeight="1" x14ac:dyDescent="0.3">
      <c r="C962" s="65"/>
      <c r="D962" s="8"/>
      <c r="E962" s="8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3:27" ht="15.75" customHeight="1" x14ac:dyDescent="0.3">
      <c r="C963" s="65"/>
      <c r="D963" s="8"/>
      <c r="E963" s="8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3:27" ht="15.75" customHeight="1" x14ac:dyDescent="0.3">
      <c r="C964" s="65"/>
      <c r="D964" s="8"/>
      <c r="E964" s="8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3:27" ht="15.75" customHeight="1" x14ac:dyDescent="0.3">
      <c r="C965" s="65"/>
      <c r="D965" s="8"/>
      <c r="E965" s="8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3:27" ht="15.75" customHeight="1" x14ac:dyDescent="0.3">
      <c r="C966" s="65"/>
      <c r="D966" s="8"/>
      <c r="E966" s="8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3:27" ht="15.75" customHeight="1" x14ac:dyDescent="0.3">
      <c r="C967" s="65"/>
      <c r="D967" s="8"/>
      <c r="E967" s="8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3:27" ht="15.75" customHeight="1" x14ac:dyDescent="0.3">
      <c r="C968" s="65"/>
      <c r="D968" s="8"/>
      <c r="E968" s="8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3:27" ht="15.75" customHeight="1" x14ac:dyDescent="0.3">
      <c r="C969" s="65"/>
      <c r="D969" s="8"/>
      <c r="E969" s="8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3:27" ht="15.75" customHeight="1" x14ac:dyDescent="0.3">
      <c r="C970" s="65"/>
      <c r="D970" s="8"/>
      <c r="E970" s="8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3:27" ht="15.75" customHeight="1" x14ac:dyDescent="0.3">
      <c r="C971" s="65"/>
      <c r="D971" s="8"/>
      <c r="E971" s="8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3:27" ht="15.75" customHeight="1" x14ac:dyDescent="0.3">
      <c r="C972" s="65"/>
      <c r="D972" s="8"/>
      <c r="E972" s="8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3:27" ht="15.75" customHeight="1" x14ac:dyDescent="0.3">
      <c r="C973" s="65"/>
      <c r="D973" s="8"/>
      <c r="E973" s="8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3:27" ht="15.75" customHeight="1" x14ac:dyDescent="0.3">
      <c r="C974" s="65"/>
      <c r="D974" s="8"/>
      <c r="E974" s="8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3:27" ht="15.75" customHeight="1" x14ac:dyDescent="0.3">
      <c r="C975" s="65"/>
      <c r="D975" s="8"/>
      <c r="E975" s="8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3:27" ht="15.75" customHeight="1" x14ac:dyDescent="0.3">
      <c r="C976" s="65"/>
      <c r="D976" s="8"/>
      <c r="E976" s="8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3:27" ht="15.75" customHeight="1" x14ac:dyDescent="0.3">
      <c r="C977" s="65"/>
      <c r="D977" s="8"/>
      <c r="E977" s="8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3:27" ht="15.75" customHeight="1" x14ac:dyDescent="0.3">
      <c r="C978" s="65"/>
      <c r="D978" s="8"/>
      <c r="E978" s="8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3:27" ht="15.75" customHeight="1" x14ac:dyDescent="0.3">
      <c r="C979" s="65"/>
      <c r="D979" s="8"/>
      <c r="E979" s="8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3:27" ht="15.75" customHeight="1" x14ac:dyDescent="0.3">
      <c r="C980" s="65"/>
      <c r="D980" s="8"/>
      <c r="E980" s="8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3:27" ht="15.75" customHeight="1" x14ac:dyDescent="0.3">
      <c r="C981" s="65"/>
      <c r="D981" s="8"/>
      <c r="E981" s="8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3:27" ht="15.75" customHeight="1" x14ac:dyDescent="0.3">
      <c r="C982" s="65"/>
      <c r="D982" s="8"/>
      <c r="E982" s="8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3:27" ht="15.75" customHeight="1" x14ac:dyDescent="0.3">
      <c r="C983" s="65"/>
      <c r="D983" s="8"/>
      <c r="E983" s="8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3:27" ht="15.75" customHeight="1" x14ac:dyDescent="0.3">
      <c r="C984" s="65"/>
      <c r="D984" s="8"/>
      <c r="E984" s="8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3:27" ht="15.75" customHeight="1" x14ac:dyDescent="0.3">
      <c r="C985" s="65"/>
      <c r="D985" s="8"/>
      <c r="E985" s="8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3:27" ht="15.75" customHeight="1" x14ac:dyDescent="0.3">
      <c r="C986" s="65"/>
      <c r="D986" s="8"/>
      <c r="E986" s="8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3:27" ht="15.75" customHeight="1" x14ac:dyDescent="0.3">
      <c r="C987" s="65"/>
      <c r="D987" s="8"/>
      <c r="E987" s="8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3:27" ht="15.75" customHeight="1" x14ac:dyDescent="0.3">
      <c r="C988" s="65"/>
      <c r="D988" s="8"/>
      <c r="E988" s="8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3:27" ht="15.75" customHeight="1" x14ac:dyDescent="0.3">
      <c r="C989" s="65"/>
      <c r="D989" s="8"/>
      <c r="E989" s="8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3:27" ht="15.75" customHeight="1" x14ac:dyDescent="0.3">
      <c r="C990" s="65"/>
      <c r="D990" s="8"/>
      <c r="E990" s="8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3:27" ht="15.75" customHeight="1" x14ac:dyDescent="0.3">
      <c r="C991" s="65"/>
      <c r="D991" s="8"/>
      <c r="E991" s="8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3:27" ht="15.75" customHeight="1" x14ac:dyDescent="0.3">
      <c r="C992" s="65"/>
      <c r="D992" s="8"/>
      <c r="E992" s="8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3:27" ht="15.75" customHeight="1" x14ac:dyDescent="0.3">
      <c r="C993" s="65"/>
      <c r="D993" s="8"/>
      <c r="E993" s="8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3:27" ht="15.75" customHeight="1" x14ac:dyDescent="0.3">
      <c r="C994" s="65"/>
      <c r="D994" s="8"/>
      <c r="E994" s="8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3:27" ht="15.75" customHeight="1" x14ac:dyDescent="0.3">
      <c r="C995" s="65"/>
      <c r="D995" s="8"/>
      <c r="E995" s="8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3:27" ht="15.75" customHeight="1" x14ac:dyDescent="0.3">
      <c r="C996" s="65"/>
      <c r="D996" s="8"/>
      <c r="E996" s="8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3:27" ht="15.75" customHeight="1" x14ac:dyDescent="0.3">
      <c r="C997" s="65"/>
      <c r="D997" s="8"/>
      <c r="E997" s="8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3:27" ht="15.75" customHeight="1" x14ac:dyDescent="0.3">
      <c r="C998" s="65"/>
      <c r="D998" s="8"/>
      <c r="E998" s="8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3:27" ht="15.75" customHeight="1" x14ac:dyDescent="0.3">
      <c r="C999" s="65"/>
      <c r="D999" s="8"/>
      <c r="E999" s="8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3:27" ht="15.75" customHeight="1" x14ac:dyDescent="0.3">
      <c r="C1000" s="65"/>
      <c r="D1000" s="8"/>
      <c r="E1000" s="8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3:27" ht="15.75" customHeight="1" x14ac:dyDescent="0.3">
      <c r="C1001" s="65"/>
      <c r="D1001" s="8"/>
      <c r="E1001" s="8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3:27" ht="15.75" customHeight="1" x14ac:dyDescent="0.3">
      <c r="C1002" s="65"/>
      <c r="D1002" s="8"/>
      <c r="E1002" s="8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3:27" ht="15.75" customHeight="1" x14ac:dyDescent="0.3">
      <c r="C1003" s="65"/>
      <c r="D1003" s="8"/>
      <c r="E1003" s="8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3:27" ht="15.75" customHeight="1" x14ac:dyDescent="0.3">
      <c r="C1004" s="65"/>
      <c r="D1004" s="8"/>
      <c r="E1004" s="8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3:27" ht="15.75" customHeight="1" x14ac:dyDescent="0.3">
      <c r="C1005" s="65"/>
      <c r="D1005" s="8"/>
      <c r="E1005" s="8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3:27" ht="15.75" customHeight="1" x14ac:dyDescent="0.3">
      <c r="C1006" s="65"/>
      <c r="D1006" s="8"/>
      <c r="E1006" s="8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3:27" ht="15.75" customHeight="1" x14ac:dyDescent="0.3">
      <c r="C1007" s="65"/>
      <c r="D1007" s="8"/>
      <c r="E1007" s="8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3:27" ht="15.75" customHeight="1" x14ac:dyDescent="0.3">
      <c r="C1008" s="65"/>
      <c r="D1008" s="8"/>
      <c r="E1008" s="8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3:27" ht="15.75" customHeight="1" x14ac:dyDescent="0.3">
      <c r="C1009" s="65"/>
      <c r="D1009" s="8"/>
      <c r="E1009" s="8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3:27" ht="15.75" customHeight="1" x14ac:dyDescent="0.3">
      <c r="C1010" s="65"/>
      <c r="D1010" s="8"/>
      <c r="E1010" s="8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3:27" ht="15.75" customHeight="1" x14ac:dyDescent="0.3">
      <c r="C1011" s="65"/>
      <c r="D1011" s="8"/>
      <c r="E1011" s="8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3:27" ht="15.75" customHeight="1" x14ac:dyDescent="0.3">
      <c r="C1012" s="65"/>
      <c r="D1012" s="8"/>
      <c r="E1012" s="8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3:27" ht="15.75" customHeight="1" x14ac:dyDescent="0.3">
      <c r="C1013" s="65"/>
      <c r="D1013" s="8"/>
      <c r="E1013" s="8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3:27" ht="15.75" customHeight="1" x14ac:dyDescent="0.3">
      <c r="C1014" s="65"/>
      <c r="D1014" s="8"/>
      <c r="E1014" s="8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3:27" ht="15.75" customHeight="1" x14ac:dyDescent="0.3">
      <c r="C1015" s="65"/>
      <c r="D1015" s="8"/>
      <c r="E1015" s="8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3:27" ht="15.75" customHeight="1" x14ac:dyDescent="0.3">
      <c r="C1016" s="65"/>
      <c r="D1016" s="8"/>
      <c r="E1016" s="8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3:27" ht="15.75" customHeight="1" x14ac:dyDescent="0.3">
      <c r="C1017" s="65"/>
      <c r="D1017" s="8"/>
      <c r="E1017" s="8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3:27" ht="15.75" customHeight="1" x14ac:dyDescent="0.3">
      <c r="C1018" s="65"/>
      <c r="D1018" s="8"/>
      <c r="E1018" s="8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3:27" ht="15.75" customHeight="1" x14ac:dyDescent="0.3">
      <c r="C1019" s="65"/>
      <c r="D1019" s="8"/>
      <c r="E1019" s="8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3:27" ht="15.75" customHeight="1" x14ac:dyDescent="0.3">
      <c r="C1020" s="65"/>
      <c r="D1020" s="8"/>
      <c r="E1020" s="8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3:27" ht="15.75" customHeight="1" x14ac:dyDescent="0.3">
      <c r="C1021" s="65"/>
      <c r="D1021" s="8"/>
      <c r="E1021" s="8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3:27" ht="15.75" customHeight="1" x14ac:dyDescent="0.3">
      <c r="C1022" s="65"/>
      <c r="D1022" s="8"/>
      <c r="E1022" s="8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3:27" ht="15.75" customHeight="1" x14ac:dyDescent="0.3">
      <c r="C1023" s="65"/>
      <c r="D1023" s="8"/>
      <c r="E1023" s="8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3:27" ht="15.75" customHeight="1" x14ac:dyDescent="0.3">
      <c r="C1024" s="65"/>
      <c r="D1024" s="8"/>
      <c r="E1024" s="8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3:27" ht="15.75" customHeight="1" x14ac:dyDescent="0.3">
      <c r="C1025" s="65"/>
      <c r="D1025" s="8"/>
      <c r="E1025" s="8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3:27" ht="15.75" customHeight="1" x14ac:dyDescent="0.3">
      <c r="C1026" s="65"/>
      <c r="D1026" s="8"/>
      <c r="E1026" s="8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3:27" ht="15.75" customHeight="1" x14ac:dyDescent="0.3">
      <c r="C1027" s="65"/>
      <c r="D1027" s="8"/>
      <c r="E1027" s="8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3:27" ht="15.75" customHeight="1" x14ac:dyDescent="0.3">
      <c r="C1028" s="65"/>
      <c r="D1028" s="8"/>
      <c r="E1028" s="8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3:27" ht="15.75" customHeight="1" x14ac:dyDescent="0.3">
      <c r="C1029" s="65"/>
      <c r="D1029" s="8"/>
      <c r="E1029" s="8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3:27" ht="15.75" customHeight="1" x14ac:dyDescent="0.3">
      <c r="C1030" s="65"/>
      <c r="D1030" s="8"/>
      <c r="E1030" s="8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3:27" ht="15.75" customHeight="1" x14ac:dyDescent="0.3">
      <c r="C1031" s="65"/>
      <c r="D1031" s="8"/>
      <c r="E1031" s="8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3:27" ht="15.75" customHeight="1" x14ac:dyDescent="0.3">
      <c r="C1032" s="65"/>
      <c r="D1032" s="8"/>
      <c r="E1032" s="8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3:27" ht="15.75" customHeight="1" x14ac:dyDescent="0.3">
      <c r="C1033" s="65"/>
      <c r="D1033" s="8"/>
      <c r="E1033" s="8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3:27" ht="15.75" customHeight="1" x14ac:dyDescent="0.3">
      <c r="C1034" s="65"/>
      <c r="D1034" s="8"/>
      <c r="E1034" s="8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3:27" ht="15.75" customHeight="1" x14ac:dyDescent="0.3">
      <c r="C1035" s="65"/>
      <c r="D1035" s="8"/>
      <c r="E1035" s="8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3:27" ht="15.75" customHeight="1" x14ac:dyDescent="0.3">
      <c r="C1036" s="65"/>
      <c r="D1036" s="8"/>
      <c r="E1036" s="8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3:27" ht="15.75" customHeight="1" x14ac:dyDescent="0.3">
      <c r="C1037" s="65"/>
      <c r="D1037" s="8"/>
      <c r="E1037" s="8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3:27" ht="15.75" customHeight="1" x14ac:dyDescent="0.3">
      <c r="C1038" s="65"/>
      <c r="D1038" s="8"/>
      <c r="E1038" s="8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3:27" ht="15.75" customHeight="1" x14ac:dyDescent="0.3">
      <c r="C1039" s="65"/>
      <c r="D1039" s="8"/>
      <c r="E1039" s="8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3:27" ht="15.75" customHeight="1" x14ac:dyDescent="0.3">
      <c r="C1040" s="65"/>
      <c r="D1040" s="8"/>
      <c r="E1040" s="8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3:27" ht="15.75" customHeight="1" x14ac:dyDescent="0.3">
      <c r="C1041" s="65"/>
      <c r="D1041" s="8"/>
      <c r="E1041" s="8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3:27" ht="15.75" customHeight="1" x14ac:dyDescent="0.3">
      <c r="C1042" s="65"/>
      <c r="D1042" s="8"/>
      <c r="E1042" s="8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3:27" ht="15.75" customHeight="1" x14ac:dyDescent="0.3">
      <c r="C1043" s="65"/>
      <c r="D1043" s="8"/>
      <c r="E1043" s="8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3:27" ht="15.75" customHeight="1" x14ac:dyDescent="0.3">
      <c r="C1044" s="65"/>
      <c r="D1044" s="8"/>
      <c r="E1044" s="8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3:27" ht="15.75" customHeight="1" x14ac:dyDescent="0.3">
      <c r="C1045" s="65"/>
      <c r="D1045" s="8"/>
      <c r="E1045" s="8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3:27" ht="15.75" customHeight="1" x14ac:dyDescent="0.3">
      <c r="C1046" s="65"/>
      <c r="D1046" s="8"/>
      <c r="E1046" s="8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3:27" ht="15.75" customHeight="1" x14ac:dyDescent="0.3">
      <c r="C1047" s="65"/>
      <c r="D1047" s="8"/>
      <c r="E1047" s="8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3:27" ht="15.75" customHeight="1" x14ac:dyDescent="0.3">
      <c r="C1048" s="65"/>
      <c r="D1048" s="8"/>
      <c r="E1048" s="8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3:27" ht="15.75" customHeight="1" x14ac:dyDescent="0.3">
      <c r="C1049" s="65"/>
      <c r="D1049" s="8"/>
      <c r="E1049" s="8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3:27" ht="15.75" customHeight="1" x14ac:dyDescent="0.3">
      <c r="C1050" s="65"/>
      <c r="D1050" s="8"/>
      <c r="E1050" s="8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3:27" ht="15.75" customHeight="1" x14ac:dyDescent="0.3">
      <c r="C1051" s="65"/>
      <c r="D1051" s="8"/>
      <c r="E1051" s="8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3:27" ht="15.75" customHeight="1" x14ac:dyDescent="0.3">
      <c r="C1052" s="65"/>
      <c r="D1052" s="8"/>
      <c r="E1052" s="8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3:27" ht="15.75" customHeight="1" x14ac:dyDescent="0.3">
      <c r="C1053" s="65"/>
      <c r="D1053" s="8"/>
      <c r="E1053" s="8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3:27" ht="15.75" customHeight="1" x14ac:dyDescent="0.3">
      <c r="C1054" s="65"/>
      <c r="D1054" s="8"/>
      <c r="E1054" s="8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3:27" ht="15.75" customHeight="1" x14ac:dyDescent="0.3">
      <c r="C1055" s="65"/>
      <c r="D1055" s="8"/>
      <c r="E1055" s="8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3:27" ht="15.75" customHeight="1" x14ac:dyDescent="0.3">
      <c r="C1056" s="65"/>
      <c r="D1056" s="8"/>
      <c r="E1056" s="8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3:27" ht="15.75" customHeight="1" x14ac:dyDescent="0.3">
      <c r="C1057" s="65"/>
      <c r="D1057" s="8"/>
      <c r="E1057" s="8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3:27" ht="15.75" customHeight="1" x14ac:dyDescent="0.3">
      <c r="C1058" s="65"/>
      <c r="D1058" s="8"/>
      <c r="E1058" s="8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3:27" ht="15.75" customHeight="1" x14ac:dyDescent="0.3">
      <c r="C1059" s="65"/>
      <c r="D1059" s="8"/>
      <c r="E1059" s="8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3:27" ht="15.75" customHeight="1" x14ac:dyDescent="0.3">
      <c r="C1060" s="65"/>
      <c r="D1060" s="8"/>
      <c r="E1060" s="8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3:27" ht="15.75" customHeight="1" x14ac:dyDescent="0.3">
      <c r="C1061" s="65"/>
      <c r="D1061" s="8"/>
      <c r="E1061" s="8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3:27" ht="15.75" customHeight="1" x14ac:dyDescent="0.3">
      <c r="C1062" s="65"/>
      <c r="D1062" s="8"/>
      <c r="E1062" s="8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3:27" ht="15.75" customHeight="1" x14ac:dyDescent="0.3">
      <c r="C1063" s="65"/>
      <c r="D1063" s="8"/>
      <c r="E1063" s="8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3:27" ht="15.75" customHeight="1" x14ac:dyDescent="0.3">
      <c r="C1064" s="65"/>
      <c r="D1064" s="8"/>
      <c r="E1064" s="8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3:27" ht="15.75" customHeight="1" x14ac:dyDescent="0.3">
      <c r="C1065" s="65"/>
      <c r="D1065" s="8"/>
      <c r="E1065" s="8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3:27" ht="15.75" customHeight="1" x14ac:dyDescent="0.3">
      <c r="C1066" s="65"/>
      <c r="D1066" s="8"/>
      <c r="E1066" s="8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3:27" ht="15.75" customHeight="1" x14ac:dyDescent="0.3">
      <c r="C1067" s="65"/>
      <c r="D1067" s="8"/>
      <c r="E1067" s="8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3:27" ht="15.75" customHeight="1" x14ac:dyDescent="0.3">
      <c r="C1068" s="65"/>
      <c r="D1068" s="8"/>
      <c r="E1068" s="8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3:27" ht="15.75" customHeight="1" x14ac:dyDescent="0.3">
      <c r="C1069" s="65"/>
      <c r="D1069" s="8"/>
      <c r="E1069" s="8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3:27" ht="15.75" customHeight="1" x14ac:dyDescent="0.3">
      <c r="C1070" s="65"/>
      <c r="D1070" s="8"/>
      <c r="E1070" s="8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3:27" ht="15.75" customHeight="1" x14ac:dyDescent="0.3">
      <c r="C1071" s="65"/>
      <c r="D1071" s="8"/>
      <c r="E1071" s="8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3:27" ht="15.75" customHeight="1" x14ac:dyDescent="0.3">
      <c r="C1072" s="65"/>
      <c r="D1072" s="8"/>
      <c r="E1072" s="8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3:27" ht="15.75" customHeight="1" x14ac:dyDescent="0.3">
      <c r="C1073" s="65"/>
      <c r="D1073" s="8"/>
      <c r="E1073" s="8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3:27" ht="15.75" customHeight="1" x14ac:dyDescent="0.3">
      <c r="C1074" s="65"/>
      <c r="D1074" s="8"/>
      <c r="E1074" s="8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3:27" ht="15.75" customHeight="1" x14ac:dyDescent="0.3">
      <c r="C1075" s="65"/>
      <c r="D1075" s="8"/>
      <c r="E1075" s="8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3:27" ht="15.75" customHeight="1" x14ac:dyDescent="0.3">
      <c r="C1076" s="65"/>
      <c r="D1076" s="8"/>
      <c r="E1076" s="8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3:27" ht="15.75" customHeight="1" x14ac:dyDescent="0.3">
      <c r="C1077" s="65"/>
      <c r="D1077" s="8"/>
      <c r="E1077" s="8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3:27" ht="15.75" customHeight="1" x14ac:dyDescent="0.3">
      <c r="C1078" s="65"/>
      <c r="D1078" s="8"/>
      <c r="E1078" s="8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3:27" ht="15.75" customHeight="1" x14ac:dyDescent="0.3">
      <c r="C1079" s="65"/>
      <c r="D1079" s="8"/>
      <c r="E1079" s="8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3:27" ht="15.75" customHeight="1" x14ac:dyDescent="0.3">
      <c r="C1080" s="65"/>
      <c r="D1080" s="8"/>
      <c r="E1080" s="8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3:27" ht="15.75" customHeight="1" x14ac:dyDescent="0.3">
      <c r="C1081" s="65"/>
      <c r="D1081" s="8"/>
      <c r="E1081" s="8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3:27" ht="15.75" customHeight="1" x14ac:dyDescent="0.3">
      <c r="C1082" s="65"/>
      <c r="D1082" s="8"/>
      <c r="E1082" s="8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3:27" ht="15.75" customHeight="1" x14ac:dyDescent="0.3">
      <c r="C1083" s="65"/>
      <c r="D1083" s="8"/>
      <c r="E1083" s="8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3:27" ht="15.75" customHeight="1" x14ac:dyDescent="0.3">
      <c r="C1084" s="65"/>
      <c r="D1084" s="8"/>
      <c r="E1084" s="8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3:27" ht="15.75" customHeight="1" x14ac:dyDescent="0.3">
      <c r="C1085" s="65"/>
      <c r="D1085" s="8"/>
      <c r="E1085" s="8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3:27" ht="15.75" customHeight="1" x14ac:dyDescent="0.3">
      <c r="C1086" s="65"/>
      <c r="D1086" s="8"/>
      <c r="E1086" s="8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3:27" ht="15.75" customHeight="1" x14ac:dyDescent="0.3">
      <c r="C1087" s="65"/>
      <c r="D1087" s="8"/>
      <c r="E1087" s="8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3:27" ht="15.75" customHeight="1" x14ac:dyDescent="0.3">
      <c r="C1088" s="65"/>
      <c r="D1088" s="8"/>
      <c r="E1088" s="8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3:27" ht="15.75" customHeight="1" x14ac:dyDescent="0.3">
      <c r="C1089" s="65"/>
      <c r="D1089" s="8"/>
      <c r="E1089" s="8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3:27" ht="15.75" customHeight="1" x14ac:dyDescent="0.3">
      <c r="C1090" s="65"/>
      <c r="D1090" s="8"/>
      <c r="E1090" s="8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3:27" ht="15.75" customHeight="1" x14ac:dyDescent="0.3">
      <c r="C1091" s="65"/>
      <c r="D1091" s="8"/>
      <c r="E1091" s="8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3:27" ht="15.75" customHeight="1" x14ac:dyDescent="0.3">
      <c r="C1092" s="65"/>
      <c r="D1092" s="8"/>
      <c r="E1092" s="8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</sheetData>
  <sheetProtection algorithmName="SHA-512" hashValue="ZTetpnEoEBNXDAhHnDHg4z0lYOJBkeF8xg/BijnwzcjWZQ14GFimYQmJHa1ajX57diqKFvGzRQkUIYCWmIL/uA==" saltValue="BTv7Ri0czh48M7mRaaIu1g==" spinCount="100000" sheet="1" formatCells="0" formatColumns="0" formatRows="0" insertColumns="0" insertRows="0" insertHyperlinks="0" deleteColumns="0" deleteRows="0" sort="0" autoFilter="0" pivotTables="0"/>
  <protectedRanges>
    <protectedRange sqref="L2" name="T"/>
    <protectedRange sqref="G3:G159" name="Qty"/>
  </protectedRanges>
  <autoFilter ref="A2:H159" xr:uid="{00000000-0001-0000-0000-000000000000}"/>
  <mergeCells count="3">
    <mergeCell ref="F1:J1"/>
    <mergeCell ref="A1:D1"/>
    <mergeCell ref="M1:M2"/>
  </mergeCells>
  <conditionalFormatting sqref="B97:B102">
    <cfRule type="containsBlanks" dxfId="2" priority="3">
      <formula>LEN(TRIM(B97))=0</formula>
    </cfRule>
  </conditionalFormatting>
  <conditionalFormatting sqref="Q1">
    <cfRule type="expression" dxfId="1" priority="1">
      <formula>"&gt;0"</formula>
    </cfRule>
  </conditionalFormatting>
  <conditionalFormatting sqref="U1">
    <cfRule type="expression" dxfId="0" priority="4">
      <formula>"&gt;0"</formula>
    </cfRule>
  </conditionalFormatting>
  <dataValidations count="1">
    <dataValidation type="custom" allowBlank="1" showInputMessage="1" showErrorMessage="1" error="Order quantity must be a multiple of Sales per Unit Case (See Column C)." prompt="Order quantity must be a multiple of Sales per Unit Case (See Column C)." sqref="G3:G159" xr:uid="{EF4DD945-0089-4DA8-A0E8-17254DF705C5}">
      <formula1>MOD(G3,D3)=0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INSANE WHOLESALE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Quintela</dc:creator>
  <cp:lastModifiedBy>Денис Хомик</cp:lastModifiedBy>
  <dcterms:created xsi:type="dcterms:W3CDTF">2024-07-15T23:10:12Z</dcterms:created>
  <dcterms:modified xsi:type="dcterms:W3CDTF">2026-03-30T07:30:49Z</dcterms:modified>
</cp:coreProperties>
</file>