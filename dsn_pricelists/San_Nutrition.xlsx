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ЦяКнига"/>
  <mc:AlternateContent xmlns:mc="http://schemas.openxmlformats.org/markup-compatibility/2006">
    <mc:Choice Requires="x15">
      <x15ac:absPath xmlns:x15ac="http://schemas.microsoft.com/office/spreadsheetml/2010/11/ac" url="C:\Users\Acer\Desktop\Prices\SAN\Продаж\"/>
    </mc:Choice>
  </mc:AlternateContent>
  <xr:revisionPtr revIDLastSave="0" documentId="13_ncr:1_{95C6B4D0-1F32-4B2C-8DEF-72F796CCB4AE}" xr6:coauthVersionLast="47" xr6:coauthVersionMax="47" xr10:uidLastSave="{00000000-0000-0000-0000-000000000000}"/>
  <bookViews>
    <workbookView xWindow="-108" yWindow="-108" windowWidth="23256" windowHeight="12456" tabRatio="446" xr2:uid="{00000000-000D-0000-FFFF-FFFF00000000}"/>
  </bookViews>
  <sheets>
    <sheet name="DSN GROUP (SAN)" sheetId="3" r:id="rId1"/>
    <sheet name="DOMESTIC" sheetId="2" state="hidden" r:id="rId2"/>
  </sheets>
  <definedNames>
    <definedName name="_xlnm._FilterDatabase" localSheetId="0" hidden="1">'DSN GROUP (SAN)'!$A$2:$I$112</definedName>
    <definedName name="_xlnm.Print_Titles" localSheetId="1">DOMESTIC!$1:$3</definedName>
    <definedName name="_xlnm.Print_Area" localSheetId="1">DOMESTIC!$A$1:$I$86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3" l="1"/>
  <c r="J111" i="3" l="1"/>
  <c r="J109" i="3"/>
  <c r="J108" i="3"/>
  <c r="J107" i="3"/>
  <c r="J106" i="3"/>
  <c r="J104" i="3"/>
  <c r="J103" i="3"/>
  <c r="J102" i="3"/>
  <c r="J100" i="3"/>
  <c r="J99" i="3"/>
  <c r="J97" i="3"/>
  <c r="J96" i="3"/>
  <c r="J95" i="3"/>
  <c r="J94" i="3"/>
  <c r="J93" i="3"/>
  <c r="J92" i="3"/>
  <c r="J91" i="3"/>
  <c r="J90" i="3"/>
  <c r="J88" i="3"/>
  <c r="J86" i="3"/>
  <c r="J85" i="3"/>
  <c r="J83" i="3"/>
  <c r="J82" i="3"/>
  <c r="J80" i="3"/>
  <c r="J78" i="3"/>
  <c r="J76" i="3"/>
  <c r="J74" i="3"/>
  <c r="J72" i="3"/>
  <c r="J70" i="3"/>
  <c r="J69" i="3"/>
  <c r="J67" i="3"/>
  <c r="J65" i="3"/>
  <c r="J63" i="3"/>
  <c r="J61" i="3"/>
  <c r="J60" i="3"/>
  <c r="J58" i="3"/>
  <c r="J56" i="3"/>
  <c r="J55" i="3"/>
  <c r="J54" i="3"/>
  <c r="J53" i="3"/>
  <c r="J51" i="3"/>
  <c r="J50" i="3"/>
  <c r="J49" i="3"/>
  <c r="J48" i="3"/>
  <c r="J47" i="3"/>
  <c r="J46" i="3"/>
  <c r="J45" i="3"/>
  <c r="J44" i="3"/>
  <c r="J43" i="3"/>
  <c r="J41" i="3"/>
  <c r="J40" i="3"/>
  <c r="J39" i="3"/>
  <c r="J37" i="3"/>
  <c r="J36" i="3"/>
  <c r="J34" i="3"/>
  <c r="J33" i="3"/>
  <c r="J31" i="3"/>
  <c r="J29" i="3"/>
  <c r="J28" i="3"/>
  <c r="J27" i="3"/>
  <c r="J25" i="3"/>
  <c r="J24" i="3"/>
  <c r="J23" i="3"/>
  <c r="J21" i="3"/>
  <c r="J19" i="3"/>
  <c r="J18" i="3"/>
  <c r="J17" i="3"/>
  <c r="J16" i="3"/>
  <c r="J15" i="3"/>
  <c r="J14" i="3"/>
  <c r="J12" i="3"/>
  <c r="J10" i="3"/>
  <c r="J8" i="3"/>
  <c r="J7" i="3"/>
  <c r="J6" i="3"/>
  <c r="J4" i="3"/>
  <c r="I5" i="2"/>
  <c r="I6" i="2"/>
  <c r="I8" i="2"/>
  <c r="I9" i="2"/>
  <c r="I10" i="2"/>
  <c r="I12" i="2"/>
  <c r="I14" i="2"/>
  <c r="I15" i="2"/>
  <c r="I17" i="2"/>
  <c r="I18" i="2"/>
  <c r="I20" i="2"/>
  <c r="I21" i="2"/>
  <c r="I22" i="2"/>
  <c r="I23" i="2"/>
  <c r="I24" i="2"/>
  <c r="I25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1" i="2"/>
  <c r="I42" i="2"/>
  <c r="I43" i="2"/>
  <c r="I44" i="2"/>
  <c r="I46" i="2"/>
  <c r="I47" i="2"/>
  <c r="I48" i="2"/>
  <c r="I49" i="2"/>
  <c r="I50" i="2"/>
  <c r="I51" i="2"/>
  <c r="I53" i="2"/>
  <c r="I55" i="2"/>
  <c r="I56" i="2"/>
  <c r="I58" i="2"/>
  <c r="I60" i="2"/>
  <c r="I61" i="2"/>
  <c r="I63" i="2"/>
  <c r="I65" i="2"/>
  <c r="I66" i="2"/>
  <c r="I68" i="2"/>
  <c r="I70" i="2"/>
  <c r="I72" i="2"/>
  <c r="I74" i="2"/>
  <c r="I76" i="2"/>
  <c r="I77" i="2"/>
  <c r="I78" i="2"/>
  <c r="K2" i="3" l="1"/>
  <c r="I80" i="2"/>
  <c r="I82" i="2" s="1"/>
  <c r="I83" i="2" s="1"/>
</calcChain>
</file>

<file path=xl/sharedStrings.xml><?xml version="1.0" encoding="utf-8"?>
<sst xmlns="http://schemas.openxmlformats.org/spreadsheetml/2006/main" count="685" uniqueCount="392">
  <si>
    <t xml:space="preserve"> Product</t>
  </si>
  <si>
    <t>Servings Per / Contents</t>
  </si>
  <si>
    <t>Ship Weight
(Per Case)</t>
  </si>
  <si>
    <t>Units
(Per Case)</t>
  </si>
  <si>
    <t>Flavors</t>
  </si>
  <si>
    <t>MSRP</t>
  </si>
  <si>
    <t>Wholesale</t>
  </si>
  <si>
    <t>Quantity
(Per Case)</t>
  </si>
  <si>
    <t>Price</t>
  </si>
  <si>
    <t>SKIN / HAIR &amp; NAIL SUPPORT SUPPLEMENTS</t>
  </si>
  <si>
    <t>Collagen Types 1 &amp; 3 Powder</t>
  </si>
  <si>
    <t>30 servings / 201 grams</t>
  </si>
  <si>
    <t>8 lbs</t>
  </si>
  <si>
    <t>N/A</t>
  </si>
  <si>
    <t>Collagen Types 1 &amp; 3 Tablets</t>
  </si>
  <si>
    <t xml:space="preserve">30 servings / 90 tablets  </t>
  </si>
  <si>
    <t>5 lbs</t>
  </si>
  <si>
    <t xml:space="preserve">Collagen Types 1 &amp; 3 Tablets </t>
  </si>
  <si>
    <t>60 servings / 180 tablets</t>
  </si>
  <si>
    <t>10 lbs</t>
  </si>
  <si>
    <t>MSM</t>
  </si>
  <si>
    <t>120 servings / 120 caps</t>
  </si>
  <si>
    <t>2 lbs</t>
  </si>
  <si>
    <t>4 lbs</t>
  </si>
  <si>
    <t>GREEN FOODS - SUPERFOODS - VEGAN FRIENDLY</t>
  </si>
  <si>
    <t>Green Supreme Fusion</t>
  </si>
  <si>
    <t>30 servings / 316.5 grams</t>
  </si>
  <si>
    <t>11 lbs</t>
  </si>
  <si>
    <t>PLANT BASED PROTEINS</t>
  </si>
  <si>
    <t>Rawfusion</t>
  </si>
  <si>
    <t>17 lbs</t>
  </si>
  <si>
    <t>Vanilla Bean</t>
  </si>
  <si>
    <t>Natural Chocolate</t>
  </si>
  <si>
    <t>Peanut Chocolate Fudge</t>
  </si>
  <si>
    <t>Banana Nut</t>
  </si>
  <si>
    <t>32 lbs</t>
  </si>
  <si>
    <t>30 servings / 904 grams</t>
  </si>
  <si>
    <t>30 servings / 917 grams</t>
  </si>
  <si>
    <t>30 servings / 933 grams</t>
  </si>
  <si>
    <t>60 servings / 1854 grams</t>
  </si>
  <si>
    <t>36 lbs</t>
  </si>
  <si>
    <t>60 servings / 1862 grams</t>
  </si>
  <si>
    <t>60 servings / 1888 grams</t>
  </si>
  <si>
    <t>DIGESTIVE HEALTH &amp; IMMUNITY</t>
  </si>
  <si>
    <t>Cultivate</t>
  </si>
  <si>
    <t>32 servings / 96 caps</t>
  </si>
  <si>
    <t>3 lbs</t>
  </si>
  <si>
    <t>BONE AND JOINT SUPPORT</t>
  </si>
  <si>
    <t>Glucosamine &amp; Chondroitin with MSM</t>
  </si>
  <si>
    <t>30 servings / 90 tablets</t>
  </si>
  <si>
    <t>6 lbs</t>
  </si>
  <si>
    <t>Calcium - Magnesium - Zinc + D3</t>
  </si>
  <si>
    <t>FREE RADICAL SCAVENGER · HEART AND LIVER SUPPORT</t>
  </si>
  <si>
    <t>Liver Support Formula</t>
  </si>
  <si>
    <t>100 servings / 100 caps</t>
  </si>
  <si>
    <t>CoQ10</t>
  </si>
  <si>
    <t>60 servings / 60 caps</t>
  </si>
  <si>
    <t>PRE-WORKOUT - ENDURANCE</t>
  </si>
  <si>
    <t>Launch 4350 Reloaded</t>
  </si>
  <si>
    <t>45 servings / 278 grams</t>
  </si>
  <si>
    <t>9 lbs</t>
  </si>
  <si>
    <t>Watermelon</t>
  </si>
  <si>
    <t>NITRIC OXIDE / PREWORKOUT</t>
  </si>
  <si>
    <t>AAKG</t>
  </si>
  <si>
    <t>120 servings / 120 caplets</t>
  </si>
  <si>
    <t>Arginine Supreme</t>
  </si>
  <si>
    <t>100 servings / 100 caplets</t>
  </si>
  <si>
    <t>POST WORKOUT - COGNITIVE ENHANCEMENT</t>
  </si>
  <si>
    <t>NAG (N-Acetyl-L-Glutamine)</t>
  </si>
  <si>
    <t>40 servings / 246 grams</t>
  </si>
  <si>
    <t>Fruit Tart</t>
  </si>
  <si>
    <t>GLUTAMINE - POST WORKOUT</t>
  </si>
  <si>
    <t>Performance Glutamine</t>
  </si>
  <si>
    <t>60 servings / 300 grams</t>
  </si>
  <si>
    <t>120 servings / 600 grams</t>
  </si>
  <si>
    <t>20 lbs</t>
  </si>
  <si>
    <t>39 lbs</t>
  </si>
  <si>
    <t>L-Glutamine 2000</t>
  </si>
  <si>
    <t>50 servings / 100 caps</t>
  </si>
  <si>
    <t>POST WORKOUT - RECOVERY - CARBOHYDRATE</t>
  </si>
  <si>
    <t>35 servings / 875 grams</t>
  </si>
  <si>
    <t>28 lbs</t>
  </si>
  <si>
    <t>Milk Chocolate Delight</t>
  </si>
  <si>
    <t>30 servings / 903 grams</t>
  </si>
  <si>
    <t>30 servings / 897 grams</t>
  </si>
  <si>
    <t>Cookies &amp; Cream</t>
  </si>
  <si>
    <t>WHEY CONCENTRATE / WHEY ISOLATE MATRIX</t>
  </si>
  <si>
    <t>100% Pure Titanium Whey 5lb</t>
  </si>
  <si>
    <t>75 servings / 2240 grams</t>
  </si>
  <si>
    <t>Vanilla Butterscotch</t>
  </si>
  <si>
    <t>75 servings / 2258 grams</t>
  </si>
  <si>
    <t>Chocolate Rocky Road</t>
  </si>
  <si>
    <t>75 servings / 2272 grams</t>
  </si>
  <si>
    <t>Chocolate Graham Cracker</t>
  </si>
  <si>
    <t>75 servings / 2355 grams</t>
  </si>
  <si>
    <t>Cappuccino Cream</t>
  </si>
  <si>
    <t>75 servings / 2310 grams</t>
  </si>
  <si>
    <t>75 servings / 2273 grams</t>
  </si>
  <si>
    <t>Strawberry</t>
  </si>
  <si>
    <t>100% Pure Titanium Whey 2lb</t>
  </si>
  <si>
    <t>30 servings / 909 grams</t>
  </si>
  <si>
    <t>TIME DISPERSED PROTEIN MATRIX</t>
  </si>
  <si>
    <t>Casein Fusion 4.4</t>
  </si>
  <si>
    <t>54 servings / 2016 grams</t>
  </si>
  <si>
    <t>54 servings / 1982 grams</t>
  </si>
  <si>
    <t>Vanilla Pudding</t>
  </si>
  <si>
    <t>Casein Fusion 2.2</t>
  </si>
  <si>
    <t>27 servings / 1008 grams</t>
  </si>
  <si>
    <t>34 lbs</t>
  </si>
  <si>
    <t>27 servings / 991 grams</t>
  </si>
  <si>
    <t>22 lbs</t>
  </si>
  <si>
    <t>DHEA  -  DEHYDROEPIANDROSTERONE</t>
  </si>
  <si>
    <t>90 servings / 90 caps</t>
  </si>
  <si>
    <t>DIET &amp; ENERGY</t>
  </si>
  <si>
    <t>30 servings / 90 caps</t>
  </si>
  <si>
    <t>Caffeine</t>
  </si>
  <si>
    <t>DIET &amp; FAMILY PLANNING</t>
  </si>
  <si>
    <t>Yohimbine</t>
  </si>
  <si>
    <t>SLEEP AID</t>
  </si>
  <si>
    <t>Melatonin</t>
  </si>
  <si>
    <t>BODY SCULPTING LOTION</t>
  </si>
  <si>
    <t>6 fl oz.</t>
  </si>
  <si>
    <t>THYROIDAL ENHANCER - DIET</t>
  </si>
  <si>
    <t>T3</t>
  </si>
  <si>
    <t>180 servings / 180 caps</t>
  </si>
  <si>
    <t>COGNITIVE SUPPORT - ANTIOXIDANT - FAT BURNER</t>
  </si>
  <si>
    <t>ALCAR 750 - Caplets - (Acetyl-L-Carnitine)</t>
  </si>
  <si>
    <t>ANTIOXIDANT - ANTI-INFLAMMATORY</t>
  </si>
  <si>
    <t>Supreme Curcumin C3</t>
  </si>
  <si>
    <t>TESTOSTERONE SUPPORT - AROMATASE INHIBITION - ESTROGEN CONTROL</t>
  </si>
  <si>
    <t xml:space="preserve"> Free-T</t>
  </si>
  <si>
    <t>30 servings / 120 caplets</t>
  </si>
  <si>
    <t>7 lbs</t>
  </si>
  <si>
    <t>INSULIN MIMICKER - GLUCOSE DISPOSAL AGENT</t>
  </si>
  <si>
    <t xml:space="preserve">NA-R-ALA (R Lipoic Acid) </t>
  </si>
  <si>
    <t>ESSENTIAL FATTY ACIDS - OMEGA 3,6,9's</t>
  </si>
  <si>
    <t>Premium Fish Fats Gold</t>
  </si>
  <si>
    <t>60 servings / 120 soft gels</t>
  </si>
  <si>
    <t>FAT LOSS - ESSENTIAL FATTY ACIDS</t>
  </si>
  <si>
    <t>Pure CLA 1250</t>
  </si>
  <si>
    <t>90 servings / 90 soft gels</t>
  </si>
  <si>
    <t>180 servings / 180 soft gels</t>
  </si>
  <si>
    <t>NON-STIMULANT FAT LOSS - ANTIOXIDANT</t>
  </si>
  <si>
    <t>L-Carnitine Power Capsule</t>
  </si>
  <si>
    <t>ESTROGEN ELIMINATOR - POST-CYCLE RECOVERY (PCT) - TESTOSTERONE BOOSTER</t>
  </si>
  <si>
    <t>Estrodex</t>
  </si>
  <si>
    <t>POST WORKOUT BRANCH CHAIN AMINO ACIDS</t>
  </si>
  <si>
    <t>BCAA-Pro Reloaded 456g</t>
  </si>
  <si>
    <t>40 servings / 456 grams</t>
  </si>
  <si>
    <t>Blue Raspberry</t>
  </si>
  <si>
    <t>BCAA-Pro Reloaded 458g</t>
  </si>
  <si>
    <t>Strawberry Kiwi</t>
  </si>
  <si>
    <t>BCAA-Pro - 5000 690g</t>
  </si>
  <si>
    <t>100 servings / 690 grams</t>
  </si>
  <si>
    <t>23 lbs</t>
  </si>
  <si>
    <t xml:space="preserve">Fruit Punch </t>
  </si>
  <si>
    <t>BCAA-Pro - 5000 345g</t>
  </si>
  <si>
    <t>50 servings / 345 grams</t>
  </si>
  <si>
    <t>12 lbs</t>
  </si>
  <si>
    <t>Fruit Punch</t>
  </si>
  <si>
    <t>BCAA-Pro 5000 335g</t>
  </si>
  <si>
    <t>50 servings / 335 grams</t>
  </si>
  <si>
    <t>AMINO / BCAA ENERGY / FASTED CARDIO</t>
  </si>
  <si>
    <t>BCAA Boosted</t>
  </si>
  <si>
    <t>10 servings / 104.4 grams</t>
  </si>
  <si>
    <t>Furious Fruit Punch</t>
  </si>
  <si>
    <t>40 servings / 417.6 grams</t>
  </si>
  <si>
    <t>14 lbs</t>
  </si>
  <si>
    <t>NON-HORMONAL ANABOLIC - PHYTONUTRIENTS</t>
  </si>
  <si>
    <t>Testo Hardcore</t>
  </si>
  <si>
    <t>Tribuvar 1000</t>
  </si>
  <si>
    <t>90 servings / 90 tablets</t>
  </si>
  <si>
    <t>180 servings / 180 tablets</t>
  </si>
  <si>
    <t>MICRONIZED CREATINE MONOHYDRATE</t>
  </si>
  <si>
    <t>PH-Modified Creatine</t>
  </si>
  <si>
    <t>Performance Creatine</t>
  </si>
  <si>
    <t>NIGHT TIME RECOVERY - ZINC/MAGNESIUM SUPPLEMENTS</t>
  </si>
  <si>
    <t>Zinc Magnesium Aspartate</t>
  </si>
  <si>
    <t>Total:</t>
  </si>
  <si>
    <t>Discount %:</t>
  </si>
  <si>
    <t>Discount Deduction:</t>
  </si>
  <si>
    <t>Total After Discount:</t>
  </si>
  <si>
    <t>PRICES SUBJECT TO CHANGE WITHOUT NOTICE</t>
  </si>
  <si>
    <t>WEB SITE: http://www.sann.net</t>
  </si>
  <si>
    <t>DOMESTIC Order Form 2010</t>
  </si>
  <si>
    <t>Product</t>
  </si>
  <si>
    <t>Servings Per/Contents</t>
  </si>
  <si>
    <t>ALL-IN-ONE WORKOUT FORMULA</t>
  </si>
  <si>
    <t>V-12 Magnum</t>
  </si>
  <si>
    <t>50/25 servings/ 1191 grams</t>
  </si>
  <si>
    <t>Tropical Blast</t>
  </si>
  <si>
    <t>Orange Creamsicle</t>
  </si>
  <si>
    <t>PRE-WORKOUT/ENDURANCE</t>
  </si>
  <si>
    <t>V-12 HP844</t>
  </si>
  <si>
    <t>40 servings / 1064 grams</t>
  </si>
  <si>
    <t>Frost Orange Blast</t>
  </si>
  <si>
    <t>Fierce</t>
  </si>
  <si>
    <t>50 servings/850 grams</t>
  </si>
  <si>
    <t>Tangy Orange</t>
  </si>
  <si>
    <t>Wild Cherry</t>
  </si>
  <si>
    <t>CREATINE-ETHYL-ESTER - ENDURANCE</t>
  </si>
  <si>
    <t>CM2 Nitrate</t>
  </si>
  <si>
    <t>40 servings / 240 caps</t>
  </si>
  <si>
    <t>100 servings / 615 grams</t>
  </si>
  <si>
    <t>Element 5.5</t>
  </si>
  <si>
    <t>100 servings/2500 grams</t>
  </si>
  <si>
    <t>Element 2lb</t>
  </si>
  <si>
    <t>40 lbs</t>
  </si>
  <si>
    <t>POST WORKOUT - RECOVERY - MASSIVE WEIGHT GAINER</t>
  </si>
  <si>
    <r>
      <t>NEW!</t>
    </r>
    <r>
      <rPr>
        <sz val="14"/>
        <rFont val="Arial"/>
        <family val="2"/>
      </rPr>
      <t xml:space="preserve"> MyoJuiced</t>
    </r>
  </si>
  <si>
    <t>20 servings/2311 grams</t>
  </si>
  <si>
    <t>Chocolate Delight</t>
  </si>
  <si>
    <r>
      <t>NEW!</t>
    </r>
    <r>
      <rPr>
        <sz val="14"/>
        <color indexed="8"/>
        <rFont val="Arial"/>
        <family val="2"/>
      </rPr>
      <t xml:space="preserve"> MyoJuiced</t>
    </r>
  </si>
  <si>
    <t>Vanilla Malt</t>
  </si>
  <si>
    <r>
      <t>NEW!</t>
    </r>
    <r>
      <rPr>
        <sz val="14"/>
        <rFont val="Arial"/>
        <family val="2"/>
      </rPr>
      <t xml:space="preserve"> MyoJuiced 10lb</t>
    </r>
  </si>
  <si>
    <t>40 servings/4622 grams</t>
  </si>
  <si>
    <t>Myodrive</t>
  </si>
  <si>
    <t>20 servings / 2414 grams</t>
  </si>
  <si>
    <t>Chocolate Cake</t>
  </si>
  <si>
    <t>Caribbean Berry</t>
  </si>
  <si>
    <t>POST WORKOUT- PROTEIN</t>
  </si>
  <si>
    <r>
      <t>NEW!</t>
    </r>
    <r>
      <rPr>
        <sz val="14"/>
        <rFont val="Arial"/>
        <family val="2"/>
      </rPr>
      <t xml:space="preserve">  Myotein</t>
    </r>
  </si>
  <si>
    <t>30 servings/1205 grams</t>
  </si>
  <si>
    <t>Vanilla Cookie&amp;Cream</t>
  </si>
  <si>
    <t>Chocolate</t>
  </si>
  <si>
    <t>Creamy Berry</t>
  </si>
  <si>
    <r>
      <t>NEW!</t>
    </r>
    <r>
      <rPr>
        <sz val="14"/>
        <rFont val="Arial"/>
        <family val="2"/>
      </rPr>
      <t xml:space="preserve">  Myotein 5lb</t>
    </r>
  </si>
  <si>
    <t>57 servings/2283 grams</t>
  </si>
  <si>
    <t>37 lbs</t>
  </si>
  <si>
    <t>Vanilla Cookies &amp; Cream</t>
  </si>
  <si>
    <t>Rich Chocolate Delight</t>
  </si>
  <si>
    <t>100% Pure Platinum Whey (2lbs)</t>
  </si>
  <si>
    <t>30 servings/897 grams</t>
  </si>
  <si>
    <t>Dutch Chocolate</t>
  </si>
  <si>
    <t>Creamy Vanilla</t>
  </si>
  <si>
    <t>Wild Strawberry</t>
  </si>
  <si>
    <t>100% Pure Platinum Whey 5lb</t>
  </si>
  <si>
    <t>75 servings/2240 grams</t>
  </si>
  <si>
    <r>
      <t>New!</t>
    </r>
    <r>
      <rPr>
        <sz val="14"/>
        <rFont val="Arial"/>
        <family val="2"/>
      </rPr>
      <t xml:space="preserve"> Cream Wafer </t>
    </r>
  </si>
  <si>
    <r>
      <t>New!</t>
    </r>
    <r>
      <rPr>
        <sz val="14"/>
        <rFont val="Arial"/>
        <family val="2"/>
      </rPr>
      <t xml:space="preserve"> Chocolate Mint </t>
    </r>
  </si>
  <si>
    <t>TIME DISPERSED NUTRIENT MATRIX/ LOW CARB MEAL REPLACEMENT</t>
  </si>
  <si>
    <t>Infusion</t>
  </si>
  <si>
    <t>15 servings / 1230 grams</t>
  </si>
  <si>
    <t>Vanilla Caramel Swirl</t>
  </si>
  <si>
    <t>Chocolate Peanut Butter</t>
  </si>
  <si>
    <t>Wild berry Yogurt</t>
  </si>
  <si>
    <t>Cinnamon Oatmeal</t>
  </si>
  <si>
    <t>Tight Xtreme</t>
  </si>
  <si>
    <t>80/40 servings/80 caps</t>
  </si>
  <si>
    <t>4lbs</t>
  </si>
  <si>
    <t>Tight!</t>
  </si>
  <si>
    <t>Tight! Fem</t>
  </si>
  <si>
    <t>30  Servings / 30 Caps</t>
  </si>
  <si>
    <t>Tight! RTD</t>
  </si>
  <si>
    <t>1 servings / 8 oz</t>
  </si>
  <si>
    <t>Citrus  Punch</t>
  </si>
  <si>
    <t>Tight Hardcore</t>
  </si>
  <si>
    <t>36 servings / 72 caps</t>
  </si>
  <si>
    <t>Blaze Xtreme</t>
  </si>
  <si>
    <r>
      <t xml:space="preserve">  </t>
    </r>
    <r>
      <rPr>
        <sz val="14"/>
        <color indexed="10"/>
        <rFont val="Arial"/>
        <family val="2"/>
      </rPr>
      <t xml:space="preserve"> NEW!</t>
    </r>
    <r>
      <rPr>
        <sz val="14"/>
        <color indexed="8"/>
        <rFont val="Arial"/>
        <family val="2"/>
      </rPr>
      <t xml:space="preserve"> Lipredux</t>
    </r>
  </si>
  <si>
    <t>15 lbs</t>
  </si>
  <si>
    <t>THYROIDAL ENHANCER/DIET</t>
  </si>
  <si>
    <t>T-3</t>
  </si>
  <si>
    <t>PRE-CONTEST AQUARETIC</t>
  </si>
  <si>
    <t>Shredded</t>
  </si>
  <si>
    <t>10 servings / 70 caps</t>
  </si>
  <si>
    <t>POST CYCLE RECOVERY - STAMINA - TEST SUPPORT</t>
  </si>
  <si>
    <r>
      <t>NEW!</t>
    </r>
    <r>
      <rPr>
        <sz val="14"/>
        <rFont val="Arial"/>
        <family val="2"/>
      </rPr>
      <t xml:space="preserve">  MyoTest</t>
    </r>
  </si>
  <si>
    <t>30 servings/90 caps</t>
  </si>
  <si>
    <t>3lbs</t>
  </si>
  <si>
    <t>Endotest PRO</t>
  </si>
  <si>
    <t>60 servings /60 caps</t>
  </si>
  <si>
    <t>ESSENTIAL FATTY ACIDS - OMEGA 3,6,9'S</t>
  </si>
  <si>
    <t>Lipidex</t>
  </si>
  <si>
    <t>30 servings / 180 caps</t>
  </si>
  <si>
    <t>Triple Strength  Fish Fats</t>
  </si>
  <si>
    <t>FAT LOSS- ESSENTIAL FATTY ACIDS</t>
  </si>
  <si>
    <t>PURE CLA 1250</t>
  </si>
  <si>
    <t>180 servings/ 180 caps</t>
  </si>
  <si>
    <t>PRE AND POST WORKOUT BRANCH CHAIN AMINO ACIDS</t>
  </si>
  <si>
    <t>BCAA-PRO - 5000</t>
  </si>
  <si>
    <t>100 servings/690 grams</t>
  </si>
  <si>
    <t>Icy Frost</t>
  </si>
  <si>
    <t>NON-HORMONAL ANABOLIC/PHYTONUTRIENTS</t>
  </si>
  <si>
    <t>Tribuvar</t>
  </si>
  <si>
    <t xml:space="preserve"> MICRONIZED CREATINE MONOHYDRATE</t>
  </si>
  <si>
    <t>50 servings/250 grams</t>
  </si>
  <si>
    <t xml:space="preserve"> Performance Creatine</t>
  </si>
  <si>
    <t>120 servings/600 grams</t>
  </si>
  <si>
    <t>240 servings/1200 grams</t>
  </si>
  <si>
    <t xml:space="preserve">S.A.N. CORP. - 716 N. VENTURA ROAD #431  OXNARD, CA 93030  </t>
  </si>
  <si>
    <t>Ultra Pure Green Tea</t>
  </si>
  <si>
    <t>30 servings / 120 caps</t>
  </si>
  <si>
    <t>18 lbs</t>
  </si>
  <si>
    <t>Liporedux</t>
  </si>
  <si>
    <t>240 servings / 1200 grams</t>
  </si>
  <si>
    <t>LOW GLYCEMIC - MASSIVE WEIGHT GAINER</t>
  </si>
  <si>
    <t>20 servings / 5986 grams</t>
  </si>
  <si>
    <t>Strawberry Cream</t>
  </si>
  <si>
    <t>Mass Effect Revolution 13lb</t>
  </si>
  <si>
    <t>30 servings / 30 grams</t>
  </si>
  <si>
    <t>MATCHA GREEN TEA / CEREMONIAL GRADE</t>
  </si>
  <si>
    <t>6 72898 50011 7</t>
  </si>
  <si>
    <t>6 72898 50009 4</t>
  </si>
  <si>
    <t>6 72898 50010 0</t>
  </si>
  <si>
    <r>
      <rPr>
        <b/>
        <sz val="14"/>
        <color rgb="FFFF0000"/>
        <rFont val="Arial"/>
        <family val="2"/>
      </rPr>
      <t>NEW!!</t>
    </r>
    <r>
      <rPr>
        <sz val="14"/>
        <color indexed="8"/>
        <rFont val="Arial"/>
        <family val="2"/>
      </rPr>
      <t xml:space="preserve"> Marine Collagen</t>
    </r>
  </si>
  <si>
    <t>20 servings / 200 grams</t>
  </si>
  <si>
    <t>6 72898 50015 5</t>
  </si>
  <si>
    <t>6 72898 44039 0</t>
  </si>
  <si>
    <r>
      <rPr>
        <b/>
        <sz val="14"/>
        <color rgb="FFFF0000"/>
        <rFont val="Arial"/>
        <family val="2"/>
      </rPr>
      <t>NEW!!</t>
    </r>
    <r>
      <rPr>
        <sz val="14"/>
        <color indexed="8"/>
        <rFont val="Arial"/>
        <family val="2"/>
      </rPr>
      <t xml:space="preserve"> Organic Matcha Supreme</t>
    </r>
  </si>
  <si>
    <t>6 72898 71030 1</t>
  </si>
  <si>
    <t>6 72898 44020 8</t>
  </si>
  <si>
    <t>6 72898 53059 6</t>
  </si>
  <si>
    <t>6 72898 53041 1</t>
  </si>
  <si>
    <t>6 72898 53053 4</t>
  </si>
  <si>
    <t>6 72898 53045 9</t>
  </si>
  <si>
    <t>6 72898 53046 6</t>
  </si>
  <si>
    <t>6 72898 53079 4</t>
  </si>
  <si>
    <t>6 72898 44015 4</t>
  </si>
  <si>
    <t>6 72898 61610 8</t>
  </si>
  <si>
    <t>6 72898 61611 5</t>
  </si>
  <si>
    <t xml:space="preserve">6 72898 52005 4 </t>
  </si>
  <si>
    <t>6 72898 44040 6</t>
  </si>
  <si>
    <r>
      <rPr>
        <b/>
        <sz val="14"/>
        <color rgb="FFFF0000"/>
        <rFont val="Arial"/>
        <family val="2"/>
      </rPr>
      <t>NEW!!</t>
    </r>
    <r>
      <rPr>
        <sz val="14"/>
        <color indexed="8"/>
        <rFont val="Arial"/>
        <family val="2"/>
      </rPr>
      <t xml:space="preserve"> NAC (N-Acetyl-L-Cysteine)</t>
    </r>
  </si>
  <si>
    <t>6 72898 15002 2</t>
  </si>
  <si>
    <t>6 72898 44050 5</t>
  </si>
  <si>
    <t xml:space="preserve">6 72898 61026 7 </t>
  </si>
  <si>
    <t>6 72898 70010 4</t>
  </si>
  <si>
    <t>6 72898 70015 9</t>
  </si>
  <si>
    <t>6 72898 41170 3</t>
  </si>
  <si>
    <t>6 72898 41183 3</t>
  </si>
  <si>
    <t>6 72898 13061 1</t>
  </si>
  <si>
    <t>6 72898 13060 4</t>
  </si>
  <si>
    <t>6 72898 13062 8</t>
  </si>
  <si>
    <t>6 72898 41545 9</t>
  </si>
  <si>
    <t>6 72898 41549 7</t>
  </si>
  <si>
    <t>6 72898 41548 0</t>
  </si>
  <si>
    <t>6 72898 41554 1</t>
  </si>
  <si>
    <t>6 72898 41567 1</t>
  </si>
  <si>
    <t>6 72898 41570 1</t>
  </si>
  <si>
    <t>6 72898 41553 4</t>
  </si>
  <si>
    <t>6 72898 41542 8</t>
  </si>
  <si>
    <t>6 72898 41541 1</t>
  </si>
  <si>
    <t>6 72898 53066 4</t>
  </si>
  <si>
    <t>6 72898 53065 7</t>
  </si>
  <si>
    <t>6 72898 53061 9</t>
  </si>
  <si>
    <t>6 72898 53060 2</t>
  </si>
  <si>
    <t>6 72898 44028 4</t>
  </si>
  <si>
    <t>Tight Xtreme Reloaded V7</t>
  </si>
  <si>
    <t>6 72898 12593 8</t>
  </si>
  <si>
    <t>6 72898 12451 1</t>
  </si>
  <si>
    <t>6 72898 12449 8</t>
  </si>
  <si>
    <t>6 72898 44051 2</t>
  </si>
  <si>
    <t>6 72898 12430 6</t>
  </si>
  <si>
    <t>6 72898 12385 9</t>
  </si>
  <si>
    <t>6 72898 12388 0</t>
  </si>
  <si>
    <t>6 72898 44002 4</t>
  </si>
  <si>
    <t>6 72898 46156 2</t>
  </si>
  <si>
    <t>6 72898 46146 3</t>
  </si>
  <si>
    <t>6 72898 15001 5</t>
  </si>
  <si>
    <t>6 72898 50005 6</t>
  </si>
  <si>
    <t>6 72898 12602 7</t>
  </si>
  <si>
    <t>6 72898 12600 3</t>
  </si>
  <si>
    <t>6 72898 44005 5</t>
  </si>
  <si>
    <t>6 72898 44030 7</t>
  </si>
  <si>
    <t>6 72898 61300 8</t>
  </si>
  <si>
    <t>6 72898 42030 9</t>
  </si>
  <si>
    <t>6 72898 42031 6</t>
  </si>
  <si>
    <t>6 72898 42034 7</t>
  </si>
  <si>
    <t>6 72898 42015 6</t>
  </si>
  <si>
    <t>6 72898 42019 4</t>
  </si>
  <si>
    <t>6 72898 42017 0</t>
  </si>
  <si>
    <r>
      <rPr>
        <b/>
        <sz val="14"/>
        <color rgb="FFFF0000"/>
        <rFont val="Arial"/>
        <family val="2"/>
      </rPr>
      <t>New!!</t>
    </r>
    <r>
      <rPr>
        <sz val="14"/>
        <rFont val="Arial"/>
        <family val="2"/>
      </rPr>
      <t xml:space="preserve"> EAA Hydro Supercgarged</t>
    </r>
  </si>
  <si>
    <t>30 sevings / 358 grams</t>
  </si>
  <si>
    <t>Maui Punch</t>
  </si>
  <si>
    <t>6 72898 42060 6</t>
  </si>
  <si>
    <t>Mango Mania</t>
  </si>
  <si>
    <t>6 72898 42061 3</t>
  </si>
  <si>
    <t>6 72898 41368 4</t>
  </si>
  <si>
    <t>6 72898 41367 7</t>
  </si>
  <si>
    <t>6 72898 60007 7</t>
  </si>
  <si>
    <t>6 72898 60005 3</t>
  </si>
  <si>
    <t>6 72898 60006 0</t>
  </si>
  <si>
    <t>6 72898 12330 9</t>
  </si>
  <si>
    <t>6 72898 12346 0</t>
  </si>
  <si>
    <t>6 72898 12342 2</t>
  </si>
  <si>
    <t>24 lbs</t>
  </si>
  <si>
    <t>6 72898 12344 6</t>
  </si>
  <si>
    <t>6 72898 52004 7</t>
  </si>
  <si>
    <r>
      <rPr>
        <sz val="14"/>
        <color indexed="8"/>
        <rFont val="Arial"/>
        <family val="2"/>
      </rPr>
      <t>DHEA 90</t>
    </r>
  </si>
  <si>
    <t>Barcode Numbers</t>
  </si>
  <si>
    <r>
      <rPr>
        <b/>
        <sz val="16"/>
        <rFont val="Arial"/>
        <family val="2"/>
        <charset val="204"/>
      </rPr>
      <t>Importantly!</t>
    </r>
    <r>
      <rPr>
        <sz val="16"/>
        <rFont val="Arial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</si>
</sst>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_);[Red]&quot;($&quot;#,##0.00\)"/>
    <numFmt numFmtId="165" formatCode="\$#,##0.00\ ;[Red]&quot;($&quot;#,##0.00\)"/>
    <numFmt numFmtId="166" formatCode="&quot; $&quot;#,##0.00\ ;&quot; $(&quot;#,##0.00\);&quot; $-&quot;#\ ;@\ "/>
    <numFmt numFmtId="168" formatCode="_-[$$-2809]* #,##0.00_-;\-[$$-2809]* #,##0.00_-;_-[$$-2809]* &quot;-&quot;??_-;_-@_-"/>
  </numFmts>
  <fonts count="30" x14ac:knownFonts="1">
    <font>
      <sz val="10"/>
      <name val="Arial"/>
      <family val="2"/>
    </font>
    <font>
      <sz val="13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b/>
      <i/>
      <sz val="14"/>
      <color indexed="8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sz val="14"/>
      <color indexed="62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b/>
      <i/>
      <sz val="14"/>
      <name val="Arial"/>
      <family val="2"/>
    </font>
    <font>
      <sz val="14"/>
      <color indexed="18"/>
      <name val="Arial"/>
      <family val="2"/>
    </font>
    <font>
      <b/>
      <i/>
      <sz val="14"/>
      <color indexed="9"/>
      <name val="Georgia"/>
      <family val="1"/>
    </font>
    <font>
      <b/>
      <sz val="16"/>
      <color indexed="8"/>
      <name val="Arial"/>
      <family val="2"/>
    </font>
    <font>
      <b/>
      <sz val="16"/>
      <name val="Arial"/>
      <family val="2"/>
    </font>
    <font>
      <b/>
      <sz val="16"/>
      <color indexed="62"/>
      <name val="Arial"/>
      <family val="2"/>
    </font>
    <font>
      <b/>
      <sz val="16"/>
      <color indexed="60"/>
      <name val="Arial"/>
      <family val="2"/>
    </font>
    <font>
      <b/>
      <sz val="14"/>
      <name val="Georgia"/>
      <family val="1"/>
    </font>
    <font>
      <i/>
      <sz val="14"/>
      <name val="Arial"/>
      <family val="2"/>
    </font>
    <font>
      <sz val="14"/>
      <color indexed="63"/>
      <name val="Arial"/>
      <family val="2"/>
    </font>
    <font>
      <sz val="10"/>
      <name val="Arial"/>
      <family val="2"/>
    </font>
    <font>
      <sz val="18"/>
      <name val="Arial"/>
      <family val="2"/>
      <charset val="204"/>
    </font>
    <font>
      <sz val="18"/>
      <color indexed="8"/>
      <name val="Arial"/>
      <family val="2"/>
      <charset val="204"/>
    </font>
    <font>
      <sz val="20"/>
      <name val="Arial"/>
      <family val="2"/>
      <charset val="204"/>
    </font>
    <font>
      <b/>
      <sz val="14"/>
      <color rgb="FFFF0000"/>
      <name val="Arial"/>
      <family val="2"/>
    </font>
    <font>
      <sz val="14"/>
      <color rgb="FF000000"/>
      <name val="Arial"/>
      <family val="2"/>
    </font>
    <font>
      <b/>
      <sz val="14"/>
      <color indexed="8"/>
      <name val="Arial"/>
      <family val="2"/>
    </font>
    <font>
      <sz val="16"/>
      <name val="Arial"/>
      <family val="2"/>
      <charset val="204"/>
    </font>
    <font>
      <b/>
      <sz val="16"/>
      <name val="Arial"/>
      <family val="2"/>
      <charset val="204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/>
      <top style="thin">
        <color rgb="FF000000"/>
      </top>
      <bottom style="thin">
        <color indexed="8"/>
      </bottom>
      <diagonal/>
    </border>
    <border>
      <left/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166" fontId="20" fillId="0" borderId="0" applyFill="0" applyBorder="0" applyAlignment="0" applyProtection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5" fontId="6" fillId="3" borderId="1" xfId="1" applyNumberFormat="1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 applyProtection="1">
      <alignment horizontal="center" vertical="center"/>
      <protection locked="0"/>
    </xf>
    <xf numFmtId="165" fontId="6" fillId="0" borderId="1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/>
      <protection locked="0"/>
    </xf>
    <xf numFmtId="165" fontId="6" fillId="0" borderId="15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6" fillId="0" borderId="11" xfId="1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18" fillId="2" borderId="5" xfId="0" applyFont="1" applyFill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6" fillId="0" borderId="14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165" fontId="6" fillId="3" borderId="1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5" fontId="6" fillId="3" borderId="14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5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5" fontId="6" fillId="0" borderId="11" xfId="1" applyNumberFormat="1" applyFont="1" applyBorder="1" applyAlignment="1">
      <alignment horizontal="center"/>
    </xf>
    <xf numFmtId="0" fontId="10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11" fillId="0" borderId="14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5" fontId="6" fillId="0" borderId="17" xfId="1" applyNumberFormat="1" applyFont="1" applyBorder="1" applyAlignment="1">
      <alignment horizontal="center" vertical="center"/>
    </xf>
    <xf numFmtId="0" fontId="11" fillId="0" borderId="17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165" fontId="6" fillId="2" borderId="5" xfId="1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 applyProtection="1">
      <alignment horizontal="center" vertical="center"/>
      <protection locked="0"/>
    </xf>
    <xf numFmtId="165" fontId="6" fillId="2" borderId="6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165" fontId="6" fillId="3" borderId="14" xfId="1" applyNumberFormat="1" applyFont="1" applyFill="1" applyBorder="1" applyAlignment="1">
      <alignment horizontal="center" vertical="center"/>
    </xf>
    <xf numFmtId="165" fontId="6" fillId="3" borderId="11" xfId="1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vertical="center"/>
    </xf>
    <xf numFmtId="0" fontId="10" fillId="2" borderId="20" xfId="0" applyFont="1" applyFill="1" applyBorder="1" applyAlignment="1">
      <alignment vertical="center"/>
    </xf>
    <xf numFmtId="0" fontId="10" fillId="2" borderId="21" xfId="0" applyFont="1" applyFill="1" applyBorder="1" applyAlignment="1">
      <alignment vertical="center"/>
    </xf>
    <xf numFmtId="0" fontId="7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17" xfId="0" applyFont="1" applyBorder="1" applyAlignment="1" applyProtection="1">
      <alignment horizontal="center" vertical="center"/>
      <protection locked="0"/>
    </xf>
    <xf numFmtId="0" fontId="19" fillId="3" borderId="17" xfId="0" applyFont="1" applyFill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9" fontId="15" fillId="0" borderId="24" xfId="0" applyNumberFormat="1" applyFont="1" applyBorder="1" applyAlignment="1" applyProtection="1">
      <alignment horizontal="center" vertical="center"/>
      <protection locked="0"/>
    </xf>
    <xf numFmtId="165" fontId="16" fillId="0" borderId="25" xfId="0" applyNumberFormat="1" applyFont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0" fontId="21" fillId="0" borderId="0" xfId="0" applyFont="1" applyProtection="1">
      <protection hidden="1"/>
    </xf>
    <xf numFmtId="0" fontId="22" fillId="0" borderId="0" xfId="0" applyFont="1" applyProtection="1">
      <protection hidden="1"/>
    </xf>
    <xf numFmtId="1" fontId="21" fillId="0" borderId="0" xfId="0" applyNumberFormat="1" applyFont="1" applyProtection="1">
      <protection hidden="1"/>
    </xf>
    <xf numFmtId="0" fontId="5" fillId="0" borderId="32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center" vertical="center"/>
    </xf>
    <xf numFmtId="0" fontId="7" fillId="0" borderId="32" xfId="0" applyFont="1" applyBorder="1" applyAlignment="1" applyProtection="1">
      <alignment horizontal="center" vertical="center"/>
      <protection locked="0"/>
    </xf>
    <xf numFmtId="0" fontId="23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21" fillId="0" borderId="0" xfId="0" applyFont="1" applyAlignment="1" applyProtection="1">
      <alignment horizontal="center" wrapText="1"/>
      <protection hidden="1"/>
    </xf>
    <xf numFmtId="0" fontId="21" fillId="0" borderId="0" xfId="0" applyFont="1" applyAlignment="1" applyProtection="1">
      <alignment horizontal="left"/>
      <protection locked="0"/>
    </xf>
    <xf numFmtId="0" fontId="5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164" fontId="6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 applyProtection="1">
      <alignment horizontal="center" vertical="center"/>
      <protection locked="0"/>
    </xf>
    <xf numFmtId="0" fontId="6" fillId="0" borderId="32" xfId="0" applyFont="1" applyBorder="1" applyAlignment="1">
      <alignment horizontal="center" vertical="center" wrapText="1"/>
    </xf>
    <xf numFmtId="0" fontId="7" fillId="0" borderId="36" xfId="0" applyFon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 wrapText="1"/>
    </xf>
    <xf numFmtId="164" fontId="6" fillId="0" borderId="41" xfId="0" applyNumberFormat="1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164" fontId="6" fillId="0" borderId="43" xfId="0" applyNumberFormat="1" applyFont="1" applyBorder="1" applyAlignment="1">
      <alignment horizontal="center" vertical="center"/>
    </xf>
    <xf numFmtId="165" fontId="6" fillId="0" borderId="43" xfId="0" applyNumberFormat="1" applyFont="1" applyBorder="1" applyAlignment="1">
      <alignment horizontal="center" vertical="center"/>
    </xf>
    <xf numFmtId="165" fontId="6" fillId="0" borderId="36" xfId="1" applyNumberFormat="1" applyFont="1" applyBorder="1" applyAlignment="1">
      <alignment horizontal="center" vertical="center"/>
    </xf>
    <xf numFmtId="165" fontId="6" fillId="0" borderId="1" xfId="1" applyNumberFormat="1" applyFont="1" applyFill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1" fillId="0" borderId="0" xfId="0" applyFont="1" applyAlignment="1" applyProtection="1">
      <alignment wrapText="1"/>
      <protection hidden="1"/>
    </xf>
    <xf numFmtId="165" fontId="6" fillId="0" borderId="1" xfId="0" applyNumberFormat="1" applyFont="1" applyBorder="1" applyAlignment="1">
      <alignment horizontal="center" vertical="center" wrapText="1"/>
    </xf>
    <xf numFmtId="165" fontId="6" fillId="5" borderId="0" xfId="0" applyNumberFormat="1" applyFont="1" applyFill="1" applyAlignment="1">
      <alignment horizontal="center" vertical="center" wrapText="1"/>
    </xf>
    <xf numFmtId="165" fontId="6" fillId="0" borderId="32" xfId="0" applyNumberFormat="1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5" fontId="6" fillId="0" borderId="36" xfId="0" applyNumberFormat="1" applyFont="1" applyBorder="1" applyAlignment="1">
      <alignment horizontal="center" vertical="center" wrapText="1"/>
    </xf>
    <xf numFmtId="165" fontId="6" fillId="0" borderId="39" xfId="0" applyNumberFormat="1" applyFont="1" applyBorder="1" applyAlignment="1">
      <alignment horizontal="center" vertical="center" wrapText="1"/>
    </xf>
    <xf numFmtId="164" fontId="6" fillId="0" borderId="36" xfId="0" applyNumberFormat="1" applyFont="1" applyBorder="1" applyAlignment="1">
      <alignment horizontal="center" vertical="center" wrapText="1"/>
    </xf>
    <xf numFmtId="0" fontId="12" fillId="4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2" fillId="4" borderId="33" xfId="0" applyFont="1" applyFill="1" applyBorder="1" applyAlignment="1">
      <alignment vertical="center"/>
    </xf>
    <xf numFmtId="0" fontId="12" fillId="4" borderId="34" xfId="0" applyFont="1" applyFill="1" applyBorder="1" applyAlignment="1">
      <alignment vertical="center"/>
    </xf>
    <xf numFmtId="0" fontId="12" fillId="4" borderId="35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0" fillId="2" borderId="36" xfId="0" applyFont="1" applyFill="1" applyBorder="1" applyAlignment="1">
      <alignment vertical="center"/>
    </xf>
    <xf numFmtId="0" fontId="21" fillId="0" borderId="0" xfId="0" applyFont="1" applyProtection="1">
      <protection locked="0"/>
    </xf>
    <xf numFmtId="0" fontId="4" fillId="2" borderId="36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3" fillId="2" borderId="36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vertical="center"/>
    </xf>
    <xf numFmtId="0" fontId="4" fillId="2" borderId="38" xfId="0" applyFont="1" applyFill="1" applyBorder="1" applyAlignment="1">
      <alignment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 applyProtection="1">
      <alignment horizontal="center" vertical="center" wrapText="1"/>
      <protection locked="0"/>
    </xf>
    <xf numFmtId="0" fontId="4" fillId="2" borderId="45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10" fillId="2" borderId="1" xfId="0" applyFont="1" applyFill="1" applyBorder="1" applyAlignment="1" applyProtection="1">
      <alignment vertical="center"/>
      <protection locked="0"/>
    </xf>
    <xf numFmtId="0" fontId="12" fillId="4" borderId="1" xfId="0" applyFont="1" applyFill="1" applyBorder="1" applyAlignment="1" applyProtection="1">
      <alignment vertic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5" borderId="44" xfId="0" applyFont="1" applyFill="1" applyBorder="1" applyAlignment="1" applyProtection="1">
      <alignment horizontal="left" vertical="center" wrapText="1"/>
      <protection hidden="1"/>
    </xf>
    <xf numFmtId="0" fontId="27" fillId="5" borderId="0" xfId="0" applyFont="1" applyFill="1" applyAlignment="1" applyProtection="1">
      <alignment horizontal="left" vertical="center" wrapText="1"/>
      <protection hidden="1"/>
    </xf>
    <xf numFmtId="0" fontId="12" fillId="4" borderId="26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13" fillId="0" borderId="30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3" fillId="0" borderId="31" xfId="0" applyFont="1" applyBorder="1" applyAlignment="1">
      <alignment horizontal="right" vertical="center"/>
    </xf>
    <xf numFmtId="168" fontId="29" fillId="2" borderId="32" xfId="0" applyNumberFormat="1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/>
    </xf>
  </cellXfs>
  <cellStyles count="2">
    <cellStyle name="Грошовий" xfId="1" builtinId="4"/>
    <cellStyle name="Звичайний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1302328</xdr:colOff>
      <xdr:row>0</xdr:row>
      <xdr:rowOff>207820</xdr:rowOff>
    </xdr:from>
    <xdr:to>
      <xdr:col>6</xdr:col>
      <xdr:colOff>720437</xdr:colOff>
      <xdr:row>0</xdr:row>
      <xdr:rowOff>1566631</xdr:rowOff>
    </xdr:to>
    <xdr:pic>
      <xdr:nvPicPr>
        <xdr:cNvPr id="3" name="Рисунок 2" descr="San Nutrition">
          <a:extLst>
            <a:ext uri="{FF2B5EF4-FFF2-40B4-BE49-F238E27FC236}">
              <a16:creationId xmlns:a16="http://schemas.microsoft.com/office/drawing/2014/main" id="{DDE665BE-7752-7452-5F7F-C49972EF2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5928" y="207820"/>
          <a:ext cx="3588327" cy="1358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8</xdr:col>
      <xdr:colOff>2019300</xdr:colOff>
      <xdr:row>0</xdr:row>
      <xdr:rowOff>1762125</xdr:rowOff>
    </xdr:to>
    <xdr:pic>
      <xdr:nvPicPr>
        <xdr:cNvPr id="2359" name="Picture 1">
          <a:extLst>
            <a:ext uri="{FF2B5EF4-FFF2-40B4-BE49-F238E27FC236}">
              <a16:creationId xmlns:a16="http://schemas.microsoft.com/office/drawing/2014/main" id="{8A1ECEB2-D33C-4FE9-A7A6-2A6E2B31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5487650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87AC-737B-4F10-9D6D-8D4B9C928879}">
  <sheetPr codeName="Аркуш1"/>
  <dimension ref="A1:K119"/>
  <sheetViews>
    <sheetView tabSelected="1" zoomScale="55" zoomScaleNormal="55" workbookViewId="0">
      <pane ySplit="2" topLeftCell="A3" activePane="bottomLeft" state="frozen"/>
      <selection pane="bottomLeft" activeCell="A113" sqref="A113:XFD113"/>
    </sheetView>
  </sheetViews>
  <sheetFormatPr defaultColWidth="53.44140625" defaultRowHeight="22.8" x14ac:dyDescent="0.4"/>
  <cols>
    <col min="1" max="1" width="56.109375" style="96" customWidth="1"/>
    <col min="2" max="2" width="45.6640625" style="96" bestFit="1" customWidth="1"/>
    <col min="3" max="3" width="22" style="96" customWidth="1"/>
    <col min="4" max="4" width="18.44140625" style="97" customWidth="1"/>
    <col min="5" max="5" width="37" style="96" customWidth="1"/>
    <col min="6" max="6" width="23.88671875" style="98" customWidth="1"/>
    <col min="7" max="7" width="18.77734375" style="96" bestFit="1" customWidth="1"/>
    <col min="8" max="8" width="23" style="106" customWidth="1"/>
    <col min="9" max="9" width="29.44140625" style="167" customWidth="1"/>
    <col min="10" max="10" width="17.88671875" style="137" customWidth="1"/>
    <col min="11" max="11" width="29.77734375" style="96" customWidth="1"/>
    <col min="12" max="16384" width="53.44140625" style="96"/>
  </cols>
  <sheetData>
    <row r="1" spans="1:11" ht="143.4" customHeight="1" x14ac:dyDescent="0.4">
      <c r="A1" s="168" t="s">
        <v>391</v>
      </c>
      <c r="B1" s="169"/>
      <c r="C1" s="169"/>
      <c r="D1" s="169"/>
      <c r="E1" s="169"/>
      <c r="F1" s="169"/>
      <c r="G1" s="169"/>
      <c r="H1" s="169"/>
      <c r="I1" s="169"/>
      <c r="J1" s="169"/>
      <c r="K1" s="178">
        <v>45603</v>
      </c>
    </row>
    <row r="2" spans="1:11" s="105" customFormat="1" ht="60" customHeight="1" x14ac:dyDescent="0.4">
      <c r="A2" s="134" t="s">
        <v>0</v>
      </c>
      <c r="B2" s="134" t="s">
        <v>1</v>
      </c>
      <c r="C2" s="135" t="s">
        <v>2</v>
      </c>
      <c r="D2" s="136" t="s">
        <v>3</v>
      </c>
      <c r="E2" s="134" t="s">
        <v>4</v>
      </c>
      <c r="F2" s="134" t="s">
        <v>390</v>
      </c>
      <c r="G2" s="157" t="s">
        <v>5</v>
      </c>
      <c r="H2" s="160" t="s">
        <v>6</v>
      </c>
      <c r="I2" s="162" t="s">
        <v>7</v>
      </c>
      <c r="J2" s="161" t="s">
        <v>8</v>
      </c>
      <c r="K2" s="177">
        <f>SUM(J4:J111)</f>
        <v>0</v>
      </c>
    </row>
    <row r="3" spans="1:11" s="103" customFormat="1" ht="27" customHeight="1" x14ac:dyDescent="0.4">
      <c r="A3" s="154" t="s">
        <v>9</v>
      </c>
      <c r="B3" s="155"/>
      <c r="C3" s="155"/>
      <c r="D3" s="155"/>
      <c r="E3" s="155"/>
      <c r="F3" s="155"/>
      <c r="G3" s="155"/>
      <c r="H3" s="158"/>
      <c r="I3" s="163"/>
      <c r="J3" s="159"/>
    </row>
    <row r="4" spans="1:11" s="104" customFormat="1" ht="27" customHeight="1" x14ac:dyDescent="0.3">
      <c r="A4" s="107" t="s">
        <v>10</v>
      </c>
      <c r="B4" s="107" t="s">
        <v>11</v>
      </c>
      <c r="C4" s="107" t="s">
        <v>12</v>
      </c>
      <c r="D4" s="107">
        <v>12</v>
      </c>
      <c r="E4" s="3" t="s">
        <v>13</v>
      </c>
      <c r="F4" s="3" t="s">
        <v>302</v>
      </c>
      <c r="G4" s="108">
        <v>21.5</v>
      </c>
      <c r="H4" s="108">
        <v>11.432850000000002</v>
      </c>
      <c r="I4" s="4">
        <v>0</v>
      </c>
      <c r="J4" s="138">
        <f>H4*I4*D4</f>
        <v>0</v>
      </c>
    </row>
    <row r="5" spans="1:11" s="104" customFormat="1" ht="27" customHeight="1" x14ac:dyDescent="0.3">
      <c r="A5" s="107" t="s">
        <v>14</v>
      </c>
      <c r="B5" s="107" t="s">
        <v>15</v>
      </c>
      <c r="C5" s="107" t="s">
        <v>16</v>
      </c>
      <c r="D5" s="107">
        <v>12</v>
      </c>
      <c r="E5" s="3" t="s">
        <v>13</v>
      </c>
      <c r="F5" s="3" t="s">
        <v>303</v>
      </c>
      <c r="G5" s="108">
        <v>16.989999999999998</v>
      </c>
      <c r="H5" s="108">
        <v>8.2225000000000001</v>
      </c>
      <c r="I5" s="4">
        <v>0</v>
      </c>
      <c r="J5" s="138">
        <f>H5*I5*D5</f>
        <v>0</v>
      </c>
    </row>
    <row r="6" spans="1:11" s="104" customFormat="1" ht="27" customHeight="1" x14ac:dyDescent="0.3">
      <c r="A6" s="107" t="s">
        <v>17</v>
      </c>
      <c r="B6" s="107" t="s">
        <v>18</v>
      </c>
      <c r="C6" s="107" t="s">
        <v>19</v>
      </c>
      <c r="D6" s="107">
        <v>12</v>
      </c>
      <c r="E6" s="3" t="s">
        <v>13</v>
      </c>
      <c r="F6" s="3" t="s">
        <v>304</v>
      </c>
      <c r="G6" s="108">
        <v>27.99</v>
      </c>
      <c r="H6" s="108">
        <v>14.292850000000001</v>
      </c>
      <c r="I6" s="4">
        <v>0</v>
      </c>
      <c r="J6" s="138">
        <f>H6*I6*D6</f>
        <v>0</v>
      </c>
    </row>
    <row r="7" spans="1:11" s="104" customFormat="1" ht="27" customHeight="1" x14ac:dyDescent="0.3">
      <c r="A7" s="107" t="s">
        <v>305</v>
      </c>
      <c r="B7" s="107" t="s">
        <v>306</v>
      </c>
      <c r="C7" s="107" t="s">
        <v>12</v>
      </c>
      <c r="D7" s="107">
        <v>12</v>
      </c>
      <c r="E7" s="3" t="s">
        <v>13</v>
      </c>
      <c r="F7" s="3" t="s">
        <v>307</v>
      </c>
      <c r="G7" s="108">
        <v>31.5</v>
      </c>
      <c r="H7" s="108">
        <v>15.722850000000001</v>
      </c>
      <c r="I7" s="4">
        <v>0</v>
      </c>
      <c r="J7" s="138">
        <f>H7*I7*D7</f>
        <v>0</v>
      </c>
    </row>
    <row r="8" spans="1:11" s="104" customFormat="1" ht="27" customHeight="1" x14ac:dyDescent="0.3">
      <c r="A8" s="107" t="s">
        <v>20</v>
      </c>
      <c r="B8" s="7" t="s">
        <v>21</v>
      </c>
      <c r="C8" s="7" t="s">
        <v>16</v>
      </c>
      <c r="D8" s="107">
        <v>12</v>
      </c>
      <c r="E8" s="7" t="s">
        <v>13</v>
      </c>
      <c r="F8" s="3" t="s">
        <v>308</v>
      </c>
      <c r="G8" s="108">
        <v>20.99</v>
      </c>
      <c r="H8" s="108">
        <v>8.9375000000000018</v>
      </c>
      <c r="I8" s="4">
        <v>0</v>
      </c>
      <c r="J8" s="138">
        <f>H8*I8*D8</f>
        <v>0</v>
      </c>
    </row>
    <row r="9" spans="1:11" s="104" customFormat="1" ht="27" customHeight="1" x14ac:dyDescent="0.3">
      <c r="A9" s="109" t="s">
        <v>301</v>
      </c>
      <c r="B9" s="110"/>
      <c r="C9" s="110"/>
      <c r="D9" s="111"/>
      <c r="E9" s="110"/>
      <c r="F9" s="112"/>
      <c r="G9" s="113"/>
      <c r="H9" s="113"/>
      <c r="I9" s="114"/>
      <c r="J9" s="139"/>
    </row>
    <row r="10" spans="1:11" s="104" customFormat="1" ht="27" customHeight="1" x14ac:dyDescent="0.3">
      <c r="A10" s="99" t="s">
        <v>309</v>
      </c>
      <c r="B10" s="100" t="s">
        <v>300</v>
      </c>
      <c r="C10" s="100" t="s">
        <v>22</v>
      </c>
      <c r="D10" s="99">
        <v>12</v>
      </c>
      <c r="E10" s="100" t="s">
        <v>13</v>
      </c>
      <c r="F10" s="115" t="s">
        <v>310</v>
      </c>
      <c r="G10" s="101">
        <v>24.99</v>
      </c>
      <c r="H10" s="101">
        <v>10.71785</v>
      </c>
      <c r="I10" s="102">
        <v>0</v>
      </c>
      <c r="J10" s="140">
        <f>H10*I10*D10</f>
        <v>0</v>
      </c>
    </row>
    <row r="11" spans="1:11" s="104" customFormat="1" ht="27" customHeight="1" x14ac:dyDescent="0.3">
      <c r="A11" s="151" t="s">
        <v>24</v>
      </c>
      <c r="B11" s="151"/>
      <c r="C11" s="151"/>
      <c r="D11" s="151"/>
      <c r="E11" s="151"/>
      <c r="F11" s="151"/>
      <c r="G11" s="151"/>
      <c r="H11" s="151"/>
      <c r="I11" s="164"/>
      <c r="J11" s="151"/>
    </row>
    <row r="12" spans="1:11" s="104" customFormat="1" ht="27" customHeight="1" x14ac:dyDescent="0.3">
      <c r="A12" s="107" t="s">
        <v>25</v>
      </c>
      <c r="B12" s="107" t="s">
        <v>26</v>
      </c>
      <c r="C12" s="107" t="s">
        <v>27</v>
      </c>
      <c r="D12" s="107">
        <v>12</v>
      </c>
      <c r="E12" s="3" t="s">
        <v>13</v>
      </c>
      <c r="F12" s="3" t="s">
        <v>311</v>
      </c>
      <c r="G12" s="108">
        <v>44.99</v>
      </c>
      <c r="H12" s="108">
        <v>21.442850000000004</v>
      </c>
      <c r="I12" s="4">
        <v>0</v>
      </c>
      <c r="J12" s="138">
        <f>H12*I12*D12</f>
        <v>0</v>
      </c>
    </row>
    <row r="13" spans="1:11" s="104" customFormat="1" ht="27" customHeight="1" x14ac:dyDescent="0.3">
      <c r="A13" s="151" t="s">
        <v>28</v>
      </c>
      <c r="B13" s="151"/>
      <c r="C13" s="151"/>
      <c r="D13" s="151"/>
      <c r="E13" s="151"/>
      <c r="F13" s="151"/>
      <c r="G13" s="151"/>
      <c r="H13" s="151"/>
      <c r="I13" s="164"/>
      <c r="J13" s="151"/>
    </row>
    <row r="14" spans="1:11" s="104" customFormat="1" ht="27" customHeight="1" x14ac:dyDescent="0.3">
      <c r="A14" s="107" t="s">
        <v>29</v>
      </c>
      <c r="B14" s="107" t="s">
        <v>36</v>
      </c>
      <c r="C14" s="107" t="s">
        <v>35</v>
      </c>
      <c r="D14" s="107">
        <v>12</v>
      </c>
      <c r="E14" s="3" t="s">
        <v>32</v>
      </c>
      <c r="F14" s="3" t="s">
        <v>312</v>
      </c>
      <c r="G14" s="108">
        <v>53.99</v>
      </c>
      <c r="H14" s="108">
        <v>23.587850000000007</v>
      </c>
      <c r="I14" s="4">
        <v>0</v>
      </c>
      <c r="J14" s="138">
        <f t="shared" ref="J14:J19" si="0">H14*I14*D14</f>
        <v>0</v>
      </c>
    </row>
    <row r="15" spans="1:11" s="104" customFormat="1" ht="27" customHeight="1" x14ac:dyDescent="0.3">
      <c r="A15" s="107" t="s">
        <v>29</v>
      </c>
      <c r="B15" s="107" t="s">
        <v>37</v>
      </c>
      <c r="C15" s="107" t="s">
        <v>35</v>
      </c>
      <c r="D15" s="107">
        <v>12</v>
      </c>
      <c r="E15" s="3" t="s">
        <v>34</v>
      </c>
      <c r="F15" s="3" t="s">
        <v>313</v>
      </c>
      <c r="G15" s="108">
        <v>53.99</v>
      </c>
      <c r="H15" s="108">
        <v>23.587850000000007</v>
      </c>
      <c r="I15" s="4">
        <v>0</v>
      </c>
      <c r="J15" s="138">
        <f t="shared" si="0"/>
        <v>0</v>
      </c>
    </row>
    <row r="16" spans="1:11" s="104" customFormat="1" ht="27" customHeight="1" x14ac:dyDescent="0.3">
      <c r="A16" s="107" t="s">
        <v>29</v>
      </c>
      <c r="B16" s="107" t="s">
        <v>38</v>
      </c>
      <c r="C16" s="107" t="s">
        <v>35</v>
      </c>
      <c r="D16" s="107">
        <v>12</v>
      </c>
      <c r="E16" s="3" t="s">
        <v>33</v>
      </c>
      <c r="F16" s="3" t="s">
        <v>314</v>
      </c>
      <c r="G16" s="108">
        <v>53.99</v>
      </c>
      <c r="H16" s="108">
        <v>23.587850000000007</v>
      </c>
      <c r="I16" s="4">
        <v>0</v>
      </c>
      <c r="J16" s="138">
        <f t="shared" si="0"/>
        <v>0</v>
      </c>
    </row>
    <row r="17" spans="1:10" s="104" customFormat="1" ht="27" customHeight="1" x14ac:dyDescent="0.3">
      <c r="A17" s="107" t="s">
        <v>29</v>
      </c>
      <c r="B17" s="107" t="s">
        <v>39</v>
      </c>
      <c r="C17" s="107" t="s">
        <v>40</v>
      </c>
      <c r="D17" s="107">
        <v>6</v>
      </c>
      <c r="E17" s="3" t="s">
        <v>31</v>
      </c>
      <c r="F17" s="3" t="s">
        <v>315</v>
      </c>
      <c r="G17" s="108">
        <v>102.5</v>
      </c>
      <c r="H17" s="108">
        <v>46.467850000000006</v>
      </c>
      <c r="I17" s="4">
        <v>0</v>
      </c>
      <c r="J17" s="138">
        <f t="shared" si="0"/>
        <v>0</v>
      </c>
    </row>
    <row r="18" spans="1:10" s="104" customFormat="1" ht="27" customHeight="1" x14ac:dyDescent="0.3">
      <c r="A18" s="107" t="s">
        <v>29</v>
      </c>
      <c r="B18" s="107" t="s">
        <v>41</v>
      </c>
      <c r="C18" s="107" t="s">
        <v>40</v>
      </c>
      <c r="D18" s="107">
        <v>6</v>
      </c>
      <c r="E18" s="3" t="s">
        <v>32</v>
      </c>
      <c r="F18" s="3" t="s">
        <v>316</v>
      </c>
      <c r="G18" s="108">
        <v>102.5</v>
      </c>
      <c r="H18" s="108">
        <v>46.467850000000006</v>
      </c>
      <c r="I18" s="4">
        <v>0</v>
      </c>
      <c r="J18" s="138">
        <f t="shared" si="0"/>
        <v>0</v>
      </c>
    </row>
    <row r="19" spans="1:10" s="104" customFormat="1" ht="27" customHeight="1" x14ac:dyDescent="0.3">
      <c r="A19" s="107" t="s">
        <v>29</v>
      </c>
      <c r="B19" s="107" t="s">
        <v>42</v>
      </c>
      <c r="C19" s="107" t="s">
        <v>40</v>
      </c>
      <c r="D19" s="107">
        <v>6</v>
      </c>
      <c r="E19" s="3" t="s">
        <v>34</v>
      </c>
      <c r="F19" s="3" t="s">
        <v>317</v>
      </c>
      <c r="G19" s="108">
        <v>102.5</v>
      </c>
      <c r="H19" s="108">
        <v>46.467850000000006</v>
      </c>
      <c r="I19" s="4">
        <v>0</v>
      </c>
      <c r="J19" s="138">
        <f t="shared" si="0"/>
        <v>0</v>
      </c>
    </row>
    <row r="20" spans="1:10" s="104" customFormat="1" ht="27" customHeight="1" x14ac:dyDescent="0.3">
      <c r="A20" s="151" t="s">
        <v>43</v>
      </c>
      <c r="B20" s="151"/>
      <c r="C20" s="151"/>
      <c r="D20" s="151"/>
      <c r="E20" s="151"/>
      <c r="F20" s="151"/>
      <c r="G20" s="151"/>
      <c r="H20" s="151"/>
      <c r="I20" s="164"/>
      <c r="J20" s="151"/>
    </row>
    <row r="21" spans="1:10" s="104" customFormat="1" ht="27" customHeight="1" x14ac:dyDescent="0.3">
      <c r="A21" s="107" t="s">
        <v>44</v>
      </c>
      <c r="B21" s="107" t="s">
        <v>45</v>
      </c>
      <c r="C21" s="107" t="s">
        <v>46</v>
      </c>
      <c r="D21" s="107">
        <v>12</v>
      </c>
      <c r="E21" s="3" t="s">
        <v>13</v>
      </c>
      <c r="F21" s="3" t="s">
        <v>318</v>
      </c>
      <c r="G21" s="108">
        <v>39.950000000000003</v>
      </c>
      <c r="H21" s="108">
        <v>18.232500000000002</v>
      </c>
      <c r="I21" s="4">
        <v>0</v>
      </c>
      <c r="J21" s="138">
        <f>H21*I21*D21</f>
        <v>0</v>
      </c>
    </row>
    <row r="22" spans="1:10" s="104" customFormat="1" ht="27" customHeight="1" x14ac:dyDescent="0.3">
      <c r="A22" s="151" t="s">
        <v>47</v>
      </c>
      <c r="B22" s="151"/>
      <c r="C22" s="151"/>
      <c r="D22" s="151"/>
      <c r="E22" s="151"/>
      <c r="F22" s="151"/>
      <c r="G22" s="151"/>
      <c r="H22" s="151"/>
      <c r="I22" s="164"/>
      <c r="J22" s="151"/>
    </row>
    <row r="23" spans="1:10" s="104" customFormat="1" ht="27" customHeight="1" x14ac:dyDescent="0.3">
      <c r="A23" s="107" t="s">
        <v>48</v>
      </c>
      <c r="B23" s="107" t="s">
        <v>49</v>
      </c>
      <c r="C23" s="107" t="s">
        <v>16</v>
      </c>
      <c r="D23" s="107">
        <v>12</v>
      </c>
      <c r="E23" s="3" t="s">
        <v>13</v>
      </c>
      <c r="F23" s="3" t="s">
        <v>319</v>
      </c>
      <c r="G23" s="108">
        <v>24.99</v>
      </c>
      <c r="H23" s="108">
        <v>12.14785</v>
      </c>
      <c r="I23" s="4">
        <v>0</v>
      </c>
      <c r="J23" s="138">
        <f>H23*I23*D23</f>
        <v>0</v>
      </c>
    </row>
    <row r="24" spans="1:10" s="104" customFormat="1" ht="27" customHeight="1" x14ac:dyDescent="0.3">
      <c r="A24" s="107" t="s">
        <v>48</v>
      </c>
      <c r="B24" s="107" t="s">
        <v>18</v>
      </c>
      <c r="C24" s="107" t="s">
        <v>50</v>
      </c>
      <c r="D24" s="107">
        <v>12</v>
      </c>
      <c r="E24" s="3" t="s">
        <v>13</v>
      </c>
      <c r="F24" s="3" t="s">
        <v>320</v>
      </c>
      <c r="G24" s="108">
        <v>44.5</v>
      </c>
      <c r="H24" s="108">
        <v>20.72785</v>
      </c>
      <c r="I24" s="4">
        <v>0</v>
      </c>
      <c r="J24" s="141">
        <f>H24*I24*D24</f>
        <v>0</v>
      </c>
    </row>
    <row r="25" spans="1:10" s="104" customFormat="1" ht="27" customHeight="1" x14ac:dyDescent="0.3">
      <c r="A25" s="107" t="s">
        <v>51</v>
      </c>
      <c r="B25" s="107" t="s">
        <v>49</v>
      </c>
      <c r="C25" s="107" t="s">
        <v>16</v>
      </c>
      <c r="D25" s="107">
        <v>12</v>
      </c>
      <c r="E25" s="3" t="s">
        <v>13</v>
      </c>
      <c r="F25" s="3" t="s">
        <v>321</v>
      </c>
      <c r="G25" s="108">
        <v>13</v>
      </c>
      <c r="H25" s="108">
        <v>6.4278500000000012</v>
      </c>
      <c r="I25" s="116">
        <v>0</v>
      </c>
      <c r="J25" s="140">
        <f>H25*I25*D25</f>
        <v>0</v>
      </c>
    </row>
    <row r="26" spans="1:10" s="104" customFormat="1" ht="27" customHeight="1" x14ac:dyDescent="0.3">
      <c r="A26" s="151" t="s">
        <v>52</v>
      </c>
      <c r="B26" s="151"/>
      <c r="C26" s="151"/>
      <c r="D26" s="151"/>
      <c r="E26" s="151"/>
      <c r="F26" s="151"/>
      <c r="G26" s="151"/>
      <c r="H26" s="151"/>
      <c r="I26" s="164"/>
      <c r="J26" s="156"/>
    </row>
    <row r="27" spans="1:10" s="104" customFormat="1" ht="27" customHeight="1" x14ac:dyDescent="0.3">
      <c r="A27" s="107" t="s">
        <v>53</v>
      </c>
      <c r="B27" s="107" t="s">
        <v>54</v>
      </c>
      <c r="C27" s="107" t="s">
        <v>46</v>
      </c>
      <c r="D27" s="107">
        <v>12</v>
      </c>
      <c r="E27" s="3" t="s">
        <v>13</v>
      </c>
      <c r="F27" s="3" t="s">
        <v>322</v>
      </c>
      <c r="G27" s="108">
        <v>23.99</v>
      </c>
      <c r="H27" s="108">
        <v>10.71785</v>
      </c>
      <c r="I27" s="4">
        <v>0</v>
      </c>
      <c r="J27" s="138">
        <f>H27*I27*D27</f>
        <v>0</v>
      </c>
    </row>
    <row r="28" spans="1:10" s="104" customFormat="1" ht="27" customHeight="1" x14ac:dyDescent="0.3">
      <c r="A28" s="107" t="s">
        <v>323</v>
      </c>
      <c r="B28" s="107" t="s">
        <v>54</v>
      </c>
      <c r="C28" s="107" t="s">
        <v>46</v>
      </c>
      <c r="D28" s="107">
        <v>12</v>
      </c>
      <c r="E28" s="3" t="s">
        <v>13</v>
      </c>
      <c r="F28" s="3" t="s">
        <v>324</v>
      </c>
      <c r="G28" s="108">
        <v>26.5</v>
      </c>
      <c r="H28" s="108">
        <v>11.797500000000001</v>
      </c>
      <c r="I28" s="4">
        <v>0</v>
      </c>
      <c r="J28" s="138">
        <f>H28*I28*D28</f>
        <v>0</v>
      </c>
    </row>
    <row r="29" spans="1:10" s="104" customFormat="1" ht="27" customHeight="1" x14ac:dyDescent="0.3">
      <c r="A29" s="107" t="s">
        <v>55</v>
      </c>
      <c r="B29" s="107" t="s">
        <v>56</v>
      </c>
      <c r="C29" s="107" t="s">
        <v>46</v>
      </c>
      <c r="D29" s="107">
        <v>12</v>
      </c>
      <c r="E29" s="3" t="s">
        <v>13</v>
      </c>
      <c r="F29" s="3" t="s">
        <v>325</v>
      </c>
      <c r="G29" s="108">
        <v>26.99</v>
      </c>
      <c r="H29" s="108">
        <v>10.367500000000001</v>
      </c>
      <c r="I29" s="4">
        <v>0</v>
      </c>
      <c r="J29" s="138">
        <f>H29*I29*D29</f>
        <v>0</v>
      </c>
    </row>
    <row r="30" spans="1:10" s="104" customFormat="1" ht="27" customHeight="1" x14ac:dyDescent="0.3">
      <c r="A30" s="151" t="s">
        <v>57</v>
      </c>
      <c r="B30" s="151"/>
      <c r="C30" s="151"/>
      <c r="D30" s="151"/>
      <c r="E30" s="151"/>
      <c r="F30" s="151"/>
      <c r="G30" s="151"/>
      <c r="H30" s="151"/>
      <c r="I30" s="164"/>
      <c r="J30" s="151"/>
    </row>
    <row r="31" spans="1:10" s="104" customFormat="1" ht="27" customHeight="1" x14ac:dyDescent="0.3">
      <c r="A31" s="7" t="s">
        <v>58</v>
      </c>
      <c r="B31" s="7" t="s">
        <v>59</v>
      </c>
      <c r="C31" s="7" t="s">
        <v>60</v>
      </c>
      <c r="D31" s="107">
        <v>12</v>
      </c>
      <c r="E31" s="7" t="s">
        <v>61</v>
      </c>
      <c r="F31" s="7" t="s">
        <v>326</v>
      </c>
      <c r="G31" s="8">
        <v>46.95</v>
      </c>
      <c r="H31" s="8">
        <v>21.414250000000003</v>
      </c>
      <c r="I31" s="4">
        <v>0</v>
      </c>
      <c r="J31" s="138">
        <f t="shared" ref="J31" si="1">H31*I31*D31</f>
        <v>0</v>
      </c>
    </row>
    <row r="32" spans="1:10" s="104" customFormat="1" ht="27" customHeight="1" x14ac:dyDescent="0.3">
      <c r="A32" s="147" t="s">
        <v>62</v>
      </c>
      <c r="B32" s="147"/>
      <c r="C32" s="147"/>
      <c r="D32" s="147"/>
      <c r="E32" s="147"/>
      <c r="F32" s="147"/>
      <c r="G32" s="147"/>
      <c r="H32" s="147"/>
      <c r="I32" s="165"/>
      <c r="J32" s="147"/>
    </row>
    <row r="33" spans="1:10" s="104" customFormat="1" ht="27" customHeight="1" x14ac:dyDescent="0.3">
      <c r="A33" s="7" t="s">
        <v>63</v>
      </c>
      <c r="B33" s="7" t="s">
        <v>64</v>
      </c>
      <c r="C33" s="7" t="s">
        <v>50</v>
      </c>
      <c r="D33" s="107">
        <v>12</v>
      </c>
      <c r="E33" s="7" t="s">
        <v>13</v>
      </c>
      <c r="F33" s="7" t="s">
        <v>327</v>
      </c>
      <c r="G33" s="8">
        <v>21.95</v>
      </c>
      <c r="H33" s="8">
        <v>12.14785</v>
      </c>
      <c r="I33" s="4">
        <v>0</v>
      </c>
      <c r="J33" s="138">
        <f>H33*I33*D33</f>
        <v>0</v>
      </c>
    </row>
    <row r="34" spans="1:10" s="104" customFormat="1" ht="27" customHeight="1" x14ac:dyDescent="0.3">
      <c r="A34" s="7" t="s">
        <v>65</v>
      </c>
      <c r="B34" s="7" t="s">
        <v>66</v>
      </c>
      <c r="C34" s="7" t="s">
        <v>16</v>
      </c>
      <c r="D34" s="107">
        <v>12</v>
      </c>
      <c r="E34" s="7" t="s">
        <v>13</v>
      </c>
      <c r="F34" s="7" t="s">
        <v>328</v>
      </c>
      <c r="G34" s="117">
        <v>20.99</v>
      </c>
      <c r="H34" s="117">
        <v>12.14785</v>
      </c>
      <c r="I34" s="4">
        <v>0</v>
      </c>
      <c r="J34" s="142">
        <f>H34*I34*D34</f>
        <v>0</v>
      </c>
    </row>
    <row r="35" spans="1:10" s="104" customFormat="1" ht="27" customHeight="1" x14ac:dyDescent="0.3">
      <c r="A35" s="147" t="s">
        <v>71</v>
      </c>
      <c r="B35" s="147"/>
      <c r="C35" s="147"/>
      <c r="D35" s="147"/>
      <c r="E35" s="147"/>
      <c r="F35" s="147"/>
      <c r="G35" s="147"/>
      <c r="H35" s="147"/>
      <c r="I35" s="165"/>
      <c r="J35" s="147"/>
    </row>
    <row r="36" spans="1:10" s="104" customFormat="1" ht="27" customHeight="1" x14ac:dyDescent="0.3">
      <c r="A36" s="7" t="s">
        <v>72</v>
      </c>
      <c r="B36" s="7" t="s">
        <v>73</v>
      </c>
      <c r="C36" s="7" t="s">
        <v>19</v>
      </c>
      <c r="D36" s="107">
        <v>12</v>
      </c>
      <c r="E36" s="7" t="s">
        <v>13</v>
      </c>
      <c r="F36" s="7" t="s">
        <v>329</v>
      </c>
      <c r="G36" s="8">
        <v>26.95</v>
      </c>
      <c r="H36" s="8">
        <v>12.512500000000001</v>
      </c>
      <c r="I36" s="4">
        <v>0</v>
      </c>
      <c r="J36" s="138">
        <f>H36*I36*D36</f>
        <v>0</v>
      </c>
    </row>
    <row r="37" spans="1:10" s="104" customFormat="1" ht="27" customHeight="1" x14ac:dyDescent="0.3">
      <c r="A37" s="7" t="s">
        <v>77</v>
      </c>
      <c r="B37" s="7" t="s">
        <v>78</v>
      </c>
      <c r="C37" s="7" t="s">
        <v>16</v>
      </c>
      <c r="D37" s="107">
        <v>12</v>
      </c>
      <c r="E37" s="7" t="s">
        <v>13</v>
      </c>
      <c r="F37" s="7" t="s">
        <v>330</v>
      </c>
      <c r="G37" s="8">
        <v>21.99</v>
      </c>
      <c r="H37" s="8">
        <v>9.4737500000000008</v>
      </c>
      <c r="I37" s="4">
        <v>0</v>
      </c>
      <c r="J37" s="138">
        <f>H37*I37*D37</f>
        <v>0</v>
      </c>
    </row>
    <row r="38" spans="1:10" s="104" customFormat="1" ht="27" customHeight="1" x14ac:dyDescent="0.3">
      <c r="A38" s="147" t="s">
        <v>296</v>
      </c>
      <c r="B38" s="147"/>
      <c r="C38" s="147"/>
      <c r="D38" s="147"/>
      <c r="E38" s="147"/>
      <c r="F38" s="147"/>
      <c r="G38" s="147"/>
      <c r="H38" s="147"/>
      <c r="I38" s="165"/>
      <c r="J38" s="147"/>
    </row>
    <row r="39" spans="1:10" s="104" customFormat="1" ht="24" customHeight="1" x14ac:dyDescent="0.3">
      <c r="A39" s="107" t="s">
        <v>299</v>
      </c>
      <c r="B39" s="7" t="s">
        <v>297</v>
      </c>
      <c r="C39" s="7" t="s">
        <v>81</v>
      </c>
      <c r="D39" s="107">
        <v>2</v>
      </c>
      <c r="E39" s="7" t="s">
        <v>82</v>
      </c>
      <c r="F39" s="7" t="s">
        <v>331</v>
      </c>
      <c r="G39" s="8">
        <v>134.99</v>
      </c>
      <c r="H39" s="8">
        <v>55.047850000000004</v>
      </c>
      <c r="I39" s="4">
        <v>0</v>
      </c>
      <c r="J39" s="143">
        <f t="shared" ref="J39:J41" si="2">H39*I39*D39</f>
        <v>0</v>
      </c>
    </row>
    <row r="40" spans="1:10" s="104" customFormat="1" ht="27" customHeight="1" x14ac:dyDescent="0.3">
      <c r="A40" s="107" t="s">
        <v>299</v>
      </c>
      <c r="B40" s="7" t="s">
        <v>297</v>
      </c>
      <c r="C40" s="7" t="s">
        <v>81</v>
      </c>
      <c r="D40" s="107">
        <v>2</v>
      </c>
      <c r="E40" s="7" t="s">
        <v>31</v>
      </c>
      <c r="F40" s="7" t="s">
        <v>332</v>
      </c>
      <c r="G40" s="8">
        <v>134.99</v>
      </c>
      <c r="H40" s="8">
        <v>55.047850000000004</v>
      </c>
      <c r="I40" s="4">
        <v>0</v>
      </c>
      <c r="J40" s="144">
        <f t="shared" si="2"/>
        <v>0</v>
      </c>
    </row>
    <row r="41" spans="1:10" s="104" customFormat="1" ht="24" customHeight="1" x14ac:dyDescent="0.3">
      <c r="A41" s="107" t="s">
        <v>299</v>
      </c>
      <c r="B41" s="7" t="s">
        <v>297</v>
      </c>
      <c r="C41" s="7" t="s">
        <v>81</v>
      </c>
      <c r="D41" s="107">
        <v>2</v>
      </c>
      <c r="E41" s="7" t="s">
        <v>298</v>
      </c>
      <c r="F41" s="7" t="s">
        <v>333</v>
      </c>
      <c r="G41" s="8">
        <v>134.99</v>
      </c>
      <c r="H41" s="8">
        <v>55.047850000000004</v>
      </c>
      <c r="I41" s="116">
        <v>0</v>
      </c>
      <c r="J41" s="140">
        <f t="shared" si="2"/>
        <v>0</v>
      </c>
    </row>
    <row r="42" spans="1:10" s="104" customFormat="1" ht="24" customHeight="1" x14ac:dyDescent="0.3">
      <c r="A42" s="151" t="s">
        <v>86</v>
      </c>
      <c r="B42" s="151"/>
      <c r="C42" s="151"/>
      <c r="D42" s="151"/>
      <c r="E42" s="151"/>
      <c r="F42" s="151"/>
      <c r="G42" s="151"/>
      <c r="H42" s="151"/>
      <c r="I42" s="164"/>
      <c r="J42" s="156"/>
    </row>
    <row r="43" spans="1:10" s="104" customFormat="1" ht="24" customHeight="1" x14ac:dyDescent="0.3">
      <c r="A43" s="118" t="s">
        <v>87</v>
      </c>
      <c r="B43" s="119" t="s">
        <v>88</v>
      </c>
      <c r="C43" s="119" t="s">
        <v>40</v>
      </c>
      <c r="D43" s="120">
        <v>6</v>
      </c>
      <c r="E43" s="121" t="s">
        <v>89</v>
      </c>
      <c r="F43" s="121" t="s">
        <v>334</v>
      </c>
      <c r="G43" s="122">
        <v>99.99</v>
      </c>
      <c r="H43" s="122">
        <v>50.042850000000001</v>
      </c>
      <c r="I43" s="4">
        <v>0</v>
      </c>
      <c r="J43" s="138">
        <f t="shared" ref="J43:J51" si="3">H43*I43*D43</f>
        <v>0</v>
      </c>
    </row>
    <row r="44" spans="1:10" s="104" customFormat="1" ht="24" customHeight="1" x14ac:dyDescent="0.3">
      <c r="A44" s="123" t="s">
        <v>87</v>
      </c>
      <c r="B44" s="124" t="s">
        <v>90</v>
      </c>
      <c r="C44" s="124" t="s">
        <v>40</v>
      </c>
      <c r="D44" s="125">
        <v>6</v>
      </c>
      <c r="E44" s="126" t="s">
        <v>91</v>
      </c>
      <c r="F44" s="126" t="s">
        <v>335</v>
      </c>
      <c r="G44" s="122">
        <v>99.99</v>
      </c>
      <c r="H44" s="122">
        <v>50.042850000000001</v>
      </c>
      <c r="I44" s="4">
        <v>0</v>
      </c>
      <c r="J44" s="138">
        <f t="shared" si="3"/>
        <v>0</v>
      </c>
    </row>
    <row r="45" spans="1:10" s="104" customFormat="1" ht="24" customHeight="1" x14ac:dyDescent="0.3">
      <c r="A45" s="118" t="s">
        <v>87</v>
      </c>
      <c r="B45" s="124" t="s">
        <v>92</v>
      </c>
      <c r="C45" s="124" t="s">
        <v>40</v>
      </c>
      <c r="D45" s="125">
        <v>6</v>
      </c>
      <c r="E45" s="126" t="s">
        <v>93</v>
      </c>
      <c r="F45" s="126" t="s">
        <v>336</v>
      </c>
      <c r="G45" s="122">
        <v>99.99</v>
      </c>
      <c r="H45" s="122">
        <v>50.042850000000001</v>
      </c>
      <c r="I45" s="4">
        <v>0</v>
      </c>
      <c r="J45" s="138">
        <f t="shared" si="3"/>
        <v>0</v>
      </c>
    </row>
    <row r="46" spans="1:10" s="104" customFormat="1" ht="24" customHeight="1" x14ac:dyDescent="0.3">
      <c r="A46" s="118" t="s">
        <v>87</v>
      </c>
      <c r="B46" s="124" t="s">
        <v>94</v>
      </c>
      <c r="C46" s="124" t="s">
        <v>40</v>
      </c>
      <c r="D46" s="125">
        <v>6</v>
      </c>
      <c r="E46" s="126" t="s">
        <v>95</v>
      </c>
      <c r="F46" s="126" t="s">
        <v>337</v>
      </c>
      <c r="G46" s="122">
        <v>99.99</v>
      </c>
      <c r="H46" s="122">
        <v>50.042850000000001</v>
      </c>
      <c r="I46" s="4">
        <v>0</v>
      </c>
      <c r="J46" s="138">
        <f t="shared" si="3"/>
        <v>0</v>
      </c>
    </row>
    <row r="47" spans="1:10" s="104" customFormat="1" ht="24" customHeight="1" x14ac:dyDescent="0.3">
      <c r="A47" s="118" t="s">
        <v>87</v>
      </c>
      <c r="B47" s="124" t="s">
        <v>96</v>
      </c>
      <c r="C47" s="124" t="s">
        <v>40</v>
      </c>
      <c r="D47" s="125">
        <v>6</v>
      </c>
      <c r="E47" s="126" t="s">
        <v>85</v>
      </c>
      <c r="F47" s="126" t="s">
        <v>338</v>
      </c>
      <c r="G47" s="122">
        <v>99.99</v>
      </c>
      <c r="H47" s="122">
        <v>50.042850000000001</v>
      </c>
      <c r="I47" s="4">
        <v>0</v>
      </c>
      <c r="J47" s="138">
        <f>H47*I47*D47</f>
        <v>0</v>
      </c>
    </row>
    <row r="48" spans="1:10" s="104" customFormat="1" ht="24" customHeight="1" x14ac:dyDescent="0.3">
      <c r="A48" s="123" t="s">
        <v>87</v>
      </c>
      <c r="B48" s="124" t="s">
        <v>97</v>
      </c>
      <c r="C48" s="124" t="s">
        <v>40</v>
      </c>
      <c r="D48" s="125">
        <v>6</v>
      </c>
      <c r="E48" s="126" t="s">
        <v>98</v>
      </c>
      <c r="F48" s="126" t="s">
        <v>339</v>
      </c>
      <c r="G48" s="127">
        <v>99.99</v>
      </c>
      <c r="H48" s="122">
        <v>50.042850000000001</v>
      </c>
      <c r="I48" s="4">
        <v>0</v>
      </c>
      <c r="J48" s="138">
        <f>H48*I48*D48</f>
        <v>0</v>
      </c>
    </row>
    <row r="49" spans="1:10" s="104" customFormat="1" ht="24" customHeight="1" x14ac:dyDescent="0.3">
      <c r="A49" s="123" t="s">
        <v>99</v>
      </c>
      <c r="B49" s="124" t="s">
        <v>84</v>
      </c>
      <c r="C49" s="124" t="s">
        <v>35</v>
      </c>
      <c r="D49" s="125">
        <v>12</v>
      </c>
      <c r="E49" s="126" t="s">
        <v>89</v>
      </c>
      <c r="F49" s="126" t="s">
        <v>340</v>
      </c>
      <c r="G49" s="128">
        <v>49.99</v>
      </c>
      <c r="H49" s="128">
        <v>23.952500000000001</v>
      </c>
      <c r="I49" s="4">
        <v>0</v>
      </c>
      <c r="J49" s="138">
        <f t="shared" si="3"/>
        <v>0</v>
      </c>
    </row>
    <row r="50" spans="1:10" s="104" customFormat="1" ht="24" customHeight="1" x14ac:dyDescent="0.3">
      <c r="A50" s="123" t="s">
        <v>99</v>
      </c>
      <c r="B50" s="124" t="s">
        <v>83</v>
      </c>
      <c r="C50" s="124" t="s">
        <v>35</v>
      </c>
      <c r="D50" s="125">
        <v>12</v>
      </c>
      <c r="E50" s="126" t="s">
        <v>91</v>
      </c>
      <c r="F50" s="126" t="s">
        <v>341</v>
      </c>
      <c r="G50" s="128">
        <v>49.99</v>
      </c>
      <c r="H50" s="128">
        <v>23.952500000000001</v>
      </c>
      <c r="I50" s="4">
        <v>0</v>
      </c>
      <c r="J50" s="138">
        <f t="shared" si="3"/>
        <v>0</v>
      </c>
    </row>
    <row r="51" spans="1:10" s="104" customFormat="1" ht="24" customHeight="1" x14ac:dyDescent="0.3">
      <c r="A51" s="123" t="s">
        <v>99</v>
      </c>
      <c r="B51" s="124" t="s">
        <v>100</v>
      </c>
      <c r="C51" s="124" t="s">
        <v>35</v>
      </c>
      <c r="D51" s="125">
        <v>12</v>
      </c>
      <c r="E51" s="126" t="s">
        <v>93</v>
      </c>
      <c r="F51" s="126" t="s">
        <v>342</v>
      </c>
      <c r="G51" s="128">
        <v>49.99</v>
      </c>
      <c r="H51" s="128">
        <v>23.952500000000001</v>
      </c>
      <c r="I51" s="4">
        <v>0</v>
      </c>
      <c r="J51" s="138">
        <f t="shared" si="3"/>
        <v>0</v>
      </c>
    </row>
    <row r="52" spans="1:10" s="104" customFormat="1" ht="24" customHeight="1" x14ac:dyDescent="0.3">
      <c r="A52" s="147" t="s">
        <v>101</v>
      </c>
      <c r="B52" s="147"/>
      <c r="C52" s="147"/>
      <c r="D52" s="147"/>
      <c r="E52" s="147"/>
      <c r="F52" s="147"/>
      <c r="G52" s="147"/>
      <c r="H52" s="147"/>
      <c r="I52" s="165"/>
      <c r="J52" s="147"/>
    </row>
    <row r="53" spans="1:10" s="104" customFormat="1" ht="24" customHeight="1" x14ac:dyDescent="0.3">
      <c r="A53" s="107" t="s">
        <v>102</v>
      </c>
      <c r="B53" s="107" t="s">
        <v>103</v>
      </c>
      <c r="C53" s="107" t="s">
        <v>40</v>
      </c>
      <c r="D53" s="107">
        <v>6</v>
      </c>
      <c r="E53" s="3" t="s">
        <v>82</v>
      </c>
      <c r="F53" s="3" t="s">
        <v>343</v>
      </c>
      <c r="G53" s="108">
        <v>129.99</v>
      </c>
      <c r="H53" s="108">
        <v>67.925000000000011</v>
      </c>
      <c r="I53" s="4">
        <v>0</v>
      </c>
      <c r="J53" s="138">
        <f t="shared" ref="J53:J56" si="4">H53*I53*D53</f>
        <v>0</v>
      </c>
    </row>
    <row r="54" spans="1:10" s="104" customFormat="1" ht="24" customHeight="1" x14ac:dyDescent="0.3">
      <c r="A54" s="107" t="s">
        <v>102</v>
      </c>
      <c r="B54" s="107" t="s">
        <v>104</v>
      </c>
      <c r="C54" s="107" t="s">
        <v>40</v>
      </c>
      <c r="D54" s="107">
        <v>6</v>
      </c>
      <c r="E54" s="3" t="s">
        <v>105</v>
      </c>
      <c r="F54" s="3" t="s">
        <v>344</v>
      </c>
      <c r="G54" s="108">
        <v>129.99</v>
      </c>
      <c r="H54" s="108">
        <v>67.925000000000011</v>
      </c>
      <c r="I54" s="4">
        <v>0</v>
      </c>
      <c r="J54" s="138">
        <f t="shared" si="4"/>
        <v>0</v>
      </c>
    </row>
    <row r="55" spans="1:10" s="104" customFormat="1" ht="24" customHeight="1" x14ac:dyDescent="0.3">
      <c r="A55" s="107" t="s">
        <v>106</v>
      </c>
      <c r="B55" s="107" t="s">
        <v>107</v>
      </c>
      <c r="C55" s="107" t="s">
        <v>108</v>
      </c>
      <c r="D55" s="107">
        <v>12</v>
      </c>
      <c r="E55" s="3" t="s">
        <v>82</v>
      </c>
      <c r="F55" s="3" t="s">
        <v>345</v>
      </c>
      <c r="G55" s="108">
        <v>69.989999999999995</v>
      </c>
      <c r="H55" s="108">
        <v>35.742850000000004</v>
      </c>
      <c r="I55" s="4">
        <v>0</v>
      </c>
      <c r="J55" s="138">
        <f t="shared" si="4"/>
        <v>0</v>
      </c>
    </row>
    <row r="56" spans="1:10" s="104" customFormat="1" ht="24" customHeight="1" x14ac:dyDescent="0.3">
      <c r="A56" s="107" t="s">
        <v>106</v>
      </c>
      <c r="B56" s="107" t="s">
        <v>109</v>
      </c>
      <c r="C56" s="107" t="s">
        <v>108</v>
      </c>
      <c r="D56" s="107">
        <v>12</v>
      </c>
      <c r="E56" s="3" t="s">
        <v>105</v>
      </c>
      <c r="F56" s="3" t="s">
        <v>346</v>
      </c>
      <c r="G56" s="108">
        <v>69.989999999999995</v>
      </c>
      <c r="H56" s="108">
        <v>35.742850000000004</v>
      </c>
      <c r="I56" s="4">
        <v>0</v>
      </c>
      <c r="J56" s="138">
        <f t="shared" si="4"/>
        <v>0</v>
      </c>
    </row>
    <row r="57" spans="1:10" s="104" customFormat="1" ht="24" customHeight="1" x14ac:dyDescent="0.3">
      <c r="A57" s="151" t="s">
        <v>111</v>
      </c>
      <c r="B57" s="151"/>
      <c r="C57" s="151"/>
      <c r="D57" s="151"/>
      <c r="E57" s="151"/>
      <c r="F57" s="151"/>
      <c r="G57" s="151"/>
      <c r="H57" s="151"/>
      <c r="I57" s="164"/>
      <c r="J57" s="151"/>
    </row>
    <row r="58" spans="1:10" s="104" customFormat="1" ht="24" customHeight="1" x14ac:dyDescent="0.3">
      <c r="A58" s="107" t="s">
        <v>389</v>
      </c>
      <c r="B58" s="7" t="s">
        <v>112</v>
      </c>
      <c r="C58" s="7" t="s">
        <v>23</v>
      </c>
      <c r="D58" s="107">
        <v>12</v>
      </c>
      <c r="E58" s="7" t="s">
        <v>13</v>
      </c>
      <c r="F58" s="7" t="s">
        <v>347</v>
      </c>
      <c r="G58" s="8">
        <v>21.99</v>
      </c>
      <c r="H58" s="8">
        <v>9.4308500000000013</v>
      </c>
      <c r="I58" s="4">
        <v>0</v>
      </c>
      <c r="J58" s="138">
        <f>H58*I58*D58</f>
        <v>0</v>
      </c>
    </row>
    <row r="59" spans="1:10" s="104" customFormat="1" ht="24" customHeight="1" x14ac:dyDescent="0.3">
      <c r="A59" s="151" t="s">
        <v>113</v>
      </c>
      <c r="B59" s="151"/>
      <c r="C59" s="151"/>
      <c r="D59" s="151"/>
      <c r="E59" s="151"/>
      <c r="F59" s="151"/>
      <c r="G59" s="151"/>
      <c r="H59" s="151"/>
      <c r="I59" s="164"/>
      <c r="J59" s="151"/>
    </row>
    <row r="60" spans="1:10" s="104" customFormat="1" ht="24" customHeight="1" x14ac:dyDescent="0.3">
      <c r="A60" s="107" t="s">
        <v>348</v>
      </c>
      <c r="B60" s="7" t="s">
        <v>292</v>
      </c>
      <c r="C60" s="7" t="s">
        <v>23</v>
      </c>
      <c r="D60" s="107">
        <v>12</v>
      </c>
      <c r="E60" s="7" t="s">
        <v>13</v>
      </c>
      <c r="F60" s="7" t="s">
        <v>349</v>
      </c>
      <c r="G60" s="8">
        <v>49.95</v>
      </c>
      <c r="H60" s="129">
        <v>22.522500000000004</v>
      </c>
      <c r="I60" s="4">
        <v>0</v>
      </c>
      <c r="J60" s="138">
        <f t="shared" ref="J60" si="5">H60*I60*D60</f>
        <v>0</v>
      </c>
    </row>
    <row r="61" spans="1:10" s="104" customFormat="1" ht="24" customHeight="1" x14ac:dyDescent="0.3">
      <c r="A61" s="7" t="s">
        <v>115</v>
      </c>
      <c r="B61" s="7" t="s">
        <v>21</v>
      </c>
      <c r="C61" s="7" t="s">
        <v>16</v>
      </c>
      <c r="D61" s="107">
        <v>12</v>
      </c>
      <c r="E61" s="7" t="s">
        <v>13</v>
      </c>
      <c r="F61" s="7" t="s">
        <v>350</v>
      </c>
      <c r="G61" s="130">
        <v>14.5</v>
      </c>
      <c r="H61" s="130">
        <v>6.0775000000000015</v>
      </c>
      <c r="I61" s="4">
        <v>0</v>
      </c>
      <c r="J61" s="138">
        <f>H61*I61*D61</f>
        <v>0</v>
      </c>
    </row>
    <row r="62" spans="1:10" s="104" customFormat="1" ht="24" customHeight="1" x14ac:dyDescent="0.3">
      <c r="A62" s="147" t="s">
        <v>116</v>
      </c>
      <c r="B62" s="147"/>
      <c r="C62" s="147"/>
      <c r="D62" s="147"/>
      <c r="E62" s="147"/>
      <c r="F62" s="147"/>
      <c r="G62" s="147"/>
      <c r="H62" s="147"/>
      <c r="I62" s="165"/>
      <c r="J62" s="147"/>
    </row>
    <row r="63" spans="1:10" s="104" customFormat="1" ht="24" customHeight="1" x14ac:dyDescent="0.3">
      <c r="A63" s="7" t="s">
        <v>117</v>
      </c>
      <c r="B63" s="7" t="s">
        <v>112</v>
      </c>
      <c r="C63" s="7" t="s">
        <v>46</v>
      </c>
      <c r="D63" s="107">
        <v>12</v>
      </c>
      <c r="E63" s="7" t="s">
        <v>13</v>
      </c>
      <c r="F63" s="7" t="s">
        <v>351</v>
      </c>
      <c r="G63" s="117">
        <v>19.989999999999998</v>
      </c>
      <c r="H63" s="117">
        <v>8.5728500000000007</v>
      </c>
      <c r="I63" s="4">
        <v>0</v>
      </c>
      <c r="J63" s="142">
        <f>H63*I63*D63</f>
        <v>0</v>
      </c>
    </row>
    <row r="64" spans="1:10" s="104" customFormat="1" ht="24" customHeight="1" x14ac:dyDescent="0.3">
      <c r="A64" s="147" t="s">
        <v>118</v>
      </c>
      <c r="B64" s="147"/>
      <c r="C64" s="147"/>
      <c r="D64" s="147"/>
      <c r="E64" s="147"/>
      <c r="F64" s="147"/>
      <c r="G64" s="147"/>
      <c r="H64" s="147"/>
      <c r="I64" s="165"/>
      <c r="J64" s="147"/>
    </row>
    <row r="65" spans="1:10" s="104" customFormat="1" ht="24" customHeight="1" x14ac:dyDescent="0.3">
      <c r="A65" s="7" t="s">
        <v>119</v>
      </c>
      <c r="B65" s="7" t="s">
        <v>112</v>
      </c>
      <c r="C65" s="7" t="s">
        <v>23</v>
      </c>
      <c r="D65" s="107">
        <v>12</v>
      </c>
      <c r="E65" s="7" t="s">
        <v>13</v>
      </c>
      <c r="F65" s="7" t="s">
        <v>352</v>
      </c>
      <c r="G65" s="8">
        <v>12.99</v>
      </c>
      <c r="H65" s="8">
        <v>5.3624999999999998</v>
      </c>
      <c r="I65" s="4">
        <v>0</v>
      </c>
      <c r="J65" s="138">
        <f>H65*I65*D65</f>
        <v>0</v>
      </c>
    </row>
    <row r="66" spans="1:10" s="104" customFormat="1" ht="24" customHeight="1" x14ac:dyDescent="0.3">
      <c r="A66" s="147" t="s">
        <v>120</v>
      </c>
      <c r="B66" s="147"/>
      <c r="C66" s="147"/>
      <c r="D66" s="147"/>
      <c r="E66" s="147"/>
      <c r="F66" s="147"/>
      <c r="G66" s="147"/>
      <c r="H66" s="147"/>
      <c r="I66" s="165"/>
      <c r="J66" s="147"/>
    </row>
    <row r="67" spans="1:10" s="104" customFormat="1" ht="24" customHeight="1" x14ac:dyDescent="0.3">
      <c r="A67" s="7" t="s">
        <v>294</v>
      </c>
      <c r="B67" s="7" t="s">
        <v>121</v>
      </c>
      <c r="C67" s="7" t="s">
        <v>19</v>
      </c>
      <c r="D67" s="107">
        <v>12</v>
      </c>
      <c r="E67" s="7" t="s">
        <v>13</v>
      </c>
      <c r="F67" s="7" t="s">
        <v>353</v>
      </c>
      <c r="G67" s="8">
        <v>59.95</v>
      </c>
      <c r="H67" s="8">
        <v>27.148550000000004</v>
      </c>
      <c r="I67" s="131">
        <v>0</v>
      </c>
      <c r="J67" s="138">
        <f>H67*I67*D67</f>
        <v>0</v>
      </c>
    </row>
    <row r="68" spans="1:10" s="104" customFormat="1" ht="24" customHeight="1" x14ac:dyDescent="0.3">
      <c r="A68" s="147" t="s">
        <v>122</v>
      </c>
      <c r="B68" s="147"/>
      <c r="C68" s="147"/>
      <c r="D68" s="147"/>
      <c r="E68" s="147"/>
      <c r="F68" s="147"/>
      <c r="G68" s="147"/>
      <c r="H68" s="147"/>
      <c r="I68" s="165"/>
      <c r="J68" s="147"/>
    </row>
    <row r="69" spans="1:10" s="104" customFormat="1" ht="38.25" customHeight="1" x14ac:dyDescent="0.3">
      <c r="A69" s="7" t="s">
        <v>123</v>
      </c>
      <c r="B69" s="7" t="s">
        <v>112</v>
      </c>
      <c r="C69" s="7" t="s">
        <v>46</v>
      </c>
      <c r="D69" s="107">
        <v>12</v>
      </c>
      <c r="E69" s="7" t="s">
        <v>13</v>
      </c>
      <c r="F69" s="7" t="s">
        <v>354</v>
      </c>
      <c r="G69" s="8">
        <v>29.99</v>
      </c>
      <c r="H69" s="8">
        <v>13.227500000000001</v>
      </c>
      <c r="I69" s="4">
        <v>0</v>
      </c>
      <c r="J69" s="138">
        <f>H69*I69*D69</f>
        <v>0</v>
      </c>
    </row>
    <row r="70" spans="1:10" s="104" customFormat="1" ht="24" customHeight="1" x14ac:dyDescent="0.3">
      <c r="A70" s="10" t="s">
        <v>123</v>
      </c>
      <c r="B70" s="10" t="s">
        <v>124</v>
      </c>
      <c r="C70" s="10" t="s">
        <v>16</v>
      </c>
      <c r="D70" s="132">
        <v>12</v>
      </c>
      <c r="E70" s="7" t="s">
        <v>13</v>
      </c>
      <c r="F70" s="7" t="s">
        <v>355</v>
      </c>
      <c r="G70" s="13">
        <v>52.99</v>
      </c>
      <c r="H70" s="13">
        <v>23.587850000000007</v>
      </c>
      <c r="I70" s="4">
        <v>0</v>
      </c>
      <c r="J70" s="138">
        <f>H70*I70*D70</f>
        <v>0</v>
      </c>
    </row>
    <row r="71" spans="1:10" s="104" customFormat="1" ht="24" customHeight="1" x14ac:dyDescent="0.3">
      <c r="A71" s="147" t="s">
        <v>125</v>
      </c>
      <c r="B71" s="147"/>
      <c r="C71" s="147"/>
      <c r="D71" s="147"/>
      <c r="E71" s="147"/>
      <c r="F71" s="147"/>
      <c r="G71" s="147"/>
      <c r="H71" s="147"/>
      <c r="I71" s="165"/>
      <c r="J71" s="147"/>
    </row>
    <row r="72" spans="1:10" s="104" customFormat="1" ht="24" customHeight="1" x14ac:dyDescent="0.3">
      <c r="A72" s="10" t="s">
        <v>126</v>
      </c>
      <c r="B72" s="10" t="s">
        <v>66</v>
      </c>
      <c r="C72" s="10" t="s">
        <v>16</v>
      </c>
      <c r="D72" s="132">
        <v>12</v>
      </c>
      <c r="E72" s="7" t="s">
        <v>13</v>
      </c>
      <c r="F72" s="7" t="s">
        <v>356</v>
      </c>
      <c r="G72" s="13">
        <v>33.99</v>
      </c>
      <c r="H72" s="13">
        <v>14.657500000000001</v>
      </c>
      <c r="I72" s="4">
        <v>0</v>
      </c>
      <c r="J72" s="138">
        <f>H72*I72*D72</f>
        <v>0</v>
      </c>
    </row>
    <row r="73" spans="1:10" s="104" customFormat="1" ht="24" customHeight="1" x14ac:dyDescent="0.3">
      <c r="A73" s="147" t="s">
        <v>127</v>
      </c>
      <c r="B73" s="147"/>
      <c r="C73" s="147"/>
      <c r="D73" s="147"/>
      <c r="E73" s="147"/>
      <c r="F73" s="147"/>
      <c r="G73" s="147"/>
      <c r="H73" s="147"/>
      <c r="I73" s="165"/>
      <c r="J73" s="152"/>
    </row>
    <row r="74" spans="1:10" s="104" customFormat="1" ht="24" customHeight="1" x14ac:dyDescent="0.3">
      <c r="A74" s="10" t="s">
        <v>128</v>
      </c>
      <c r="B74" s="10" t="s">
        <v>56</v>
      </c>
      <c r="C74" s="10" t="s">
        <v>46</v>
      </c>
      <c r="D74" s="132">
        <v>12</v>
      </c>
      <c r="E74" s="7" t="s">
        <v>13</v>
      </c>
      <c r="F74" s="7" t="s">
        <v>357</v>
      </c>
      <c r="G74" s="13">
        <v>29.99</v>
      </c>
      <c r="H74" s="13">
        <v>13.57785</v>
      </c>
      <c r="I74" s="4">
        <v>0</v>
      </c>
      <c r="J74" s="143">
        <f>H74*I74*D74</f>
        <v>0</v>
      </c>
    </row>
    <row r="75" spans="1:10" s="104" customFormat="1" ht="34.5" customHeight="1" x14ac:dyDescent="0.3">
      <c r="A75" s="147" t="s">
        <v>129</v>
      </c>
      <c r="B75" s="147"/>
      <c r="C75" s="147"/>
      <c r="D75" s="147"/>
      <c r="E75" s="147"/>
      <c r="F75" s="147"/>
      <c r="G75" s="147"/>
      <c r="H75" s="147"/>
      <c r="I75" s="165"/>
      <c r="J75" s="147"/>
    </row>
    <row r="76" spans="1:10" s="104" customFormat="1" ht="27" customHeight="1" x14ac:dyDescent="0.3">
      <c r="A76" s="7" t="s">
        <v>130</v>
      </c>
      <c r="B76" s="107" t="s">
        <v>131</v>
      </c>
      <c r="C76" s="107" t="s">
        <v>132</v>
      </c>
      <c r="D76" s="107">
        <v>12</v>
      </c>
      <c r="E76" s="7" t="s">
        <v>13</v>
      </c>
      <c r="F76" s="107" t="s">
        <v>358</v>
      </c>
      <c r="G76" s="133">
        <v>39.99</v>
      </c>
      <c r="H76" s="133">
        <v>17.867850000000001</v>
      </c>
      <c r="I76" s="131">
        <v>0</v>
      </c>
      <c r="J76" s="142">
        <f>H76*I76*D76</f>
        <v>0</v>
      </c>
    </row>
    <row r="77" spans="1:10" s="104" customFormat="1" ht="27" customHeight="1" x14ac:dyDescent="0.3">
      <c r="A77" s="147" t="s">
        <v>133</v>
      </c>
      <c r="B77" s="147"/>
      <c r="C77" s="147"/>
      <c r="D77" s="147"/>
      <c r="E77" s="147"/>
      <c r="F77" s="147"/>
      <c r="G77" s="147"/>
      <c r="H77" s="147"/>
      <c r="I77" s="165"/>
      <c r="J77" s="147"/>
    </row>
    <row r="78" spans="1:10" s="104" customFormat="1" ht="27" customHeight="1" x14ac:dyDescent="0.3">
      <c r="A78" s="7" t="s">
        <v>134</v>
      </c>
      <c r="B78" s="7" t="s">
        <v>56</v>
      </c>
      <c r="C78" s="7" t="s">
        <v>23</v>
      </c>
      <c r="D78" s="107">
        <v>12</v>
      </c>
      <c r="E78" s="7" t="s">
        <v>13</v>
      </c>
      <c r="F78" s="7" t="s">
        <v>359</v>
      </c>
      <c r="G78" s="8">
        <v>29.95</v>
      </c>
      <c r="H78" s="8">
        <v>12.848549999999999</v>
      </c>
      <c r="I78" s="4">
        <v>0</v>
      </c>
      <c r="J78" s="138">
        <f>H78*I78*D78</f>
        <v>0</v>
      </c>
    </row>
    <row r="79" spans="1:10" s="104" customFormat="1" ht="27" customHeight="1" x14ac:dyDescent="0.3">
      <c r="A79" s="147" t="s">
        <v>135</v>
      </c>
      <c r="B79" s="147"/>
      <c r="C79" s="147"/>
      <c r="D79" s="147"/>
      <c r="E79" s="147"/>
      <c r="F79" s="147"/>
      <c r="G79" s="147"/>
      <c r="H79" s="147"/>
      <c r="I79" s="165"/>
      <c r="J79" s="147"/>
    </row>
    <row r="80" spans="1:10" s="104" customFormat="1" ht="27" customHeight="1" x14ac:dyDescent="0.3">
      <c r="A80" s="7" t="s">
        <v>136</v>
      </c>
      <c r="B80" s="7" t="s">
        <v>137</v>
      </c>
      <c r="C80" s="7" t="s">
        <v>50</v>
      </c>
      <c r="D80" s="107">
        <v>12</v>
      </c>
      <c r="E80" s="7" t="s">
        <v>13</v>
      </c>
      <c r="F80" s="7" t="s">
        <v>360</v>
      </c>
      <c r="G80" s="8">
        <v>14.5</v>
      </c>
      <c r="H80" s="8">
        <v>7.142850000000001</v>
      </c>
      <c r="I80" s="4">
        <v>0</v>
      </c>
      <c r="J80" s="138">
        <f>H80*I80*D80</f>
        <v>0</v>
      </c>
    </row>
    <row r="81" spans="1:10" s="104" customFormat="1" ht="24" customHeight="1" x14ac:dyDescent="0.3">
      <c r="A81" s="151" t="s">
        <v>138</v>
      </c>
      <c r="B81" s="151"/>
      <c r="C81" s="151"/>
      <c r="D81" s="151"/>
      <c r="E81" s="151"/>
      <c r="F81" s="151"/>
      <c r="G81" s="151"/>
      <c r="H81" s="151"/>
      <c r="I81" s="164"/>
      <c r="J81" s="151"/>
    </row>
    <row r="82" spans="1:10" s="104" customFormat="1" ht="24" customHeight="1" x14ac:dyDescent="0.3">
      <c r="A82" s="7" t="s">
        <v>139</v>
      </c>
      <c r="B82" s="10" t="s">
        <v>140</v>
      </c>
      <c r="C82" s="7" t="s">
        <v>50</v>
      </c>
      <c r="D82" s="107">
        <v>12</v>
      </c>
      <c r="E82" s="7" t="s">
        <v>13</v>
      </c>
      <c r="F82" s="7" t="s">
        <v>361</v>
      </c>
      <c r="G82" s="8">
        <v>24.99</v>
      </c>
      <c r="H82" s="8">
        <v>11.797500000000001</v>
      </c>
      <c r="I82" s="4">
        <v>0</v>
      </c>
      <c r="J82" s="138">
        <f>H82*I82*D82</f>
        <v>0</v>
      </c>
    </row>
    <row r="83" spans="1:10" s="104" customFormat="1" ht="24" customHeight="1" x14ac:dyDescent="0.3">
      <c r="A83" s="7" t="s">
        <v>139</v>
      </c>
      <c r="B83" s="10" t="s">
        <v>141</v>
      </c>
      <c r="C83" s="7" t="s">
        <v>19</v>
      </c>
      <c r="D83" s="107">
        <v>12</v>
      </c>
      <c r="E83" s="7" t="s">
        <v>13</v>
      </c>
      <c r="F83" s="7" t="s">
        <v>362</v>
      </c>
      <c r="G83" s="8">
        <v>39.950000000000003</v>
      </c>
      <c r="H83" s="8">
        <v>19.29785</v>
      </c>
      <c r="I83" s="4">
        <v>0</v>
      </c>
      <c r="J83" s="138">
        <f>H83*I83*D83</f>
        <v>0</v>
      </c>
    </row>
    <row r="84" spans="1:10" s="104" customFormat="1" ht="24" customHeight="1" x14ac:dyDescent="0.3">
      <c r="A84" s="147" t="s">
        <v>142</v>
      </c>
      <c r="B84" s="147"/>
      <c r="C84" s="147"/>
      <c r="D84" s="147"/>
      <c r="E84" s="147"/>
      <c r="F84" s="147"/>
      <c r="G84" s="147"/>
      <c r="H84" s="147"/>
      <c r="I84" s="165"/>
      <c r="J84" s="147"/>
    </row>
    <row r="85" spans="1:10" s="104" customFormat="1" ht="24" customHeight="1" x14ac:dyDescent="0.3">
      <c r="A85" s="7" t="s">
        <v>143</v>
      </c>
      <c r="B85" s="7" t="s">
        <v>56</v>
      </c>
      <c r="C85" s="7" t="s">
        <v>46</v>
      </c>
      <c r="D85" s="107">
        <v>12</v>
      </c>
      <c r="E85" s="7" t="s">
        <v>13</v>
      </c>
      <c r="F85" s="7" t="s">
        <v>363</v>
      </c>
      <c r="G85" s="117">
        <v>19.989999999999998</v>
      </c>
      <c r="H85" s="117">
        <v>8.5728500000000007</v>
      </c>
      <c r="I85" s="4">
        <v>0</v>
      </c>
      <c r="J85" s="142">
        <f t="shared" ref="J85:J86" si="6">H85*I85*D85</f>
        <v>0</v>
      </c>
    </row>
    <row r="86" spans="1:10" s="104" customFormat="1" ht="24" customHeight="1" x14ac:dyDescent="0.3">
      <c r="A86" s="7" t="s">
        <v>291</v>
      </c>
      <c r="B86" s="7" t="s">
        <v>56</v>
      </c>
      <c r="C86" s="7" t="s">
        <v>46</v>
      </c>
      <c r="D86" s="107">
        <v>12</v>
      </c>
      <c r="E86" s="7" t="s">
        <v>13</v>
      </c>
      <c r="F86" s="7" t="s">
        <v>364</v>
      </c>
      <c r="G86" s="117">
        <v>19.989999999999998</v>
      </c>
      <c r="H86" s="117">
        <v>8.5728500000000007</v>
      </c>
      <c r="I86" s="4">
        <v>0</v>
      </c>
      <c r="J86" s="145">
        <f t="shared" si="6"/>
        <v>0</v>
      </c>
    </row>
    <row r="87" spans="1:10" s="104" customFormat="1" ht="24" customHeight="1" x14ac:dyDescent="0.3">
      <c r="A87" s="147" t="s">
        <v>144</v>
      </c>
      <c r="B87" s="147"/>
      <c r="C87" s="147"/>
      <c r="D87" s="147"/>
      <c r="E87" s="147"/>
      <c r="F87" s="147"/>
      <c r="G87" s="147"/>
      <c r="H87" s="147"/>
      <c r="I87" s="165"/>
      <c r="J87" s="147"/>
    </row>
    <row r="88" spans="1:10" s="104" customFormat="1" ht="27" customHeight="1" x14ac:dyDescent="0.3">
      <c r="A88" s="7" t="s">
        <v>145</v>
      </c>
      <c r="B88" s="7" t="s">
        <v>114</v>
      </c>
      <c r="C88" s="7" t="s">
        <v>46</v>
      </c>
      <c r="D88" s="107">
        <v>12</v>
      </c>
      <c r="E88" s="7" t="s">
        <v>13</v>
      </c>
      <c r="F88" s="7" t="s">
        <v>365</v>
      </c>
      <c r="G88" s="8">
        <v>39.950000000000003</v>
      </c>
      <c r="H88" s="8">
        <v>17.138550000000002</v>
      </c>
      <c r="I88" s="4">
        <v>0</v>
      </c>
      <c r="J88" s="138">
        <f>H88*I88*D88</f>
        <v>0</v>
      </c>
    </row>
    <row r="89" spans="1:10" s="104" customFormat="1" ht="27" customHeight="1" x14ac:dyDescent="0.3">
      <c r="A89" s="147" t="s">
        <v>146</v>
      </c>
      <c r="B89" s="147"/>
      <c r="C89" s="147"/>
      <c r="D89" s="147"/>
      <c r="E89" s="147"/>
      <c r="F89" s="147"/>
      <c r="G89" s="147"/>
      <c r="H89" s="147"/>
      <c r="I89" s="165"/>
      <c r="J89" s="147"/>
    </row>
    <row r="90" spans="1:10" s="104" customFormat="1" ht="24" customHeight="1" x14ac:dyDescent="0.3">
      <c r="A90" s="7" t="s">
        <v>147</v>
      </c>
      <c r="B90" s="7" t="s">
        <v>148</v>
      </c>
      <c r="C90" s="7" t="s">
        <v>30</v>
      </c>
      <c r="D90" s="107">
        <v>12</v>
      </c>
      <c r="E90" s="7" t="s">
        <v>61</v>
      </c>
      <c r="F90" s="7" t="s">
        <v>366</v>
      </c>
      <c r="G90" s="8">
        <v>49.99</v>
      </c>
      <c r="H90" s="8">
        <v>21.442850000000004</v>
      </c>
      <c r="I90" s="4">
        <v>0</v>
      </c>
      <c r="J90" s="138">
        <f t="shared" ref="J90:J94" si="7">H90*I90*D90</f>
        <v>0</v>
      </c>
    </row>
    <row r="91" spans="1:10" s="104" customFormat="1" ht="24" customHeight="1" x14ac:dyDescent="0.3">
      <c r="A91" s="7" t="s">
        <v>147</v>
      </c>
      <c r="B91" s="7" t="s">
        <v>148</v>
      </c>
      <c r="C91" s="7" t="s">
        <v>30</v>
      </c>
      <c r="D91" s="107">
        <v>12</v>
      </c>
      <c r="E91" s="7" t="s">
        <v>149</v>
      </c>
      <c r="F91" s="7" t="s">
        <v>367</v>
      </c>
      <c r="G91" s="8">
        <v>49.99</v>
      </c>
      <c r="H91" s="8">
        <v>21.442850000000004</v>
      </c>
      <c r="I91" s="4">
        <v>0</v>
      </c>
      <c r="J91" s="138">
        <f t="shared" si="7"/>
        <v>0</v>
      </c>
    </row>
    <row r="92" spans="1:10" s="104" customFormat="1" ht="24" customHeight="1" x14ac:dyDescent="0.3">
      <c r="A92" s="7" t="s">
        <v>150</v>
      </c>
      <c r="B92" s="7" t="s">
        <v>148</v>
      </c>
      <c r="C92" s="7" t="s">
        <v>30</v>
      </c>
      <c r="D92" s="107">
        <v>12</v>
      </c>
      <c r="E92" s="7" t="s">
        <v>151</v>
      </c>
      <c r="F92" s="7" t="s">
        <v>368</v>
      </c>
      <c r="G92" s="8">
        <v>49.99</v>
      </c>
      <c r="H92" s="8">
        <v>21.442850000000004</v>
      </c>
      <c r="I92" s="4">
        <v>0</v>
      </c>
      <c r="J92" s="138">
        <f t="shared" si="7"/>
        <v>0</v>
      </c>
    </row>
    <row r="93" spans="1:10" s="104" customFormat="1" ht="24" customHeight="1" x14ac:dyDescent="0.3">
      <c r="A93" s="7" t="s">
        <v>152</v>
      </c>
      <c r="B93" s="7" t="s">
        <v>153</v>
      </c>
      <c r="C93" s="7" t="s">
        <v>154</v>
      </c>
      <c r="D93" s="107">
        <v>12</v>
      </c>
      <c r="E93" s="7" t="s">
        <v>155</v>
      </c>
      <c r="F93" s="7" t="s">
        <v>369</v>
      </c>
      <c r="G93" s="8">
        <v>69.95</v>
      </c>
      <c r="H93" s="8">
        <v>33.597850000000008</v>
      </c>
      <c r="I93" s="4">
        <v>0</v>
      </c>
      <c r="J93" s="138">
        <f t="shared" si="7"/>
        <v>0</v>
      </c>
    </row>
    <row r="94" spans="1:10" s="104" customFormat="1" ht="24" customHeight="1" x14ac:dyDescent="0.3">
      <c r="A94" s="7" t="s">
        <v>156</v>
      </c>
      <c r="B94" s="7" t="s">
        <v>157</v>
      </c>
      <c r="C94" s="7" t="s">
        <v>158</v>
      </c>
      <c r="D94" s="107">
        <v>12</v>
      </c>
      <c r="E94" s="7" t="s">
        <v>159</v>
      </c>
      <c r="F94" s="7" t="s">
        <v>370</v>
      </c>
      <c r="G94" s="8">
        <v>37.5</v>
      </c>
      <c r="H94" s="8">
        <v>18.232500000000002</v>
      </c>
      <c r="I94" s="4">
        <v>0</v>
      </c>
      <c r="J94" s="138">
        <f t="shared" si="7"/>
        <v>0</v>
      </c>
    </row>
    <row r="95" spans="1:10" s="104" customFormat="1" ht="24" customHeight="1" x14ac:dyDescent="0.3">
      <c r="A95" s="7" t="s">
        <v>160</v>
      </c>
      <c r="B95" s="7" t="s">
        <v>161</v>
      </c>
      <c r="C95" s="7" t="s">
        <v>158</v>
      </c>
      <c r="D95" s="107">
        <v>12</v>
      </c>
      <c r="E95" s="7" t="s">
        <v>151</v>
      </c>
      <c r="F95" s="7" t="s">
        <v>371</v>
      </c>
      <c r="G95" s="8">
        <v>37.5</v>
      </c>
      <c r="H95" s="8">
        <v>18.232500000000002</v>
      </c>
      <c r="I95" s="4">
        <v>0</v>
      </c>
      <c r="J95" s="143">
        <f>H95*I95*D95</f>
        <v>0</v>
      </c>
    </row>
    <row r="96" spans="1:10" s="104" customFormat="1" ht="24" customHeight="1" x14ac:dyDescent="0.3">
      <c r="A96" s="7" t="s">
        <v>372</v>
      </c>
      <c r="B96" s="7" t="s">
        <v>373</v>
      </c>
      <c r="C96" s="7" t="s">
        <v>19</v>
      </c>
      <c r="D96" s="107">
        <v>12</v>
      </c>
      <c r="E96" s="7" t="s">
        <v>374</v>
      </c>
      <c r="F96" s="7" t="s">
        <v>375</v>
      </c>
      <c r="G96" s="8">
        <v>39.99</v>
      </c>
      <c r="H96" s="8">
        <v>17.152850000000001</v>
      </c>
      <c r="I96" s="4">
        <v>0</v>
      </c>
      <c r="J96" s="143">
        <f>H96*I96*D96</f>
        <v>0</v>
      </c>
    </row>
    <row r="97" spans="1:10" s="104" customFormat="1" ht="27" customHeight="1" x14ac:dyDescent="0.3">
      <c r="A97" s="7" t="s">
        <v>372</v>
      </c>
      <c r="B97" s="7" t="s">
        <v>373</v>
      </c>
      <c r="C97" s="7" t="s">
        <v>19</v>
      </c>
      <c r="D97" s="107">
        <v>12</v>
      </c>
      <c r="E97" s="7" t="s">
        <v>376</v>
      </c>
      <c r="F97" s="7" t="s">
        <v>377</v>
      </c>
      <c r="G97" s="8">
        <v>39.99</v>
      </c>
      <c r="H97" s="8">
        <v>17.152850000000001</v>
      </c>
      <c r="I97" s="4">
        <v>0</v>
      </c>
      <c r="J97" s="143">
        <f>H97*I97*D97</f>
        <v>0</v>
      </c>
    </row>
    <row r="98" spans="1:10" s="104" customFormat="1" ht="24" customHeight="1" x14ac:dyDescent="0.3">
      <c r="A98" s="147" t="s">
        <v>162</v>
      </c>
      <c r="B98" s="147"/>
      <c r="C98" s="147"/>
      <c r="D98" s="147"/>
      <c r="E98" s="147"/>
      <c r="F98" s="147"/>
      <c r="G98" s="147"/>
      <c r="H98" s="147"/>
      <c r="I98" s="165"/>
      <c r="J98" s="147"/>
    </row>
    <row r="99" spans="1:10" s="104" customFormat="1" ht="24" customHeight="1" x14ac:dyDescent="0.3">
      <c r="A99" s="132" t="s">
        <v>163</v>
      </c>
      <c r="B99" s="10" t="s">
        <v>164</v>
      </c>
      <c r="C99" s="10" t="s">
        <v>50</v>
      </c>
      <c r="D99" s="132">
        <v>12</v>
      </c>
      <c r="E99" s="10" t="s">
        <v>165</v>
      </c>
      <c r="F99" s="10" t="s">
        <v>378</v>
      </c>
      <c r="G99" s="13">
        <v>14.99</v>
      </c>
      <c r="H99" s="13">
        <v>7.142850000000001</v>
      </c>
      <c r="I99" s="4">
        <v>0</v>
      </c>
      <c r="J99" s="138">
        <f>H99*I99*D99</f>
        <v>0</v>
      </c>
    </row>
    <row r="100" spans="1:10" s="104" customFormat="1" ht="24" customHeight="1" x14ac:dyDescent="0.3">
      <c r="A100" s="132" t="s">
        <v>163</v>
      </c>
      <c r="B100" s="10" t="s">
        <v>166</v>
      </c>
      <c r="C100" s="10" t="s">
        <v>167</v>
      </c>
      <c r="D100" s="132">
        <v>12</v>
      </c>
      <c r="E100" s="10" t="s">
        <v>165</v>
      </c>
      <c r="F100" s="10" t="s">
        <v>379</v>
      </c>
      <c r="G100" s="13">
        <v>44.99</v>
      </c>
      <c r="H100" s="13">
        <v>19.29785</v>
      </c>
      <c r="I100" s="4">
        <v>0</v>
      </c>
      <c r="J100" s="138">
        <f>H100*I100*D100</f>
        <v>0</v>
      </c>
    </row>
    <row r="101" spans="1:10" s="104" customFormat="1" ht="24" customHeight="1" x14ac:dyDescent="0.3">
      <c r="A101" s="147" t="s">
        <v>168</v>
      </c>
      <c r="B101" s="147"/>
      <c r="C101" s="147"/>
      <c r="D101" s="147"/>
      <c r="E101" s="147"/>
      <c r="F101" s="147"/>
      <c r="G101" s="147"/>
      <c r="H101" s="147"/>
      <c r="I101" s="165"/>
      <c r="J101" s="147"/>
    </row>
    <row r="102" spans="1:10" s="104" customFormat="1" ht="27" customHeight="1" x14ac:dyDescent="0.3">
      <c r="A102" s="7" t="s">
        <v>169</v>
      </c>
      <c r="B102" s="7" t="s">
        <v>114</v>
      </c>
      <c r="C102" s="7" t="s">
        <v>50</v>
      </c>
      <c r="D102" s="107">
        <v>12</v>
      </c>
      <c r="E102" s="7" t="s">
        <v>13</v>
      </c>
      <c r="F102" s="7" t="s">
        <v>380</v>
      </c>
      <c r="G102" s="117">
        <v>24.99</v>
      </c>
      <c r="H102" s="117">
        <v>13.942500000000003</v>
      </c>
      <c r="I102" s="4">
        <v>0</v>
      </c>
      <c r="J102" s="138">
        <f>H102*I102*D102</f>
        <v>0</v>
      </c>
    </row>
    <row r="103" spans="1:10" s="104" customFormat="1" ht="24" customHeight="1" x14ac:dyDescent="0.3">
      <c r="A103" s="7" t="s">
        <v>170</v>
      </c>
      <c r="B103" s="7" t="s">
        <v>171</v>
      </c>
      <c r="C103" s="7" t="s">
        <v>46</v>
      </c>
      <c r="D103" s="107">
        <v>12</v>
      </c>
      <c r="E103" s="7" t="s">
        <v>13</v>
      </c>
      <c r="F103" s="7" t="s">
        <v>381</v>
      </c>
      <c r="G103" s="8">
        <v>19.989999999999998</v>
      </c>
      <c r="H103" s="8">
        <v>10.367500000000001</v>
      </c>
      <c r="I103" s="4">
        <v>0</v>
      </c>
      <c r="J103" s="138">
        <f>H103*I103*D103</f>
        <v>0</v>
      </c>
    </row>
    <row r="104" spans="1:10" s="104" customFormat="1" ht="24" customHeight="1" x14ac:dyDescent="0.3">
      <c r="A104" s="7" t="s">
        <v>170</v>
      </c>
      <c r="B104" s="7" t="s">
        <v>172</v>
      </c>
      <c r="C104" s="7" t="s">
        <v>50</v>
      </c>
      <c r="D104" s="107">
        <v>12</v>
      </c>
      <c r="E104" s="7" t="s">
        <v>13</v>
      </c>
      <c r="F104" s="7" t="s">
        <v>382</v>
      </c>
      <c r="G104" s="8">
        <v>36.99</v>
      </c>
      <c r="H104" s="8">
        <v>18.411250000000003</v>
      </c>
      <c r="I104" s="4">
        <v>0</v>
      </c>
      <c r="J104" s="138">
        <f>H104*I104*D104</f>
        <v>0</v>
      </c>
    </row>
    <row r="105" spans="1:10" s="104" customFormat="1" ht="24" customHeight="1" x14ac:dyDescent="0.3">
      <c r="A105" s="147" t="s">
        <v>173</v>
      </c>
      <c r="B105" s="147"/>
      <c r="C105" s="147"/>
      <c r="D105" s="147"/>
      <c r="E105" s="147"/>
      <c r="F105" s="147"/>
      <c r="G105" s="147"/>
      <c r="H105" s="147"/>
      <c r="I105" s="165"/>
      <c r="J105" s="147"/>
    </row>
    <row r="106" spans="1:10" s="104" customFormat="1" ht="24" customHeight="1" x14ac:dyDescent="0.3">
      <c r="A106" s="107" t="s">
        <v>174</v>
      </c>
      <c r="B106" s="7" t="s">
        <v>21</v>
      </c>
      <c r="C106" s="7" t="s">
        <v>16</v>
      </c>
      <c r="D106" s="107">
        <v>12</v>
      </c>
      <c r="E106" s="7" t="s">
        <v>13</v>
      </c>
      <c r="F106" s="7" t="s">
        <v>383</v>
      </c>
      <c r="G106" s="117">
        <v>26.99</v>
      </c>
      <c r="H106" s="117">
        <v>11.440000000000001</v>
      </c>
      <c r="I106" s="4">
        <v>0</v>
      </c>
      <c r="J106" s="138">
        <f>H106*I106*D106</f>
        <v>0</v>
      </c>
    </row>
    <row r="107" spans="1:10" s="104" customFormat="1" ht="24" customHeight="1" x14ac:dyDescent="0.3">
      <c r="A107" s="107" t="s">
        <v>175</v>
      </c>
      <c r="B107" s="7" t="s">
        <v>73</v>
      </c>
      <c r="C107" s="7" t="s">
        <v>60</v>
      </c>
      <c r="D107" s="107">
        <v>12</v>
      </c>
      <c r="E107" s="7" t="s">
        <v>13</v>
      </c>
      <c r="F107" s="7" t="s">
        <v>384</v>
      </c>
      <c r="G107" s="8">
        <v>26.99</v>
      </c>
      <c r="H107" s="8">
        <v>10.725</v>
      </c>
      <c r="I107" s="4">
        <v>0</v>
      </c>
      <c r="J107" s="138">
        <f>H107*I107*D107</f>
        <v>0</v>
      </c>
    </row>
    <row r="108" spans="1:10" s="104" customFormat="1" ht="24" customHeight="1" x14ac:dyDescent="0.3">
      <c r="A108" s="107" t="s">
        <v>175</v>
      </c>
      <c r="B108" s="7" t="s">
        <v>74</v>
      </c>
      <c r="C108" s="7" t="s">
        <v>293</v>
      </c>
      <c r="D108" s="107">
        <v>12</v>
      </c>
      <c r="E108" s="7" t="s">
        <v>13</v>
      </c>
      <c r="F108" s="7" t="s">
        <v>385</v>
      </c>
      <c r="G108" s="8">
        <v>49.99</v>
      </c>
      <c r="H108" s="8">
        <v>20.020000000000003</v>
      </c>
      <c r="I108" s="4">
        <v>0</v>
      </c>
      <c r="J108" s="138">
        <f>H108*I108*D108</f>
        <v>0</v>
      </c>
    </row>
    <row r="109" spans="1:10" s="104" customFormat="1" ht="24" customHeight="1" x14ac:dyDescent="0.3">
      <c r="A109" s="107" t="s">
        <v>175</v>
      </c>
      <c r="B109" s="7" t="s">
        <v>295</v>
      </c>
      <c r="C109" s="7" t="s">
        <v>386</v>
      </c>
      <c r="D109" s="107">
        <v>8</v>
      </c>
      <c r="E109" s="7" t="s">
        <v>13</v>
      </c>
      <c r="F109" s="7" t="s">
        <v>387</v>
      </c>
      <c r="G109" s="8">
        <v>99.99</v>
      </c>
      <c r="H109" s="8">
        <v>39.325000000000003</v>
      </c>
      <c r="I109" s="4">
        <v>0</v>
      </c>
      <c r="J109" s="143">
        <f>H109*I109*D109</f>
        <v>0</v>
      </c>
    </row>
    <row r="110" spans="1:10" s="104" customFormat="1" ht="24" customHeight="1" x14ac:dyDescent="0.3">
      <c r="A110" s="147" t="s">
        <v>176</v>
      </c>
      <c r="B110" s="147"/>
      <c r="C110" s="147"/>
      <c r="D110" s="147"/>
      <c r="E110" s="147"/>
      <c r="F110" s="147"/>
      <c r="G110" s="147"/>
      <c r="H110" s="147"/>
      <c r="I110" s="165"/>
      <c r="J110" s="147"/>
    </row>
    <row r="111" spans="1:10" s="104" customFormat="1" ht="27" customHeight="1" x14ac:dyDescent="0.3">
      <c r="A111" s="132" t="s">
        <v>177</v>
      </c>
      <c r="B111" s="7" t="s">
        <v>114</v>
      </c>
      <c r="C111" s="7" t="s">
        <v>46</v>
      </c>
      <c r="D111" s="107">
        <v>12</v>
      </c>
      <c r="E111" s="7" t="s">
        <v>13</v>
      </c>
      <c r="F111" s="7" t="s">
        <v>388</v>
      </c>
      <c r="G111" s="8">
        <v>19.95</v>
      </c>
      <c r="H111" s="8">
        <v>8.9375000000000018</v>
      </c>
      <c r="I111" s="4">
        <v>0</v>
      </c>
      <c r="J111" s="138">
        <f>H111*I111*D111</f>
        <v>0</v>
      </c>
    </row>
    <row r="112" spans="1:10" s="104" customFormat="1" ht="27" customHeight="1" x14ac:dyDescent="0.3">
      <c r="A112" s="148">
        <v>1</v>
      </c>
      <c r="B112" s="149"/>
      <c r="C112" s="149"/>
      <c r="D112" s="149"/>
      <c r="E112" s="149"/>
      <c r="F112" s="149"/>
      <c r="G112" s="149"/>
      <c r="H112" s="150"/>
      <c r="I112" s="166"/>
      <c r="J112" s="146"/>
    </row>
    <row r="113" spans="8:9" ht="23.1" customHeight="1" x14ac:dyDescent="0.4">
      <c r="H113" s="153"/>
      <c r="I113" s="153"/>
    </row>
    <row r="114" spans="8:9" ht="23.1" customHeight="1" x14ac:dyDescent="0.4">
      <c r="H114" s="153"/>
      <c r="I114" s="153"/>
    </row>
    <row r="115" spans="8:9" ht="23.1" customHeight="1" x14ac:dyDescent="0.4">
      <c r="H115" s="153"/>
      <c r="I115" s="153"/>
    </row>
    <row r="116" spans="8:9" ht="23.1" customHeight="1" x14ac:dyDescent="0.4">
      <c r="H116" s="153"/>
      <c r="I116" s="153"/>
    </row>
    <row r="117" spans="8:9" ht="23.1" customHeight="1" x14ac:dyDescent="0.4">
      <c r="H117" s="153"/>
      <c r="I117" s="153"/>
    </row>
    <row r="118" spans="8:9" ht="23.1" customHeight="1" x14ac:dyDescent="0.4"/>
    <row r="119" spans="8:9" ht="23.1" customHeight="1" x14ac:dyDescent="0.4"/>
  </sheetData>
  <sheetProtection algorithmName="SHA-512" hashValue="TBlGYXaS7kPTRW5PoCnn7QmDpNW1eKJjCJuqjCfF4Y45bhFGqLvMKfEfRQogUznlFbMvoOGAZmUbOfv/a3W2cg==" saltValue="whPabiEZwniNdrJCmhteNg==" spinCount="100000" sheet="1" formatCells="0" formatColumns="0" formatRows="0" insertColumns="0" insertRows="0" insertHyperlinks="0" deleteColumns="0" deleteRows="0" sort="0" autoFilter="0" pivotTables="0"/>
  <autoFilter ref="A2:I112" xr:uid="{2D0D87AC-737B-4F10-9D6D-8D4B9C928879}"/>
  <mergeCells count="1">
    <mergeCell ref="A1:J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Аркуш2"/>
  <dimension ref="A1:I106"/>
  <sheetViews>
    <sheetView showGridLines="0" zoomScale="60" zoomScaleNormal="60" zoomScaleSheetLayoutView="75" workbookViewId="0">
      <pane ySplit="3" topLeftCell="A4" activePane="bottomLeft" state="frozen"/>
      <selection pane="bottomLeft" activeCell="A3" activeCellId="1" sqref="A132:J132 A3"/>
    </sheetView>
  </sheetViews>
  <sheetFormatPr defaultColWidth="53.44140625" defaultRowHeight="16.8" x14ac:dyDescent="0.3"/>
  <cols>
    <col min="1" max="1" width="52.88671875" style="1" customWidth="1"/>
    <col min="2" max="2" width="38.88671875" style="1" customWidth="1"/>
    <col min="3" max="3" width="17.44140625" style="1" customWidth="1"/>
    <col min="4" max="4" width="16" style="1" customWidth="1"/>
    <col min="5" max="5" width="34.33203125" style="1" customWidth="1"/>
    <col min="6" max="6" width="14.88671875" style="1" customWidth="1"/>
    <col min="7" max="7" width="15.6640625" style="1" customWidth="1"/>
    <col min="8" max="8" width="16" style="2" customWidth="1"/>
    <col min="9" max="9" width="26.44140625" style="2" customWidth="1"/>
    <col min="10" max="16384" width="53.44140625" style="1"/>
  </cols>
  <sheetData>
    <row r="1" spans="1:9" ht="139.5" customHeight="1" x14ac:dyDescent="0.3">
      <c r="A1" s="14"/>
      <c r="B1" s="15"/>
      <c r="C1" s="15"/>
      <c r="D1" s="15"/>
      <c r="E1" s="15"/>
      <c r="F1" s="15"/>
      <c r="G1" s="15"/>
      <c r="H1" s="16"/>
      <c r="I1" s="17"/>
    </row>
    <row r="2" spans="1:9" s="18" customFormat="1" ht="26.25" customHeight="1" x14ac:dyDescent="0.25">
      <c r="A2" s="173" t="s">
        <v>184</v>
      </c>
      <c r="B2" s="173"/>
      <c r="C2" s="173"/>
      <c r="D2" s="173"/>
      <c r="E2" s="173"/>
      <c r="F2" s="173"/>
      <c r="G2" s="173"/>
      <c r="H2" s="173"/>
      <c r="I2" s="173"/>
    </row>
    <row r="3" spans="1:9" ht="42.75" customHeight="1" x14ac:dyDescent="0.3">
      <c r="A3" s="19" t="s">
        <v>185</v>
      </c>
      <c r="B3" s="20" t="s">
        <v>186</v>
      </c>
      <c r="C3" s="21" t="s">
        <v>2</v>
      </c>
      <c r="D3" s="21" t="s">
        <v>3</v>
      </c>
      <c r="E3" s="20" t="s">
        <v>4</v>
      </c>
      <c r="F3" s="20" t="s">
        <v>5</v>
      </c>
      <c r="G3" s="20" t="s">
        <v>6</v>
      </c>
      <c r="H3" s="21" t="s">
        <v>7</v>
      </c>
      <c r="I3" s="22" t="s">
        <v>8</v>
      </c>
    </row>
    <row r="4" spans="1:9" ht="24" customHeight="1" x14ac:dyDescent="0.3">
      <c r="A4" s="23" t="s">
        <v>187</v>
      </c>
      <c r="B4" s="24"/>
      <c r="C4" s="24"/>
      <c r="D4" s="24"/>
      <c r="E4" s="24"/>
      <c r="F4" s="24"/>
      <c r="G4" s="24"/>
      <c r="H4" s="25"/>
      <c r="I4" s="26"/>
    </row>
    <row r="5" spans="1:9" ht="24" customHeight="1" x14ac:dyDescent="0.3">
      <c r="A5" s="27" t="s">
        <v>188</v>
      </c>
      <c r="B5" s="28" t="s">
        <v>189</v>
      </c>
      <c r="C5" s="28" t="s">
        <v>110</v>
      </c>
      <c r="D5" s="28">
        <v>6</v>
      </c>
      <c r="E5" s="29" t="s">
        <v>190</v>
      </c>
      <c r="F5" s="30">
        <v>69.95</v>
      </c>
      <c r="G5" s="30">
        <v>46.97</v>
      </c>
      <c r="H5" s="31">
        <v>0</v>
      </c>
      <c r="I5" s="32">
        <f>G5*H5*D5</f>
        <v>0</v>
      </c>
    </row>
    <row r="6" spans="1:9" ht="24" customHeight="1" x14ac:dyDescent="0.3">
      <c r="A6" s="33" t="s">
        <v>188</v>
      </c>
      <c r="B6" s="34" t="s">
        <v>189</v>
      </c>
      <c r="C6" s="34" t="s">
        <v>110</v>
      </c>
      <c r="D6" s="34">
        <v>6</v>
      </c>
      <c r="E6" s="35" t="s">
        <v>191</v>
      </c>
      <c r="F6" s="36">
        <v>69.95</v>
      </c>
      <c r="G6" s="36">
        <v>46.97</v>
      </c>
      <c r="H6" s="37">
        <v>0</v>
      </c>
      <c r="I6" s="38">
        <f>G6*H6*D6</f>
        <v>0</v>
      </c>
    </row>
    <row r="7" spans="1:9" ht="24" customHeight="1" x14ac:dyDescent="0.3">
      <c r="A7" s="23" t="s">
        <v>192</v>
      </c>
      <c r="B7" s="24"/>
      <c r="C7" s="39"/>
      <c r="D7" s="39"/>
      <c r="E7" s="39"/>
      <c r="F7" s="39"/>
      <c r="G7" s="39"/>
      <c r="H7" s="40"/>
      <c r="I7" s="26"/>
    </row>
    <row r="8" spans="1:9" ht="24" customHeight="1" x14ac:dyDescent="0.3">
      <c r="A8" s="41" t="s">
        <v>193</v>
      </c>
      <c r="B8" s="42" t="s">
        <v>194</v>
      </c>
      <c r="C8" s="42" t="s">
        <v>40</v>
      </c>
      <c r="D8" s="42">
        <v>12</v>
      </c>
      <c r="E8" s="42" t="s">
        <v>195</v>
      </c>
      <c r="F8" s="43">
        <v>64.95</v>
      </c>
      <c r="G8" s="43">
        <v>42.5</v>
      </c>
      <c r="H8" s="31">
        <v>0</v>
      </c>
      <c r="I8" s="32">
        <f>G8*H8*D8</f>
        <v>0</v>
      </c>
    </row>
    <row r="9" spans="1:9" ht="24" customHeight="1" x14ac:dyDescent="0.3">
      <c r="A9" s="12" t="s">
        <v>196</v>
      </c>
      <c r="B9" s="7" t="s">
        <v>197</v>
      </c>
      <c r="C9" s="7" t="s">
        <v>81</v>
      </c>
      <c r="D9" s="6">
        <v>12</v>
      </c>
      <c r="E9" s="3" t="s">
        <v>198</v>
      </c>
      <c r="F9" s="8">
        <v>59.95</v>
      </c>
      <c r="G9" s="8">
        <v>37.97</v>
      </c>
      <c r="H9" s="4">
        <v>0</v>
      </c>
      <c r="I9" s="44">
        <f>G9*H9*D9</f>
        <v>0</v>
      </c>
    </row>
    <row r="10" spans="1:9" ht="24" customHeight="1" x14ac:dyDescent="0.3">
      <c r="A10" s="12" t="s">
        <v>196</v>
      </c>
      <c r="B10" s="7" t="s">
        <v>197</v>
      </c>
      <c r="C10" s="7" t="s">
        <v>81</v>
      </c>
      <c r="D10" s="6">
        <v>12</v>
      </c>
      <c r="E10" s="3" t="s">
        <v>199</v>
      </c>
      <c r="F10" s="8">
        <v>59.95</v>
      </c>
      <c r="G10" s="8">
        <v>37.97</v>
      </c>
      <c r="H10" s="4">
        <v>0</v>
      </c>
      <c r="I10" s="44">
        <f>G10*H10*D10</f>
        <v>0</v>
      </c>
    </row>
    <row r="11" spans="1:9" ht="24" customHeight="1" x14ac:dyDescent="0.3">
      <c r="A11" s="45" t="s">
        <v>200</v>
      </c>
      <c r="B11" s="46"/>
      <c r="C11" s="46"/>
      <c r="D11" s="46"/>
      <c r="E11" s="46"/>
      <c r="F11" s="46"/>
      <c r="G11" s="46"/>
      <c r="H11" s="40"/>
      <c r="I11" s="26"/>
    </row>
    <row r="12" spans="1:9" ht="24" customHeight="1" x14ac:dyDescent="0.3">
      <c r="A12" s="12" t="s">
        <v>201</v>
      </c>
      <c r="B12" s="7" t="s">
        <v>202</v>
      </c>
      <c r="C12" s="7" t="s">
        <v>158</v>
      </c>
      <c r="D12" s="6">
        <v>12</v>
      </c>
      <c r="E12" s="7" t="s">
        <v>13</v>
      </c>
      <c r="F12" s="8">
        <v>44.95</v>
      </c>
      <c r="G12" s="8">
        <v>28.5</v>
      </c>
      <c r="H12" s="4">
        <v>0</v>
      </c>
      <c r="I12" s="44">
        <f>G12*H12*D12</f>
        <v>0</v>
      </c>
    </row>
    <row r="13" spans="1:9" ht="24" customHeight="1" x14ac:dyDescent="0.3">
      <c r="A13" s="45" t="s">
        <v>67</v>
      </c>
      <c r="B13" s="46"/>
      <c r="C13" s="46"/>
      <c r="D13" s="46"/>
      <c r="E13" s="46"/>
      <c r="F13" s="46"/>
      <c r="G13" s="46"/>
      <c r="H13" s="40"/>
      <c r="I13" s="26"/>
    </row>
    <row r="14" spans="1:9" ht="24" customHeight="1" x14ac:dyDescent="0.3">
      <c r="A14" s="47" t="s">
        <v>68</v>
      </c>
      <c r="B14" s="48" t="s">
        <v>69</v>
      </c>
      <c r="C14" s="48" t="s">
        <v>12</v>
      </c>
      <c r="D14" s="48">
        <v>12</v>
      </c>
      <c r="E14" s="35" t="s">
        <v>70</v>
      </c>
      <c r="F14" s="49">
        <v>26.95</v>
      </c>
      <c r="G14" s="49">
        <v>17.170000000000002</v>
      </c>
      <c r="H14" s="37">
        <v>0</v>
      </c>
      <c r="I14" s="38">
        <f>G14*H14*D14</f>
        <v>0</v>
      </c>
    </row>
    <row r="15" spans="1:9" ht="24" customHeight="1" x14ac:dyDescent="0.3">
      <c r="A15" s="12" t="s">
        <v>68</v>
      </c>
      <c r="B15" s="7" t="s">
        <v>203</v>
      </c>
      <c r="C15" s="7" t="s">
        <v>110</v>
      </c>
      <c r="D15" s="6">
        <v>12</v>
      </c>
      <c r="E15" s="3" t="s">
        <v>70</v>
      </c>
      <c r="F15" s="8">
        <v>59.95</v>
      </c>
      <c r="G15" s="8">
        <v>35.97</v>
      </c>
      <c r="H15" s="4">
        <v>0</v>
      </c>
      <c r="I15" s="44">
        <f>G15*H15*D15</f>
        <v>0</v>
      </c>
    </row>
    <row r="16" spans="1:9" ht="24" customHeight="1" x14ac:dyDescent="0.3">
      <c r="A16" s="45" t="s">
        <v>79</v>
      </c>
      <c r="B16" s="46"/>
      <c r="C16" s="46"/>
      <c r="D16" s="46"/>
      <c r="E16" s="46"/>
      <c r="F16" s="46"/>
      <c r="G16" s="46"/>
      <c r="H16" s="40"/>
      <c r="I16" s="26"/>
    </row>
    <row r="17" spans="1:9" ht="24" customHeight="1" x14ac:dyDescent="0.3">
      <c r="A17" s="12" t="s">
        <v>204</v>
      </c>
      <c r="B17" s="7" t="s">
        <v>205</v>
      </c>
      <c r="C17" s="7" t="s">
        <v>76</v>
      </c>
      <c r="D17" s="6">
        <v>6</v>
      </c>
      <c r="E17" s="3" t="s">
        <v>13</v>
      </c>
      <c r="F17" s="8">
        <v>58.99</v>
      </c>
      <c r="G17" s="8">
        <v>36.99</v>
      </c>
      <c r="H17" s="4">
        <v>0</v>
      </c>
      <c r="I17" s="44">
        <f>G17*H17*D17</f>
        <v>0</v>
      </c>
    </row>
    <row r="18" spans="1:9" ht="24" customHeight="1" x14ac:dyDescent="0.3">
      <c r="A18" s="41" t="s">
        <v>206</v>
      </c>
      <c r="B18" s="42" t="s">
        <v>80</v>
      </c>
      <c r="C18" s="42" t="s">
        <v>207</v>
      </c>
      <c r="D18" s="42">
        <v>12</v>
      </c>
      <c r="E18" s="42" t="s">
        <v>13</v>
      </c>
      <c r="F18" s="43">
        <v>29.95</v>
      </c>
      <c r="G18" s="43">
        <v>17.97</v>
      </c>
      <c r="H18" s="31">
        <v>0</v>
      </c>
      <c r="I18" s="32">
        <f>G18*H18*D18</f>
        <v>0</v>
      </c>
    </row>
    <row r="19" spans="1:9" ht="24" customHeight="1" x14ac:dyDescent="0.3">
      <c r="A19" s="45" t="s">
        <v>208</v>
      </c>
      <c r="B19" s="46"/>
      <c r="C19" s="46"/>
      <c r="D19" s="46"/>
      <c r="E19" s="46"/>
      <c r="F19" s="46"/>
      <c r="G19" s="46"/>
      <c r="H19" s="40"/>
      <c r="I19" s="26"/>
    </row>
    <row r="20" spans="1:9" ht="24" customHeight="1" x14ac:dyDescent="0.3">
      <c r="A20" s="50" t="s">
        <v>209</v>
      </c>
      <c r="B20" s="7" t="s">
        <v>210</v>
      </c>
      <c r="C20" s="7" t="s">
        <v>76</v>
      </c>
      <c r="D20" s="6">
        <v>6</v>
      </c>
      <c r="E20" s="3" t="s">
        <v>211</v>
      </c>
      <c r="F20" s="8">
        <v>54.95</v>
      </c>
      <c r="G20" s="8">
        <v>36.97</v>
      </c>
      <c r="H20" s="4">
        <v>0</v>
      </c>
      <c r="I20" s="44">
        <f t="shared" ref="I20:I25" si="0">G20*H20*D20</f>
        <v>0</v>
      </c>
    </row>
    <row r="21" spans="1:9" ht="24" customHeight="1" x14ac:dyDescent="0.3">
      <c r="A21" s="51" t="s">
        <v>212</v>
      </c>
      <c r="B21" s="42" t="s">
        <v>210</v>
      </c>
      <c r="C21" s="42" t="s">
        <v>76</v>
      </c>
      <c r="D21" s="42">
        <v>6</v>
      </c>
      <c r="E21" s="42" t="s">
        <v>213</v>
      </c>
      <c r="F21" s="43">
        <v>54.95</v>
      </c>
      <c r="G21" s="43">
        <v>36.97</v>
      </c>
      <c r="H21" s="31">
        <v>0</v>
      </c>
      <c r="I21" s="32">
        <f t="shared" si="0"/>
        <v>0</v>
      </c>
    </row>
    <row r="22" spans="1:9" ht="24" customHeight="1" x14ac:dyDescent="0.3">
      <c r="A22" s="52" t="s">
        <v>214</v>
      </c>
      <c r="B22" s="48" t="s">
        <v>215</v>
      </c>
      <c r="C22" s="48" t="s">
        <v>154</v>
      </c>
      <c r="D22" s="48">
        <v>2</v>
      </c>
      <c r="E22" s="48" t="s">
        <v>211</v>
      </c>
      <c r="F22" s="49">
        <v>99.99</v>
      </c>
      <c r="G22" s="49">
        <v>61.99</v>
      </c>
      <c r="H22" s="37">
        <v>0</v>
      </c>
      <c r="I22" s="38">
        <f t="shared" si="0"/>
        <v>0</v>
      </c>
    </row>
    <row r="23" spans="1:9" ht="24" customHeight="1" x14ac:dyDescent="0.3">
      <c r="A23" s="50" t="s">
        <v>214</v>
      </c>
      <c r="B23" s="7" t="s">
        <v>215</v>
      </c>
      <c r="C23" s="7" t="s">
        <v>154</v>
      </c>
      <c r="D23" s="6">
        <v>2</v>
      </c>
      <c r="E23" s="3" t="s">
        <v>213</v>
      </c>
      <c r="F23" s="8">
        <v>99.99</v>
      </c>
      <c r="G23" s="8">
        <v>61.99</v>
      </c>
      <c r="H23" s="4">
        <v>0</v>
      </c>
      <c r="I23" s="44">
        <f t="shared" si="0"/>
        <v>0</v>
      </c>
    </row>
    <row r="24" spans="1:9" ht="24" customHeight="1" x14ac:dyDescent="0.3">
      <c r="A24" s="53" t="s">
        <v>216</v>
      </c>
      <c r="B24" s="54" t="s">
        <v>217</v>
      </c>
      <c r="C24" s="54" t="s">
        <v>76</v>
      </c>
      <c r="D24" s="54">
        <v>6</v>
      </c>
      <c r="E24" s="55" t="s">
        <v>218</v>
      </c>
      <c r="F24" s="56">
        <v>84.5</v>
      </c>
      <c r="G24" s="56">
        <v>54.95</v>
      </c>
      <c r="H24" s="31">
        <v>0</v>
      </c>
      <c r="I24" s="32">
        <f t="shared" si="0"/>
        <v>0</v>
      </c>
    </row>
    <row r="25" spans="1:9" ht="24" customHeight="1" x14ac:dyDescent="0.3">
      <c r="A25" s="57" t="s">
        <v>216</v>
      </c>
      <c r="B25" s="10" t="s">
        <v>217</v>
      </c>
      <c r="C25" s="10" t="s">
        <v>76</v>
      </c>
      <c r="D25" s="10">
        <v>6</v>
      </c>
      <c r="E25" s="11" t="s">
        <v>219</v>
      </c>
      <c r="F25" s="9">
        <v>84.5</v>
      </c>
      <c r="G25" s="9">
        <v>54.95</v>
      </c>
      <c r="H25" s="4">
        <v>0</v>
      </c>
      <c r="I25" s="44">
        <f t="shared" si="0"/>
        <v>0</v>
      </c>
    </row>
    <row r="26" spans="1:9" ht="24" customHeight="1" x14ac:dyDescent="0.3">
      <c r="A26" s="45" t="s">
        <v>220</v>
      </c>
      <c r="B26" s="46"/>
      <c r="C26" s="46"/>
      <c r="D26" s="46"/>
      <c r="E26" s="46"/>
      <c r="F26" s="46"/>
      <c r="G26" s="46"/>
      <c r="H26" s="40"/>
      <c r="I26" s="26"/>
    </row>
    <row r="27" spans="1:9" ht="24" customHeight="1" x14ac:dyDescent="0.3">
      <c r="A27" s="58" t="s">
        <v>221</v>
      </c>
      <c r="B27" s="10" t="s">
        <v>222</v>
      </c>
      <c r="C27" s="10" t="s">
        <v>75</v>
      </c>
      <c r="D27" s="10">
        <v>12</v>
      </c>
      <c r="E27" s="11" t="s">
        <v>223</v>
      </c>
      <c r="F27" s="9">
        <v>39.99</v>
      </c>
      <c r="G27" s="9">
        <v>28.99</v>
      </c>
      <c r="H27" s="4">
        <v>0</v>
      </c>
      <c r="I27" s="44">
        <f t="shared" ref="I27:I39" si="1">G27*H27*D27</f>
        <v>0</v>
      </c>
    </row>
    <row r="28" spans="1:9" ht="24" customHeight="1" x14ac:dyDescent="0.3">
      <c r="A28" s="50" t="s">
        <v>221</v>
      </c>
      <c r="B28" s="7" t="s">
        <v>222</v>
      </c>
      <c r="C28" s="7" t="s">
        <v>75</v>
      </c>
      <c r="D28" s="10">
        <v>12</v>
      </c>
      <c r="E28" s="3" t="s">
        <v>224</v>
      </c>
      <c r="F28" s="5">
        <v>39.99</v>
      </c>
      <c r="G28" s="9">
        <v>28.99</v>
      </c>
      <c r="H28" s="4">
        <v>0</v>
      </c>
      <c r="I28" s="44">
        <f t="shared" si="1"/>
        <v>0</v>
      </c>
    </row>
    <row r="29" spans="1:9" ht="24" customHeight="1" x14ac:dyDescent="0.3">
      <c r="A29" s="52" t="s">
        <v>221</v>
      </c>
      <c r="B29" s="48" t="s">
        <v>222</v>
      </c>
      <c r="C29" s="48" t="s">
        <v>75</v>
      </c>
      <c r="D29" s="59">
        <v>12</v>
      </c>
      <c r="E29" s="35" t="s">
        <v>225</v>
      </c>
      <c r="F29" s="36">
        <v>37.99</v>
      </c>
      <c r="G29" s="60">
        <v>28.99</v>
      </c>
      <c r="H29" s="37">
        <v>0</v>
      </c>
      <c r="I29" s="38">
        <f t="shared" si="1"/>
        <v>0</v>
      </c>
    </row>
    <row r="30" spans="1:9" ht="24" customHeight="1" x14ac:dyDescent="0.3">
      <c r="A30" s="50" t="s">
        <v>226</v>
      </c>
      <c r="B30" s="7" t="s">
        <v>227</v>
      </c>
      <c r="C30" s="7" t="s">
        <v>228</v>
      </c>
      <c r="D30" s="6">
        <v>6</v>
      </c>
      <c r="E30" s="3" t="s">
        <v>229</v>
      </c>
      <c r="F30" s="8">
        <v>72.5</v>
      </c>
      <c r="G30" s="8">
        <v>49.95</v>
      </c>
      <c r="H30" s="4">
        <v>0</v>
      </c>
      <c r="I30" s="44">
        <f t="shared" si="1"/>
        <v>0</v>
      </c>
    </row>
    <row r="31" spans="1:9" ht="24" customHeight="1" x14ac:dyDescent="0.3">
      <c r="A31" s="51" t="s">
        <v>226</v>
      </c>
      <c r="B31" s="42" t="s">
        <v>227</v>
      </c>
      <c r="C31" s="42" t="s">
        <v>228</v>
      </c>
      <c r="D31" s="42">
        <v>6</v>
      </c>
      <c r="E31" s="29" t="s">
        <v>230</v>
      </c>
      <c r="F31" s="43">
        <v>72.5</v>
      </c>
      <c r="G31" s="43">
        <v>49.95</v>
      </c>
      <c r="H31" s="31">
        <v>0</v>
      </c>
      <c r="I31" s="32">
        <f t="shared" si="1"/>
        <v>0</v>
      </c>
    </row>
    <row r="32" spans="1:9" ht="24" customHeight="1" x14ac:dyDescent="0.3">
      <c r="A32" s="12" t="s">
        <v>231</v>
      </c>
      <c r="B32" s="7" t="s">
        <v>232</v>
      </c>
      <c r="C32" s="7" t="s">
        <v>35</v>
      </c>
      <c r="D32" s="6">
        <v>12</v>
      </c>
      <c r="E32" s="3" t="s">
        <v>233</v>
      </c>
      <c r="F32" s="8">
        <v>34.950000000000003</v>
      </c>
      <c r="G32" s="8">
        <v>18.5</v>
      </c>
      <c r="H32" s="4">
        <v>0</v>
      </c>
      <c r="I32" s="44">
        <f t="shared" si="1"/>
        <v>0</v>
      </c>
    </row>
    <row r="33" spans="1:9" ht="24" customHeight="1" x14ac:dyDescent="0.3">
      <c r="A33" s="12" t="s">
        <v>231</v>
      </c>
      <c r="B33" s="7" t="s">
        <v>232</v>
      </c>
      <c r="C33" s="7" t="s">
        <v>35</v>
      </c>
      <c r="D33" s="6">
        <v>12</v>
      </c>
      <c r="E33" s="3" t="s">
        <v>234</v>
      </c>
      <c r="F33" s="8">
        <v>34.950000000000003</v>
      </c>
      <c r="G33" s="8">
        <v>18.5</v>
      </c>
      <c r="H33" s="4">
        <v>0</v>
      </c>
      <c r="I33" s="44">
        <f t="shared" si="1"/>
        <v>0</v>
      </c>
    </row>
    <row r="34" spans="1:9" ht="24" customHeight="1" x14ac:dyDescent="0.3">
      <c r="A34" s="12" t="s">
        <v>231</v>
      </c>
      <c r="B34" s="7" t="s">
        <v>232</v>
      </c>
      <c r="C34" s="7" t="s">
        <v>35</v>
      </c>
      <c r="D34" s="6">
        <v>12</v>
      </c>
      <c r="E34" s="3" t="s">
        <v>235</v>
      </c>
      <c r="F34" s="8">
        <v>34.950000000000003</v>
      </c>
      <c r="G34" s="8">
        <v>18.5</v>
      </c>
      <c r="H34" s="4">
        <v>0</v>
      </c>
      <c r="I34" s="44">
        <f t="shared" si="1"/>
        <v>0</v>
      </c>
    </row>
    <row r="35" spans="1:9" ht="24" customHeight="1" x14ac:dyDescent="0.3">
      <c r="A35" s="12" t="s">
        <v>236</v>
      </c>
      <c r="B35" s="7" t="s">
        <v>237</v>
      </c>
      <c r="C35" s="7" t="s">
        <v>40</v>
      </c>
      <c r="D35" s="6">
        <v>6</v>
      </c>
      <c r="E35" s="3" t="s">
        <v>233</v>
      </c>
      <c r="F35" s="8">
        <v>79.97</v>
      </c>
      <c r="G35" s="8">
        <v>47.95</v>
      </c>
      <c r="H35" s="4">
        <v>0</v>
      </c>
      <c r="I35" s="44">
        <f t="shared" si="1"/>
        <v>0</v>
      </c>
    </row>
    <row r="36" spans="1:9" ht="24" customHeight="1" x14ac:dyDescent="0.3">
      <c r="A36" s="12" t="s">
        <v>236</v>
      </c>
      <c r="B36" s="7" t="s">
        <v>237</v>
      </c>
      <c r="C36" s="7" t="s">
        <v>40</v>
      </c>
      <c r="D36" s="6">
        <v>6</v>
      </c>
      <c r="E36" s="3" t="s">
        <v>234</v>
      </c>
      <c r="F36" s="8">
        <v>79.97</v>
      </c>
      <c r="G36" s="8">
        <v>47.95</v>
      </c>
      <c r="H36" s="4">
        <v>0</v>
      </c>
      <c r="I36" s="44">
        <f t="shared" si="1"/>
        <v>0</v>
      </c>
    </row>
    <row r="37" spans="1:9" ht="24" customHeight="1" x14ac:dyDescent="0.3">
      <c r="A37" s="12" t="s">
        <v>236</v>
      </c>
      <c r="B37" s="7" t="s">
        <v>237</v>
      </c>
      <c r="C37" s="7" t="s">
        <v>40</v>
      </c>
      <c r="D37" s="6">
        <v>6</v>
      </c>
      <c r="E37" s="3" t="s">
        <v>235</v>
      </c>
      <c r="F37" s="8">
        <v>79.97</v>
      </c>
      <c r="G37" s="8">
        <v>47.95</v>
      </c>
      <c r="H37" s="4">
        <v>0</v>
      </c>
      <c r="I37" s="44">
        <f t="shared" si="1"/>
        <v>0</v>
      </c>
    </row>
    <row r="38" spans="1:9" ht="24" customHeight="1" x14ac:dyDescent="0.3">
      <c r="A38" s="12" t="s">
        <v>236</v>
      </c>
      <c r="B38" s="7" t="s">
        <v>237</v>
      </c>
      <c r="C38" s="7" t="s">
        <v>40</v>
      </c>
      <c r="D38" s="6">
        <v>6</v>
      </c>
      <c r="E38" s="61" t="s">
        <v>238</v>
      </c>
      <c r="F38" s="8">
        <v>79.97</v>
      </c>
      <c r="G38" s="8">
        <v>47.95</v>
      </c>
      <c r="H38" s="4">
        <v>0</v>
      </c>
      <c r="I38" s="44">
        <f t="shared" si="1"/>
        <v>0</v>
      </c>
    </row>
    <row r="39" spans="1:9" ht="24" customHeight="1" x14ac:dyDescent="0.3">
      <c r="A39" s="12" t="s">
        <v>236</v>
      </c>
      <c r="B39" s="7" t="s">
        <v>237</v>
      </c>
      <c r="C39" s="7" t="s">
        <v>40</v>
      </c>
      <c r="D39" s="6">
        <v>6</v>
      </c>
      <c r="E39" s="61" t="s">
        <v>239</v>
      </c>
      <c r="F39" s="8">
        <v>79.97</v>
      </c>
      <c r="G39" s="8">
        <v>47.95</v>
      </c>
      <c r="H39" s="4">
        <v>0</v>
      </c>
      <c r="I39" s="44">
        <f t="shared" si="1"/>
        <v>0</v>
      </c>
    </row>
    <row r="40" spans="1:9" ht="24" customHeight="1" x14ac:dyDescent="0.3">
      <c r="A40" s="45" t="s">
        <v>240</v>
      </c>
      <c r="B40" s="46"/>
      <c r="C40" s="46"/>
      <c r="D40" s="46"/>
      <c r="E40" s="46"/>
      <c r="F40" s="46"/>
      <c r="G40" s="46"/>
      <c r="H40" s="40"/>
      <c r="I40" s="26"/>
    </row>
    <row r="41" spans="1:9" ht="24" customHeight="1" x14ac:dyDescent="0.3">
      <c r="A41" s="12" t="s">
        <v>241</v>
      </c>
      <c r="B41" s="7" t="s">
        <v>242</v>
      </c>
      <c r="C41" s="7" t="s">
        <v>75</v>
      </c>
      <c r="D41" s="6">
        <v>6</v>
      </c>
      <c r="E41" s="3" t="s">
        <v>243</v>
      </c>
      <c r="F41" s="8">
        <v>59.95</v>
      </c>
      <c r="G41" s="8">
        <v>44.99</v>
      </c>
      <c r="H41" s="4">
        <v>0</v>
      </c>
      <c r="I41" s="44">
        <f>G41*H41*D41</f>
        <v>0</v>
      </c>
    </row>
    <row r="42" spans="1:9" ht="24" customHeight="1" x14ac:dyDescent="0.3">
      <c r="A42" s="12" t="s">
        <v>241</v>
      </c>
      <c r="B42" s="7" t="s">
        <v>242</v>
      </c>
      <c r="C42" s="7" t="s">
        <v>75</v>
      </c>
      <c r="D42" s="6">
        <v>6</v>
      </c>
      <c r="E42" s="3" t="s">
        <v>244</v>
      </c>
      <c r="F42" s="8">
        <v>59.95</v>
      </c>
      <c r="G42" s="8">
        <v>44.99</v>
      </c>
      <c r="H42" s="4">
        <v>0</v>
      </c>
      <c r="I42" s="44">
        <f>G42*H42*D42</f>
        <v>0</v>
      </c>
    </row>
    <row r="43" spans="1:9" ht="24" customHeight="1" x14ac:dyDescent="0.3">
      <c r="A43" s="12" t="s">
        <v>241</v>
      </c>
      <c r="B43" s="7" t="s">
        <v>242</v>
      </c>
      <c r="C43" s="7" t="s">
        <v>75</v>
      </c>
      <c r="D43" s="6">
        <v>6</v>
      </c>
      <c r="E43" s="3" t="s">
        <v>245</v>
      </c>
      <c r="F43" s="8">
        <v>59.95</v>
      </c>
      <c r="G43" s="8">
        <v>44.99</v>
      </c>
      <c r="H43" s="4">
        <v>0</v>
      </c>
      <c r="I43" s="44">
        <f>G43*H43*D43</f>
        <v>0</v>
      </c>
    </row>
    <row r="44" spans="1:9" ht="24" customHeight="1" x14ac:dyDescent="0.3">
      <c r="A44" s="12" t="s">
        <v>241</v>
      </c>
      <c r="B44" s="7" t="s">
        <v>242</v>
      </c>
      <c r="C44" s="7" t="s">
        <v>75</v>
      </c>
      <c r="D44" s="6">
        <v>6</v>
      </c>
      <c r="E44" s="3" t="s">
        <v>246</v>
      </c>
      <c r="F44" s="8">
        <v>59.95</v>
      </c>
      <c r="G44" s="8">
        <v>44.99</v>
      </c>
      <c r="H44" s="4">
        <v>0</v>
      </c>
      <c r="I44" s="44">
        <f>G44*H44*D44</f>
        <v>0</v>
      </c>
    </row>
    <row r="45" spans="1:9" ht="24" customHeight="1" x14ac:dyDescent="0.3">
      <c r="A45" s="45" t="s">
        <v>113</v>
      </c>
      <c r="B45" s="46"/>
      <c r="C45" s="46"/>
      <c r="D45" s="46"/>
      <c r="E45" s="46"/>
      <c r="F45" s="46"/>
      <c r="G45" s="46"/>
      <c r="H45" s="40"/>
      <c r="I45" s="26"/>
    </row>
    <row r="46" spans="1:9" ht="24" customHeight="1" x14ac:dyDescent="0.3">
      <c r="A46" s="47" t="s">
        <v>247</v>
      </c>
      <c r="B46" s="48" t="s">
        <v>248</v>
      </c>
      <c r="C46" s="48" t="s">
        <v>249</v>
      </c>
      <c r="D46" s="48">
        <v>12</v>
      </c>
      <c r="E46" s="35" t="s">
        <v>13</v>
      </c>
      <c r="F46" s="49">
        <v>49.95</v>
      </c>
      <c r="G46" s="49">
        <v>31.5</v>
      </c>
      <c r="H46" s="37">
        <v>0</v>
      </c>
      <c r="I46" s="38">
        <f t="shared" ref="I46:I51" si="2">G46*H46*D46</f>
        <v>0</v>
      </c>
    </row>
    <row r="47" spans="1:9" ht="24" customHeight="1" x14ac:dyDescent="0.3">
      <c r="A47" s="12" t="s">
        <v>250</v>
      </c>
      <c r="B47" s="7" t="s">
        <v>56</v>
      </c>
      <c r="C47" s="7" t="s">
        <v>22</v>
      </c>
      <c r="D47" s="6">
        <v>12</v>
      </c>
      <c r="E47" s="3" t="s">
        <v>13</v>
      </c>
      <c r="F47" s="8">
        <v>49.95</v>
      </c>
      <c r="G47" s="8">
        <v>31.5</v>
      </c>
      <c r="H47" s="4">
        <v>0</v>
      </c>
      <c r="I47" s="44">
        <f t="shared" si="2"/>
        <v>0</v>
      </c>
    </row>
    <row r="48" spans="1:9" ht="24" customHeight="1" x14ac:dyDescent="0.3">
      <c r="A48" s="41" t="s">
        <v>251</v>
      </c>
      <c r="B48" s="42" t="s">
        <v>252</v>
      </c>
      <c r="C48" s="42" t="s">
        <v>132</v>
      </c>
      <c r="D48" s="42">
        <v>48</v>
      </c>
      <c r="E48" s="29" t="s">
        <v>13</v>
      </c>
      <c r="F48" s="43">
        <v>29.97</v>
      </c>
      <c r="G48" s="43">
        <v>19.97</v>
      </c>
      <c r="H48" s="31">
        <v>0</v>
      </c>
      <c r="I48" s="32">
        <f t="shared" si="2"/>
        <v>0</v>
      </c>
    </row>
    <row r="49" spans="1:9" ht="24" customHeight="1" x14ac:dyDescent="0.3">
      <c r="A49" s="12" t="s">
        <v>253</v>
      </c>
      <c r="B49" s="7" t="s">
        <v>254</v>
      </c>
      <c r="C49" s="7" t="s">
        <v>30</v>
      </c>
      <c r="D49" s="6">
        <v>24</v>
      </c>
      <c r="E49" s="3" t="s">
        <v>255</v>
      </c>
      <c r="F49" s="8">
        <v>3.29</v>
      </c>
      <c r="G49" s="8">
        <v>1.97</v>
      </c>
      <c r="H49" s="4">
        <v>0</v>
      </c>
      <c r="I49" s="44">
        <f t="shared" si="2"/>
        <v>0</v>
      </c>
    </row>
    <row r="50" spans="1:9" ht="24" customHeight="1" x14ac:dyDescent="0.3">
      <c r="A50" s="12" t="s">
        <v>256</v>
      </c>
      <c r="B50" s="7" t="s">
        <v>257</v>
      </c>
      <c r="C50" s="7" t="s">
        <v>23</v>
      </c>
      <c r="D50" s="6">
        <v>12</v>
      </c>
      <c r="E50" s="3" t="s">
        <v>13</v>
      </c>
      <c r="F50" s="8">
        <v>54.95</v>
      </c>
      <c r="G50" s="8">
        <v>35.950000000000003</v>
      </c>
      <c r="H50" s="4">
        <v>0</v>
      </c>
      <c r="I50" s="44">
        <f t="shared" si="2"/>
        <v>0</v>
      </c>
    </row>
    <row r="51" spans="1:9" ht="24" customHeight="1" x14ac:dyDescent="0.3">
      <c r="A51" s="47" t="s">
        <v>258</v>
      </c>
      <c r="B51" s="48" t="s">
        <v>45</v>
      </c>
      <c r="C51" s="48" t="s">
        <v>23</v>
      </c>
      <c r="D51" s="48">
        <v>12</v>
      </c>
      <c r="E51" s="35" t="s">
        <v>13</v>
      </c>
      <c r="F51" s="49">
        <v>44.95</v>
      </c>
      <c r="G51" s="49">
        <v>29.97</v>
      </c>
      <c r="H51" s="37">
        <v>0</v>
      </c>
      <c r="I51" s="38">
        <f t="shared" si="2"/>
        <v>0</v>
      </c>
    </row>
    <row r="52" spans="1:9" ht="24" customHeight="1" x14ac:dyDescent="0.3">
      <c r="A52" s="62" t="s">
        <v>120</v>
      </c>
      <c r="B52" s="63"/>
      <c r="C52" s="63"/>
      <c r="D52" s="63"/>
      <c r="E52" s="63"/>
      <c r="F52" s="64"/>
      <c r="G52" s="64"/>
      <c r="H52" s="40"/>
      <c r="I52" s="26"/>
    </row>
    <row r="53" spans="1:9" ht="24" customHeight="1" x14ac:dyDescent="0.3">
      <c r="A53" s="65" t="s">
        <v>259</v>
      </c>
      <c r="B53" s="66" t="s">
        <v>121</v>
      </c>
      <c r="C53" s="66" t="s">
        <v>260</v>
      </c>
      <c r="D53" s="66">
        <v>20</v>
      </c>
      <c r="E53" s="42" t="s">
        <v>13</v>
      </c>
      <c r="F53" s="67">
        <v>59.95</v>
      </c>
      <c r="G53" s="43">
        <v>37.97</v>
      </c>
      <c r="H53" s="31">
        <v>0</v>
      </c>
      <c r="I53" s="32">
        <f>G53*H53*D53</f>
        <v>0</v>
      </c>
    </row>
    <row r="54" spans="1:9" ht="24" customHeight="1" x14ac:dyDescent="0.3">
      <c r="A54" s="68" t="s">
        <v>261</v>
      </c>
      <c r="B54" s="69"/>
      <c r="C54" s="69"/>
      <c r="D54" s="69"/>
      <c r="E54" s="69"/>
      <c r="F54" s="69"/>
      <c r="G54" s="69"/>
      <c r="H54" s="69"/>
      <c r="I54" s="70"/>
    </row>
    <row r="55" spans="1:9" ht="24" customHeight="1" x14ac:dyDescent="0.3">
      <c r="A55" s="12" t="s">
        <v>262</v>
      </c>
      <c r="B55" s="7" t="s">
        <v>112</v>
      </c>
      <c r="C55" s="7" t="s">
        <v>22</v>
      </c>
      <c r="D55" s="6">
        <v>12</v>
      </c>
      <c r="E55" s="7" t="s">
        <v>13</v>
      </c>
      <c r="F55" s="8">
        <v>19.95</v>
      </c>
      <c r="G55" s="8">
        <v>11.97</v>
      </c>
      <c r="H55" s="4">
        <v>0</v>
      </c>
      <c r="I55" s="44">
        <f>G55*H55*D55</f>
        <v>0</v>
      </c>
    </row>
    <row r="56" spans="1:9" ht="24" customHeight="1" x14ac:dyDescent="0.3">
      <c r="A56" s="12" t="s">
        <v>262</v>
      </c>
      <c r="B56" s="7" t="s">
        <v>124</v>
      </c>
      <c r="C56" s="7" t="s">
        <v>23</v>
      </c>
      <c r="D56" s="6">
        <v>12</v>
      </c>
      <c r="E56" s="7" t="s">
        <v>13</v>
      </c>
      <c r="F56" s="8">
        <v>32.950000000000003</v>
      </c>
      <c r="G56" s="8">
        <v>19.77</v>
      </c>
      <c r="H56" s="4">
        <v>0</v>
      </c>
      <c r="I56" s="44">
        <f>G56*H56*D56</f>
        <v>0</v>
      </c>
    </row>
    <row r="57" spans="1:9" ht="24" customHeight="1" x14ac:dyDescent="0.3">
      <c r="A57" s="68" t="s">
        <v>263</v>
      </c>
      <c r="B57" s="69"/>
      <c r="C57" s="69"/>
      <c r="D57" s="69"/>
      <c r="E57" s="69"/>
      <c r="F57" s="69"/>
      <c r="G57" s="69"/>
      <c r="H57" s="69"/>
      <c r="I57" s="70"/>
    </row>
    <row r="58" spans="1:9" ht="24" customHeight="1" x14ac:dyDescent="0.3">
      <c r="A58" s="47" t="s">
        <v>264</v>
      </c>
      <c r="B58" s="48" t="s">
        <v>265</v>
      </c>
      <c r="C58" s="48" t="s">
        <v>46</v>
      </c>
      <c r="D58" s="48">
        <v>12</v>
      </c>
      <c r="E58" s="48" t="s">
        <v>13</v>
      </c>
      <c r="F58" s="49">
        <v>24.95</v>
      </c>
      <c r="G58" s="49">
        <v>15.97</v>
      </c>
      <c r="H58" s="71">
        <v>0</v>
      </c>
      <c r="I58" s="38">
        <f>G58*H58*D58</f>
        <v>0</v>
      </c>
    </row>
    <row r="59" spans="1:9" ht="24" customHeight="1" x14ac:dyDescent="0.3">
      <c r="A59" s="68" t="s">
        <v>266</v>
      </c>
      <c r="B59" s="69"/>
      <c r="C59" s="69"/>
      <c r="D59" s="69"/>
      <c r="E59" s="69"/>
      <c r="F59" s="69"/>
      <c r="G59" s="69"/>
      <c r="H59" s="69"/>
      <c r="I59" s="70"/>
    </row>
    <row r="60" spans="1:9" ht="24" customHeight="1" x14ac:dyDescent="0.3">
      <c r="A60" s="72" t="s">
        <v>267</v>
      </c>
      <c r="B60" s="73" t="s">
        <v>268</v>
      </c>
      <c r="C60" s="73" t="s">
        <v>269</v>
      </c>
      <c r="D60" s="73">
        <v>12</v>
      </c>
      <c r="E60" s="73" t="s">
        <v>13</v>
      </c>
      <c r="F60" s="74">
        <v>46.95</v>
      </c>
      <c r="G60" s="74">
        <v>28.17</v>
      </c>
      <c r="H60" s="75">
        <v>0</v>
      </c>
      <c r="I60" s="76">
        <f>G60*H60*D60</f>
        <v>0</v>
      </c>
    </row>
    <row r="61" spans="1:9" ht="24" customHeight="1" x14ac:dyDescent="0.3">
      <c r="A61" s="12" t="s">
        <v>270</v>
      </c>
      <c r="B61" s="7" t="s">
        <v>114</v>
      </c>
      <c r="C61" s="7" t="s">
        <v>23</v>
      </c>
      <c r="D61" s="6">
        <v>12</v>
      </c>
      <c r="E61" s="3" t="s">
        <v>13</v>
      </c>
      <c r="F61" s="8">
        <v>44.95</v>
      </c>
      <c r="G61" s="8">
        <v>29.97</v>
      </c>
      <c r="H61" s="4">
        <v>0</v>
      </c>
      <c r="I61" s="44">
        <f>G61*H61*D61</f>
        <v>0</v>
      </c>
    </row>
    <row r="62" spans="1:9" ht="24" customHeight="1" x14ac:dyDescent="0.3">
      <c r="A62" s="68" t="s">
        <v>133</v>
      </c>
      <c r="B62" s="77"/>
      <c r="C62" s="25"/>
      <c r="D62" s="25"/>
      <c r="E62" s="25"/>
      <c r="F62" s="78"/>
      <c r="G62" s="78"/>
      <c r="H62" s="79"/>
      <c r="I62" s="80"/>
    </row>
    <row r="63" spans="1:9" ht="24" customHeight="1" x14ac:dyDescent="0.3">
      <c r="A63" s="81" t="s">
        <v>134</v>
      </c>
      <c r="B63" s="59" t="s">
        <v>271</v>
      </c>
      <c r="C63" s="59" t="s">
        <v>23</v>
      </c>
      <c r="D63" s="59">
        <v>12</v>
      </c>
      <c r="E63" s="48" t="s">
        <v>13</v>
      </c>
      <c r="F63" s="82">
        <v>29.95</v>
      </c>
      <c r="G63" s="82">
        <v>17.97</v>
      </c>
      <c r="H63" s="37">
        <v>0</v>
      </c>
      <c r="I63" s="38">
        <f>G63*H63*D63</f>
        <v>0</v>
      </c>
    </row>
    <row r="64" spans="1:9" ht="24" customHeight="1" x14ac:dyDescent="0.3">
      <c r="A64" s="68" t="s">
        <v>272</v>
      </c>
      <c r="B64" s="77"/>
      <c r="C64" s="25"/>
      <c r="D64" s="25"/>
      <c r="E64" s="25"/>
      <c r="F64" s="78"/>
      <c r="G64" s="78"/>
      <c r="H64" s="79"/>
      <c r="I64" s="80"/>
    </row>
    <row r="65" spans="1:9" ht="24" customHeight="1" x14ac:dyDescent="0.3">
      <c r="A65" s="53" t="s">
        <v>273</v>
      </c>
      <c r="B65" s="54" t="s">
        <v>274</v>
      </c>
      <c r="C65" s="54" t="s">
        <v>19</v>
      </c>
      <c r="D65" s="54">
        <v>12</v>
      </c>
      <c r="E65" s="42" t="s">
        <v>13</v>
      </c>
      <c r="F65" s="83">
        <v>49.95</v>
      </c>
      <c r="G65" s="83">
        <v>29.97</v>
      </c>
      <c r="H65" s="31">
        <v>0</v>
      </c>
      <c r="I65" s="32">
        <f>G65*H65*D65</f>
        <v>0</v>
      </c>
    </row>
    <row r="66" spans="1:9" ht="24" customHeight="1" x14ac:dyDescent="0.3">
      <c r="A66" s="57" t="s">
        <v>275</v>
      </c>
      <c r="B66" s="10" t="s">
        <v>56</v>
      </c>
      <c r="C66" s="10" t="s">
        <v>23</v>
      </c>
      <c r="D66" s="10">
        <v>12</v>
      </c>
      <c r="E66" s="7" t="s">
        <v>13</v>
      </c>
      <c r="F66" s="13">
        <v>29.95</v>
      </c>
      <c r="G66" s="13">
        <v>18.97</v>
      </c>
      <c r="H66" s="4">
        <v>0</v>
      </c>
      <c r="I66" s="44">
        <f>G66*H66*D66</f>
        <v>0</v>
      </c>
    </row>
    <row r="67" spans="1:9" ht="24" customHeight="1" x14ac:dyDescent="0.3">
      <c r="A67" s="84" t="s">
        <v>276</v>
      </c>
      <c r="B67" s="85"/>
      <c r="C67" s="86"/>
      <c r="D67" s="86"/>
      <c r="E67" s="86"/>
      <c r="F67" s="86"/>
      <c r="G67" s="86"/>
      <c r="H67" s="87"/>
      <c r="I67" s="88"/>
    </row>
    <row r="68" spans="1:9" ht="24" customHeight="1" x14ac:dyDescent="0.3">
      <c r="A68" s="89" t="s">
        <v>277</v>
      </c>
      <c r="B68" s="73" t="s">
        <v>278</v>
      </c>
      <c r="C68" s="73" t="s">
        <v>19</v>
      </c>
      <c r="D68" s="73">
        <v>12</v>
      </c>
      <c r="E68" s="73" t="s">
        <v>13</v>
      </c>
      <c r="F68" s="74">
        <v>39.950000000000003</v>
      </c>
      <c r="G68" s="74">
        <v>23.97</v>
      </c>
      <c r="H68" s="90">
        <v>0</v>
      </c>
      <c r="I68" s="76">
        <f>G68*H68*D68</f>
        <v>0</v>
      </c>
    </row>
    <row r="69" spans="1:9" ht="24" customHeight="1" x14ac:dyDescent="0.3">
      <c r="A69" s="45" t="s">
        <v>144</v>
      </c>
      <c r="B69" s="64"/>
      <c r="C69" s="64"/>
      <c r="D69" s="64"/>
      <c r="E69" s="64"/>
      <c r="F69" s="64"/>
      <c r="G69" s="64"/>
      <c r="H69" s="40"/>
      <c r="I69" s="26"/>
    </row>
    <row r="70" spans="1:9" ht="24" customHeight="1" x14ac:dyDescent="0.3">
      <c r="A70" s="57" t="s">
        <v>145</v>
      </c>
      <c r="B70" s="10" t="s">
        <v>114</v>
      </c>
      <c r="C70" s="10" t="s">
        <v>46</v>
      </c>
      <c r="D70" s="10">
        <v>12</v>
      </c>
      <c r="E70" s="7" t="s">
        <v>13</v>
      </c>
      <c r="F70" s="13">
        <v>39.950000000000003</v>
      </c>
      <c r="G70" s="13">
        <v>23.97</v>
      </c>
      <c r="H70" s="4">
        <v>0</v>
      </c>
      <c r="I70" s="44">
        <f>G70*H70*D70</f>
        <v>0</v>
      </c>
    </row>
    <row r="71" spans="1:9" ht="24" customHeight="1" x14ac:dyDescent="0.3">
      <c r="A71" s="45" t="s">
        <v>279</v>
      </c>
      <c r="B71" s="64"/>
      <c r="C71" s="64"/>
      <c r="D71" s="64"/>
      <c r="E71" s="64"/>
      <c r="F71" s="64"/>
      <c r="G71" s="64"/>
      <c r="H71" s="40"/>
      <c r="I71" s="26"/>
    </row>
    <row r="72" spans="1:9" ht="24" customHeight="1" x14ac:dyDescent="0.3">
      <c r="A72" s="12" t="s">
        <v>280</v>
      </c>
      <c r="B72" s="7" t="s">
        <v>281</v>
      </c>
      <c r="C72" s="7" t="s">
        <v>154</v>
      </c>
      <c r="D72" s="6">
        <v>12</v>
      </c>
      <c r="E72" s="3" t="s">
        <v>282</v>
      </c>
      <c r="F72" s="8">
        <v>69.95</v>
      </c>
      <c r="G72" s="8">
        <v>43.97</v>
      </c>
      <c r="H72" s="4">
        <v>0</v>
      </c>
      <c r="I72" s="44">
        <f>G72*H72*D72</f>
        <v>0</v>
      </c>
    </row>
    <row r="73" spans="1:9" ht="24" customHeight="1" x14ac:dyDescent="0.3">
      <c r="A73" s="45" t="s">
        <v>283</v>
      </c>
      <c r="B73" s="64"/>
      <c r="C73" s="64"/>
      <c r="D73" s="64"/>
      <c r="E73" s="64"/>
      <c r="F73" s="64"/>
      <c r="G73" s="64"/>
      <c r="H73" s="40"/>
      <c r="I73" s="26"/>
    </row>
    <row r="74" spans="1:9" ht="24" customHeight="1" x14ac:dyDescent="0.3">
      <c r="A74" s="12" t="s">
        <v>284</v>
      </c>
      <c r="B74" s="7" t="s">
        <v>112</v>
      </c>
      <c r="C74" s="7" t="s">
        <v>46</v>
      </c>
      <c r="D74" s="6">
        <v>12</v>
      </c>
      <c r="E74" s="3" t="s">
        <v>13</v>
      </c>
      <c r="F74" s="8">
        <v>24.95</v>
      </c>
      <c r="G74" s="8">
        <v>14.97</v>
      </c>
      <c r="H74" s="4">
        <v>0</v>
      </c>
      <c r="I74" s="44">
        <f>G74*H74*D74</f>
        <v>0</v>
      </c>
    </row>
    <row r="75" spans="1:9" ht="24" customHeight="1" x14ac:dyDescent="0.3">
      <c r="A75" s="45" t="s">
        <v>285</v>
      </c>
      <c r="B75" s="64"/>
      <c r="C75" s="64"/>
      <c r="D75" s="64"/>
      <c r="E75" s="64"/>
      <c r="F75" s="64"/>
      <c r="G75" s="64"/>
      <c r="H75" s="40"/>
      <c r="I75" s="26"/>
    </row>
    <row r="76" spans="1:9" ht="24" customHeight="1" x14ac:dyDescent="0.3">
      <c r="A76" s="47" t="s">
        <v>175</v>
      </c>
      <c r="B76" s="48" t="s">
        <v>286</v>
      </c>
      <c r="C76" s="48" t="s">
        <v>60</v>
      </c>
      <c r="D76" s="48">
        <v>12</v>
      </c>
      <c r="E76" s="48" t="s">
        <v>13</v>
      </c>
      <c r="F76" s="49">
        <v>14.99</v>
      </c>
      <c r="G76" s="49">
        <v>7.92</v>
      </c>
      <c r="H76" s="37">
        <v>0</v>
      </c>
      <c r="I76" s="38">
        <f>G76*H76*D76</f>
        <v>0</v>
      </c>
    </row>
    <row r="77" spans="1:9" ht="24" customHeight="1" x14ac:dyDescent="0.3">
      <c r="A77" s="12" t="s">
        <v>287</v>
      </c>
      <c r="B77" s="7" t="s">
        <v>288</v>
      </c>
      <c r="C77" s="7" t="s">
        <v>154</v>
      </c>
      <c r="D77" s="6">
        <v>12</v>
      </c>
      <c r="E77" s="3" t="s">
        <v>13</v>
      </c>
      <c r="F77" s="8">
        <v>24.99</v>
      </c>
      <c r="G77" s="8">
        <v>14.99</v>
      </c>
      <c r="H77" s="4">
        <v>0</v>
      </c>
      <c r="I77" s="44">
        <f>G77*H77*D77</f>
        <v>0</v>
      </c>
    </row>
    <row r="78" spans="1:9" ht="24" customHeight="1" x14ac:dyDescent="0.3">
      <c r="A78" s="89" t="s">
        <v>175</v>
      </c>
      <c r="B78" s="91" t="s">
        <v>289</v>
      </c>
      <c r="C78" s="73" t="s">
        <v>75</v>
      </c>
      <c r="D78" s="73">
        <v>6</v>
      </c>
      <c r="E78" s="73" t="s">
        <v>13</v>
      </c>
      <c r="F78" s="74">
        <v>39.99</v>
      </c>
      <c r="G78" s="74">
        <v>23.99</v>
      </c>
      <c r="H78" s="90">
        <v>0</v>
      </c>
      <c r="I78" s="76">
        <f>G78*H78*D78</f>
        <v>0</v>
      </c>
    </row>
    <row r="79" spans="1:9" ht="24" customHeight="1" x14ac:dyDescent="0.3">
      <c r="A79" s="170"/>
      <c r="B79" s="170"/>
      <c r="C79" s="170"/>
      <c r="D79" s="170"/>
      <c r="E79" s="170"/>
      <c r="F79" s="170"/>
      <c r="G79" s="170"/>
      <c r="H79" s="170"/>
      <c r="I79" s="170"/>
    </row>
    <row r="80" spans="1:9" ht="24" customHeight="1" x14ac:dyDescent="0.3">
      <c r="A80" s="174" t="s">
        <v>178</v>
      </c>
      <c r="B80" s="174"/>
      <c r="C80" s="174"/>
      <c r="D80" s="174"/>
      <c r="E80" s="174"/>
      <c r="F80" s="174"/>
      <c r="G80" s="174"/>
      <c r="H80" s="174"/>
      <c r="I80" s="92">
        <f>SUM(I3:I78)</f>
        <v>0</v>
      </c>
    </row>
    <row r="81" spans="1:9" ht="24" customHeight="1" x14ac:dyDescent="0.3">
      <c r="A81" s="175" t="s">
        <v>179</v>
      </c>
      <c r="B81" s="175"/>
      <c r="C81" s="175"/>
      <c r="D81" s="175"/>
      <c r="E81" s="175"/>
      <c r="F81" s="175"/>
      <c r="G81" s="175"/>
      <c r="H81" s="175"/>
      <c r="I81" s="93">
        <v>0</v>
      </c>
    </row>
    <row r="82" spans="1:9" ht="24" customHeight="1" x14ac:dyDescent="0.3">
      <c r="A82" s="175" t="s">
        <v>180</v>
      </c>
      <c r="B82" s="175"/>
      <c r="C82" s="175"/>
      <c r="D82" s="175"/>
      <c r="E82" s="175"/>
      <c r="F82" s="175"/>
      <c r="G82" s="175"/>
      <c r="H82" s="175"/>
      <c r="I82" s="94">
        <f>I80*I81</f>
        <v>0</v>
      </c>
    </row>
    <row r="83" spans="1:9" ht="24" customHeight="1" x14ac:dyDescent="0.3">
      <c r="A83" s="176" t="s">
        <v>181</v>
      </c>
      <c r="B83" s="176"/>
      <c r="C83" s="176"/>
      <c r="D83" s="176"/>
      <c r="E83" s="176"/>
      <c r="F83" s="176"/>
      <c r="G83" s="176"/>
      <c r="H83" s="176"/>
      <c r="I83" s="95">
        <f>I80-I82</f>
        <v>0</v>
      </c>
    </row>
    <row r="84" spans="1:9" ht="24" customHeight="1" x14ac:dyDescent="0.3">
      <c r="A84" s="170" t="s">
        <v>182</v>
      </c>
      <c r="B84" s="170"/>
      <c r="C84" s="170"/>
      <c r="D84" s="170"/>
      <c r="E84" s="170"/>
      <c r="F84" s="170"/>
      <c r="G84" s="170"/>
      <c r="H84" s="170"/>
      <c r="I84" s="170"/>
    </row>
    <row r="85" spans="1:9" ht="24" customHeight="1" x14ac:dyDescent="0.3">
      <c r="A85" s="171" t="s">
        <v>290</v>
      </c>
      <c r="B85" s="171"/>
      <c r="C85" s="171"/>
      <c r="D85" s="171"/>
      <c r="E85" s="171"/>
      <c r="F85" s="171"/>
      <c r="G85" s="171"/>
      <c r="H85" s="171"/>
      <c r="I85" s="171"/>
    </row>
    <row r="86" spans="1:9" ht="24" customHeight="1" x14ac:dyDescent="0.3">
      <c r="A86" s="172" t="s">
        <v>183</v>
      </c>
      <c r="B86" s="172"/>
      <c r="C86" s="172"/>
      <c r="D86" s="172"/>
      <c r="E86" s="172"/>
      <c r="F86" s="172"/>
      <c r="G86" s="172"/>
      <c r="H86" s="172"/>
      <c r="I86" s="172"/>
    </row>
    <row r="87" spans="1:9" ht="23.1" customHeight="1" x14ac:dyDescent="0.3"/>
    <row r="88" spans="1:9" ht="23.1" customHeight="1" x14ac:dyDescent="0.3"/>
    <row r="89" spans="1:9" ht="23.1" customHeight="1" x14ac:dyDescent="0.3"/>
    <row r="90" spans="1:9" ht="23.1" customHeight="1" x14ac:dyDescent="0.3"/>
    <row r="91" spans="1:9" ht="23.1" customHeight="1" x14ac:dyDescent="0.3"/>
    <row r="92" spans="1:9" ht="23.1" customHeight="1" x14ac:dyDescent="0.3"/>
    <row r="93" spans="1:9" ht="23.1" customHeight="1" x14ac:dyDescent="0.3"/>
    <row r="94" spans="1:9" ht="23.1" customHeight="1" x14ac:dyDescent="0.3"/>
    <row r="95" spans="1:9" ht="23.1" customHeight="1" x14ac:dyDescent="0.3"/>
    <row r="96" spans="1:9" ht="23.1" customHeight="1" x14ac:dyDescent="0.3"/>
    <row r="97" ht="23.1" customHeight="1" x14ac:dyDescent="0.3"/>
    <row r="98" ht="23.1" customHeight="1" x14ac:dyDescent="0.3"/>
    <row r="99" ht="23.1" customHeight="1" x14ac:dyDescent="0.3"/>
    <row r="100" ht="23.1" customHeight="1" x14ac:dyDescent="0.3"/>
    <row r="101" ht="23.1" customHeight="1" x14ac:dyDescent="0.3"/>
    <row r="102" ht="23.1" customHeight="1" x14ac:dyDescent="0.3"/>
    <row r="103" ht="23.1" customHeight="1" x14ac:dyDescent="0.3"/>
    <row r="104" ht="23.1" customHeight="1" x14ac:dyDescent="0.3"/>
    <row r="105" ht="23.1" customHeight="1" x14ac:dyDescent="0.3"/>
    <row r="106" ht="23.1" customHeight="1" x14ac:dyDescent="0.3"/>
  </sheetData>
  <sheetProtection selectLockedCells="1" selectUnlockedCells="1"/>
  <mergeCells count="9">
    <mergeCell ref="A84:I84"/>
    <mergeCell ref="A85:I85"/>
    <mergeCell ref="A86:I86"/>
    <mergeCell ref="A2:I2"/>
    <mergeCell ref="A79:I79"/>
    <mergeCell ref="A80:H80"/>
    <mergeCell ref="A81:H81"/>
    <mergeCell ref="A82:H82"/>
    <mergeCell ref="A83:H83"/>
  </mergeCells>
  <pageMargins left="0.75" right="0.75" top="0.44027777777777777" bottom="0.40972222222222221" header="0.51180555555555551" footer="0.51180555555555551"/>
  <pageSetup scale="40" firstPageNumber="0" orientation="portrait" horizontalDpi="300" verticalDpi="300"/>
  <headerFooter alignWithMargins="0"/>
  <rowBreaks count="1" manualBreakCount="1">
    <brk id="6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2</vt:i4>
      </vt:variant>
    </vt:vector>
  </HeadingPairs>
  <TitlesOfParts>
    <vt:vector size="4" baseType="lpstr">
      <vt:lpstr>DSN GROUP (SAN)</vt:lpstr>
      <vt:lpstr>DOMESTIC</vt:lpstr>
      <vt:lpstr>DOMESTIC!Заголовки_для_друку</vt:lpstr>
      <vt:lpstr>DOMESTIC!Область_друку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Morrison</dc:creator>
  <cp:keywords/>
  <dc:description/>
  <cp:lastModifiedBy>Tkachuk Valia</cp:lastModifiedBy>
  <cp:revision/>
  <cp:lastPrinted>2022-02-01T18:58:59Z</cp:lastPrinted>
  <dcterms:created xsi:type="dcterms:W3CDTF">2014-07-17T19:26:55Z</dcterms:created>
  <dcterms:modified xsi:type="dcterms:W3CDTF">2024-11-08T08:56:24Z</dcterms:modified>
  <cp:category/>
  <cp:contentStatus/>
</cp:coreProperties>
</file>