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rices\Buried Treasure\Продаж\"/>
    </mc:Choice>
  </mc:AlternateContent>
  <xr:revisionPtr revIDLastSave="0" documentId="13_ncr:1_{2A61C19C-3409-423C-BAC9-3CB9748633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Buried Treasue)" sheetId="1" r:id="rId1"/>
  </sheets>
  <definedNames>
    <definedName name="_xlnm._FilterDatabase" localSheetId="0" hidden="1">'DSN GROUP (Buried Treasue)'!$A$2:$J$59</definedName>
    <definedName name="_xlnm.Print_Area" localSheetId="0">'DSN GROUP (Buried Treasue)'!$B$3:$C$58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7" i="1" l="1"/>
  <c r="M56" i="1"/>
  <c r="M49" i="1"/>
  <c r="M48" i="1"/>
  <c r="M9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4" i="1"/>
  <c r="M59" i="1"/>
  <c r="N59" i="1"/>
  <c r="P59" i="1"/>
  <c r="P58" i="1"/>
  <c r="N58" i="1"/>
  <c r="M58" i="1"/>
  <c r="P57" i="1"/>
  <c r="N57" i="1"/>
  <c r="P56" i="1"/>
  <c r="N56" i="1"/>
  <c r="P55" i="1"/>
  <c r="N55" i="1"/>
  <c r="M55" i="1"/>
  <c r="P54" i="1"/>
  <c r="M54" i="1"/>
  <c r="P53" i="1"/>
  <c r="M53" i="1"/>
  <c r="P52" i="1"/>
  <c r="N52" i="1"/>
  <c r="M52" i="1"/>
  <c r="P51" i="1"/>
  <c r="N51" i="1"/>
  <c r="M51" i="1"/>
  <c r="P50" i="1"/>
  <c r="N50" i="1"/>
  <c r="M50" i="1"/>
  <c r="P49" i="1"/>
  <c r="N49" i="1"/>
  <c r="P48" i="1"/>
  <c r="N48" i="1"/>
  <c r="P47" i="1"/>
  <c r="N47" i="1"/>
  <c r="M47" i="1"/>
  <c r="P46" i="1"/>
  <c r="N46" i="1"/>
  <c r="M46" i="1"/>
  <c r="P45" i="1"/>
  <c r="N45" i="1"/>
  <c r="M45" i="1"/>
  <c r="P44" i="1"/>
  <c r="N44" i="1"/>
  <c r="M44" i="1"/>
  <c r="P43" i="1"/>
  <c r="N43" i="1"/>
  <c r="M43" i="1"/>
  <c r="P42" i="1"/>
  <c r="N42" i="1"/>
  <c r="M42" i="1"/>
  <c r="P41" i="1"/>
  <c r="N41" i="1"/>
  <c r="M41" i="1"/>
  <c r="P40" i="1"/>
  <c r="N40" i="1"/>
  <c r="M40" i="1"/>
  <c r="P39" i="1"/>
  <c r="N39" i="1"/>
  <c r="M39" i="1"/>
  <c r="P38" i="1"/>
  <c r="N38" i="1"/>
  <c r="M38" i="1"/>
  <c r="P37" i="1"/>
  <c r="N37" i="1"/>
  <c r="M37" i="1"/>
  <c r="P36" i="1"/>
  <c r="N36" i="1"/>
  <c r="M36" i="1"/>
  <c r="P35" i="1"/>
  <c r="N35" i="1"/>
  <c r="M35" i="1"/>
  <c r="P34" i="1"/>
  <c r="N34" i="1"/>
  <c r="M34" i="1"/>
  <c r="P33" i="1"/>
  <c r="N33" i="1"/>
  <c r="M33" i="1"/>
  <c r="P32" i="1"/>
  <c r="N32" i="1"/>
  <c r="M32" i="1"/>
  <c r="P31" i="1"/>
  <c r="N31" i="1"/>
  <c r="M31" i="1"/>
  <c r="P30" i="1"/>
  <c r="N30" i="1"/>
  <c r="M30" i="1"/>
  <c r="P29" i="1"/>
  <c r="N29" i="1"/>
  <c r="M29" i="1"/>
  <c r="P28" i="1"/>
  <c r="N28" i="1"/>
  <c r="M28" i="1"/>
  <c r="P27" i="1"/>
  <c r="N27" i="1"/>
  <c r="M27" i="1"/>
  <c r="P26" i="1"/>
  <c r="N26" i="1"/>
  <c r="M26" i="1"/>
  <c r="P25" i="1"/>
  <c r="N25" i="1"/>
  <c r="M25" i="1"/>
  <c r="P24" i="1"/>
  <c r="N24" i="1"/>
  <c r="M24" i="1"/>
  <c r="P23" i="1"/>
  <c r="N23" i="1"/>
  <c r="M23" i="1"/>
  <c r="P22" i="1"/>
  <c r="N22" i="1"/>
  <c r="M22" i="1"/>
  <c r="P21" i="1"/>
  <c r="N21" i="1"/>
  <c r="M21" i="1"/>
  <c r="P20" i="1"/>
  <c r="N20" i="1"/>
  <c r="M20" i="1"/>
  <c r="P19" i="1"/>
  <c r="N19" i="1"/>
  <c r="M19" i="1"/>
  <c r="P18" i="1"/>
  <c r="N18" i="1"/>
  <c r="M18" i="1"/>
  <c r="P17" i="1"/>
  <c r="N17" i="1"/>
  <c r="M17" i="1"/>
  <c r="P16" i="1"/>
  <c r="N16" i="1"/>
  <c r="M16" i="1"/>
  <c r="P15" i="1"/>
  <c r="N15" i="1"/>
  <c r="M15" i="1"/>
  <c r="P14" i="1"/>
  <c r="N14" i="1"/>
  <c r="M14" i="1"/>
  <c r="P13" i="1"/>
  <c r="N13" i="1"/>
  <c r="M13" i="1"/>
  <c r="P12" i="1"/>
  <c r="N12" i="1"/>
  <c r="M12" i="1"/>
  <c r="P11" i="1"/>
  <c r="N11" i="1"/>
  <c r="M11" i="1"/>
  <c r="P10" i="1"/>
  <c r="N10" i="1"/>
  <c r="M10" i="1"/>
  <c r="P9" i="1"/>
  <c r="N9" i="1"/>
  <c r="P8" i="1"/>
  <c r="N8" i="1"/>
  <c r="M8" i="1"/>
  <c r="P7" i="1"/>
  <c r="N7" i="1"/>
  <c r="M7" i="1"/>
  <c r="P6" i="1"/>
  <c r="N6" i="1"/>
  <c r="M6" i="1"/>
  <c r="P5" i="1"/>
  <c r="N5" i="1"/>
  <c r="M5" i="1"/>
  <c r="P4" i="1"/>
  <c r="M4" i="1"/>
  <c r="O2" i="1" l="1"/>
  <c r="P2" i="1"/>
  <c r="N54" i="1"/>
  <c r="N53" i="1" l="1"/>
  <c r="J59" i="1" l="1"/>
  <c r="R59" i="1" s="1"/>
  <c r="J5" i="1"/>
  <c r="R5" i="1" s="1"/>
  <c r="J6" i="1"/>
  <c r="R6" i="1" s="1"/>
  <c r="J7" i="1"/>
  <c r="R7" i="1" s="1"/>
  <c r="J8" i="1"/>
  <c r="R8" i="1" s="1"/>
  <c r="J9" i="1"/>
  <c r="R9" i="1" s="1"/>
  <c r="J10" i="1"/>
  <c r="R10" i="1" s="1"/>
  <c r="J11" i="1"/>
  <c r="R11" i="1" s="1"/>
  <c r="J12" i="1"/>
  <c r="R12" i="1" s="1"/>
  <c r="J13" i="1"/>
  <c r="R13" i="1" s="1"/>
  <c r="J14" i="1"/>
  <c r="R14" i="1" s="1"/>
  <c r="J15" i="1"/>
  <c r="R15" i="1" s="1"/>
  <c r="J16" i="1"/>
  <c r="R16" i="1" s="1"/>
  <c r="J17" i="1"/>
  <c r="R17" i="1" s="1"/>
  <c r="J18" i="1"/>
  <c r="R18" i="1" s="1"/>
  <c r="J19" i="1"/>
  <c r="R19" i="1" s="1"/>
  <c r="J20" i="1"/>
  <c r="R20" i="1" s="1"/>
  <c r="J21" i="1"/>
  <c r="R21" i="1" s="1"/>
  <c r="J22" i="1"/>
  <c r="R22" i="1" s="1"/>
  <c r="J23" i="1"/>
  <c r="R23" i="1" s="1"/>
  <c r="J24" i="1"/>
  <c r="R24" i="1" s="1"/>
  <c r="J25" i="1"/>
  <c r="R25" i="1" s="1"/>
  <c r="J26" i="1"/>
  <c r="R26" i="1" s="1"/>
  <c r="J27" i="1"/>
  <c r="R27" i="1" s="1"/>
  <c r="J28" i="1"/>
  <c r="R28" i="1" s="1"/>
  <c r="J29" i="1"/>
  <c r="R29" i="1" s="1"/>
  <c r="J30" i="1"/>
  <c r="R30" i="1" s="1"/>
  <c r="J31" i="1"/>
  <c r="R31" i="1" s="1"/>
  <c r="J32" i="1"/>
  <c r="R32" i="1" s="1"/>
  <c r="J33" i="1"/>
  <c r="R33" i="1" s="1"/>
  <c r="J34" i="1"/>
  <c r="R34" i="1" s="1"/>
  <c r="J35" i="1"/>
  <c r="R35" i="1" s="1"/>
  <c r="J36" i="1"/>
  <c r="R36" i="1" s="1"/>
  <c r="J37" i="1"/>
  <c r="R37" i="1" s="1"/>
  <c r="J38" i="1"/>
  <c r="R38" i="1" s="1"/>
  <c r="J39" i="1"/>
  <c r="R39" i="1" s="1"/>
  <c r="J40" i="1"/>
  <c r="R40" i="1" s="1"/>
  <c r="J41" i="1"/>
  <c r="R41" i="1" s="1"/>
  <c r="J42" i="1"/>
  <c r="R42" i="1" s="1"/>
  <c r="J43" i="1"/>
  <c r="R43" i="1" s="1"/>
  <c r="J44" i="1"/>
  <c r="R44" i="1" s="1"/>
  <c r="J45" i="1"/>
  <c r="R45" i="1" s="1"/>
  <c r="J46" i="1"/>
  <c r="R46" i="1" s="1"/>
  <c r="J47" i="1"/>
  <c r="R47" i="1" s="1"/>
  <c r="J48" i="1"/>
  <c r="R48" i="1" s="1"/>
  <c r="J49" i="1"/>
  <c r="R49" i="1" s="1"/>
  <c r="J50" i="1"/>
  <c r="R50" i="1" s="1"/>
  <c r="J51" i="1"/>
  <c r="R51" i="1" s="1"/>
  <c r="J52" i="1"/>
  <c r="R52" i="1" s="1"/>
  <c r="J53" i="1"/>
  <c r="R53" i="1" s="1"/>
  <c r="J54" i="1"/>
  <c r="R54" i="1" s="1"/>
  <c r="J55" i="1"/>
  <c r="R55" i="1" s="1"/>
  <c r="J56" i="1"/>
  <c r="R56" i="1" s="1"/>
  <c r="J57" i="1"/>
  <c r="R57" i="1" s="1"/>
  <c r="J58" i="1"/>
  <c r="R58" i="1" s="1"/>
  <c r="J4" i="1"/>
  <c r="N4" i="1" l="1"/>
  <c r="R4" i="1"/>
  <c r="K2" i="1"/>
  <c r="R1" i="1" l="1"/>
</calcChain>
</file>

<file path=xl/sharedStrings.xml><?xml version="1.0" encoding="utf-8"?>
<sst xmlns="http://schemas.openxmlformats.org/spreadsheetml/2006/main" count="177" uniqueCount="176">
  <si>
    <t xml:space="preserve"> BTACF</t>
  </si>
  <si>
    <t>*ACF</t>
  </si>
  <si>
    <t>0 16055 34574 4</t>
  </si>
  <si>
    <t xml:space="preserve"> BTCACF</t>
  </si>
  <si>
    <t>*ACF Children's</t>
  </si>
  <si>
    <t>0 16055 45682 2</t>
  </si>
  <si>
    <t xml:space="preserve"> BTEACF</t>
  </si>
  <si>
    <t>ACF Elderberry</t>
  </si>
  <si>
    <t>0 16055 50021 1</t>
  </si>
  <si>
    <t xml:space="preserve"> BTSACF</t>
  </si>
  <si>
    <t>0 16055 50012 9</t>
  </si>
  <si>
    <t xml:space="preserve"> BTPACF</t>
  </si>
  <si>
    <t>0 16055 45684 6</t>
  </si>
  <si>
    <t xml:space="preserve"> BTADD</t>
  </si>
  <si>
    <t>0 16055 45676 1</t>
  </si>
  <si>
    <t xml:space="preserve"> BTAE</t>
  </si>
  <si>
    <t>0 16055 45677 8</t>
  </si>
  <si>
    <t xml:space="preserve"> BTBCC</t>
  </si>
  <si>
    <t>*"B" Complete</t>
  </si>
  <si>
    <t>0 16055 45671 6</t>
  </si>
  <si>
    <t xml:space="preserve"> BTCPB</t>
  </si>
  <si>
    <t>Calcium Plus (Blueberry)</t>
  </si>
  <si>
    <t>0 16055 45678 5</t>
  </si>
  <si>
    <t xml:space="preserve"> BTCF</t>
  </si>
  <si>
    <t>0 16055 45674 7</t>
  </si>
  <si>
    <t xml:space="preserve"> BTMCT</t>
  </si>
  <si>
    <t>0 16055 50008 2</t>
  </si>
  <si>
    <t xml:space="preserve"> BTDN</t>
  </si>
  <si>
    <t>0 16055 34562 1</t>
  </si>
  <si>
    <t xml:space="preserve"> BTHSN</t>
  </si>
  <si>
    <t>0 16055 45685 3</t>
  </si>
  <si>
    <t xml:space="preserve"> BTHI</t>
  </si>
  <si>
    <t xml:space="preserve">Herbal Iron                              </t>
  </si>
  <si>
    <t>0 16055 50014 3</t>
  </si>
  <si>
    <t xml:space="preserve"> BTJEC</t>
  </si>
  <si>
    <t xml:space="preserve">Joint Ease                                </t>
  </si>
  <si>
    <t>0 16055 34567 6</t>
  </si>
  <si>
    <t xml:space="preserve"> BTLCM</t>
  </si>
  <si>
    <t>*Liquid Chlorophyll</t>
  </si>
  <si>
    <t>0 16055 50019 8</t>
  </si>
  <si>
    <t xml:space="preserve"> BTLS</t>
  </si>
  <si>
    <t>Lumi-Shield +</t>
  </si>
  <si>
    <t>0 16055 50020 4</t>
  </si>
  <si>
    <t xml:space="preserve"> BTMP</t>
  </si>
  <si>
    <t>0 16055 45686 0</t>
  </si>
  <si>
    <t xml:space="preserve"> BTNN</t>
  </si>
  <si>
    <t>*Neuro-Nectar</t>
  </si>
  <si>
    <t>0 16055 34577 5</t>
  </si>
  <si>
    <t xml:space="preserve"> BTPNC</t>
  </si>
  <si>
    <t>0 16055 45679 2</t>
  </si>
  <si>
    <t xml:space="preserve"> BTSC</t>
  </si>
  <si>
    <t>0 16055 45688 4</t>
  </si>
  <si>
    <t xml:space="preserve"> BTSBG</t>
  </si>
  <si>
    <t>0 16055 45673 0</t>
  </si>
  <si>
    <t xml:space="preserve"> BTSS</t>
  </si>
  <si>
    <t>0 16055 50010 5</t>
  </si>
  <si>
    <t xml:space="preserve"> BTTB16</t>
  </si>
  <si>
    <t>0 16055 50027 3</t>
  </si>
  <si>
    <t xml:space="preserve"> BTWC</t>
  </si>
  <si>
    <t>Women's Change</t>
  </si>
  <si>
    <t>0 16055 45701 0</t>
  </si>
  <si>
    <t xml:space="preserve"> BTMRC</t>
  </si>
  <si>
    <t>0 16055 45702 7</t>
  </si>
  <si>
    <t xml:space="preserve"> BTMR</t>
  </si>
  <si>
    <t>0 16055 50017 4</t>
  </si>
  <si>
    <t xml:space="preserve"> BTA55</t>
  </si>
  <si>
    <t>0 16055 45680 8</t>
  </si>
  <si>
    <t xml:space="preserve"> BTGRAP</t>
  </si>
  <si>
    <t>*Concord Grape Minerals</t>
  </si>
  <si>
    <t>0 16055 34565 2</t>
  </si>
  <si>
    <t xml:space="preserve"> BTPURE</t>
  </si>
  <si>
    <t>0 16055 34561 4</t>
  </si>
  <si>
    <t xml:space="preserve"> BTRASP</t>
  </si>
  <si>
    <t>Raspberry Minerals</t>
  </si>
  <si>
    <t xml:space="preserve"> BTVM100</t>
  </si>
  <si>
    <t>0 16055 45378 4</t>
  </si>
  <si>
    <t>Move-Ease 2oz-6pk (12servings)</t>
  </si>
  <si>
    <t>0 16055 10024 4</t>
  </si>
  <si>
    <t>0 16055 34563 8</t>
  </si>
  <si>
    <t>Hair Skin &amp; Nails (32 servings)</t>
  </si>
  <si>
    <t>Silver (96 Servings)</t>
  </si>
  <si>
    <r>
      <t xml:space="preserve">*Added Attention </t>
    </r>
    <r>
      <rPr>
        <sz val="11"/>
        <color rgb="FF000000"/>
        <rFont val="Calibri"/>
        <family val="2"/>
      </rPr>
      <t>(32 servings)</t>
    </r>
  </si>
  <si>
    <r>
      <t xml:space="preserve">*VM 100 Daily Multi </t>
    </r>
    <r>
      <rPr>
        <sz val="11"/>
        <color theme="1"/>
        <rFont val="Calibri"/>
        <family val="2"/>
      </rPr>
      <t>(High Potency)</t>
    </r>
  </si>
  <si>
    <t>0 16055 11023 6</t>
  </si>
  <si>
    <t>0 16055 17001 8</t>
  </si>
  <si>
    <t>0 16055 17002 5</t>
  </si>
  <si>
    <t>0 16055 17003 2</t>
  </si>
  <si>
    <t>0 16055 17004 9</t>
  </si>
  <si>
    <t>0 16055 17005 6</t>
  </si>
  <si>
    <t xml:space="preserve"> BTME-6PK</t>
  </si>
  <si>
    <t xml:space="preserve"> 2oz - DROPS</t>
  </si>
  <si>
    <t xml:space="preserve"> 2 oz - MULTIPACKS</t>
  </si>
  <si>
    <t xml:space="preserve"> 32 oz - BOTTLES</t>
  </si>
  <si>
    <r>
      <t xml:space="preserve">Adult's Daily Immune Wellness </t>
    </r>
    <r>
      <rPr>
        <sz val="11"/>
        <color rgb="FF000000"/>
        <rFont val="Calibri"/>
        <family val="2"/>
      </rPr>
      <t>(Prevention ACF)</t>
    </r>
  </si>
  <si>
    <t xml:space="preserve">*ACF Extra Strength  </t>
  </si>
  <si>
    <t>*Children's Daily Multi</t>
  </si>
  <si>
    <r>
      <t xml:space="preserve">PreNatal Plus DHA </t>
    </r>
    <r>
      <rPr>
        <sz val="11"/>
        <color rgb="FF000000"/>
        <rFont val="Calibri"/>
        <family val="2"/>
      </rPr>
      <t>(32 Servings)</t>
    </r>
  </si>
  <si>
    <t>Stress "B" Gone</t>
  </si>
  <si>
    <t>*XyliSwish</t>
  </si>
  <si>
    <t>*Active 55 Plus (High Potency)</t>
  </si>
  <si>
    <t xml:space="preserve"> BTBIO</t>
  </si>
  <si>
    <t xml:space="preserve"> BTECZ</t>
  </si>
  <si>
    <t xml:space="preserve"> BTFC</t>
  </si>
  <si>
    <t xml:space="preserve"> BTFOL</t>
  </si>
  <si>
    <t xml:space="preserve"> BTIP</t>
  </si>
  <si>
    <t xml:space="preserve"> BTZC</t>
  </si>
  <si>
    <t>Biotin (120 servings)</t>
  </si>
  <si>
    <t>Fulvic Mineral Complex (60 servings)</t>
  </si>
  <si>
    <t>Folate (120 servings)</t>
  </si>
  <si>
    <t>Iodine (120 servings)</t>
  </si>
  <si>
    <t>Zinc (30 servings)</t>
  </si>
  <si>
    <t>ECZ (Elderberry, C, Zinc) (30 servings)</t>
  </si>
  <si>
    <t>Daily Nutrition</t>
  </si>
  <si>
    <r>
      <t>Treasured Beets 16oz</t>
    </r>
    <r>
      <rPr>
        <sz val="11"/>
        <color rgb="FF000000"/>
        <rFont val="Calibri"/>
        <family val="2"/>
      </rPr>
      <t xml:space="preserve"> (48serv)</t>
    </r>
  </si>
  <si>
    <t>Kids XyliSwish</t>
  </si>
  <si>
    <t>Coconut Oil – MCT</t>
  </si>
  <si>
    <t>0 16055 45704 1</t>
  </si>
  <si>
    <t xml:space="preserve"> BTD3</t>
  </si>
  <si>
    <t>Pure Minerals</t>
  </si>
  <si>
    <t>*Sleep Complete</t>
  </si>
  <si>
    <t>*Men's Prostate Complete</t>
  </si>
  <si>
    <t>*Aller-Ease</t>
  </si>
  <si>
    <t>0 16055 50053 2</t>
  </si>
  <si>
    <t>0 16055 50054 9</t>
  </si>
  <si>
    <t>0 16055 50055 6</t>
  </si>
  <si>
    <t xml:space="preserve"> BTRF</t>
  </si>
  <si>
    <t xml:space="preserve"> BTGF</t>
  </si>
  <si>
    <t xml:space="preserve"> Item Code</t>
  </si>
  <si>
    <t>SRP</t>
  </si>
  <si>
    <t>UPC</t>
  </si>
  <si>
    <r>
      <rPr>
        <b/>
        <sz val="9"/>
        <color rgb="FFFF0000"/>
        <rFont val="Arial"/>
        <family val="2"/>
      </rPr>
      <t>Importantly!</t>
    </r>
    <r>
      <rPr>
        <sz val="9"/>
        <color rgb="FF000000"/>
        <rFont val="Arial"/>
        <family val="2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</si>
  <si>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TOTAL</t>
  </si>
  <si>
    <r>
      <t>ACF FAMILY *</t>
    </r>
    <r>
      <rPr>
        <b/>
        <i/>
        <sz val="8"/>
        <color rgb="FF000000"/>
        <rFont val="Arial Black"/>
        <family val="2"/>
        <charset val="204"/>
      </rPr>
      <t xml:space="preserve"> 
Top 15 Selling Products in YELLOW</t>
    </r>
  </si>
  <si>
    <t>Box</t>
  </si>
  <si>
    <t>Order</t>
  </si>
  <si>
    <t>From 12 to 144 units</t>
  </si>
  <si>
    <t>From 144 units</t>
  </si>
  <si>
    <t xml:space="preserve"> BTPM-ACF</t>
  </si>
  <si>
    <t>PM ACF Immune &amp; Sleep Support</t>
  </si>
  <si>
    <t xml:space="preserve"> BTPM-SACF</t>
  </si>
  <si>
    <t>PM SACF Immune &amp; Sleep Support + Melatonin</t>
  </si>
  <si>
    <t xml:space="preserve"> 16 oz - BOTTLES</t>
  </si>
  <si>
    <t xml:space="preserve"> BTNVC</t>
  </si>
  <si>
    <t>Natures Vollagen (Vegan Collagen)</t>
  </si>
  <si>
    <t>GREEN20 FUSION w/Vegan Collagen</t>
  </si>
  <si>
    <t>RED20 FUSION w/Vegan Collagen</t>
  </si>
  <si>
    <t xml:space="preserve"> BTB12</t>
  </si>
  <si>
    <t xml:space="preserve">    B12 (120 servings)</t>
  </si>
  <si>
    <t xml:space="preserve"> BTCE</t>
  </si>
  <si>
    <t xml:space="preserve">    Chamomile Extract  (30 servings)</t>
  </si>
  <si>
    <t xml:space="preserve"> BTCHL</t>
  </si>
  <si>
    <t xml:space="preserve">    Chlorophyll Extract  (30 servings) </t>
  </si>
  <si>
    <t>D3 5,000IU (120 servings)</t>
  </si>
  <si>
    <t>BTOG</t>
  </si>
  <si>
    <r>
      <t xml:space="preserve">Organic Ginger (30 servings)     </t>
    </r>
    <r>
      <rPr>
        <b/>
        <sz val="11"/>
        <color rgb="FFFF0000"/>
        <rFont val="Calibri"/>
        <family val="2"/>
      </rPr>
      <t xml:space="preserve"> Now Organic!</t>
    </r>
  </si>
  <si>
    <t xml:space="preserve"> BTLH</t>
  </si>
  <si>
    <r>
      <t xml:space="preserve">Lymphatic Harmony (30 servings)  </t>
    </r>
    <r>
      <rPr>
        <b/>
        <sz val="11"/>
        <color rgb="FFFF0000"/>
        <rFont val="Calibri"/>
        <family val="2"/>
      </rPr>
      <t>NEW</t>
    </r>
  </si>
  <si>
    <t xml:space="preserve"> BTMAG</t>
  </si>
  <si>
    <r>
      <t>MAG  (L-Threonate)</t>
    </r>
    <r>
      <rPr>
        <b/>
        <sz val="11"/>
        <color rgb="FFFF0000"/>
        <rFont val="Calibri"/>
        <family val="2"/>
      </rPr>
      <t xml:space="preserve"> </t>
    </r>
    <r>
      <rPr>
        <sz val="11"/>
        <color indexed="8"/>
        <rFont val="Calibri"/>
        <family val="2"/>
      </rPr>
      <t xml:space="preserve"> (15 servings)</t>
    </r>
  </si>
  <si>
    <t xml:space="preserve"> BTMM</t>
  </si>
  <si>
    <r>
      <t xml:space="preserve">Mullein Mint </t>
    </r>
    <r>
      <rPr>
        <sz val="11"/>
        <color theme="1"/>
        <rFont val="Calibri"/>
        <family val="2"/>
      </rPr>
      <t xml:space="preserve">  (30 servings)</t>
    </r>
  </si>
  <si>
    <t>0 16055 50056 3</t>
  </si>
  <si>
    <t>0 16055 50057 0</t>
  </si>
  <si>
    <t>0 16055 17006 3</t>
  </si>
  <si>
    <t>0 16055 17009 4</t>
  </si>
  <si>
    <t>0 16055 17010 0</t>
  </si>
  <si>
    <t>0 16055 17011 7</t>
  </si>
  <si>
    <t>0 16055 17013 1</t>
  </si>
  <si>
    <t>0 16055 17007 0</t>
  </si>
  <si>
    <t>0 16055 17008 7</t>
  </si>
  <si>
    <t>10.11.2025</t>
  </si>
  <si>
    <t>Weight, kg</t>
  </si>
  <si>
    <t>Unіt Freight Cost</t>
  </si>
  <si>
    <t>unit, key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</si>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</sst>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 $&quot;* #,##0.00&quot; &quot;;&quot; $&quot;* &quot;(&quot;#,##0.00&quot;)&quot;;&quot; $&quot;* &quot;-&quot;#&quot; &quot;;&quot; &quot;@&quot; &quot;"/>
    <numFmt numFmtId="165" formatCode="&quot; &quot;* #,##0.00&quot; &quot;;&quot; &quot;* &quot;(&quot;#,##0.00&quot;)&quot;;&quot; &quot;* &quot;-&quot;#&quot; &quot;;&quot; &quot;@&quot; &quot;"/>
    <numFmt numFmtId="166" formatCode="_-* #,##0.00\ _₴_-;\-* #,##0.00\ _₴_-;_-* &quot;-&quot;??\ _₴_-;_-@_-"/>
    <numFmt numFmtId="167" formatCode="_-[$$-C09]* #,##0.00_-;\-[$$-C09]* #,##0.00_-;_-[$$-C09]* &quot;-&quot;??_-;_-@_-"/>
    <numFmt numFmtId="168" formatCode="_-[$$-409]* #,##0.00_ ;_-[$$-409]* \-#,##0.00\ ;_-[$$-409]* &quot;-&quot;??_ ;_-@_ "/>
    <numFmt numFmtId="169" formatCode="[$$-409]#,##0.00"/>
  </numFmts>
  <fonts count="36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i/>
      <u/>
      <sz val="10"/>
      <color rgb="FF000000"/>
      <name val="Arial"/>
      <family val="2"/>
    </font>
    <font>
      <b/>
      <sz val="12"/>
      <color rgb="FF000000"/>
      <name val="Myriad Roman"/>
    </font>
    <font>
      <b/>
      <sz val="9"/>
      <color rgb="FF000000"/>
      <name val="Arial Black"/>
      <family val="2"/>
    </font>
    <font>
      <b/>
      <sz val="12"/>
      <color rgb="FF00000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8"/>
      <color rgb="FF000000"/>
      <name val="Arial Black"/>
      <family val="2"/>
      <charset val="204"/>
    </font>
    <font>
      <b/>
      <i/>
      <sz val="8"/>
      <color rgb="FF000000"/>
      <name val="Arial Black"/>
      <family val="2"/>
      <charset val="204"/>
    </font>
    <font>
      <b/>
      <sz val="10"/>
      <name val="Arial"/>
      <family val="2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</font>
    <font>
      <b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sz val="12"/>
      <color rgb="FFFF0000"/>
      <name val="Calibri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indexed="43"/>
        <bgColor indexed="26"/>
      </patternFill>
    </fill>
    <fill>
      <patternFill patternType="solid">
        <fgColor rgb="FFBAC4D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26"/>
      </patternFill>
    </fill>
    <fill>
      <patternFill patternType="solid">
        <fgColor rgb="FFEABCE1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5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rgb="FF00000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indexed="8"/>
      </right>
      <top style="thin">
        <color indexed="8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indexed="8"/>
      </right>
      <top/>
      <bottom/>
      <diagonal/>
    </border>
    <border>
      <left style="thick">
        <color rgb="FF000000"/>
      </left>
      <right style="thin">
        <color indexed="8"/>
      </right>
      <top/>
      <bottom style="thin">
        <color indexed="8"/>
      </bottom>
      <diagonal/>
    </border>
    <border>
      <left style="thick">
        <color rgb="FF000000"/>
      </left>
      <right style="thin">
        <color indexed="8"/>
      </right>
      <top style="thin">
        <color rgb="FF000000"/>
      </top>
      <bottom style="thin">
        <color indexed="8"/>
      </bottom>
      <diagonal/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ck">
        <color rgb="FF000000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 style="medium">
        <color indexed="64"/>
      </right>
      <top style="thin">
        <color rgb="FF000000"/>
      </top>
      <bottom style="thin">
        <color indexed="8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ck">
        <color rgb="FF000000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1">
    <xf numFmtId="0" fontId="0" fillId="0" borderId="0"/>
    <xf numFmtId="0" fontId="10" fillId="0" borderId="0" applyNumberFormat="0" applyBorder="0" applyProtection="0"/>
    <xf numFmtId="0" fontId="11" fillId="0" borderId="0" applyNumberFormat="0" applyBorder="0" applyProtection="0"/>
    <xf numFmtId="0" fontId="8" fillId="7" borderId="0" applyNumberFormat="0" applyBorder="0" applyProtection="0"/>
    <xf numFmtId="0" fontId="4" fillId="5" borderId="0" applyNumberFormat="0" applyBorder="0" applyProtection="0"/>
    <xf numFmtId="0" fontId="13" fillId="8" borderId="0" applyNumberFormat="0" applyBorder="0" applyProtection="0"/>
    <xf numFmtId="0" fontId="14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165" fontId="6" fillId="0" borderId="0" applyBorder="0" applyProtection="0"/>
    <xf numFmtId="164" fontId="6" fillId="0" borderId="0" applyBorder="0" applyProtection="0"/>
    <xf numFmtId="0" fontId="7" fillId="0" borderId="0" applyNumberFormat="0" applyBorder="0" applyProtection="0"/>
    <xf numFmtId="0" fontId="9" fillId="0" borderId="0" applyNumberFormat="0" applyBorder="0" applyProtection="0"/>
    <xf numFmtId="0" fontId="12" fillId="0" borderId="0" applyNumberFormat="0" applyBorder="0" applyProtection="0"/>
    <xf numFmtId="0" fontId="15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119">
    <xf numFmtId="0" fontId="0" fillId="0" borderId="0" xfId="0"/>
    <xf numFmtId="0" fontId="11" fillId="0" borderId="0" xfId="0" applyFont="1" applyAlignment="1">
      <alignment vertical="center"/>
    </xf>
    <xf numFmtId="0" fontId="18" fillId="0" borderId="0" xfId="0" applyFont="1"/>
    <xf numFmtId="0" fontId="11" fillId="0" borderId="0" xfId="0" applyFont="1"/>
    <xf numFmtId="164" fontId="11" fillId="0" borderId="0" xfId="0" applyNumberFormat="1" applyFont="1"/>
    <xf numFmtId="0" fontId="0" fillId="0" borderId="0" xfId="0" applyAlignment="1">
      <alignment horizontal="center"/>
    </xf>
    <xf numFmtId="165" fontId="11" fillId="0" borderId="0" xfId="0" applyNumberFormat="1" applyFont="1"/>
    <xf numFmtId="0" fontId="16" fillId="0" borderId="0" xfId="0" applyFont="1"/>
    <xf numFmtId="0" fontId="0" fillId="0" borderId="0" xfId="0" applyAlignment="1">
      <alignment horizontal="center" vertical="center"/>
    </xf>
    <xf numFmtId="0" fontId="27" fillId="10" borderId="3" xfId="0" applyFont="1" applyFill="1" applyBorder="1" applyAlignment="1">
      <alignment horizontal="center" vertical="center"/>
    </xf>
    <xf numFmtId="0" fontId="27" fillId="10" borderId="4" xfId="0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horizontal="center" vertical="center"/>
    </xf>
    <xf numFmtId="0" fontId="27" fillId="10" borderId="7" xfId="0" applyFont="1" applyFill="1" applyBorder="1" applyAlignment="1">
      <alignment horizontal="center" vertical="center"/>
    </xf>
    <xf numFmtId="1" fontId="28" fillId="0" borderId="0" xfId="0" applyNumberFormat="1" applyFont="1" applyAlignment="1">
      <alignment horizontal="center"/>
    </xf>
    <xf numFmtId="167" fontId="32" fillId="11" borderId="2" xfId="12" applyNumberFormat="1" applyFont="1" applyFill="1" applyBorder="1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164" fontId="29" fillId="0" borderId="0" xfId="0" applyNumberFormat="1" applyFont="1"/>
    <xf numFmtId="166" fontId="29" fillId="0" borderId="0" xfId="0" applyNumberFormat="1" applyFont="1"/>
    <xf numFmtId="1" fontId="30" fillId="10" borderId="2" xfId="12" applyNumberFormat="1" applyFont="1" applyFill="1" applyBorder="1" applyAlignment="1">
      <alignment horizontal="center" vertical="center" wrapText="1"/>
    </xf>
    <xf numFmtId="0" fontId="27" fillId="10" borderId="9" xfId="0" applyFont="1" applyFill="1" applyBorder="1" applyAlignment="1">
      <alignment horizontal="center" vertical="center"/>
    </xf>
    <xf numFmtId="1" fontId="30" fillId="10" borderId="6" xfId="12" applyNumberFormat="1" applyFont="1" applyFill="1" applyBorder="1" applyAlignment="1">
      <alignment horizontal="center" vertical="center" wrapText="1"/>
    </xf>
    <xf numFmtId="166" fontId="18" fillId="0" borderId="0" xfId="0" applyNumberFormat="1" applyFont="1"/>
    <xf numFmtId="167" fontId="28" fillId="0" borderId="5" xfId="0" applyNumberFormat="1" applyFont="1" applyBorder="1" applyProtection="1">
      <protection hidden="1"/>
    </xf>
    <xf numFmtId="0" fontId="25" fillId="11" borderId="9" xfId="0" applyFont="1" applyFill="1" applyBorder="1" applyAlignment="1">
      <alignment vertical="center" wrapText="1"/>
    </xf>
    <xf numFmtId="0" fontId="25" fillId="11" borderId="11" xfId="0" applyFont="1" applyFill="1" applyBorder="1" applyAlignment="1">
      <alignment vertical="center" wrapText="1"/>
    </xf>
    <xf numFmtId="1" fontId="31" fillId="0" borderId="10" xfId="0" applyNumberFormat="1" applyFont="1" applyBorder="1" applyAlignment="1" applyProtection="1">
      <alignment horizontal="center"/>
      <protection locked="0"/>
    </xf>
    <xf numFmtId="0" fontId="25" fillId="11" borderId="8" xfId="0" applyFont="1" applyFill="1" applyBorder="1" applyAlignment="1">
      <alignment vertical="center"/>
    </xf>
    <xf numFmtId="0" fontId="25" fillId="11" borderId="14" xfId="0" applyFont="1" applyFill="1" applyBorder="1" applyAlignment="1">
      <alignment vertical="center" wrapText="1"/>
    </xf>
    <xf numFmtId="164" fontId="20" fillId="0" borderId="17" xfId="13" applyFont="1" applyBorder="1" applyAlignment="1" applyProtection="1">
      <alignment horizontal="center"/>
      <protection hidden="1"/>
    </xf>
    <xf numFmtId="164" fontId="20" fillId="0" borderId="18" xfId="13" applyFont="1" applyBorder="1" applyAlignment="1" applyProtection="1">
      <alignment horizontal="center"/>
      <protection hidden="1"/>
    </xf>
    <xf numFmtId="164" fontId="20" fillId="0" borderId="19" xfId="13" applyFont="1" applyBorder="1" applyAlignment="1" applyProtection="1">
      <alignment horizontal="center"/>
      <protection hidden="1"/>
    </xf>
    <xf numFmtId="1" fontId="31" fillId="0" borderId="13" xfId="0" applyNumberFormat="1" applyFont="1" applyBorder="1" applyAlignment="1" applyProtection="1">
      <alignment horizontal="center"/>
      <protection locked="0"/>
    </xf>
    <xf numFmtId="1" fontId="31" fillId="0" borderId="20" xfId="0" applyNumberFormat="1" applyFont="1" applyBorder="1" applyAlignment="1" applyProtection="1">
      <alignment horizontal="center"/>
      <protection locked="0"/>
    </xf>
    <xf numFmtId="167" fontId="28" fillId="0" borderId="15" xfId="0" applyNumberFormat="1" applyFont="1" applyBorder="1" applyProtection="1">
      <protection hidden="1"/>
    </xf>
    <xf numFmtId="167" fontId="28" fillId="0" borderId="16" xfId="0" applyNumberFormat="1" applyFont="1" applyBorder="1" applyProtection="1">
      <protection hidden="1"/>
    </xf>
    <xf numFmtId="167" fontId="18" fillId="0" borderId="0" xfId="0" applyNumberFormat="1" applyFont="1"/>
    <xf numFmtId="0" fontId="19" fillId="9" borderId="21" xfId="0" applyFont="1" applyFill="1" applyBorder="1" applyAlignment="1">
      <alignment horizontal="left"/>
    </xf>
    <xf numFmtId="0" fontId="20" fillId="0" borderId="21" xfId="0" applyFont="1" applyBorder="1" applyAlignment="1">
      <alignment horizontal="left"/>
    </xf>
    <xf numFmtId="0" fontId="19" fillId="12" borderId="21" xfId="0" applyFont="1" applyFill="1" applyBorder="1"/>
    <xf numFmtId="0" fontId="19" fillId="12" borderId="21" xfId="0" applyFont="1" applyFill="1" applyBorder="1" applyAlignment="1">
      <alignment horizontal="left"/>
    </xf>
    <xf numFmtId="0" fontId="17" fillId="0" borderId="22" xfId="0" applyFont="1" applyBorder="1" applyAlignment="1">
      <alignment vertical="center"/>
    </xf>
    <xf numFmtId="0" fontId="19" fillId="9" borderId="23" xfId="0" applyFont="1" applyFill="1" applyBorder="1" applyAlignment="1">
      <alignment horizontal="left"/>
    </xf>
    <xf numFmtId="0" fontId="19" fillId="0" borderId="21" xfId="0" applyFont="1" applyBorder="1" applyAlignment="1">
      <alignment horizontal="left"/>
    </xf>
    <xf numFmtId="0" fontId="20" fillId="0" borderId="24" xfId="0" applyFont="1" applyBorder="1" applyAlignment="1">
      <alignment horizontal="left"/>
    </xf>
    <xf numFmtId="0" fontId="19" fillId="0" borderId="23" xfId="0" applyFont="1" applyBorder="1" applyAlignment="1">
      <alignment horizontal="left"/>
    </xf>
    <xf numFmtId="0" fontId="20" fillId="0" borderId="25" xfId="0" applyFont="1" applyBorder="1" applyAlignment="1">
      <alignment horizontal="left"/>
    </xf>
    <xf numFmtId="0" fontId="19" fillId="9" borderId="26" xfId="0" applyFont="1" applyFill="1" applyBorder="1" applyAlignment="1">
      <alignment horizontal="left"/>
    </xf>
    <xf numFmtId="0" fontId="19" fillId="0" borderId="27" xfId="0" applyFont="1" applyBorder="1" applyAlignment="1">
      <alignment horizontal="left"/>
    </xf>
    <xf numFmtId="0" fontId="19" fillId="0" borderId="28" xfId="0" applyFont="1" applyBorder="1" applyAlignment="1">
      <alignment horizontal="left"/>
    </xf>
    <xf numFmtId="0" fontId="17" fillId="0" borderId="29" xfId="0" applyFont="1" applyBorder="1" applyAlignment="1">
      <alignment vertical="center"/>
    </xf>
    <xf numFmtId="0" fontId="19" fillId="9" borderId="27" xfId="0" applyFont="1" applyFill="1" applyBorder="1" applyAlignment="1">
      <alignment horizontal="left"/>
    </xf>
    <xf numFmtId="0" fontId="21" fillId="0" borderId="24" xfId="0" applyFont="1" applyBorder="1" applyAlignment="1">
      <alignment horizontal="left" vertical="center"/>
    </xf>
    <xf numFmtId="0" fontId="19" fillId="13" borderId="28" xfId="0" applyFont="1" applyFill="1" applyBorder="1" applyAlignment="1">
      <alignment horizontal="left"/>
    </xf>
    <xf numFmtId="0" fontId="20" fillId="0" borderId="30" xfId="0" applyFont="1" applyBorder="1" applyAlignment="1">
      <alignment horizontal="center"/>
    </xf>
    <xf numFmtId="0" fontId="19" fillId="9" borderId="31" xfId="0" applyFont="1" applyFill="1" applyBorder="1"/>
    <xf numFmtId="0" fontId="19" fillId="9" borderId="32" xfId="0" applyFont="1" applyFill="1" applyBorder="1"/>
    <xf numFmtId="0" fontId="20" fillId="0" borderId="33" xfId="0" applyFont="1" applyBorder="1" applyAlignment="1">
      <alignment horizontal="center"/>
    </xf>
    <xf numFmtId="0" fontId="19" fillId="9" borderId="34" xfId="0" applyFont="1" applyFill="1" applyBorder="1"/>
    <xf numFmtId="0" fontId="20" fillId="0" borderId="34" xfId="0" applyFont="1" applyBorder="1"/>
    <xf numFmtId="0" fontId="19" fillId="12" borderId="34" xfId="0" applyFont="1" applyFill="1" applyBorder="1"/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vertical="center"/>
    </xf>
    <xf numFmtId="0" fontId="19" fillId="9" borderId="37" xfId="0" applyFont="1" applyFill="1" applyBorder="1"/>
    <xf numFmtId="0" fontId="19" fillId="9" borderId="38" xfId="0" applyFont="1" applyFill="1" applyBorder="1"/>
    <xf numFmtId="0" fontId="19" fillId="0" borderId="34" xfId="0" applyFont="1" applyBorder="1"/>
    <xf numFmtId="0" fontId="20" fillId="0" borderId="39" xfId="0" applyFont="1" applyBorder="1"/>
    <xf numFmtId="0" fontId="19" fillId="0" borderId="37" xfId="0" applyFont="1" applyBorder="1"/>
    <xf numFmtId="0" fontId="20" fillId="0" borderId="40" xfId="0" applyFont="1" applyBorder="1"/>
    <xf numFmtId="0" fontId="19" fillId="9" borderId="41" xfId="0" applyFont="1" applyFill="1" applyBorder="1"/>
    <xf numFmtId="0" fontId="19" fillId="0" borderId="42" xfId="0" applyFont="1" applyBorder="1"/>
    <xf numFmtId="0" fontId="19" fillId="0" borderId="43" xfId="0" applyFont="1" applyBorder="1"/>
    <xf numFmtId="0" fontId="17" fillId="0" borderId="44" xfId="0" applyFont="1" applyBorder="1" applyAlignment="1">
      <alignment vertical="center"/>
    </xf>
    <xf numFmtId="0" fontId="19" fillId="9" borderId="42" xfId="0" applyFont="1" applyFill="1" applyBorder="1"/>
    <xf numFmtId="0" fontId="21" fillId="0" borderId="33" xfId="0" applyFont="1" applyBorder="1" applyAlignment="1">
      <alignment horizontal="center"/>
    </xf>
    <xf numFmtId="0" fontId="19" fillId="0" borderId="38" xfId="0" applyFont="1" applyBorder="1"/>
    <xf numFmtId="0" fontId="19" fillId="9" borderId="45" xfId="0" applyFont="1" applyFill="1" applyBorder="1"/>
    <xf numFmtId="0" fontId="21" fillId="0" borderId="39" xfId="0" applyFont="1" applyBorder="1"/>
    <xf numFmtId="0" fontId="19" fillId="13" borderId="43" xfId="0" applyFont="1" applyFill="1" applyBorder="1"/>
    <xf numFmtId="0" fontId="19" fillId="13" borderId="34" xfId="0" applyFont="1" applyFill="1" applyBorder="1"/>
    <xf numFmtId="0" fontId="21" fillId="0" borderId="46" xfId="0" applyFont="1" applyBorder="1" applyAlignment="1">
      <alignment horizontal="center"/>
    </xf>
    <xf numFmtId="0" fontId="19" fillId="0" borderId="47" xfId="0" applyFont="1" applyBorder="1" applyAlignment="1">
      <alignment horizontal="left"/>
    </xf>
    <xf numFmtId="0" fontId="19" fillId="0" borderId="48" xfId="0" applyFont="1" applyBorder="1"/>
    <xf numFmtId="14" fontId="31" fillId="0" borderId="0" xfId="0" quotePrefix="1" applyNumberFormat="1" applyFont="1" applyAlignment="1">
      <alignment horizontal="center" vertical="center"/>
    </xf>
    <xf numFmtId="0" fontId="19" fillId="9" borderId="14" xfId="0" applyFont="1" applyFill="1" applyBorder="1"/>
    <xf numFmtId="0" fontId="19" fillId="9" borderId="0" xfId="0" applyFont="1" applyFill="1"/>
    <xf numFmtId="0" fontId="20" fillId="0" borderId="0" xfId="0" applyFont="1"/>
    <xf numFmtId="0" fontId="19" fillId="12" borderId="0" xfId="0" applyFont="1" applyFill="1"/>
    <xf numFmtId="0" fontId="17" fillId="0" borderId="0" xfId="0" applyFont="1" applyAlignment="1">
      <alignment vertical="center"/>
    </xf>
    <xf numFmtId="0" fontId="19" fillId="0" borderId="0" xfId="0" applyFont="1"/>
    <xf numFmtId="0" fontId="21" fillId="0" borderId="0" xfId="0" applyFont="1"/>
    <xf numFmtId="0" fontId="19" fillId="13" borderId="0" xfId="0" applyFont="1" applyFill="1"/>
    <xf numFmtId="0" fontId="19" fillId="0" borderId="12" xfId="0" applyFont="1" applyBorder="1"/>
    <xf numFmtId="1" fontId="20" fillId="0" borderId="13" xfId="13" applyNumberFormat="1" applyFont="1" applyBorder="1" applyAlignment="1" applyProtection="1">
      <alignment horizontal="center" vertical="center"/>
      <protection hidden="1"/>
    </xf>
    <xf numFmtId="1" fontId="20" fillId="0" borderId="10" xfId="13" applyNumberFormat="1" applyFont="1" applyBorder="1" applyAlignment="1" applyProtection="1">
      <alignment horizontal="center" vertical="center"/>
      <protection hidden="1"/>
    </xf>
    <xf numFmtId="1" fontId="20" fillId="0" borderId="20" xfId="13" applyNumberFormat="1" applyFont="1" applyBorder="1" applyAlignment="1" applyProtection="1">
      <alignment horizontal="center" vertical="center"/>
      <protection hidden="1"/>
    </xf>
    <xf numFmtId="2" fontId="27" fillId="10" borderId="9" xfId="0" applyNumberFormat="1" applyFont="1" applyFill="1" applyBorder="1" applyAlignment="1">
      <alignment horizontal="center" vertical="center" wrapText="1"/>
    </xf>
    <xf numFmtId="164" fontId="20" fillId="0" borderId="50" xfId="13" applyFont="1" applyBorder="1" applyAlignment="1" applyProtection="1">
      <alignment horizontal="center"/>
      <protection hidden="1"/>
    </xf>
    <xf numFmtId="164" fontId="20" fillId="0" borderId="51" xfId="13" applyFont="1" applyBorder="1" applyAlignment="1" applyProtection="1">
      <alignment horizontal="center"/>
      <protection hidden="1"/>
    </xf>
    <xf numFmtId="164" fontId="20" fillId="0" borderId="52" xfId="13" applyFont="1" applyBorder="1" applyAlignment="1" applyProtection="1">
      <alignment horizontal="center"/>
      <protection hidden="1"/>
    </xf>
    <xf numFmtId="2" fontId="20" fillId="0" borderId="5" xfId="13" applyNumberFormat="1" applyFont="1" applyBorder="1" applyAlignment="1" applyProtection="1">
      <alignment horizontal="center" vertical="center"/>
      <protection hidden="1"/>
    </xf>
    <xf numFmtId="2" fontId="20" fillId="0" borderId="15" xfId="13" applyNumberFormat="1" applyFont="1" applyBorder="1" applyAlignment="1" applyProtection="1">
      <alignment horizontal="center" vertical="center"/>
      <protection hidden="1"/>
    </xf>
    <xf numFmtId="2" fontId="20" fillId="0" borderId="16" xfId="13" applyNumberFormat="1" applyFont="1" applyBorder="1" applyAlignment="1" applyProtection="1">
      <alignment horizontal="center" vertical="center"/>
      <protection hidden="1"/>
    </xf>
    <xf numFmtId="14" fontId="33" fillId="14" borderId="2" xfId="0" applyNumberFormat="1" applyFont="1" applyFill="1" applyBorder="1" applyAlignment="1">
      <alignment horizontal="center" vertical="center" wrapText="1"/>
    </xf>
    <xf numFmtId="0" fontId="33" fillId="14" borderId="2" xfId="0" applyFont="1" applyFill="1" applyBorder="1" applyAlignment="1">
      <alignment horizontal="center" vertical="center" wrapText="1"/>
    </xf>
    <xf numFmtId="168" fontId="34" fillId="14" borderId="2" xfId="0" applyNumberFormat="1" applyFont="1" applyFill="1" applyBorder="1" applyAlignment="1" applyProtection="1">
      <alignment horizontal="center" vertical="center" wrapText="1" readingOrder="1"/>
      <protection hidden="1"/>
    </xf>
    <xf numFmtId="169" fontId="33" fillId="14" borderId="2" xfId="0" applyNumberFormat="1" applyFont="1" applyFill="1" applyBorder="1" applyAlignment="1">
      <alignment horizontal="center" vertical="center"/>
    </xf>
    <xf numFmtId="0" fontId="35" fillId="15" borderId="2" xfId="0" applyFont="1" applyFill="1" applyBorder="1" applyAlignment="1" applyProtection="1">
      <alignment horizontal="center" vertical="center" wrapText="1" readingOrder="1"/>
      <protection locked="0"/>
    </xf>
    <xf numFmtId="4" fontId="33" fillId="15" borderId="49" xfId="0" applyNumberFormat="1" applyFont="1" applyFill="1" applyBorder="1" applyAlignment="1">
      <alignment horizontal="center" vertical="center"/>
    </xf>
    <xf numFmtId="168" fontId="34" fillId="15" borderId="2" xfId="0" applyNumberFormat="1" applyFont="1" applyFill="1" applyBorder="1" applyAlignment="1" applyProtection="1">
      <alignment horizontal="center" vertical="center" wrapText="1" readingOrder="1"/>
      <protection hidden="1"/>
    </xf>
    <xf numFmtId="168" fontId="34" fillId="0" borderId="0" xfId="0" applyNumberFormat="1" applyFont="1" applyAlignment="1" applyProtection="1">
      <alignment vertical="center" wrapText="1" readingOrder="1"/>
      <protection hidden="1"/>
    </xf>
    <xf numFmtId="0" fontId="33" fillId="16" borderId="2" xfId="0" applyFont="1" applyFill="1" applyBorder="1" applyAlignment="1">
      <alignment horizontal="center" vertical="center" wrapText="1"/>
    </xf>
    <xf numFmtId="4" fontId="33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9" fontId="33" fillId="0" borderId="0" xfId="0" applyNumberFormat="1" applyFont="1" applyAlignment="1">
      <alignment horizontal="center" vertical="center"/>
    </xf>
    <xf numFmtId="0" fontId="23" fillId="0" borderId="12" xfId="0" applyFont="1" applyBorder="1" applyAlignment="1">
      <alignment horizontal="left" vertical="center" wrapText="1"/>
    </xf>
    <xf numFmtId="14" fontId="33" fillId="14" borderId="53" xfId="0" applyNumberFormat="1" applyFont="1" applyFill="1" applyBorder="1" applyAlignment="1">
      <alignment horizontal="center" vertical="center" wrapText="1"/>
    </xf>
    <xf numFmtId="14" fontId="33" fillId="14" borderId="49" xfId="0" applyNumberFormat="1" applyFont="1" applyFill="1" applyBorder="1" applyAlignment="1">
      <alignment horizontal="center" vertical="center" wrapText="1"/>
    </xf>
  </cellXfs>
  <cellStyles count="21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Error" xfId="11" xr:uid="{00000000-0005-0000-0000-000005000000}"/>
    <cellStyle name="Excel_BuiltIn_Comma" xfId="12" xr:uid="{00000000-0005-0000-0000-000006000000}"/>
    <cellStyle name="Excel_BuiltIn_Currency" xfId="13" xr:uid="{00000000-0005-0000-0000-000007000000}"/>
    <cellStyle name="Footnote" xfId="14" xr:uid="{00000000-0005-0000-0000-000009000000}"/>
    <cellStyle name="Heading" xfId="15" xr:uid="{00000000-0005-0000-0000-00000B000000}"/>
    <cellStyle name="Hyperlink" xfId="16" xr:uid="{00000000-0005-0000-0000-00000E000000}"/>
    <cellStyle name="Result" xfId="17" xr:uid="{00000000-0005-0000-0000-000012000000}"/>
    <cellStyle name="Status" xfId="18" xr:uid="{00000000-0005-0000-0000-000013000000}"/>
    <cellStyle name="Text" xfId="19" xr:uid="{00000000-0005-0000-0000-000014000000}"/>
    <cellStyle name="Warning" xfId="20" xr:uid="{00000000-0005-0000-0000-000015000000}"/>
    <cellStyle name="Гарний" xfId="3" builtinId="26" customBuiltin="1"/>
    <cellStyle name="Заголовок 1" xfId="1" builtinId="16" customBuiltin="1"/>
    <cellStyle name="Заголовок 2" xfId="2" builtinId="17" customBuiltin="1"/>
    <cellStyle name="Звичайний" xfId="0" builtinId="0" customBuiltin="1"/>
    <cellStyle name="Нейтральний" xfId="5" builtinId="28" customBuiltin="1"/>
    <cellStyle name="Поганий" xfId="4" builtinId="27" customBuiltin="1"/>
    <cellStyle name="Примітка" xfId="6" builtinId="10" customBuiltin="1"/>
  </cellStyles>
  <dxfs count="4">
    <dxf>
      <fill>
        <patternFill>
          <bgColor rgb="FF92D050"/>
        </patternFill>
      </fill>
    </dxf>
    <dxf>
      <fill>
        <gradientFill degree="90">
          <stop position="0">
            <color theme="5" tint="0.59999389629810485"/>
          </stop>
          <stop position="1">
            <color rgb="FFFF0000"/>
          </stop>
        </gradientFill>
      </fill>
    </dxf>
    <dxf>
      <fill>
        <gradientFill degree="90">
          <stop position="0">
            <color theme="7" tint="0.80001220740379042"/>
          </stop>
          <stop position="1">
            <color rgb="FFEA0000"/>
          </stop>
        </gradientFill>
      </fill>
    </dxf>
    <dxf>
      <fill>
        <gradientFill degree="90">
          <stop position="0">
            <color theme="0"/>
          </stop>
          <stop position="1">
            <color theme="5" tint="0.59999389629810485"/>
          </stop>
        </gradientFill>
      </fill>
    </dxf>
  </dxfs>
  <tableStyles count="0" defaultTableStyle="TableStyleMedium2" defaultPivotStyle="PivotStyleLight16"/>
  <colors>
    <mruColors>
      <color rgb="FFEA0000"/>
      <color rgb="FFFFFF99"/>
      <color rgb="FFBAC4D0"/>
      <color rgb="FFC3C7DB"/>
      <color rgb="FFD0CECE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399429</xdr:colOff>
      <xdr:row>0</xdr:row>
      <xdr:rowOff>54972</xdr:rowOff>
    </xdr:from>
    <xdr:ext cx="2318250" cy="863599"/>
    <xdr:pic>
      <xdr:nvPicPr>
        <xdr:cNvPr id="2" name="Picture 4">
          <a:extLst>
            <a:ext uri="{FF2B5EF4-FFF2-40B4-BE49-F238E27FC236}">
              <a16:creationId xmlns:a16="http://schemas.microsoft.com/office/drawing/2014/main" id="{830921A8-E9C2-4427-809D-F185FDF32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7979" y="54972"/>
          <a:ext cx="2318250" cy="863599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Тема &quot;Office 2013 – 2022&quot;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66CC"/>
    <pageSetUpPr fitToPage="1"/>
  </sheetPr>
  <dimension ref="A1:R728"/>
  <sheetViews>
    <sheetView tabSelected="1" zoomScale="80" zoomScaleNormal="80" workbookViewId="0">
      <pane ySplit="2" topLeftCell="A3" activePane="bottomLeft" state="frozen"/>
      <selection pane="bottomLeft" activeCell="G5" sqref="A5:G5"/>
    </sheetView>
  </sheetViews>
  <sheetFormatPr defaultRowHeight="13.8"/>
  <cols>
    <col min="1" max="1" width="16" bestFit="1" customWidth="1"/>
    <col min="2" max="2" width="14.296875" customWidth="1"/>
    <col min="3" max="3" width="42.796875" customWidth="1"/>
    <col min="4" max="4" width="8.19921875" hidden="1" customWidth="1"/>
    <col min="5" max="6" width="8.19921875" customWidth="1"/>
    <col min="7" max="8" width="10.59765625" style="5" customWidth="1"/>
    <col min="9" max="9" width="10.3984375" style="13" bestFit="1" customWidth="1"/>
    <col min="10" max="10" width="11.19921875" bestFit="1" customWidth="1"/>
    <col min="11" max="11" width="14.5" customWidth="1"/>
    <col min="12" max="12" width="12.69921875" style="15" bestFit="1" customWidth="1"/>
    <col min="13" max="15" width="8.69921875" customWidth="1"/>
    <col min="16" max="16" width="12.5" customWidth="1"/>
    <col min="17" max="17" width="5" customWidth="1"/>
    <col min="18" max="18" width="12.5" customWidth="1"/>
    <col min="19" max="1007" width="8.3984375" customWidth="1"/>
    <col min="1008" max="1008" width="9" customWidth="1"/>
  </cols>
  <sheetData>
    <row r="1" spans="1:18" ht="82.8" customHeight="1" thickBot="1">
      <c r="A1" s="116" t="s">
        <v>130</v>
      </c>
      <c r="B1" s="116"/>
      <c r="C1" s="116"/>
      <c r="D1" s="116"/>
      <c r="E1" s="116"/>
      <c r="F1" s="116"/>
      <c r="G1" s="116"/>
      <c r="H1" s="116"/>
      <c r="I1" s="116"/>
      <c r="J1" s="116"/>
      <c r="K1" s="84" t="s">
        <v>170</v>
      </c>
      <c r="M1" s="104" t="s">
        <v>172</v>
      </c>
      <c r="N1" s="117" t="s">
        <v>173</v>
      </c>
      <c r="O1" s="105" t="s">
        <v>171</v>
      </c>
      <c r="P1" s="106" t="s">
        <v>174</v>
      </c>
      <c r="R1" s="107" t="str">
        <f>IFERROR(IF(SUM(R3:R277)=0, "-", K2+P2), "-")</f>
        <v>-</v>
      </c>
    </row>
    <row r="2" spans="1:18" s="8" customFormat="1" ht="40.799999999999997" customHeight="1" thickBot="1">
      <c r="A2" s="9" t="s">
        <v>129</v>
      </c>
      <c r="B2" s="10" t="s">
        <v>127</v>
      </c>
      <c r="C2" s="12" t="s">
        <v>128</v>
      </c>
      <c r="D2" s="21"/>
      <c r="E2" s="21" t="s">
        <v>133</v>
      </c>
      <c r="F2" s="97" t="s">
        <v>171</v>
      </c>
      <c r="G2" s="20" t="s">
        <v>135</v>
      </c>
      <c r="H2" s="22" t="s">
        <v>136</v>
      </c>
      <c r="I2" s="20" t="s">
        <v>134</v>
      </c>
      <c r="J2" s="11" t="s">
        <v>131</v>
      </c>
      <c r="K2" s="14">
        <f>SUM(J4:J59)</f>
        <v>0</v>
      </c>
      <c r="L2" s="16"/>
      <c r="M2" s="108"/>
      <c r="N2" s="118"/>
      <c r="O2" s="109" t="str">
        <f>IF(SUM(O3:O277)=0, "-", SUM(O3:O277))</f>
        <v>-</v>
      </c>
      <c r="P2" s="110" t="str">
        <f>IFERROR(IF(SUM(P3:P277)=0, "-", SUM(P3:P277)+ROUNDUP(SUM(O3:O277)/270,0)*30*M2), "-")</f>
        <v>-</v>
      </c>
      <c r="Q2" s="111"/>
      <c r="R2" s="112" t="s">
        <v>175</v>
      </c>
    </row>
    <row r="3" spans="1:18" s="1" customFormat="1" ht="25.2" customHeight="1" thickBot="1">
      <c r="A3" s="28" t="s">
        <v>132</v>
      </c>
      <c r="B3" s="25"/>
      <c r="C3" s="25"/>
      <c r="D3" s="29"/>
      <c r="E3" s="25"/>
      <c r="F3" s="29"/>
      <c r="G3" s="29"/>
      <c r="H3" s="29"/>
      <c r="I3" s="25"/>
      <c r="J3" s="26"/>
      <c r="L3" s="17"/>
      <c r="M3" s="113"/>
      <c r="N3" s="113"/>
      <c r="O3" s="114"/>
      <c r="P3" s="115"/>
      <c r="Q3"/>
      <c r="R3" s="115"/>
    </row>
    <row r="4" spans="1:18" s="2" customFormat="1" ht="15.9" customHeight="1">
      <c r="A4" s="55" t="s">
        <v>2</v>
      </c>
      <c r="B4" s="56" t="s">
        <v>0</v>
      </c>
      <c r="C4" s="57" t="s">
        <v>1</v>
      </c>
      <c r="D4" s="85"/>
      <c r="E4" s="94">
        <v>12</v>
      </c>
      <c r="F4" s="101">
        <v>0.56625000000000003</v>
      </c>
      <c r="G4" s="98">
        <v>23.340150000000001</v>
      </c>
      <c r="H4" s="30">
        <v>20.594250000000002</v>
      </c>
      <c r="I4" s="33"/>
      <c r="J4" s="24">
        <f t="shared" ref="J4:J35" si="0">IF(I4&lt;143,I4*G4,I4*H4)</f>
        <v>0</v>
      </c>
      <c r="K4" s="23"/>
      <c r="L4" s="19"/>
      <c r="M4" s="113" t="str">
        <f t="shared" ref="M4:M58" si="1">IFERROR(IF($M$2*F4=0, "-", $M$2*F4), "-")</f>
        <v>-</v>
      </c>
      <c r="N4" s="113" t="str">
        <f>IF(I4&gt;0,(J4/I4)+F4*I4/$O$2*$P$2/I4,"-")</f>
        <v>-</v>
      </c>
      <c r="O4" s="114" t="str">
        <f>IF(I4&gt;0,I4*F4*1.1132, "-")</f>
        <v>-</v>
      </c>
      <c r="P4" s="115" t="str">
        <f t="shared" ref="P4:P58" si="2">IFERROR(IF($M$2&gt;0, $M$2*O4, "-"), "-")</f>
        <v>-</v>
      </c>
      <c r="Q4"/>
      <c r="R4" s="115" t="str">
        <f t="shared" ref="R4:R58" si="3">IFERROR(IF(P4+J4=0, "-", IF(P4&gt;0, P4+J4, "-")), "-")</f>
        <v>-</v>
      </c>
    </row>
    <row r="5" spans="1:18" s="3" customFormat="1" ht="15.9" customHeight="1">
      <c r="A5" s="58" t="s">
        <v>5</v>
      </c>
      <c r="B5" s="38" t="s">
        <v>3</v>
      </c>
      <c r="C5" s="59" t="s">
        <v>4</v>
      </c>
      <c r="D5" s="86"/>
      <c r="E5" s="95">
        <v>12</v>
      </c>
      <c r="F5" s="102">
        <v>0.56625000000000003</v>
      </c>
      <c r="G5" s="99">
        <v>20.781224999999999</v>
      </c>
      <c r="H5" s="31">
        <v>18.336375</v>
      </c>
      <c r="I5" s="27"/>
      <c r="J5" s="35">
        <f t="shared" si="0"/>
        <v>0</v>
      </c>
      <c r="K5" s="4"/>
      <c r="L5" s="19"/>
      <c r="M5" s="113" t="str">
        <f t="shared" si="1"/>
        <v>-</v>
      </c>
      <c r="N5" s="113" t="str">
        <f t="shared" ref="N5:N58" si="4">IF(I5&gt;0,H5+F5*I5/$O$2*$P$2/I5,"-")</f>
        <v>-</v>
      </c>
      <c r="O5" s="114" t="str">
        <f t="shared" ref="O5:O59" si="5">IF(I5&gt;0,I5*F5*1.1132, "-")</f>
        <v>-</v>
      </c>
      <c r="P5" s="115" t="str">
        <f t="shared" si="2"/>
        <v>-</v>
      </c>
      <c r="Q5"/>
      <c r="R5" s="115" t="str">
        <f t="shared" si="3"/>
        <v>-</v>
      </c>
    </row>
    <row r="6" spans="1:18" s="3" customFormat="1" ht="15.9" customHeight="1">
      <c r="A6" s="58" t="s">
        <v>8</v>
      </c>
      <c r="B6" s="39" t="s">
        <v>6</v>
      </c>
      <c r="C6" s="60" t="s">
        <v>7</v>
      </c>
      <c r="D6" s="87"/>
      <c r="E6" s="95">
        <v>12</v>
      </c>
      <c r="F6" s="102">
        <v>0.56625000000000003</v>
      </c>
      <c r="G6" s="99">
        <v>24.430275000000002</v>
      </c>
      <c r="H6" s="31">
        <v>21.556125000000002</v>
      </c>
      <c r="I6" s="27"/>
      <c r="J6" s="35">
        <f t="shared" si="0"/>
        <v>0</v>
      </c>
      <c r="K6" s="4"/>
      <c r="L6" s="19"/>
      <c r="M6" s="113" t="str">
        <f t="shared" si="1"/>
        <v>-</v>
      </c>
      <c r="N6" s="113" t="str">
        <f t="shared" si="4"/>
        <v>-</v>
      </c>
      <c r="O6" s="114" t="str">
        <f t="shared" si="5"/>
        <v>-</v>
      </c>
      <c r="P6" s="115" t="str">
        <f t="shared" si="2"/>
        <v>-</v>
      </c>
      <c r="Q6"/>
      <c r="R6" s="115" t="str">
        <f t="shared" si="3"/>
        <v>-</v>
      </c>
    </row>
    <row r="7" spans="1:18" s="3" customFormat="1" ht="15.9" customHeight="1">
      <c r="A7" s="58" t="s">
        <v>10</v>
      </c>
      <c r="B7" s="38" t="s">
        <v>9</v>
      </c>
      <c r="C7" s="59" t="s">
        <v>94</v>
      </c>
      <c r="D7" s="86"/>
      <c r="E7" s="95">
        <v>12</v>
      </c>
      <c r="F7" s="102">
        <v>0.56625000000000003</v>
      </c>
      <c r="G7" s="99">
        <v>25.054515000000002</v>
      </c>
      <c r="H7" s="31">
        <v>22.106925000000004</v>
      </c>
      <c r="I7" s="27"/>
      <c r="J7" s="35">
        <f t="shared" si="0"/>
        <v>0</v>
      </c>
      <c r="K7" s="4"/>
      <c r="L7" s="19"/>
      <c r="M7" s="113" t="str">
        <f t="shared" si="1"/>
        <v>-</v>
      </c>
      <c r="N7" s="113" t="str">
        <f t="shared" si="4"/>
        <v>-</v>
      </c>
      <c r="O7" s="114" t="str">
        <f t="shared" si="5"/>
        <v>-</v>
      </c>
      <c r="P7" s="115" t="str">
        <f t="shared" si="2"/>
        <v>-</v>
      </c>
      <c r="Q7"/>
      <c r="R7" s="115" t="str">
        <f t="shared" si="3"/>
        <v>-</v>
      </c>
    </row>
    <row r="8" spans="1:18" s="3" customFormat="1" ht="15.9" customHeight="1">
      <c r="A8" s="58" t="s">
        <v>12</v>
      </c>
      <c r="B8" s="38" t="s">
        <v>11</v>
      </c>
      <c r="C8" s="59" t="s">
        <v>93</v>
      </c>
      <c r="D8" s="86"/>
      <c r="E8" s="95">
        <v>12</v>
      </c>
      <c r="F8" s="102">
        <v>0.56625000000000003</v>
      </c>
      <c r="G8" s="99">
        <v>22.920165000000001</v>
      </c>
      <c r="H8" s="31">
        <v>20.223675000000004</v>
      </c>
      <c r="I8" s="27"/>
      <c r="J8" s="35">
        <f t="shared" si="0"/>
        <v>0</v>
      </c>
      <c r="K8" s="4"/>
      <c r="L8" s="19"/>
      <c r="M8" s="113" t="str">
        <f t="shared" si="1"/>
        <v>-</v>
      </c>
      <c r="N8" s="113" t="str">
        <f t="shared" si="4"/>
        <v>-</v>
      </c>
      <c r="O8" s="114" t="str">
        <f t="shared" si="5"/>
        <v>-</v>
      </c>
      <c r="P8" s="115" t="str">
        <f t="shared" si="2"/>
        <v>-</v>
      </c>
      <c r="Q8"/>
      <c r="R8" s="115" t="str">
        <f t="shared" si="3"/>
        <v>-</v>
      </c>
    </row>
    <row r="9" spans="1:18" s="3" customFormat="1" ht="15.9" customHeight="1">
      <c r="A9" s="58" t="s">
        <v>161</v>
      </c>
      <c r="B9" s="40" t="s">
        <v>137</v>
      </c>
      <c r="C9" s="61" t="s">
        <v>138</v>
      </c>
      <c r="D9" s="88"/>
      <c r="E9" s="95">
        <v>12</v>
      </c>
      <c r="F9" s="102">
        <v>0.56625000000000003</v>
      </c>
      <c r="G9" s="99">
        <v>22.364774999999998</v>
      </c>
      <c r="H9" s="31">
        <v>19.733625</v>
      </c>
      <c r="I9" s="27"/>
      <c r="J9" s="35">
        <f t="shared" si="0"/>
        <v>0</v>
      </c>
      <c r="K9" s="4"/>
      <c r="L9" s="19"/>
      <c r="M9" s="113" t="str">
        <f t="shared" si="1"/>
        <v>-</v>
      </c>
      <c r="N9" s="113" t="str">
        <f t="shared" si="4"/>
        <v>-</v>
      </c>
      <c r="O9" s="114" t="str">
        <f t="shared" si="5"/>
        <v>-</v>
      </c>
      <c r="P9" s="115" t="str">
        <f t="shared" si="2"/>
        <v>-</v>
      </c>
      <c r="Q9"/>
      <c r="R9" s="115" t="str">
        <f t="shared" si="3"/>
        <v>-</v>
      </c>
    </row>
    <row r="10" spans="1:18" s="3" customFormat="1" ht="15.9" customHeight="1">
      <c r="A10" s="58" t="s">
        <v>162</v>
      </c>
      <c r="B10" s="41" t="s">
        <v>139</v>
      </c>
      <c r="C10" s="61" t="s">
        <v>140</v>
      </c>
      <c r="D10" s="88"/>
      <c r="E10" s="95">
        <v>12</v>
      </c>
      <c r="F10" s="102">
        <v>0.56625000000000003</v>
      </c>
      <c r="G10" s="99">
        <v>23.397525000000002</v>
      </c>
      <c r="H10" s="31">
        <v>20.644875000000003</v>
      </c>
      <c r="I10" s="27"/>
      <c r="J10" s="35">
        <f t="shared" si="0"/>
        <v>0</v>
      </c>
      <c r="K10" s="4"/>
      <c r="L10" s="19"/>
      <c r="M10" s="113" t="str">
        <f t="shared" si="1"/>
        <v>-</v>
      </c>
      <c r="N10" s="113" t="str">
        <f t="shared" si="4"/>
        <v>-</v>
      </c>
      <c r="O10" s="114" t="str">
        <f t="shared" si="5"/>
        <v>-</v>
      </c>
      <c r="P10" s="115" t="str">
        <f t="shared" si="2"/>
        <v>-</v>
      </c>
      <c r="Q10"/>
      <c r="R10" s="115" t="str">
        <f t="shared" si="3"/>
        <v>-</v>
      </c>
    </row>
    <row r="11" spans="1:18" s="3" customFormat="1" ht="15.15" customHeight="1">
      <c r="A11" s="62"/>
      <c r="B11" s="42" t="s">
        <v>141</v>
      </c>
      <c r="C11" s="63"/>
      <c r="D11" s="89"/>
      <c r="E11" s="95"/>
      <c r="F11" s="102"/>
      <c r="G11" s="99"/>
      <c r="H11" s="31"/>
      <c r="I11" s="27"/>
      <c r="J11" s="35">
        <f t="shared" si="0"/>
        <v>0</v>
      </c>
      <c r="K11" s="4"/>
      <c r="L11" s="18"/>
      <c r="M11" s="113" t="str">
        <f t="shared" si="1"/>
        <v>-</v>
      </c>
      <c r="N11" s="113" t="str">
        <f t="shared" si="4"/>
        <v>-</v>
      </c>
      <c r="O11" s="114" t="str">
        <f t="shared" si="5"/>
        <v>-</v>
      </c>
      <c r="P11" s="115" t="str">
        <f t="shared" si="2"/>
        <v>-</v>
      </c>
      <c r="Q11"/>
      <c r="R11" s="115" t="str">
        <f t="shared" si="3"/>
        <v>-</v>
      </c>
    </row>
    <row r="12" spans="1:18" s="3" customFormat="1" ht="15.9" customHeight="1">
      <c r="A12" s="58" t="s">
        <v>14</v>
      </c>
      <c r="B12" s="38" t="s">
        <v>13</v>
      </c>
      <c r="C12" s="64" t="s">
        <v>81</v>
      </c>
      <c r="D12" s="86"/>
      <c r="E12" s="95">
        <v>12</v>
      </c>
      <c r="F12" s="102">
        <v>0.56625000000000003</v>
      </c>
      <c r="G12" s="99">
        <v>25.054515000000002</v>
      </c>
      <c r="H12" s="31">
        <v>22.106925000000004</v>
      </c>
      <c r="I12" s="27"/>
      <c r="J12" s="35">
        <f t="shared" si="0"/>
        <v>0</v>
      </c>
      <c r="K12" s="4"/>
      <c r="L12" s="18"/>
      <c r="M12" s="113" t="str">
        <f t="shared" si="1"/>
        <v>-</v>
      </c>
      <c r="N12" s="113" t="str">
        <f t="shared" si="4"/>
        <v>-</v>
      </c>
      <c r="O12" s="114" t="str">
        <f t="shared" si="5"/>
        <v>-</v>
      </c>
      <c r="P12" s="115" t="str">
        <f t="shared" si="2"/>
        <v>-</v>
      </c>
      <c r="Q12"/>
      <c r="R12" s="115" t="str">
        <f t="shared" si="3"/>
        <v>-</v>
      </c>
    </row>
    <row r="13" spans="1:18" s="2" customFormat="1" ht="15.9" customHeight="1">
      <c r="A13" s="58" t="s">
        <v>16</v>
      </c>
      <c r="B13" s="38" t="s">
        <v>15</v>
      </c>
      <c r="C13" s="65" t="s">
        <v>121</v>
      </c>
      <c r="D13" s="86"/>
      <c r="E13" s="95">
        <v>12</v>
      </c>
      <c r="F13" s="102">
        <v>0.56625000000000003</v>
      </c>
      <c r="G13" s="99">
        <v>23.340150000000001</v>
      </c>
      <c r="H13" s="31">
        <v>20.594250000000002</v>
      </c>
      <c r="I13" s="27"/>
      <c r="J13" s="35">
        <f t="shared" si="0"/>
        <v>0</v>
      </c>
      <c r="L13" s="15"/>
      <c r="M13" s="113" t="str">
        <f t="shared" si="1"/>
        <v>-</v>
      </c>
      <c r="N13" s="113" t="str">
        <f t="shared" si="4"/>
        <v>-</v>
      </c>
      <c r="O13" s="114" t="str">
        <f t="shared" si="5"/>
        <v>-</v>
      </c>
      <c r="P13" s="115" t="str">
        <f t="shared" si="2"/>
        <v>-</v>
      </c>
      <c r="Q13"/>
      <c r="R13" s="115" t="str">
        <f t="shared" si="3"/>
        <v>-</v>
      </c>
    </row>
    <row r="14" spans="1:18" s="2" customFormat="1" ht="15.9" customHeight="1">
      <c r="A14" s="58" t="s">
        <v>19</v>
      </c>
      <c r="B14" s="43" t="s">
        <v>17</v>
      </c>
      <c r="C14" s="64" t="s">
        <v>18</v>
      </c>
      <c r="D14" s="86"/>
      <c r="E14" s="95">
        <v>12</v>
      </c>
      <c r="F14" s="102">
        <v>0.56625000000000003</v>
      </c>
      <c r="G14" s="99">
        <v>22.920165000000001</v>
      </c>
      <c r="H14" s="31">
        <v>20.223675000000004</v>
      </c>
      <c r="I14" s="27"/>
      <c r="J14" s="35">
        <f t="shared" si="0"/>
        <v>0</v>
      </c>
      <c r="L14" s="15"/>
      <c r="M14" s="113" t="str">
        <f t="shared" si="1"/>
        <v>-</v>
      </c>
      <c r="N14" s="113" t="str">
        <f t="shared" si="4"/>
        <v>-</v>
      </c>
      <c r="O14" s="114" t="str">
        <f t="shared" si="5"/>
        <v>-</v>
      </c>
      <c r="P14" s="115" t="str">
        <f t="shared" si="2"/>
        <v>-</v>
      </c>
      <c r="Q14"/>
      <c r="R14" s="115" t="str">
        <f t="shared" si="3"/>
        <v>-</v>
      </c>
    </row>
    <row r="15" spans="1:18" s="2" customFormat="1" ht="15.9" customHeight="1">
      <c r="A15" s="58" t="s">
        <v>57</v>
      </c>
      <c r="B15" s="44" t="s">
        <v>56</v>
      </c>
      <c r="C15" s="66" t="s">
        <v>113</v>
      </c>
      <c r="D15" s="90"/>
      <c r="E15" s="95">
        <v>12</v>
      </c>
      <c r="F15" s="102">
        <v>0.56625000000000003</v>
      </c>
      <c r="G15" s="99">
        <v>29.598614999999999</v>
      </c>
      <c r="H15" s="31">
        <v>26.116425</v>
      </c>
      <c r="I15" s="27"/>
      <c r="J15" s="35">
        <f t="shared" si="0"/>
        <v>0</v>
      </c>
      <c r="L15" s="15"/>
      <c r="M15" s="113" t="str">
        <f t="shared" si="1"/>
        <v>-</v>
      </c>
      <c r="N15" s="113" t="str">
        <f t="shared" si="4"/>
        <v>-</v>
      </c>
      <c r="O15" s="114" t="str">
        <f t="shared" si="5"/>
        <v>-</v>
      </c>
      <c r="P15" s="115" t="str">
        <f t="shared" si="2"/>
        <v>-</v>
      </c>
      <c r="Q15"/>
      <c r="R15" s="115" t="str">
        <f t="shared" si="3"/>
        <v>-</v>
      </c>
    </row>
    <row r="16" spans="1:18" s="3" customFormat="1" ht="15.9" customHeight="1">
      <c r="A16" s="58" t="s">
        <v>22</v>
      </c>
      <c r="B16" s="45" t="s">
        <v>20</v>
      </c>
      <c r="C16" s="67" t="s">
        <v>21</v>
      </c>
      <c r="D16" s="87"/>
      <c r="E16" s="95">
        <v>12</v>
      </c>
      <c r="F16" s="102">
        <v>0.56625000000000003</v>
      </c>
      <c r="G16" s="99">
        <v>18.582614999999997</v>
      </c>
      <c r="H16" s="31">
        <v>16.396425000000001</v>
      </c>
      <c r="I16" s="27"/>
      <c r="J16" s="35">
        <f t="shared" si="0"/>
        <v>0</v>
      </c>
      <c r="K16" s="6"/>
      <c r="L16" s="15"/>
      <c r="M16" s="113" t="str">
        <f t="shared" si="1"/>
        <v>-</v>
      </c>
      <c r="N16" s="113" t="str">
        <f t="shared" si="4"/>
        <v>-</v>
      </c>
      <c r="O16" s="114" t="str">
        <f t="shared" si="5"/>
        <v>-</v>
      </c>
      <c r="P16" s="115" t="str">
        <f t="shared" si="2"/>
        <v>-</v>
      </c>
      <c r="Q16"/>
      <c r="R16" s="115" t="str">
        <f t="shared" si="3"/>
        <v>-</v>
      </c>
    </row>
    <row r="17" spans="1:18" s="3" customFormat="1" ht="15.9" customHeight="1">
      <c r="A17" s="58" t="s">
        <v>24</v>
      </c>
      <c r="B17" s="43" t="s">
        <v>23</v>
      </c>
      <c r="C17" s="64" t="s">
        <v>95</v>
      </c>
      <c r="D17" s="86"/>
      <c r="E17" s="95">
        <v>12</v>
      </c>
      <c r="F17" s="102">
        <v>0.56625000000000003</v>
      </c>
      <c r="G17" s="99">
        <v>18.582614999999997</v>
      </c>
      <c r="H17" s="31">
        <v>16.396425000000001</v>
      </c>
      <c r="I17" s="27"/>
      <c r="J17" s="35">
        <f t="shared" si="0"/>
        <v>0</v>
      </c>
      <c r="L17" s="15"/>
      <c r="M17" s="113" t="str">
        <f t="shared" si="1"/>
        <v>-</v>
      </c>
      <c r="N17" s="113" t="str">
        <f t="shared" si="4"/>
        <v>-</v>
      </c>
      <c r="O17" s="114" t="str">
        <f t="shared" si="5"/>
        <v>-</v>
      </c>
      <c r="P17" s="115" t="str">
        <f t="shared" si="2"/>
        <v>-</v>
      </c>
      <c r="Q17"/>
      <c r="R17" s="115" t="str">
        <f t="shared" si="3"/>
        <v>-</v>
      </c>
    </row>
    <row r="18" spans="1:18" s="3" customFormat="1" ht="15.9" customHeight="1">
      <c r="A18" s="58" t="s">
        <v>26</v>
      </c>
      <c r="B18" s="46" t="s">
        <v>25</v>
      </c>
      <c r="C18" s="68" t="s">
        <v>115</v>
      </c>
      <c r="D18" s="90"/>
      <c r="E18" s="95">
        <v>12</v>
      </c>
      <c r="F18" s="102">
        <v>0.56625000000000003</v>
      </c>
      <c r="G18" s="99">
        <v>16.517114999999997</v>
      </c>
      <c r="H18" s="31">
        <v>14.573924999999999</v>
      </c>
      <c r="I18" s="27"/>
      <c r="J18" s="35">
        <f t="shared" si="0"/>
        <v>0</v>
      </c>
      <c r="L18" s="15"/>
      <c r="M18" s="113" t="str">
        <f t="shared" si="1"/>
        <v>-</v>
      </c>
      <c r="N18" s="113" t="str">
        <f t="shared" si="4"/>
        <v>-</v>
      </c>
      <c r="O18" s="114" t="str">
        <f t="shared" si="5"/>
        <v>-</v>
      </c>
      <c r="P18" s="115" t="str">
        <f t="shared" si="2"/>
        <v>-</v>
      </c>
      <c r="Q18"/>
      <c r="R18" s="115" t="str">
        <f t="shared" si="3"/>
        <v>-</v>
      </c>
    </row>
    <row r="19" spans="1:18" s="2" customFormat="1" ht="15.9" customHeight="1">
      <c r="A19" s="58" t="s">
        <v>28</v>
      </c>
      <c r="B19" s="45" t="s">
        <v>27</v>
      </c>
      <c r="C19" s="67" t="s">
        <v>112</v>
      </c>
      <c r="D19" s="87"/>
      <c r="E19" s="95">
        <v>12</v>
      </c>
      <c r="F19" s="102">
        <v>0.56625000000000003</v>
      </c>
      <c r="G19" s="99">
        <v>19.271114999999998</v>
      </c>
      <c r="H19" s="31">
        <v>17.003924999999999</v>
      </c>
      <c r="I19" s="27"/>
      <c r="J19" s="35">
        <f t="shared" si="0"/>
        <v>0</v>
      </c>
      <c r="L19" s="15"/>
      <c r="M19" s="113" t="str">
        <f t="shared" si="1"/>
        <v>-</v>
      </c>
      <c r="N19" s="113" t="str">
        <f t="shared" si="4"/>
        <v>-</v>
      </c>
      <c r="O19" s="114" t="str">
        <f t="shared" si="5"/>
        <v>-</v>
      </c>
      <c r="P19" s="115" t="str">
        <f t="shared" si="2"/>
        <v>-</v>
      </c>
      <c r="Q19"/>
      <c r="R19" s="115" t="str">
        <f t="shared" si="3"/>
        <v>-</v>
      </c>
    </row>
    <row r="20" spans="1:18" s="2" customFormat="1" ht="15.9" customHeight="1">
      <c r="A20" s="58" t="s">
        <v>30</v>
      </c>
      <c r="B20" s="45" t="s">
        <v>29</v>
      </c>
      <c r="C20" s="67" t="s">
        <v>79</v>
      </c>
      <c r="D20" s="87"/>
      <c r="E20" s="95">
        <v>12</v>
      </c>
      <c r="F20" s="102">
        <v>0.56625000000000003</v>
      </c>
      <c r="G20" s="99">
        <v>21.887415000000001</v>
      </c>
      <c r="H20" s="31">
        <v>19.312425000000001</v>
      </c>
      <c r="I20" s="27"/>
      <c r="J20" s="35">
        <f t="shared" si="0"/>
        <v>0</v>
      </c>
      <c r="K20" s="37"/>
      <c r="L20" s="15"/>
      <c r="M20" s="113" t="str">
        <f t="shared" si="1"/>
        <v>-</v>
      </c>
      <c r="N20" s="113" t="str">
        <f t="shared" si="4"/>
        <v>-</v>
      </c>
      <c r="O20" s="114" t="str">
        <f t="shared" si="5"/>
        <v>-</v>
      </c>
      <c r="P20" s="115" t="str">
        <f t="shared" si="2"/>
        <v>-</v>
      </c>
      <c r="Q20"/>
      <c r="R20" s="115" t="str">
        <f t="shared" si="3"/>
        <v>-</v>
      </c>
    </row>
    <row r="21" spans="1:18" s="3" customFormat="1" ht="15.9" customHeight="1">
      <c r="A21" s="58" t="s">
        <v>33</v>
      </c>
      <c r="B21" s="45" t="s">
        <v>31</v>
      </c>
      <c r="C21" s="67" t="s">
        <v>32</v>
      </c>
      <c r="D21" s="87"/>
      <c r="E21" s="95">
        <v>12</v>
      </c>
      <c r="F21" s="102">
        <v>0.56625000000000003</v>
      </c>
      <c r="G21" s="99">
        <v>23.746365000000001</v>
      </c>
      <c r="H21" s="31">
        <v>20.952674999999999</v>
      </c>
      <c r="I21" s="27"/>
      <c r="J21" s="35">
        <f t="shared" si="0"/>
        <v>0</v>
      </c>
      <c r="L21" s="15"/>
      <c r="M21" s="113" t="str">
        <f t="shared" si="1"/>
        <v>-</v>
      </c>
      <c r="N21" s="113" t="str">
        <f t="shared" si="4"/>
        <v>-</v>
      </c>
      <c r="O21" s="114" t="str">
        <f t="shared" si="5"/>
        <v>-</v>
      </c>
      <c r="P21" s="115" t="str">
        <f t="shared" si="2"/>
        <v>-</v>
      </c>
      <c r="Q21"/>
      <c r="R21" s="115" t="str">
        <f t="shared" si="3"/>
        <v>-</v>
      </c>
    </row>
    <row r="22" spans="1:18" s="2" customFormat="1" ht="15.9" customHeight="1">
      <c r="A22" s="58" t="s">
        <v>36</v>
      </c>
      <c r="B22" s="47" t="s">
        <v>34</v>
      </c>
      <c r="C22" s="69" t="s">
        <v>35</v>
      </c>
      <c r="D22" s="87"/>
      <c r="E22" s="95">
        <v>12</v>
      </c>
      <c r="F22" s="102">
        <v>0.56625000000000003</v>
      </c>
      <c r="G22" s="99">
        <v>31.457564999999995</v>
      </c>
      <c r="H22" s="31">
        <v>27.756674999999998</v>
      </c>
      <c r="I22" s="27"/>
      <c r="J22" s="35">
        <f t="shared" si="0"/>
        <v>0</v>
      </c>
      <c r="L22" s="15"/>
      <c r="M22" s="113" t="str">
        <f t="shared" si="1"/>
        <v>-</v>
      </c>
      <c r="N22" s="113" t="str">
        <f t="shared" si="4"/>
        <v>-</v>
      </c>
      <c r="O22" s="114" t="str">
        <f t="shared" si="5"/>
        <v>-</v>
      </c>
      <c r="P22" s="115" t="str">
        <f t="shared" si="2"/>
        <v>-</v>
      </c>
      <c r="Q22"/>
      <c r="R22" s="115" t="str">
        <f t="shared" si="3"/>
        <v>-</v>
      </c>
    </row>
    <row r="23" spans="1:18" s="3" customFormat="1" ht="15.9" customHeight="1">
      <c r="A23" s="58" t="s">
        <v>39</v>
      </c>
      <c r="B23" s="38" t="s">
        <v>37</v>
      </c>
      <c r="C23" s="59" t="s">
        <v>38</v>
      </c>
      <c r="D23" s="86"/>
      <c r="E23" s="95">
        <v>12</v>
      </c>
      <c r="F23" s="102">
        <v>0.56625000000000003</v>
      </c>
      <c r="G23" s="99">
        <v>14.313915</v>
      </c>
      <c r="H23" s="31">
        <v>12.629925</v>
      </c>
      <c r="I23" s="27"/>
      <c r="J23" s="35">
        <f t="shared" si="0"/>
        <v>0</v>
      </c>
      <c r="L23" s="15"/>
      <c r="M23" s="113" t="str">
        <f t="shared" si="1"/>
        <v>-</v>
      </c>
      <c r="N23" s="113" t="str">
        <f t="shared" si="4"/>
        <v>-</v>
      </c>
      <c r="O23" s="114" t="str">
        <f t="shared" si="5"/>
        <v>-</v>
      </c>
      <c r="P23" s="115" t="str">
        <f t="shared" si="2"/>
        <v>-</v>
      </c>
      <c r="Q23"/>
      <c r="R23" s="115" t="str">
        <f t="shared" si="3"/>
        <v>-</v>
      </c>
    </row>
    <row r="24" spans="1:18" s="2" customFormat="1" ht="15.9" customHeight="1">
      <c r="A24" s="58" t="s">
        <v>42</v>
      </c>
      <c r="B24" s="47" t="s">
        <v>40</v>
      </c>
      <c r="C24" s="69" t="s">
        <v>41</v>
      </c>
      <c r="D24" s="87"/>
      <c r="E24" s="95">
        <v>12</v>
      </c>
      <c r="F24" s="102">
        <v>0.56625000000000003</v>
      </c>
      <c r="G24" s="99">
        <v>25.054515000000002</v>
      </c>
      <c r="H24" s="31">
        <v>22.106925000000004</v>
      </c>
      <c r="I24" s="27"/>
      <c r="J24" s="35">
        <f t="shared" si="0"/>
        <v>0</v>
      </c>
      <c r="K24" s="7"/>
      <c r="L24" s="15"/>
      <c r="M24" s="113" t="str">
        <f t="shared" si="1"/>
        <v>-</v>
      </c>
      <c r="N24" s="113" t="str">
        <f t="shared" si="4"/>
        <v>-</v>
      </c>
      <c r="O24" s="114" t="str">
        <f t="shared" si="5"/>
        <v>-</v>
      </c>
      <c r="P24" s="115" t="str">
        <f t="shared" si="2"/>
        <v>-</v>
      </c>
      <c r="Q24"/>
      <c r="R24" s="115" t="str">
        <f t="shared" si="3"/>
        <v>-</v>
      </c>
    </row>
    <row r="25" spans="1:18" s="3" customFormat="1" ht="15.9" customHeight="1">
      <c r="A25" s="58" t="s">
        <v>44</v>
      </c>
      <c r="B25" s="38" t="s">
        <v>43</v>
      </c>
      <c r="C25" s="59" t="s">
        <v>120</v>
      </c>
      <c r="D25" s="86"/>
      <c r="E25" s="95">
        <v>12</v>
      </c>
      <c r="F25" s="102">
        <v>0.56625000000000003</v>
      </c>
      <c r="G25" s="99">
        <v>22.231665</v>
      </c>
      <c r="H25" s="31">
        <v>19.616175000000002</v>
      </c>
      <c r="I25" s="27"/>
      <c r="J25" s="35">
        <f t="shared" si="0"/>
        <v>0</v>
      </c>
      <c r="L25" s="15"/>
      <c r="M25" s="113" t="str">
        <f t="shared" si="1"/>
        <v>-</v>
      </c>
      <c r="N25" s="113" t="str">
        <f t="shared" si="4"/>
        <v>-</v>
      </c>
      <c r="O25" s="114" t="str">
        <f t="shared" si="5"/>
        <v>-</v>
      </c>
      <c r="P25" s="115" t="str">
        <f t="shared" si="2"/>
        <v>-</v>
      </c>
      <c r="Q25"/>
      <c r="R25" s="115" t="str">
        <f t="shared" si="3"/>
        <v>-</v>
      </c>
    </row>
    <row r="26" spans="1:18" s="3" customFormat="1" ht="15.9" customHeight="1">
      <c r="A26" s="58" t="s">
        <v>47</v>
      </c>
      <c r="B26" s="48" t="s">
        <v>45</v>
      </c>
      <c r="C26" s="70" t="s">
        <v>46</v>
      </c>
      <c r="D26" s="86"/>
      <c r="E26" s="95">
        <v>12</v>
      </c>
      <c r="F26" s="102">
        <v>0.56625000000000003</v>
      </c>
      <c r="G26" s="99">
        <v>26.156115</v>
      </c>
      <c r="H26" s="31">
        <v>23.078925000000002</v>
      </c>
      <c r="I26" s="27"/>
      <c r="J26" s="35">
        <f t="shared" si="0"/>
        <v>0</v>
      </c>
      <c r="L26" s="15"/>
      <c r="M26" s="113" t="str">
        <f t="shared" si="1"/>
        <v>-</v>
      </c>
      <c r="N26" s="113" t="str">
        <f t="shared" si="4"/>
        <v>-</v>
      </c>
      <c r="O26" s="114" t="str">
        <f t="shared" si="5"/>
        <v>-</v>
      </c>
      <c r="P26" s="115" t="str">
        <f t="shared" si="2"/>
        <v>-</v>
      </c>
      <c r="Q26"/>
      <c r="R26" s="115" t="str">
        <f t="shared" si="3"/>
        <v>-</v>
      </c>
    </row>
    <row r="27" spans="1:18" s="3" customFormat="1" ht="15.9" customHeight="1">
      <c r="A27" s="58" t="s">
        <v>49</v>
      </c>
      <c r="B27" s="44" t="s">
        <v>48</v>
      </c>
      <c r="C27" s="66" t="s">
        <v>96</v>
      </c>
      <c r="D27" s="90"/>
      <c r="E27" s="95">
        <v>12</v>
      </c>
      <c r="F27" s="102">
        <v>0.56625000000000003</v>
      </c>
      <c r="G27" s="99">
        <v>25.743015000000003</v>
      </c>
      <c r="H27" s="31">
        <v>22.714425000000006</v>
      </c>
      <c r="I27" s="27"/>
      <c r="J27" s="35">
        <f t="shared" si="0"/>
        <v>0</v>
      </c>
      <c r="L27" s="15"/>
      <c r="M27" s="113" t="str">
        <f t="shared" si="1"/>
        <v>-</v>
      </c>
      <c r="N27" s="113" t="str">
        <f t="shared" si="4"/>
        <v>-</v>
      </c>
      <c r="O27" s="114" t="str">
        <f t="shared" si="5"/>
        <v>-</v>
      </c>
      <c r="P27" s="115" t="str">
        <f t="shared" si="2"/>
        <v>-</v>
      </c>
      <c r="Q27"/>
      <c r="R27" s="115" t="str">
        <f t="shared" si="3"/>
        <v>-</v>
      </c>
    </row>
    <row r="28" spans="1:18" s="2" customFormat="1" ht="15.9" customHeight="1">
      <c r="A28" s="58" t="s">
        <v>51</v>
      </c>
      <c r="B28" s="38" t="s">
        <v>50</v>
      </c>
      <c r="C28" s="59" t="s">
        <v>119</v>
      </c>
      <c r="D28" s="86"/>
      <c r="E28" s="95">
        <v>12</v>
      </c>
      <c r="F28" s="102">
        <v>0.56625000000000003</v>
      </c>
      <c r="G28" s="99">
        <v>20.785815000000003</v>
      </c>
      <c r="H28" s="31">
        <v>18.340425000000003</v>
      </c>
      <c r="I28" s="27"/>
      <c r="J28" s="35">
        <f t="shared" si="0"/>
        <v>0</v>
      </c>
      <c r="L28" s="15"/>
      <c r="M28" s="113" t="str">
        <f t="shared" si="1"/>
        <v>-</v>
      </c>
      <c r="N28" s="113" t="str">
        <f t="shared" si="4"/>
        <v>-</v>
      </c>
      <c r="O28" s="114" t="str">
        <f t="shared" si="5"/>
        <v>-</v>
      </c>
      <c r="P28" s="115" t="str">
        <f t="shared" si="2"/>
        <v>-</v>
      </c>
      <c r="Q28"/>
      <c r="R28" s="115" t="str">
        <f t="shared" si="3"/>
        <v>-</v>
      </c>
    </row>
    <row r="29" spans="1:18" s="2" customFormat="1" ht="15.9" customHeight="1">
      <c r="A29" s="58" t="s">
        <v>53</v>
      </c>
      <c r="B29" s="49" t="s">
        <v>52</v>
      </c>
      <c r="C29" s="71" t="s">
        <v>97</v>
      </c>
      <c r="D29" s="90"/>
      <c r="E29" s="95">
        <v>12</v>
      </c>
      <c r="F29" s="102">
        <v>0.56625000000000003</v>
      </c>
      <c r="G29" s="99">
        <v>22.920165000000001</v>
      </c>
      <c r="H29" s="31">
        <v>20.223675000000004</v>
      </c>
      <c r="I29" s="27"/>
      <c r="J29" s="35">
        <f t="shared" si="0"/>
        <v>0</v>
      </c>
      <c r="L29" s="15"/>
      <c r="M29" s="113" t="str">
        <f t="shared" si="1"/>
        <v>-</v>
      </c>
      <c r="N29" s="113" t="str">
        <f t="shared" si="4"/>
        <v>-</v>
      </c>
      <c r="O29" s="114" t="str">
        <f t="shared" si="5"/>
        <v>-</v>
      </c>
      <c r="P29" s="115" t="str">
        <f t="shared" si="2"/>
        <v>-</v>
      </c>
      <c r="Q29"/>
      <c r="R29" s="115" t="str">
        <f t="shared" si="3"/>
        <v>-</v>
      </c>
    </row>
    <row r="30" spans="1:18" s="2" customFormat="1" ht="15.9" customHeight="1">
      <c r="A30" s="58" t="s">
        <v>55</v>
      </c>
      <c r="B30" s="45" t="s">
        <v>54</v>
      </c>
      <c r="C30" s="67" t="s">
        <v>80</v>
      </c>
      <c r="D30" s="87"/>
      <c r="E30" s="95">
        <v>12</v>
      </c>
      <c r="F30" s="102">
        <v>0.56625000000000003</v>
      </c>
      <c r="G30" s="99">
        <v>32.214914999999998</v>
      </c>
      <c r="H30" s="31">
        <v>28.424925000000002</v>
      </c>
      <c r="I30" s="27"/>
      <c r="J30" s="35">
        <f t="shared" si="0"/>
        <v>0</v>
      </c>
      <c r="L30" s="15"/>
      <c r="M30" s="113" t="str">
        <f t="shared" si="1"/>
        <v>-</v>
      </c>
      <c r="N30" s="113" t="str">
        <f t="shared" si="4"/>
        <v>-</v>
      </c>
      <c r="O30" s="114" t="str">
        <f t="shared" si="5"/>
        <v>-</v>
      </c>
      <c r="P30" s="115" t="str">
        <f t="shared" si="2"/>
        <v>-</v>
      </c>
      <c r="Q30"/>
      <c r="R30" s="115" t="str">
        <f t="shared" si="3"/>
        <v>-</v>
      </c>
    </row>
    <row r="31" spans="1:18" s="3" customFormat="1" ht="15.9" customHeight="1">
      <c r="A31" s="58" t="s">
        <v>124</v>
      </c>
      <c r="B31" s="50" t="s">
        <v>142</v>
      </c>
      <c r="C31" s="72" t="s">
        <v>143</v>
      </c>
      <c r="D31" s="90"/>
      <c r="E31" s="95">
        <v>12</v>
      </c>
      <c r="F31" s="102">
        <v>0.56625000000000003</v>
      </c>
      <c r="G31" s="99">
        <v>24.774525000000001</v>
      </c>
      <c r="H31" s="31">
        <v>21.859875000000002</v>
      </c>
      <c r="I31" s="27"/>
      <c r="J31" s="35">
        <f t="shared" si="0"/>
        <v>0</v>
      </c>
      <c r="L31" s="15"/>
      <c r="M31" s="113" t="str">
        <f t="shared" si="1"/>
        <v>-</v>
      </c>
      <c r="N31" s="113" t="str">
        <f t="shared" si="4"/>
        <v>-</v>
      </c>
      <c r="O31" s="114" t="str">
        <f t="shared" si="5"/>
        <v>-</v>
      </c>
      <c r="P31" s="115" t="str">
        <f t="shared" si="2"/>
        <v>-</v>
      </c>
      <c r="Q31"/>
      <c r="R31" s="115" t="str">
        <f t="shared" si="3"/>
        <v>-</v>
      </c>
    </row>
    <row r="32" spans="1:18" s="2" customFormat="1" ht="15.9" customHeight="1">
      <c r="A32" s="58" t="s">
        <v>60</v>
      </c>
      <c r="B32" s="45" t="s">
        <v>58</v>
      </c>
      <c r="C32" s="67" t="s">
        <v>59</v>
      </c>
      <c r="D32" s="87"/>
      <c r="E32" s="95">
        <v>12</v>
      </c>
      <c r="F32" s="102">
        <v>0.56625000000000003</v>
      </c>
      <c r="G32" s="99">
        <v>21.474315000000001</v>
      </c>
      <c r="H32" s="31">
        <v>18.947924999999998</v>
      </c>
      <c r="I32" s="27"/>
      <c r="J32" s="35">
        <f t="shared" si="0"/>
        <v>0</v>
      </c>
      <c r="L32" s="15"/>
      <c r="M32" s="113" t="str">
        <f t="shared" si="1"/>
        <v>-</v>
      </c>
      <c r="N32" s="113" t="str">
        <f t="shared" si="4"/>
        <v>-</v>
      </c>
      <c r="O32" s="114" t="str">
        <f t="shared" si="5"/>
        <v>-</v>
      </c>
      <c r="P32" s="115" t="str">
        <f t="shared" si="2"/>
        <v>-</v>
      </c>
      <c r="Q32"/>
      <c r="R32" s="115" t="str">
        <f t="shared" si="3"/>
        <v>-</v>
      </c>
    </row>
    <row r="33" spans="1:18" s="2" customFormat="1" ht="15.9" customHeight="1">
      <c r="A33" s="58" t="s">
        <v>62</v>
      </c>
      <c r="B33" s="44" t="s">
        <v>61</v>
      </c>
      <c r="C33" s="66" t="s">
        <v>114</v>
      </c>
      <c r="D33" s="90"/>
      <c r="E33" s="95">
        <v>12</v>
      </c>
      <c r="F33" s="102">
        <v>0.56625000000000003</v>
      </c>
      <c r="G33" s="99">
        <v>12.868065000000001</v>
      </c>
      <c r="H33" s="31">
        <v>11.354175000000001</v>
      </c>
      <c r="I33" s="27"/>
      <c r="J33" s="35">
        <f t="shared" si="0"/>
        <v>0</v>
      </c>
      <c r="L33" s="15"/>
      <c r="M33" s="113" t="str">
        <f t="shared" si="1"/>
        <v>-</v>
      </c>
      <c r="N33" s="113" t="str">
        <f t="shared" si="4"/>
        <v>-</v>
      </c>
      <c r="O33" s="114" t="str">
        <f t="shared" si="5"/>
        <v>-</v>
      </c>
      <c r="P33" s="115" t="str">
        <f t="shared" si="2"/>
        <v>-</v>
      </c>
      <c r="Q33"/>
      <c r="R33" s="115" t="str">
        <f t="shared" si="3"/>
        <v>-</v>
      </c>
    </row>
    <row r="34" spans="1:18" s="2" customFormat="1" ht="15.9" customHeight="1">
      <c r="A34" s="58" t="s">
        <v>64</v>
      </c>
      <c r="B34" s="46" t="s">
        <v>63</v>
      </c>
      <c r="C34" s="68" t="s">
        <v>98</v>
      </c>
      <c r="D34" s="90"/>
      <c r="E34" s="95">
        <v>12</v>
      </c>
      <c r="F34" s="102">
        <v>0.56625000000000003</v>
      </c>
      <c r="G34" s="99">
        <v>12.730365000000001</v>
      </c>
      <c r="H34" s="31">
        <v>11.232675</v>
      </c>
      <c r="I34" s="27"/>
      <c r="J34" s="35">
        <f t="shared" si="0"/>
        <v>0</v>
      </c>
      <c r="L34" s="15"/>
      <c r="M34" s="113" t="str">
        <f t="shared" si="1"/>
        <v>-</v>
      </c>
      <c r="N34" s="113" t="str">
        <f t="shared" si="4"/>
        <v>-</v>
      </c>
      <c r="O34" s="114" t="str">
        <f t="shared" si="5"/>
        <v>-</v>
      </c>
      <c r="P34" s="115" t="str">
        <f t="shared" si="2"/>
        <v>-</v>
      </c>
      <c r="Q34"/>
      <c r="R34" s="115" t="str">
        <f t="shared" si="3"/>
        <v>-</v>
      </c>
    </row>
    <row r="35" spans="1:18" s="3" customFormat="1" ht="15.9" customHeight="1">
      <c r="A35" s="62"/>
      <c r="B35" s="51" t="s">
        <v>92</v>
      </c>
      <c r="C35" s="73"/>
      <c r="D35" s="89"/>
      <c r="E35" s="95"/>
      <c r="F35" s="102"/>
      <c r="G35" s="99"/>
      <c r="H35" s="31"/>
      <c r="I35" s="27"/>
      <c r="J35" s="35">
        <f t="shared" si="0"/>
        <v>0</v>
      </c>
      <c r="L35" s="15"/>
      <c r="M35" s="113" t="str">
        <f t="shared" si="1"/>
        <v>-</v>
      </c>
      <c r="N35" s="113" t="str">
        <f t="shared" si="4"/>
        <v>-</v>
      </c>
      <c r="O35" s="114" t="str">
        <f t="shared" si="5"/>
        <v>-</v>
      </c>
      <c r="P35" s="115" t="str">
        <f t="shared" si="2"/>
        <v>-</v>
      </c>
      <c r="Q35"/>
      <c r="R35" s="115" t="str">
        <f t="shared" si="3"/>
        <v>-</v>
      </c>
    </row>
    <row r="36" spans="1:18" s="3" customFormat="1" ht="15.15" customHeight="1">
      <c r="A36" s="58" t="s">
        <v>66</v>
      </c>
      <c r="B36" s="52" t="s">
        <v>65</v>
      </c>
      <c r="C36" s="74" t="s">
        <v>99</v>
      </c>
      <c r="D36" s="86"/>
      <c r="E36" s="95">
        <v>12</v>
      </c>
      <c r="F36" s="102">
        <v>1.1098500000000002</v>
      </c>
      <c r="G36" s="99">
        <v>31.526415</v>
      </c>
      <c r="H36" s="31">
        <v>27.817425</v>
      </c>
      <c r="I36" s="27"/>
      <c r="J36" s="35">
        <f t="shared" ref="J36:J59" si="6">IF(I36&lt;143,I36*G36,I36*H36)</f>
        <v>0</v>
      </c>
      <c r="L36" s="15"/>
      <c r="M36" s="113" t="str">
        <f t="shared" si="1"/>
        <v>-</v>
      </c>
      <c r="N36" s="113" t="str">
        <f t="shared" si="4"/>
        <v>-</v>
      </c>
      <c r="O36" s="114" t="str">
        <f t="shared" si="5"/>
        <v>-</v>
      </c>
      <c r="P36" s="115" t="str">
        <f t="shared" si="2"/>
        <v>-</v>
      </c>
      <c r="Q36"/>
      <c r="R36" s="115" t="str">
        <f t="shared" si="3"/>
        <v>-</v>
      </c>
    </row>
    <row r="37" spans="1:18" s="3" customFormat="1" ht="15.9" customHeight="1">
      <c r="A37" s="75" t="s">
        <v>69</v>
      </c>
      <c r="B37" s="52" t="s">
        <v>67</v>
      </c>
      <c r="C37" s="74" t="s">
        <v>68</v>
      </c>
      <c r="D37" s="86"/>
      <c r="E37" s="95">
        <v>12</v>
      </c>
      <c r="F37" s="102">
        <v>1.1098500000000002</v>
      </c>
      <c r="G37" s="99">
        <v>21.887415000000001</v>
      </c>
      <c r="H37" s="31">
        <v>19.312425000000001</v>
      </c>
      <c r="I37" s="27"/>
      <c r="J37" s="35">
        <f t="shared" si="6"/>
        <v>0</v>
      </c>
      <c r="L37" s="15"/>
      <c r="M37" s="113" t="str">
        <f t="shared" si="1"/>
        <v>-</v>
      </c>
      <c r="N37" s="113" t="str">
        <f t="shared" si="4"/>
        <v>-</v>
      </c>
      <c r="O37" s="114" t="str">
        <f t="shared" si="5"/>
        <v>-</v>
      </c>
      <c r="P37" s="115" t="str">
        <f t="shared" si="2"/>
        <v>-</v>
      </c>
      <c r="Q37"/>
      <c r="R37" s="115" t="str">
        <f t="shared" si="3"/>
        <v>-</v>
      </c>
    </row>
    <row r="38" spans="1:18" s="3" customFormat="1" ht="15.9" customHeight="1">
      <c r="A38" s="75" t="s">
        <v>122</v>
      </c>
      <c r="B38" s="50" t="s">
        <v>126</v>
      </c>
      <c r="C38" s="66" t="s">
        <v>144</v>
      </c>
      <c r="D38" s="90"/>
      <c r="E38" s="95">
        <v>12</v>
      </c>
      <c r="F38" s="102">
        <v>1.1098500000000002</v>
      </c>
      <c r="G38" s="99">
        <v>29.598614999999999</v>
      </c>
      <c r="H38" s="31">
        <v>26.116425</v>
      </c>
      <c r="I38" s="27"/>
      <c r="J38" s="35">
        <f t="shared" si="6"/>
        <v>0</v>
      </c>
      <c r="L38" s="15"/>
      <c r="M38" s="113" t="str">
        <f t="shared" si="1"/>
        <v>-</v>
      </c>
      <c r="N38" s="113" t="str">
        <f t="shared" si="4"/>
        <v>-</v>
      </c>
      <c r="O38" s="114" t="str">
        <f t="shared" si="5"/>
        <v>-</v>
      </c>
      <c r="P38" s="115" t="str">
        <f t="shared" si="2"/>
        <v>-</v>
      </c>
      <c r="Q38"/>
      <c r="R38" s="115" t="str">
        <f t="shared" si="3"/>
        <v>-</v>
      </c>
    </row>
    <row r="39" spans="1:18" s="3" customFormat="1" ht="15.9" customHeight="1">
      <c r="A39" s="75" t="s">
        <v>71</v>
      </c>
      <c r="B39" s="49" t="s">
        <v>70</v>
      </c>
      <c r="C39" s="71" t="s">
        <v>118</v>
      </c>
      <c r="D39" s="90"/>
      <c r="E39" s="95">
        <v>12</v>
      </c>
      <c r="F39" s="102">
        <v>1.1098500000000002</v>
      </c>
      <c r="G39" s="99">
        <v>23.608664999999998</v>
      </c>
      <c r="H39" s="31">
        <v>20.831174999999998</v>
      </c>
      <c r="I39" s="27"/>
      <c r="J39" s="35">
        <f t="shared" si="6"/>
        <v>0</v>
      </c>
      <c r="L39" s="15"/>
      <c r="M39" s="113" t="str">
        <f t="shared" si="1"/>
        <v>-</v>
      </c>
      <c r="N39" s="113" t="str">
        <f t="shared" si="4"/>
        <v>-</v>
      </c>
      <c r="O39" s="114" t="str">
        <f t="shared" si="5"/>
        <v>-</v>
      </c>
      <c r="P39" s="115" t="str">
        <f t="shared" si="2"/>
        <v>-</v>
      </c>
      <c r="Q39"/>
      <c r="R39" s="115" t="str">
        <f t="shared" si="3"/>
        <v>-</v>
      </c>
    </row>
    <row r="40" spans="1:18" s="3" customFormat="1" ht="15.9" customHeight="1">
      <c r="A40" s="75" t="s">
        <v>78</v>
      </c>
      <c r="B40" s="50" t="s">
        <v>72</v>
      </c>
      <c r="C40" s="76" t="s">
        <v>73</v>
      </c>
      <c r="D40" s="90"/>
      <c r="E40" s="95">
        <v>12</v>
      </c>
      <c r="F40" s="102">
        <v>1.1098500000000002</v>
      </c>
      <c r="G40" s="99">
        <v>21.887415000000001</v>
      </c>
      <c r="H40" s="31">
        <v>19.312425000000001</v>
      </c>
      <c r="I40" s="27"/>
      <c r="J40" s="35">
        <f t="shared" si="6"/>
        <v>0</v>
      </c>
      <c r="L40" s="15"/>
      <c r="M40" s="113" t="str">
        <f t="shared" si="1"/>
        <v>-</v>
      </c>
      <c r="N40" s="113" t="str">
        <f t="shared" si="4"/>
        <v>-</v>
      </c>
      <c r="O40" s="114" t="str">
        <f t="shared" si="5"/>
        <v>-</v>
      </c>
      <c r="P40" s="115" t="str">
        <f t="shared" si="2"/>
        <v>-</v>
      </c>
      <c r="Q40"/>
      <c r="R40" s="115" t="str">
        <f t="shared" si="3"/>
        <v>-</v>
      </c>
    </row>
    <row r="41" spans="1:18" s="3" customFormat="1" ht="15.9" customHeight="1">
      <c r="A41" s="75" t="s">
        <v>123</v>
      </c>
      <c r="B41" s="50" t="s">
        <v>125</v>
      </c>
      <c r="C41" s="66" t="s">
        <v>145</v>
      </c>
      <c r="D41" s="90"/>
      <c r="E41" s="95">
        <v>12</v>
      </c>
      <c r="F41" s="102">
        <v>1.1098500000000002</v>
      </c>
      <c r="G41" s="99">
        <v>29.598614999999999</v>
      </c>
      <c r="H41" s="31">
        <v>26.116425</v>
      </c>
      <c r="I41" s="27"/>
      <c r="J41" s="35">
        <f t="shared" si="6"/>
        <v>0</v>
      </c>
      <c r="L41" s="15"/>
      <c r="M41" s="113" t="str">
        <f t="shared" si="1"/>
        <v>-</v>
      </c>
      <c r="N41" s="113" t="str">
        <f t="shared" si="4"/>
        <v>-</v>
      </c>
      <c r="O41" s="114" t="str">
        <f t="shared" si="5"/>
        <v>-</v>
      </c>
      <c r="P41" s="115" t="str">
        <f t="shared" si="2"/>
        <v>-</v>
      </c>
      <c r="Q41"/>
      <c r="R41" s="115" t="str">
        <f t="shared" si="3"/>
        <v>-</v>
      </c>
    </row>
    <row r="42" spans="1:18" s="3" customFormat="1" ht="15.9" customHeight="1">
      <c r="A42" s="75" t="s">
        <v>75</v>
      </c>
      <c r="B42" s="43" t="s">
        <v>74</v>
      </c>
      <c r="C42" s="77" t="s">
        <v>82</v>
      </c>
      <c r="D42" s="86"/>
      <c r="E42" s="95">
        <v>12</v>
      </c>
      <c r="F42" s="102">
        <v>1.1098500000000002</v>
      </c>
      <c r="G42" s="99">
        <v>31.526415</v>
      </c>
      <c r="H42" s="31">
        <v>27.817425</v>
      </c>
      <c r="I42" s="27"/>
      <c r="J42" s="35">
        <f t="shared" si="6"/>
        <v>0</v>
      </c>
      <c r="L42" s="15"/>
      <c r="M42" s="113" t="str">
        <f t="shared" si="1"/>
        <v>-</v>
      </c>
      <c r="N42" s="113" t="str">
        <f t="shared" si="4"/>
        <v>-</v>
      </c>
      <c r="O42" s="114" t="str">
        <f t="shared" si="5"/>
        <v>-</v>
      </c>
      <c r="P42" s="115" t="str">
        <f t="shared" si="2"/>
        <v>-</v>
      </c>
      <c r="Q42"/>
      <c r="R42" s="115" t="str">
        <f t="shared" si="3"/>
        <v>-</v>
      </c>
    </row>
    <row r="43" spans="1:18" s="3" customFormat="1" ht="15.9" customHeight="1">
      <c r="A43" s="62"/>
      <c r="B43" s="51" t="s">
        <v>91</v>
      </c>
      <c r="C43" s="73"/>
      <c r="D43" s="89"/>
      <c r="E43" s="95"/>
      <c r="F43" s="102"/>
      <c r="G43" s="99"/>
      <c r="H43" s="31"/>
      <c r="I43" s="27"/>
      <c r="J43" s="35">
        <f t="shared" si="6"/>
        <v>0</v>
      </c>
      <c r="L43" s="15"/>
      <c r="M43" s="113" t="str">
        <f t="shared" si="1"/>
        <v>-</v>
      </c>
      <c r="N43" s="113" t="str">
        <f t="shared" si="4"/>
        <v>-</v>
      </c>
      <c r="O43" s="114" t="str">
        <f t="shared" si="5"/>
        <v>-</v>
      </c>
      <c r="P43" s="115" t="str">
        <f t="shared" si="2"/>
        <v>-</v>
      </c>
      <c r="Q43"/>
      <c r="R43" s="115" t="str">
        <f t="shared" si="3"/>
        <v>-</v>
      </c>
    </row>
    <row r="44" spans="1:18" s="3" customFormat="1" ht="15.15" customHeight="1">
      <c r="A44" s="75" t="s">
        <v>77</v>
      </c>
      <c r="B44" s="53" t="s">
        <v>89</v>
      </c>
      <c r="C44" s="78" t="s">
        <v>76</v>
      </c>
      <c r="D44" s="91"/>
      <c r="E44" s="95">
        <v>12</v>
      </c>
      <c r="F44" s="102">
        <v>0.45300000000000001</v>
      </c>
      <c r="G44" s="99">
        <v>18.582614999999997</v>
      </c>
      <c r="H44" s="31">
        <v>16.396425000000001</v>
      </c>
      <c r="I44" s="27"/>
      <c r="J44" s="35">
        <f t="shared" si="6"/>
        <v>0</v>
      </c>
      <c r="L44" s="15"/>
      <c r="M44" s="113" t="str">
        <f t="shared" si="1"/>
        <v>-</v>
      </c>
      <c r="N44" s="113" t="str">
        <f t="shared" si="4"/>
        <v>-</v>
      </c>
      <c r="O44" s="114" t="str">
        <f t="shared" si="5"/>
        <v>-</v>
      </c>
      <c r="P44" s="115" t="str">
        <f t="shared" si="2"/>
        <v>-</v>
      </c>
      <c r="Q44"/>
      <c r="R44" s="115" t="str">
        <f t="shared" si="3"/>
        <v>-</v>
      </c>
    </row>
    <row r="45" spans="1:18" s="3" customFormat="1" ht="15.9" customHeight="1">
      <c r="A45" s="62"/>
      <c r="B45" s="51" t="s">
        <v>90</v>
      </c>
      <c r="C45" s="73"/>
      <c r="D45" s="89"/>
      <c r="E45" s="95"/>
      <c r="F45" s="102"/>
      <c r="G45" s="99"/>
      <c r="H45" s="31"/>
      <c r="I45" s="27"/>
      <c r="J45" s="35">
        <f t="shared" si="6"/>
        <v>0</v>
      </c>
      <c r="L45" s="15"/>
      <c r="M45" s="113" t="str">
        <f t="shared" si="1"/>
        <v>-</v>
      </c>
      <c r="N45" s="113" t="str">
        <f t="shared" si="4"/>
        <v>-</v>
      </c>
      <c r="O45" s="114" t="str">
        <f t="shared" si="5"/>
        <v>-</v>
      </c>
      <c r="P45" s="115" t="str">
        <f t="shared" si="2"/>
        <v>-</v>
      </c>
      <c r="Q45"/>
      <c r="R45" s="115" t="str">
        <f t="shared" si="3"/>
        <v>-</v>
      </c>
    </row>
    <row r="46" spans="1:18" s="3" customFormat="1" ht="15.9" customHeight="1">
      <c r="A46" s="75" t="s">
        <v>84</v>
      </c>
      <c r="B46" s="45" t="s">
        <v>100</v>
      </c>
      <c r="C46" s="78" t="s">
        <v>106</v>
      </c>
      <c r="D46" s="91"/>
      <c r="E46" s="95">
        <v>12</v>
      </c>
      <c r="F46" s="102">
        <v>0.11325</v>
      </c>
      <c r="G46" s="99">
        <v>13.758525000000002</v>
      </c>
      <c r="H46" s="31">
        <v>12.139875000000002</v>
      </c>
      <c r="I46" s="27"/>
      <c r="J46" s="35">
        <f t="shared" si="6"/>
        <v>0</v>
      </c>
      <c r="L46" s="15"/>
      <c r="M46" s="113" t="str">
        <f t="shared" si="1"/>
        <v>-</v>
      </c>
      <c r="N46" s="113" t="str">
        <f t="shared" si="4"/>
        <v>-</v>
      </c>
      <c r="O46" s="114" t="str">
        <f t="shared" si="5"/>
        <v>-</v>
      </c>
      <c r="P46" s="115" t="str">
        <f t="shared" si="2"/>
        <v>-</v>
      </c>
      <c r="Q46"/>
      <c r="R46" s="115" t="str">
        <f t="shared" si="3"/>
        <v>-</v>
      </c>
    </row>
    <row r="47" spans="1:18" s="3" customFormat="1" ht="15.9" customHeight="1">
      <c r="A47" s="75" t="s">
        <v>163</v>
      </c>
      <c r="B47" s="44" t="s">
        <v>146</v>
      </c>
      <c r="C47" s="72" t="s">
        <v>147</v>
      </c>
      <c r="D47" s="90"/>
      <c r="E47" s="95">
        <v>12</v>
      </c>
      <c r="F47" s="102">
        <v>0.11325</v>
      </c>
      <c r="G47" s="99">
        <v>14.102774999999999</v>
      </c>
      <c r="H47" s="31">
        <v>12.443625000000001</v>
      </c>
      <c r="I47" s="27"/>
      <c r="J47" s="35">
        <f t="shared" si="6"/>
        <v>0</v>
      </c>
      <c r="L47" s="15"/>
      <c r="M47" s="113" t="str">
        <f t="shared" si="1"/>
        <v>-</v>
      </c>
      <c r="N47" s="113" t="str">
        <f t="shared" si="4"/>
        <v>-</v>
      </c>
      <c r="O47" s="114" t="str">
        <f t="shared" si="5"/>
        <v>-</v>
      </c>
      <c r="P47" s="115" t="str">
        <f t="shared" si="2"/>
        <v>-</v>
      </c>
      <c r="Q47"/>
      <c r="R47" s="115" t="str">
        <f t="shared" si="3"/>
        <v>-</v>
      </c>
    </row>
    <row r="48" spans="1:18" s="3" customFormat="1" ht="15.9" customHeight="1">
      <c r="A48" s="75" t="s">
        <v>164</v>
      </c>
      <c r="B48" s="44" t="s">
        <v>148</v>
      </c>
      <c r="C48" s="72" t="s">
        <v>149</v>
      </c>
      <c r="D48" s="90"/>
      <c r="E48" s="95">
        <v>12</v>
      </c>
      <c r="F48" s="102">
        <v>0.11325</v>
      </c>
      <c r="G48" s="99">
        <v>13.758525000000002</v>
      </c>
      <c r="H48" s="31">
        <v>12.139875000000002</v>
      </c>
      <c r="I48" s="27"/>
      <c r="J48" s="35">
        <f t="shared" si="6"/>
        <v>0</v>
      </c>
      <c r="L48" s="15"/>
      <c r="M48" s="113" t="str">
        <f t="shared" si="1"/>
        <v>-</v>
      </c>
      <c r="N48" s="113" t="str">
        <f t="shared" si="4"/>
        <v>-</v>
      </c>
      <c r="O48" s="114" t="str">
        <f t="shared" si="5"/>
        <v>-</v>
      </c>
      <c r="P48" s="115" t="str">
        <f t="shared" si="2"/>
        <v>-</v>
      </c>
      <c r="Q48"/>
      <c r="R48" s="115" t="str">
        <f t="shared" si="3"/>
        <v>-</v>
      </c>
    </row>
    <row r="49" spans="1:18" s="3" customFormat="1" ht="15.9" customHeight="1">
      <c r="A49" s="75" t="s">
        <v>165</v>
      </c>
      <c r="B49" s="44" t="s">
        <v>150</v>
      </c>
      <c r="C49" s="72" t="s">
        <v>151</v>
      </c>
      <c r="D49" s="90"/>
      <c r="E49" s="95">
        <v>12</v>
      </c>
      <c r="F49" s="102">
        <v>0.11325</v>
      </c>
      <c r="G49" s="99">
        <v>16.168274999999998</v>
      </c>
      <c r="H49" s="31">
        <v>14.266124999999999</v>
      </c>
      <c r="I49" s="27"/>
      <c r="J49" s="35">
        <f t="shared" si="6"/>
        <v>0</v>
      </c>
      <c r="L49" s="15"/>
      <c r="M49" s="113" t="str">
        <f t="shared" si="1"/>
        <v>-</v>
      </c>
      <c r="N49" s="113" t="str">
        <f t="shared" si="4"/>
        <v>-</v>
      </c>
      <c r="O49" s="114" t="str">
        <f t="shared" si="5"/>
        <v>-</v>
      </c>
      <c r="P49" s="115" t="str">
        <f t="shared" si="2"/>
        <v>-</v>
      </c>
      <c r="Q49"/>
      <c r="R49" s="115" t="str">
        <f t="shared" si="3"/>
        <v>-</v>
      </c>
    </row>
    <row r="50" spans="1:18" s="3" customFormat="1" ht="15.9" customHeight="1">
      <c r="A50" s="75" t="s">
        <v>116</v>
      </c>
      <c r="B50" s="44" t="s">
        <v>117</v>
      </c>
      <c r="C50" s="72" t="s">
        <v>152</v>
      </c>
      <c r="D50" s="90"/>
      <c r="E50" s="95">
        <v>12</v>
      </c>
      <c r="F50" s="102">
        <v>0.11325</v>
      </c>
      <c r="G50" s="99">
        <v>17.201025000000001</v>
      </c>
      <c r="H50" s="31">
        <v>15.177375000000001</v>
      </c>
      <c r="I50" s="27"/>
      <c r="J50" s="35">
        <f t="shared" si="6"/>
        <v>0</v>
      </c>
      <c r="L50" s="15"/>
      <c r="M50" s="113" t="str">
        <f t="shared" si="1"/>
        <v>-</v>
      </c>
      <c r="N50" s="113" t="str">
        <f t="shared" si="4"/>
        <v>-</v>
      </c>
      <c r="O50" s="114" t="str">
        <f t="shared" si="5"/>
        <v>-</v>
      </c>
      <c r="P50" s="115" t="str">
        <f t="shared" si="2"/>
        <v>-</v>
      </c>
      <c r="Q50"/>
      <c r="R50" s="115" t="str">
        <f t="shared" si="3"/>
        <v>-</v>
      </c>
    </row>
    <row r="51" spans="1:18" s="3" customFormat="1" ht="15.15" customHeight="1">
      <c r="A51" s="75" t="s">
        <v>85</v>
      </c>
      <c r="B51" s="45" t="s">
        <v>101</v>
      </c>
      <c r="C51" s="78" t="s">
        <v>111</v>
      </c>
      <c r="D51" s="91"/>
      <c r="E51" s="95">
        <v>12</v>
      </c>
      <c r="F51" s="102">
        <v>0.11325</v>
      </c>
      <c r="G51" s="99">
        <v>11.004524999999999</v>
      </c>
      <c r="H51" s="31">
        <v>9.7098750000000003</v>
      </c>
      <c r="I51" s="27"/>
      <c r="J51" s="35">
        <f t="shared" si="6"/>
        <v>0</v>
      </c>
      <c r="L51" s="15"/>
      <c r="M51" s="113" t="str">
        <f t="shared" si="1"/>
        <v>-</v>
      </c>
      <c r="N51" s="113" t="str">
        <f t="shared" si="4"/>
        <v>-</v>
      </c>
      <c r="O51" s="114" t="str">
        <f t="shared" si="5"/>
        <v>-</v>
      </c>
      <c r="P51" s="115" t="str">
        <f t="shared" si="2"/>
        <v>-</v>
      </c>
      <c r="Q51"/>
      <c r="R51" s="115" t="str">
        <f t="shared" si="3"/>
        <v>-</v>
      </c>
    </row>
    <row r="52" spans="1:18" s="3" customFormat="1" ht="15.9" customHeight="1">
      <c r="A52" s="75" t="s">
        <v>83</v>
      </c>
      <c r="B52" s="45" t="s">
        <v>102</v>
      </c>
      <c r="C52" s="78" t="s">
        <v>107</v>
      </c>
      <c r="D52" s="91"/>
      <c r="E52" s="95">
        <v>12</v>
      </c>
      <c r="F52" s="102">
        <v>0.11325</v>
      </c>
      <c r="G52" s="99">
        <v>17.201025000000001</v>
      </c>
      <c r="H52" s="31">
        <v>15.177375000000001</v>
      </c>
      <c r="I52" s="27"/>
      <c r="J52" s="35">
        <f t="shared" si="6"/>
        <v>0</v>
      </c>
      <c r="L52" s="15"/>
      <c r="M52" s="113" t="str">
        <f t="shared" si="1"/>
        <v>-</v>
      </c>
      <c r="N52" s="113" t="str">
        <f t="shared" si="4"/>
        <v>-</v>
      </c>
      <c r="O52" s="114" t="str">
        <f t="shared" si="5"/>
        <v>-</v>
      </c>
      <c r="P52" s="115" t="str">
        <f t="shared" si="2"/>
        <v>-</v>
      </c>
      <c r="Q52"/>
      <c r="R52" s="115" t="str">
        <f t="shared" si="3"/>
        <v>-</v>
      </c>
    </row>
    <row r="53" spans="1:18" s="3" customFormat="1" ht="15.9" customHeight="1">
      <c r="A53" s="75" t="s">
        <v>86</v>
      </c>
      <c r="B53" s="45" t="s">
        <v>103</v>
      </c>
      <c r="C53" s="78" t="s">
        <v>108</v>
      </c>
      <c r="D53" s="91"/>
      <c r="E53" s="95">
        <v>12</v>
      </c>
      <c r="F53" s="102">
        <v>0.11325</v>
      </c>
      <c r="G53" s="99">
        <v>13.758525000000002</v>
      </c>
      <c r="H53" s="31">
        <v>12.139875000000002</v>
      </c>
      <c r="I53" s="27"/>
      <c r="J53" s="35">
        <f t="shared" si="6"/>
        <v>0</v>
      </c>
      <c r="L53" s="15"/>
      <c r="M53" s="113" t="str">
        <f t="shared" si="1"/>
        <v>-</v>
      </c>
      <c r="N53" s="113" t="str">
        <f t="shared" si="4"/>
        <v>-</v>
      </c>
      <c r="O53" s="114" t="str">
        <f t="shared" si="5"/>
        <v>-</v>
      </c>
      <c r="P53" s="115" t="str">
        <f t="shared" si="2"/>
        <v>-</v>
      </c>
      <c r="Q53"/>
      <c r="R53" s="115" t="str">
        <f t="shared" si="3"/>
        <v>-</v>
      </c>
    </row>
    <row r="54" spans="1:18" s="3" customFormat="1" ht="15.9" customHeight="1">
      <c r="A54" s="75" t="s">
        <v>166</v>
      </c>
      <c r="B54" s="54" t="s">
        <v>153</v>
      </c>
      <c r="C54" s="79" t="s">
        <v>154</v>
      </c>
      <c r="D54" s="92"/>
      <c r="E54" s="95">
        <v>12</v>
      </c>
      <c r="F54" s="102">
        <v>0.11325</v>
      </c>
      <c r="G54" s="99">
        <v>16.512525</v>
      </c>
      <c r="H54" s="31">
        <v>14.569875</v>
      </c>
      <c r="I54" s="27"/>
      <c r="J54" s="35">
        <f t="shared" si="6"/>
        <v>0</v>
      </c>
      <c r="L54" s="15"/>
      <c r="M54" s="113" t="str">
        <f t="shared" si="1"/>
        <v>-</v>
      </c>
      <c r="N54" s="113" t="str">
        <f t="shared" si="4"/>
        <v>-</v>
      </c>
      <c r="O54" s="114" t="str">
        <f t="shared" si="5"/>
        <v>-</v>
      </c>
      <c r="P54" s="115" t="str">
        <f t="shared" si="2"/>
        <v>-</v>
      </c>
      <c r="Q54"/>
      <c r="R54" s="115" t="str">
        <f t="shared" si="3"/>
        <v>-</v>
      </c>
    </row>
    <row r="55" spans="1:18" s="3" customFormat="1" ht="15.9" customHeight="1">
      <c r="A55" s="75" t="s">
        <v>87</v>
      </c>
      <c r="B55" s="45" t="s">
        <v>104</v>
      </c>
      <c r="C55" s="78" t="s">
        <v>109</v>
      </c>
      <c r="D55" s="91"/>
      <c r="E55" s="95">
        <v>12</v>
      </c>
      <c r="F55" s="102">
        <v>0.11325</v>
      </c>
      <c r="G55" s="99">
        <v>14.447025</v>
      </c>
      <c r="H55" s="31">
        <v>12.747375000000002</v>
      </c>
      <c r="I55" s="27"/>
      <c r="J55" s="35">
        <f t="shared" si="6"/>
        <v>0</v>
      </c>
      <c r="L55" s="15"/>
      <c r="M55" s="113" t="str">
        <f t="shared" si="1"/>
        <v>-</v>
      </c>
      <c r="N55" s="113" t="str">
        <f t="shared" si="4"/>
        <v>-</v>
      </c>
      <c r="O55" s="114" t="str">
        <f t="shared" si="5"/>
        <v>-</v>
      </c>
      <c r="P55" s="115" t="str">
        <f t="shared" si="2"/>
        <v>-</v>
      </c>
      <c r="Q55"/>
      <c r="R55" s="115" t="str">
        <f t="shared" si="3"/>
        <v>-</v>
      </c>
    </row>
    <row r="56" spans="1:18" s="3" customFormat="1" ht="15.9" customHeight="1">
      <c r="A56" s="75" t="s">
        <v>167</v>
      </c>
      <c r="B56" s="54" t="s">
        <v>155</v>
      </c>
      <c r="C56" s="80" t="s">
        <v>156</v>
      </c>
      <c r="D56" s="92"/>
      <c r="E56" s="95">
        <v>12</v>
      </c>
      <c r="F56" s="102">
        <v>0.11325</v>
      </c>
      <c r="G56" s="99">
        <v>22.709025</v>
      </c>
      <c r="H56" s="31">
        <v>20.037375000000001</v>
      </c>
      <c r="I56" s="27"/>
      <c r="J56" s="35">
        <f t="shared" si="6"/>
        <v>0</v>
      </c>
      <c r="L56" s="15"/>
      <c r="M56" s="113" t="str">
        <f t="shared" si="1"/>
        <v>-</v>
      </c>
      <c r="N56" s="113" t="str">
        <f t="shared" si="4"/>
        <v>-</v>
      </c>
      <c r="O56" s="114" t="str">
        <f t="shared" si="5"/>
        <v>-</v>
      </c>
      <c r="P56" s="115" t="str">
        <f t="shared" si="2"/>
        <v>-</v>
      </c>
      <c r="Q56"/>
      <c r="R56" s="115" t="str">
        <f t="shared" si="3"/>
        <v>-</v>
      </c>
    </row>
    <row r="57" spans="1:18" s="3" customFormat="1" ht="15.9" customHeight="1">
      <c r="A57" s="75" t="s">
        <v>168</v>
      </c>
      <c r="B57" s="44" t="s">
        <v>157</v>
      </c>
      <c r="C57" s="72" t="s">
        <v>158</v>
      </c>
      <c r="D57" s="90"/>
      <c r="E57" s="95">
        <v>12</v>
      </c>
      <c r="F57" s="102">
        <v>0.11325</v>
      </c>
      <c r="G57" s="99">
        <v>18.096074999999999</v>
      </c>
      <c r="H57" s="31">
        <v>15.967124999999999</v>
      </c>
      <c r="I57" s="27"/>
      <c r="J57" s="35">
        <f t="shared" si="6"/>
        <v>0</v>
      </c>
      <c r="L57" s="15"/>
      <c r="M57" s="113" t="str">
        <f t="shared" si="1"/>
        <v>-</v>
      </c>
      <c r="N57" s="113" t="str">
        <f t="shared" si="4"/>
        <v>-</v>
      </c>
      <c r="O57" s="114" t="str">
        <f t="shared" si="5"/>
        <v>-</v>
      </c>
      <c r="P57" s="115" t="str">
        <f t="shared" si="2"/>
        <v>-</v>
      </c>
      <c r="Q57"/>
      <c r="R57" s="115" t="str">
        <f t="shared" si="3"/>
        <v>-</v>
      </c>
    </row>
    <row r="58" spans="1:18" s="3" customFormat="1" ht="15.9" customHeight="1">
      <c r="A58" s="75" t="s">
        <v>169</v>
      </c>
      <c r="B58" s="44" t="s">
        <v>159</v>
      </c>
      <c r="C58" s="72" t="s">
        <v>160</v>
      </c>
      <c r="D58" s="90"/>
      <c r="E58" s="95">
        <v>12</v>
      </c>
      <c r="F58" s="102">
        <v>0.11325</v>
      </c>
      <c r="G58" s="99">
        <v>16.168274999999998</v>
      </c>
      <c r="H58" s="31">
        <v>14.266124999999999</v>
      </c>
      <c r="I58" s="27"/>
      <c r="J58" s="35">
        <f t="shared" si="6"/>
        <v>0</v>
      </c>
      <c r="L58" s="15"/>
      <c r="M58" s="113" t="str">
        <f t="shared" si="1"/>
        <v>-</v>
      </c>
      <c r="N58" s="113" t="str">
        <f t="shared" si="4"/>
        <v>-</v>
      </c>
      <c r="O58" s="114" t="str">
        <f t="shared" si="5"/>
        <v>-</v>
      </c>
      <c r="P58" s="115" t="str">
        <f t="shared" si="2"/>
        <v>-</v>
      </c>
      <c r="Q58"/>
      <c r="R58" s="115" t="str">
        <f t="shared" si="3"/>
        <v>-</v>
      </c>
    </row>
    <row r="59" spans="1:18" s="3" customFormat="1" ht="14.85" customHeight="1" thickBot="1">
      <c r="A59" s="81" t="s">
        <v>88</v>
      </c>
      <c r="B59" s="82" t="s">
        <v>105</v>
      </c>
      <c r="C59" s="83" t="s">
        <v>110</v>
      </c>
      <c r="D59" s="93"/>
      <c r="E59" s="96">
        <v>12</v>
      </c>
      <c r="F59" s="103">
        <v>0.11325</v>
      </c>
      <c r="G59" s="100">
        <v>11.348775000000002</v>
      </c>
      <c r="H59" s="32">
        <v>10.013625000000001</v>
      </c>
      <c r="I59" s="34"/>
      <c r="J59" s="36">
        <f t="shared" si="6"/>
        <v>0</v>
      </c>
      <c r="L59" s="15"/>
      <c r="M59" s="113" t="str">
        <f t="shared" ref="M59" si="7">IFERROR(IF($M$2*F59=0, "-", $M$2*F59), "-")</f>
        <v>-</v>
      </c>
      <c r="N59" s="113" t="str">
        <f t="shared" ref="N59" si="8">IF(I59&gt;0,H59+F59*I59/$O$2*$P$2/I59,"-")</f>
        <v>-</v>
      </c>
      <c r="O59" s="114" t="str">
        <f t="shared" si="5"/>
        <v>-</v>
      </c>
      <c r="P59" s="115" t="str">
        <f t="shared" ref="P59" si="9">IFERROR(IF($M$2&gt;0, $M$2*O59, "-"), "-")</f>
        <v>-</v>
      </c>
      <c r="Q59"/>
      <c r="R59" s="115" t="str">
        <f t="shared" ref="R59" si="10">IFERROR(IF(P59+J59=0, "-", IF(P59&gt;0, P59+J59, "-")), "-")</f>
        <v>-</v>
      </c>
    </row>
    <row r="60" spans="1:18" ht="14.4">
      <c r="M60" s="113"/>
      <c r="N60" s="113"/>
      <c r="O60" s="114"/>
      <c r="P60" s="115"/>
      <c r="R60" s="115"/>
    </row>
    <row r="61" spans="1:18" ht="14.4">
      <c r="M61" s="113"/>
      <c r="N61" s="113"/>
      <c r="O61" s="114"/>
      <c r="P61" s="115"/>
      <c r="R61" s="115"/>
    </row>
    <row r="62" spans="1:18" ht="14.4">
      <c r="M62" s="113"/>
      <c r="N62" s="113"/>
      <c r="O62" s="114"/>
      <c r="P62" s="115"/>
      <c r="R62" s="115"/>
    </row>
    <row r="63" spans="1:18" ht="14.4">
      <c r="M63" s="113"/>
      <c r="N63" s="113"/>
      <c r="O63" s="114"/>
      <c r="P63" s="115"/>
      <c r="R63" s="115"/>
    </row>
    <row r="64" spans="1:18" ht="14.4">
      <c r="M64" s="113"/>
      <c r="N64" s="113"/>
      <c r="O64" s="114"/>
      <c r="P64" s="115"/>
      <c r="R64" s="115"/>
    </row>
    <row r="65" spans="13:18" ht="14.4">
      <c r="M65" s="113"/>
      <c r="N65" s="113"/>
      <c r="O65" s="114"/>
      <c r="P65" s="115"/>
      <c r="R65" s="115"/>
    </row>
    <row r="66" spans="13:18" ht="14.4">
      <c r="M66" s="113"/>
      <c r="N66" s="113"/>
      <c r="O66" s="114"/>
      <c r="P66" s="115"/>
      <c r="R66" s="115"/>
    </row>
    <row r="67" spans="13:18" ht="14.4">
      <c r="M67" s="113"/>
      <c r="N67" s="113"/>
      <c r="O67" s="114"/>
      <c r="P67" s="115"/>
      <c r="R67" s="115"/>
    </row>
    <row r="68" spans="13:18" ht="14.4">
      <c r="M68" s="113"/>
      <c r="N68" s="113"/>
      <c r="O68" s="114"/>
      <c r="P68" s="115"/>
      <c r="R68" s="115"/>
    </row>
    <row r="69" spans="13:18" ht="14.4">
      <c r="M69" s="113"/>
      <c r="N69" s="113"/>
      <c r="O69" s="114"/>
      <c r="P69" s="115"/>
      <c r="R69" s="115"/>
    </row>
    <row r="70" spans="13:18" ht="14.4">
      <c r="M70" s="113"/>
      <c r="N70" s="113"/>
      <c r="O70" s="114"/>
      <c r="P70" s="115"/>
      <c r="R70" s="115"/>
    </row>
    <row r="71" spans="13:18" ht="14.4">
      <c r="M71" s="113"/>
      <c r="N71" s="113"/>
      <c r="O71" s="114"/>
      <c r="P71" s="115"/>
      <c r="R71" s="115"/>
    </row>
    <row r="72" spans="13:18" ht="14.4">
      <c r="M72" s="113"/>
      <c r="N72" s="113"/>
      <c r="O72" s="114"/>
      <c r="P72" s="115"/>
      <c r="R72" s="115"/>
    </row>
    <row r="73" spans="13:18" ht="14.4">
      <c r="M73" s="113"/>
      <c r="N73" s="113"/>
      <c r="O73" s="114"/>
      <c r="P73" s="115"/>
      <c r="R73" s="115"/>
    </row>
    <row r="74" spans="13:18" ht="14.4">
      <c r="M74" s="113"/>
      <c r="N74" s="113"/>
      <c r="O74" s="114"/>
      <c r="P74" s="115"/>
      <c r="R74" s="115"/>
    </row>
    <row r="75" spans="13:18" ht="14.4">
      <c r="M75" s="113"/>
      <c r="N75" s="113"/>
      <c r="O75" s="114"/>
      <c r="P75" s="115"/>
      <c r="R75" s="115"/>
    </row>
    <row r="76" spans="13:18" ht="14.4">
      <c r="M76" s="113"/>
      <c r="N76" s="113"/>
      <c r="O76" s="114"/>
      <c r="P76" s="115"/>
      <c r="R76" s="115"/>
    </row>
    <row r="77" spans="13:18" ht="14.4">
      <c r="M77" s="113"/>
      <c r="N77" s="113"/>
      <c r="O77" s="114"/>
      <c r="P77" s="115"/>
      <c r="R77" s="115"/>
    </row>
    <row r="78" spans="13:18" ht="14.4">
      <c r="M78" s="113"/>
      <c r="N78" s="113"/>
      <c r="O78" s="114"/>
      <c r="P78" s="115"/>
      <c r="R78" s="115"/>
    </row>
    <row r="79" spans="13:18" ht="14.4">
      <c r="M79" s="113"/>
      <c r="N79" s="113"/>
      <c r="O79" s="114"/>
      <c r="P79" s="115"/>
      <c r="R79" s="115"/>
    </row>
    <row r="80" spans="13:18" ht="14.4">
      <c r="M80" s="113"/>
      <c r="N80" s="113"/>
      <c r="O80" s="114"/>
      <c r="P80" s="115"/>
      <c r="R80" s="115"/>
    </row>
    <row r="81" spans="13:18" ht="14.4">
      <c r="M81" s="113"/>
      <c r="N81" s="113"/>
      <c r="O81" s="114"/>
      <c r="P81" s="115"/>
      <c r="R81" s="115"/>
    </row>
    <row r="82" spans="13:18" ht="14.4">
      <c r="M82" s="113"/>
      <c r="N82" s="113"/>
      <c r="O82" s="114"/>
      <c r="P82" s="115"/>
      <c r="R82" s="115"/>
    </row>
    <row r="83" spans="13:18" ht="14.4">
      <c r="M83" s="113"/>
      <c r="N83" s="113"/>
      <c r="O83" s="114"/>
      <c r="P83" s="115"/>
      <c r="R83" s="115"/>
    </row>
    <row r="84" spans="13:18" ht="14.4">
      <c r="M84" s="113"/>
      <c r="N84" s="113"/>
      <c r="O84" s="114"/>
      <c r="P84" s="115"/>
      <c r="R84" s="115"/>
    </row>
    <row r="85" spans="13:18" ht="14.4">
      <c r="M85" s="113"/>
      <c r="N85" s="113"/>
      <c r="O85" s="114"/>
      <c r="P85" s="115"/>
      <c r="R85" s="115"/>
    </row>
    <row r="86" spans="13:18" ht="14.4">
      <c r="M86" s="113"/>
      <c r="N86" s="113"/>
      <c r="O86" s="114"/>
      <c r="P86" s="115"/>
      <c r="R86" s="115"/>
    </row>
    <row r="87" spans="13:18" ht="14.4">
      <c r="M87" s="113"/>
      <c r="N87" s="113"/>
      <c r="O87" s="114"/>
      <c r="P87" s="115"/>
      <c r="R87" s="115"/>
    </row>
    <row r="88" spans="13:18" ht="14.4">
      <c r="M88" s="113"/>
      <c r="N88" s="113"/>
      <c r="O88" s="114"/>
      <c r="P88" s="115"/>
      <c r="R88" s="115"/>
    </row>
    <row r="89" spans="13:18" ht="14.4">
      <c r="M89" s="113"/>
      <c r="N89" s="113"/>
      <c r="O89" s="114"/>
      <c r="P89" s="115"/>
      <c r="R89" s="115"/>
    </row>
    <row r="90" spans="13:18" ht="14.4">
      <c r="M90" s="113"/>
      <c r="N90" s="113"/>
      <c r="O90" s="114"/>
      <c r="P90" s="115"/>
      <c r="R90" s="115"/>
    </row>
    <row r="91" spans="13:18" ht="14.4">
      <c r="M91" s="113"/>
      <c r="N91" s="113"/>
      <c r="O91" s="114"/>
      <c r="P91" s="115"/>
      <c r="R91" s="115"/>
    </row>
    <row r="92" spans="13:18" ht="14.4">
      <c r="M92" s="113"/>
      <c r="N92" s="113"/>
      <c r="O92" s="114"/>
      <c r="P92" s="115"/>
      <c r="R92" s="115"/>
    </row>
    <row r="93" spans="13:18" ht="14.4">
      <c r="M93" s="113"/>
      <c r="N93" s="113"/>
      <c r="O93" s="114"/>
      <c r="P93" s="115"/>
      <c r="R93" s="115"/>
    </row>
    <row r="94" spans="13:18" ht="14.4">
      <c r="M94" s="113"/>
      <c r="N94" s="113"/>
      <c r="O94" s="114"/>
      <c r="P94" s="115"/>
      <c r="R94" s="115"/>
    </row>
    <row r="95" spans="13:18" ht="14.4">
      <c r="M95" s="113"/>
      <c r="N95" s="113"/>
      <c r="O95" s="114"/>
      <c r="P95" s="115"/>
      <c r="R95" s="115"/>
    </row>
    <row r="96" spans="13:18" ht="14.4">
      <c r="M96" s="113"/>
      <c r="N96" s="113"/>
      <c r="O96" s="114"/>
      <c r="P96" s="115"/>
      <c r="R96" s="115"/>
    </row>
    <row r="97" spans="13:18" ht="14.4">
      <c r="M97" s="113"/>
      <c r="N97" s="113"/>
      <c r="O97" s="114"/>
      <c r="P97" s="115"/>
      <c r="R97" s="115"/>
    </row>
    <row r="98" spans="13:18" ht="14.4">
      <c r="M98" s="113"/>
      <c r="N98" s="113"/>
      <c r="O98" s="114"/>
      <c r="P98" s="115"/>
      <c r="R98" s="115"/>
    </row>
    <row r="99" spans="13:18" ht="14.4">
      <c r="M99" s="113"/>
      <c r="N99" s="113"/>
      <c r="O99" s="114"/>
      <c r="P99" s="115"/>
      <c r="R99" s="115"/>
    </row>
    <row r="100" spans="13:18" ht="14.4">
      <c r="M100" s="113"/>
      <c r="N100" s="113"/>
      <c r="O100" s="114"/>
      <c r="P100" s="115"/>
      <c r="R100" s="115"/>
    </row>
    <row r="101" spans="13:18" ht="14.4">
      <c r="M101" s="113"/>
      <c r="N101" s="113"/>
      <c r="O101" s="114"/>
      <c r="P101" s="115"/>
      <c r="R101" s="115"/>
    </row>
    <row r="102" spans="13:18" ht="14.4">
      <c r="M102" s="113"/>
      <c r="N102" s="113"/>
      <c r="O102" s="114"/>
      <c r="P102" s="115"/>
      <c r="R102" s="115"/>
    </row>
    <row r="103" spans="13:18" ht="14.4">
      <c r="M103" s="113"/>
      <c r="N103" s="113"/>
      <c r="O103" s="114"/>
      <c r="P103" s="115"/>
      <c r="R103" s="115"/>
    </row>
    <row r="104" spans="13:18" ht="14.4">
      <c r="M104" s="113"/>
      <c r="N104" s="113"/>
      <c r="O104" s="114"/>
      <c r="P104" s="115"/>
      <c r="R104" s="115"/>
    </row>
    <row r="105" spans="13:18" ht="14.4">
      <c r="M105" s="113"/>
      <c r="N105" s="113"/>
      <c r="O105" s="114"/>
      <c r="P105" s="115"/>
      <c r="R105" s="115"/>
    </row>
    <row r="106" spans="13:18" ht="14.4">
      <c r="M106" s="113"/>
      <c r="N106" s="113"/>
      <c r="O106" s="114"/>
      <c r="P106" s="115"/>
      <c r="R106" s="115"/>
    </row>
    <row r="107" spans="13:18" ht="14.4">
      <c r="M107" s="113"/>
      <c r="N107" s="113"/>
      <c r="O107" s="114"/>
      <c r="P107" s="115"/>
      <c r="R107" s="115"/>
    </row>
    <row r="108" spans="13:18" ht="14.4">
      <c r="M108" s="113"/>
      <c r="N108" s="113"/>
      <c r="O108" s="114"/>
      <c r="P108" s="115"/>
      <c r="R108" s="115"/>
    </row>
    <row r="109" spans="13:18" ht="14.4">
      <c r="M109" s="113"/>
      <c r="N109" s="113"/>
      <c r="O109" s="114"/>
      <c r="P109" s="115"/>
      <c r="R109" s="115"/>
    </row>
    <row r="110" spans="13:18" ht="14.4">
      <c r="M110" s="113"/>
      <c r="N110" s="113"/>
      <c r="O110" s="114"/>
      <c r="P110" s="115"/>
      <c r="R110" s="115"/>
    </row>
    <row r="111" spans="13:18" ht="14.4">
      <c r="M111" s="113"/>
      <c r="N111" s="113"/>
      <c r="O111" s="114"/>
      <c r="P111" s="115"/>
      <c r="R111" s="115"/>
    </row>
    <row r="112" spans="13:18" ht="14.4">
      <c r="M112" s="113"/>
      <c r="N112" s="113"/>
      <c r="O112" s="114"/>
      <c r="P112" s="115"/>
      <c r="R112" s="115"/>
    </row>
    <row r="113" spans="13:18" ht="14.4">
      <c r="M113" s="113"/>
      <c r="N113" s="113"/>
      <c r="O113" s="114"/>
      <c r="P113" s="115"/>
      <c r="R113" s="115"/>
    </row>
    <row r="114" spans="13:18" ht="14.4">
      <c r="M114" s="113"/>
      <c r="N114" s="113"/>
      <c r="O114" s="114"/>
      <c r="P114" s="115"/>
      <c r="R114" s="115"/>
    </row>
    <row r="115" spans="13:18" ht="14.4">
      <c r="M115" s="113"/>
      <c r="N115" s="113"/>
      <c r="O115" s="114"/>
      <c r="P115" s="115"/>
      <c r="R115" s="115"/>
    </row>
    <row r="116" spans="13:18" ht="14.4">
      <c r="M116" s="113"/>
      <c r="N116" s="113"/>
      <c r="O116" s="114"/>
      <c r="P116" s="115"/>
      <c r="R116" s="115"/>
    </row>
    <row r="117" spans="13:18" ht="14.4">
      <c r="M117" s="113"/>
      <c r="N117" s="113"/>
      <c r="O117" s="114"/>
      <c r="P117" s="115"/>
      <c r="R117" s="115"/>
    </row>
    <row r="118" spans="13:18" ht="14.4">
      <c r="M118" s="113"/>
      <c r="N118" s="113"/>
      <c r="O118" s="114"/>
      <c r="P118" s="115"/>
      <c r="R118" s="115"/>
    </row>
    <row r="119" spans="13:18" ht="14.4">
      <c r="M119" s="113"/>
      <c r="N119" s="113"/>
      <c r="O119" s="114"/>
      <c r="P119" s="115"/>
      <c r="R119" s="115"/>
    </row>
    <row r="120" spans="13:18" ht="14.4">
      <c r="M120" s="113"/>
      <c r="N120" s="113"/>
      <c r="O120" s="114"/>
      <c r="P120" s="115"/>
      <c r="R120" s="115"/>
    </row>
    <row r="121" spans="13:18" ht="14.4">
      <c r="M121" s="113"/>
      <c r="N121" s="113"/>
      <c r="O121" s="114"/>
      <c r="P121" s="115"/>
      <c r="R121" s="115"/>
    </row>
    <row r="122" spans="13:18" ht="14.4">
      <c r="M122" s="113"/>
      <c r="N122" s="113"/>
      <c r="O122" s="114"/>
      <c r="P122" s="115"/>
      <c r="R122" s="115"/>
    </row>
    <row r="123" spans="13:18" ht="14.4">
      <c r="M123" s="113"/>
      <c r="N123" s="113"/>
      <c r="O123" s="114"/>
      <c r="P123" s="115"/>
      <c r="R123" s="115"/>
    </row>
    <row r="124" spans="13:18" ht="14.4">
      <c r="M124" s="113"/>
      <c r="N124" s="113"/>
      <c r="O124" s="114"/>
      <c r="P124" s="115"/>
      <c r="R124" s="115"/>
    </row>
    <row r="125" spans="13:18" ht="14.4">
      <c r="M125" s="113"/>
      <c r="N125" s="113"/>
      <c r="O125" s="114"/>
      <c r="P125" s="115"/>
      <c r="R125" s="115"/>
    </row>
    <row r="126" spans="13:18" ht="14.4">
      <c r="M126" s="113"/>
      <c r="N126" s="113"/>
      <c r="O126" s="114"/>
      <c r="P126" s="115"/>
      <c r="R126" s="115"/>
    </row>
    <row r="127" spans="13:18" ht="14.4">
      <c r="M127" s="113"/>
      <c r="N127" s="113"/>
      <c r="O127" s="114"/>
      <c r="P127" s="115"/>
      <c r="R127" s="115"/>
    </row>
    <row r="128" spans="13:18" ht="14.4">
      <c r="M128" s="113"/>
      <c r="N128" s="113"/>
      <c r="O128" s="114"/>
      <c r="P128" s="115"/>
      <c r="R128" s="115"/>
    </row>
    <row r="129" spans="13:18" ht="14.4">
      <c r="M129" s="113"/>
      <c r="N129" s="113"/>
      <c r="O129" s="114"/>
      <c r="P129" s="115"/>
      <c r="R129" s="115"/>
    </row>
    <row r="130" spans="13:18" ht="14.4">
      <c r="M130" s="113"/>
      <c r="N130" s="113"/>
      <c r="O130" s="114"/>
      <c r="P130" s="115"/>
      <c r="R130" s="115"/>
    </row>
    <row r="131" spans="13:18" ht="14.4">
      <c r="M131" s="113"/>
      <c r="N131" s="113"/>
      <c r="O131" s="114"/>
      <c r="P131" s="115"/>
      <c r="R131" s="115"/>
    </row>
    <row r="132" spans="13:18" ht="14.4">
      <c r="M132" s="113"/>
      <c r="N132" s="113"/>
      <c r="O132" s="114"/>
      <c r="P132" s="115"/>
      <c r="R132" s="115"/>
    </row>
    <row r="133" spans="13:18" ht="14.4">
      <c r="M133" s="113"/>
      <c r="N133" s="113"/>
      <c r="O133" s="114"/>
      <c r="P133" s="115"/>
      <c r="R133" s="115"/>
    </row>
    <row r="134" spans="13:18" ht="14.4">
      <c r="M134" s="113"/>
      <c r="N134" s="113"/>
      <c r="O134" s="114"/>
      <c r="P134" s="115"/>
      <c r="R134" s="115"/>
    </row>
    <row r="135" spans="13:18" ht="14.4">
      <c r="M135" s="113"/>
      <c r="N135" s="113"/>
      <c r="O135" s="114"/>
      <c r="P135" s="115"/>
      <c r="R135" s="115"/>
    </row>
    <row r="136" spans="13:18" ht="14.4">
      <c r="M136" s="113"/>
      <c r="N136" s="113"/>
      <c r="O136" s="114"/>
      <c r="P136" s="115"/>
      <c r="R136" s="115"/>
    </row>
    <row r="137" spans="13:18" ht="14.4">
      <c r="M137" s="113"/>
      <c r="N137" s="113"/>
      <c r="O137" s="114"/>
      <c r="P137" s="115"/>
      <c r="R137" s="115"/>
    </row>
    <row r="138" spans="13:18" ht="14.4">
      <c r="M138" s="113"/>
      <c r="N138" s="113"/>
      <c r="O138" s="114"/>
      <c r="P138" s="115"/>
      <c r="R138" s="115"/>
    </row>
    <row r="139" spans="13:18" ht="14.4">
      <c r="M139" s="113"/>
      <c r="N139" s="113"/>
      <c r="O139" s="114"/>
      <c r="P139" s="115"/>
      <c r="R139" s="115"/>
    </row>
    <row r="140" spans="13:18" ht="14.4">
      <c r="M140" s="113"/>
      <c r="N140" s="113"/>
      <c r="O140" s="114"/>
      <c r="P140" s="115"/>
      <c r="R140" s="115"/>
    </row>
    <row r="141" spans="13:18" ht="14.4">
      <c r="M141" s="113"/>
      <c r="N141" s="113"/>
      <c r="O141" s="114"/>
      <c r="P141" s="115"/>
      <c r="R141" s="115"/>
    </row>
    <row r="142" spans="13:18" ht="14.4">
      <c r="M142" s="113"/>
      <c r="N142" s="113"/>
      <c r="O142" s="114"/>
      <c r="P142" s="115"/>
      <c r="R142" s="115"/>
    </row>
    <row r="143" spans="13:18" ht="14.4">
      <c r="M143" s="113"/>
      <c r="N143" s="113"/>
      <c r="O143" s="114"/>
      <c r="P143" s="115"/>
      <c r="R143" s="115"/>
    </row>
    <row r="144" spans="13:18" ht="14.4">
      <c r="M144" s="113"/>
      <c r="N144" s="113"/>
      <c r="O144" s="114"/>
      <c r="P144" s="115"/>
      <c r="R144" s="115"/>
    </row>
    <row r="145" spans="13:18" ht="14.4">
      <c r="M145" s="113"/>
      <c r="N145" s="113"/>
      <c r="O145" s="114"/>
      <c r="P145" s="115"/>
      <c r="R145" s="115"/>
    </row>
    <row r="146" spans="13:18" ht="14.4">
      <c r="M146" s="113"/>
      <c r="N146" s="113"/>
      <c r="O146" s="114"/>
      <c r="P146" s="115"/>
      <c r="R146" s="115"/>
    </row>
    <row r="147" spans="13:18" ht="14.4">
      <c r="M147" s="113"/>
      <c r="N147" s="113"/>
      <c r="O147" s="114"/>
      <c r="P147" s="115"/>
      <c r="R147" s="115"/>
    </row>
    <row r="148" spans="13:18" ht="14.4">
      <c r="M148" s="113"/>
      <c r="N148" s="113"/>
      <c r="O148" s="114"/>
      <c r="P148" s="115"/>
      <c r="R148" s="115"/>
    </row>
    <row r="149" spans="13:18" ht="14.4">
      <c r="M149" s="113"/>
      <c r="N149" s="113"/>
      <c r="O149" s="114"/>
      <c r="P149" s="115"/>
      <c r="R149" s="115"/>
    </row>
    <row r="150" spans="13:18" ht="14.4">
      <c r="M150" s="113"/>
      <c r="N150" s="113"/>
      <c r="O150" s="114"/>
      <c r="P150" s="115"/>
      <c r="R150" s="115"/>
    </row>
    <row r="151" spans="13:18" ht="14.4">
      <c r="M151" s="113"/>
      <c r="N151" s="113"/>
      <c r="O151" s="114"/>
      <c r="P151" s="115"/>
      <c r="R151" s="115"/>
    </row>
    <row r="152" spans="13:18" ht="14.4">
      <c r="M152" s="113"/>
      <c r="N152" s="113"/>
      <c r="O152" s="114"/>
      <c r="P152" s="115"/>
      <c r="R152" s="115"/>
    </row>
    <row r="153" spans="13:18" ht="14.4">
      <c r="M153" s="113"/>
      <c r="N153" s="113"/>
      <c r="O153" s="114"/>
      <c r="P153" s="115"/>
      <c r="R153" s="115"/>
    </row>
    <row r="154" spans="13:18" ht="14.4">
      <c r="M154" s="113"/>
      <c r="N154" s="113"/>
      <c r="O154" s="114"/>
      <c r="P154" s="115"/>
      <c r="R154" s="115"/>
    </row>
    <row r="155" spans="13:18" ht="14.4">
      <c r="M155" s="113"/>
      <c r="N155" s="113"/>
      <c r="O155" s="114"/>
      <c r="P155" s="115"/>
      <c r="R155" s="115"/>
    </row>
    <row r="156" spans="13:18" ht="14.4">
      <c r="M156" s="113"/>
      <c r="N156" s="113"/>
      <c r="O156" s="114"/>
      <c r="P156" s="115"/>
      <c r="R156" s="115"/>
    </row>
    <row r="157" spans="13:18" ht="14.4">
      <c r="M157" s="113"/>
      <c r="N157" s="113"/>
      <c r="O157" s="114"/>
      <c r="P157" s="115"/>
      <c r="R157" s="115"/>
    </row>
    <row r="158" spans="13:18" ht="14.4">
      <c r="M158" s="113"/>
      <c r="N158" s="113"/>
      <c r="O158" s="114"/>
      <c r="P158" s="115"/>
      <c r="R158" s="115"/>
    </row>
    <row r="159" spans="13:18" ht="14.4">
      <c r="M159" s="113"/>
      <c r="N159" s="113"/>
      <c r="O159" s="114"/>
      <c r="P159" s="115"/>
      <c r="R159" s="115"/>
    </row>
    <row r="160" spans="13:18" ht="14.4">
      <c r="M160" s="113"/>
      <c r="N160" s="113"/>
      <c r="O160" s="114"/>
      <c r="P160" s="115"/>
      <c r="R160" s="115"/>
    </row>
    <row r="161" spans="13:18" ht="14.4">
      <c r="M161" s="113"/>
      <c r="N161" s="113"/>
      <c r="O161" s="114"/>
      <c r="P161" s="115"/>
      <c r="R161" s="115"/>
    </row>
    <row r="162" spans="13:18" ht="14.4">
      <c r="M162" s="113"/>
      <c r="N162" s="113"/>
      <c r="O162" s="114"/>
      <c r="P162" s="115"/>
      <c r="R162" s="115"/>
    </row>
    <row r="163" spans="13:18" ht="14.4">
      <c r="M163" s="113"/>
      <c r="N163" s="113"/>
      <c r="O163" s="114"/>
      <c r="P163" s="115"/>
      <c r="R163" s="115"/>
    </row>
    <row r="164" spans="13:18" ht="14.4">
      <c r="M164" s="113"/>
      <c r="N164" s="113"/>
      <c r="O164" s="114"/>
      <c r="P164" s="115"/>
      <c r="R164" s="115"/>
    </row>
    <row r="165" spans="13:18" ht="14.4">
      <c r="M165" s="113"/>
      <c r="N165" s="113"/>
      <c r="O165" s="114"/>
      <c r="P165" s="115"/>
      <c r="R165" s="115"/>
    </row>
    <row r="166" spans="13:18" ht="14.4">
      <c r="M166" s="113"/>
      <c r="N166" s="113"/>
      <c r="O166" s="114"/>
      <c r="P166" s="115"/>
      <c r="R166" s="115"/>
    </row>
    <row r="167" spans="13:18" ht="14.4">
      <c r="M167" s="113"/>
      <c r="N167" s="113"/>
      <c r="O167" s="114"/>
      <c r="P167" s="115"/>
      <c r="R167" s="115"/>
    </row>
    <row r="168" spans="13:18" ht="14.4">
      <c r="M168" s="113"/>
      <c r="N168" s="113"/>
      <c r="O168" s="114"/>
      <c r="P168" s="115"/>
      <c r="R168" s="115"/>
    </row>
    <row r="169" spans="13:18" ht="14.4">
      <c r="M169" s="113"/>
      <c r="N169" s="113"/>
      <c r="O169" s="114"/>
      <c r="P169" s="115"/>
      <c r="R169" s="115"/>
    </row>
    <row r="170" spans="13:18" ht="14.4">
      <c r="M170" s="113"/>
      <c r="N170" s="113"/>
      <c r="O170" s="114"/>
      <c r="P170" s="115"/>
      <c r="R170" s="115"/>
    </row>
    <row r="171" spans="13:18" ht="14.4">
      <c r="M171" s="113"/>
      <c r="N171" s="113"/>
      <c r="O171" s="114"/>
      <c r="P171" s="115"/>
      <c r="R171" s="115"/>
    </row>
    <row r="172" spans="13:18" ht="14.4">
      <c r="M172" s="113"/>
      <c r="N172" s="113"/>
      <c r="O172" s="114"/>
      <c r="P172" s="115"/>
      <c r="R172" s="115"/>
    </row>
    <row r="173" spans="13:18" ht="14.4">
      <c r="M173" s="113"/>
      <c r="N173" s="113"/>
      <c r="O173" s="114"/>
      <c r="P173" s="115"/>
      <c r="R173" s="115"/>
    </row>
    <row r="174" spans="13:18" ht="14.4">
      <c r="M174" s="113"/>
      <c r="N174" s="113"/>
      <c r="O174" s="114"/>
      <c r="P174" s="115"/>
      <c r="R174" s="115"/>
    </row>
    <row r="175" spans="13:18" ht="14.4">
      <c r="M175" s="113"/>
      <c r="N175" s="113"/>
      <c r="O175" s="114"/>
      <c r="P175" s="115"/>
      <c r="R175" s="115"/>
    </row>
    <row r="176" spans="13:18" ht="14.4">
      <c r="M176" s="113"/>
      <c r="N176" s="113"/>
      <c r="O176" s="114"/>
      <c r="P176" s="115"/>
      <c r="R176" s="115"/>
    </row>
    <row r="177" spans="13:18" ht="14.4">
      <c r="M177" s="113"/>
      <c r="N177" s="113"/>
      <c r="O177" s="114"/>
      <c r="P177" s="115"/>
      <c r="R177" s="115"/>
    </row>
    <row r="178" spans="13:18" ht="14.4">
      <c r="M178" s="113"/>
      <c r="N178" s="113"/>
      <c r="O178" s="114"/>
      <c r="P178" s="115"/>
      <c r="R178" s="115"/>
    </row>
    <row r="179" spans="13:18" ht="14.4">
      <c r="M179" s="113"/>
      <c r="N179" s="113"/>
      <c r="O179" s="114"/>
      <c r="P179" s="115"/>
      <c r="R179" s="115"/>
    </row>
    <row r="180" spans="13:18" ht="14.4">
      <c r="M180" s="113"/>
      <c r="N180" s="113"/>
      <c r="O180" s="114"/>
      <c r="P180" s="115"/>
      <c r="R180" s="115"/>
    </row>
    <row r="181" spans="13:18" ht="14.4">
      <c r="M181" s="113"/>
      <c r="N181" s="113"/>
      <c r="O181" s="114"/>
      <c r="P181" s="115"/>
      <c r="R181" s="115"/>
    </row>
    <row r="182" spans="13:18" ht="14.4">
      <c r="M182" s="113"/>
      <c r="N182" s="113"/>
      <c r="O182" s="114"/>
      <c r="P182" s="115"/>
      <c r="R182" s="115"/>
    </row>
    <row r="183" spans="13:18" ht="14.4">
      <c r="M183" s="113"/>
      <c r="N183" s="113"/>
      <c r="O183" s="114"/>
      <c r="P183" s="115"/>
      <c r="R183" s="115"/>
    </row>
    <row r="184" spans="13:18" ht="14.4">
      <c r="M184" s="113"/>
      <c r="N184" s="113"/>
      <c r="O184" s="114"/>
      <c r="P184" s="115"/>
      <c r="R184" s="115"/>
    </row>
    <row r="185" spans="13:18" ht="14.4">
      <c r="M185" s="113"/>
      <c r="N185" s="113"/>
      <c r="O185" s="114"/>
      <c r="P185" s="115"/>
      <c r="R185" s="115"/>
    </row>
    <row r="186" spans="13:18" ht="14.4">
      <c r="M186" s="113"/>
      <c r="N186" s="113"/>
      <c r="O186" s="114"/>
      <c r="P186" s="115"/>
      <c r="R186" s="115"/>
    </row>
    <row r="187" spans="13:18" ht="14.4">
      <c r="M187" s="113"/>
      <c r="N187" s="113"/>
      <c r="O187" s="114"/>
      <c r="P187" s="115"/>
      <c r="R187" s="115"/>
    </row>
    <row r="188" spans="13:18" ht="14.4">
      <c r="M188" s="113"/>
      <c r="N188" s="113"/>
      <c r="O188" s="114"/>
      <c r="P188" s="115"/>
      <c r="R188" s="115"/>
    </row>
    <row r="189" spans="13:18" ht="14.4">
      <c r="M189" s="113"/>
      <c r="N189" s="113"/>
      <c r="O189" s="114"/>
      <c r="P189" s="115"/>
      <c r="R189" s="115"/>
    </row>
    <row r="190" spans="13:18" ht="14.4">
      <c r="M190" s="113"/>
      <c r="N190" s="113"/>
      <c r="O190" s="114"/>
      <c r="P190" s="115"/>
      <c r="R190" s="115"/>
    </row>
    <row r="191" spans="13:18" ht="14.4">
      <c r="M191" s="113"/>
      <c r="N191" s="113"/>
      <c r="O191" s="114"/>
      <c r="P191" s="115"/>
      <c r="R191" s="115"/>
    </row>
    <row r="192" spans="13:18" ht="14.4">
      <c r="M192" s="113"/>
      <c r="N192" s="113"/>
      <c r="O192" s="114"/>
      <c r="P192" s="115"/>
      <c r="R192" s="115"/>
    </row>
    <row r="193" spans="13:18" ht="14.4">
      <c r="M193" s="113"/>
      <c r="N193" s="113"/>
      <c r="O193" s="114"/>
      <c r="P193" s="115"/>
      <c r="R193" s="115"/>
    </row>
    <row r="194" spans="13:18" ht="14.4">
      <c r="M194" s="113"/>
      <c r="N194" s="113"/>
      <c r="O194" s="114"/>
      <c r="P194" s="115"/>
      <c r="R194" s="115"/>
    </row>
    <row r="195" spans="13:18" ht="14.4">
      <c r="M195" s="113"/>
      <c r="N195" s="113"/>
      <c r="O195" s="114"/>
      <c r="P195" s="115"/>
      <c r="R195" s="115"/>
    </row>
    <row r="196" spans="13:18" ht="14.4">
      <c r="M196" s="113"/>
      <c r="N196" s="113"/>
      <c r="O196" s="114"/>
      <c r="P196" s="115"/>
      <c r="R196" s="115"/>
    </row>
    <row r="197" spans="13:18" ht="14.4">
      <c r="M197" s="113"/>
      <c r="N197" s="113"/>
      <c r="O197" s="114"/>
      <c r="P197" s="115"/>
      <c r="R197" s="115"/>
    </row>
    <row r="198" spans="13:18" ht="14.4">
      <c r="M198" s="113"/>
      <c r="N198" s="113"/>
      <c r="O198" s="114"/>
      <c r="P198" s="115"/>
      <c r="R198" s="115"/>
    </row>
    <row r="199" spans="13:18" ht="14.4">
      <c r="M199" s="113"/>
      <c r="N199" s="113"/>
      <c r="O199" s="114"/>
      <c r="P199" s="115"/>
      <c r="R199" s="115"/>
    </row>
    <row r="200" spans="13:18" ht="14.4">
      <c r="M200" s="113"/>
      <c r="N200" s="113"/>
      <c r="O200" s="114"/>
      <c r="P200" s="115"/>
      <c r="R200" s="115"/>
    </row>
    <row r="201" spans="13:18" ht="14.4">
      <c r="M201" s="113"/>
      <c r="N201" s="113"/>
      <c r="O201" s="114"/>
      <c r="P201" s="115"/>
      <c r="R201" s="115"/>
    </row>
    <row r="202" spans="13:18" ht="14.4">
      <c r="M202" s="113"/>
      <c r="N202" s="113"/>
      <c r="O202" s="114"/>
      <c r="P202" s="115"/>
      <c r="R202" s="115"/>
    </row>
    <row r="203" spans="13:18" ht="14.4">
      <c r="M203" s="113"/>
      <c r="N203" s="113"/>
      <c r="O203" s="114"/>
      <c r="P203" s="115"/>
      <c r="R203" s="115"/>
    </row>
    <row r="204" spans="13:18" ht="14.4">
      <c r="M204" s="113"/>
      <c r="N204" s="113"/>
      <c r="O204" s="114"/>
      <c r="P204" s="115"/>
      <c r="R204" s="115"/>
    </row>
    <row r="205" spans="13:18" ht="14.4">
      <c r="M205" s="113"/>
      <c r="N205" s="113"/>
      <c r="O205" s="114"/>
      <c r="P205" s="115"/>
      <c r="R205" s="115"/>
    </row>
    <row r="206" spans="13:18" ht="14.4">
      <c r="M206" s="113"/>
      <c r="N206" s="113"/>
      <c r="O206" s="114"/>
      <c r="P206" s="115"/>
      <c r="R206" s="115"/>
    </row>
    <row r="207" spans="13:18" ht="14.4">
      <c r="M207" s="113"/>
      <c r="N207" s="113"/>
      <c r="O207" s="114"/>
      <c r="P207" s="115"/>
      <c r="R207" s="115"/>
    </row>
    <row r="208" spans="13:18" ht="14.4">
      <c r="M208" s="113"/>
      <c r="N208" s="113"/>
      <c r="O208" s="114"/>
      <c r="P208" s="115"/>
      <c r="R208" s="115"/>
    </row>
    <row r="209" spans="13:18" ht="14.4">
      <c r="M209" s="113"/>
      <c r="N209" s="113"/>
      <c r="O209" s="114"/>
      <c r="P209" s="115"/>
      <c r="R209" s="115"/>
    </row>
    <row r="210" spans="13:18" ht="14.4">
      <c r="M210" s="113"/>
      <c r="N210" s="113"/>
      <c r="O210" s="114"/>
      <c r="P210" s="115"/>
      <c r="R210" s="115"/>
    </row>
    <row r="211" spans="13:18" ht="14.4">
      <c r="M211" s="113"/>
      <c r="N211" s="113"/>
      <c r="O211" s="114"/>
      <c r="P211" s="115"/>
      <c r="R211" s="115"/>
    </row>
    <row r="212" spans="13:18" ht="14.4">
      <c r="M212" s="113"/>
      <c r="N212" s="113"/>
      <c r="O212" s="114"/>
      <c r="P212" s="115"/>
      <c r="R212" s="115"/>
    </row>
    <row r="213" spans="13:18" ht="14.4">
      <c r="M213" s="113"/>
      <c r="N213" s="113"/>
      <c r="O213" s="114"/>
      <c r="P213" s="115"/>
      <c r="R213" s="115"/>
    </row>
    <row r="214" spans="13:18" ht="14.4">
      <c r="M214" s="113"/>
      <c r="N214" s="113"/>
      <c r="O214" s="114"/>
      <c r="P214" s="115"/>
      <c r="R214" s="115"/>
    </row>
    <row r="215" spans="13:18" ht="14.4">
      <c r="M215" s="113"/>
      <c r="N215" s="113"/>
      <c r="O215" s="114"/>
      <c r="P215" s="115"/>
      <c r="R215" s="115"/>
    </row>
    <row r="216" spans="13:18" ht="14.4">
      <c r="M216" s="113"/>
      <c r="N216" s="113"/>
      <c r="O216" s="114"/>
      <c r="P216" s="115"/>
      <c r="R216" s="115"/>
    </row>
    <row r="217" spans="13:18" ht="14.4">
      <c r="M217" s="113"/>
      <c r="N217" s="113"/>
      <c r="O217" s="114"/>
      <c r="P217" s="115"/>
      <c r="R217" s="115"/>
    </row>
    <row r="218" spans="13:18" ht="14.4">
      <c r="M218" s="113"/>
      <c r="N218" s="113"/>
      <c r="O218" s="114"/>
      <c r="P218" s="115"/>
      <c r="R218" s="115"/>
    </row>
    <row r="219" spans="13:18" ht="14.4">
      <c r="M219" s="113"/>
      <c r="N219" s="113"/>
      <c r="O219" s="114"/>
      <c r="P219" s="115"/>
      <c r="R219" s="115"/>
    </row>
    <row r="220" spans="13:18" ht="14.4">
      <c r="M220" s="113"/>
      <c r="N220" s="113"/>
      <c r="O220" s="114"/>
      <c r="P220" s="115"/>
      <c r="R220" s="115"/>
    </row>
    <row r="221" spans="13:18" ht="14.4">
      <c r="M221" s="113"/>
      <c r="N221" s="113"/>
      <c r="O221" s="114"/>
      <c r="P221" s="115"/>
      <c r="R221" s="115"/>
    </row>
    <row r="222" spans="13:18" ht="14.4">
      <c r="M222" s="113"/>
      <c r="N222" s="113"/>
      <c r="O222" s="114"/>
      <c r="P222" s="115"/>
      <c r="R222" s="115"/>
    </row>
    <row r="223" spans="13:18" ht="14.4">
      <c r="M223" s="113"/>
      <c r="N223" s="113"/>
      <c r="O223" s="114"/>
      <c r="P223" s="115"/>
      <c r="R223" s="115"/>
    </row>
    <row r="224" spans="13:18" ht="14.4">
      <c r="M224" s="113"/>
      <c r="N224" s="113"/>
      <c r="O224" s="114"/>
      <c r="P224" s="115"/>
      <c r="R224" s="115"/>
    </row>
    <row r="225" spans="13:18" ht="14.4">
      <c r="M225" s="113"/>
      <c r="N225" s="113"/>
      <c r="O225" s="114"/>
      <c r="P225" s="115"/>
      <c r="R225" s="115"/>
    </row>
    <row r="226" spans="13:18" ht="14.4">
      <c r="M226" s="113"/>
      <c r="N226" s="113"/>
      <c r="O226" s="114"/>
      <c r="P226" s="115"/>
      <c r="R226" s="115"/>
    </row>
    <row r="227" spans="13:18" ht="14.4">
      <c r="M227" s="113"/>
      <c r="N227" s="113"/>
      <c r="O227" s="114"/>
      <c r="P227" s="115"/>
      <c r="R227" s="115"/>
    </row>
    <row r="228" spans="13:18" ht="14.4">
      <c r="M228" s="113"/>
      <c r="N228" s="113"/>
      <c r="O228" s="114"/>
      <c r="P228" s="115"/>
      <c r="R228" s="115"/>
    </row>
    <row r="229" spans="13:18" ht="14.4">
      <c r="M229" s="113"/>
      <c r="N229" s="113"/>
      <c r="O229" s="114"/>
      <c r="P229" s="115"/>
      <c r="R229" s="115"/>
    </row>
    <row r="230" spans="13:18" ht="14.4">
      <c r="M230" s="113"/>
      <c r="N230" s="113"/>
      <c r="O230" s="114"/>
      <c r="P230" s="115"/>
      <c r="R230" s="115"/>
    </row>
    <row r="231" spans="13:18" ht="14.4">
      <c r="M231" s="113"/>
      <c r="N231" s="113"/>
      <c r="O231" s="114"/>
      <c r="P231" s="115"/>
      <c r="R231" s="115"/>
    </row>
    <row r="232" spans="13:18" ht="14.4">
      <c r="M232" s="113"/>
      <c r="N232" s="113"/>
      <c r="O232" s="114"/>
      <c r="P232" s="115"/>
      <c r="R232" s="115"/>
    </row>
    <row r="233" spans="13:18" ht="14.4">
      <c r="M233" s="113"/>
      <c r="N233" s="113"/>
      <c r="O233" s="114"/>
      <c r="P233" s="115"/>
      <c r="R233" s="115"/>
    </row>
    <row r="234" spans="13:18" ht="14.4">
      <c r="M234" s="113"/>
      <c r="N234" s="113"/>
      <c r="O234" s="114"/>
      <c r="P234" s="115"/>
      <c r="R234" s="115"/>
    </row>
    <row r="235" spans="13:18" ht="14.4">
      <c r="M235" s="113"/>
      <c r="N235" s="113"/>
      <c r="O235" s="114"/>
      <c r="P235" s="115"/>
      <c r="R235" s="115"/>
    </row>
    <row r="236" spans="13:18" ht="14.4">
      <c r="M236" s="113"/>
      <c r="N236" s="113"/>
      <c r="O236" s="114"/>
      <c r="P236" s="115"/>
      <c r="R236" s="115"/>
    </row>
    <row r="237" spans="13:18" ht="14.4">
      <c r="M237" s="113"/>
      <c r="N237" s="113"/>
      <c r="O237" s="114"/>
      <c r="P237" s="115"/>
      <c r="R237" s="115"/>
    </row>
    <row r="238" spans="13:18" ht="14.4">
      <c r="M238" s="113"/>
      <c r="N238" s="113"/>
      <c r="O238" s="114"/>
      <c r="P238" s="115"/>
      <c r="R238" s="115"/>
    </row>
    <row r="239" spans="13:18" ht="14.4">
      <c r="M239" s="113"/>
      <c r="N239" s="113"/>
      <c r="O239" s="114"/>
      <c r="P239" s="115"/>
      <c r="R239" s="115"/>
    </row>
    <row r="240" spans="13:18" ht="14.4">
      <c r="M240" s="113"/>
      <c r="N240" s="113"/>
      <c r="O240" s="114"/>
      <c r="P240" s="115"/>
      <c r="R240" s="115"/>
    </row>
    <row r="241" spans="13:18" ht="14.4">
      <c r="M241" s="113"/>
      <c r="N241" s="113"/>
      <c r="O241" s="114"/>
      <c r="P241" s="115"/>
      <c r="R241" s="115"/>
    </row>
    <row r="242" spans="13:18" ht="14.4">
      <c r="M242" s="113"/>
      <c r="N242" s="113"/>
      <c r="O242" s="114"/>
      <c r="P242" s="115"/>
      <c r="R242" s="115"/>
    </row>
    <row r="243" spans="13:18" ht="14.4">
      <c r="M243" s="113"/>
      <c r="N243" s="113"/>
      <c r="O243" s="114"/>
      <c r="P243" s="115"/>
      <c r="R243" s="115"/>
    </row>
    <row r="244" spans="13:18" ht="14.4">
      <c r="M244" s="113"/>
      <c r="N244" s="113"/>
      <c r="O244" s="114"/>
      <c r="P244" s="115"/>
      <c r="R244" s="115"/>
    </row>
    <row r="245" spans="13:18" ht="14.4">
      <c r="M245" s="113"/>
      <c r="N245" s="113"/>
      <c r="O245" s="114"/>
      <c r="P245" s="115"/>
      <c r="R245" s="115"/>
    </row>
    <row r="246" spans="13:18" ht="14.4">
      <c r="M246" s="113"/>
      <c r="N246" s="113"/>
      <c r="O246" s="114"/>
      <c r="P246" s="115"/>
      <c r="R246" s="115"/>
    </row>
    <row r="247" spans="13:18" ht="14.4">
      <c r="M247" s="113"/>
      <c r="N247" s="113"/>
      <c r="O247" s="114"/>
      <c r="P247" s="115"/>
      <c r="R247" s="115"/>
    </row>
    <row r="248" spans="13:18" ht="14.4">
      <c r="M248" s="113"/>
      <c r="N248" s="113"/>
      <c r="O248" s="114"/>
      <c r="P248" s="115"/>
      <c r="R248" s="115"/>
    </row>
    <row r="249" spans="13:18" ht="14.4">
      <c r="M249" s="113"/>
      <c r="N249" s="113"/>
      <c r="O249" s="114"/>
      <c r="P249" s="115"/>
      <c r="R249" s="115"/>
    </row>
    <row r="250" spans="13:18" ht="14.4">
      <c r="M250" s="113"/>
      <c r="N250" s="113"/>
      <c r="O250" s="114"/>
      <c r="P250" s="115"/>
      <c r="R250" s="115"/>
    </row>
    <row r="251" spans="13:18" ht="14.4">
      <c r="M251" s="113"/>
      <c r="N251" s="113"/>
      <c r="O251" s="114"/>
      <c r="P251" s="115"/>
      <c r="R251" s="115"/>
    </row>
    <row r="252" spans="13:18" ht="14.4">
      <c r="M252" s="113"/>
      <c r="N252" s="113"/>
      <c r="O252" s="114"/>
      <c r="P252" s="115"/>
      <c r="R252" s="115"/>
    </row>
    <row r="253" spans="13:18" ht="14.4">
      <c r="M253" s="113"/>
      <c r="N253" s="113"/>
      <c r="O253" s="114"/>
      <c r="P253" s="115"/>
      <c r="R253" s="115"/>
    </row>
    <row r="254" spans="13:18" ht="14.4">
      <c r="M254" s="113"/>
      <c r="N254" s="113"/>
      <c r="O254" s="114"/>
      <c r="P254" s="115"/>
      <c r="R254" s="115"/>
    </row>
    <row r="255" spans="13:18" ht="14.4">
      <c r="M255" s="113"/>
      <c r="N255" s="113"/>
      <c r="O255" s="114"/>
      <c r="P255" s="115"/>
      <c r="R255" s="115"/>
    </row>
    <row r="256" spans="13:18" ht="14.4">
      <c r="M256" s="113"/>
      <c r="N256" s="113"/>
      <c r="O256" s="114"/>
      <c r="P256" s="115"/>
      <c r="R256" s="115"/>
    </row>
    <row r="257" spans="13:18" ht="14.4">
      <c r="M257" s="113"/>
      <c r="N257" s="113"/>
      <c r="O257" s="114"/>
      <c r="P257" s="115"/>
      <c r="R257" s="115"/>
    </row>
    <row r="258" spans="13:18" ht="14.4">
      <c r="M258" s="113"/>
      <c r="N258" s="113"/>
      <c r="O258" s="114"/>
      <c r="P258" s="115"/>
      <c r="R258" s="115"/>
    </row>
    <row r="259" spans="13:18" ht="14.4">
      <c r="M259" s="113"/>
      <c r="N259" s="113"/>
      <c r="O259" s="114"/>
      <c r="P259" s="115"/>
      <c r="R259" s="115"/>
    </row>
    <row r="260" spans="13:18" ht="14.4">
      <c r="M260" s="113"/>
      <c r="N260" s="113"/>
      <c r="O260" s="114"/>
      <c r="P260" s="115"/>
      <c r="R260" s="115"/>
    </row>
    <row r="261" spans="13:18" ht="14.4">
      <c r="M261" s="113"/>
      <c r="N261" s="113"/>
      <c r="O261" s="114"/>
      <c r="P261" s="115"/>
      <c r="R261" s="115"/>
    </row>
    <row r="262" spans="13:18" ht="14.4">
      <c r="M262" s="113"/>
      <c r="N262" s="113"/>
      <c r="O262" s="114"/>
      <c r="P262" s="115"/>
      <c r="R262" s="115"/>
    </row>
    <row r="263" spans="13:18" ht="14.4">
      <c r="M263" s="113"/>
      <c r="N263" s="113"/>
      <c r="O263" s="114"/>
      <c r="P263" s="115"/>
      <c r="R263" s="115"/>
    </row>
    <row r="264" spans="13:18" ht="14.4">
      <c r="M264" s="113"/>
      <c r="N264" s="113"/>
      <c r="O264" s="114"/>
      <c r="P264" s="115"/>
      <c r="R264" s="115"/>
    </row>
    <row r="265" spans="13:18" ht="14.4">
      <c r="M265" s="113"/>
      <c r="N265" s="113"/>
      <c r="O265" s="114"/>
      <c r="P265" s="115"/>
      <c r="R265" s="115"/>
    </row>
    <row r="266" spans="13:18" ht="14.4">
      <c r="M266" s="113"/>
      <c r="N266" s="113"/>
      <c r="O266" s="114"/>
      <c r="P266" s="115"/>
      <c r="R266" s="115"/>
    </row>
    <row r="267" spans="13:18" ht="14.4">
      <c r="M267" s="113"/>
      <c r="N267" s="113"/>
      <c r="O267" s="114"/>
      <c r="P267" s="115"/>
      <c r="R267" s="115"/>
    </row>
    <row r="268" spans="13:18" ht="14.4">
      <c r="M268" s="113"/>
      <c r="N268" s="113"/>
      <c r="O268" s="114"/>
      <c r="P268" s="115"/>
      <c r="R268" s="115"/>
    </row>
    <row r="269" spans="13:18" ht="14.4">
      <c r="M269" s="113"/>
      <c r="N269" s="113"/>
      <c r="O269" s="114"/>
      <c r="P269" s="115"/>
      <c r="R269" s="115"/>
    </row>
    <row r="270" spans="13:18" ht="14.4">
      <c r="M270" s="113"/>
      <c r="N270" s="113"/>
      <c r="O270" s="114"/>
      <c r="P270" s="115"/>
      <c r="R270" s="115"/>
    </row>
    <row r="271" spans="13:18" ht="14.4">
      <c r="M271" s="113"/>
      <c r="N271" s="113"/>
      <c r="O271" s="114"/>
      <c r="P271" s="115"/>
      <c r="R271" s="115"/>
    </row>
    <row r="272" spans="13:18" ht="14.4">
      <c r="M272" s="113"/>
      <c r="N272" s="113"/>
      <c r="O272" s="114"/>
      <c r="P272" s="115"/>
      <c r="R272" s="115"/>
    </row>
    <row r="273" spans="13:18" ht="14.4">
      <c r="M273" s="113"/>
      <c r="N273" s="113"/>
      <c r="O273" s="114"/>
      <c r="P273" s="115"/>
      <c r="R273" s="115"/>
    </row>
    <row r="274" spans="13:18" ht="14.4">
      <c r="M274" s="113"/>
      <c r="N274" s="113"/>
      <c r="O274" s="114"/>
      <c r="P274" s="115"/>
      <c r="R274" s="115"/>
    </row>
    <row r="275" spans="13:18" ht="14.4">
      <c r="M275" s="113"/>
      <c r="N275" s="113"/>
      <c r="O275" s="114"/>
      <c r="P275" s="115"/>
      <c r="R275" s="115"/>
    </row>
    <row r="276" spans="13:18" ht="14.4">
      <c r="M276" s="113"/>
      <c r="N276" s="113"/>
      <c r="O276" s="114"/>
      <c r="P276" s="115"/>
      <c r="R276" s="115"/>
    </row>
    <row r="277" spans="13:18" ht="14.4">
      <c r="M277" s="113"/>
      <c r="N277" s="113"/>
      <c r="O277" s="114"/>
      <c r="P277" s="115"/>
      <c r="R277" s="115"/>
    </row>
    <row r="278" spans="13:18" ht="14.4">
      <c r="M278" s="113"/>
      <c r="N278" s="113"/>
      <c r="O278" s="114"/>
      <c r="P278" s="115"/>
      <c r="R278" s="115"/>
    </row>
    <row r="279" spans="13:18" ht="14.4">
      <c r="M279" s="113"/>
      <c r="N279" s="113"/>
      <c r="O279" s="114"/>
      <c r="P279" s="115"/>
      <c r="R279" s="115"/>
    </row>
    <row r="280" spans="13:18" ht="14.4">
      <c r="M280" s="113"/>
      <c r="N280" s="113"/>
      <c r="O280" s="114"/>
      <c r="P280" s="115"/>
      <c r="R280" s="115"/>
    </row>
    <row r="281" spans="13:18" ht="14.4">
      <c r="M281" s="113"/>
      <c r="N281" s="113"/>
      <c r="O281" s="114"/>
      <c r="P281" s="115"/>
      <c r="R281" s="115"/>
    </row>
    <row r="282" spans="13:18" ht="14.4">
      <c r="M282" s="113"/>
      <c r="N282" s="113"/>
      <c r="O282" s="114"/>
      <c r="P282" s="115"/>
      <c r="R282" s="115"/>
    </row>
    <row r="283" spans="13:18" ht="14.4">
      <c r="M283" s="113"/>
      <c r="N283" s="113"/>
      <c r="O283" s="114"/>
      <c r="P283" s="115"/>
      <c r="R283" s="115"/>
    </row>
    <row r="284" spans="13:18" ht="14.4">
      <c r="M284" s="113"/>
      <c r="N284" s="113"/>
      <c r="O284" s="114"/>
      <c r="P284" s="115"/>
      <c r="R284" s="115"/>
    </row>
    <row r="285" spans="13:18" ht="14.4">
      <c r="M285" s="113"/>
      <c r="N285" s="113"/>
      <c r="O285" s="114"/>
      <c r="P285" s="115"/>
      <c r="R285" s="115"/>
    </row>
    <row r="286" spans="13:18" ht="14.4">
      <c r="M286" s="113"/>
      <c r="N286" s="113"/>
      <c r="O286" s="114"/>
      <c r="P286" s="115"/>
      <c r="R286" s="115"/>
    </row>
    <row r="287" spans="13:18" ht="14.4">
      <c r="M287" s="113"/>
      <c r="N287" s="113"/>
      <c r="O287" s="114"/>
      <c r="P287" s="115"/>
      <c r="R287" s="115"/>
    </row>
    <row r="288" spans="13:18" ht="14.4">
      <c r="M288" s="113"/>
      <c r="N288" s="113"/>
      <c r="O288" s="114"/>
      <c r="P288" s="115"/>
      <c r="R288" s="115"/>
    </row>
    <row r="289" spans="13:18" ht="14.4">
      <c r="M289" s="113"/>
      <c r="N289" s="113"/>
      <c r="O289" s="114"/>
      <c r="P289" s="115"/>
      <c r="R289" s="115"/>
    </row>
    <row r="290" spans="13:18" ht="14.4">
      <c r="M290" s="113"/>
      <c r="N290" s="113"/>
      <c r="O290" s="114"/>
      <c r="P290" s="115"/>
      <c r="R290" s="115"/>
    </row>
    <row r="291" spans="13:18" ht="14.4">
      <c r="M291" s="113"/>
      <c r="N291" s="113"/>
      <c r="O291" s="114"/>
      <c r="P291" s="115"/>
      <c r="R291" s="115"/>
    </row>
    <row r="292" spans="13:18" ht="14.4">
      <c r="M292" s="113"/>
      <c r="N292" s="113"/>
      <c r="O292" s="114"/>
      <c r="P292" s="115"/>
      <c r="R292" s="115"/>
    </row>
    <row r="293" spans="13:18" ht="14.4">
      <c r="M293" s="113"/>
      <c r="N293" s="113"/>
      <c r="O293" s="114"/>
      <c r="P293" s="115"/>
      <c r="R293" s="115"/>
    </row>
    <row r="294" spans="13:18" ht="14.4">
      <c r="M294" s="113"/>
      <c r="N294" s="113"/>
      <c r="O294" s="114"/>
      <c r="P294" s="115"/>
      <c r="R294" s="115"/>
    </row>
    <row r="295" spans="13:18" ht="14.4">
      <c r="M295" s="113"/>
      <c r="N295" s="113"/>
      <c r="O295" s="114"/>
      <c r="P295" s="115"/>
      <c r="R295" s="115"/>
    </row>
    <row r="296" spans="13:18" ht="14.4">
      <c r="M296" s="113"/>
      <c r="N296" s="113"/>
      <c r="O296" s="114"/>
      <c r="P296" s="115"/>
      <c r="R296" s="115"/>
    </row>
    <row r="297" spans="13:18" ht="14.4">
      <c r="M297" s="113"/>
      <c r="N297" s="113"/>
      <c r="O297" s="114"/>
      <c r="P297" s="115"/>
      <c r="R297" s="115"/>
    </row>
    <row r="298" spans="13:18" ht="14.4">
      <c r="M298" s="113"/>
      <c r="N298" s="113"/>
      <c r="O298" s="114"/>
      <c r="P298" s="115"/>
      <c r="R298" s="115"/>
    </row>
    <row r="299" spans="13:18" ht="14.4">
      <c r="M299" s="113"/>
      <c r="N299" s="113"/>
      <c r="O299" s="114"/>
      <c r="P299" s="115"/>
      <c r="R299" s="115"/>
    </row>
    <row r="300" spans="13:18" ht="14.4">
      <c r="M300" s="113"/>
      <c r="N300" s="113"/>
      <c r="O300" s="114"/>
      <c r="P300" s="115"/>
      <c r="R300" s="115"/>
    </row>
    <row r="301" spans="13:18" ht="14.4">
      <c r="M301" s="113"/>
      <c r="N301" s="113"/>
      <c r="O301" s="114"/>
      <c r="P301" s="115"/>
      <c r="R301" s="115"/>
    </row>
    <row r="302" spans="13:18" ht="14.4">
      <c r="M302" s="113"/>
      <c r="N302" s="113"/>
      <c r="O302" s="114"/>
      <c r="P302" s="115"/>
      <c r="R302" s="115"/>
    </row>
    <row r="303" spans="13:18" ht="14.4">
      <c r="M303" s="113"/>
      <c r="N303" s="113"/>
      <c r="O303" s="114"/>
      <c r="P303" s="115"/>
      <c r="R303" s="115"/>
    </row>
    <row r="304" spans="13:18" ht="14.4">
      <c r="M304" s="113"/>
      <c r="N304" s="113"/>
      <c r="O304" s="114"/>
      <c r="P304" s="115"/>
      <c r="R304" s="115"/>
    </row>
    <row r="305" spans="13:18" ht="14.4">
      <c r="M305" s="113"/>
      <c r="N305" s="113"/>
      <c r="O305" s="114"/>
      <c r="P305" s="115"/>
      <c r="R305" s="115"/>
    </row>
    <row r="306" spans="13:18" ht="14.4">
      <c r="M306" s="113"/>
      <c r="N306" s="113"/>
      <c r="O306" s="114"/>
      <c r="P306" s="115"/>
      <c r="R306" s="115"/>
    </row>
    <row r="307" spans="13:18" ht="14.4">
      <c r="M307" s="113"/>
      <c r="N307" s="113"/>
      <c r="O307" s="114"/>
      <c r="P307" s="115"/>
      <c r="R307" s="115"/>
    </row>
    <row r="308" spans="13:18" ht="14.4">
      <c r="M308" s="113"/>
      <c r="N308" s="113"/>
      <c r="O308" s="114"/>
      <c r="P308" s="115"/>
      <c r="R308" s="115"/>
    </row>
    <row r="309" spans="13:18" ht="14.4">
      <c r="M309" s="113"/>
      <c r="N309" s="113"/>
      <c r="O309" s="114"/>
      <c r="P309" s="115"/>
      <c r="R309" s="115"/>
    </row>
    <row r="310" spans="13:18" ht="14.4">
      <c r="M310" s="113"/>
      <c r="N310" s="113"/>
      <c r="O310" s="114"/>
      <c r="P310" s="115"/>
      <c r="R310" s="115"/>
    </row>
    <row r="311" spans="13:18" ht="14.4">
      <c r="M311" s="113"/>
      <c r="N311" s="113"/>
      <c r="O311" s="114"/>
      <c r="P311" s="115"/>
      <c r="R311" s="115"/>
    </row>
    <row r="312" spans="13:18" ht="14.4">
      <c r="M312" s="113"/>
      <c r="N312" s="113"/>
      <c r="O312" s="114"/>
      <c r="P312" s="115"/>
      <c r="R312" s="115"/>
    </row>
    <row r="313" spans="13:18" ht="14.4">
      <c r="M313" s="113"/>
      <c r="N313" s="113"/>
      <c r="O313" s="114"/>
      <c r="P313" s="115"/>
      <c r="R313" s="115"/>
    </row>
    <row r="314" spans="13:18" ht="14.4">
      <c r="M314" s="113"/>
      <c r="N314" s="113"/>
      <c r="O314" s="114"/>
      <c r="P314" s="115"/>
      <c r="R314" s="115"/>
    </row>
    <row r="315" spans="13:18" ht="14.4">
      <c r="M315" s="113"/>
      <c r="N315" s="113"/>
      <c r="O315" s="114"/>
      <c r="P315" s="115"/>
      <c r="R315" s="115"/>
    </row>
    <row r="316" spans="13:18" ht="14.4">
      <c r="M316" s="113"/>
      <c r="N316" s="113"/>
      <c r="O316" s="114"/>
      <c r="P316" s="115"/>
      <c r="R316" s="115"/>
    </row>
    <row r="317" spans="13:18" ht="14.4">
      <c r="M317" s="113"/>
      <c r="N317" s="113"/>
      <c r="O317" s="114"/>
      <c r="P317" s="115"/>
      <c r="R317" s="115"/>
    </row>
    <row r="318" spans="13:18" ht="14.4">
      <c r="M318" s="113"/>
      <c r="N318" s="113"/>
      <c r="O318" s="114"/>
      <c r="P318" s="115"/>
      <c r="R318" s="115"/>
    </row>
    <row r="319" spans="13:18" ht="14.4">
      <c r="M319" s="113"/>
      <c r="N319" s="113"/>
      <c r="O319" s="114"/>
      <c r="P319" s="115"/>
      <c r="R319" s="115"/>
    </row>
    <row r="320" spans="13:18" ht="14.4">
      <c r="M320" s="113"/>
      <c r="N320" s="113"/>
      <c r="O320" s="114"/>
      <c r="P320" s="115"/>
      <c r="R320" s="115"/>
    </row>
    <row r="321" spans="13:18" ht="14.4">
      <c r="M321" s="113"/>
      <c r="N321" s="113"/>
      <c r="O321" s="114"/>
      <c r="P321" s="115"/>
      <c r="R321" s="115"/>
    </row>
    <row r="322" spans="13:18" ht="14.4">
      <c r="M322" s="113"/>
      <c r="N322" s="113"/>
      <c r="O322" s="114"/>
      <c r="P322" s="115"/>
      <c r="R322" s="115"/>
    </row>
    <row r="323" spans="13:18" ht="14.4">
      <c r="M323" s="113"/>
      <c r="N323" s="113"/>
      <c r="O323" s="114"/>
      <c r="P323" s="115"/>
      <c r="R323" s="115"/>
    </row>
    <row r="324" spans="13:18" ht="14.4">
      <c r="M324" s="113"/>
      <c r="N324" s="113"/>
      <c r="O324" s="114"/>
      <c r="P324" s="115"/>
      <c r="R324" s="115"/>
    </row>
    <row r="325" spans="13:18" ht="14.4">
      <c r="M325" s="113"/>
      <c r="N325" s="113"/>
      <c r="O325" s="114"/>
      <c r="P325" s="115"/>
      <c r="R325" s="115"/>
    </row>
    <row r="326" spans="13:18" ht="14.4">
      <c r="M326" s="113"/>
      <c r="N326" s="113"/>
      <c r="O326" s="114"/>
      <c r="P326" s="115"/>
      <c r="R326" s="115"/>
    </row>
    <row r="327" spans="13:18" ht="14.4">
      <c r="M327" s="113"/>
      <c r="N327" s="113"/>
      <c r="O327" s="114"/>
      <c r="P327" s="115"/>
      <c r="R327" s="115"/>
    </row>
    <row r="328" spans="13:18" ht="14.4">
      <c r="M328" s="113"/>
      <c r="N328" s="113"/>
      <c r="O328" s="114"/>
      <c r="P328" s="115"/>
      <c r="R328" s="115"/>
    </row>
    <row r="329" spans="13:18" ht="14.4">
      <c r="M329" s="113"/>
      <c r="N329" s="113"/>
      <c r="O329" s="114"/>
      <c r="P329" s="115"/>
      <c r="R329" s="115"/>
    </row>
    <row r="330" spans="13:18" ht="14.4">
      <c r="M330" s="113"/>
      <c r="N330" s="113"/>
      <c r="O330" s="114"/>
      <c r="P330" s="115"/>
      <c r="R330" s="115"/>
    </row>
    <row r="331" spans="13:18" ht="14.4">
      <c r="M331" s="113"/>
      <c r="N331" s="113"/>
      <c r="O331" s="114"/>
      <c r="P331" s="115"/>
      <c r="R331" s="115"/>
    </row>
    <row r="332" spans="13:18" ht="14.4">
      <c r="M332" s="113"/>
      <c r="N332" s="113"/>
      <c r="O332" s="114"/>
      <c r="P332" s="115"/>
      <c r="R332" s="115"/>
    </row>
    <row r="333" spans="13:18" ht="14.4">
      <c r="M333" s="113"/>
      <c r="N333" s="113"/>
      <c r="O333" s="114"/>
      <c r="P333" s="115"/>
      <c r="R333" s="115"/>
    </row>
    <row r="334" spans="13:18" ht="14.4">
      <c r="M334" s="113"/>
      <c r="N334" s="113"/>
      <c r="O334" s="114"/>
      <c r="P334" s="115"/>
      <c r="R334" s="115"/>
    </row>
    <row r="335" spans="13:18" ht="14.4">
      <c r="M335" s="113"/>
      <c r="N335" s="113"/>
      <c r="O335" s="114"/>
      <c r="P335" s="115"/>
      <c r="R335" s="115"/>
    </row>
    <row r="336" spans="13:18" ht="14.4">
      <c r="M336" s="113"/>
      <c r="N336" s="113"/>
      <c r="O336" s="114"/>
      <c r="P336" s="115"/>
      <c r="R336" s="115"/>
    </row>
    <row r="337" spans="13:18" ht="14.4">
      <c r="M337" s="113"/>
      <c r="N337" s="113"/>
      <c r="O337" s="114"/>
      <c r="P337" s="115"/>
      <c r="R337" s="115"/>
    </row>
    <row r="338" spans="13:18" ht="14.4">
      <c r="M338" s="113"/>
      <c r="N338" s="113"/>
      <c r="O338" s="114"/>
      <c r="P338" s="115"/>
      <c r="R338" s="115"/>
    </row>
    <row r="339" spans="13:18" ht="14.4">
      <c r="M339" s="113"/>
      <c r="N339" s="113"/>
      <c r="O339" s="114"/>
      <c r="P339" s="115"/>
      <c r="R339" s="115"/>
    </row>
    <row r="340" spans="13:18" ht="14.4">
      <c r="M340" s="113"/>
      <c r="N340" s="113"/>
      <c r="O340" s="114"/>
      <c r="P340" s="115"/>
      <c r="R340" s="115"/>
    </row>
    <row r="341" spans="13:18" ht="14.4">
      <c r="M341" s="113"/>
      <c r="N341" s="113"/>
      <c r="O341" s="114"/>
      <c r="P341" s="115"/>
      <c r="R341" s="115"/>
    </row>
    <row r="342" spans="13:18" ht="14.4">
      <c r="M342" s="113"/>
      <c r="N342" s="113"/>
      <c r="O342" s="114"/>
      <c r="P342" s="115"/>
      <c r="R342" s="115"/>
    </row>
    <row r="343" spans="13:18" ht="14.4">
      <c r="M343" s="113"/>
      <c r="N343" s="113"/>
      <c r="O343" s="114"/>
      <c r="P343" s="115"/>
      <c r="R343" s="115"/>
    </row>
    <row r="344" spans="13:18" ht="14.4">
      <c r="M344" s="113"/>
      <c r="N344" s="113"/>
      <c r="O344" s="114"/>
      <c r="P344" s="115"/>
      <c r="R344" s="115"/>
    </row>
    <row r="345" spans="13:18" ht="14.4">
      <c r="M345" s="113"/>
      <c r="N345" s="113"/>
      <c r="O345" s="114"/>
      <c r="P345" s="115"/>
      <c r="R345" s="115"/>
    </row>
    <row r="346" spans="13:18" ht="14.4">
      <c r="M346" s="113"/>
      <c r="N346" s="113"/>
      <c r="O346" s="114"/>
      <c r="P346" s="115"/>
      <c r="R346" s="115"/>
    </row>
    <row r="347" spans="13:18" ht="14.4">
      <c r="M347" s="113"/>
      <c r="N347" s="113"/>
      <c r="O347" s="114"/>
      <c r="P347" s="115"/>
      <c r="R347" s="115"/>
    </row>
    <row r="348" spans="13:18" ht="14.4">
      <c r="M348" s="113"/>
      <c r="N348" s="113"/>
      <c r="O348" s="114"/>
      <c r="P348" s="115"/>
      <c r="R348" s="115"/>
    </row>
    <row r="349" spans="13:18" ht="14.4">
      <c r="M349" s="113"/>
      <c r="N349" s="113"/>
      <c r="O349" s="114"/>
      <c r="P349" s="115"/>
      <c r="R349" s="115"/>
    </row>
    <row r="350" spans="13:18" ht="14.4">
      <c r="M350" s="113"/>
      <c r="N350" s="113"/>
      <c r="O350" s="114"/>
      <c r="P350" s="115"/>
      <c r="R350" s="115"/>
    </row>
    <row r="351" spans="13:18" ht="14.4">
      <c r="M351" s="113"/>
      <c r="N351" s="113"/>
      <c r="O351" s="114"/>
      <c r="P351" s="115"/>
      <c r="R351" s="115"/>
    </row>
    <row r="352" spans="13:18" ht="14.4">
      <c r="M352" s="113"/>
      <c r="N352" s="113"/>
      <c r="O352" s="114"/>
      <c r="P352" s="115"/>
      <c r="R352" s="115"/>
    </row>
    <row r="353" spans="13:18" ht="14.4">
      <c r="M353" s="113"/>
      <c r="N353" s="113"/>
      <c r="O353" s="114"/>
      <c r="P353" s="115"/>
      <c r="R353" s="115"/>
    </row>
    <row r="354" spans="13:18" ht="14.4">
      <c r="M354" s="113"/>
      <c r="N354" s="113"/>
      <c r="O354" s="114"/>
      <c r="P354" s="115"/>
      <c r="R354" s="115"/>
    </row>
    <row r="355" spans="13:18" ht="14.4">
      <c r="M355" s="113"/>
      <c r="N355" s="113"/>
      <c r="O355" s="114"/>
      <c r="P355" s="115"/>
      <c r="R355" s="115"/>
    </row>
    <row r="356" spans="13:18" ht="14.4">
      <c r="M356" s="113"/>
      <c r="N356" s="113"/>
      <c r="O356" s="114"/>
      <c r="P356" s="115"/>
      <c r="R356" s="115"/>
    </row>
    <row r="357" spans="13:18" ht="14.4">
      <c r="M357" s="113"/>
      <c r="N357" s="113"/>
      <c r="O357" s="114"/>
      <c r="P357" s="115"/>
      <c r="R357" s="115"/>
    </row>
    <row r="358" spans="13:18" ht="14.4">
      <c r="M358" s="113"/>
      <c r="N358" s="113"/>
      <c r="O358" s="114"/>
      <c r="P358" s="115"/>
      <c r="R358" s="115"/>
    </row>
    <row r="359" spans="13:18" ht="14.4">
      <c r="M359" s="113"/>
      <c r="N359" s="113"/>
      <c r="O359" s="114"/>
      <c r="P359" s="115"/>
      <c r="R359" s="115"/>
    </row>
    <row r="360" spans="13:18" ht="14.4">
      <c r="M360" s="113"/>
      <c r="N360" s="113"/>
      <c r="O360" s="114"/>
      <c r="P360" s="115"/>
      <c r="R360" s="115"/>
    </row>
    <row r="361" spans="13:18" ht="14.4">
      <c r="M361" s="113"/>
      <c r="N361" s="113"/>
      <c r="O361" s="114"/>
      <c r="P361" s="115"/>
      <c r="R361" s="115"/>
    </row>
    <row r="362" spans="13:18" ht="14.4">
      <c r="M362" s="113"/>
      <c r="N362" s="113"/>
      <c r="O362" s="114"/>
      <c r="P362" s="115"/>
      <c r="R362" s="115"/>
    </row>
    <row r="363" spans="13:18" ht="14.4">
      <c r="M363" s="113"/>
      <c r="N363" s="113"/>
      <c r="O363" s="114"/>
      <c r="P363" s="115"/>
      <c r="R363" s="115"/>
    </row>
    <row r="364" spans="13:18" ht="14.4">
      <c r="M364" s="113"/>
      <c r="N364" s="113"/>
      <c r="O364" s="114"/>
      <c r="P364" s="115"/>
      <c r="R364" s="115"/>
    </row>
    <row r="365" spans="13:18" ht="14.4">
      <c r="M365" s="113"/>
      <c r="N365" s="113"/>
      <c r="O365" s="114"/>
      <c r="P365" s="115"/>
      <c r="R365" s="115"/>
    </row>
    <row r="366" spans="13:18" ht="14.4">
      <c r="M366" s="113"/>
      <c r="N366" s="113"/>
      <c r="O366" s="114"/>
      <c r="P366" s="115"/>
      <c r="R366" s="115"/>
    </row>
    <row r="367" spans="13:18" ht="14.4">
      <c r="M367" s="113"/>
      <c r="N367" s="113"/>
      <c r="O367" s="114"/>
      <c r="P367" s="115"/>
      <c r="R367" s="115"/>
    </row>
    <row r="368" spans="13:18" ht="14.4">
      <c r="M368" s="113"/>
      <c r="N368" s="113"/>
      <c r="O368" s="114"/>
      <c r="P368" s="115"/>
      <c r="R368" s="115"/>
    </row>
    <row r="369" spans="13:18" ht="14.4">
      <c r="M369" s="113"/>
      <c r="N369" s="113"/>
      <c r="O369" s="114"/>
      <c r="P369" s="115"/>
      <c r="R369" s="115"/>
    </row>
    <row r="370" spans="13:18" ht="14.4">
      <c r="M370" s="113"/>
      <c r="N370" s="113"/>
      <c r="O370" s="114"/>
      <c r="P370" s="115"/>
      <c r="R370" s="115"/>
    </row>
    <row r="371" spans="13:18" ht="14.4">
      <c r="M371" s="113"/>
      <c r="N371" s="113"/>
      <c r="O371" s="114"/>
      <c r="P371" s="115"/>
      <c r="R371" s="115"/>
    </row>
    <row r="372" spans="13:18" ht="14.4">
      <c r="M372" s="113"/>
      <c r="N372" s="113"/>
      <c r="O372" s="114"/>
      <c r="P372" s="115"/>
      <c r="R372" s="115"/>
    </row>
    <row r="373" spans="13:18" ht="14.4">
      <c r="M373" s="113"/>
      <c r="N373" s="113"/>
      <c r="O373" s="114"/>
      <c r="P373" s="115"/>
      <c r="R373" s="115"/>
    </row>
    <row r="374" spans="13:18" ht="14.4">
      <c r="M374" s="113"/>
      <c r="N374" s="113"/>
      <c r="O374" s="114"/>
      <c r="P374" s="115"/>
      <c r="R374" s="115"/>
    </row>
    <row r="375" spans="13:18" ht="14.4">
      <c r="M375" s="113"/>
      <c r="N375" s="113"/>
      <c r="O375" s="114"/>
      <c r="P375" s="115"/>
      <c r="R375" s="115"/>
    </row>
    <row r="376" spans="13:18" ht="14.4">
      <c r="M376" s="113"/>
      <c r="N376" s="113"/>
      <c r="O376" s="114"/>
      <c r="P376" s="115"/>
      <c r="R376" s="115"/>
    </row>
    <row r="377" spans="13:18" ht="14.4">
      <c r="M377" s="113"/>
      <c r="N377" s="113"/>
      <c r="O377" s="114"/>
      <c r="P377" s="115"/>
      <c r="R377" s="115"/>
    </row>
    <row r="378" spans="13:18" ht="14.4">
      <c r="M378" s="113"/>
      <c r="N378" s="113"/>
      <c r="O378" s="114"/>
      <c r="P378" s="115"/>
      <c r="R378" s="115"/>
    </row>
    <row r="379" spans="13:18" ht="14.4">
      <c r="M379" s="113"/>
      <c r="N379" s="113"/>
      <c r="O379" s="114"/>
      <c r="P379" s="115"/>
      <c r="R379" s="115"/>
    </row>
    <row r="380" spans="13:18" ht="14.4">
      <c r="M380" s="113"/>
      <c r="N380" s="113"/>
      <c r="O380" s="114"/>
      <c r="P380" s="115"/>
      <c r="R380" s="115"/>
    </row>
    <row r="381" spans="13:18" ht="14.4">
      <c r="M381" s="113"/>
      <c r="N381" s="113"/>
      <c r="O381" s="114"/>
      <c r="P381" s="115"/>
      <c r="R381" s="115"/>
    </row>
    <row r="382" spans="13:18" ht="14.4">
      <c r="M382" s="113"/>
      <c r="N382" s="113"/>
      <c r="O382" s="114"/>
      <c r="P382" s="115"/>
      <c r="R382" s="115"/>
    </row>
    <row r="383" spans="13:18" ht="14.4">
      <c r="M383" s="113"/>
      <c r="N383" s="113"/>
      <c r="O383" s="114"/>
      <c r="P383" s="115"/>
      <c r="R383" s="115"/>
    </row>
    <row r="384" spans="13:18" ht="14.4">
      <c r="M384" s="113"/>
      <c r="N384" s="113"/>
      <c r="O384" s="114"/>
      <c r="P384" s="115"/>
      <c r="R384" s="115"/>
    </row>
    <row r="385" spans="13:18" ht="14.4">
      <c r="M385" s="113"/>
      <c r="N385" s="113"/>
      <c r="O385" s="114"/>
      <c r="P385" s="115"/>
      <c r="R385" s="115"/>
    </row>
    <row r="386" spans="13:18" ht="14.4">
      <c r="M386" s="113"/>
      <c r="N386" s="113"/>
      <c r="O386" s="114"/>
      <c r="P386" s="115"/>
      <c r="R386" s="115"/>
    </row>
    <row r="387" spans="13:18" ht="14.4">
      <c r="M387" s="113"/>
      <c r="N387" s="113"/>
      <c r="O387" s="114"/>
      <c r="P387" s="115"/>
      <c r="R387" s="115"/>
    </row>
    <row r="388" spans="13:18" ht="14.4">
      <c r="M388" s="113"/>
      <c r="N388" s="113"/>
      <c r="O388" s="114"/>
      <c r="P388" s="115"/>
      <c r="R388" s="115"/>
    </row>
    <row r="389" spans="13:18" ht="14.4">
      <c r="M389" s="113"/>
      <c r="N389" s="113"/>
      <c r="O389" s="114"/>
      <c r="P389" s="115"/>
      <c r="R389" s="115"/>
    </row>
    <row r="390" spans="13:18" ht="14.4">
      <c r="M390" s="113"/>
      <c r="N390" s="113"/>
      <c r="O390" s="114"/>
      <c r="P390" s="115"/>
      <c r="R390" s="115"/>
    </row>
    <row r="391" spans="13:18" ht="14.4">
      <c r="M391" s="113"/>
      <c r="N391" s="113"/>
      <c r="O391" s="114"/>
      <c r="P391" s="115"/>
      <c r="R391" s="115"/>
    </row>
    <row r="392" spans="13:18" ht="14.4">
      <c r="M392" s="113"/>
      <c r="N392" s="113"/>
      <c r="O392" s="114"/>
      <c r="P392" s="115"/>
      <c r="R392" s="115"/>
    </row>
    <row r="393" spans="13:18" ht="14.4">
      <c r="M393" s="113"/>
      <c r="N393" s="113"/>
      <c r="O393" s="114"/>
      <c r="P393" s="115"/>
      <c r="R393" s="115"/>
    </row>
    <row r="394" spans="13:18" ht="14.4">
      <c r="M394" s="113"/>
      <c r="N394" s="113"/>
      <c r="O394" s="114"/>
      <c r="P394" s="115"/>
      <c r="R394" s="115"/>
    </row>
    <row r="395" spans="13:18" ht="14.4">
      <c r="M395" s="113"/>
      <c r="N395" s="113"/>
      <c r="O395" s="114"/>
      <c r="P395" s="115"/>
      <c r="R395" s="115"/>
    </row>
    <row r="396" spans="13:18" ht="14.4">
      <c r="M396" s="113"/>
      <c r="N396" s="113"/>
      <c r="O396" s="114"/>
      <c r="P396" s="115"/>
      <c r="R396" s="115"/>
    </row>
    <row r="397" spans="13:18" ht="14.4">
      <c r="M397" s="113"/>
      <c r="N397" s="113"/>
      <c r="O397" s="114"/>
      <c r="P397" s="115"/>
      <c r="R397" s="115"/>
    </row>
    <row r="398" spans="13:18" ht="14.4">
      <c r="M398" s="113"/>
      <c r="N398" s="113"/>
      <c r="O398" s="114"/>
      <c r="P398" s="115"/>
      <c r="R398" s="115"/>
    </row>
    <row r="399" spans="13:18" ht="14.4">
      <c r="M399" s="113"/>
      <c r="N399" s="113"/>
      <c r="O399" s="114"/>
      <c r="P399" s="115"/>
      <c r="R399" s="115"/>
    </row>
    <row r="400" spans="13:18" ht="14.4">
      <c r="M400" s="113"/>
      <c r="N400" s="113"/>
      <c r="O400" s="114"/>
      <c r="P400" s="115"/>
      <c r="R400" s="115"/>
    </row>
    <row r="401" spans="13:18" ht="14.4">
      <c r="M401" s="113"/>
      <c r="N401" s="113"/>
      <c r="O401" s="114"/>
      <c r="P401" s="115"/>
      <c r="R401" s="115"/>
    </row>
    <row r="402" spans="13:18" ht="14.4">
      <c r="M402" s="113"/>
      <c r="N402" s="113"/>
      <c r="O402" s="114"/>
      <c r="P402" s="115"/>
      <c r="R402" s="115"/>
    </row>
    <row r="403" spans="13:18" ht="14.4">
      <c r="M403" s="113"/>
      <c r="N403" s="113"/>
      <c r="O403" s="114"/>
      <c r="P403" s="115"/>
      <c r="R403" s="115"/>
    </row>
    <row r="404" spans="13:18" ht="14.4">
      <c r="M404" s="113"/>
      <c r="N404" s="113"/>
      <c r="O404" s="114"/>
      <c r="P404" s="115"/>
      <c r="R404" s="115"/>
    </row>
    <row r="405" spans="13:18" ht="14.4">
      <c r="M405" s="113"/>
      <c r="N405" s="113"/>
      <c r="O405" s="114"/>
      <c r="P405" s="115"/>
      <c r="R405" s="115"/>
    </row>
    <row r="406" spans="13:18" ht="14.4">
      <c r="M406" s="113"/>
      <c r="N406" s="113"/>
      <c r="O406" s="114"/>
      <c r="P406" s="115"/>
      <c r="R406" s="115"/>
    </row>
    <row r="407" spans="13:18" ht="14.4">
      <c r="M407" s="113"/>
      <c r="N407" s="113"/>
      <c r="O407" s="114"/>
      <c r="P407" s="115"/>
      <c r="R407" s="115"/>
    </row>
    <row r="408" spans="13:18" ht="14.4">
      <c r="M408" s="113"/>
      <c r="N408" s="113"/>
      <c r="O408" s="114"/>
      <c r="P408" s="115"/>
      <c r="R408" s="115"/>
    </row>
    <row r="409" spans="13:18" ht="14.4">
      <c r="M409" s="113"/>
      <c r="N409" s="113"/>
      <c r="O409" s="114"/>
      <c r="P409" s="115"/>
      <c r="R409" s="115"/>
    </row>
    <row r="410" spans="13:18" ht="14.4">
      <c r="M410" s="113"/>
      <c r="N410" s="113"/>
      <c r="O410" s="114"/>
      <c r="P410" s="115"/>
      <c r="R410" s="115"/>
    </row>
    <row r="411" spans="13:18" ht="14.4">
      <c r="M411" s="113"/>
      <c r="N411" s="113"/>
      <c r="O411" s="114"/>
      <c r="P411" s="115"/>
      <c r="R411" s="115"/>
    </row>
    <row r="412" spans="13:18" ht="14.4">
      <c r="M412" s="113"/>
      <c r="N412" s="113"/>
      <c r="O412" s="114"/>
      <c r="P412" s="115"/>
      <c r="R412" s="115"/>
    </row>
    <row r="413" spans="13:18" ht="14.4">
      <c r="M413" s="113"/>
      <c r="N413" s="113"/>
      <c r="O413" s="114"/>
      <c r="P413" s="115"/>
      <c r="R413" s="115"/>
    </row>
    <row r="414" spans="13:18" ht="14.4">
      <c r="M414" s="113"/>
      <c r="N414" s="113"/>
      <c r="O414" s="114"/>
      <c r="P414" s="115"/>
      <c r="R414" s="115"/>
    </row>
    <row r="415" spans="13:18" ht="14.4">
      <c r="M415" s="113"/>
      <c r="N415" s="113"/>
      <c r="O415" s="114"/>
      <c r="P415" s="115"/>
      <c r="R415" s="115"/>
    </row>
    <row r="416" spans="13:18" ht="14.4">
      <c r="M416" s="113"/>
      <c r="N416" s="113"/>
      <c r="O416" s="114"/>
      <c r="P416" s="115"/>
      <c r="R416" s="115"/>
    </row>
    <row r="417" spans="13:18" ht="14.4">
      <c r="M417" s="113"/>
      <c r="N417" s="113"/>
      <c r="O417" s="114"/>
      <c r="P417" s="115"/>
      <c r="R417" s="115"/>
    </row>
    <row r="418" spans="13:18" ht="14.4">
      <c r="M418" s="113"/>
      <c r="N418" s="113"/>
      <c r="O418" s="114"/>
      <c r="P418" s="115"/>
      <c r="R418" s="115"/>
    </row>
    <row r="419" spans="13:18" ht="14.4">
      <c r="M419" s="113"/>
      <c r="N419" s="113"/>
      <c r="O419" s="114"/>
      <c r="P419" s="115"/>
      <c r="R419" s="115"/>
    </row>
    <row r="420" spans="13:18" ht="14.4">
      <c r="M420" s="113"/>
      <c r="N420" s="113"/>
      <c r="O420" s="114"/>
      <c r="P420" s="115"/>
      <c r="R420" s="115"/>
    </row>
    <row r="421" spans="13:18" ht="14.4">
      <c r="M421" s="113"/>
      <c r="N421" s="113"/>
      <c r="O421" s="114"/>
      <c r="P421" s="115"/>
      <c r="R421" s="115"/>
    </row>
    <row r="422" spans="13:18" ht="14.4">
      <c r="M422" s="113"/>
      <c r="N422" s="113"/>
      <c r="O422" s="114"/>
      <c r="P422" s="115"/>
      <c r="R422" s="115"/>
    </row>
    <row r="423" spans="13:18" ht="14.4">
      <c r="M423" s="113"/>
      <c r="N423" s="113"/>
      <c r="O423" s="114"/>
      <c r="P423" s="115"/>
      <c r="R423" s="115"/>
    </row>
    <row r="424" spans="13:18" ht="14.4">
      <c r="M424" s="113"/>
      <c r="N424" s="113"/>
      <c r="O424" s="114"/>
      <c r="P424" s="115"/>
      <c r="R424" s="115"/>
    </row>
    <row r="425" spans="13:18" ht="14.4">
      <c r="M425" s="113"/>
      <c r="N425" s="113"/>
      <c r="O425" s="114"/>
      <c r="P425" s="115"/>
      <c r="R425" s="115"/>
    </row>
    <row r="426" spans="13:18" ht="14.4">
      <c r="M426" s="113"/>
      <c r="N426" s="113"/>
      <c r="O426" s="114"/>
      <c r="P426" s="115"/>
      <c r="R426" s="115"/>
    </row>
    <row r="427" spans="13:18" ht="14.4">
      <c r="M427" s="113"/>
      <c r="N427" s="113"/>
      <c r="O427" s="114"/>
      <c r="P427" s="115"/>
      <c r="R427" s="115"/>
    </row>
    <row r="428" spans="13:18" ht="14.4">
      <c r="M428" s="113"/>
      <c r="N428" s="113"/>
      <c r="O428" s="114"/>
      <c r="P428" s="115"/>
      <c r="R428" s="115"/>
    </row>
    <row r="429" spans="13:18" ht="14.4">
      <c r="M429" s="113"/>
      <c r="N429" s="113"/>
      <c r="O429" s="114"/>
      <c r="P429" s="115"/>
      <c r="R429" s="115"/>
    </row>
    <row r="430" spans="13:18" ht="14.4">
      <c r="M430" s="113"/>
      <c r="N430" s="113"/>
      <c r="O430" s="114"/>
      <c r="P430" s="115"/>
      <c r="R430" s="115"/>
    </row>
    <row r="431" spans="13:18" ht="14.4">
      <c r="M431" s="113"/>
      <c r="N431" s="113"/>
      <c r="O431" s="114"/>
      <c r="P431" s="115"/>
      <c r="R431" s="115"/>
    </row>
    <row r="432" spans="13:18" ht="14.4">
      <c r="M432" s="113"/>
      <c r="N432" s="113"/>
      <c r="O432" s="114"/>
      <c r="P432" s="115"/>
      <c r="R432" s="115"/>
    </row>
    <row r="433" spans="13:18" ht="14.4">
      <c r="M433" s="113"/>
      <c r="N433" s="113"/>
      <c r="O433" s="114"/>
      <c r="P433" s="115"/>
      <c r="R433" s="115"/>
    </row>
    <row r="434" spans="13:18" ht="14.4">
      <c r="M434" s="113"/>
      <c r="N434" s="113"/>
      <c r="O434" s="114"/>
      <c r="P434" s="115"/>
      <c r="R434" s="115"/>
    </row>
    <row r="435" spans="13:18" ht="14.4">
      <c r="M435" s="113"/>
      <c r="N435" s="113"/>
      <c r="O435" s="114"/>
      <c r="P435" s="115"/>
      <c r="R435" s="115"/>
    </row>
    <row r="436" spans="13:18" ht="14.4">
      <c r="M436" s="113"/>
      <c r="N436" s="113"/>
      <c r="O436" s="114"/>
      <c r="P436" s="115"/>
      <c r="R436" s="115"/>
    </row>
    <row r="437" spans="13:18" ht="14.4">
      <c r="M437" s="113"/>
      <c r="N437" s="113"/>
      <c r="O437" s="114"/>
      <c r="P437" s="115"/>
      <c r="R437" s="115"/>
    </row>
    <row r="438" spans="13:18" ht="14.4">
      <c r="M438" s="113"/>
      <c r="N438" s="113"/>
      <c r="O438" s="114"/>
      <c r="P438" s="115"/>
      <c r="R438" s="115"/>
    </row>
    <row r="439" spans="13:18" ht="14.4">
      <c r="M439" s="113"/>
      <c r="N439" s="113"/>
      <c r="O439" s="114"/>
      <c r="P439" s="115"/>
      <c r="R439" s="115"/>
    </row>
    <row r="440" spans="13:18" ht="14.4">
      <c r="M440" s="113"/>
      <c r="N440" s="113"/>
      <c r="O440" s="114"/>
      <c r="P440" s="115"/>
      <c r="R440" s="115"/>
    </row>
    <row r="441" spans="13:18" ht="14.4">
      <c r="M441" s="113"/>
      <c r="N441" s="113"/>
      <c r="O441" s="114"/>
      <c r="P441" s="115"/>
      <c r="R441" s="115"/>
    </row>
    <row r="442" spans="13:18" ht="14.4">
      <c r="M442" s="113"/>
      <c r="N442" s="113"/>
      <c r="O442" s="114"/>
      <c r="P442" s="115"/>
      <c r="R442" s="115"/>
    </row>
    <row r="443" spans="13:18" ht="14.4">
      <c r="M443" s="113"/>
      <c r="N443" s="113"/>
      <c r="O443" s="114"/>
      <c r="P443" s="115"/>
      <c r="R443" s="115"/>
    </row>
    <row r="444" spans="13:18" ht="14.4">
      <c r="M444" s="113"/>
      <c r="N444" s="113"/>
      <c r="O444" s="114"/>
      <c r="P444" s="115"/>
      <c r="R444" s="115"/>
    </row>
    <row r="445" spans="13:18" ht="14.4">
      <c r="M445" s="113"/>
      <c r="N445" s="113"/>
      <c r="O445" s="114"/>
      <c r="P445" s="115"/>
      <c r="R445" s="115"/>
    </row>
    <row r="446" spans="13:18" ht="14.4">
      <c r="M446" s="113"/>
      <c r="N446" s="113"/>
      <c r="O446" s="114"/>
      <c r="P446" s="115"/>
      <c r="R446" s="115"/>
    </row>
    <row r="447" spans="13:18" ht="14.4">
      <c r="M447" s="113"/>
      <c r="N447" s="113"/>
      <c r="O447" s="114"/>
      <c r="P447" s="115"/>
      <c r="R447" s="115"/>
    </row>
    <row r="448" spans="13:18" ht="14.4">
      <c r="M448" s="113"/>
      <c r="N448" s="113"/>
      <c r="O448" s="114"/>
      <c r="P448" s="115"/>
      <c r="R448" s="115"/>
    </row>
    <row r="449" spans="13:18" ht="14.4">
      <c r="M449" s="113"/>
      <c r="N449" s="113"/>
      <c r="O449" s="114"/>
      <c r="P449" s="115"/>
      <c r="R449" s="115"/>
    </row>
    <row r="450" spans="13:18" ht="14.4">
      <c r="M450" s="113"/>
      <c r="N450" s="113"/>
      <c r="O450" s="114"/>
      <c r="P450" s="115"/>
      <c r="R450" s="115"/>
    </row>
    <row r="451" spans="13:18" ht="14.4">
      <c r="M451" s="113"/>
      <c r="N451" s="113"/>
      <c r="O451" s="114"/>
      <c r="P451" s="115"/>
      <c r="R451" s="115"/>
    </row>
    <row r="452" spans="13:18" ht="14.4">
      <c r="M452" s="113"/>
      <c r="N452" s="113"/>
      <c r="O452" s="114"/>
      <c r="P452" s="115"/>
      <c r="R452" s="115"/>
    </row>
    <row r="453" spans="13:18" ht="14.4">
      <c r="M453" s="113"/>
      <c r="N453" s="113"/>
      <c r="O453" s="114"/>
      <c r="P453" s="115"/>
      <c r="R453" s="115"/>
    </row>
    <row r="454" spans="13:18" ht="14.4">
      <c r="M454" s="113"/>
      <c r="N454" s="113"/>
      <c r="O454" s="114"/>
      <c r="P454" s="115"/>
      <c r="R454" s="115"/>
    </row>
    <row r="455" spans="13:18" ht="14.4">
      <c r="M455" s="113"/>
      <c r="N455" s="113"/>
      <c r="O455" s="114"/>
      <c r="P455" s="115"/>
      <c r="R455" s="115"/>
    </row>
    <row r="456" spans="13:18" ht="14.4">
      <c r="M456" s="113"/>
      <c r="N456" s="113"/>
      <c r="O456" s="114"/>
      <c r="P456" s="115"/>
      <c r="R456" s="115"/>
    </row>
    <row r="457" spans="13:18" ht="14.4">
      <c r="M457" s="113"/>
      <c r="N457" s="113"/>
      <c r="O457" s="114"/>
      <c r="P457" s="115"/>
      <c r="R457" s="115"/>
    </row>
    <row r="458" spans="13:18" ht="14.4">
      <c r="M458" s="113"/>
      <c r="N458" s="113"/>
      <c r="O458" s="114"/>
      <c r="P458" s="115"/>
      <c r="R458" s="115"/>
    </row>
    <row r="459" spans="13:18" ht="14.4">
      <c r="M459" s="113"/>
      <c r="N459" s="113"/>
      <c r="O459" s="114"/>
      <c r="P459" s="115"/>
      <c r="R459" s="115"/>
    </row>
    <row r="460" spans="13:18" ht="14.4">
      <c r="M460" s="113"/>
      <c r="N460" s="113"/>
      <c r="O460" s="114"/>
      <c r="P460" s="115"/>
      <c r="R460" s="115"/>
    </row>
    <row r="461" spans="13:18" ht="14.4">
      <c r="M461" s="113"/>
      <c r="N461" s="113"/>
      <c r="O461" s="114"/>
      <c r="P461" s="115"/>
      <c r="R461" s="115"/>
    </row>
    <row r="462" spans="13:18" ht="14.4">
      <c r="M462" s="113"/>
      <c r="N462" s="113"/>
      <c r="O462" s="114"/>
      <c r="P462" s="115"/>
      <c r="R462" s="115"/>
    </row>
    <row r="463" spans="13:18" ht="14.4">
      <c r="M463" s="113"/>
      <c r="N463" s="113"/>
      <c r="O463" s="114"/>
      <c r="P463" s="115"/>
      <c r="R463" s="115"/>
    </row>
    <row r="464" spans="13:18" ht="14.4">
      <c r="M464" s="113"/>
      <c r="N464" s="113"/>
      <c r="O464" s="114"/>
      <c r="P464" s="115"/>
      <c r="R464" s="115"/>
    </row>
    <row r="465" spans="13:18" ht="14.4">
      <c r="M465" s="113"/>
      <c r="N465" s="113"/>
      <c r="O465" s="114"/>
      <c r="P465" s="115"/>
      <c r="R465" s="115"/>
    </row>
    <row r="466" spans="13:18" ht="14.4">
      <c r="M466" s="113"/>
      <c r="N466" s="113"/>
      <c r="O466" s="114"/>
      <c r="P466" s="115"/>
      <c r="R466" s="115"/>
    </row>
    <row r="467" spans="13:18" ht="14.4">
      <c r="M467" s="113"/>
      <c r="N467" s="113"/>
      <c r="O467" s="114"/>
      <c r="P467" s="115"/>
      <c r="R467" s="115"/>
    </row>
    <row r="468" spans="13:18" ht="14.4">
      <c r="M468" s="113"/>
      <c r="N468" s="113"/>
      <c r="O468" s="114"/>
      <c r="P468" s="115"/>
      <c r="R468" s="115"/>
    </row>
    <row r="469" spans="13:18" ht="14.4">
      <c r="M469" s="113"/>
      <c r="N469" s="113"/>
      <c r="O469" s="114"/>
      <c r="P469" s="115"/>
      <c r="R469" s="115"/>
    </row>
    <row r="470" spans="13:18" ht="14.4">
      <c r="M470" s="113"/>
      <c r="N470" s="113"/>
      <c r="O470" s="114"/>
      <c r="P470" s="115"/>
      <c r="R470" s="115"/>
    </row>
    <row r="471" spans="13:18" ht="14.4">
      <c r="M471" s="113"/>
      <c r="N471" s="113"/>
      <c r="O471" s="114"/>
      <c r="P471" s="115"/>
      <c r="R471" s="115"/>
    </row>
    <row r="472" spans="13:18" ht="14.4">
      <c r="M472" s="113"/>
      <c r="N472" s="113"/>
      <c r="O472" s="114"/>
      <c r="P472" s="115"/>
      <c r="R472" s="115"/>
    </row>
    <row r="473" spans="13:18" ht="14.4">
      <c r="M473" s="113"/>
      <c r="N473" s="113"/>
      <c r="O473" s="114"/>
      <c r="P473" s="115"/>
      <c r="R473" s="115"/>
    </row>
    <row r="474" spans="13:18" ht="14.4">
      <c r="M474" s="113"/>
      <c r="N474" s="113"/>
      <c r="O474" s="114"/>
      <c r="P474" s="115"/>
      <c r="R474" s="115"/>
    </row>
    <row r="475" spans="13:18" ht="14.4">
      <c r="M475" s="113"/>
      <c r="N475" s="113"/>
      <c r="O475" s="114"/>
      <c r="P475" s="115"/>
      <c r="R475" s="115"/>
    </row>
    <row r="476" spans="13:18" ht="14.4">
      <c r="M476" s="113"/>
      <c r="N476" s="113"/>
      <c r="O476" s="114"/>
      <c r="P476" s="115"/>
      <c r="R476" s="115"/>
    </row>
    <row r="477" spans="13:18" ht="14.4">
      <c r="M477" s="113"/>
      <c r="N477" s="113"/>
      <c r="O477" s="114"/>
      <c r="P477" s="115"/>
      <c r="R477" s="115"/>
    </row>
    <row r="478" spans="13:18" ht="14.4">
      <c r="M478" s="113"/>
      <c r="N478" s="113"/>
      <c r="O478" s="114"/>
      <c r="P478" s="115"/>
      <c r="R478" s="115"/>
    </row>
    <row r="479" spans="13:18" ht="14.4">
      <c r="M479" s="113"/>
      <c r="N479" s="113"/>
      <c r="O479" s="114"/>
      <c r="P479" s="115"/>
      <c r="R479" s="115"/>
    </row>
    <row r="480" spans="13:18" ht="14.4">
      <c r="M480" s="113"/>
      <c r="N480" s="113"/>
      <c r="O480" s="114"/>
      <c r="P480" s="115"/>
      <c r="R480" s="115"/>
    </row>
    <row r="481" spans="13:18" ht="14.4">
      <c r="M481" s="113"/>
      <c r="N481" s="113"/>
      <c r="O481" s="114"/>
      <c r="P481" s="115"/>
      <c r="R481" s="115"/>
    </row>
    <row r="482" spans="13:18" ht="14.4">
      <c r="M482" s="113"/>
      <c r="N482" s="113"/>
      <c r="O482" s="114"/>
      <c r="P482" s="115"/>
      <c r="R482" s="115"/>
    </row>
    <row r="483" spans="13:18" ht="14.4">
      <c r="M483" s="113"/>
      <c r="N483" s="113"/>
      <c r="O483" s="114"/>
      <c r="P483" s="115"/>
      <c r="R483" s="115"/>
    </row>
    <row r="484" spans="13:18" ht="14.4">
      <c r="M484" s="113"/>
      <c r="N484" s="113"/>
      <c r="O484" s="114"/>
      <c r="P484" s="115"/>
      <c r="R484" s="115"/>
    </row>
    <row r="485" spans="13:18" ht="14.4">
      <c r="M485" s="113"/>
      <c r="N485" s="113"/>
      <c r="O485" s="114"/>
      <c r="P485" s="115"/>
      <c r="R485" s="115"/>
    </row>
    <row r="486" spans="13:18" ht="14.4">
      <c r="M486" s="113"/>
      <c r="N486" s="113"/>
      <c r="O486" s="114"/>
      <c r="P486" s="115"/>
      <c r="R486" s="115"/>
    </row>
    <row r="487" spans="13:18" ht="14.4">
      <c r="M487" s="113"/>
      <c r="N487" s="113"/>
      <c r="O487" s="114"/>
      <c r="P487" s="115"/>
      <c r="R487" s="115"/>
    </row>
    <row r="488" spans="13:18" ht="14.4">
      <c r="M488" s="113"/>
      <c r="N488" s="113"/>
      <c r="O488" s="114"/>
      <c r="P488" s="115"/>
      <c r="R488" s="115"/>
    </row>
    <row r="489" spans="13:18" ht="14.4">
      <c r="M489" s="113"/>
      <c r="N489" s="113"/>
      <c r="O489" s="114"/>
      <c r="P489" s="115"/>
      <c r="R489" s="115"/>
    </row>
    <row r="490" spans="13:18" ht="14.4">
      <c r="M490" s="113"/>
      <c r="N490" s="113"/>
      <c r="O490" s="114"/>
      <c r="P490" s="115"/>
      <c r="R490" s="115"/>
    </row>
    <row r="491" spans="13:18" ht="14.4">
      <c r="M491" s="113"/>
      <c r="N491" s="113"/>
      <c r="O491" s="114"/>
      <c r="P491" s="115"/>
      <c r="R491" s="115"/>
    </row>
    <row r="492" spans="13:18" ht="14.4">
      <c r="M492" s="113"/>
      <c r="N492" s="113"/>
      <c r="O492" s="114"/>
      <c r="P492" s="115"/>
      <c r="R492" s="115"/>
    </row>
    <row r="493" spans="13:18" ht="14.4">
      <c r="M493" s="113"/>
      <c r="N493" s="113"/>
      <c r="O493" s="114"/>
      <c r="P493" s="115"/>
      <c r="R493" s="115"/>
    </row>
    <row r="494" spans="13:18" ht="14.4">
      <c r="M494" s="113"/>
      <c r="N494" s="113"/>
      <c r="O494" s="114"/>
      <c r="P494" s="115"/>
      <c r="R494" s="115"/>
    </row>
    <row r="495" spans="13:18" ht="14.4">
      <c r="M495" s="113"/>
      <c r="N495" s="113"/>
      <c r="O495" s="114"/>
      <c r="P495" s="115"/>
      <c r="R495" s="115"/>
    </row>
    <row r="496" spans="13:18" ht="14.4">
      <c r="M496" s="113"/>
      <c r="N496" s="113"/>
      <c r="O496" s="114"/>
      <c r="P496" s="115"/>
      <c r="R496" s="115"/>
    </row>
    <row r="497" spans="13:18" ht="14.4">
      <c r="M497" s="113"/>
      <c r="N497" s="113"/>
      <c r="O497" s="114"/>
      <c r="P497" s="115"/>
      <c r="R497" s="115"/>
    </row>
    <row r="498" spans="13:18" ht="14.4">
      <c r="M498" s="113"/>
      <c r="N498" s="113"/>
      <c r="O498" s="114"/>
      <c r="P498" s="115"/>
      <c r="R498" s="115"/>
    </row>
    <row r="499" spans="13:18" ht="14.4">
      <c r="M499" s="113"/>
      <c r="N499" s="113"/>
      <c r="O499" s="114"/>
      <c r="P499" s="115"/>
      <c r="R499" s="115"/>
    </row>
    <row r="500" spans="13:18" ht="14.4">
      <c r="M500" s="113"/>
      <c r="N500" s="113"/>
      <c r="O500" s="114"/>
      <c r="P500" s="115"/>
      <c r="R500" s="115"/>
    </row>
    <row r="501" spans="13:18" ht="14.4">
      <c r="M501" s="113"/>
      <c r="N501" s="113"/>
      <c r="O501" s="114"/>
      <c r="P501" s="115"/>
      <c r="R501" s="115"/>
    </row>
    <row r="502" spans="13:18" ht="14.4">
      <c r="M502" s="113"/>
      <c r="N502" s="113"/>
      <c r="O502" s="114"/>
      <c r="P502" s="115"/>
      <c r="R502" s="115"/>
    </row>
    <row r="503" spans="13:18" ht="14.4">
      <c r="M503" s="113"/>
      <c r="N503" s="113"/>
      <c r="O503" s="114"/>
      <c r="P503" s="115"/>
      <c r="R503" s="115"/>
    </row>
    <row r="504" spans="13:18" ht="14.4">
      <c r="M504" s="113"/>
      <c r="N504" s="113"/>
      <c r="O504" s="114"/>
      <c r="P504" s="115"/>
      <c r="R504" s="115"/>
    </row>
    <row r="505" spans="13:18" ht="14.4">
      <c r="M505" s="113"/>
      <c r="N505" s="113"/>
      <c r="O505" s="114"/>
      <c r="P505" s="115"/>
      <c r="R505" s="115"/>
    </row>
    <row r="506" spans="13:18" ht="14.4">
      <c r="M506" s="113"/>
      <c r="N506" s="113"/>
      <c r="O506" s="114"/>
      <c r="P506" s="115"/>
      <c r="R506" s="115"/>
    </row>
    <row r="507" spans="13:18" ht="14.4">
      <c r="M507" s="113"/>
      <c r="N507" s="113"/>
      <c r="O507" s="114"/>
      <c r="P507" s="115"/>
      <c r="R507" s="115"/>
    </row>
    <row r="508" spans="13:18" ht="14.4">
      <c r="M508" s="113"/>
      <c r="N508" s="113"/>
      <c r="O508" s="114"/>
      <c r="P508" s="115"/>
      <c r="R508" s="115"/>
    </row>
    <row r="509" spans="13:18" ht="14.4">
      <c r="M509" s="113"/>
      <c r="N509" s="113"/>
      <c r="O509" s="114"/>
      <c r="P509" s="115"/>
      <c r="R509" s="115"/>
    </row>
    <row r="510" spans="13:18" ht="14.4">
      <c r="M510" s="113"/>
      <c r="N510" s="113"/>
      <c r="O510" s="114"/>
      <c r="P510" s="115"/>
      <c r="R510" s="115"/>
    </row>
    <row r="511" spans="13:18" ht="14.4">
      <c r="M511" s="113"/>
      <c r="N511" s="113"/>
      <c r="O511" s="114"/>
      <c r="P511" s="115"/>
      <c r="R511" s="115"/>
    </row>
    <row r="512" spans="13:18" ht="14.4">
      <c r="M512" s="113"/>
      <c r="N512" s="113"/>
      <c r="O512" s="114"/>
      <c r="P512" s="115"/>
      <c r="R512" s="115"/>
    </row>
    <row r="513" spans="13:18" ht="14.4">
      <c r="M513" s="113"/>
      <c r="N513" s="113"/>
      <c r="O513" s="114"/>
      <c r="P513" s="115"/>
      <c r="R513" s="115"/>
    </row>
    <row r="514" spans="13:18" ht="14.4">
      <c r="M514" s="113"/>
      <c r="N514" s="113"/>
      <c r="O514" s="114"/>
      <c r="P514" s="115"/>
      <c r="R514" s="115"/>
    </row>
    <row r="515" spans="13:18" ht="14.4">
      <c r="M515" s="113"/>
      <c r="N515" s="113"/>
      <c r="O515" s="114"/>
      <c r="P515" s="115"/>
      <c r="R515" s="115"/>
    </row>
    <row r="516" spans="13:18" ht="14.4">
      <c r="M516" s="113"/>
      <c r="N516" s="113"/>
      <c r="O516" s="114"/>
      <c r="P516" s="115"/>
      <c r="R516" s="115"/>
    </row>
    <row r="517" spans="13:18" ht="14.4">
      <c r="M517" s="113"/>
      <c r="N517" s="113"/>
      <c r="O517" s="114"/>
      <c r="P517" s="115"/>
      <c r="R517" s="115"/>
    </row>
    <row r="518" spans="13:18" ht="14.4">
      <c r="M518" s="113"/>
      <c r="N518" s="113"/>
      <c r="O518" s="114"/>
      <c r="P518" s="115"/>
      <c r="R518" s="115"/>
    </row>
    <row r="519" spans="13:18" ht="14.4">
      <c r="M519" s="113"/>
      <c r="N519" s="113"/>
      <c r="O519" s="114"/>
      <c r="P519" s="115"/>
      <c r="R519" s="115"/>
    </row>
    <row r="520" spans="13:18" ht="14.4">
      <c r="M520" s="113"/>
      <c r="N520" s="113"/>
      <c r="O520" s="114"/>
      <c r="P520" s="115"/>
      <c r="R520" s="115"/>
    </row>
    <row r="521" spans="13:18" ht="14.4">
      <c r="M521" s="113"/>
      <c r="N521" s="113"/>
      <c r="O521" s="114"/>
      <c r="P521" s="115"/>
      <c r="R521" s="115"/>
    </row>
    <row r="522" spans="13:18" ht="14.4">
      <c r="M522" s="113"/>
      <c r="N522" s="113"/>
      <c r="O522" s="114"/>
      <c r="P522" s="115"/>
      <c r="R522" s="115"/>
    </row>
    <row r="523" spans="13:18" ht="14.4">
      <c r="M523" s="113"/>
      <c r="N523" s="113"/>
      <c r="O523" s="114"/>
      <c r="P523" s="115"/>
      <c r="R523" s="115"/>
    </row>
    <row r="524" spans="13:18" ht="14.4">
      <c r="M524" s="113"/>
      <c r="N524" s="113"/>
      <c r="O524" s="114"/>
      <c r="P524" s="115"/>
      <c r="R524" s="115"/>
    </row>
    <row r="525" spans="13:18" ht="14.4">
      <c r="M525" s="113"/>
      <c r="N525" s="113"/>
      <c r="O525" s="114"/>
      <c r="P525" s="115"/>
      <c r="R525" s="115"/>
    </row>
    <row r="526" spans="13:18" ht="14.4">
      <c r="M526" s="113"/>
      <c r="N526" s="113"/>
      <c r="O526" s="114"/>
      <c r="P526" s="115"/>
      <c r="R526" s="115"/>
    </row>
    <row r="527" spans="13:18" ht="14.4">
      <c r="M527" s="113"/>
      <c r="N527" s="113"/>
      <c r="O527" s="114"/>
      <c r="P527" s="115"/>
      <c r="R527" s="115"/>
    </row>
    <row r="528" spans="13:18" ht="14.4">
      <c r="M528" s="113"/>
      <c r="N528" s="113"/>
      <c r="O528" s="114"/>
      <c r="P528" s="115"/>
      <c r="R528" s="115"/>
    </row>
    <row r="529" spans="13:18" ht="14.4">
      <c r="M529" s="113"/>
      <c r="N529" s="113"/>
      <c r="O529" s="114"/>
      <c r="P529" s="115"/>
      <c r="R529" s="115"/>
    </row>
    <row r="530" spans="13:18" ht="14.4">
      <c r="M530" s="113"/>
      <c r="N530" s="113"/>
      <c r="O530" s="114"/>
      <c r="P530" s="115"/>
      <c r="R530" s="115"/>
    </row>
    <row r="531" spans="13:18" ht="14.4">
      <c r="M531" s="113"/>
      <c r="N531" s="113"/>
      <c r="O531" s="114"/>
      <c r="P531" s="115"/>
      <c r="R531" s="115"/>
    </row>
    <row r="532" spans="13:18" ht="14.4">
      <c r="M532" s="113"/>
      <c r="N532" s="113"/>
      <c r="O532" s="114"/>
      <c r="P532" s="115"/>
      <c r="R532" s="115"/>
    </row>
    <row r="533" spans="13:18" ht="14.4">
      <c r="M533" s="113"/>
      <c r="N533" s="113"/>
      <c r="O533" s="114"/>
      <c r="P533" s="115"/>
      <c r="R533" s="115"/>
    </row>
    <row r="534" spans="13:18" ht="14.4">
      <c r="M534" s="113"/>
      <c r="N534" s="113"/>
      <c r="O534" s="114"/>
      <c r="P534" s="115"/>
      <c r="R534" s="115"/>
    </row>
    <row r="535" spans="13:18" ht="14.4">
      <c r="M535" s="113"/>
      <c r="N535" s="113"/>
      <c r="O535" s="114"/>
      <c r="P535" s="115"/>
      <c r="R535" s="115"/>
    </row>
    <row r="536" spans="13:18" ht="14.4">
      <c r="M536" s="113"/>
      <c r="N536" s="113"/>
      <c r="O536" s="114"/>
      <c r="P536" s="115"/>
      <c r="R536" s="115"/>
    </row>
    <row r="537" spans="13:18" ht="14.4">
      <c r="M537" s="113"/>
      <c r="N537" s="113"/>
      <c r="O537" s="114"/>
      <c r="P537" s="115"/>
      <c r="R537" s="115"/>
    </row>
    <row r="538" spans="13:18" ht="14.4">
      <c r="M538" s="113"/>
      <c r="N538" s="113"/>
      <c r="O538" s="114"/>
      <c r="P538" s="115"/>
      <c r="R538" s="115"/>
    </row>
    <row r="539" spans="13:18" ht="14.4">
      <c r="M539" s="113"/>
      <c r="N539" s="113"/>
      <c r="O539" s="114"/>
      <c r="P539" s="115"/>
      <c r="R539" s="115"/>
    </row>
    <row r="540" spans="13:18" ht="14.4">
      <c r="M540" s="113"/>
      <c r="N540" s="113"/>
      <c r="O540" s="114"/>
      <c r="P540" s="115"/>
      <c r="R540" s="115"/>
    </row>
    <row r="541" spans="13:18" ht="14.4">
      <c r="M541" s="113"/>
      <c r="N541" s="113"/>
      <c r="O541" s="114"/>
      <c r="P541" s="115"/>
      <c r="R541" s="115"/>
    </row>
    <row r="542" spans="13:18" ht="14.4">
      <c r="M542" s="113"/>
      <c r="N542" s="113"/>
      <c r="O542" s="114"/>
      <c r="P542" s="115"/>
      <c r="R542" s="115"/>
    </row>
    <row r="543" spans="13:18" ht="14.4">
      <c r="M543" s="113"/>
      <c r="N543" s="113"/>
      <c r="O543" s="114"/>
      <c r="P543" s="115"/>
      <c r="R543" s="115"/>
    </row>
    <row r="544" spans="13:18" ht="14.4">
      <c r="M544" s="113"/>
      <c r="N544" s="113"/>
      <c r="O544" s="114"/>
      <c r="P544" s="115"/>
      <c r="R544" s="115"/>
    </row>
    <row r="545" spans="13:18" ht="14.4">
      <c r="M545" s="113"/>
      <c r="N545" s="113"/>
      <c r="O545" s="114"/>
      <c r="P545" s="115"/>
      <c r="R545" s="115"/>
    </row>
    <row r="546" spans="13:18" ht="14.4">
      <c r="M546" s="113"/>
      <c r="N546" s="113"/>
      <c r="O546" s="114"/>
      <c r="P546" s="115"/>
      <c r="R546" s="115"/>
    </row>
    <row r="547" spans="13:18" ht="14.4">
      <c r="M547" s="113"/>
      <c r="N547" s="113"/>
      <c r="O547" s="114"/>
      <c r="P547" s="115"/>
      <c r="R547" s="115"/>
    </row>
    <row r="548" spans="13:18" ht="14.4">
      <c r="M548" s="113"/>
      <c r="N548" s="113"/>
      <c r="O548" s="114"/>
      <c r="P548" s="115"/>
      <c r="R548" s="115"/>
    </row>
    <row r="549" spans="13:18" ht="14.4">
      <c r="M549" s="113"/>
      <c r="N549" s="113"/>
      <c r="O549" s="114"/>
      <c r="P549" s="115"/>
      <c r="R549" s="115"/>
    </row>
    <row r="550" spans="13:18" ht="14.4">
      <c r="M550" s="113"/>
      <c r="N550" s="113"/>
      <c r="O550" s="114"/>
      <c r="P550" s="115"/>
      <c r="R550" s="115"/>
    </row>
    <row r="551" spans="13:18" ht="14.4">
      <c r="M551" s="113"/>
      <c r="N551" s="113"/>
      <c r="O551" s="114"/>
      <c r="P551" s="115"/>
      <c r="R551" s="115"/>
    </row>
    <row r="552" spans="13:18" ht="14.4">
      <c r="M552" s="113"/>
      <c r="N552" s="113"/>
      <c r="O552" s="114"/>
      <c r="P552" s="115"/>
      <c r="R552" s="115"/>
    </row>
    <row r="553" spans="13:18" ht="14.4">
      <c r="M553" s="113"/>
      <c r="N553" s="113"/>
      <c r="O553" s="114"/>
      <c r="P553" s="115"/>
      <c r="R553" s="115"/>
    </row>
    <row r="554" spans="13:18" ht="14.4">
      <c r="M554" s="113"/>
      <c r="N554" s="113"/>
      <c r="O554" s="114"/>
      <c r="P554" s="115"/>
      <c r="R554" s="115"/>
    </row>
    <row r="555" spans="13:18" ht="14.4">
      <c r="M555" s="113"/>
      <c r="N555" s="113"/>
      <c r="O555" s="114"/>
      <c r="P555" s="115"/>
      <c r="R555" s="115"/>
    </row>
    <row r="556" spans="13:18" ht="14.4">
      <c r="M556" s="113"/>
      <c r="N556" s="113"/>
      <c r="O556" s="114"/>
      <c r="P556" s="115"/>
      <c r="R556" s="115"/>
    </row>
    <row r="557" spans="13:18" ht="14.4">
      <c r="M557" s="113"/>
      <c r="N557" s="113"/>
      <c r="O557" s="114"/>
      <c r="P557" s="115"/>
      <c r="R557" s="115"/>
    </row>
    <row r="558" spans="13:18" ht="14.4">
      <c r="M558" s="113"/>
      <c r="N558" s="113"/>
      <c r="O558" s="114"/>
      <c r="P558" s="115"/>
      <c r="R558" s="115"/>
    </row>
    <row r="559" spans="13:18" ht="14.4">
      <c r="M559" s="113"/>
      <c r="N559" s="113"/>
      <c r="O559" s="114"/>
      <c r="P559" s="115"/>
      <c r="R559" s="115"/>
    </row>
    <row r="560" spans="13:18" ht="14.4">
      <c r="M560" s="113"/>
      <c r="N560" s="113"/>
      <c r="O560" s="114"/>
      <c r="P560" s="115"/>
      <c r="R560" s="115"/>
    </row>
    <row r="561" spans="13:18" ht="14.4">
      <c r="M561" s="113"/>
      <c r="N561" s="113"/>
      <c r="O561" s="114"/>
      <c r="P561" s="115"/>
      <c r="R561" s="115"/>
    </row>
    <row r="562" spans="13:18" ht="14.4">
      <c r="M562" s="113"/>
      <c r="N562" s="113"/>
      <c r="O562" s="114"/>
      <c r="P562" s="115"/>
      <c r="R562" s="115"/>
    </row>
    <row r="563" spans="13:18" ht="14.4">
      <c r="M563" s="113"/>
      <c r="N563" s="113"/>
      <c r="O563" s="114"/>
      <c r="P563" s="115"/>
      <c r="R563" s="115"/>
    </row>
    <row r="564" spans="13:18" ht="14.4">
      <c r="M564" s="113"/>
      <c r="N564" s="113"/>
      <c r="O564" s="114"/>
      <c r="P564" s="115"/>
      <c r="R564" s="115"/>
    </row>
    <row r="565" spans="13:18" ht="14.4">
      <c r="M565" s="113"/>
      <c r="N565" s="113"/>
      <c r="O565" s="114"/>
      <c r="P565" s="115"/>
      <c r="R565" s="115"/>
    </row>
    <row r="566" spans="13:18" ht="14.4">
      <c r="M566" s="113"/>
      <c r="N566" s="113"/>
      <c r="O566" s="114"/>
      <c r="P566" s="115"/>
      <c r="R566" s="115"/>
    </row>
    <row r="567" spans="13:18" ht="14.4">
      <c r="M567" s="113"/>
      <c r="N567" s="113"/>
      <c r="O567" s="114"/>
      <c r="P567" s="115"/>
      <c r="R567" s="115"/>
    </row>
    <row r="568" spans="13:18" ht="14.4">
      <c r="M568" s="113"/>
      <c r="N568" s="113"/>
      <c r="O568" s="114"/>
      <c r="P568" s="115"/>
      <c r="R568" s="115"/>
    </row>
    <row r="569" spans="13:18" ht="14.4">
      <c r="M569" s="113"/>
      <c r="N569" s="113"/>
      <c r="O569" s="114"/>
      <c r="P569" s="115"/>
      <c r="R569" s="115"/>
    </row>
    <row r="570" spans="13:18" ht="14.4">
      <c r="M570" s="113"/>
      <c r="N570" s="113"/>
      <c r="O570" s="114"/>
      <c r="P570" s="115"/>
      <c r="R570" s="115"/>
    </row>
    <row r="571" spans="13:18" ht="14.4">
      <c r="M571" s="113"/>
      <c r="N571" s="113"/>
      <c r="O571" s="114"/>
      <c r="P571" s="115"/>
      <c r="R571" s="115"/>
    </row>
    <row r="572" spans="13:18" ht="14.4">
      <c r="M572" s="113"/>
      <c r="N572" s="113"/>
      <c r="O572" s="114"/>
      <c r="P572" s="115"/>
      <c r="R572" s="115"/>
    </row>
    <row r="573" spans="13:18" ht="14.4">
      <c r="M573" s="113"/>
      <c r="N573" s="113"/>
      <c r="O573" s="114"/>
      <c r="P573" s="115"/>
      <c r="R573" s="115"/>
    </row>
    <row r="574" spans="13:18" ht="14.4">
      <c r="M574" s="113"/>
      <c r="N574" s="113"/>
      <c r="O574" s="114"/>
      <c r="P574" s="115"/>
      <c r="R574" s="115"/>
    </row>
    <row r="575" spans="13:18" ht="14.4">
      <c r="M575" s="113"/>
      <c r="N575" s="113"/>
      <c r="O575" s="114"/>
      <c r="P575" s="115"/>
      <c r="R575" s="115"/>
    </row>
    <row r="576" spans="13:18" ht="14.4">
      <c r="M576" s="113"/>
      <c r="N576" s="113"/>
      <c r="O576" s="114"/>
      <c r="P576" s="115"/>
      <c r="R576" s="115"/>
    </row>
    <row r="577" spans="13:18" ht="14.4">
      <c r="M577" s="113"/>
      <c r="N577" s="113"/>
      <c r="O577" s="114"/>
      <c r="P577" s="115"/>
      <c r="R577" s="115"/>
    </row>
    <row r="578" spans="13:18" ht="14.4">
      <c r="M578" s="113"/>
      <c r="N578" s="113"/>
      <c r="O578" s="114"/>
      <c r="P578" s="115"/>
      <c r="R578" s="115"/>
    </row>
    <row r="579" spans="13:18" ht="14.4">
      <c r="M579" s="113"/>
      <c r="N579" s="113"/>
      <c r="O579" s="114"/>
      <c r="P579" s="115"/>
      <c r="R579" s="115"/>
    </row>
    <row r="580" spans="13:18" ht="14.4">
      <c r="M580" s="113"/>
      <c r="N580" s="113"/>
      <c r="O580" s="114"/>
      <c r="P580" s="115"/>
      <c r="R580" s="115"/>
    </row>
    <row r="581" spans="13:18" ht="14.4">
      <c r="M581" s="113"/>
      <c r="N581" s="113"/>
      <c r="O581" s="114"/>
      <c r="P581" s="115"/>
      <c r="R581" s="115"/>
    </row>
    <row r="582" spans="13:18" ht="14.4">
      <c r="M582" s="113"/>
      <c r="N582" s="113"/>
      <c r="O582" s="114"/>
      <c r="P582" s="115"/>
      <c r="R582" s="115"/>
    </row>
    <row r="583" spans="13:18" ht="14.4">
      <c r="M583" s="113"/>
      <c r="N583" s="113"/>
      <c r="O583" s="114"/>
      <c r="P583" s="115"/>
      <c r="R583" s="115"/>
    </row>
    <row r="584" spans="13:18" ht="14.4">
      <c r="M584" s="113"/>
      <c r="N584" s="113"/>
      <c r="O584" s="114"/>
      <c r="P584" s="115"/>
      <c r="R584" s="115"/>
    </row>
    <row r="585" spans="13:18" ht="14.4">
      <c r="M585" s="113"/>
      <c r="N585" s="113"/>
      <c r="O585" s="114"/>
      <c r="P585" s="115"/>
      <c r="R585" s="115"/>
    </row>
    <row r="586" spans="13:18" ht="14.4">
      <c r="M586" s="113"/>
      <c r="N586" s="113"/>
      <c r="O586" s="114"/>
      <c r="P586" s="115"/>
      <c r="R586" s="115"/>
    </row>
    <row r="587" spans="13:18" ht="14.4">
      <c r="M587" s="113"/>
      <c r="N587" s="113"/>
      <c r="O587" s="114"/>
      <c r="P587" s="115"/>
      <c r="R587" s="115"/>
    </row>
    <row r="588" spans="13:18" ht="14.4">
      <c r="M588" s="113"/>
      <c r="N588" s="113"/>
      <c r="O588" s="114"/>
      <c r="P588" s="115"/>
      <c r="R588" s="115"/>
    </row>
    <row r="589" spans="13:18" ht="14.4">
      <c r="M589" s="113"/>
      <c r="N589" s="113"/>
      <c r="O589" s="114"/>
      <c r="P589" s="115"/>
      <c r="R589" s="115"/>
    </row>
    <row r="590" spans="13:18" ht="14.4">
      <c r="M590" s="113"/>
      <c r="N590" s="113"/>
      <c r="O590" s="114"/>
      <c r="P590" s="115"/>
      <c r="R590" s="115"/>
    </row>
    <row r="591" spans="13:18" ht="14.4">
      <c r="M591" s="113"/>
      <c r="N591" s="113"/>
      <c r="O591" s="114"/>
      <c r="P591" s="115"/>
      <c r="R591" s="115"/>
    </row>
    <row r="592" spans="13:18" ht="14.4">
      <c r="M592" s="113"/>
      <c r="N592" s="113"/>
      <c r="O592" s="114"/>
      <c r="P592" s="115"/>
      <c r="R592" s="115"/>
    </row>
    <row r="593" spans="13:18" ht="14.4">
      <c r="M593" s="113"/>
      <c r="N593" s="113"/>
      <c r="O593" s="114"/>
      <c r="P593" s="115"/>
      <c r="R593" s="115"/>
    </row>
    <row r="594" spans="13:18" ht="14.4">
      <c r="M594" s="113"/>
      <c r="N594" s="113"/>
      <c r="O594" s="114"/>
      <c r="P594" s="115"/>
      <c r="R594" s="115"/>
    </row>
    <row r="595" spans="13:18" ht="14.4">
      <c r="M595" s="113"/>
      <c r="N595" s="113"/>
      <c r="O595" s="114"/>
      <c r="P595" s="115"/>
      <c r="R595" s="115"/>
    </row>
    <row r="596" spans="13:18" ht="14.4">
      <c r="M596" s="113"/>
      <c r="N596" s="113"/>
      <c r="O596" s="114"/>
      <c r="P596" s="115"/>
      <c r="R596" s="115"/>
    </row>
    <row r="597" spans="13:18" ht="14.4">
      <c r="M597" s="113"/>
      <c r="N597" s="113"/>
      <c r="O597" s="114"/>
      <c r="P597" s="115"/>
      <c r="R597" s="115"/>
    </row>
    <row r="598" spans="13:18" ht="14.4">
      <c r="M598" s="113"/>
      <c r="N598" s="113"/>
      <c r="O598" s="114"/>
      <c r="P598" s="115"/>
      <c r="R598" s="115"/>
    </row>
    <row r="599" spans="13:18" ht="14.4">
      <c r="M599" s="113"/>
      <c r="N599" s="113"/>
      <c r="O599" s="114"/>
      <c r="P599" s="115"/>
      <c r="R599" s="115"/>
    </row>
    <row r="600" spans="13:18" ht="14.4">
      <c r="M600" s="113"/>
      <c r="N600" s="113"/>
      <c r="O600" s="114"/>
      <c r="P600" s="115"/>
      <c r="R600" s="115"/>
    </row>
    <row r="601" spans="13:18" ht="14.4">
      <c r="M601" s="113"/>
      <c r="N601" s="113"/>
      <c r="O601" s="114"/>
      <c r="P601" s="115"/>
      <c r="R601" s="115"/>
    </row>
    <row r="602" spans="13:18" ht="14.4">
      <c r="M602" s="113"/>
      <c r="N602" s="113"/>
      <c r="O602" s="114"/>
      <c r="P602" s="115"/>
      <c r="R602" s="115"/>
    </row>
    <row r="603" spans="13:18" ht="14.4">
      <c r="M603" s="113"/>
      <c r="N603" s="113"/>
      <c r="O603" s="114"/>
      <c r="P603" s="115"/>
      <c r="R603" s="115"/>
    </row>
    <row r="604" spans="13:18" ht="14.4">
      <c r="M604" s="113"/>
      <c r="N604" s="113"/>
      <c r="O604" s="114"/>
      <c r="P604" s="115"/>
      <c r="R604" s="115"/>
    </row>
    <row r="605" spans="13:18" ht="14.4">
      <c r="M605" s="113"/>
      <c r="N605" s="113"/>
      <c r="O605" s="114"/>
      <c r="P605" s="115"/>
      <c r="R605" s="115"/>
    </row>
    <row r="606" spans="13:18" ht="14.4">
      <c r="M606" s="113"/>
      <c r="N606" s="113"/>
      <c r="O606" s="114"/>
      <c r="P606" s="115"/>
      <c r="R606" s="115"/>
    </row>
    <row r="607" spans="13:18" ht="14.4">
      <c r="M607" s="113"/>
      <c r="N607" s="113"/>
      <c r="O607" s="114"/>
      <c r="P607" s="115"/>
      <c r="R607" s="115"/>
    </row>
    <row r="608" spans="13:18" ht="14.4">
      <c r="M608" s="113"/>
      <c r="N608" s="113"/>
      <c r="O608" s="114"/>
      <c r="P608" s="115"/>
      <c r="R608" s="115"/>
    </row>
    <row r="609" spans="13:18" ht="14.4">
      <c r="M609" s="113"/>
      <c r="N609" s="113"/>
      <c r="O609" s="114"/>
      <c r="P609" s="115"/>
      <c r="R609" s="115"/>
    </row>
    <row r="610" spans="13:18" ht="14.4">
      <c r="M610" s="113"/>
      <c r="N610" s="113"/>
      <c r="O610" s="114"/>
      <c r="P610" s="115"/>
      <c r="R610" s="115"/>
    </row>
    <row r="611" spans="13:18" ht="14.4">
      <c r="M611" s="113"/>
      <c r="N611" s="113"/>
      <c r="O611" s="114"/>
      <c r="P611" s="115"/>
      <c r="R611" s="115"/>
    </row>
    <row r="612" spans="13:18" ht="14.4">
      <c r="M612" s="113"/>
      <c r="N612" s="113"/>
      <c r="O612" s="114"/>
      <c r="P612" s="115"/>
      <c r="R612" s="115"/>
    </row>
    <row r="613" spans="13:18" ht="14.4">
      <c r="M613" s="113"/>
      <c r="N613" s="113"/>
      <c r="O613" s="114"/>
      <c r="P613" s="115"/>
      <c r="R613" s="115"/>
    </row>
    <row r="614" spans="13:18" ht="14.4">
      <c r="M614" s="113"/>
      <c r="N614" s="113"/>
      <c r="O614" s="114"/>
      <c r="P614" s="115"/>
      <c r="R614" s="115"/>
    </row>
    <row r="615" spans="13:18" ht="14.4">
      <c r="M615" s="113"/>
      <c r="N615" s="113"/>
      <c r="O615" s="114"/>
      <c r="P615" s="115"/>
      <c r="R615" s="115"/>
    </row>
    <row r="616" spans="13:18" ht="14.4">
      <c r="M616" s="113"/>
      <c r="N616" s="113"/>
      <c r="O616" s="114"/>
      <c r="P616" s="115"/>
      <c r="R616" s="115"/>
    </row>
    <row r="617" spans="13:18" ht="14.4">
      <c r="M617" s="113"/>
      <c r="N617" s="113"/>
      <c r="O617" s="114"/>
      <c r="P617" s="115"/>
      <c r="R617" s="115"/>
    </row>
    <row r="618" spans="13:18" ht="14.4">
      <c r="M618" s="113"/>
      <c r="N618" s="113"/>
      <c r="O618" s="114"/>
      <c r="P618" s="115"/>
      <c r="R618" s="115"/>
    </row>
    <row r="619" spans="13:18" ht="14.4">
      <c r="M619" s="113"/>
      <c r="N619" s="113"/>
      <c r="O619" s="114"/>
      <c r="P619" s="115"/>
      <c r="R619" s="115"/>
    </row>
    <row r="620" spans="13:18" ht="14.4">
      <c r="M620" s="113"/>
      <c r="N620" s="113"/>
      <c r="O620" s="114"/>
      <c r="P620" s="115"/>
      <c r="R620" s="115"/>
    </row>
    <row r="621" spans="13:18" ht="14.4">
      <c r="M621" s="113"/>
      <c r="N621" s="113"/>
      <c r="O621" s="114"/>
      <c r="P621" s="115"/>
      <c r="R621" s="115"/>
    </row>
    <row r="622" spans="13:18" ht="14.4">
      <c r="M622" s="113"/>
      <c r="N622" s="113"/>
      <c r="O622" s="114"/>
      <c r="P622" s="115"/>
      <c r="R622" s="115"/>
    </row>
    <row r="623" spans="13:18" ht="14.4">
      <c r="M623" s="113"/>
      <c r="N623" s="113"/>
      <c r="O623" s="114"/>
      <c r="P623" s="115"/>
      <c r="R623" s="115"/>
    </row>
    <row r="624" spans="13:18" ht="14.4">
      <c r="M624" s="113"/>
      <c r="N624" s="113"/>
      <c r="O624" s="114"/>
      <c r="P624" s="115"/>
      <c r="R624" s="115"/>
    </row>
    <row r="625" spans="13:18" ht="14.4">
      <c r="M625" s="113"/>
      <c r="N625" s="113"/>
      <c r="O625" s="114"/>
      <c r="P625" s="115"/>
      <c r="R625" s="115"/>
    </row>
    <row r="626" spans="13:18" ht="14.4">
      <c r="M626" s="113"/>
      <c r="N626" s="113"/>
      <c r="O626" s="114"/>
      <c r="P626" s="115"/>
      <c r="R626" s="115"/>
    </row>
    <row r="627" spans="13:18" ht="14.4">
      <c r="M627" s="113"/>
      <c r="N627" s="113"/>
      <c r="O627" s="114"/>
      <c r="P627" s="115"/>
      <c r="R627" s="115"/>
    </row>
    <row r="628" spans="13:18" ht="14.4">
      <c r="M628" s="113"/>
      <c r="N628" s="113"/>
      <c r="O628" s="114"/>
      <c r="P628" s="115"/>
      <c r="R628" s="115"/>
    </row>
    <row r="629" spans="13:18" ht="14.4">
      <c r="M629" s="113"/>
      <c r="N629" s="113"/>
      <c r="O629" s="114"/>
      <c r="P629" s="115"/>
      <c r="R629" s="115"/>
    </row>
    <row r="630" spans="13:18" ht="14.4">
      <c r="M630" s="113"/>
      <c r="N630" s="113"/>
      <c r="O630" s="114"/>
      <c r="P630" s="115"/>
      <c r="R630" s="115"/>
    </row>
    <row r="631" spans="13:18" ht="14.4">
      <c r="M631" s="113"/>
      <c r="N631" s="113"/>
      <c r="O631" s="114"/>
      <c r="P631" s="115"/>
      <c r="R631" s="115"/>
    </row>
    <row r="632" spans="13:18" ht="14.4">
      <c r="M632" s="113"/>
      <c r="N632" s="113"/>
      <c r="O632" s="114"/>
      <c r="P632" s="115"/>
      <c r="R632" s="115"/>
    </row>
    <row r="633" spans="13:18" ht="14.4">
      <c r="M633" s="113"/>
      <c r="N633" s="113"/>
      <c r="O633" s="114"/>
      <c r="P633" s="115"/>
      <c r="R633" s="115"/>
    </row>
    <row r="634" spans="13:18" ht="14.4">
      <c r="M634" s="113"/>
      <c r="N634" s="113"/>
      <c r="O634" s="114"/>
      <c r="P634" s="115"/>
      <c r="R634" s="115"/>
    </row>
    <row r="635" spans="13:18" ht="14.4">
      <c r="M635" s="113"/>
      <c r="N635" s="113"/>
      <c r="O635" s="114"/>
      <c r="P635" s="115"/>
      <c r="R635" s="115"/>
    </row>
    <row r="636" spans="13:18" ht="14.4">
      <c r="M636" s="113"/>
      <c r="N636" s="113"/>
      <c r="O636" s="114"/>
      <c r="P636" s="115"/>
      <c r="R636" s="115"/>
    </row>
    <row r="637" spans="13:18" ht="14.4">
      <c r="M637" s="113"/>
      <c r="N637" s="113"/>
      <c r="O637" s="114"/>
      <c r="P637" s="115"/>
      <c r="R637" s="115"/>
    </row>
    <row r="638" spans="13:18" ht="14.4">
      <c r="M638" s="113"/>
      <c r="N638" s="113"/>
      <c r="O638" s="114"/>
      <c r="P638" s="115"/>
      <c r="R638" s="115"/>
    </row>
    <row r="639" spans="13:18" ht="14.4">
      <c r="M639" s="113"/>
      <c r="N639" s="113"/>
      <c r="O639" s="114"/>
      <c r="P639" s="115"/>
      <c r="R639" s="115"/>
    </row>
    <row r="640" spans="13:18" ht="14.4">
      <c r="M640" s="113"/>
      <c r="N640" s="113"/>
      <c r="O640" s="114"/>
      <c r="P640" s="115"/>
      <c r="R640" s="115"/>
    </row>
    <row r="641" spans="13:18" ht="14.4">
      <c r="M641" s="113"/>
      <c r="N641" s="113"/>
      <c r="O641" s="114"/>
      <c r="P641" s="115"/>
      <c r="R641" s="115"/>
    </row>
    <row r="642" spans="13:18" ht="14.4">
      <c r="M642" s="113"/>
      <c r="N642" s="113"/>
      <c r="O642" s="114"/>
      <c r="P642" s="115"/>
      <c r="R642" s="115"/>
    </row>
    <row r="643" spans="13:18" ht="14.4">
      <c r="M643" s="113"/>
      <c r="N643" s="113"/>
      <c r="O643" s="114"/>
      <c r="P643" s="115"/>
      <c r="R643" s="115"/>
    </row>
    <row r="644" spans="13:18" ht="14.4">
      <c r="M644" s="113"/>
      <c r="N644" s="113"/>
      <c r="O644" s="114"/>
      <c r="P644" s="115"/>
      <c r="R644" s="115"/>
    </row>
    <row r="645" spans="13:18" ht="14.4">
      <c r="M645" s="113"/>
      <c r="N645" s="113"/>
      <c r="O645" s="114"/>
      <c r="P645" s="115"/>
      <c r="R645" s="115"/>
    </row>
    <row r="646" spans="13:18" ht="14.4">
      <c r="M646" s="113"/>
      <c r="N646" s="113"/>
      <c r="O646" s="114"/>
      <c r="P646" s="115"/>
      <c r="R646" s="115"/>
    </row>
    <row r="647" spans="13:18" ht="14.4">
      <c r="M647" s="113"/>
      <c r="N647" s="113"/>
      <c r="O647" s="114"/>
      <c r="P647" s="115"/>
      <c r="R647" s="115"/>
    </row>
    <row r="648" spans="13:18" ht="14.4">
      <c r="M648" s="113"/>
      <c r="N648" s="113"/>
      <c r="O648" s="114"/>
      <c r="P648" s="115"/>
      <c r="R648" s="115"/>
    </row>
    <row r="649" spans="13:18" ht="14.4">
      <c r="M649" s="113"/>
      <c r="N649" s="113"/>
      <c r="O649" s="114"/>
      <c r="P649" s="115"/>
      <c r="R649" s="115"/>
    </row>
    <row r="650" spans="13:18" ht="14.4">
      <c r="M650" s="113"/>
      <c r="N650" s="113"/>
      <c r="O650" s="114"/>
      <c r="P650" s="115"/>
      <c r="R650" s="115"/>
    </row>
    <row r="651" spans="13:18" ht="14.4">
      <c r="M651" s="113"/>
      <c r="N651" s="113"/>
      <c r="O651" s="114"/>
      <c r="P651" s="115"/>
      <c r="R651" s="115"/>
    </row>
    <row r="652" spans="13:18" ht="14.4">
      <c r="M652" s="113"/>
      <c r="N652" s="113"/>
      <c r="O652" s="114"/>
      <c r="P652" s="115"/>
      <c r="R652" s="115"/>
    </row>
    <row r="653" spans="13:18" ht="14.4">
      <c r="M653" s="113"/>
      <c r="N653" s="113"/>
      <c r="O653" s="114"/>
      <c r="P653" s="115"/>
      <c r="R653" s="115"/>
    </row>
    <row r="654" spans="13:18" ht="14.4">
      <c r="M654" s="113"/>
      <c r="N654" s="113"/>
      <c r="O654" s="114"/>
      <c r="P654" s="115"/>
      <c r="R654" s="115"/>
    </row>
    <row r="655" spans="13:18" ht="14.4">
      <c r="M655" s="113"/>
      <c r="N655" s="113"/>
      <c r="O655" s="114"/>
      <c r="P655" s="115"/>
      <c r="R655" s="115"/>
    </row>
    <row r="656" spans="13:18" ht="14.4">
      <c r="M656" s="113"/>
      <c r="N656" s="113"/>
      <c r="O656" s="114"/>
      <c r="P656" s="115"/>
      <c r="R656" s="115"/>
    </row>
    <row r="657" spans="13:18" ht="14.4">
      <c r="M657" s="113"/>
      <c r="N657" s="113"/>
      <c r="O657" s="114"/>
      <c r="P657" s="115"/>
      <c r="R657" s="115"/>
    </row>
    <row r="658" spans="13:18" ht="14.4">
      <c r="M658" s="113"/>
      <c r="N658" s="113"/>
      <c r="O658" s="114"/>
      <c r="P658" s="115"/>
      <c r="R658" s="115"/>
    </row>
    <row r="659" spans="13:18" ht="14.4">
      <c r="M659" s="113"/>
      <c r="N659" s="113"/>
      <c r="O659" s="114"/>
      <c r="P659" s="115"/>
      <c r="R659" s="115"/>
    </row>
    <row r="660" spans="13:18" ht="14.4">
      <c r="M660" s="113"/>
      <c r="N660" s="113"/>
      <c r="O660" s="114"/>
      <c r="P660" s="115"/>
      <c r="R660" s="115"/>
    </row>
    <row r="661" spans="13:18" ht="14.4">
      <c r="M661" s="113"/>
      <c r="N661" s="113"/>
      <c r="O661" s="114"/>
      <c r="P661" s="115"/>
      <c r="R661" s="115"/>
    </row>
    <row r="662" spans="13:18" ht="14.4">
      <c r="M662" s="113"/>
      <c r="N662" s="113"/>
      <c r="O662" s="114"/>
      <c r="P662" s="115"/>
      <c r="R662" s="115"/>
    </row>
    <row r="663" spans="13:18" ht="14.4">
      <c r="M663" s="113"/>
      <c r="N663" s="113"/>
      <c r="O663" s="114"/>
      <c r="P663" s="115"/>
      <c r="R663" s="115"/>
    </row>
    <row r="664" spans="13:18" ht="14.4">
      <c r="M664" s="113"/>
      <c r="N664" s="113"/>
      <c r="O664" s="114"/>
      <c r="P664" s="115"/>
      <c r="R664" s="115"/>
    </row>
    <row r="665" spans="13:18" ht="14.4">
      <c r="M665" s="113"/>
      <c r="N665" s="113"/>
      <c r="O665" s="114"/>
      <c r="P665" s="115"/>
      <c r="R665" s="115"/>
    </row>
    <row r="666" spans="13:18" ht="14.4">
      <c r="M666" s="113"/>
      <c r="N666" s="113"/>
      <c r="O666" s="114"/>
      <c r="P666" s="115"/>
      <c r="R666" s="115"/>
    </row>
    <row r="667" spans="13:18" ht="14.4">
      <c r="M667" s="113"/>
      <c r="N667" s="113"/>
      <c r="O667" s="114"/>
      <c r="P667" s="115"/>
      <c r="R667" s="115"/>
    </row>
    <row r="668" spans="13:18" ht="14.4">
      <c r="M668" s="113"/>
      <c r="N668" s="113"/>
      <c r="O668" s="114"/>
      <c r="P668" s="115"/>
      <c r="R668" s="115"/>
    </row>
    <row r="669" spans="13:18" ht="14.4">
      <c r="M669" s="113"/>
      <c r="N669" s="113"/>
      <c r="O669" s="114"/>
      <c r="P669" s="115"/>
      <c r="R669" s="115"/>
    </row>
    <row r="670" spans="13:18" ht="14.4">
      <c r="M670" s="113"/>
      <c r="N670" s="113"/>
      <c r="O670" s="114"/>
      <c r="P670" s="115"/>
      <c r="R670" s="115"/>
    </row>
    <row r="671" spans="13:18" ht="14.4">
      <c r="M671" s="113"/>
      <c r="N671" s="113"/>
      <c r="O671" s="114"/>
      <c r="P671" s="115"/>
      <c r="R671" s="115"/>
    </row>
    <row r="672" spans="13:18" ht="14.4">
      <c r="M672" s="113"/>
      <c r="N672" s="113"/>
      <c r="O672" s="114"/>
      <c r="P672" s="115"/>
      <c r="R672" s="115"/>
    </row>
    <row r="673" spans="13:18" ht="14.4">
      <c r="M673" s="113"/>
      <c r="N673" s="113"/>
      <c r="O673" s="114"/>
      <c r="P673" s="115"/>
      <c r="R673" s="115"/>
    </row>
    <row r="674" spans="13:18" ht="14.4">
      <c r="M674" s="113"/>
      <c r="N674" s="113"/>
      <c r="O674" s="114"/>
      <c r="P674" s="115"/>
      <c r="R674" s="115"/>
    </row>
    <row r="675" spans="13:18" ht="14.4">
      <c r="M675" s="113"/>
      <c r="N675" s="113"/>
      <c r="O675" s="114"/>
      <c r="P675" s="115"/>
      <c r="R675" s="115"/>
    </row>
    <row r="676" spans="13:18" ht="14.4">
      <c r="M676" s="113"/>
      <c r="N676" s="113"/>
      <c r="O676" s="114"/>
      <c r="P676" s="115"/>
      <c r="R676" s="115"/>
    </row>
    <row r="677" spans="13:18" ht="14.4">
      <c r="M677" s="113"/>
      <c r="N677" s="113"/>
      <c r="O677" s="114"/>
      <c r="P677" s="115"/>
      <c r="R677" s="115"/>
    </row>
    <row r="678" spans="13:18" ht="14.4">
      <c r="M678" s="113"/>
      <c r="N678" s="113"/>
      <c r="O678" s="114"/>
      <c r="P678" s="115"/>
      <c r="R678" s="115"/>
    </row>
    <row r="679" spans="13:18" ht="14.4">
      <c r="M679" s="113"/>
      <c r="N679" s="113"/>
      <c r="O679" s="114"/>
      <c r="P679" s="115"/>
      <c r="R679" s="115"/>
    </row>
    <row r="680" spans="13:18" ht="14.4">
      <c r="M680" s="113"/>
      <c r="N680" s="113"/>
      <c r="O680" s="114"/>
      <c r="P680" s="115"/>
      <c r="R680" s="115"/>
    </row>
    <row r="681" spans="13:18" ht="14.4">
      <c r="M681" s="113"/>
      <c r="N681" s="113"/>
      <c r="O681" s="114"/>
      <c r="P681" s="115"/>
      <c r="R681" s="115"/>
    </row>
    <row r="682" spans="13:18" ht="14.4">
      <c r="M682" s="113"/>
      <c r="N682" s="113"/>
      <c r="O682" s="114"/>
      <c r="P682" s="115"/>
      <c r="R682" s="115"/>
    </row>
    <row r="683" spans="13:18" ht="14.4">
      <c r="M683" s="113"/>
      <c r="N683" s="113"/>
      <c r="O683" s="114"/>
      <c r="P683" s="115"/>
      <c r="R683" s="115"/>
    </row>
    <row r="684" spans="13:18" ht="14.4">
      <c r="M684" s="113"/>
      <c r="N684" s="113"/>
      <c r="O684" s="114"/>
      <c r="P684" s="115"/>
      <c r="R684" s="115"/>
    </row>
    <row r="685" spans="13:18" ht="14.4">
      <c r="M685" s="113"/>
      <c r="N685" s="113"/>
      <c r="O685" s="114"/>
      <c r="P685" s="115"/>
      <c r="R685" s="115"/>
    </row>
    <row r="686" spans="13:18" ht="14.4">
      <c r="M686" s="113"/>
      <c r="N686" s="113"/>
      <c r="O686" s="114"/>
      <c r="P686" s="115"/>
      <c r="R686" s="115"/>
    </row>
    <row r="687" spans="13:18" ht="14.4">
      <c r="M687" s="113"/>
      <c r="N687" s="113"/>
      <c r="O687" s="114"/>
      <c r="P687" s="115"/>
      <c r="R687" s="115"/>
    </row>
    <row r="688" spans="13:18" ht="14.4">
      <c r="M688" s="113"/>
      <c r="N688" s="113"/>
      <c r="O688" s="114"/>
      <c r="P688" s="115"/>
      <c r="R688" s="115"/>
    </row>
    <row r="689" spans="13:18" ht="14.4">
      <c r="M689" s="113"/>
      <c r="N689" s="113"/>
      <c r="O689" s="114"/>
      <c r="P689" s="115"/>
      <c r="R689" s="115"/>
    </row>
    <row r="690" spans="13:18" ht="14.4">
      <c r="M690" s="113"/>
      <c r="N690" s="113"/>
      <c r="O690" s="114"/>
      <c r="P690" s="115"/>
      <c r="R690" s="115"/>
    </row>
    <row r="691" spans="13:18" ht="14.4">
      <c r="M691" s="113"/>
      <c r="N691" s="113"/>
      <c r="O691" s="114"/>
      <c r="P691" s="115"/>
      <c r="R691" s="115"/>
    </row>
    <row r="692" spans="13:18" ht="14.4">
      <c r="M692" s="113"/>
      <c r="N692" s="113"/>
      <c r="O692" s="114"/>
      <c r="P692" s="115"/>
      <c r="R692" s="115"/>
    </row>
    <row r="693" spans="13:18" ht="14.4">
      <c r="M693" s="113"/>
      <c r="N693" s="113"/>
      <c r="O693" s="114"/>
      <c r="P693" s="115"/>
      <c r="R693" s="115"/>
    </row>
    <row r="694" spans="13:18" ht="14.4">
      <c r="M694" s="113"/>
      <c r="N694" s="113"/>
      <c r="O694" s="114"/>
      <c r="P694" s="115"/>
      <c r="R694" s="115"/>
    </row>
    <row r="695" spans="13:18" ht="14.4">
      <c r="M695" s="113"/>
      <c r="N695" s="113"/>
      <c r="O695" s="114"/>
      <c r="P695" s="115"/>
      <c r="R695" s="115"/>
    </row>
    <row r="696" spans="13:18" ht="14.4">
      <c r="M696" s="113"/>
      <c r="N696" s="113"/>
      <c r="O696" s="114"/>
      <c r="P696" s="115"/>
      <c r="R696" s="115"/>
    </row>
    <row r="697" spans="13:18" ht="14.4">
      <c r="M697" s="113"/>
      <c r="N697" s="113"/>
      <c r="O697" s="114"/>
      <c r="P697" s="115"/>
      <c r="R697" s="115"/>
    </row>
    <row r="698" spans="13:18" ht="14.4">
      <c r="M698" s="113"/>
      <c r="N698" s="113"/>
      <c r="O698" s="114"/>
      <c r="P698" s="115"/>
      <c r="R698" s="115"/>
    </row>
    <row r="699" spans="13:18" ht="14.4">
      <c r="M699" s="113"/>
      <c r="N699" s="113"/>
      <c r="O699" s="114"/>
      <c r="P699" s="115"/>
      <c r="R699" s="115"/>
    </row>
    <row r="700" spans="13:18" ht="14.4">
      <c r="M700" s="113"/>
      <c r="N700" s="113"/>
      <c r="O700" s="114"/>
      <c r="P700" s="115"/>
      <c r="R700" s="115"/>
    </row>
    <row r="701" spans="13:18" ht="14.4">
      <c r="M701" s="113"/>
      <c r="N701" s="113"/>
      <c r="O701" s="114"/>
      <c r="P701" s="115"/>
      <c r="R701" s="115"/>
    </row>
    <row r="702" spans="13:18" ht="14.4">
      <c r="M702" s="113"/>
      <c r="N702" s="113"/>
      <c r="O702" s="114"/>
      <c r="P702" s="115"/>
      <c r="R702" s="115"/>
    </row>
    <row r="703" spans="13:18" ht="14.4">
      <c r="M703" s="113"/>
      <c r="N703" s="113"/>
      <c r="O703" s="114"/>
      <c r="P703" s="115"/>
      <c r="R703" s="115"/>
    </row>
    <row r="704" spans="13:18" ht="14.4">
      <c r="M704" s="113"/>
      <c r="N704" s="113"/>
      <c r="O704" s="114"/>
      <c r="P704" s="115"/>
      <c r="R704" s="115"/>
    </row>
    <row r="705" spans="13:18" ht="14.4">
      <c r="M705" s="113"/>
      <c r="N705" s="113"/>
      <c r="O705" s="114"/>
      <c r="P705" s="115"/>
      <c r="R705" s="115"/>
    </row>
    <row r="706" spans="13:18" ht="14.4">
      <c r="M706" s="113"/>
      <c r="N706" s="113"/>
      <c r="O706" s="114"/>
      <c r="P706" s="115"/>
      <c r="R706" s="115"/>
    </row>
    <row r="707" spans="13:18" ht="14.4">
      <c r="M707" s="113"/>
      <c r="N707" s="113"/>
      <c r="O707" s="114"/>
      <c r="P707" s="115"/>
      <c r="R707" s="115"/>
    </row>
    <row r="708" spans="13:18" ht="14.4">
      <c r="M708" s="113"/>
      <c r="N708" s="113"/>
      <c r="O708" s="114"/>
      <c r="P708" s="115"/>
      <c r="R708" s="115"/>
    </row>
    <row r="709" spans="13:18" ht="14.4">
      <c r="M709" s="113"/>
      <c r="N709" s="113"/>
      <c r="O709" s="114"/>
      <c r="P709" s="115"/>
      <c r="R709" s="115"/>
    </row>
    <row r="710" spans="13:18" ht="14.4">
      <c r="M710" s="113"/>
      <c r="N710" s="113"/>
      <c r="O710" s="114"/>
      <c r="P710" s="115"/>
      <c r="R710" s="115"/>
    </row>
    <row r="711" spans="13:18" ht="14.4">
      <c r="M711" s="113"/>
      <c r="N711" s="113"/>
      <c r="O711" s="114"/>
      <c r="P711" s="115"/>
      <c r="R711" s="115"/>
    </row>
    <row r="712" spans="13:18" ht="14.4">
      <c r="M712" s="113"/>
      <c r="N712" s="113"/>
      <c r="O712" s="114"/>
      <c r="P712" s="115"/>
      <c r="R712" s="115"/>
    </row>
    <row r="713" spans="13:18" ht="14.4">
      <c r="M713" s="113"/>
      <c r="N713" s="113"/>
      <c r="O713" s="114"/>
      <c r="P713" s="115"/>
      <c r="R713" s="115"/>
    </row>
    <row r="714" spans="13:18" ht="14.4">
      <c r="M714" s="113"/>
      <c r="N714" s="113"/>
      <c r="O714" s="114"/>
      <c r="P714" s="115"/>
      <c r="R714" s="115"/>
    </row>
    <row r="715" spans="13:18" ht="14.4">
      <c r="M715" s="113"/>
      <c r="N715" s="113"/>
      <c r="O715" s="114"/>
      <c r="P715" s="115"/>
      <c r="R715" s="115"/>
    </row>
    <row r="716" spans="13:18" ht="14.4">
      <c r="M716" s="113"/>
      <c r="N716" s="113"/>
      <c r="O716" s="114"/>
      <c r="P716" s="115"/>
      <c r="R716" s="115"/>
    </row>
    <row r="717" spans="13:18" ht="14.4">
      <c r="M717" s="113"/>
      <c r="N717" s="113"/>
      <c r="O717" s="114"/>
      <c r="P717" s="115"/>
      <c r="R717" s="115"/>
    </row>
    <row r="718" spans="13:18" ht="14.4">
      <c r="M718" s="113"/>
      <c r="N718" s="113"/>
      <c r="O718" s="114"/>
      <c r="P718" s="115"/>
      <c r="R718" s="115"/>
    </row>
    <row r="719" spans="13:18" ht="14.4">
      <c r="M719" s="113"/>
      <c r="N719" s="113"/>
      <c r="O719" s="114"/>
      <c r="P719" s="115"/>
      <c r="R719" s="115"/>
    </row>
    <row r="720" spans="13:18" ht="14.4">
      <c r="M720" s="113"/>
      <c r="N720" s="113"/>
      <c r="O720" s="114"/>
      <c r="P720" s="115"/>
      <c r="R720" s="115"/>
    </row>
    <row r="721" spans="13:18" ht="14.4">
      <c r="M721" s="113"/>
      <c r="N721" s="113"/>
      <c r="O721" s="114"/>
      <c r="P721" s="115"/>
      <c r="R721" s="115"/>
    </row>
    <row r="722" spans="13:18" ht="14.4">
      <c r="M722" s="113"/>
      <c r="N722" s="113"/>
      <c r="O722" s="114"/>
      <c r="P722" s="115"/>
      <c r="R722" s="115"/>
    </row>
    <row r="723" spans="13:18" ht="14.4">
      <c r="M723" s="113"/>
      <c r="N723" s="113"/>
      <c r="O723" s="114"/>
      <c r="P723" s="115"/>
      <c r="R723" s="115"/>
    </row>
    <row r="724" spans="13:18" ht="14.4">
      <c r="M724" s="113"/>
      <c r="N724" s="113"/>
      <c r="O724" s="114"/>
      <c r="P724" s="115"/>
      <c r="R724" s="115"/>
    </row>
    <row r="725" spans="13:18" ht="14.4">
      <c r="M725" s="113"/>
      <c r="N725" s="113"/>
      <c r="O725" s="114"/>
      <c r="P725" s="115"/>
      <c r="R725" s="115"/>
    </row>
    <row r="726" spans="13:18" ht="14.4">
      <c r="M726" s="113"/>
      <c r="N726" s="113"/>
      <c r="O726" s="114"/>
      <c r="P726" s="115"/>
      <c r="R726" s="115"/>
    </row>
    <row r="727" spans="13:18" ht="14.4">
      <c r="M727" s="113"/>
      <c r="N727" s="113"/>
      <c r="O727" s="114"/>
      <c r="P727" s="115"/>
      <c r="R727" s="115"/>
    </row>
    <row r="728" spans="13:18" ht="14.4">
      <c r="M728" s="113"/>
      <c r="N728" s="113"/>
      <c r="O728" s="114"/>
      <c r="P728" s="115"/>
      <c r="R728" s="115"/>
    </row>
  </sheetData>
  <sheetProtection algorithmName="SHA-512" hashValue="Eij7SW9qAKM28tRYHB4nyhjoI6cYdPXr/62L1YayItiC+eCyidnPD1A3PlqXFLKXu0aivZkoak/J8d090OT4sg==" saltValue="Rc6c5q097OeWQH1YIu5dSg==" spinCount="100000" sheet="1" formatCells="0" formatColumns="0" formatRows="0" insertColumns="0" insertRows="0" insertHyperlinks="0" deleteColumns="0" deleteRows="0" sort="0" autoFilter="0" pivotTables="0"/>
  <autoFilter ref="A2:J59" xr:uid="{00000000-0001-0000-0000-000000000000}"/>
  <mergeCells count="2">
    <mergeCell ref="A1:J1"/>
    <mergeCell ref="N1:N2"/>
  </mergeCells>
  <conditionalFormatting sqref="G2">
    <cfRule type="notContainsBlanks" dxfId="3" priority="6">
      <formula>LEN(TRIM(G2))&gt;0</formula>
    </cfRule>
    <cfRule type="notContainsBlanks" dxfId="2" priority="7">
      <formula>LEN(TRIM(G2))&gt;0</formula>
    </cfRule>
  </conditionalFormatting>
  <conditionalFormatting sqref="H2">
    <cfRule type="notContainsBlanks" dxfId="1" priority="4">
      <formula>LEN(TRIM(H2))&gt;0</formula>
    </cfRule>
  </conditionalFormatting>
  <conditionalFormatting sqref="R1">
    <cfRule type="expression" dxfId="0" priority="1">
      <formula>"&gt;0"</formula>
    </cfRule>
  </conditionalFormatting>
  <dataValidations xWindow="1132" yWindow="577" count="1">
    <dataValidation type="custom" allowBlank="1" showInputMessage="1" showErrorMessage="1" errorTitle="ERROR" error="Order quantity must be a multiple of 12" prompt="Order quantity must be a multiple of 12" sqref="I4:I58" xr:uid="{0BF0AA2D-99BD-4153-BE00-EBDF8776725B}">
      <formula1>MOD(I4,12)=0</formula1>
    </dataValidation>
  </dataValidations>
  <pageMargins left="0.2" right="0.2" top="0.2" bottom="0.2" header="0" footer="0"/>
  <pageSetup scale="65" pageOrder="overThenDown" orientation="portrait" useFirstPageNumber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</TotalTime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DSN GROUP (Buried Treasue)</vt:lpstr>
      <vt:lpstr>'DSN GROUP (Buried Treasue)'!Область_друку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Tkachuk Valia</cp:lastModifiedBy>
  <cp:revision>10</cp:revision>
  <cp:lastPrinted>2023-08-16T18:12:14Z</cp:lastPrinted>
  <dcterms:created xsi:type="dcterms:W3CDTF">2021-03-15T14:29:00Z</dcterms:created>
  <dcterms:modified xsi:type="dcterms:W3CDTF">2025-12-11T12:46:57Z</dcterms:modified>
</cp:coreProperties>
</file>