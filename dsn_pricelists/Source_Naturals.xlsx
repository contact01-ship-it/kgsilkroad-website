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13_ncr:1_{123105D7-27F9-4006-8AAE-E80DA4989C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Source Naturals)" sheetId="2" r:id="rId1"/>
  </sheets>
  <definedNames>
    <definedName name="_xlnm._FilterDatabase" localSheetId="0" hidden="1">'DSN GROUP (Source Naturals)'!$A$2:$S$1619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P4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3" i="2"/>
  <c r="P2" i="2" l="1"/>
  <c r="Q1619" i="2"/>
  <c r="N1619" i="2"/>
  <c r="O1619" i="2" s="1"/>
  <c r="K1619" i="2"/>
  <c r="Q1618" i="2"/>
  <c r="N1618" i="2"/>
  <c r="O1618" i="2" s="1"/>
  <c r="K1618" i="2"/>
  <c r="Q1617" i="2"/>
  <c r="N1617" i="2"/>
  <c r="O1617" i="2" s="1"/>
  <c r="K1617" i="2"/>
  <c r="Q1616" i="2"/>
  <c r="N1616" i="2"/>
  <c r="O1616" i="2" s="1"/>
  <c r="K1616" i="2"/>
  <c r="Q1615" i="2"/>
  <c r="N1615" i="2"/>
  <c r="O1615" i="2" s="1"/>
  <c r="K1615" i="2"/>
  <c r="Q1614" i="2"/>
  <c r="N1614" i="2"/>
  <c r="O1614" i="2" s="1"/>
  <c r="K1614" i="2"/>
  <c r="Q1613" i="2"/>
  <c r="N1613" i="2"/>
  <c r="O1613" i="2" s="1"/>
  <c r="K1613" i="2"/>
  <c r="Q1612" i="2"/>
  <c r="N1612" i="2"/>
  <c r="O1612" i="2" s="1"/>
  <c r="K274" i="2"/>
  <c r="Q1611" i="2"/>
  <c r="N1611" i="2"/>
  <c r="O1611" i="2" s="1"/>
  <c r="K36" i="2"/>
  <c r="Q1610" i="2"/>
  <c r="N1610" i="2"/>
  <c r="O1610" i="2" s="1"/>
  <c r="K5" i="2"/>
  <c r="Q1609" i="2"/>
  <c r="N1609" i="2"/>
  <c r="O1609" i="2" s="1"/>
  <c r="K35" i="2"/>
  <c r="Q1608" i="2"/>
  <c r="N1608" i="2"/>
  <c r="O1608" i="2" s="1"/>
  <c r="K1612" i="2"/>
  <c r="Q1607" i="2"/>
  <c r="N1607" i="2"/>
  <c r="O1607" i="2" s="1"/>
  <c r="K1611" i="2"/>
  <c r="Q1606" i="2"/>
  <c r="N1606" i="2"/>
  <c r="O1606" i="2" s="1"/>
  <c r="K1610" i="2"/>
  <c r="Q1605" i="2"/>
  <c r="N1605" i="2"/>
  <c r="O1605" i="2" s="1"/>
  <c r="K1609" i="2"/>
  <c r="Q1604" i="2"/>
  <c r="N1604" i="2"/>
  <c r="O1604" i="2" s="1"/>
  <c r="K1608" i="2"/>
  <c r="Q1603" i="2"/>
  <c r="N1603" i="2"/>
  <c r="O1603" i="2" s="1"/>
  <c r="K1607" i="2"/>
  <c r="Q1602" i="2"/>
  <c r="N1602" i="2"/>
  <c r="O1602" i="2" s="1"/>
  <c r="K1606" i="2"/>
  <c r="Q1601" i="2"/>
  <c r="N1601" i="2"/>
  <c r="O1601" i="2" s="1"/>
  <c r="K1605" i="2"/>
  <c r="Q1600" i="2"/>
  <c r="N1600" i="2"/>
  <c r="O1600" i="2" s="1"/>
  <c r="K1604" i="2"/>
  <c r="Q1599" i="2"/>
  <c r="N1599" i="2"/>
  <c r="O1599" i="2" s="1"/>
  <c r="K1603" i="2"/>
  <c r="Q1598" i="2"/>
  <c r="N1598" i="2"/>
  <c r="O1598" i="2" s="1"/>
  <c r="K273" i="2"/>
  <c r="Q1597" i="2"/>
  <c r="N1597" i="2"/>
  <c r="O1597" i="2" s="1"/>
  <c r="K1602" i="2"/>
  <c r="Q1596" i="2"/>
  <c r="N1596" i="2"/>
  <c r="O1596" i="2" s="1"/>
  <c r="K1601" i="2"/>
  <c r="Q1595" i="2"/>
  <c r="N1595" i="2"/>
  <c r="O1595" i="2" s="1"/>
  <c r="K1600" i="2"/>
  <c r="Q1594" i="2"/>
  <c r="N1594" i="2"/>
  <c r="O1594" i="2" s="1"/>
  <c r="K1599" i="2"/>
  <c r="Q1593" i="2"/>
  <c r="N1593" i="2"/>
  <c r="O1593" i="2" s="1"/>
  <c r="K1598" i="2"/>
  <c r="Q1592" i="2"/>
  <c r="N1592" i="2"/>
  <c r="O1592" i="2" s="1"/>
  <c r="K1597" i="2"/>
  <c r="Q1591" i="2"/>
  <c r="N1591" i="2"/>
  <c r="O1591" i="2" s="1"/>
  <c r="K34" i="2"/>
  <c r="Q1590" i="2"/>
  <c r="N1590" i="2"/>
  <c r="O1590" i="2" s="1"/>
  <c r="K33" i="2"/>
  <c r="Q1589" i="2"/>
  <c r="N1589" i="2"/>
  <c r="O1589" i="2" s="1"/>
  <c r="K32" i="2"/>
  <c r="Q1588" i="2"/>
  <c r="N1588" i="2"/>
  <c r="O1588" i="2" s="1"/>
  <c r="K272" i="2"/>
  <c r="Q1587" i="2"/>
  <c r="N1587" i="2"/>
  <c r="O1587" i="2" s="1"/>
  <c r="K31" i="2"/>
  <c r="Q1586" i="2"/>
  <c r="N1586" i="2"/>
  <c r="O1586" i="2" s="1"/>
  <c r="K1596" i="2"/>
  <c r="Q1585" i="2"/>
  <c r="N1585" i="2"/>
  <c r="O1585" i="2" s="1"/>
  <c r="K1595" i="2"/>
  <c r="Q1584" i="2"/>
  <c r="N1584" i="2"/>
  <c r="O1584" i="2" s="1"/>
  <c r="K1594" i="2"/>
  <c r="Q1583" i="2"/>
  <c r="N1583" i="2"/>
  <c r="O1583" i="2" s="1"/>
  <c r="K1593" i="2"/>
  <c r="Q1582" i="2"/>
  <c r="N1582" i="2"/>
  <c r="O1582" i="2" s="1"/>
  <c r="K1592" i="2"/>
  <c r="Q1581" i="2"/>
  <c r="N1581" i="2"/>
  <c r="O1581" i="2" s="1"/>
  <c r="K1591" i="2"/>
  <c r="Q1580" i="2"/>
  <c r="N1580" i="2"/>
  <c r="O1580" i="2" s="1"/>
  <c r="K1590" i="2"/>
  <c r="Q1579" i="2"/>
  <c r="N1579" i="2"/>
  <c r="O1579" i="2" s="1"/>
  <c r="K1589" i="2"/>
  <c r="Q1578" i="2"/>
  <c r="N1578" i="2"/>
  <c r="O1578" i="2" s="1"/>
  <c r="K1588" i="2"/>
  <c r="Q1577" i="2"/>
  <c r="N1577" i="2"/>
  <c r="O1577" i="2" s="1"/>
  <c r="K1587" i="2"/>
  <c r="Q1576" i="2"/>
  <c r="N1576" i="2"/>
  <c r="O1576" i="2" s="1"/>
  <c r="K1586" i="2"/>
  <c r="Q1575" i="2"/>
  <c r="N1575" i="2"/>
  <c r="O1575" i="2" s="1"/>
  <c r="K1585" i="2"/>
  <c r="Q1574" i="2"/>
  <c r="N1574" i="2"/>
  <c r="O1574" i="2" s="1"/>
  <c r="K1584" i="2"/>
  <c r="Q1573" i="2"/>
  <c r="N1573" i="2"/>
  <c r="O1573" i="2" s="1"/>
  <c r="K1583" i="2"/>
  <c r="Q1572" i="2"/>
  <c r="N1572" i="2"/>
  <c r="O1572" i="2" s="1"/>
  <c r="K1582" i="2"/>
  <c r="Q1571" i="2"/>
  <c r="N1571" i="2"/>
  <c r="O1571" i="2" s="1"/>
  <c r="K1581" i="2"/>
  <c r="Q1570" i="2"/>
  <c r="N1570" i="2"/>
  <c r="O1570" i="2" s="1"/>
  <c r="K1580" i="2"/>
  <c r="Q1569" i="2"/>
  <c r="N1569" i="2"/>
  <c r="O1569" i="2" s="1"/>
  <c r="K1579" i="2"/>
  <c r="Q1568" i="2"/>
  <c r="N1568" i="2"/>
  <c r="O1568" i="2" s="1"/>
  <c r="K1578" i="2"/>
  <c r="Q1567" i="2"/>
  <c r="N1567" i="2"/>
  <c r="O1567" i="2" s="1"/>
  <c r="K1577" i="2"/>
  <c r="Q1566" i="2"/>
  <c r="N1566" i="2"/>
  <c r="O1566" i="2" s="1"/>
  <c r="K1576" i="2"/>
  <c r="Q1565" i="2"/>
  <c r="N1565" i="2"/>
  <c r="O1565" i="2" s="1"/>
  <c r="K271" i="2"/>
  <c r="Q1564" i="2"/>
  <c r="N1564" i="2"/>
  <c r="O1564" i="2" s="1"/>
  <c r="K1575" i="2"/>
  <c r="Q1563" i="2"/>
  <c r="N1563" i="2"/>
  <c r="O1563" i="2" s="1"/>
  <c r="K1574" i="2"/>
  <c r="Q1562" i="2"/>
  <c r="N1562" i="2"/>
  <c r="O1562" i="2" s="1"/>
  <c r="K1573" i="2"/>
  <c r="Q1561" i="2"/>
  <c r="N1561" i="2"/>
  <c r="O1561" i="2" s="1"/>
  <c r="K1572" i="2"/>
  <c r="Q1560" i="2"/>
  <c r="N1560" i="2"/>
  <c r="O1560" i="2" s="1"/>
  <c r="K270" i="2"/>
  <c r="Q1559" i="2"/>
  <c r="N1559" i="2"/>
  <c r="O1559" i="2" s="1"/>
  <c r="K1571" i="2"/>
  <c r="Q1558" i="2"/>
  <c r="N1558" i="2"/>
  <c r="O1558" i="2" s="1"/>
  <c r="K269" i="2"/>
  <c r="Q1557" i="2"/>
  <c r="N1557" i="2"/>
  <c r="O1557" i="2" s="1"/>
  <c r="K1570" i="2"/>
  <c r="Q1556" i="2"/>
  <c r="N1556" i="2"/>
  <c r="O1556" i="2" s="1"/>
  <c r="K268" i="2"/>
  <c r="Q1555" i="2"/>
  <c r="N1555" i="2"/>
  <c r="O1555" i="2" s="1"/>
  <c r="K30" i="2"/>
  <c r="Q1554" i="2"/>
  <c r="N1554" i="2"/>
  <c r="O1554" i="2" s="1"/>
  <c r="K267" i="2"/>
  <c r="Q1553" i="2"/>
  <c r="N1553" i="2"/>
  <c r="O1553" i="2" s="1"/>
  <c r="K1569" i="2"/>
  <c r="Q1552" i="2"/>
  <c r="N1552" i="2"/>
  <c r="O1552" i="2" s="1"/>
  <c r="K1568" i="2"/>
  <c r="Q1551" i="2"/>
  <c r="N1551" i="2"/>
  <c r="O1551" i="2" s="1"/>
  <c r="K1567" i="2"/>
  <c r="Q1550" i="2"/>
  <c r="N1550" i="2"/>
  <c r="O1550" i="2" s="1"/>
  <c r="K1566" i="2"/>
  <c r="Q1549" i="2"/>
  <c r="N1549" i="2"/>
  <c r="O1549" i="2" s="1"/>
  <c r="K1565" i="2"/>
  <c r="Q1548" i="2"/>
  <c r="N1548" i="2"/>
  <c r="O1548" i="2" s="1"/>
  <c r="K1564" i="2"/>
  <c r="Q1547" i="2"/>
  <c r="N1547" i="2"/>
  <c r="O1547" i="2" s="1"/>
  <c r="K1563" i="2"/>
  <c r="Q1546" i="2"/>
  <c r="N1546" i="2"/>
  <c r="O1546" i="2" s="1"/>
  <c r="K1562" i="2"/>
  <c r="K1561" i="2"/>
  <c r="Q1545" i="2"/>
  <c r="N1545" i="2"/>
  <c r="O1545" i="2" s="1"/>
  <c r="K266" i="2"/>
  <c r="Q1544" i="2"/>
  <c r="N1544" i="2"/>
  <c r="O1544" i="2" s="1"/>
  <c r="K265" i="2"/>
  <c r="Q1543" i="2"/>
  <c r="N1543" i="2"/>
  <c r="O1543" i="2" s="1"/>
  <c r="K1560" i="2"/>
  <c r="Q1542" i="2"/>
  <c r="N1542" i="2"/>
  <c r="O1542" i="2" s="1"/>
  <c r="K1559" i="2"/>
  <c r="Q1541" i="2"/>
  <c r="N1541" i="2"/>
  <c r="O1541" i="2" s="1"/>
  <c r="K264" i="2"/>
  <c r="Q1540" i="2"/>
  <c r="N1540" i="2"/>
  <c r="O1540" i="2" s="1"/>
  <c r="K1558" i="2"/>
  <c r="Q1539" i="2"/>
  <c r="N1539" i="2"/>
  <c r="O1539" i="2" s="1"/>
  <c r="K263" i="2"/>
  <c r="Q1538" i="2"/>
  <c r="N1538" i="2"/>
  <c r="O1538" i="2" s="1"/>
  <c r="K1557" i="2"/>
  <c r="Q1537" i="2"/>
  <c r="N1537" i="2"/>
  <c r="O1537" i="2" s="1"/>
  <c r="K1556" i="2"/>
  <c r="Q1536" i="2"/>
  <c r="N1536" i="2"/>
  <c r="O1536" i="2" s="1"/>
  <c r="K1555" i="2"/>
  <c r="Q1535" i="2"/>
  <c r="N1535" i="2"/>
  <c r="O1535" i="2" s="1"/>
  <c r="K1554" i="2"/>
  <c r="Q1534" i="2"/>
  <c r="N1534" i="2"/>
  <c r="O1534" i="2" s="1"/>
  <c r="K1553" i="2"/>
  <c r="Q1533" i="2"/>
  <c r="N1533" i="2"/>
  <c r="O1533" i="2" s="1"/>
  <c r="K1552" i="2"/>
  <c r="Q1532" i="2"/>
  <c r="N1532" i="2"/>
  <c r="O1532" i="2" s="1"/>
  <c r="K1551" i="2"/>
  <c r="Q1531" i="2"/>
  <c r="N1531" i="2"/>
  <c r="O1531" i="2" s="1"/>
  <c r="K1550" i="2"/>
  <c r="Q1530" i="2"/>
  <c r="N1530" i="2"/>
  <c r="O1530" i="2" s="1"/>
  <c r="K1549" i="2"/>
  <c r="Q1529" i="2"/>
  <c r="N1529" i="2"/>
  <c r="O1529" i="2" s="1"/>
  <c r="K1548" i="2"/>
  <c r="Q1528" i="2"/>
  <c r="N1528" i="2"/>
  <c r="O1528" i="2" s="1"/>
  <c r="K1547" i="2"/>
  <c r="Q1527" i="2"/>
  <c r="N1527" i="2"/>
  <c r="O1527" i="2" s="1"/>
  <c r="K262" i="2"/>
  <c r="Q1526" i="2"/>
  <c r="N1526" i="2"/>
  <c r="O1526" i="2" s="1"/>
  <c r="K261" i="2"/>
  <c r="Q1525" i="2"/>
  <c r="N1525" i="2"/>
  <c r="O1525" i="2" s="1"/>
  <c r="K1546" i="2"/>
  <c r="Q1524" i="2"/>
  <c r="N1524" i="2"/>
  <c r="O1524" i="2" s="1"/>
  <c r="K260" i="2"/>
  <c r="Q1523" i="2"/>
  <c r="N1523" i="2"/>
  <c r="O1523" i="2" s="1"/>
  <c r="K259" i="2"/>
  <c r="Q1522" i="2"/>
  <c r="N1522" i="2"/>
  <c r="O1522" i="2" s="1"/>
  <c r="Q1521" i="2"/>
  <c r="N1521" i="2"/>
  <c r="O1521" i="2" s="1"/>
  <c r="K1545" i="2"/>
  <c r="Q1520" i="2"/>
  <c r="N1520" i="2"/>
  <c r="O1520" i="2" s="1"/>
  <c r="K1544" i="2"/>
  <c r="Q1519" i="2"/>
  <c r="N1519" i="2"/>
  <c r="O1519" i="2" s="1"/>
  <c r="K1543" i="2"/>
  <c r="Q1518" i="2"/>
  <c r="N1518" i="2"/>
  <c r="O1518" i="2" s="1"/>
  <c r="K1542" i="2"/>
  <c r="Q1517" i="2"/>
  <c r="N1517" i="2"/>
  <c r="O1517" i="2" s="1"/>
  <c r="K258" i="2"/>
  <c r="Q1516" i="2"/>
  <c r="N1516" i="2"/>
  <c r="O1516" i="2" s="1"/>
  <c r="K1541" i="2"/>
  <c r="Q1515" i="2"/>
  <c r="N1515" i="2"/>
  <c r="O1515" i="2" s="1"/>
  <c r="K1540" i="2"/>
  <c r="Q1514" i="2"/>
  <c r="N1514" i="2"/>
  <c r="O1514" i="2" s="1"/>
  <c r="K1539" i="2"/>
  <c r="Q1513" i="2"/>
  <c r="N1513" i="2"/>
  <c r="O1513" i="2" s="1"/>
  <c r="K257" i="2"/>
  <c r="Q1512" i="2"/>
  <c r="N1512" i="2"/>
  <c r="O1512" i="2" s="1"/>
  <c r="K1538" i="2"/>
  <c r="Q1511" i="2"/>
  <c r="N1511" i="2"/>
  <c r="O1511" i="2" s="1"/>
  <c r="K1537" i="2"/>
  <c r="Q1510" i="2"/>
  <c r="N1510" i="2"/>
  <c r="O1510" i="2" s="1"/>
  <c r="K1536" i="2"/>
  <c r="Q1509" i="2"/>
  <c r="N1509" i="2"/>
  <c r="O1509" i="2" s="1"/>
  <c r="K1535" i="2"/>
  <c r="Q1508" i="2"/>
  <c r="N1508" i="2"/>
  <c r="O1508" i="2" s="1"/>
  <c r="K1534" i="2"/>
  <c r="Q1507" i="2"/>
  <c r="N1507" i="2"/>
  <c r="O1507" i="2" s="1"/>
  <c r="K1533" i="2"/>
  <c r="Q1506" i="2"/>
  <c r="N1506" i="2"/>
  <c r="O1506" i="2" s="1"/>
  <c r="K1532" i="2"/>
  <c r="Q1505" i="2"/>
  <c r="N1505" i="2"/>
  <c r="O1505" i="2" s="1"/>
  <c r="K1531" i="2"/>
  <c r="Q1504" i="2"/>
  <c r="N1504" i="2"/>
  <c r="O1504" i="2" s="1"/>
  <c r="K1530" i="2"/>
  <c r="Q1503" i="2"/>
  <c r="N1503" i="2"/>
  <c r="O1503" i="2" s="1"/>
  <c r="K1529" i="2"/>
  <c r="Q1502" i="2"/>
  <c r="N1502" i="2"/>
  <c r="O1502" i="2" s="1"/>
  <c r="K1528" i="2"/>
  <c r="Q1501" i="2"/>
  <c r="N1501" i="2"/>
  <c r="O1501" i="2" s="1"/>
  <c r="K1527" i="2"/>
  <c r="Q1500" i="2"/>
  <c r="N1500" i="2"/>
  <c r="O1500" i="2" s="1"/>
  <c r="K1526" i="2"/>
  <c r="Q1499" i="2"/>
  <c r="N1499" i="2"/>
  <c r="O1499" i="2" s="1"/>
  <c r="K1525" i="2"/>
  <c r="Q1498" i="2"/>
  <c r="N1498" i="2"/>
  <c r="O1498" i="2" s="1"/>
  <c r="K1524" i="2"/>
  <c r="Q1497" i="2"/>
  <c r="N1497" i="2"/>
  <c r="O1497" i="2" s="1"/>
  <c r="K1523" i="2"/>
  <c r="Q1496" i="2"/>
  <c r="N1496" i="2"/>
  <c r="O1496" i="2" s="1"/>
  <c r="K1522" i="2"/>
  <c r="Q1495" i="2"/>
  <c r="N1495" i="2"/>
  <c r="O1495" i="2" s="1"/>
  <c r="K1521" i="2"/>
  <c r="Q1494" i="2"/>
  <c r="N1494" i="2"/>
  <c r="O1494" i="2" s="1"/>
  <c r="K1520" i="2"/>
  <c r="Q1493" i="2"/>
  <c r="N1493" i="2"/>
  <c r="O1493" i="2" s="1"/>
  <c r="K1519" i="2"/>
  <c r="Q1492" i="2"/>
  <c r="N1492" i="2"/>
  <c r="O1492" i="2" s="1"/>
  <c r="K1518" i="2"/>
  <c r="Q1491" i="2"/>
  <c r="N1491" i="2"/>
  <c r="O1491" i="2" s="1"/>
  <c r="K1517" i="2"/>
  <c r="Q1490" i="2"/>
  <c r="N1490" i="2"/>
  <c r="O1490" i="2" s="1"/>
  <c r="K1516" i="2"/>
  <c r="Q1489" i="2"/>
  <c r="N1489" i="2"/>
  <c r="O1489" i="2" s="1"/>
  <c r="K1515" i="2"/>
  <c r="Q1488" i="2"/>
  <c r="N1488" i="2"/>
  <c r="O1488" i="2" s="1"/>
  <c r="K1514" i="2"/>
  <c r="Q1487" i="2"/>
  <c r="N1487" i="2"/>
  <c r="O1487" i="2" s="1"/>
  <c r="K1513" i="2"/>
  <c r="Q1486" i="2"/>
  <c r="N1486" i="2"/>
  <c r="O1486" i="2" s="1"/>
  <c r="K1512" i="2"/>
  <c r="Q1485" i="2"/>
  <c r="N1485" i="2"/>
  <c r="O1485" i="2" s="1"/>
  <c r="K1511" i="2"/>
  <c r="Q1484" i="2"/>
  <c r="N1484" i="2"/>
  <c r="O1484" i="2" s="1"/>
  <c r="K1510" i="2"/>
  <c r="Q1483" i="2"/>
  <c r="N1483" i="2"/>
  <c r="O1483" i="2" s="1"/>
  <c r="K1509" i="2"/>
  <c r="Q1482" i="2"/>
  <c r="N1482" i="2"/>
  <c r="O1482" i="2" s="1"/>
  <c r="K1508" i="2"/>
  <c r="Q1481" i="2"/>
  <c r="N1481" i="2"/>
  <c r="O1481" i="2" s="1"/>
  <c r="K1507" i="2"/>
  <c r="Q1480" i="2"/>
  <c r="N1480" i="2"/>
  <c r="O1480" i="2" s="1"/>
  <c r="K1506" i="2"/>
  <c r="Q1479" i="2"/>
  <c r="N1479" i="2"/>
  <c r="O1479" i="2" s="1"/>
  <c r="K1505" i="2"/>
  <c r="Q1478" i="2"/>
  <c r="N1478" i="2"/>
  <c r="O1478" i="2" s="1"/>
  <c r="K1504" i="2"/>
  <c r="Q1477" i="2"/>
  <c r="N1477" i="2"/>
  <c r="O1477" i="2" s="1"/>
  <c r="K1503" i="2"/>
  <c r="Q1476" i="2"/>
  <c r="N1476" i="2"/>
  <c r="O1476" i="2" s="1"/>
  <c r="K1502" i="2"/>
  <c r="Q1475" i="2"/>
  <c r="N1475" i="2"/>
  <c r="O1475" i="2" s="1"/>
  <c r="K256" i="2"/>
  <c r="Q1474" i="2"/>
  <c r="N1474" i="2"/>
  <c r="O1474" i="2" s="1"/>
  <c r="K1501" i="2"/>
  <c r="Q1473" i="2"/>
  <c r="N1473" i="2"/>
  <c r="O1473" i="2" s="1"/>
  <c r="K255" i="2"/>
  <c r="Q1472" i="2"/>
  <c r="N1472" i="2"/>
  <c r="O1472" i="2" s="1"/>
  <c r="K254" i="2"/>
  <c r="Q1471" i="2"/>
  <c r="N1471" i="2"/>
  <c r="O1471" i="2" s="1"/>
  <c r="K1500" i="2"/>
  <c r="Q1470" i="2"/>
  <c r="N1470" i="2"/>
  <c r="O1470" i="2" s="1"/>
  <c r="K1499" i="2"/>
  <c r="Q1469" i="2"/>
  <c r="N1469" i="2"/>
  <c r="O1469" i="2" s="1"/>
  <c r="K1498" i="2"/>
  <c r="Q1468" i="2"/>
  <c r="N1468" i="2"/>
  <c r="O1468" i="2" s="1"/>
  <c r="K1497" i="2"/>
  <c r="Q1467" i="2"/>
  <c r="N1467" i="2"/>
  <c r="O1467" i="2" s="1"/>
  <c r="K1496" i="2"/>
  <c r="Q1466" i="2"/>
  <c r="N1466" i="2"/>
  <c r="O1466" i="2" s="1"/>
  <c r="K1495" i="2"/>
  <c r="Q1465" i="2"/>
  <c r="N1465" i="2"/>
  <c r="O1465" i="2" s="1"/>
  <c r="K1494" i="2"/>
  <c r="Q1464" i="2"/>
  <c r="N1464" i="2"/>
  <c r="O1464" i="2" s="1"/>
  <c r="K1493" i="2"/>
  <c r="Q1463" i="2"/>
  <c r="N1463" i="2"/>
  <c r="O1463" i="2" s="1"/>
  <c r="K1492" i="2"/>
  <c r="Q1462" i="2"/>
  <c r="N1462" i="2"/>
  <c r="O1462" i="2" s="1"/>
  <c r="K1491" i="2"/>
  <c r="Q1461" i="2"/>
  <c r="N1461" i="2"/>
  <c r="O1461" i="2" s="1"/>
  <c r="K1490" i="2"/>
  <c r="Q1460" i="2"/>
  <c r="N1460" i="2"/>
  <c r="O1460" i="2" s="1"/>
  <c r="K1489" i="2"/>
  <c r="Q1459" i="2"/>
  <c r="N1459" i="2"/>
  <c r="O1459" i="2" s="1"/>
  <c r="K1488" i="2"/>
  <c r="Q1458" i="2"/>
  <c r="N1458" i="2"/>
  <c r="O1458" i="2" s="1"/>
  <c r="K1487" i="2"/>
  <c r="Q1457" i="2"/>
  <c r="N1457" i="2"/>
  <c r="O1457" i="2" s="1"/>
  <c r="K1486" i="2"/>
  <c r="Q1456" i="2"/>
  <c r="N1456" i="2"/>
  <c r="O1456" i="2" s="1"/>
  <c r="K1485" i="2"/>
  <c r="Q1455" i="2"/>
  <c r="N1455" i="2"/>
  <c r="O1455" i="2" s="1"/>
  <c r="K1484" i="2"/>
  <c r="Q1454" i="2"/>
  <c r="N1454" i="2"/>
  <c r="O1454" i="2" s="1"/>
  <c r="K1483" i="2"/>
  <c r="Q1453" i="2"/>
  <c r="N1453" i="2"/>
  <c r="O1453" i="2" s="1"/>
  <c r="K1482" i="2"/>
  <c r="Q1452" i="2"/>
  <c r="N1452" i="2"/>
  <c r="O1452" i="2" s="1"/>
  <c r="K253" i="2"/>
  <c r="Q1451" i="2"/>
  <c r="N1451" i="2"/>
  <c r="O1451" i="2" s="1"/>
  <c r="K1481" i="2"/>
  <c r="Q1450" i="2"/>
  <c r="N1450" i="2"/>
  <c r="O1450" i="2" s="1"/>
  <c r="K1480" i="2"/>
  <c r="Q1449" i="2"/>
  <c r="N1449" i="2"/>
  <c r="O1449" i="2" s="1"/>
  <c r="K1479" i="2"/>
  <c r="Q1448" i="2"/>
  <c r="N1448" i="2"/>
  <c r="O1448" i="2" s="1"/>
  <c r="K252" i="2"/>
  <c r="Q1447" i="2"/>
  <c r="N1447" i="2"/>
  <c r="O1447" i="2" s="1"/>
  <c r="K1478" i="2"/>
  <c r="Q1446" i="2"/>
  <c r="N1446" i="2"/>
  <c r="O1446" i="2" s="1"/>
  <c r="K1477" i="2"/>
  <c r="Q1445" i="2"/>
  <c r="N1445" i="2"/>
  <c r="O1445" i="2" s="1"/>
  <c r="K1476" i="2"/>
  <c r="Q1444" i="2"/>
  <c r="N1444" i="2"/>
  <c r="O1444" i="2" s="1"/>
  <c r="K1475" i="2"/>
  <c r="Q1443" i="2"/>
  <c r="N1443" i="2"/>
  <c r="O1443" i="2" s="1"/>
  <c r="K251" i="2"/>
  <c r="Q1442" i="2"/>
  <c r="N1442" i="2"/>
  <c r="O1442" i="2" s="1"/>
  <c r="K29" i="2"/>
  <c r="Q1441" i="2"/>
  <c r="N1441" i="2"/>
  <c r="O1441" i="2" s="1"/>
  <c r="K28" i="2"/>
  <c r="Q1440" i="2"/>
  <c r="N1440" i="2"/>
  <c r="O1440" i="2" s="1"/>
  <c r="K1474" i="2"/>
  <c r="Q1439" i="2"/>
  <c r="N1439" i="2"/>
  <c r="O1439" i="2" s="1"/>
  <c r="K1473" i="2"/>
  <c r="Q1438" i="2"/>
  <c r="N1438" i="2"/>
  <c r="O1438" i="2" s="1"/>
  <c r="K1472" i="2"/>
  <c r="Q1437" i="2"/>
  <c r="N1437" i="2"/>
  <c r="O1437" i="2" s="1"/>
  <c r="K1471" i="2"/>
  <c r="Q1436" i="2"/>
  <c r="N1436" i="2"/>
  <c r="O1436" i="2" s="1"/>
  <c r="K1470" i="2"/>
  <c r="Q1435" i="2"/>
  <c r="N1435" i="2"/>
  <c r="O1435" i="2" s="1"/>
  <c r="K1469" i="2"/>
  <c r="Q1434" i="2"/>
  <c r="N1434" i="2"/>
  <c r="O1434" i="2" s="1"/>
  <c r="K1468" i="2"/>
  <c r="Q1433" i="2"/>
  <c r="N1433" i="2"/>
  <c r="O1433" i="2" s="1"/>
  <c r="K250" i="2"/>
  <c r="Q1432" i="2"/>
  <c r="N1432" i="2"/>
  <c r="O1432" i="2" s="1"/>
  <c r="K1467" i="2"/>
  <c r="Q1431" i="2"/>
  <c r="N1431" i="2"/>
  <c r="O1431" i="2" s="1"/>
  <c r="K1466" i="2"/>
  <c r="Q1430" i="2"/>
  <c r="N1430" i="2"/>
  <c r="O1430" i="2" s="1"/>
  <c r="K1465" i="2"/>
  <c r="Q1429" i="2"/>
  <c r="N1429" i="2"/>
  <c r="O1429" i="2" s="1"/>
  <c r="K1464" i="2"/>
  <c r="Q1428" i="2"/>
  <c r="N1428" i="2"/>
  <c r="O1428" i="2" s="1"/>
  <c r="K1463" i="2"/>
  <c r="Q1427" i="2"/>
  <c r="N1427" i="2"/>
  <c r="O1427" i="2" s="1"/>
  <c r="K1462" i="2"/>
  <c r="Q1426" i="2"/>
  <c r="N1426" i="2"/>
  <c r="O1426" i="2" s="1"/>
  <c r="K1461" i="2"/>
  <c r="Q1425" i="2"/>
  <c r="N1425" i="2"/>
  <c r="O1425" i="2" s="1"/>
  <c r="K1460" i="2"/>
  <c r="Q1424" i="2"/>
  <c r="N1424" i="2"/>
  <c r="O1424" i="2" s="1"/>
  <c r="K1459" i="2"/>
  <c r="Q1423" i="2"/>
  <c r="N1423" i="2"/>
  <c r="O1423" i="2" s="1"/>
  <c r="K1458" i="2"/>
  <c r="Q1422" i="2"/>
  <c r="N1422" i="2"/>
  <c r="O1422" i="2" s="1"/>
  <c r="K1457" i="2"/>
  <c r="Q1421" i="2"/>
  <c r="N1421" i="2"/>
  <c r="O1421" i="2" s="1"/>
  <c r="K1456" i="2"/>
  <c r="Q1420" i="2"/>
  <c r="N1420" i="2"/>
  <c r="O1420" i="2" s="1"/>
  <c r="K1455" i="2"/>
  <c r="Q1419" i="2"/>
  <c r="N1419" i="2"/>
  <c r="O1419" i="2" s="1"/>
  <c r="K1454" i="2"/>
  <c r="Q1418" i="2"/>
  <c r="N1418" i="2"/>
  <c r="O1418" i="2" s="1"/>
  <c r="K1453" i="2"/>
  <c r="Q1417" i="2"/>
  <c r="N1417" i="2"/>
  <c r="O1417" i="2" s="1"/>
  <c r="K1452" i="2"/>
  <c r="Q1416" i="2"/>
  <c r="N1416" i="2"/>
  <c r="O1416" i="2" s="1"/>
  <c r="K1451" i="2"/>
  <c r="Q1415" i="2"/>
  <c r="N1415" i="2"/>
  <c r="O1415" i="2" s="1"/>
  <c r="K1450" i="2"/>
  <c r="Q1414" i="2"/>
  <c r="N1414" i="2"/>
  <c r="O1414" i="2" s="1"/>
  <c r="K1449" i="2"/>
  <c r="Q1413" i="2"/>
  <c r="N1413" i="2"/>
  <c r="O1413" i="2" s="1"/>
  <c r="K1448" i="2"/>
  <c r="Q1412" i="2"/>
  <c r="N1412" i="2"/>
  <c r="O1412" i="2" s="1"/>
  <c r="K1447" i="2"/>
  <c r="Q1411" i="2"/>
  <c r="N1411" i="2"/>
  <c r="O1411" i="2" s="1"/>
  <c r="K1446" i="2"/>
  <c r="Q1410" i="2"/>
  <c r="N1410" i="2"/>
  <c r="O1410" i="2" s="1"/>
  <c r="K1445" i="2"/>
  <c r="Q1409" i="2"/>
  <c r="N1409" i="2"/>
  <c r="O1409" i="2" s="1"/>
  <c r="K1444" i="2"/>
  <c r="Q1408" i="2"/>
  <c r="N1408" i="2"/>
  <c r="O1408" i="2" s="1"/>
  <c r="K1443" i="2"/>
  <c r="Q1407" i="2"/>
  <c r="N1407" i="2"/>
  <c r="O1407" i="2" s="1"/>
  <c r="K1442" i="2"/>
  <c r="Q1406" i="2"/>
  <c r="N1406" i="2"/>
  <c r="O1406" i="2" s="1"/>
  <c r="K249" i="2"/>
  <c r="Q1405" i="2"/>
  <c r="N1405" i="2"/>
  <c r="O1405" i="2" s="1"/>
  <c r="K1441" i="2"/>
  <c r="Q1404" i="2"/>
  <c r="N1404" i="2"/>
  <c r="O1404" i="2" s="1"/>
  <c r="K1440" i="2"/>
  <c r="Q1403" i="2"/>
  <c r="N1403" i="2"/>
  <c r="O1403" i="2" s="1"/>
  <c r="K1439" i="2"/>
  <c r="Q1402" i="2"/>
  <c r="N1402" i="2"/>
  <c r="O1402" i="2" s="1"/>
  <c r="K1438" i="2"/>
  <c r="Q1401" i="2"/>
  <c r="N1401" i="2"/>
  <c r="O1401" i="2" s="1"/>
  <c r="K1437" i="2"/>
  <c r="Q1400" i="2"/>
  <c r="N1400" i="2"/>
  <c r="O1400" i="2" s="1"/>
  <c r="K1436" i="2"/>
  <c r="Q1399" i="2"/>
  <c r="N1399" i="2"/>
  <c r="O1399" i="2" s="1"/>
  <c r="K1435" i="2"/>
  <c r="Q1398" i="2"/>
  <c r="N1398" i="2"/>
  <c r="O1398" i="2" s="1"/>
  <c r="K1434" i="2"/>
  <c r="Q1397" i="2"/>
  <c r="N1397" i="2"/>
  <c r="O1397" i="2" s="1"/>
  <c r="K1433" i="2"/>
  <c r="Q1396" i="2"/>
  <c r="N1396" i="2"/>
  <c r="O1396" i="2" s="1"/>
  <c r="K1432" i="2"/>
  <c r="Q1395" i="2"/>
  <c r="N1395" i="2"/>
  <c r="O1395" i="2" s="1"/>
  <c r="K1431" i="2"/>
  <c r="Q1394" i="2"/>
  <c r="N1394" i="2"/>
  <c r="O1394" i="2" s="1"/>
  <c r="K1430" i="2"/>
  <c r="Q1393" i="2"/>
  <c r="N1393" i="2"/>
  <c r="O1393" i="2" s="1"/>
  <c r="K1429" i="2"/>
  <c r="Q1392" i="2"/>
  <c r="N1392" i="2"/>
  <c r="O1392" i="2" s="1"/>
  <c r="K1428" i="2"/>
  <c r="Q1391" i="2"/>
  <c r="N1391" i="2"/>
  <c r="O1391" i="2" s="1"/>
  <c r="K1427" i="2"/>
  <c r="Q1390" i="2"/>
  <c r="N1390" i="2"/>
  <c r="O1390" i="2" s="1"/>
  <c r="K248" i="2"/>
  <c r="Q1389" i="2"/>
  <c r="N1389" i="2"/>
  <c r="O1389" i="2" s="1"/>
  <c r="K1426" i="2"/>
  <c r="Q1388" i="2"/>
  <c r="N1388" i="2"/>
  <c r="O1388" i="2" s="1"/>
  <c r="K1425" i="2"/>
  <c r="Q1387" i="2"/>
  <c r="N1387" i="2"/>
  <c r="O1387" i="2" s="1"/>
  <c r="K247" i="2"/>
  <c r="Q1386" i="2"/>
  <c r="N1386" i="2"/>
  <c r="O1386" i="2" s="1"/>
  <c r="K246" i="2"/>
  <c r="Q1385" i="2"/>
  <c r="N1385" i="2"/>
  <c r="O1385" i="2" s="1"/>
  <c r="K1424" i="2"/>
  <c r="Q1384" i="2"/>
  <c r="N1384" i="2"/>
  <c r="O1384" i="2" s="1"/>
  <c r="K1423" i="2"/>
  <c r="Q1383" i="2"/>
  <c r="N1383" i="2"/>
  <c r="O1383" i="2" s="1"/>
  <c r="K1422" i="2"/>
  <c r="Q1382" i="2"/>
  <c r="N1382" i="2"/>
  <c r="O1382" i="2" s="1"/>
  <c r="K245" i="2"/>
  <c r="Q1381" i="2"/>
  <c r="N1381" i="2"/>
  <c r="O1381" i="2" s="1"/>
  <c r="K244" i="2"/>
  <c r="Q1380" i="2"/>
  <c r="N1380" i="2"/>
  <c r="O1380" i="2" s="1"/>
  <c r="K243" i="2"/>
  <c r="Q1379" i="2"/>
  <c r="N1379" i="2"/>
  <c r="O1379" i="2" s="1"/>
  <c r="K1421" i="2"/>
  <c r="Q1378" i="2"/>
  <c r="N1378" i="2"/>
  <c r="O1378" i="2" s="1"/>
  <c r="K1420" i="2"/>
  <c r="Q1377" i="2"/>
  <c r="N1377" i="2"/>
  <c r="O1377" i="2" s="1"/>
  <c r="K1419" i="2"/>
  <c r="Q1376" i="2"/>
  <c r="N1376" i="2"/>
  <c r="O1376" i="2" s="1"/>
  <c r="K1418" i="2"/>
  <c r="Q1375" i="2"/>
  <c r="N1375" i="2"/>
  <c r="O1375" i="2" s="1"/>
  <c r="K1417" i="2"/>
  <c r="Q1374" i="2"/>
  <c r="N1374" i="2"/>
  <c r="O1374" i="2" s="1"/>
  <c r="K1416" i="2"/>
  <c r="Q1373" i="2"/>
  <c r="N1373" i="2"/>
  <c r="O1373" i="2" s="1"/>
  <c r="K1415" i="2"/>
  <c r="Q1372" i="2"/>
  <c r="N1372" i="2"/>
  <c r="O1372" i="2" s="1"/>
  <c r="K1414" i="2"/>
  <c r="Q1371" i="2"/>
  <c r="N1371" i="2"/>
  <c r="O1371" i="2" s="1"/>
  <c r="K1413" i="2"/>
  <c r="Q1370" i="2"/>
  <c r="N1370" i="2"/>
  <c r="O1370" i="2" s="1"/>
  <c r="K1412" i="2"/>
  <c r="Q1369" i="2"/>
  <c r="N1369" i="2"/>
  <c r="O1369" i="2" s="1"/>
  <c r="K1411" i="2"/>
  <c r="Q1368" i="2"/>
  <c r="N1368" i="2"/>
  <c r="O1368" i="2" s="1"/>
  <c r="K1410" i="2"/>
  <c r="Q1367" i="2"/>
  <c r="N1367" i="2"/>
  <c r="O1367" i="2" s="1"/>
  <c r="K1409" i="2"/>
  <c r="Q1366" i="2"/>
  <c r="N1366" i="2"/>
  <c r="O1366" i="2" s="1"/>
  <c r="K1408" i="2"/>
  <c r="Q1365" i="2"/>
  <c r="N1365" i="2"/>
  <c r="O1365" i="2" s="1"/>
  <c r="K1407" i="2"/>
  <c r="Q1364" i="2"/>
  <c r="N1364" i="2"/>
  <c r="O1364" i="2" s="1"/>
  <c r="K1406" i="2"/>
  <c r="Q1363" i="2"/>
  <c r="N1363" i="2"/>
  <c r="O1363" i="2" s="1"/>
  <c r="K1405" i="2"/>
  <c r="Q1362" i="2"/>
  <c r="N1362" i="2"/>
  <c r="O1362" i="2" s="1"/>
  <c r="K1404" i="2"/>
  <c r="Q1361" i="2"/>
  <c r="N1361" i="2"/>
  <c r="O1361" i="2" s="1"/>
  <c r="K1403" i="2"/>
  <c r="Q1360" i="2"/>
  <c r="N1360" i="2"/>
  <c r="O1360" i="2" s="1"/>
  <c r="K1402" i="2"/>
  <c r="Q1359" i="2"/>
  <c r="N1359" i="2"/>
  <c r="O1359" i="2" s="1"/>
  <c r="K1401" i="2"/>
  <c r="Q1358" i="2"/>
  <c r="N1358" i="2"/>
  <c r="O1358" i="2" s="1"/>
  <c r="K1400" i="2"/>
  <c r="Q1357" i="2"/>
  <c r="N1357" i="2"/>
  <c r="O1357" i="2" s="1"/>
  <c r="K242" i="2"/>
  <c r="Q1356" i="2"/>
  <c r="N1356" i="2"/>
  <c r="O1356" i="2" s="1"/>
  <c r="K241" i="2"/>
  <c r="Q1355" i="2"/>
  <c r="N1355" i="2"/>
  <c r="O1355" i="2" s="1"/>
  <c r="K1399" i="2"/>
  <c r="Q1354" i="2"/>
  <c r="N1354" i="2"/>
  <c r="O1354" i="2" s="1"/>
  <c r="K1398" i="2"/>
  <c r="Q1353" i="2"/>
  <c r="N1353" i="2"/>
  <c r="O1353" i="2" s="1"/>
  <c r="K1397" i="2"/>
  <c r="Q1352" i="2"/>
  <c r="N1352" i="2"/>
  <c r="O1352" i="2" s="1"/>
  <c r="K1396" i="2"/>
  <c r="Q1351" i="2"/>
  <c r="N1351" i="2"/>
  <c r="O1351" i="2" s="1"/>
  <c r="K1395" i="2"/>
  <c r="Q1350" i="2"/>
  <c r="N1350" i="2"/>
  <c r="O1350" i="2" s="1"/>
  <c r="K1394" i="2"/>
  <c r="Q1349" i="2"/>
  <c r="N1349" i="2"/>
  <c r="O1349" i="2" s="1"/>
  <c r="K1393" i="2"/>
  <c r="Q1348" i="2"/>
  <c r="N1348" i="2"/>
  <c r="O1348" i="2" s="1"/>
  <c r="K1392" i="2"/>
  <c r="Q1347" i="2"/>
  <c r="N1347" i="2"/>
  <c r="O1347" i="2" s="1"/>
  <c r="K1391" i="2"/>
  <c r="Q1346" i="2"/>
  <c r="N1346" i="2"/>
  <c r="O1346" i="2" s="1"/>
  <c r="K1390" i="2"/>
  <c r="Q1345" i="2"/>
  <c r="N1345" i="2"/>
  <c r="O1345" i="2" s="1"/>
  <c r="K1389" i="2"/>
  <c r="Q1344" i="2"/>
  <c r="N1344" i="2"/>
  <c r="O1344" i="2" s="1"/>
  <c r="K1388" i="2"/>
  <c r="Q1343" i="2"/>
  <c r="N1343" i="2"/>
  <c r="O1343" i="2" s="1"/>
  <c r="K1387" i="2"/>
  <c r="Q1342" i="2"/>
  <c r="N1342" i="2"/>
  <c r="O1342" i="2" s="1"/>
  <c r="K1386" i="2"/>
  <c r="Q1341" i="2"/>
  <c r="N1341" i="2"/>
  <c r="O1341" i="2" s="1"/>
  <c r="K1385" i="2"/>
  <c r="Q1340" i="2"/>
  <c r="N1340" i="2"/>
  <c r="O1340" i="2" s="1"/>
  <c r="K1384" i="2"/>
  <c r="Q1339" i="2"/>
  <c r="N1339" i="2"/>
  <c r="O1339" i="2" s="1"/>
  <c r="K1383" i="2"/>
  <c r="Q1338" i="2"/>
  <c r="N1338" i="2"/>
  <c r="O1338" i="2" s="1"/>
  <c r="K1382" i="2"/>
  <c r="Q1337" i="2"/>
  <c r="N1337" i="2"/>
  <c r="O1337" i="2" s="1"/>
  <c r="K1381" i="2"/>
  <c r="Q1336" i="2"/>
  <c r="N1336" i="2"/>
  <c r="O1336" i="2" s="1"/>
  <c r="K1380" i="2"/>
  <c r="Q1335" i="2"/>
  <c r="N1335" i="2"/>
  <c r="O1335" i="2" s="1"/>
  <c r="K1379" i="2"/>
  <c r="Q1334" i="2"/>
  <c r="N1334" i="2"/>
  <c r="O1334" i="2" s="1"/>
  <c r="K1378" i="2"/>
  <c r="Q1333" i="2"/>
  <c r="N1333" i="2"/>
  <c r="O1333" i="2" s="1"/>
  <c r="K240" i="2"/>
  <c r="Q1332" i="2"/>
  <c r="N1332" i="2"/>
  <c r="O1332" i="2" s="1"/>
  <c r="K1377" i="2"/>
  <c r="Q1331" i="2"/>
  <c r="N1331" i="2"/>
  <c r="O1331" i="2" s="1"/>
  <c r="K239" i="2"/>
  <c r="Q1330" i="2"/>
  <c r="N1330" i="2"/>
  <c r="O1330" i="2" s="1"/>
  <c r="K1376" i="2"/>
  <c r="Q1329" i="2"/>
  <c r="N1329" i="2"/>
  <c r="O1329" i="2" s="1"/>
  <c r="K1375" i="2"/>
  <c r="Q1328" i="2"/>
  <c r="N1328" i="2"/>
  <c r="O1328" i="2" s="1"/>
  <c r="K1374" i="2"/>
  <c r="Q1327" i="2"/>
  <c r="N1327" i="2"/>
  <c r="O1327" i="2" s="1"/>
  <c r="K1373" i="2"/>
  <c r="Q1326" i="2"/>
  <c r="N1326" i="2"/>
  <c r="O1326" i="2" s="1"/>
  <c r="K1372" i="2"/>
  <c r="Q1325" i="2"/>
  <c r="N1325" i="2"/>
  <c r="O1325" i="2" s="1"/>
  <c r="K1371" i="2"/>
  <c r="Q1324" i="2"/>
  <c r="N1324" i="2"/>
  <c r="O1324" i="2" s="1"/>
  <c r="K1370" i="2"/>
  <c r="K1369" i="2"/>
  <c r="Q1323" i="2"/>
  <c r="N1323" i="2"/>
  <c r="O1323" i="2" s="1"/>
  <c r="K1368" i="2"/>
  <c r="Q1322" i="2"/>
  <c r="N1322" i="2"/>
  <c r="O1322" i="2" s="1"/>
  <c r="K1367" i="2"/>
  <c r="Q1321" i="2"/>
  <c r="N1321" i="2"/>
  <c r="O1321" i="2" s="1"/>
  <c r="K1366" i="2"/>
  <c r="Q1320" i="2"/>
  <c r="N1320" i="2"/>
  <c r="O1320" i="2" s="1"/>
  <c r="K1365" i="2"/>
  <c r="Q1319" i="2"/>
  <c r="N1319" i="2"/>
  <c r="O1319" i="2" s="1"/>
  <c r="K1364" i="2"/>
  <c r="Q1318" i="2"/>
  <c r="N1318" i="2"/>
  <c r="O1318" i="2" s="1"/>
  <c r="K238" i="2"/>
  <c r="Q1317" i="2"/>
  <c r="N1317" i="2"/>
  <c r="O1317" i="2" s="1"/>
  <c r="K1363" i="2"/>
  <c r="Q1316" i="2"/>
  <c r="N1316" i="2"/>
  <c r="O1316" i="2" s="1"/>
  <c r="K1362" i="2"/>
  <c r="Q1315" i="2"/>
  <c r="N1315" i="2"/>
  <c r="O1315" i="2" s="1"/>
  <c r="K1361" i="2"/>
  <c r="Q1314" i="2"/>
  <c r="N1314" i="2"/>
  <c r="O1314" i="2" s="1"/>
  <c r="K1360" i="2"/>
  <c r="Q1313" i="2"/>
  <c r="N1313" i="2"/>
  <c r="O1313" i="2" s="1"/>
  <c r="K1359" i="2"/>
  <c r="Q1312" i="2"/>
  <c r="N1312" i="2"/>
  <c r="O1312" i="2" s="1"/>
  <c r="K1358" i="2"/>
  <c r="Q1311" i="2"/>
  <c r="N1311" i="2"/>
  <c r="O1311" i="2" s="1"/>
  <c r="K1357" i="2"/>
  <c r="Q1310" i="2"/>
  <c r="N1310" i="2"/>
  <c r="O1310" i="2" s="1"/>
  <c r="K1356" i="2"/>
  <c r="Q1309" i="2"/>
  <c r="N1309" i="2"/>
  <c r="O1309" i="2" s="1"/>
  <c r="K1355" i="2"/>
  <c r="Q1308" i="2"/>
  <c r="N1308" i="2"/>
  <c r="O1308" i="2" s="1"/>
  <c r="K1354" i="2"/>
  <c r="Q1307" i="2"/>
  <c r="N1307" i="2"/>
  <c r="O1307" i="2" s="1"/>
  <c r="K1353" i="2"/>
  <c r="Q1306" i="2"/>
  <c r="N1306" i="2"/>
  <c r="O1306" i="2" s="1"/>
  <c r="K1352" i="2"/>
  <c r="Q1305" i="2"/>
  <c r="N1305" i="2"/>
  <c r="O1305" i="2" s="1"/>
  <c r="K1351" i="2"/>
  <c r="Q1304" i="2"/>
  <c r="N1304" i="2"/>
  <c r="O1304" i="2" s="1"/>
  <c r="K1350" i="2"/>
  <c r="Q1303" i="2"/>
  <c r="N1303" i="2"/>
  <c r="O1303" i="2" s="1"/>
  <c r="K237" i="2"/>
  <c r="Q1302" i="2"/>
  <c r="N1302" i="2"/>
  <c r="O1302" i="2" s="1"/>
  <c r="K1349" i="2"/>
  <c r="Q1301" i="2"/>
  <c r="N1301" i="2"/>
  <c r="O1301" i="2" s="1"/>
  <c r="K236" i="2"/>
  <c r="Q1300" i="2"/>
  <c r="N1300" i="2"/>
  <c r="O1300" i="2" s="1"/>
  <c r="K235" i="2"/>
  <c r="Q1299" i="2"/>
  <c r="N1299" i="2"/>
  <c r="O1299" i="2" s="1"/>
  <c r="K1348" i="2"/>
  <c r="Q1298" i="2"/>
  <c r="N1298" i="2"/>
  <c r="O1298" i="2" s="1"/>
  <c r="K1347" i="2"/>
  <c r="Q1297" i="2"/>
  <c r="N1297" i="2"/>
  <c r="O1297" i="2" s="1"/>
  <c r="K1346" i="2"/>
  <c r="K1345" i="2"/>
  <c r="K1344" i="2"/>
  <c r="Q1296" i="2"/>
  <c r="N1296" i="2"/>
  <c r="O1296" i="2" s="1"/>
  <c r="K1343" i="2"/>
  <c r="Q1295" i="2"/>
  <c r="N1295" i="2"/>
  <c r="O1295" i="2" s="1"/>
  <c r="K1342" i="2"/>
  <c r="Q1294" i="2"/>
  <c r="N1294" i="2"/>
  <c r="O1294" i="2" s="1"/>
  <c r="K1341" i="2"/>
  <c r="Q1293" i="2"/>
  <c r="N1293" i="2"/>
  <c r="O1293" i="2" s="1"/>
  <c r="K1340" i="2"/>
  <c r="Q1292" i="2"/>
  <c r="N1292" i="2"/>
  <c r="O1292" i="2" s="1"/>
  <c r="K1339" i="2"/>
  <c r="Q1291" i="2"/>
  <c r="N1291" i="2"/>
  <c r="O1291" i="2" s="1"/>
  <c r="K1338" i="2"/>
  <c r="Q1290" i="2"/>
  <c r="N1290" i="2"/>
  <c r="O1290" i="2" s="1"/>
  <c r="K1337" i="2"/>
  <c r="Q1289" i="2"/>
  <c r="N1289" i="2"/>
  <c r="O1289" i="2" s="1"/>
  <c r="K1336" i="2"/>
  <c r="Q1288" i="2"/>
  <c r="N1288" i="2"/>
  <c r="O1288" i="2" s="1"/>
  <c r="K1335" i="2"/>
  <c r="Q1287" i="2"/>
  <c r="N1287" i="2"/>
  <c r="O1287" i="2" s="1"/>
  <c r="K1334" i="2"/>
  <c r="Q1286" i="2"/>
  <c r="N1286" i="2"/>
  <c r="O1286" i="2" s="1"/>
  <c r="K1333" i="2"/>
  <c r="Q1285" i="2"/>
  <c r="N1285" i="2"/>
  <c r="O1285" i="2" s="1"/>
  <c r="K1332" i="2"/>
  <c r="Q1284" i="2"/>
  <c r="N1284" i="2"/>
  <c r="O1284" i="2" s="1"/>
  <c r="K1331" i="2"/>
  <c r="Q1283" i="2"/>
  <c r="N1283" i="2"/>
  <c r="O1283" i="2" s="1"/>
  <c r="K1330" i="2"/>
  <c r="Q1282" i="2"/>
  <c r="N1282" i="2"/>
  <c r="O1282" i="2" s="1"/>
  <c r="K1329" i="2"/>
  <c r="Q1281" i="2"/>
  <c r="N1281" i="2"/>
  <c r="O1281" i="2" s="1"/>
  <c r="K1328" i="2"/>
  <c r="Q1280" i="2"/>
  <c r="N1280" i="2"/>
  <c r="O1280" i="2" s="1"/>
  <c r="K1327" i="2"/>
  <c r="Q1279" i="2"/>
  <c r="N1279" i="2"/>
  <c r="O1279" i="2" s="1"/>
  <c r="K1326" i="2"/>
  <c r="Q1278" i="2"/>
  <c r="N1278" i="2"/>
  <c r="O1278" i="2" s="1"/>
  <c r="K1325" i="2"/>
  <c r="Q1277" i="2"/>
  <c r="N1277" i="2"/>
  <c r="O1277" i="2" s="1"/>
  <c r="K1324" i="2"/>
  <c r="Q1276" i="2"/>
  <c r="N1276" i="2"/>
  <c r="O1276" i="2" s="1"/>
  <c r="Q1275" i="2"/>
  <c r="N1275" i="2"/>
  <c r="O1275" i="2" s="1"/>
  <c r="K1323" i="2"/>
  <c r="Q1274" i="2"/>
  <c r="N1274" i="2"/>
  <c r="O1274" i="2" s="1"/>
  <c r="K1322" i="2"/>
  <c r="Q1273" i="2"/>
  <c r="N1273" i="2"/>
  <c r="O1273" i="2" s="1"/>
  <c r="K1321" i="2"/>
  <c r="Q1272" i="2"/>
  <c r="N1272" i="2"/>
  <c r="O1272" i="2" s="1"/>
  <c r="K1320" i="2"/>
  <c r="Q1271" i="2"/>
  <c r="N1271" i="2"/>
  <c r="O1271" i="2" s="1"/>
  <c r="K1319" i="2"/>
  <c r="Q1270" i="2"/>
  <c r="N1270" i="2"/>
  <c r="O1270" i="2" s="1"/>
  <c r="K234" i="2"/>
  <c r="Q1269" i="2"/>
  <c r="N1269" i="2"/>
  <c r="O1269" i="2" s="1"/>
  <c r="K1318" i="2"/>
  <c r="Q1268" i="2"/>
  <c r="N1268" i="2"/>
  <c r="O1268" i="2" s="1"/>
  <c r="K1317" i="2"/>
  <c r="Q1267" i="2"/>
  <c r="N1267" i="2"/>
  <c r="O1267" i="2" s="1"/>
  <c r="K1316" i="2"/>
  <c r="Q1266" i="2"/>
  <c r="N1266" i="2"/>
  <c r="O1266" i="2" s="1"/>
  <c r="K1315" i="2"/>
  <c r="Q1265" i="2"/>
  <c r="N1265" i="2"/>
  <c r="O1265" i="2" s="1"/>
  <c r="K1314" i="2"/>
  <c r="Q1264" i="2"/>
  <c r="N1264" i="2"/>
  <c r="O1264" i="2" s="1"/>
  <c r="K1313" i="2"/>
  <c r="Q1263" i="2"/>
  <c r="N1263" i="2"/>
  <c r="O1263" i="2" s="1"/>
  <c r="K1312" i="2"/>
  <c r="Q1262" i="2"/>
  <c r="N1262" i="2"/>
  <c r="O1262" i="2" s="1"/>
  <c r="K1311" i="2"/>
  <c r="Q1261" i="2"/>
  <c r="N1261" i="2"/>
  <c r="O1261" i="2" s="1"/>
  <c r="K1310" i="2"/>
  <c r="Q1260" i="2"/>
  <c r="N1260" i="2"/>
  <c r="O1260" i="2" s="1"/>
  <c r="K1309" i="2"/>
  <c r="Q1259" i="2"/>
  <c r="N1259" i="2"/>
  <c r="O1259" i="2" s="1"/>
  <c r="K1308" i="2"/>
  <c r="Q1258" i="2"/>
  <c r="N1258" i="2"/>
  <c r="O1258" i="2" s="1"/>
  <c r="K1307" i="2"/>
  <c r="Q1257" i="2"/>
  <c r="N1257" i="2"/>
  <c r="O1257" i="2" s="1"/>
  <c r="K1306" i="2"/>
  <c r="Q1256" i="2"/>
  <c r="N1256" i="2"/>
  <c r="O1256" i="2" s="1"/>
  <c r="K1305" i="2"/>
  <c r="Q1255" i="2"/>
  <c r="N1255" i="2"/>
  <c r="O1255" i="2" s="1"/>
  <c r="K1304" i="2"/>
  <c r="Q1254" i="2"/>
  <c r="N1254" i="2"/>
  <c r="O1254" i="2" s="1"/>
  <c r="K1303" i="2"/>
  <c r="Q1253" i="2"/>
  <c r="N1253" i="2"/>
  <c r="O1253" i="2" s="1"/>
  <c r="K1302" i="2"/>
  <c r="Q1252" i="2"/>
  <c r="N1252" i="2"/>
  <c r="O1252" i="2" s="1"/>
  <c r="K1301" i="2"/>
  <c r="Q1251" i="2"/>
  <c r="N1251" i="2"/>
  <c r="O1251" i="2" s="1"/>
  <c r="K1300" i="2"/>
  <c r="Q1250" i="2"/>
  <c r="N1250" i="2"/>
  <c r="O1250" i="2" s="1"/>
  <c r="K1299" i="2"/>
  <c r="Q1249" i="2"/>
  <c r="N1249" i="2"/>
  <c r="O1249" i="2" s="1"/>
  <c r="K1298" i="2"/>
  <c r="Q1248" i="2"/>
  <c r="N1248" i="2"/>
  <c r="O1248" i="2" s="1"/>
  <c r="K1297" i="2"/>
  <c r="Q1247" i="2"/>
  <c r="N1247" i="2"/>
  <c r="O1247" i="2" s="1"/>
  <c r="Q1246" i="2"/>
  <c r="N1246" i="2"/>
  <c r="O1246" i="2" s="1"/>
  <c r="Q1245" i="2"/>
  <c r="N1245" i="2"/>
  <c r="O1245" i="2" s="1"/>
  <c r="K1296" i="2"/>
  <c r="Q1244" i="2"/>
  <c r="N1244" i="2"/>
  <c r="O1244" i="2" s="1"/>
  <c r="K1295" i="2"/>
  <c r="Q1243" i="2"/>
  <c r="N1243" i="2"/>
  <c r="O1243" i="2" s="1"/>
  <c r="K1294" i="2"/>
  <c r="Q1242" i="2"/>
  <c r="N1242" i="2"/>
  <c r="O1242" i="2" s="1"/>
  <c r="K1293" i="2"/>
  <c r="Q1241" i="2"/>
  <c r="N1241" i="2"/>
  <c r="O1241" i="2" s="1"/>
  <c r="K1292" i="2"/>
  <c r="Q1240" i="2"/>
  <c r="N1240" i="2"/>
  <c r="O1240" i="2" s="1"/>
  <c r="K1291" i="2"/>
  <c r="Q1239" i="2"/>
  <c r="N1239" i="2"/>
  <c r="O1239" i="2" s="1"/>
  <c r="K1290" i="2"/>
  <c r="Q1238" i="2"/>
  <c r="N1238" i="2"/>
  <c r="O1238" i="2" s="1"/>
  <c r="K1289" i="2"/>
  <c r="Q1237" i="2"/>
  <c r="N1237" i="2"/>
  <c r="O1237" i="2" s="1"/>
  <c r="K1288" i="2"/>
  <c r="Q1236" i="2"/>
  <c r="N1236" i="2"/>
  <c r="O1236" i="2" s="1"/>
  <c r="K1287" i="2"/>
  <c r="Q1235" i="2"/>
  <c r="N1235" i="2"/>
  <c r="O1235" i="2" s="1"/>
  <c r="K1286" i="2"/>
  <c r="Q1234" i="2"/>
  <c r="N1234" i="2"/>
  <c r="O1234" i="2" s="1"/>
  <c r="K1285" i="2"/>
  <c r="Q1233" i="2"/>
  <c r="N1233" i="2"/>
  <c r="O1233" i="2" s="1"/>
  <c r="K1284" i="2"/>
  <c r="Q1232" i="2"/>
  <c r="N1232" i="2"/>
  <c r="O1232" i="2" s="1"/>
  <c r="K1283" i="2"/>
  <c r="Q1231" i="2"/>
  <c r="N1231" i="2"/>
  <c r="O1231" i="2" s="1"/>
  <c r="K1282" i="2"/>
  <c r="Q1230" i="2"/>
  <c r="N1230" i="2"/>
  <c r="O1230" i="2" s="1"/>
  <c r="K1281" i="2"/>
  <c r="Q1229" i="2"/>
  <c r="N1229" i="2"/>
  <c r="O1229" i="2" s="1"/>
  <c r="K1280" i="2"/>
  <c r="Q1228" i="2"/>
  <c r="N1228" i="2"/>
  <c r="O1228" i="2" s="1"/>
  <c r="K1279" i="2"/>
  <c r="Q1227" i="2"/>
  <c r="N1227" i="2"/>
  <c r="O1227" i="2" s="1"/>
  <c r="K1278" i="2"/>
  <c r="Q1226" i="2"/>
  <c r="N1226" i="2"/>
  <c r="O1226" i="2" s="1"/>
  <c r="K1277" i="2"/>
  <c r="Q1225" i="2"/>
  <c r="N1225" i="2"/>
  <c r="O1225" i="2" s="1"/>
  <c r="K233" i="2"/>
  <c r="Q1224" i="2"/>
  <c r="N1224" i="2"/>
  <c r="O1224" i="2" s="1"/>
  <c r="K1276" i="2"/>
  <c r="Q1223" i="2"/>
  <c r="N1223" i="2"/>
  <c r="O1223" i="2" s="1"/>
  <c r="K1275" i="2"/>
  <c r="Q1222" i="2"/>
  <c r="N1222" i="2"/>
  <c r="O1222" i="2" s="1"/>
  <c r="K1274" i="2"/>
  <c r="Q1221" i="2"/>
  <c r="N1221" i="2"/>
  <c r="O1221" i="2" s="1"/>
  <c r="K1273" i="2"/>
  <c r="Q1220" i="2"/>
  <c r="N1220" i="2"/>
  <c r="O1220" i="2" s="1"/>
  <c r="K1272" i="2"/>
  <c r="Q1219" i="2"/>
  <c r="N1219" i="2"/>
  <c r="O1219" i="2" s="1"/>
  <c r="K1271" i="2"/>
  <c r="Q1218" i="2"/>
  <c r="N1218" i="2"/>
  <c r="O1218" i="2" s="1"/>
  <c r="K1270" i="2"/>
  <c r="Q1217" i="2"/>
  <c r="N1217" i="2"/>
  <c r="O1217" i="2" s="1"/>
  <c r="K1269" i="2"/>
  <c r="Q1216" i="2"/>
  <c r="N1216" i="2"/>
  <c r="O1216" i="2" s="1"/>
  <c r="K1268" i="2"/>
  <c r="Q1215" i="2"/>
  <c r="N1215" i="2"/>
  <c r="O1215" i="2" s="1"/>
  <c r="K1267" i="2"/>
  <c r="Q1214" i="2"/>
  <c r="N1214" i="2"/>
  <c r="O1214" i="2" s="1"/>
  <c r="K1266" i="2"/>
  <c r="Q1213" i="2"/>
  <c r="N1213" i="2"/>
  <c r="O1213" i="2" s="1"/>
  <c r="K1265" i="2"/>
  <c r="Q1212" i="2"/>
  <c r="N1212" i="2"/>
  <c r="O1212" i="2" s="1"/>
  <c r="K1264" i="2"/>
  <c r="Q1211" i="2"/>
  <c r="N1211" i="2"/>
  <c r="O1211" i="2" s="1"/>
  <c r="K1263" i="2"/>
  <c r="Q1210" i="2"/>
  <c r="N1210" i="2"/>
  <c r="O1210" i="2" s="1"/>
  <c r="K1262" i="2"/>
  <c r="Q1209" i="2"/>
  <c r="N1209" i="2"/>
  <c r="O1209" i="2" s="1"/>
  <c r="K232" i="2"/>
  <c r="Q1208" i="2"/>
  <c r="N1208" i="2"/>
  <c r="O1208" i="2" s="1"/>
  <c r="K27" i="2"/>
  <c r="Q1207" i="2"/>
  <c r="N1207" i="2"/>
  <c r="O1207" i="2" s="1"/>
  <c r="K1261" i="2"/>
  <c r="Q1206" i="2"/>
  <c r="N1206" i="2"/>
  <c r="O1206" i="2" s="1"/>
  <c r="K1260" i="2"/>
  <c r="Q1205" i="2"/>
  <c r="N1205" i="2"/>
  <c r="O1205" i="2" s="1"/>
  <c r="K1259" i="2"/>
  <c r="Q1204" i="2"/>
  <c r="N1204" i="2"/>
  <c r="O1204" i="2" s="1"/>
  <c r="K1258" i="2"/>
  <c r="Q1203" i="2"/>
  <c r="N1203" i="2"/>
  <c r="O1203" i="2" s="1"/>
  <c r="K231" i="2"/>
  <c r="Q1202" i="2"/>
  <c r="N1202" i="2"/>
  <c r="O1202" i="2" s="1"/>
  <c r="K230" i="2"/>
  <c r="Q1201" i="2"/>
  <c r="N1201" i="2"/>
  <c r="O1201" i="2" s="1"/>
  <c r="K1257" i="2"/>
  <c r="Q1200" i="2"/>
  <c r="N1200" i="2"/>
  <c r="O1200" i="2" s="1"/>
  <c r="K1256" i="2"/>
  <c r="Q1199" i="2"/>
  <c r="N1199" i="2"/>
  <c r="O1199" i="2" s="1"/>
  <c r="K1255" i="2"/>
  <c r="Q1198" i="2"/>
  <c r="N1198" i="2"/>
  <c r="O1198" i="2" s="1"/>
  <c r="K26" i="2"/>
  <c r="Q1197" i="2"/>
  <c r="N1197" i="2"/>
  <c r="O1197" i="2" s="1"/>
  <c r="K25" i="2"/>
  <c r="Q1196" i="2"/>
  <c r="N1196" i="2"/>
  <c r="O1196" i="2" s="1"/>
  <c r="K1254" i="2"/>
  <c r="Q1195" i="2"/>
  <c r="N1195" i="2"/>
  <c r="O1195" i="2" s="1"/>
  <c r="K1253" i="2"/>
  <c r="Q1194" i="2"/>
  <c r="N1194" i="2"/>
  <c r="O1194" i="2" s="1"/>
  <c r="K1252" i="2"/>
  <c r="Q1193" i="2"/>
  <c r="N1193" i="2"/>
  <c r="O1193" i="2" s="1"/>
  <c r="K1251" i="2"/>
  <c r="Q1192" i="2"/>
  <c r="N1192" i="2"/>
  <c r="O1192" i="2" s="1"/>
  <c r="K1250" i="2"/>
  <c r="Q1191" i="2"/>
  <c r="N1191" i="2"/>
  <c r="O1191" i="2" s="1"/>
  <c r="K1249" i="2"/>
  <c r="Q1190" i="2"/>
  <c r="N1190" i="2"/>
  <c r="O1190" i="2" s="1"/>
  <c r="K229" i="2"/>
  <c r="Q1189" i="2"/>
  <c r="N1189" i="2"/>
  <c r="O1189" i="2" s="1"/>
  <c r="K24" i="2"/>
  <c r="Q1188" i="2"/>
  <c r="N1188" i="2"/>
  <c r="O1188" i="2" s="1"/>
  <c r="K1248" i="2"/>
  <c r="Q1187" i="2"/>
  <c r="N1187" i="2"/>
  <c r="O1187" i="2" s="1"/>
  <c r="K1247" i="2"/>
  <c r="Q1186" i="2"/>
  <c r="N1186" i="2"/>
  <c r="O1186" i="2" s="1"/>
  <c r="K1246" i="2"/>
  <c r="Q1185" i="2"/>
  <c r="N1185" i="2"/>
  <c r="O1185" i="2" s="1"/>
  <c r="K1245" i="2"/>
  <c r="Q1184" i="2"/>
  <c r="N1184" i="2"/>
  <c r="O1184" i="2" s="1"/>
  <c r="K1244" i="2"/>
  <c r="Q1183" i="2"/>
  <c r="N1183" i="2"/>
  <c r="O1183" i="2" s="1"/>
  <c r="K1243" i="2"/>
  <c r="Q1182" i="2"/>
  <c r="N1182" i="2"/>
  <c r="O1182" i="2" s="1"/>
  <c r="K1242" i="2"/>
  <c r="Q1181" i="2"/>
  <c r="N1181" i="2"/>
  <c r="O1181" i="2" s="1"/>
  <c r="K1241" i="2"/>
  <c r="Q1180" i="2"/>
  <c r="N1180" i="2"/>
  <c r="O1180" i="2" s="1"/>
  <c r="K228" i="2"/>
  <c r="Q1179" i="2"/>
  <c r="N1179" i="2"/>
  <c r="O1179" i="2" s="1"/>
  <c r="K1240" i="2"/>
  <c r="Q1178" i="2"/>
  <c r="N1178" i="2"/>
  <c r="O1178" i="2" s="1"/>
  <c r="K1239" i="2"/>
  <c r="Q1177" i="2"/>
  <c r="N1177" i="2"/>
  <c r="O1177" i="2" s="1"/>
  <c r="K227" i="2"/>
  <c r="Q1176" i="2"/>
  <c r="N1176" i="2"/>
  <c r="O1176" i="2" s="1"/>
  <c r="K1238" i="2"/>
  <c r="Q1175" i="2"/>
  <c r="N1175" i="2"/>
  <c r="O1175" i="2" s="1"/>
  <c r="K1237" i="2"/>
  <c r="Q1174" i="2"/>
  <c r="N1174" i="2"/>
  <c r="O1174" i="2" s="1"/>
  <c r="K1236" i="2"/>
  <c r="Q1173" i="2"/>
  <c r="N1173" i="2"/>
  <c r="O1173" i="2" s="1"/>
  <c r="K1235" i="2"/>
  <c r="K1234" i="2"/>
  <c r="Q1172" i="2"/>
  <c r="N1172" i="2"/>
  <c r="O1172" i="2" s="1"/>
  <c r="K226" i="2"/>
  <c r="Q1171" i="2"/>
  <c r="N1171" i="2"/>
  <c r="O1171" i="2" s="1"/>
  <c r="K225" i="2"/>
  <c r="Q1170" i="2"/>
  <c r="N1170" i="2"/>
  <c r="O1170" i="2" s="1"/>
  <c r="K1233" i="2"/>
  <c r="Q1169" i="2"/>
  <c r="N1169" i="2"/>
  <c r="O1169" i="2" s="1"/>
  <c r="K1232" i="2"/>
  <c r="Q1168" i="2"/>
  <c r="N1168" i="2"/>
  <c r="O1168" i="2" s="1"/>
  <c r="K1231" i="2"/>
  <c r="Q1167" i="2"/>
  <c r="N1167" i="2"/>
  <c r="O1167" i="2" s="1"/>
  <c r="K1230" i="2"/>
  <c r="Q1166" i="2"/>
  <c r="N1166" i="2"/>
  <c r="O1166" i="2" s="1"/>
  <c r="K1229" i="2"/>
  <c r="K1228" i="2"/>
  <c r="Q1165" i="2"/>
  <c r="N1165" i="2"/>
  <c r="O1165" i="2" s="1"/>
  <c r="K1227" i="2"/>
  <c r="Q1164" i="2"/>
  <c r="N1164" i="2"/>
  <c r="O1164" i="2" s="1"/>
  <c r="K1226" i="2"/>
  <c r="Q1163" i="2"/>
  <c r="N1163" i="2"/>
  <c r="O1163" i="2" s="1"/>
  <c r="K1225" i="2"/>
  <c r="Q1162" i="2"/>
  <c r="N1162" i="2"/>
  <c r="O1162" i="2" s="1"/>
  <c r="K1224" i="2"/>
  <c r="Q1161" i="2"/>
  <c r="N1161" i="2"/>
  <c r="O1161" i="2" s="1"/>
  <c r="K1223" i="2"/>
  <c r="Q1160" i="2"/>
  <c r="N1160" i="2"/>
  <c r="O1160" i="2" s="1"/>
  <c r="K1222" i="2"/>
  <c r="Q1159" i="2"/>
  <c r="N1159" i="2"/>
  <c r="O1159" i="2" s="1"/>
  <c r="K1221" i="2"/>
  <c r="Q1158" i="2"/>
  <c r="N1158" i="2"/>
  <c r="O1158" i="2" s="1"/>
  <c r="K1220" i="2"/>
  <c r="Q1157" i="2"/>
  <c r="N1157" i="2"/>
  <c r="O1157" i="2" s="1"/>
  <c r="K1219" i="2"/>
  <c r="Q1156" i="2"/>
  <c r="N1156" i="2"/>
  <c r="O1156" i="2" s="1"/>
  <c r="K1218" i="2"/>
  <c r="Q1155" i="2"/>
  <c r="N1155" i="2"/>
  <c r="O1155" i="2" s="1"/>
  <c r="K1217" i="2"/>
  <c r="Q1154" i="2"/>
  <c r="N1154" i="2"/>
  <c r="O1154" i="2" s="1"/>
  <c r="K1216" i="2"/>
  <c r="Q1153" i="2"/>
  <c r="N1153" i="2"/>
  <c r="O1153" i="2" s="1"/>
  <c r="K1215" i="2"/>
  <c r="Q1152" i="2"/>
  <c r="N1152" i="2"/>
  <c r="O1152" i="2" s="1"/>
  <c r="K1214" i="2"/>
  <c r="Q1151" i="2"/>
  <c r="N1151" i="2"/>
  <c r="O1151" i="2" s="1"/>
  <c r="K224" i="2"/>
  <c r="K223" i="2"/>
  <c r="Q1150" i="2"/>
  <c r="N1150" i="2"/>
  <c r="O1150" i="2" s="1"/>
  <c r="K1213" i="2"/>
  <c r="Q1149" i="2"/>
  <c r="N1149" i="2"/>
  <c r="O1149" i="2" s="1"/>
  <c r="K1212" i="2"/>
  <c r="Q1148" i="2"/>
  <c r="N1148" i="2"/>
  <c r="O1148" i="2" s="1"/>
  <c r="K1211" i="2"/>
  <c r="Q1147" i="2"/>
  <c r="N1147" i="2"/>
  <c r="O1147" i="2" s="1"/>
  <c r="K1210" i="2"/>
  <c r="Q1146" i="2"/>
  <c r="N1146" i="2"/>
  <c r="O1146" i="2" s="1"/>
  <c r="K1209" i="2"/>
  <c r="Q1145" i="2"/>
  <c r="N1145" i="2"/>
  <c r="O1145" i="2" s="1"/>
  <c r="K1208" i="2"/>
  <c r="Q1144" i="2"/>
  <c r="N1144" i="2"/>
  <c r="O1144" i="2" s="1"/>
  <c r="K1207" i="2"/>
  <c r="Q1143" i="2"/>
  <c r="N1143" i="2"/>
  <c r="O1143" i="2" s="1"/>
  <c r="K1206" i="2"/>
  <c r="Q1142" i="2"/>
  <c r="N1142" i="2"/>
  <c r="O1142" i="2" s="1"/>
  <c r="K1205" i="2"/>
  <c r="Q1141" i="2"/>
  <c r="N1141" i="2"/>
  <c r="O1141" i="2" s="1"/>
  <c r="K222" i="2"/>
  <c r="Q1140" i="2"/>
  <c r="N1140" i="2"/>
  <c r="O1140" i="2" s="1"/>
  <c r="K221" i="2"/>
  <c r="Q1139" i="2"/>
  <c r="N1139" i="2"/>
  <c r="O1139" i="2" s="1"/>
  <c r="K1204" i="2"/>
  <c r="Q1138" i="2"/>
  <c r="N1138" i="2"/>
  <c r="O1138" i="2" s="1"/>
  <c r="K1203" i="2"/>
  <c r="Q1137" i="2"/>
  <c r="N1137" i="2"/>
  <c r="O1137" i="2" s="1"/>
  <c r="K1202" i="2"/>
  <c r="Q1136" i="2"/>
  <c r="N1136" i="2"/>
  <c r="O1136" i="2" s="1"/>
  <c r="K1201" i="2"/>
  <c r="Q1135" i="2"/>
  <c r="N1135" i="2"/>
  <c r="O1135" i="2" s="1"/>
  <c r="K1200" i="2"/>
  <c r="Q1134" i="2"/>
  <c r="N1134" i="2"/>
  <c r="O1134" i="2" s="1"/>
  <c r="K1199" i="2"/>
  <c r="Q1133" i="2"/>
  <c r="N1133" i="2"/>
  <c r="O1133" i="2" s="1"/>
  <c r="K1198" i="2"/>
  <c r="Q1132" i="2"/>
  <c r="N1132" i="2"/>
  <c r="O1132" i="2" s="1"/>
  <c r="K1197" i="2"/>
  <c r="Q1131" i="2"/>
  <c r="N1131" i="2"/>
  <c r="O1131" i="2" s="1"/>
  <c r="K1196" i="2"/>
  <c r="Q1130" i="2"/>
  <c r="N1130" i="2"/>
  <c r="O1130" i="2" s="1"/>
  <c r="K1195" i="2"/>
  <c r="Q1129" i="2"/>
  <c r="N1129" i="2"/>
  <c r="O1129" i="2" s="1"/>
  <c r="K1194" i="2"/>
  <c r="Q1128" i="2"/>
  <c r="N1128" i="2"/>
  <c r="O1128" i="2" s="1"/>
  <c r="K1193" i="2"/>
  <c r="Q1127" i="2"/>
  <c r="N1127" i="2"/>
  <c r="O1127" i="2" s="1"/>
  <c r="K23" i="2"/>
  <c r="Q1126" i="2"/>
  <c r="N1126" i="2"/>
  <c r="O1126" i="2" s="1"/>
  <c r="K1192" i="2"/>
  <c r="Q1125" i="2"/>
  <c r="N1125" i="2"/>
  <c r="O1125" i="2" s="1"/>
  <c r="K1191" i="2"/>
  <c r="Q1124" i="2"/>
  <c r="N1124" i="2"/>
  <c r="O1124" i="2" s="1"/>
  <c r="K1190" i="2"/>
  <c r="Q1123" i="2"/>
  <c r="N1123" i="2"/>
  <c r="O1123" i="2" s="1"/>
  <c r="K1189" i="2"/>
  <c r="Q1122" i="2"/>
  <c r="N1122" i="2"/>
  <c r="O1122" i="2" s="1"/>
  <c r="K1188" i="2"/>
  <c r="Q1121" i="2"/>
  <c r="N1121" i="2"/>
  <c r="O1121" i="2" s="1"/>
  <c r="K1187" i="2"/>
  <c r="Q1120" i="2"/>
  <c r="N1120" i="2"/>
  <c r="O1120" i="2" s="1"/>
  <c r="K1186" i="2"/>
  <c r="Q1119" i="2"/>
  <c r="N1119" i="2"/>
  <c r="O1119" i="2" s="1"/>
  <c r="K220" i="2"/>
  <c r="Q1118" i="2"/>
  <c r="N1118" i="2"/>
  <c r="O1118" i="2" s="1"/>
  <c r="K1185" i="2"/>
  <c r="Q1117" i="2"/>
  <c r="N1117" i="2"/>
  <c r="O1117" i="2" s="1"/>
  <c r="K1184" i="2"/>
  <c r="Q1116" i="2"/>
  <c r="N1116" i="2"/>
  <c r="O1116" i="2" s="1"/>
  <c r="K1183" i="2"/>
  <c r="Q1115" i="2"/>
  <c r="N1115" i="2"/>
  <c r="O1115" i="2" s="1"/>
  <c r="K1182" i="2"/>
  <c r="Q1114" i="2"/>
  <c r="N1114" i="2"/>
  <c r="O1114" i="2" s="1"/>
  <c r="K1181" i="2"/>
  <c r="Q1113" i="2"/>
  <c r="N1113" i="2"/>
  <c r="O1113" i="2" s="1"/>
  <c r="K219" i="2"/>
  <c r="Q1112" i="2"/>
  <c r="N1112" i="2"/>
  <c r="O1112" i="2" s="1"/>
  <c r="K1180" i="2"/>
  <c r="Q1111" i="2"/>
  <c r="N1111" i="2"/>
  <c r="O1111" i="2" s="1"/>
  <c r="K1179" i="2"/>
  <c r="Q1110" i="2"/>
  <c r="N1110" i="2"/>
  <c r="O1110" i="2" s="1"/>
  <c r="K1178" i="2"/>
  <c r="Q1109" i="2"/>
  <c r="N1109" i="2"/>
  <c r="O1109" i="2" s="1"/>
  <c r="K218" i="2"/>
  <c r="Q1108" i="2"/>
  <c r="N1108" i="2"/>
  <c r="O1108" i="2" s="1"/>
  <c r="K1177" i="2"/>
  <c r="Q1107" i="2"/>
  <c r="N1107" i="2"/>
  <c r="O1107" i="2" s="1"/>
  <c r="K1176" i="2"/>
  <c r="Q1106" i="2"/>
  <c r="N1106" i="2"/>
  <c r="O1106" i="2" s="1"/>
  <c r="K1175" i="2"/>
  <c r="Q1105" i="2"/>
  <c r="N1105" i="2"/>
  <c r="O1105" i="2" s="1"/>
  <c r="K1174" i="2"/>
  <c r="Q1104" i="2"/>
  <c r="N1104" i="2"/>
  <c r="O1104" i="2" s="1"/>
  <c r="K217" i="2"/>
  <c r="Q1103" i="2"/>
  <c r="N1103" i="2"/>
  <c r="O1103" i="2" s="1"/>
  <c r="K216" i="2"/>
  <c r="Q1102" i="2"/>
  <c r="N1102" i="2"/>
  <c r="O1102" i="2" s="1"/>
  <c r="K215" i="2"/>
  <c r="Q1101" i="2"/>
  <c r="N1101" i="2"/>
  <c r="O1101" i="2" s="1"/>
  <c r="K1173" i="2"/>
  <c r="Q1100" i="2"/>
  <c r="N1100" i="2"/>
  <c r="O1100" i="2" s="1"/>
  <c r="K214" i="2"/>
  <c r="Q1099" i="2"/>
  <c r="N1099" i="2"/>
  <c r="O1099" i="2" s="1"/>
  <c r="Q1098" i="2"/>
  <c r="N1098" i="2"/>
  <c r="O1098" i="2" s="1"/>
  <c r="K1172" i="2"/>
  <c r="Q1097" i="2"/>
  <c r="N1097" i="2"/>
  <c r="O1097" i="2" s="1"/>
  <c r="K1171" i="2"/>
  <c r="Q1096" i="2"/>
  <c r="N1096" i="2"/>
  <c r="O1096" i="2" s="1"/>
  <c r="K213" i="2"/>
  <c r="Q1095" i="2"/>
  <c r="N1095" i="2"/>
  <c r="O1095" i="2" s="1"/>
  <c r="K1170" i="2"/>
  <c r="Q1094" i="2"/>
  <c r="N1094" i="2"/>
  <c r="O1094" i="2" s="1"/>
  <c r="K1169" i="2"/>
  <c r="Q1093" i="2"/>
  <c r="N1093" i="2"/>
  <c r="O1093" i="2" s="1"/>
  <c r="K1168" i="2"/>
  <c r="Q1092" i="2"/>
  <c r="N1092" i="2"/>
  <c r="O1092" i="2" s="1"/>
  <c r="Q1091" i="2"/>
  <c r="N1091" i="2"/>
  <c r="O1091" i="2" s="1"/>
  <c r="K1167" i="2"/>
  <c r="Q1090" i="2"/>
  <c r="N1090" i="2"/>
  <c r="O1090" i="2" s="1"/>
  <c r="K1166" i="2"/>
  <c r="Q1089" i="2"/>
  <c r="N1089" i="2"/>
  <c r="O1089" i="2" s="1"/>
  <c r="Q1088" i="2"/>
  <c r="N1088" i="2"/>
  <c r="O1088" i="2" s="1"/>
  <c r="K1165" i="2"/>
  <c r="Q1087" i="2"/>
  <c r="N1087" i="2"/>
  <c r="O1087" i="2" s="1"/>
  <c r="K1164" i="2"/>
  <c r="Q1086" i="2"/>
  <c r="N1086" i="2"/>
  <c r="O1086" i="2" s="1"/>
  <c r="K1163" i="2"/>
  <c r="Q1085" i="2"/>
  <c r="N1085" i="2"/>
  <c r="O1085" i="2" s="1"/>
  <c r="K1162" i="2"/>
  <c r="Q1084" i="2"/>
  <c r="N1084" i="2"/>
  <c r="O1084" i="2" s="1"/>
  <c r="K1161" i="2"/>
  <c r="Q1083" i="2"/>
  <c r="N1083" i="2"/>
  <c r="O1083" i="2" s="1"/>
  <c r="K212" i="2"/>
  <c r="Q1082" i="2"/>
  <c r="N1082" i="2"/>
  <c r="O1082" i="2" s="1"/>
  <c r="K211" i="2"/>
  <c r="Q1081" i="2"/>
  <c r="N1081" i="2"/>
  <c r="O1081" i="2" s="1"/>
  <c r="K210" i="2"/>
  <c r="Q1080" i="2"/>
  <c r="N1080" i="2"/>
  <c r="O1080" i="2" s="1"/>
  <c r="K209" i="2"/>
  <c r="Q1079" i="2"/>
  <c r="N1079" i="2"/>
  <c r="O1079" i="2" s="1"/>
  <c r="K208" i="2"/>
  <c r="Q1078" i="2"/>
  <c r="N1078" i="2"/>
  <c r="O1078" i="2" s="1"/>
  <c r="K1160" i="2"/>
  <c r="Q1077" i="2"/>
  <c r="N1077" i="2"/>
  <c r="O1077" i="2" s="1"/>
  <c r="K1159" i="2"/>
  <c r="Q1076" i="2"/>
  <c r="N1076" i="2"/>
  <c r="O1076" i="2" s="1"/>
  <c r="K1158" i="2"/>
  <c r="Q1075" i="2"/>
  <c r="N1075" i="2"/>
  <c r="O1075" i="2" s="1"/>
  <c r="K1157" i="2"/>
  <c r="Q1074" i="2"/>
  <c r="N1074" i="2"/>
  <c r="O1074" i="2" s="1"/>
  <c r="K1156" i="2"/>
  <c r="Q1073" i="2"/>
  <c r="N1073" i="2"/>
  <c r="O1073" i="2" s="1"/>
  <c r="K1155" i="2"/>
  <c r="Q1072" i="2"/>
  <c r="N1072" i="2"/>
  <c r="O1072" i="2" s="1"/>
  <c r="K207" i="2"/>
  <c r="Q1071" i="2"/>
  <c r="N1071" i="2"/>
  <c r="O1071" i="2" s="1"/>
  <c r="K1154" i="2"/>
  <c r="Q1070" i="2"/>
  <c r="N1070" i="2"/>
  <c r="O1070" i="2" s="1"/>
  <c r="K1153" i="2"/>
  <c r="Q1069" i="2"/>
  <c r="N1069" i="2"/>
  <c r="O1069" i="2" s="1"/>
  <c r="K1152" i="2"/>
  <c r="Q1068" i="2"/>
  <c r="N1068" i="2"/>
  <c r="O1068" i="2" s="1"/>
  <c r="K1151" i="2"/>
  <c r="Q1067" i="2"/>
  <c r="N1067" i="2"/>
  <c r="O1067" i="2" s="1"/>
  <c r="Q1066" i="2"/>
  <c r="N1066" i="2"/>
  <c r="O1066" i="2" s="1"/>
  <c r="K206" i="2"/>
  <c r="Q1065" i="2"/>
  <c r="N1065" i="2"/>
  <c r="O1065" i="2" s="1"/>
  <c r="K1150" i="2"/>
  <c r="Q1064" i="2"/>
  <c r="N1064" i="2"/>
  <c r="O1064" i="2" s="1"/>
  <c r="K1149" i="2"/>
  <c r="Q1063" i="2"/>
  <c r="N1063" i="2"/>
  <c r="O1063" i="2" s="1"/>
  <c r="K1148" i="2"/>
  <c r="Q1062" i="2"/>
  <c r="N1062" i="2"/>
  <c r="O1062" i="2" s="1"/>
  <c r="K1147" i="2"/>
  <c r="Q1061" i="2"/>
  <c r="N1061" i="2"/>
  <c r="O1061" i="2" s="1"/>
  <c r="K1146" i="2"/>
  <c r="Q1060" i="2"/>
  <c r="N1060" i="2"/>
  <c r="O1060" i="2" s="1"/>
  <c r="K1145" i="2"/>
  <c r="Q1059" i="2"/>
  <c r="N1059" i="2"/>
  <c r="O1059" i="2" s="1"/>
  <c r="K1144" i="2"/>
  <c r="Q1058" i="2"/>
  <c r="N1058" i="2"/>
  <c r="O1058" i="2" s="1"/>
  <c r="K1143" i="2"/>
  <c r="Q1057" i="2"/>
  <c r="N1057" i="2"/>
  <c r="O1057" i="2" s="1"/>
  <c r="K1142" i="2"/>
  <c r="Q1056" i="2"/>
  <c r="N1056" i="2"/>
  <c r="O1056" i="2" s="1"/>
  <c r="K205" i="2"/>
  <c r="Q1055" i="2"/>
  <c r="N1055" i="2"/>
  <c r="O1055" i="2" s="1"/>
  <c r="K204" i="2"/>
  <c r="Q1054" i="2"/>
  <c r="N1054" i="2"/>
  <c r="O1054" i="2" s="1"/>
  <c r="K203" i="2"/>
  <c r="Q1053" i="2"/>
  <c r="N1053" i="2"/>
  <c r="O1053" i="2" s="1"/>
  <c r="K1141" i="2"/>
  <c r="Q1052" i="2"/>
  <c r="N1052" i="2"/>
  <c r="O1052" i="2" s="1"/>
  <c r="K1140" i="2"/>
  <c r="Q1051" i="2"/>
  <c r="N1051" i="2"/>
  <c r="O1051" i="2" s="1"/>
  <c r="K202" i="2"/>
  <c r="Q1050" i="2"/>
  <c r="N1050" i="2"/>
  <c r="O1050" i="2" s="1"/>
  <c r="K1139" i="2"/>
  <c r="Q1049" i="2"/>
  <c r="N1049" i="2"/>
  <c r="O1049" i="2" s="1"/>
  <c r="K1138" i="2"/>
  <c r="Q1048" i="2"/>
  <c r="N1048" i="2"/>
  <c r="O1048" i="2" s="1"/>
  <c r="K1137" i="2"/>
  <c r="Q1047" i="2"/>
  <c r="N1047" i="2"/>
  <c r="O1047" i="2" s="1"/>
  <c r="K1136" i="2"/>
  <c r="Q1046" i="2"/>
  <c r="N1046" i="2"/>
  <c r="O1046" i="2" s="1"/>
  <c r="K201" i="2"/>
  <c r="Q1045" i="2"/>
  <c r="N1045" i="2"/>
  <c r="O1045" i="2" s="1"/>
  <c r="K1135" i="2"/>
  <c r="Q1044" i="2"/>
  <c r="N1044" i="2"/>
  <c r="O1044" i="2" s="1"/>
  <c r="K1134" i="2"/>
  <c r="Q1043" i="2"/>
  <c r="N1043" i="2"/>
  <c r="O1043" i="2" s="1"/>
  <c r="K1133" i="2"/>
  <c r="Q1042" i="2"/>
  <c r="N1042" i="2"/>
  <c r="O1042" i="2" s="1"/>
  <c r="K1132" i="2"/>
  <c r="Q1041" i="2"/>
  <c r="N1041" i="2"/>
  <c r="O1041" i="2" s="1"/>
  <c r="K1131" i="2"/>
  <c r="Q1040" i="2"/>
  <c r="N1040" i="2"/>
  <c r="O1040" i="2" s="1"/>
  <c r="K1130" i="2"/>
  <c r="Q1039" i="2"/>
  <c r="N1039" i="2"/>
  <c r="O1039" i="2" s="1"/>
  <c r="K1129" i="2"/>
  <c r="Q1038" i="2"/>
  <c r="N1038" i="2"/>
  <c r="O1038" i="2" s="1"/>
  <c r="K1128" i="2"/>
  <c r="Q1037" i="2"/>
  <c r="N1037" i="2"/>
  <c r="O1037" i="2" s="1"/>
  <c r="K200" i="2"/>
  <c r="Q1036" i="2"/>
  <c r="N1036" i="2"/>
  <c r="O1036" i="2" s="1"/>
  <c r="K1127" i="2"/>
  <c r="Q1035" i="2"/>
  <c r="N1035" i="2"/>
  <c r="O1035" i="2" s="1"/>
  <c r="K1126" i="2"/>
  <c r="Q1034" i="2"/>
  <c r="N1034" i="2"/>
  <c r="O1034" i="2" s="1"/>
  <c r="K199" i="2"/>
  <c r="Q1033" i="2"/>
  <c r="N1033" i="2"/>
  <c r="O1033" i="2" s="1"/>
  <c r="K1125" i="2"/>
  <c r="Q1032" i="2"/>
  <c r="N1032" i="2"/>
  <c r="O1032" i="2" s="1"/>
  <c r="K1124" i="2"/>
  <c r="Q1031" i="2"/>
  <c r="N1031" i="2"/>
  <c r="O1031" i="2" s="1"/>
  <c r="K1123" i="2"/>
  <c r="Q1030" i="2"/>
  <c r="N1030" i="2"/>
  <c r="O1030" i="2" s="1"/>
  <c r="K1122" i="2"/>
  <c r="Q1029" i="2"/>
  <c r="N1029" i="2"/>
  <c r="O1029" i="2" s="1"/>
  <c r="K1121" i="2"/>
  <c r="Q1028" i="2"/>
  <c r="N1028" i="2"/>
  <c r="O1028" i="2" s="1"/>
  <c r="K198" i="2"/>
  <c r="Q1027" i="2"/>
  <c r="N1027" i="2"/>
  <c r="O1027" i="2" s="1"/>
  <c r="K1120" i="2"/>
  <c r="Q1026" i="2"/>
  <c r="N1026" i="2"/>
  <c r="O1026" i="2" s="1"/>
  <c r="K1119" i="2"/>
  <c r="Q1025" i="2"/>
  <c r="N1025" i="2"/>
  <c r="O1025" i="2" s="1"/>
  <c r="K1118" i="2"/>
  <c r="Q1024" i="2"/>
  <c r="N1024" i="2"/>
  <c r="O1024" i="2" s="1"/>
  <c r="K1117" i="2"/>
  <c r="Q1023" i="2"/>
  <c r="N1023" i="2"/>
  <c r="O1023" i="2" s="1"/>
  <c r="K1116" i="2"/>
  <c r="Q1022" i="2"/>
  <c r="N1022" i="2"/>
  <c r="O1022" i="2" s="1"/>
  <c r="K1115" i="2"/>
  <c r="Q1021" i="2"/>
  <c r="N1021" i="2"/>
  <c r="O1021" i="2" s="1"/>
  <c r="K1114" i="2"/>
  <c r="Q1020" i="2"/>
  <c r="N1020" i="2"/>
  <c r="O1020" i="2" s="1"/>
  <c r="K197" i="2"/>
  <c r="Q1019" i="2"/>
  <c r="N1019" i="2"/>
  <c r="O1019" i="2" s="1"/>
  <c r="K196" i="2"/>
  <c r="Q1018" i="2"/>
  <c r="N1018" i="2"/>
  <c r="O1018" i="2" s="1"/>
  <c r="K195" i="2"/>
  <c r="Q1017" i="2"/>
  <c r="N1017" i="2"/>
  <c r="O1017" i="2" s="1"/>
  <c r="K1113" i="2"/>
  <c r="Q1016" i="2"/>
  <c r="N1016" i="2"/>
  <c r="O1016" i="2" s="1"/>
  <c r="K1112" i="2"/>
  <c r="Q1015" i="2"/>
  <c r="N1015" i="2"/>
  <c r="O1015" i="2" s="1"/>
  <c r="K1111" i="2"/>
  <c r="Q1014" i="2"/>
  <c r="N1014" i="2"/>
  <c r="O1014" i="2" s="1"/>
  <c r="K1110" i="2"/>
  <c r="Q1013" i="2"/>
  <c r="N1013" i="2"/>
  <c r="O1013" i="2" s="1"/>
  <c r="K194" i="2"/>
  <c r="Q1012" i="2"/>
  <c r="N1012" i="2"/>
  <c r="O1012" i="2" s="1"/>
  <c r="K1109" i="2"/>
  <c r="Q1011" i="2"/>
  <c r="N1011" i="2"/>
  <c r="O1011" i="2" s="1"/>
  <c r="K1108" i="2"/>
  <c r="Q1010" i="2"/>
  <c r="N1010" i="2"/>
  <c r="O1010" i="2" s="1"/>
  <c r="K1107" i="2"/>
  <c r="Q1009" i="2"/>
  <c r="N1009" i="2"/>
  <c r="O1009" i="2" s="1"/>
  <c r="K1106" i="2"/>
  <c r="Q1008" i="2"/>
  <c r="N1008" i="2"/>
  <c r="O1008" i="2" s="1"/>
  <c r="K1105" i="2"/>
  <c r="Q1007" i="2"/>
  <c r="N1007" i="2"/>
  <c r="O1007" i="2" s="1"/>
  <c r="K1104" i="2"/>
  <c r="Q1006" i="2"/>
  <c r="N1006" i="2"/>
  <c r="O1006" i="2" s="1"/>
  <c r="K1103" i="2"/>
  <c r="Q1005" i="2"/>
  <c r="N1005" i="2"/>
  <c r="O1005" i="2" s="1"/>
  <c r="K1102" i="2"/>
  <c r="K1101" i="2"/>
  <c r="K193" i="2"/>
  <c r="Q1004" i="2"/>
  <c r="N1004" i="2"/>
  <c r="O1004" i="2" s="1"/>
  <c r="K192" i="2"/>
  <c r="Q1003" i="2"/>
  <c r="N1003" i="2"/>
  <c r="O1003" i="2" s="1"/>
  <c r="K1100" i="2"/>
  <c r="Q1002" i="2"/>
  <c r="N1002" i="2"/>
  <c r="O1002" i="2" s="1"/>
  <c r="K1099" i="2"/>
  <c r="Q1001" i="2"/>
  <c r="N1001" i="2"/>
  <c r="O1001" i="2" s="1"/>
  <c r="K1098" i="2"/>
  <c r="Q1000" i="2"/>
  <c r="N1000" i="2"/>
  <c r="O1000" i="2" s="1"/>
  <c r="K1097" i="2"/>
  <c r="Q999" i="2"/>
  <c r="N999" i="2"/>
  <c r="O999" i="2" s="1"/>
  <c r="K1096" i="2"/>
  <c r="Q998" i="2"/>
  <c r="N998" i="2"/>
  <c r="O998" i="2" s="1"/>
  <c r="K1095" i="2"/>
  <c r="Q997" i="2"/>
  <c r="N997" i="2"/>
  <c r="O997" i="2" s="1"/>
  <c r="K1094" i="2"/>
  <c r="Q996" i="2"/>
  <c r="N996" i="2"/>
  <c r="O996" i="2" s="1"/>
  <c r="K1093" i="2"/>
  <c r="Q995" i="2"/>
  <c r="N995" i="2"/>
  <c r="O995" i="2" s="1"/>
  <c r="K1092" i="2"/>
  <c r="Q994" i="2"/>
  <c r="N994" i="2"/>
  <c r="O994" i="2" s="1"/>
  <c r="K1091" i="2"/>
  <c r="Q993" i="2"/>
  <c r="N993" i="2"/>
  <c r="O993" i="2" s="1"/>
  <c r="K191" i="2"/>
  <c r="Q992" i="2"/>
  <c r="N992" i="2"/>
  <c r="O992" i="2" s="1"/>
  <c r="K190" i="2"/>
  <c r="Q991" i="2"/>
  <c r="N991" i="2"/>
  <c r="O991" i="2" s="1"/>
  <c r="K1090" i="2"/>
  <c r="Q990" i="2"/>
  <c r="N990" i="2"/>
  <c r="O990" i="2" s="1"/>
  <c r="K1089" i="2"/>
  <c r="Q989" i="2"/>
  <c r="N989" i="2"/>
  <c r="O989" i="2" s="1"/>
  <c r="K189" i="2"/>
  <c r="Q988" i="2"/>
  <c r="N988" i="2"/>
  <c r="O988" i="2" s="1"/>
  <c r="K188" i="2"/>
  <c r="Q987" i="2"/>
  <c r="N987" i="2"/>
  <c r="O987" i="2" s="1"/>
  <c r="K187" i="2"/>
  <c r="Q986" i="2"/>
  <c r="N986" i="2"/>
  <c r="O986" i="2" s="1"/>
  <c r="K1088" i="2"/>
  <c r="Q985" i="2"/>
  <c r="N985" i="2"/>
  <c r="O985" i="2" s="1"/>
  <c r="K1087" i="2"/>
  <c r="Q984" i="2"/>
  <c r="N984" i="2"/>
  <c r="O984" i="2" s="1"/>
  <c r="K1086" i="2"/>
  <c r="Q983" i="2"/>
  <c r="N983" i="2"/>
  <c r="O983" i="2" s="1"/>
  <c r="K1085" i="2"/>
  <c r="Q982" i="2"/>
  <c r="N982" i="2"/>
  <c r="O982" i="2" s="1"/>
  <c r="K1084" i="2"/>
  <c r="Q981" i="2"/>
  <c r="N981" i="2"/>
  <c r="O981" i="2" s="1"/>
  <c r="K1083" i="2"/>
  <c r="Q980" i="2"/>
  <c r="N980" i="2"/>
  <c r="O980" i="2" s="1"/>
  <c r="K1082" i="2"/>
  <c r="Q979" i="2"/>
  <c r="N979" i="2"/>
  <c r="O979" i="2" s="1"/>
  <c r="K1081" i="2"/>
  <c r="Q978" i="2"/>
  <c r="N978" i="2"/>
  <c r="O978" i="2" s="1"/>
  <c r="K186" i="2"/>
  <c r="Q977" i="2"/>
  <c r="N977" i="2"/>
  <c r="O977" i="2" s="1"/>
  <c r="K1080" i="2"/>
  <c r="Q976" i="2"/>
  <c r="N976" i="2"/>
  <c r="O976" i="2" s="1"/>
  <c r="K1079" i="2"/>
  <c r="Q975" i="2"/>
  <c r="N975" i="2"/>
  <c r="O975" i="2" s="1"/>
  <c r="K185" i="2"/>
  <c r="Q974" i="2"/>
  <c r="N974" i="2"/>
  <c r="O974" i="2" s="1"/>
  <c r="K1078" i="2"/>
  <c r="Q973" i="2"/>
  <c r="N973" i="2"/>
  <c r="O973" i="2" s="1"/>
  <c r="K1077" i="2"/>
  <c r="Q972" i="2"/>
  <c r="N972" i="2"/>
  <c r="O972" i="2" s="1"/>
  <c r="K184" i="2"/>
  <c r="Q971" i="2"/>
  <c r="N971" i="2"/>
  <c r="O971" i="2" s="1"/>
  <c r="K1076" i="2"/>
  <c r="Q970" i="2"/>
  <c r="N970" i="2"/>
  <c r="O970" i="2" s="1"/>
  <c r="K1075" i="2"/>
  <c r="Q969" i="2"/>
  <c r="N969" i="2"/>
  <c r="O969" i="2" s="1"/>
  <c r="K1074" i="2"/>
  <c r="Q968" i="2"/>
  <c r="N968" i="2"/>
  <c r="O968" i="2" s="1"/>
  <c r="K1073" i="2"/>
  <c r="Q967" i="2"/>
  <c r="N967" i="2"/>
  <c r="O967" i="2" s="1"/>
  <c r="K183" i="2"/>
  <c r="Q966" i="2"/>
  <c r="N966" i="2"/>
  <c r="O966" i="2" s="1"/>
  <c r="K1072" i="2"/>
  <c r="Q965" i="2"/>
  <c r="N965" i="2"/>
  <c r="O965" i="2" s="1"/>
  <c r="K1071" i="2"/>
  <c r="Q964" i="2"/>
  <c r="N964" i="2"/>
  <c r="O964" i="2" s="1"/>
  <c r="K1070" i="2"/>
  <c r="Q963" i="2"/>
  <c r="N963" i="2"/>
  <c r="O963" i="2" s="1"/>
  <c r="K1069" i="2"/>
  <c r="Q962" i="2"/>
  <c r="N962" i="2"/>
  <c r="O962" i="2" s="1"/>
  <c r="K1068" i="2"/>
  <c r="Q961" i="2"/>
  <c r="N961" i="2"/>
  <c r="O961" i="2" s="1"/>
  <c r="K1067" i="2"/>
  <c r="Q960" i="2"/>
  <c r="N960" i="2"/>
  <c r="O960" i="2" s="1"/>
  <c r="K1066" i="2"/>
  <c r="Q959" i="2"/>
  <c r="N959" i="2"/>
  <c r="O959" i="2" s="1"/>
  <c r="K1065" i="2"/>
  <c r="Q958" i="2"/>
  <c r="N958" i="2"/>
  <c r="O958" i="2" s="1"/>
  <c r="K182" i="2"/>
  <c r="Q957" i="2"/>
  <c r="N957" i="2"/>
  <c r="O957" i="2" s="1"/>
  <c r="K1064" i="2"/>
  <c r="Q956" i="2"/>
  <c r="N956" i="2"/>
  <c r="O956" i="2" s="1"/>
  <c r="K1063" i="2"/>
  <c r="Q955" i="2"/>
  <c r="N955" i="2"/>
  <c r="O955" i="2" s="1"/>
  <c r="K1062" i="2"/>
  <c r="Q954" i="2"/>
  <c r="N954" i="2"/>
  <c r="O954" i="2" s="1"/>
  <c r="K1061" i="2"/>
  <c r="Q953" i="2"/>
  <c r="N953" i="2"/>
  <c r="O953" i="2" s="1"/>
  <c r="K1060" i="2"/>
  <c r="Q952" i="2"/>
  <c r="N952" i="2"/>
  <c r="O952" i="2" s="1"/>
  <c r="K1059" i="2"/>
  <c r="Q951" i="2"/>
  <c r="N951" i="2"/>
  <c r="O951" i="2" s="1"/>
  <c r="K1058" i="2"/>
  <c r="Q950" i="2"/>
  <c r="N950" i="2"/>
  <c r="O950" i="2" s="1"/>
  <c r="K1057" i="2"/>
  <c r="Q949" i="2"/>
  <c r="N949" i="2"/>
  <c r="O949" i="2" s="1"/>
  <c r="K1056" i="2"/>
  <c r="Q948" i="2"/>
  <c r="N948" i="2"/>
  <c r="O948" i="2" s="1"/>
  <c r="K1055" i="2"/>
  <c r="Q947" i="2"/>
  <c r="N947" i="2"/>
  <c r="O947" i="2" s="1"/>
  <c r="K1054" i="2"/>
  <c r="Q946" i="2"/>
  <c r="N946" i="2"/>
  <c r="O946" i="2" s="1"/>
  <c r="K1053" i="2"/>
  <c r="Q945" i="2"/>
  <c r="N945" i="2"/>
  <c r="O945" i="2" s="1"/>
  <c r="K1052" i="2"/>
  <c r="Q944" i="2"/>
  <c r="N944" i="2"/>
  <c r="O944" i="2" s="1"/>
  <c r="K1051" i="2"/>
  <c r="Q943" i="2"/>
  <c r="N943" i="2"/>
  <c r="O943" i="2" s="1"/>
  <c r="K1050" i="2"/>
  <c r="Q942" i="2"/>
  <c r="N942" i="2"/>
  <c r="O942" i="2" s="1"/>
  <c r="K1049" i="2"/>
  <c r="Q941" i="2"/>
  <c r="N941" i="2"/>
  <c r="O941" i="2" s="1"/>
  <c r="K1048" i="2"/>
  <c r="Q940" i="2"/>
  <c r="N940" i="2"/>
  <c r="O940" i="2" s="1"/>
  <c r="K1047" i="2"/>
  <c r="Q939" i="2"/>
  <c r="N939" i="2"/>
  <c r="O939" i="2" s="1"/>
  <c r="K1046" i="2"/>
  <c r="Q938" i="2"/>
  <c r="N938" i="2"/>
  <c r="O938" i="2" s="1"/>
  <c r="K1045" i="2"/>
  <c r="Q937" i="2"/>
  <c r="N937" i="2"/>
  <c r="O937" i="2" s="1"/>
  <c r="K181" i="2"/>
  <c r="Q936" i="2"/>
  <c r="N936" i="2"/>
  <c r="O936" i="2" s="1"/>
  <c r="K1044" i="2"/>
  <c r="Q935" i="2"/>
  <c r="N935" i="2"/>
  <c r="O935" i="2" s="1"/>
  <c r="K1043" i="2"/>
  <c r="Q934" i="2"/>
  <c r="N934" i="2"/>
  <c r="O934" i="2" s="1"/>
  <c r="K1042" i="2"/>
  <c r="Q933" i="2"/>
  <c r="N933" i="2"/>
  <c r="O933" i="2" s="1"/>
  <c r="K1041" i="2"/>
  <c r="Q932" i="2"/>
  <c r="N932" i="2"/>
  <c r="O932" i="2" s="1"/>
  <c r="K1040" i="2"/>
  <c r="Q931" i="2"/>
  <c r="N931" i="2"/>
  <c r="O931" i="2" s="1"/>
  <c r="K1039" i="2"/>
  <c r="Q930" i="2"/>
  <c r="N930" i="2"/>
  <c r="O930" i="2" s="1"/>
  <c r="K1038" i="2"/>
  <c r="Q929" i="2"/>
  <c r="N929" i="2"/>
  <c r="O929" i="2" s="1"/>
  <c r="K1037" i="2"/>
  <c r="Q928" i="2"/>
  <c r="N928" i="2"/>
  <c r="O928" i="2" s="1"/>
  <c r="K1036" i="2"/>
  <c r="Q927" i="2"/>
  <c r="N927" i="2"/>
  <c r="O927" i="2" s="1"/>
  <c r="K1035" i="2"/>
  <c r="Q926" i="2"/>
  <c r="N926" i="2"/>
  <c r="O926" i="2" s="1"/>
  <c r="K1034" i="2"/>
  <c r="Q925" i="2"/>
  <c r="N925" i="2"/>
  <c r="O925" i="2" s="1"/>
  <c r="K1033" i="2"/>
  <c r="Q924" i="2"/>
  <c r="N924" i="2"/>
  <c r="O924" i="2" s="1"/>
  <c r="K1032" i="2"/>
  <c r="Q923" i="2"/>
  <c r="N923" i="2"/>
  <c r="O923" i="2" s="1"/>
  <c r="K1031" i="2"/>
  <c r="Q922" i="2"/>
  <c r="N922" i="2"/>
  <c r="O922" i="2" s="1"/>
  <c r="K1030" i="2"/>
  <c r="Q921" i="2"/>
  <c r="N921" i="2"/>
  <c r="O921" i="2" s="1"/>
  <c r="K1029" i="2"/>
  <c r="Q920" i="2"/>
  <c r="N920" i="2"/>
  <c r="O920" i="2" s="1"/>
  <c r="K1028" i="2"/>
  <c r="Q919" i="2"/>
  <c r="N919" i="2"/>
  <c r="O919" i="2" s="1"/>
  <c r="K1027" i="2"/>
  <c r="Q918" i="2"/>
  <c r="N918" i="2"/>
  <c r="O918" i="2" s="1"/>
  <c r="K1026" i="2"/>
  <c r="Q917" i="2"/>
  <c r="N917" i="2"/>
  <c r="O917" i="2" s="1"/>
  <c r="K1025" i="2"/>
  <c r="Q916" i="2"/>
  <c r="N916" i="2"/>
  <c r="O916" i="2" s="1"/>
  <c r="K1024" i="2"/>
  <c r="Q915" i="2"/>
  <c r="N915" i="2"/>
  <c r="O915" i="2" s="1"/>
  <c r="K1023" i="2"/>
  <c r="Q914" i="2"/>
  <c r="N914" i="2"/>
  <c r="O914" i="2" s="1"/>
  <c r="K180" i="2"/>
  <c r="Q913" i="2"/>
  <c r="N913" i="2"/>
  <c r="O913" i="2" s="1"/>
  <c r="K1022" i="2"/>
  <c r="Q912" i="2"/>
  <c r="N912" i="2"/>
  <c r="O912" i="2" s="1"/>
  <c r="K1021" i="2"/>
  <c r="Q911" i="2"/>
  <c r="N911" i="2"/>
  <c r="O911" i="2" s="1"/>
  <c r="K1020" i="2"/>
  <c r="Q910" i="2"/>
  <c r="N910" i="2"/>
  <c r="O910" i="2" s="1"/>
  <c r="K1019" i="2"/>
  <c r="Q909" i="2"/>
  <c r="N909" i="2"/>
  <c r="O909" i="2" s="1"/>
  <c r="K1018" i="2"/>
  <c r="Q908" i="2"/>
  <c r="N908" i="2"/>
  <c r="O908" i="2" s="1"/>
  <c r="K1017" i="2"/>
  <c r="Q907" i="2"/>
  <c r="N907" i="2"/>
  <c r="O907" i="2" s="1"/>
  <c r="K1016" i="2"/>
  <c r="Q906" i="2"/>
  <c r="N906" i="2"/>
  <c r="O906" i="2" s="1"/>
  <c r="K1015" i="2"/>
  <c r="Q905" i="2"/>
  <c r="N905" i="2"/>
  <c r="O905" i="2" s="1"/>
  <c r="K1014" i="2"/>
  <c r="Q904" i="2"/>
  <c r="N904" i="2"/>
  <c r="O904" i="2" s="1"/>
  <c r="K1013" i="2"/>
  <c r="Q903" i="2"/>
  <c r="N903" i="2"/>
  <c r="O903" i="2" s="1"/>
  <c r="K1012" i="2"/>
  <c r="Q902" i="2"/>
  <c r="N902" i="2"/>
  <c r="O902" i="2" s="1"/>
  <c r="K1011" i="2"/>
  <c r="Q901" i="2"/>
  <c r="N901" i="2"/>
  <c r="O901" i="2" s="1"/>
  <c r="K1010" i="2"/>
  <c r="Q900" i="2"/>
  <c r="N900" i="2"/>
  <c r="O900" i="2" s="1"/>
  <c r="K1009" i="2"/>
  <c r="Q899" i="2"/>
  <c r="N899" i="2"/>
  <c r="O899" i="2" s="1"/>
  <c r="K1008" i="2"/>
  <c r="Q898" i="2"/>
  <c r="N898" i="2"/>
  <c r="O898" i="2" s="1"/>
  <c r="K1007" i="2"/>
  <c r="Q897" i="2"/>
  <c r="N897" i="2"/>
  <c r="O897" i="2" s="1"/>
  <c r="K1006" i="2"/>
  <c r="Q896" i="2"/>
  <c r="N896" i="2"/>
  <c r="O896" i="2" s="1"/>
  <c r="K1005" i="2"/>
  <c r="Q895" i="2"/>
  <c r="N895" i="2"/>
  <c r="O895" i="2" s="1"/>
  <c r="Q894" i="2"/>
  <c r="N894" i="2"/>
  <c r="O894" i="2" s="1"/>
  <c r="Q893" i="2"/>
  <c r="N893" i="2"/>
  <c r="O893" i="2" s="1"/>
  <c r="K1004" i="2"/>
  <c r="Q892" i="2"/>
  <c r="N892" i="2"/>
  <c r="O892" i="2" s="1"/>
  <c r="K1003" i="2"/>
  <c r="Q891" i="2"/>
  <c r="N891" i="2"/>
  <c r="O891" i="2" s="1"/>
  <c r="K1002" i="2"/>
  <c r="Q890" i="2"/>
  <c r="N890" i="2"/>
  <c r="O890" i="2" s="1"/>
  <c r="K1001" i="2"/>
  <c r="Q889" i="2"/>
  <c r="N889" i="2"/>
  <c r="O889" i="2" s="1"/>
  <c r="K179" i="2"/>
  <c r="Q888" i="2"/>
  <c r="N888" i="2"/>
  <c r="O888" i="2" s="1"/>
  <c r="K178" i="2"/>
  <c r="Q887" i="2"/>
  <c r="N887" i="2"/>
  <c r="O887" i="2" s="1"/>
  <c r="K1000" i="2"/>
  <c r="Q886" i="2"/>
  <c r="N886" i="2"/>
  <c r="O886" i="2" s="1"/>
  <c r="K999" i="2"/>
  <c r="Q885" i="2"/>
  <c r="N885" i="2"/>
  <c r="O885" i="2" s="1"/>
  <c r="K998" i="2"/>
  <c r="Q884" i="2"/>
  <c r="N884" i="2"/>
  <c r="O884" i="2" s="1"/>
  <c r="K997" i="2"/>
  <c r="Q883" i="2"/>
  <c r="N883" i="2"/>
  <c r="O883" i="2" s="1"/>
  <c r="K996" i="2"/>
  <c r="Q882" i="2"/>
  <c r="N882" i="2"/>
  <c r="O882" i="2" s="1"/>
  <c r="K995" i="2"/>
  <c r="Q881" i="2"/>
  <c r="N881" i="2"/>
  <c r="O881" i="2" s="1"/>
  <c r="K994" i="2"/>
  <c r="Q880" i="2"/>
  <c r="N880" i="2"/>
  <c r="O880" i="2" s="1"/>
  <c r="K993" i="2"/>
  <c r="Q879" i="2"/>
  <c r="N879" i="2"/>
  <c r="O879" i="2" s="1"/>
  <c r="K992" i="2"/>
  <c r="Q878" i="2"/>
  <c r="N878" i="2"/>
  <c r="O878" i="2" s="1"/>
  <c r="K991" i="2"/>
  <c r="Q877" i="2"/>
  <c r="N877" i="2"/>
  <c r="O877" i="2" s="1"/>
  <c r="K990" i="2"/>
  <c r="Q876" i="2"/>
  <c r="N876" i="2"/>
  <c r="O876" i="2" s="1"/>
  <c r="K989" i="2"/>
  <c r="Q875" i="2"/>
  <c r="N875" i="2"/>
  <c r="O875" i="2" s="1"/>
  <c r="K988" i="2"/>
  <c r="Q874" i="2"/>
  <c r="N874" i="2"/>
  <c r="O874" i="2" s="1"/>
  <c r="K987" i="2"/>
  <c r="Q873" i="2"/>
  <c r="N873" i="2"/>
  <c r="O873" i="2" s="1"/>
  <c r="K986" i="2"/>
  <c r="Q872" i="2"/>
  <c r="N872" i="2"/>
  <c r="O872" i="2" s="1"/>
  <c r="K985" i="2"/>
  <c r="Q871" i="2"/>
  <c r="N871" i="2"/>
  <c r="O871" i="2" s="1"/>
  <c r="K984" i="2"/>
  <c r="Q870" i="2"/>
  <c r="N870" i="2"/>
  <c r="O870" i="2" s="1"/>
  <c r="K177" i="2"/>
  <c r="Q869" i="2"/>
  <c r="N869" i="2"/>
  <c r="O869" i="2" s="1"/>
  <c r="K983" i="2"/>
  <c r="Q868" i="2"/>
  <c r="N868" i="2"/>
  <c r="O868" i="2" s="1"/>
  <c r="K982" i="2"/>
  <c r="Q867" i="2"/>
  <c r="N867" i="2"/>
  <c r="O867" i="2" s="1"/>
  <c r="K176" i="2"/>
  <c r="Q866" i="2"/>
  <c r="N866" i="2"/>
  <c r="O866" i="2" s="1"/>
  <c r="K22" i="2"/>
  <c r="Q865" i="2"/>
  <c r="N865" i="2"/>
  <c r="O865" i="2" s="1"/>
  <c r="K981" i="2"/>
  <c r="Q864" i="2"/>
  <c r="N864" i="2"/>
  <c r="O864" i="2" s="1"/>
  <c r="K980" i="2"/>
  <c r="Q863" i="2"/>
  <c r="N863" i="2"/>
  <c r="O863" i="2" s="1"/>
  <c r="K979" i="2"/>
  <c r="Q862" i="2"/>
  <c r="N862" i="2"/>
  <c r="O862" i="2" s="1"/>
  <c r="K978" i="2"/>
  <c r="Q861" i="2"/>
  <c r="N861" i="2"/>
  <c r="O861" i="2" s="1"/>
  <c r="K175" i="2"/>
  <c r="Q860" i="2"/>
  <c r="N860" i="2"/>
  <c r="O860" i="2" s="1"/>
  <c r="K977" i="2"/>
  <c r="Q859" i="2"/>
  <c r="N859" i="2"/>
  <c r="O859" i="2" s="1"/>
  <c r="K976" i="2"/>
  <c r="Q858" i="2"/>
  <c r="N858" i="2"/>
  <c r="O858" i="2" s="1"/>
  <c r="K975" i="2"/>
  <c r="Q857" i="2"/>
  <c r="N857" i="2"/>
  <c r="O857" i="2" s="1"/>
  <c r="K974" i="2"/>
  <c r="Q856" i="2"/>
  <c r="N856" i="2"/>
  <c r="O856" i="2" s="1"/>
  <c r="K973" i="2"/>
  <c r="Q855" i="2"/>
  <c r="N855" i="2"/>
  <c r="O855" i="2" s="1"/>
  <c r="K972" i="2"/>
  <c r="Q854" i="2"/>
  <c r="N854" i="2"/>
  <c r="O854" i="2" s="1"/>
  <c r="K971" i="2"/>
  <c r="Q853" i="2"/>
  <c r="N853" i="2"/>
  <c r="O853" i="2" s="1"/>
  <c r="K970" i="2"/>
  <c r="Q852" i="2"/>
  <c r="N852" i="2"/>
  <c r="O852" i="2" s="1"/>
  <c r="K174" i="2"/>
  <c r="Q851" i="2"/>
  <c r="N851" i="2"/>
  <c r="O851" i="2" s="1"/>
  <c r="K969" i="2"/>
  <c r="Q850" i="2"/>
  <c r="N850" i="2"/>
  <c r="O850" i="2" s="1"/>
  <c r="K173" i="2"/>
  <c r="Q849" i="2"/>
  <c r="N849" i="2"/>
  <c r="O849" i="2" s="1"/>
  <c r="K172" i="2"/>
  <c r="Q848" i="2"/>
  <c r="N848" i="2"/>
  <c r="O848" i="2" s="1"/>
  <c r="K968" i="2"/>
  <c r="Q847" i="2"/>
  <c r="N847" i="2"/>
  <c r="O847" i="2" s="1"/>
  <c r="K967" i="2"/>
  <c r="Q846" i="2"/>
  <c r="N846" i="2"/>
  <c r="O846" i="2" s="1"/>
  <c r="K966" i="2"/>
  <c r="Q845" i="2"/>
  <c r="N845" i="2"/>
  <c r="O845" i="2" s="1"/>
  <c r="K965" i="2"/>
  <c r="Q844" i="2"/>
  <c r="N844" i="2"/>
  <c r="O844" i="2" s="1"/>
  <c r="K964" i="2"/>
  <c r="Q843" i="2"/>
  <c r="N843" i="2"/>
  <c r="O843" i="2" s="1"/>
  <c r="K963" i="2"/>
  <c r="Q842" i="2"/>
  <c r="N842" i="2"/>
  <c r="O842" i="2" s="1"/>
  <c r="K962" i="2"/>
  <c r="Q841" i="2"/>
  <c r="N841" i="2"/>
  <c r="O841" i="2" s="1"/>
  <c r="K961" i="2"/>
  <c r="Q840" i="2"/>
  <c r="N840" i="2"/>
  <c r="O840" i="2" s="1"/>
  <c r="K171" i="2"/>
  <c r="Q839" i="2"/>
  <c r="N839" i="2"/>
  <c r="O839" i="2" s="1"/>
  <c r="K960" i="2"/>
  <c r="Q838" i="2"/>
  <c r="N838" i="2"/>
  <c r="O838" i="2" s="1"/>
  <c r="K170" i="2"/>
  <c r="Q837" i="2"/>
  <c r="N837" i="2"/>
  <c r="O837" i="2" s="1"/>
  <c r="K959" i="2"/>
  <c r="Q836" i="2"/>
  <c r="N836" i="2"/>
  <c r="O836" i="2" s="1"/>
  <c r="K958" i="2"/>
  <c r="Q835" i="2"/>
  <c r="N835" i="2"/>
  <c r="O835" i="2" s="1"/>
  <c r="K957" i="2"/>
  <c r="Q834" i="2"/>
  <c r="N834" i="2"/>
  <c r="O834" i="2" s="1"/>
  <c r="K956" i="2"/>
  <c r="Q833" i="2"/>
  <c r="N833" i="2"/>
  <c r="O833" i="2" s="1"/>
  <c r="K955" i="2"/>
  <c r="Q832" i="2"/>
  <c r="N832" i="2"/>
  <c r="O832" i="2" s="1"/>
  <c r="K954" i="2"/>
  <c r="Q831" i="2"/>
  <c r="N831" i="2"/>
  <c r="O831" i="2" s="1"/>
  <c r="K953" i="2"/>
  <c r="Q830" i="2"/>
  <c r="N830" i="2"/>
  <c r="O830" i="2" s="1"/>
  <c r="K169" i="2"/>
  <c r="Q829" i="2"/>
  <c r="N829" i="2"/>
  <c r="O829" i="2" s="1"/>
  <c r="K952" i="2"/>
  <c r="Q828" i="2"/>
  <c r="N828" i="2"/>
  <c r="O828" i="2" s="1"/>
  <c r="K951" i="2"/>
  <c r="Q827" i="2"/>
  <c r="N827" i="2"/>
  <c r="O827" i="2" s="1"/>
  <c r="K950" i="2"/>
  <c r="Q826" i="2"/>
  <c r="N826" i="2"/>
  <c r="O826" i="2" s="1"/>
  <c r="K949" i="2"/>
  <c r="Q825" i="2"/>
  <c r="N825" i="2"/>
  <c r="O825" i="2" s="1"/>
  <c r="K948" i="2"/>
  <c r="Q824" i="2"/>
  <c r="N824" i="2"/>
  <c r="O824" i="2" s="1"/>
  <c r="K947" i="2"/>
  <c r="Q823" i="2"/>
  <c r="N823" i="2"/>
  <c r="O823" i="2" s="1"/>
  <c r="K946" i="2"/>
  <c r="Q822" i="2"/>
  <c r="N822" i="2"/>
  <c r="O822" i="2" s="1"/>
  <c r="K945" i="2"/>
  <c r="Q821" i="2"/>
  <c r="N821" i="2"/>
  <c r="O821" i="2" s="1"/>
  <c r="K944" i="2"/>
  <c r="Q820" i="2"/>
  <c r="N820" i="2"/>
  <c r="O820" i="2" s="1"/>
  <c r="K943" i="2"/>
  <c r="Q819" i="2"/>
  <c r="N819" i="2"/>
  <c r="O819" i="2" s="1"/>
  <c r="K168" i="2"/>
  <c r="Q818" i="2"/>
  <c r="N818" i="2"/>
  <c r="O818" i="2" s="1"/>
  <c r="K942" i="2"/>
  <c r="Q817" i="2"/>
  <c r="N817" i="2"/>
  <c r="O817" i="2" s="1"/>
  <c r="K941" i="2"/>
  <c r="Q816" i="2"/>
  <c r="N816" i="2"/>
  <c r="O816" i="2" s="1"/>
  <c r="K940" i="2"/>
  <c r="Q815" i="2"/>
  <c r="N815" i="2"/>
  <c r="O815" i="2" s="1"/>
  <c r="K939" i="2"/>
  <c r="Q814" i="2"/>
  <c r="N814" i="2"/>
  <c r="O814" i="2" s="1"/>
  <c r="K938" i="2"/>
  <c r="Q813" i="2"/>
  <c r="N813" i="2"/>
  <c r="O813" i="2" s="1"/>
  <c r="K167" i="2"/>
  <c r="Q812" i="2"/>
  <c r="N812" i="2"/>
  <c r="O812" i="2" s="1"/>
  <c r="K166" i="2"/>
  <c r="Q811" i="2"/>
  <c r="N811" i="2"/>
  <c r="O811" i="2" s="1"/>
  <c r="K937" i="2"/>
  <c r="Q810" i="2"/>
  <c r="N810" i="2"/>
  <c r="O810" i="2" s="1"/>
  <c r="K936" i="2"/>
  <c r="Q809" i="2"/>
  <c r="N809" i="2"/>
  <c r="O809" i="2" s="1"/>
  <c r="K935" i="2"/>
  <c r="Q808" i="2"/>
  <c r="N808" i="2"/>
  <c r="O808" i="2" s="1"/>
  <c r="K934" i="2"/>
  <c r="Q807" i="2"/>
  <c r="N807" i="2"/>
  <c r="O807" i="2" s="1"/>
  <c r="K933" i="2"/>
  <c r="Q806" i="2"/>
  <c r="N806" i="2"/>
  <c r="O806" i="2" s="1"/>
  <c r="K932" i="2"/>
  <c r="Q805" i="2"/>
  <c r="N805" i="2"/>
  <c r="O805" i="2" s="1"/>
  <c r="K931" i="2"/>
  <c r="Q804" i="2"/>
  <c r="N804" i="2"/>
  <c r="O804" i="2" s="1"/>
  <c r="K930" i="2"/>
  <c r="Q803" i="2"/>
  <c r="N803" i="2"/>
  <c r="O803" i="2" s="1"/>
  <c r="K929" i="2"/>
  <c r="Q802" i="2"/>
  <c r="N802" i="2"/>
  <c r="O802" i="2" s="1"/>
  <c r="K928" i="2"/>
  <c r="Q801" i="2"/>
  <c r="N801" i="2"/>
  <c r="O801" i="2" s="1"/>
  <c r="K927" i="2"/>
  <c r="Q800" i="2"/>
  <c r="N800" i="2"/>
  <c r="O800" i="2" s="1"/>
  <c r="K926" i="2"/>
  <c r="Q799" i="2"/>
  <c r="N799" i="2"/>
  <c r="O799" i="2" s="1"/>
  <c r="K165" i="2"/>
  <c r="Q798" i="2"/>
  <c r="N798" i="2"/>
  <c r="O798" i="2" s="1"/>
  <c r="K925" i="2"/>
  <c r="Q797" i="2"/>
  <c r="N797" i="2"/>
  <c r="O797" i="2" s="1"/>
  <c r="K924" i="2"/>
  <c r="Q796" i="2"/>
  <c r="N796" i="2"/>
  <c r="O796" i="2" s="1"/>
  <c r="K923" i="2"/>
  <c r="Q795" i="2"/>
  <c r="N795" i="2"/>
  <c r="O795" i="2" s="1"/>
  <c r="K922" i="2"/>
  <c r="Q794" i="2"/>
  <c r="N794" i="2"/>
  <c r="O794" i="2" s="1"/>
  <c r="K921" i="2"/>
  <c r="Q793" i="2"/>
  <c r="N793" i="2"/>
  <c r="O793" i="2" s="1"/>
  <c r="K920" i="2"/>
  <c r="Q792" i="2"/>
  <c r="N792" i="2"/>
  <c r="O792" i="2" s="1"/>
  <c r="K919" i="2"/>
  <c r="Q791" i="2"/>
  <c r="N791" i="2"/>
  <c r="O791" i="2" s="1"/>
  <c r="K918" i="2"/>
  <c r="Q790" i="2"/>
  <c r="N790" i="2"/>
  <c r="O790" i="2" s="1"/>
  <c r="K917" i="2"/>
  <c r="Q789" i="2"/>
  <c r="N789" i="2"/>
  <c r="O789" i="2" s="1"/>
  <c r="K916" i="2"/>
  <c r="Q788" i="2"/>
  <c r="N788" i="2"/>
  <c r="O788" i="2" s="1"/>
  <c r="K915" i="2"/>
  <c r="Q787" i="2"/>
  <c r="N787" i="2"/>
  <c r="O787" i="2" s="1"/>
  <c r="K914" i="2"/>
  <c r="Q786" i="2"/>
  <c r="N786" i="2"/>
  <c r="O786" i="2" s="1"/>
  <c r="K913" i="2"/>
  <c r="Q785" i="2"/>
  <c r="N785" i="2"/>
  <c r="O785" i="2" s="1"/>
  <c r="K912" i="2"/>
  <c r="Q784" i="2"/>
  <c r="N784" i="2"/>
  <c r="O784" i="2" s="1"/>
  <c r="K911" i="2"/>
  <c r="Q783" i="2"/>
  <c r="N783" i="2"/>
  <c r="O783" i="2" s="1"/>
  <c r="K910" i="2"/>
  <c r="Q782" i="2"/>
  <c r="N782" i="2"/>
  <c r="O782" i="2" s="1"/>
  <c r="K909" i="2"/>
  <c r="Q781" i="2"/>
  <c r="N781" i="2"/>
  <c r="O781" i="2" s="1"/>
  <c r="K908" i="2"/>
  <c r="Q780" i="2"/>
  <c r="N780" i="2"/>
  <c r="O780" i="2" s="1"/>
  <c r="K164" i="2"/>
  <c r="Q779" i="2"/>
  <c r="N779" i="2"/>
  <c r="O779" i="2" s="1"/>
  <c r="K907" i="2"/>
  <c r="Q778" i="2"/>
  <c r="N778" i="2"/>
  <c r="O778" i="2" s="1"/>
  <c r="K906" i="2"/>
  <c r="Q777" i="2"/>
  <c r="N777" i="2"/>
  <c r="O777" i="2" s="1"/>
  <c r="K905" i="2"/>
  <c r="Q776" i="2"/>
  <c r="N776" i="2"/>
  <c r="O776" i="2" s="1"/>
  <c r="K163" i="2"/>
  <c r="Q775" i="2"/>
  <c r="N775" i="2"/>
  <c r="O775" i="2" s="1"/>
  <c r="K162" i="2"/>
  <c r="Q774" i="2"/>
  <c r="N774" i="2"/>
  <c r="O774" i="2" s="1"/>
  <c r="K904" i="2"/>
  <c r="Q773" i="2"/>
  <c r="N773" i="2"/>
  <c r="O773" i="2" s="1"/>
  <c r="K903" i="2"/>
  <c r="Q772" i="2"/>
  <c r="N772" i="2"/>
  <c r="O772" i="2" s="1"/>
  <c r="K902" i="2"/>
  <c r="Q771" i="2"/>
  <c r="N771" i="2"/>
  <c r="O771" i="2" s="1"/>
  <c r="K901" i="2"/>
  <c r="Q770" i="2"/>
  <c r="N770" i="2"/>
  <c r="O770" i="2" s="1"/>
  <c r="K900" i="2"/>
  <c r="Q769" i="2"/>
  <c r="N769" i="2"/>
  <c r="O769" i="2" s="1"/>
  <c r="K161" i="2"/>
  <c r="Q768" i="2"/>
  <c r="N768" i="2"/>
  <c r="O768" i="2" s="1"/>
  <c r="K899" i="2"/>
  <c r="Q767" i="2"/>
  <c r="N767" i="2"/>
  <c r="O767" i="2" s="1"/>
  <c r="K898" i="2"/>
  <c r="Q766" i="2"/>
  <c r="N766" i="2"/>
  <c r="O766" i="2" s="1"/>
  <c r="K897" i="2"/>
  <c r="Q765" i="2"/>
  <c r="N765" i="2"/>
  <c r="O765" i="2" s="1"/>
  <c r="K896" i="2"/>
  <c r="Q764" i="2"/>
  <c r="N764" i="2"/>
  <c r="O764" i="2" s="1"/>
  <c r="K895" i="2"/>
  <c r="Q763" i="2"/>
  <c r="N763" i="2"/>
  <c r="O763" i="2" s="1"/>
  <c r="K894" i="2"/>
  <c r="Q762" i="2"/>
  <c r="N762" i="2"/>
  <c r="O762" i="2" s="1"/>
  <c r="K893" i="2"/>
  <c r="Q761" i="2"/>
  <c r="N761" i="2"/>
  <c r="O761" i="2" s="1"/>
  <c r="K892" i="2"/>
  <c r="Q760" i="2"/>
  <c r="N760" i="2"/>
  <c r="O760" i="2" s="1"/>
  <c r="K891" i="2"/>
  <c r="Q759" i="2"/>
  <c r="N759" i="2"/>
  <c r="O759" i="2" s="1"/>
  <c r="K890" i="2"/>
  <c r="Q758" i="2"/>
  <c r="N758" i="2"/>
  <c r="O758" i="2" s="1"/>
  <c r="K889" i="2"/>
  <c r="Q757" i="2"/>
  <c r="N757" i="2"/>
  <c r="O757" i="2" s="1"/>
  <c r="K160" i="2"/>
  <c r="Q756" i="2"/>
  <c r="N756" i="2"/>
  <c r="O756" i="2" s="1"/>
  <c r="K888" i="2"/>
  <c r="Q755" i="2"/>
  <c r="N755" i="2"/>
  <c r="O755" i="2" s="1"/>
  <c r="K887" i="2"/>
  <c r="Q754" i="2"/>
  <c r="N754" i="2"/>
  <c r="O754" i="2" s="1"/>
  <c r="K886" i="2"/>
  <c r="Q753" i="2"/>
  <c r="N753" i="2"/>
  <c r="O753" i="2" s="1"/>
  <c r="K885" i="2"/>
  <c r="Q752" i="2"/>
  <c r="N752" i="2"/>
  <c r="O752" i="2" s="1"/>
  <c r="K884" i="2"/>
  <c r="Q751" i="2"/>
  <c r="N751" i="2"/>
  <c r="O751" i="2" s="1"/>
  <c r="K159" i="2"/>
  <c r="K883" i="2"/>
  <c r="Q750" i="2"/>
  <c r="N750" i="2"/>
  <c r="O750" i="2" s="1"/>
  <c r="K882" i="2"/>
  <c r="Q749" i="2"/>
  <c r="N749" i="2"/>
  <c r="O749" i="2" s="1"/>
  <c r="K881" i="2"/>
  <c r="Q748" i="2"/>
  <c r="N748" i="2"/>
  <c r="O748" i="2" s="1"/>
  <c r="K880" i="2"/>
  <c r="Q747" i="2"/>
  <c r="N747" i="2"/>
  <c r="O747" i="2" s="1"/>
  <c r="K879" i="2"/>
  <c r="Q746" i="2"/>
  <c r="N746" i="2"/>
  <c r="O746" i="2" s="1"/>
  <c r="K878" i="2"/>
  <c r="Q745" i="2"/>
  <c r="N745" i="2"/>
  <c r="O745" i="2" s="1"/>
  <c r="K158" i="2"/>
  <c r="Q744" i="2"/>
  <c r="N744" i="2"/>
  <c r="O744" i="2" s="1"/>
  <c r="K877" i="2"/>
  <c r="Q743" i="2"/>
  <c r="N743" i="2"/>
  <c r="O743" i="2" s="1"/>
  <c r="K876" i="2"/>
  <c r="Q742" i="2"/>
  <c r="N742" i="2"/>
  <c r="O742" i="2" s="1"/>
  <c r="K875" i="2"/>
  <c r="Q741" i="2"/>
  <c r="N741" i="2"/>
  <c r="O741" i="2" s="1"/>
  <c r="K874" i="2"/>
  <c r="Q740" i="2"/>
  <c r="N740" i="2"/>
  <c r="O740" i="2" s="1"/>
  <c r="K873" i="2"/>
  <c r="Q739" i="2"/>
  <c r="N739" i="2"/>
  <c r="O739" i="2" s="1"/>
  <c r="K872" i="2"/>
  <c r="Q738" i="2"/>
  <c r="N738" i="2"/>
  <c r="O738" i="2" s="1"/>
  <c r="K871" i="2"/>
  <c r="Q737" i="2"/>
  <c r="N737" i="2"/>
  <c r="O737" i="2" s="1"/>
  <c r="K870" i="2"/>
  <c r="Q736" i="2"/>
  <c r="N736" i="2"/>
  <c r="O736" i="2" s="1"/>
  <c r="K157" i="2"/>
  <c r="Q735" i="2"/>
  <c r="N735" i="2"/>
  <c r="O735" i="2" s="1"/>
  <c r="K869" i="2"/>
  <c r="Q734" i="2"/>
  <c r="N734" i="2"/>
  <c r="O734" i="2" s="1"/>
  <c r="K868" i="2"/>
  <c r="Q733" i="2"/>
  <c r="N733" i="2"/>
  <c r="O733" i="2" s="1"/>
  <c r="K867" i="2"/>
  <c r="Q732" i="2"/>
  <c r="N732" i="2"/>
  <c r="O732" i="2" s="1"/>
  <c r="K866" i="2"/>
  <c r="Q731" i="2"/>
  <c r="N731" i="2"/>
  <c r="O731" i="2" s="1"/>
  <c r="K865" i="2"/>
  <c r="Q730" i="2"/>
  <c r="N730" i="2"/>
  <c r="O730" i="2" s="1"/>
  <c r="K864" i="2"/>
  <c r="Q729" i="2"/>
  <c r="N729" i="2"/>
  <c r="O729" i="2" s="1"/>
  <c r="K156" i="2"/>
  <c r="Q728" i="2"/>
  <c r="N728" i="2"/>
  <c r="O728" i="2" s="1"/>
  <c r="K155" i="2"/>
  <c r="Q727" i="2"/>
  <c r="N727" i="2"/>
  <c r="O727" i="2" s="1"/>
  <c r="K154" i="2"/>
  <c r="Q726" i="2"/>
  <c r="N726" i="2"/>
  <c r="O726" i="2" s="1"/>
  <c r="K863" i="2"/>
  <c r="Q725" i="2"/>
  <c r="N725" i="2"/>
  <c r="O725" i="2" s="1"/>
  <c r="K153" i="2"/>
  <c r="Q724" i="2"/>
  <c r="N724" i="2"/>
  <c r="O724" i="2" s="1"/>
  <c r="K862" i="2"/>
  <c r="Q723" i="2"/>
  <c r="N723" i="2"/>
  <c r="O723" i="2" s="1"/>
  <c r="K152" i="2"/>
  <c r="Q722" i="2"/>
  <c r="N722" i="2"/>
  <c r="O722" i="2" s="1"/>
  <c r="K21" i="2"/>
  <c r="Q721" i="2"/>
  <c r="N721" i="2"/>
  <c r="O721" i="2" s="1"/>
  <c r="K861" i="2"/>
  <c r="Q720" i="2"/>
  <c r="N720" i="2"/>
  <c r="O720" i="2" s="1"/>
  <c r="K151" i="2"/>
  <c r="Q719" i="2"/>
  <c r="N719" i="2"/>
  <c r="O719" i="2" s="1"/>
  <c r="K860" i="2"/>
  <c r="Q718" i="2"/>
  <c r="N718" i="2"/>
  <c r="O718" i="2" s="1"/>
  <c r="K859" i="2"/>
  <c r="Q717" i="2"/>
  <c r="N717" i="2"/>
  <c r="O717" i="2" s="1"/>
  <c r="K858" i="2"/>
  <c r="Q716" i="2"/>
  <c r="N716" i="2"/>
  <c r="O716" i="2" s="1"/>
  <c r="K857" i="2"/>
  <c r="Q715" i="2"/>
  <c r="N715" i="2"/>
  <c r="O715" i="2" s="1"/>
  <c r="K856" i="2"/>
  <c r="Q714" i="2"/>
  <c r="N714" i="2"/>
  <c r="O714" i="2" s="1"/>
  <c r="K855" i="2"/>
  <c r="Q713" i="2"/>
  <c r="N713" i="2"/>
  <c r="O713" i="2" s="1"/>
  <c r="K854" i="2"/>
  <c r="Q712" i="2"/>
  <c r="N712" i="2"/>
  <c r="O712" i="2" s="1"/>
  <c r="K853" i="2"/>
  <c r="Q711" i="2"/>
  <c r="N711" i="2"/>
  <c r="O711" i="2" s="1"/>
  <c r="K150" i="2"/>
  <c r="Q710" i="2"/>
  <c r="N710" i="2"/>
  <c r="O710" i="2" s="1"/>
  <c r="K852" i="2"/>
  <c r="Q709" i="2"/>
  <c r="N709" i="2"/>
  <c r="O709" i="2" s="1"/>
  <c r="K851" i="2"/>
  <c r="Q708" i="2"/>
  <c r="N708" i="2"/>
  <c r="O708" i="2" s="1"/>
  <c r="K850" i="2"/>
  <c r="Q707" i="2"/>
  <c r="N707" i="2"/>
  <c r="O707" i="2" s="1"/>
  <c r="K849" i="2"/>
  <c r="Q706" i="2"/>
  <c r="N706" i="2"/>
  <c r="O706" i="2" s="1"/>
  <c r="K848" i="2"/>
  <c r="Q705" i="2"/>
  <c r="N705" i="2"/>
  <c r="O705" i="2" s="1"/>
  <c r="K847" i="2"/>
  <c r="Q704" i="2"/>
  <c r="N704" i="2"/>
  <c r="O704" i="2" s="1"/>
  <c r="K846" i="2"/>
  <c r="Q703" i="2"/>
  <c r="N703" i="2"/>
  <c r="O703" i="2" s="1"/>
  <c r="K149" i="2"/>
  <c r="Q702" i="2"/>
  <c r="N702" i="2"/>
  <c r="O702" i="2" s="1"/>
  <c r="K845" i="2"/>
  <c r="Q701" i="2"/>
  <c r="N701" i="2"/>
  <c r="O701" i="2" s="1"/>
  <c r="K148" i="2"/>
  <c r="Q700" i="2"/>
  <c r="N700" i="2"/>
  <c r="O700" i="2" s="1"/>
  <c r="K844" i="2"/>
  <c r="Q699" i="2"/>
  <c r="N699" i="2"/>
  <c r="O699" i="2" s="1"/>
  <c r="K843" i="2"/>
  <c r="Q698" i="2"/>
  <c r="N698" i="2"/>
  <c r="O698" i="2" s="1"/>
  <c r="K842" i="2"/>
  <c r="Q697" i="2"/>
  <c r="N697" i="2"/>
  <c r="O697" i="2" s="1"/>
  <c r="K841" i="2"/>
  <c r="Q696" i="2"/>
  <c r="N696" i="2"/>
  <c r="O696" i="2" s="1"/>
  <c r="K840" i="2"/>
  <c r="Q695" i="2"/>
  <c r="N695" i="2"/>
  <c r="O695" i="2" s="1"/>
  <c r="K839" i="2"/>
  <c r="Q694" i="2"/>
  <c r="N694" i="2"/>
  <c r="O694" i="2" s="1"/>
  <c r="K838" i="2"/>
  <c r="Q693" i="2"/>
  <c r="N693" i="2"/>
  <c r="O693" i="2" s="1"/>
  <c r="K837" i="2"/>
  <c r="Q692" i="2"/>
  <c r="N692" i="2"/>
  <c r="O692" i="2" s="1"/>
  <c r="K836" i="2"/>
  <c r="Q691" i="2"/>
  <c r="N691" i="2"/>
  <c r="O691" i="2" s="1"/>
  <c r="K835" i="2"/>
  <c r="Q690" i="2"/>
  <c r="N690" i="2"/>
  <c r="O690" i="2" s="1"/>
  <c r="K834" i="2"/>
  <c r="Q689" i="2"/>
  <c r="N689" i="2"/>
  <c r="O689" i="2" s="1"/>
  <c r="K833" i="2"/>
  <c r="Q688" i="2"/>
  <c r="N688" i="2"/>
  <c r="O688" i="2" s="1"/>
  <c r="K832" i="2"/>
  <c r="Q687" i="2"/>
  <c r="N687" i="2"/>
  <c r="O687" i="2" s="1"/>
  <c r="K831" i="2"/>
  <c r="Q686" i="2"/>
  <c r="N686" i="2"/>
  <c r="O686" i="2" s="1"/>
  <c r="K147" i="2"/>
  <c r="Q685" i="2"/>
  <c r="N685" i="2"/>
  <c r="O685" i="2" s="1"/>
  <c r="K830" i="2"/>
  <c r="Q684" i="2"/>
  <c r="N684" i="2"/>
  <c r="O684" i="2" s="1"/>
  <c r="K829" i="2"/>
  <c r="Q683" i="2"/>
  <c r="N683" i="2"/>
  <c r="O683" i="2" s="1"/>
  <c r="K828" i="2"/>
  <c r="Q682" i="2"/>
  <c r="N682" i="2"/>
  <c r="O682" i="2" s="1"/>
  <c r="K827" i="2"/>
  <c r="Q681" i="2"/>
  <c r="N681" i="2"/>
  <c r="O681" i="2" s="1"/>
  <c r="K826" i="2"/>
  <c r="Q680" i="2"/>
  <c r="N680" i="2"/>
  <c r="O680" i="2" s="1"/>
  <c r="K825" i="2"/>
  <c r="Q679" i="2"/>
  <c r="N679" i="2"/>
  <c r="O679" i="2" s="1"/>
  <c r="K824" i="2"/>
  <c r="Q678" i="2"/>
  <c r="N678" i="2"/>
  <c r="O678" i="2" s="1"/>
  <c r="K823" i="2"/>
  <c r="Q677" i="2"/>
  <c r="N677" i="2"/>
  <c r="O677" i="2" s="1"/>
  <c r="K822" i="2"/>
  <c r="Q676" i="2"/>
  <c r="N676" i="2"/>
  <c r="O676" i="2" s="1"/>
  <c r="K821" i="2"/>
  <c r="Q675" i="2"/>
  <c r="N675" i="2"/>
  <c r="O675" i="2" s="1"/>
  <c r="K146" i="2"/>
  <c r="Q674" i="2"/>
  <c r="N674" i="2"/>
  <c r="O674" i="2" s="1"/>
  <c r="K820" i="2"/>
  <c r="Q673" i="2"/>
  <c r="N673" i="2"/>
  <c r="O673" i="2" s="1"/>
  <c r="K819" i="2"/>
  <c r="Q672" i="2"/>
  <c r="N672" i="2"/>
  <c r="O672" i="2" s="1"/>
  <c r="K818" i="2"/>
  <c r="Q671" i="2"/>
  <c r="N671" i="2"/>
  <c r="O671" i="2" s="1"/>
  <c r="K817" i="2"/>
  <c r="Q670" i="2"/>
  <c r="N670" i="2"/>
  <c r="O670" i="2" s="1"/>
  <c r="K816" i="2"/>
  <c r="Q669" i="2"/>
  <c r="N669" i="2"/>
  <c r="O669" i="2" s="1"/>
  <c r="K145" i="2"/>
  <c r="Q668" i="2"/>
  <c r="N668" i="2"/>
  <c r="O668" i="2" s="1"/>
  <c r="K144" i="2"/>
  <c r="Q667" i="2"/>
  <c r="N667" i="2"/>
  <c r="O667" i="2" s="1"/>
  <c r="K143" i="2"/>
  <c r="Q666" i="2"/>
  <c r="N666" i="2"/>
  <c r="O666" i="2" s="1"/>
  <c r="K142" i="2"/>
  <c r="Q665" i="2"/>
  <c r="N665" i="2"/>
  <c r="O665" i="2" s="1"/>
  <c r="K815" i="2"/>
  <c r="Q664" i="2"/>
  <c r="N664" i="2"/>
  <c r="O664" i="2" s="1"/>
  <c r="K814" i="2"/>
  <c r="Q663" i="2"/>
  <c r="N663" i="2"/>
  <c r="O663" i="2" s="1"/>
  <c r="K141" i="2"/>
  <c r="Q662" i="2"/>
  <c r="N662" i="2"/>
  <c r="O662" i="2" s="1"/>
  <c r="K140" i="2"/>
  <c r="Q661" i="2"/>
  <c r="N661" i="2"/>
  <c r="O661" i="2" s="1"/>
  <c r="K813" i="2"/>
  <c r="Q660" i="2"/>
  <c r="N660" i="2"/>
  <c r="O660" i="2" s="1"/>
  <c r="K139" i="2"/>
  <c r="Q659" i="2"/>
  <c r="N659" i="2"/>
  <c r="O659" i="2" s="1"/>
  <c r="K812" i="2"/>
  <c r="Q658" i="2"/>
  <c r="N658" i="2"/>
  <c r="O658" i="2" s="1"/>
  <c r="K138" i="2"/>
  <c r="Q657" i="2"/>
  <c r="N657" i="2"/>
  <c r="O657" i="2" s="1"/>
  <c r="K811" i="2"/>
  <c r="Q656" i="2"/>
  <c r="N656" i="2"/>
  <c r="O656" i="2" s="1"/>
  <c r="K810" i="2"/>
  <c r="Q655" i="2"/>
  <c r="N655" i="2"/>
  <c r="O655" i="2" s="1"/>
  <c r="K137" i="2"/>
  <c r="Q654" i="2"/>
  <c r="N654" i="2"/>
  <c r="O654" i="2" s="1"/>
  <c r="K809" i="2"/>
  <c r="Q653" i="2"/>
  <c r="N653" i="2"/>
  <c r="O653" i="2" s="1"/>
  <c r="K808" i="2"/>
  <c r="Q652" i="2"/>
  <c r="N652" i="2"/>
  <c r="O652" i="2" s="1"/>
  <c r="K807" i="2"/>
  <c r="Q651" i="2"/>
  <c r="N651" i="2"/>
  <c r="O651" i="2" s="1"/>
  <c r="K806" i="2"/>
  <c r="Q650" i="2"/>
  <c r="N650" i="2"/>
  <c r="O650" i="2" s="1"/>
  <c r="K805" i="2"/>
  <c r="Q649" i="2"/>
  <c r="N649" i="2"/>
  <c r="O649" i="2" s="1"/>
  <c r="K804" i="2"/>
  <c r="Q648" i="2"/>
  <c r="N648" i="2"/>
  <c r="O648" i="2" s="1"/>
  <c r="K136" i="2"/>
  <c r="Q647" i="2"/>
  <c r="N647" i="2"/>
  <c r="O647" i="2" s="1"/>
  <c r="K135" i="2"/>
  <c r="Q646" i="2"/>
  <c r="N646" i="2"/>
  <c r="O646" i="2" s="1"/>
  <c r="K803" i="2"/>
  <c r="Q645" i="2"/>
  <c r="N645" i="2"/>
  <c r="O645" i="2" s="1"/>
  <c r="K802" i="2"/>
  <c r="Q644" i="2"/>
  <c r="N644" i="2"/>
  <c r="O644" i="2" s="1"/>
  <c r="K134" i="2"/>
  <c r="Q643" i="2"/>
  <c r="N643" i="2"/>
  <c r="O643" i="2" s="1"/>
  <c r="K801" i="2"/>
  <c r="Q642" i="2"/>
  <c r="N642" i="2"/>
  <c r="O642" i="2" s="1"/>
  <c r="K800" i="2"/>
  <c r="Q641" i="2"/>
  <c r="N641" i="2"/>
  <c r="O641" i="2" s="1"/>
  <c r="K799" i="2"/>
  <c r="Q640" i="2"/>
  <c r="N640" i="2"/>
  <c r="O640" i="2" s="1"/>
  <c r="K798" i="2"/>
  <c r="Q639" i="2"/>
  <c r="N639" i="2"/>
  <c r="O639" i="2" s="1"/>
  <c r="K797" i="2"/>
  <c r="Q638" i="2"/>
  <c r="N638" i="2"/>
  <c r="O638" i="2" s="1"/>
  <c r="K796" i="2"/>
  <c r="Q637" i="2"/>
  <c r="N637" i="2"/>
  <c r="O637" i="2" s="1"/>
  <c r="K795" i="2"/>
  <c r="Q636" i="2"/>
  <c r="N636" i="2"/>
  <c r="O636" i="2" s="1"/>
  <c r="K794" i="2"/>
  <c r="Q635" i="2"/>
  <c r="N635" i="2"/>
  <c r="O635" i="2" s="1"/>
  <c r="K793" i="2"/>
  <c r="Q634" i="2"/>
  <c r="N634" i="2"/>
  <c r="O634" i="2" s="1"/>
  <c r="K133" i="2"/>
  <c r="Q633" i="2"/>
  <c r="N633" i="2"/>
  <c r="O633" i="2" s="1"/>
  <c r="K792" i="2"/>
  <c r="Q632" i="2"/>
  <c r="N632" i="2"/>
  <c r="O632" i="2" s="1"/>
  <c r="K791" i="2"/>
  <c r="Q631" i="2"/>
  <c r="N631" i="2"/>
  <c r="O631" i="2" s="1"/>
  <c r="K790" i="2"/>
  <c r="Q630" i="2"/>
  <c r="N630" i="2"/>
  <c r="O630" i="2" s="1"/>
  <c r="K789" i="2"/>
  <c r="Q629" i="2"/>
  <c r="N629" i="2"/>
  <c r="O629" i="2" s="1"/>
  <c r="K788" i="2"/>
  <c r="Q628" i="2"/>
  <c r="N628" i="2"/>
  <c r="O628" i="2" s="1"/>
  <c r="K787" i="2"/>
  <c r="Q627" i="2"/>
  <c r="N627" i="2"/>
  <c r="O627" i="2" s="1"/>
  <c r="K786" i="2"/>
  <c r="Q626" i="2"/>
  <c r="N626" i="2"/>
  <c r="O626" i="2" s="1"/>
  <c r="K785" i="2"/>
  <c r="Q625" i="2"/>
  <c r="N625" i="2"/>
  <c r="O625" i="2" s="1"/>
  <c r="K784" i="2"/>
  <c r="Q624" i="2"/>
  <c r="N624" i="2"/>
  <c r="O624" i="2" s="1"/>
  <c r="K783" i="2"/>
  <c r="Q623" i="2"/>
  <c r="N623" i="2"/>
  <c r="O623" i="2" s="1"/>
  <c r="K782" i="2"/>
  <c r="Q622" i="2"/>
  <c r="N622" i="2"/>
  <c r="O622" i="2" s="1"/>
  <c r="K781" i="2"/>
  <c r="Q621" i="2"/>
  <c r="N621" i="2"/>
  <c r="O621" i="2" s="1"/>
  <c r="K780" i="2"/>
  <c r="Q620" i="2"/>
  <c r="N620" i="2"/>
  <c r="O620" i="2" s="1"/>
  <c r="K779" i="2"/>
  <c r="Q619" i="2"/>
  <c r="N619" i="2"/>
  <c r="O619" i="2" s="1"/>
  <c r="K778" i="2"/>
  <c r="Q618" i="2"/>
  <c r="N618" i="2"/>
  <c r="O618" i="2" s="1"/>
  <c r="K777" i="2"/>
  <c r="Q617" i="2"/>
  <c r="N617" i="2"/>
  <c r="O617" i="2" s="1"/>
  <c r="K776" i="2"/>
  <c r="Q616" i="2"/>
  <c r="N616" i="2"/>
  <c r="O616" i="2" s="1"/>
  <c r="K775" i="2"/>
  <c r="Q615" i="2"/>
  <c r="N615" i="2"/>
  <c r="O615" i="2" s="1"/>
  <c r="K774" i="2"/>
  <c r="Q614" i="2"/>
  <c r="N614" i="2"/>
  <c r="O614" i="2" s="1"/>
  <c r="K773" i="2"/>
  <c r="Q613" i="2"/>
  <c r="N613" i="2"/>
  <c r="O613" i="2" s="1"/>
  <c r="K772" i="2"/>
  <c r="Q612" i="2"/>
  <c r="N612" i="2"/>
  <c r="O612" i="2" s="1"/>
  <c r="K771" i="2"/>
  <c r="Q611" i="2"/>
  <c r="N611" i="2"/>
  <c r="O611" i="2" s="1"/>
  <c r="K20" i="2"/>
  <c r="Q610" i="2"/>
  <c r="N610" i="2"/>
  <c r="O610" i="2" s="1"/>
  <c r="K132" i="2"/>
  <c r="Q609" i="2"/>
  <c r="N609" i="2"/>
  <c r="O609" i="2" s="1"/>
  <c r="K770" i="2"/>
  <c r="Q608" i="2"/>
  <c r="N608" i="2"/>
  <c r="O608" i="2" s="1"/>
  <c r="K769" i="2"/>
  <c r="Q607" i="2"/>
  <c r="N607" i="2"/>
  <c r="O607" i="2" s="1"/>
  <c r="K768" i="2"/>
  <c r="Q606" i="2"/>
  <c r="N606" i="2"/>
  <c r="O606" i="2" s="1"/>
  <c r="K767" i="2"/>
  <c r="Q605" i="2"/>
  <c r="N605" i="2"/>
  <c r="O605" i="2" s="1"/>
  <c r="K766" i="2"/>
  <c r="Q604" i="2"/>
  <c r="N604" i="2"/>
  <c r="O604" i="2" s="1"/>
  <c r="K765" i="2"/>
  <c r="Q603" i="2"/>
  <c r="N603" i="2"/>
  <c r="O603" i="2" s="1"/>
  <c r="K764" i="2"/>
  <c r="Q602" i="2"/>
  <c r="N602" i="2"/>
  <c r="O602" i="2" s="1"/>
  <c r="K763" i="2"/>
  <c r="K762" i="2"/>
  <c r="Q601" i="2"/>
  <c r="N601" i="2"/>
  <c r="O601" i="2" s="1"/>
  <c r="K761" i="2"/>
  <c r="Q600" i="2"/>
  <c r="N600" i="2"/>
  <c r="O600" i="2" s="1"/>
  <c r="K760" i="2"/>
  <c r="Q599" i="2"/>
  <c r="N599" i="2"/>
  <c r="O599" i="2" s="1"/>
  <c r="K759" i="2"/>
  <c r="Q598" i="2"/>
  <c r="N598" i="2"/>
  <c r="O598" i="2" s="1"/>
  <c r="K758" i="2"/>
  <c r="Q597" i="2"/>
  <c r="N597" i="2"/>
  <c r="O597" i="2" s="1"/>
  <c r="K757" i="2"/>
  <c r="Q596" i="2"/>
  <c r="N596" i="2"/>
  <c r="O596" i="2" s="1"/>
  <c r="K756" i="2"/>
  <c r="Q595" i="2"/>
  <c r="N595" i="2"/>
  <c r="O595" i="2" s="1"/>
  <c r="K755" i="2"/>
  <c r="Q594" i="2"/>
  <c r="N594" i="2"/>
  <c r="O594" i="2" s="1"/>
  <c r="K754" i="2"/>
  <c r="Q593" i="2"/>
  <c r="N593" i="2"/>
  <c r="O593" i="2" s="1"/>
  <c r="K753" i="2"/>
  <c r="Q592" i="2"/>
  <c r="N592" i="2"/>
  <c r="O592" i="2" s="1"/>
  <c r="K752" i="2"/>
  <c r="Q591" i="2"/>
  <c r="N591" i="2"/>
  <c r="O591" i="2" s="1"/>
  <c r="K751" i="2"/>
  <c r="Q590" i="2"/>
  <c r="N590" i="2"/>
  <c r="O590" i="2" s="1"/>
  <c r="Q589" i="2"/>
  <c r="N589" i="2"/>
  <c r="O589" i="2" s="1"/>
  <c r="K750" i="2"/>
  <c r="Q588" i="2"/>
  <c r="N588" i="2"/>
  <c r="O588" i="2" s="1"/>
  <c r="K749" i="2"/>
  <c r="Q587" i="2"/>
  <c r="N587" i="2"/>
  <c r="O587" i="2" s="1"/>
  <c r="K748" i="2"/>
  <c r="Q586" i="2"/>
  <c r="N586" i="2"/>
  <c r="O586" i="2" s="1"/>
  <c r="K747" i="2"/>
  <c r="Q585" i="2"/>
  <c r="N585" i="2"/>
  <c r="O585" i="2" s="1"/>
  <c r="K746" i="2"/>
  <c r="Q584" i="2"/>
  <c r="N584" i="2"/>
  <c r="O584" i="2" s="1"/>
  <c r="K745" i="2"/>
  <c r="Q583" i="2"/>
  <c r="N583" i="2"/>
  <c r="O583" i="2" s="1"/>
  <c r="K744" i="2"/>
  <c r="Q582" i="2"/>
  <c r="N582" i="2"/>
  <c r="O582" i="2" s="1"/>
  <c r="K743" i="2"/>
  <c r="Q581" i="2"/>
  <c r="N581" i="2"/>
  <c r="O581" i="2" s="1"/>
  <c r="K742" i="2"/>
  <c r="Q580" i="2"/>
  <c r="N580" i="2"/>
  <c r="O580" i="2" s="1"/>
  <c r="K741" i="2"/>
  <c r="Q579" i="2"/>
  <c r="N579" i="2"/>
  <c r="O579" i="2" s="1"/>
  <c r="K740" i="2"/>
  <c r="Q578" i="2"/>
  <c r="N578" i="2"/>
  <c r="O578" i="2" s="1"/>
  <c r="K739" i="2"/>
  <c r="Q577" i="2"/>
  <c r="N577" i="2"/>
  <c r="O577" i="2" s="1"/>
  <c r="K738" i="2"/>
  <c r="Q576" i="2"/>
  <c r="N576" i="2"/>
  <c r="O576" i="2" s="1"/>
  <c r="K737" i="2"/>
  <c r="Q575" i="2"/>
  <c r="N575" i="2"/>
  <c r="O575" i="2" s="1"/>
  <c r="K131" i="2"/>
  <c r="Q574" i="2"/>
  <c r="N574" i="2"/>
  <c r="O574" i="2" s="1"/>
  <c r="K130" i="2"/>
  <c r="Q573" i="2"/>
  <c r="N573" i="2"/>
  <c r="O573" i="2" s="1"/>
  <c r="K129" i="2"/>
  <c r="Q572" i="2"/>
  <c r="N572" i="2"/>
  <c r="O572" i="2" s="1"/>
  <c r="K736" i="2"/>
  <c r="Q571" i="2"/>
  <c r="N571" i="2"/>
  <c r="O571" i="2" s="1"/>
  <c r="K735" i="2"/>
  <c r="Q570" i="2"/>
  <c r="N570" i="2"/>
  <c r="O570" i="2" s="1"/>
  <c r="K734" i="2"/>
  <c r="Q569" i="2"/>
  <c r="N569" i="2"/>
  <c r="O569" i="2" s="1"/>
  <c r="K733" i="2"/>
  <c r="Q568" i="2"/>
  <c r="N568" i="2"/>
  <c r="O568" i="2" s="1"/>
  <c r="K732" i="2"/>
  <c r="Q567" i="2"/>
  <c r="N567" i="2"/>
  <c r="O567" i="2" s="1"/>
  <c r="K731" i="2"/>
  <c r="Q566" i="2"/>
  <c r="N566" i="2"/>
  <c r="O566" i="2" s="1"/>
  <c r="K730" i="2"/>
  <c r="Q565" i="2"/>
  <c r="N565" i="2"/>
  <c r="O565" i="2" s="1"/>
  <c r="K729" i="2"/>
  <c r="Q564" i="2"/>
  <c r="N564" i="2"/>
  <c r="O564" i="2" s="1"/>
  <c r="K728" i="2"/>
  <c r="Q563" i="2"/>
  <c r="N563" i="2"/>
  <c r="O563" i="2" s="1"/>
  <c r="K727" i="2"/>
  <c r="Q562" i="2"/>
  <c r="N562" i="2"/>
  <c r="O562" i="2" s="1"/>
  <c r="K726" i="2"/>
  <c r="Q561" i="2"/>
  <c r="N561" i="2"/>
  <c r="O561" i="2" s="1"/>
  <c r="K725" i="2"/>
  <c r="Q560" i="2"/>
  <c r="N560" i="2"/>
  <c r="O560" i="2" s="1"/>
  <c r="K724" i="2"/>
  <c r="Q559" i="2"/>
  <c r="N559" i="2"/>
  <c r="O559" i="2" s="1"/>
  <c r="K723" i="2"/>
  <c r="Q558" i="2"/>
  <c r="N558" i="2"/>
  <c r="O558" i="2" s="1"/>
  <c r="K722" i="2"/>
  <c r="Q557" i="2"/>
  <c r="N557" i="2"/>
  <c r="O557" i="2" s="1"/>
  <c r="K721" i="2"/>
  <c r="Q556" i="2"/>
  <c r="N556" i="2"/>
  <c r="O556" i="2" s="1"/>
  <c r="K720" i="2"/>
  <c r="Q555" i="2"/>
  <c r="N555" i="2"/>
  <c r="O555" i="2" s="1"/>
  <c r="K128" i="2"/>
  <c r="Q554" i="2"/>
  <c r="N554" i="2"/>
  <c r="O554" i="2" s="1"/>
  <c r="K127" i="2"/>
  <c r="Q553" i="2"/>
  <c r="N553" i="2"/>
  <c r="O553" i="2" s="1"/>
  <c r="K719" i="2"/>
  <c r="Q552" i="2"/>
  <c r="N552" i="2"/>
  <c r="O552" i="2" s="1"/>
  <c r="K718" i="2"/>
  <c r="Q551" i="2"/>
  <c r="N551" i="2"/>
  <c r="O551" i="2" s="1"/>
  <c r="K717" i="2"/>
  <c r="Q550" i="2"/>
  <c r="N550" i="2"/>
  <c r="O550" i="2" s="1"/>
  <c r="K716" i="2"/>
  <c r="Q549" i="2"/>
  <c r="N549" i="2"/>
  <c r="O549" i="2" s="1"/>
  <c r="K715" i="2"/>
  <c r="Q548" i="2"/>
  <c r="N548" i="2"/>
  <c r="O548" i="2" s="1"/>
  <c r="K714" i="2"/>
  <c r="Q547" i="2"/>
  <c r="N547" i="2"/>
  <c r="O547" i="2" s="1"/>
  <c r="K713" i="2"/>
  <c r="Q546" i="2"/>
  <c r="N546" i="2"/>
  <c r="O546" i="2" s="1"/>
  <c r="K712" i="2"/>
  <c r="Q545" i="2"/>
  <c r="N545" i="2"/>
  <c r="O545" i="2" s="1"/>
  <c r="K126" i="2"/>
  <c r="Q544" i="2"/>
  <c r="N544" i="2"/>
  <c r="O544" i="2" s="1"/>
  <c r="K711" i="2"/>
  <c r="Q543" i="2"/>
  <c r="N543" i="2"/>
  <c r="O543" i="2" s="1"/>
  <c r="K710" i="2"/>
  <c r="Q542" i="2"/>
  <c r="N542" i="2"/>
  <c r="O542" i="2" s="1"/>
  <c r="K709" i="2"/>
  <c r="Q541" i="2"/>
  <c r="N541" i="2"/>
  <c r="O541" i="2" s="1"/>
  <c r="K125" i="2"/>
  <c r="Q540" i="2"/>
  <c r="N540" i="2"/>
  <c r="O540" i="2" s="1"/>
  <c r="K124" i="2"/>
  <c r="Q539" i="2"/>
  <c r="N539" i="2"/>
  <c r="O539" i="2" s="1"/>
  <c r="K123" i="2"/>
  <c r="Q538" i="2"/>
  <c r="N538" i="2"/>
  <c r="O538" i="2" s="1"/>
  <c r="K708" i="2"/>
  <c r="Q537" i="2"/>
  <c r="N537" i="2"/>
  <c r="O537" i="2" s="1"/>
  <c r="K707" i="2"/>
  <c r="Q536" i="2"/>
  <c r="N536" i="2"/>
  <c r="O536" i="2" s="1"/>
  <c r="K706" i="2"/>
  <c r="Q535" i="2"/>
  <c r="N535" i="2"/>
  <c r="O535" i="2" s="1"/>
  <c r="K705" i="2"/>
  <c r="Q534" i="2"/>
  <c r="N534" i="2"/>
  <c r="O534" i="2" s="1"/>
  <c r="K704" i="2"/>
  <c r="Q533" i="2"/>
  <c r="N533" i="2"/>
  <c r="O533" i="2" s="1"/>
  <c r="K703" i="2"/>
  <c r="Q532" i="2"/>
  <c r="N532" i="2"/>
  <c r="O532" i="2" s="1"/>
  <c r="K702" i="2"/>
  <c r="Q531" i="2"/>
  <c r="N531" i="2"/>
  <c r="O531" i="2" s="1"/>
  <c r="K701" i="2"/>
  <c r="Q530" i="2"/>
  <c r="N530" i="2"/>
  <c r="O530" i="2" s="1"/>
  <c r="K700" i="2"/>
  <c r="Q529" i="2"/>
  <c r="N529" i="2"/>
  <c r="O529" i="2" s="1"/>
  <c r="K699" i="2"/>
  <c r="Q528" i="2"/>
  <c r="N528" i="2"/>
  <c r="O528" i="2" s="1"/>
  <c r="K698" i="2"/>
  <c r="Q527" i="2"/>
  <c r="N527" i="2"/>
  <c r="O527" i="2" s="1"/>
  <c r="K697" i="2"/>
  <c r="Q526" i="2"/>
  <c r="N526" i="2"/>
  <c r="O526" i="2" s="1"/>
  <c r="K696" i="2"/>
  <c r="Q525" i="2"/>
  <c r="N525" i="2"/>
  <c r="O525" i="2" s="1"/>
  <c r="K695" i="2"/>
  <c r="Q524" i="2"/>
  <c r="N524" i="2"/>
  <c r="O524" i="2" s="1"/>
  <c r="K694" i="2"/>
  <c r="Q523" i="2"/>
  <c r="N523" i="2"/>
  <c r="O523" i="2" s="1"/>
  <c r="K693" i="2"/>
  <c r="Q522" i="2"/>
  <c r="N522" i="2"/>
  <c r="O522" i="2" s="1"/>
  <c r="K692" i="2"/>
  <c r="Q521" i="2"/>
  <c r="N521" i="2"/>
  <c r="O521" i="2" s="1"/>
  <c r="K691" i="2"/>
  <c r="Q520" i="2"/>
  <c r="N520" i="2"/>
  <c r="O520" i="2" s="1"/>
  <c r="K690" i="2"/>
  <c r="Q519" i="2"/>
  <c r="N519" i="2"/>
  <c r="O519" i="2" s="1"/>
  <c r="K689" i="2"/>
  <c r="Q518" i="2"/>
  <c r="N518" i="2"/>
  <c r="O518" i="2" s="1"/>
  <c r="K688" i="2"/>
  <c r="Q517" i="2"/>
  <c r="N517" i="2"/>
  <c r="O517" i="2" s="1"/>
  <c r="K122" i="2"/>
  <c r="Q516" i="2"/>
  <c r="N516" i="2"/>
  <c r="O516" i="2" s="1"/>
  <c r="K687" i="2"/>
  <c r="Q515" i="2"/>
  <c r="N515" i="2"/>
  <c r="O515" i="2" s="1"/>
  <c r="K686" i="2"/>
  <c r="Q514" i="2"/>
  <c r="N514" i="2"/>
  <c r="O514" i="2" s="1"/>
  <c r="K685" i="2"/>
  <c r="Q513" i="2"/>
  <c r="N513" i="2"/>
  <c r="O513" i="2" s="1"/>
  <c r="K684" i="2"/>
  <c r="Q512" i="2"/>
  <c r="N512" i="2"/>
  <c r="O512" i="2" s="1"/>
  <c r="K683" i="2"/>
  <c r="Q511" i="2"/>
  <c r="N511" i="2"/>
  <c r="O511" i="2" s="1"/>
  <c r="K682" i="2"/>
  <c r="Q510" i="2"/>
  <c r="N510" i="2"/>
  <c r="O510" i="2" s="1"/>
  <c r="K681" i="2"/>
  <c r="Q509" i="2"/>
  <c r="N509" i="2"/>
  <c r="O509" i="2" s="1"/>
  <c r="K680" i="2"/>
  <c r="Q508" i="2"/>
  <c r="N508" i="2"/>
  <c r="O508" i="2" s="1"/>
  <c r="K679" i="2"/>
  <c r="Q507" i="2"/>
  <c r="N507" i="2"/>
  <c r="O507" i="2" s="1"/>
  <c r="K678" i="2"/>
  <c r="Q506" i="2"/>
  <c r="N506" i="2"/>
  <c r="O506" i="2" s="1"/>
  <c r="K677" i="2"/>
  <c r="Q505" i="2"/>
  <c r="N505" i="2"/>
  <c r="O505" i="2" s="1"/>
  <c r="K121" i="2"/>
  <c r="Q504" i="2"/>
  <c r="N504" i="2"/>
  <c r="O504" i="2" s="1"/>
  <c r="K676" i="2"/>
  <c r="Q503" i="2"/>
  <c r="N503" i="2"/>
  <c r="O503" i="2" s="1"/>
  <c r="K120" i="2"/>
  <c r="Q502" i="2"/>
  <c r="N502" i="2"/>
  <c r="O502" i="2" s="1"/>
  <c r="K675" i="2"/>
  <c r="Q501" i="2"/>
  <c r="N501" i="2"/>
  <c r="O501" i="2" s="1"/>
  <c r="K674" i="2"/>
  <c r="Q500" i="2"/>
  <c r="N500" i="2"/>
  <c r="O500" i="2" s="1"/>
  <c r="K673" i="2"/>
  <c r="Q499" i="2"/>
  <c r="N499" i="2"/>
  <c r="O499" i="2" s="1"/>
  <c r="K672" i="2"/>
  <c r="Q498" i="2"/>
  <c r="N498" i="2"/>
  <c r="O498" i="2" s="1"/>
  <c r="K671" i="2"/>
  <c r="Q497" i="2"/>
  <c r="N497" i="2"/>
  <c r="O497" i="2" s="1"/>
  <c r="K670" i="2"/>
  <c r="Q496" i="2"/>
  <c r="N496" i="2"/>
  <c r="O496" i="2" s="1"/>
  <c r="K669" i="2"/>
  <c r="Q495" i="2"/>
  <c r="N495" i="2"/>
  <c r="O495" i="2" s="1"/>
  <c r="K668" i="2"/>
  <c r="Q494" i="2"/>
  <c r="N494" i="2"/>
  <c r="O494" i="2" s="1"/>
  <c r="K667" i="2"/>
  <c r="K666" i="2"/>
  <c r="Q493" i="2"/>
  <c r="N493" i="2"/>
  <c r="O493" i="2" s="1"/>
  <c r="K665" i="2"/>
  <c r="Q492" i="2"/>
  <c r="N492" i="2"/>
  <c r="O492" i="2" s="1"/>
  <c r="K119" i="2"/>
  <c r="Q491" i="2"/>
  <c r="N491" i="2"/>
  <c r="O491" i="2" s="1"/>
  <c r="K118" i="2"/>
  <c r="Q490" i="2"/>
  <c r="N490" i="2"/>
  <c r="O490" i="2" s="1"/>
  <c r="K117" i="2"/>
  <c r="Q489" i="2"/>
  <c r="N489" i="2"/>
  <c r="O489" i="2" s="1"/>
  <c r="K19" i="2"/>
  <c r="Q488" i="2"/>
  <c r="N488" i="2"/>
  <c r="O488" i="2" s="1"/>
  <c r="K664" i="2"/>
  <c r="Q487" i="2"/>
  <c r="N487" i="2"/>
  <c r="O487" i="2" s="1"/>
  <c r="K663" i="2"/>
  <c r="Q486" i="2"/>
  <c r="N486" i="2"/>
  <c r="O486" i="2" s="1"/>
  <c r="K116" i="2"/>
  <c r="Q485" i="2"/>
  <c r="N485" i="2"/>
  <c r="O485" i="2" s="1"/>
  <c r="K662" i="2"/>
  <c r="Q484" i="2"/>
  <c r="N484" i="2"/>
  <c r="O484" i="2" s="1"/>
  <c r="K115" i="2"/>
  <c r="Q483" i="2"/>
  <c r="N483" i="2"/>
  <c r="O483" i="2" s="1"/>
  <c r="K661" i="2"/>
  <c r="Q482" i="2"/>
  <c r="N482" i="2"/>
  <c r="O482" i="2" s="1"/>
  <c r="K660" i="2"/>
  <c r="Q481" i="2"/>
  <c r="N481" i="2"/>
  <c r="O481" i="2" s="1"/>
  <c r="K114" i="2"/>
  <c r="Q480" i="2"/>
  <c r="N480" i="2"/>
  <c r="O480" i="2" s="1"/>
  <c r="K113" i="2"/>
  <c r="Q479" i="2"/>
  <c r="N479" i="2"/>
  <c r="O479" i="2" s="1"/>
  <c r="K659" i="2"/>
  <c r="Q478" i="2"/>
  <c r="N478" i="2"/>
  <c r="O478" i="2" s="1"/>
  <c r="K658" i="2"/>
  <c r="Q477" i="2"/>
  <c r="N477" i="2"/>
  <c r="O477" i="2" s="1"/>
  <c r="K657" i="2"/>
  <c r="Q476" i="2"/>
  <c r="N476" i="2"/>
  <c r="O476" i="2" s="1"/>
  <c r="K112" i="2"/>
  <c r="Q475" i="2"/>
  <c r="N475" i="2"/>
  <c r="O475" i="2" s="1"/>
  <c r="K4" i="2"/>
  <c r="Q474" i="2"/>
  <c r="N474" i="2"/>
  <c r="O474" i="2" s="1"/>
  <c r="K3" i="2"/>
  <c r="Q473" i="2"/>
  <c r="N473" i="2"/>
  <c r="O473" i="2" s="1"/>
  <c r="K656" i="2"/>
  <c r="Q472" i="2"/>
  <c r="N472" i="2"/>
  <c r="O472" i="2" s="1"/>
  <c r="K655" i="2"/>
  <c r="Q471" i="2"/>
  <c r="N471" i="2"/>
  <c r="O471" i="2" s="1"/>
  <c r="K654" i="2"/>
  <c r="Q470" i="2"/>
  <c r="N470" i="2"/>
  <c r="O470" i="2" s="1"/>
  <c r="K653" i="2"/>
  <c r="Q469" i="2"/>
  <c r="N469" i="2"/>
  <c r="O469" i="2" s="1"/>
  <c r="K652" i="2"/>
  <c r="Q468" i="2"/>
  <c r="N468" i="2"/>
  <c r="O468" i="2" s="1"/>
  <c r="K651" i="2"/>
  <c r="Q467" i="2"/>
  <c r="N467" i="2"/>
  <c r="O467" i="2" s="1"/>
  <c r="K650" i="2"/>
  <c r="Q466" i="2"/>
  <c r="N466" i="2"/>
  <c r="O466" i="2" s="1"/>
  <c r="K18" i="2"/>
  <c r="Q465" i="2"/>
  <c r="N465" i="2"/>
  <c r="O465" i="2" s="1"/>
  <c r="K649" i="2"/>
  <c r="Q464" i="2"/>
  <c r="N464" i="2"/>
  <c r="O464" i="2" s="1"/>
  <c r="K648" i="2"/>
  <c r="K111" i="2"/>
  <c r="K17" i="2"/>
  <c r="K647" i="2"/>
  <c r="Q463" i="2"/>
  <c r="N463" i="2"/>
  <c r="O463" i="2" s="1"/>
  <c r="K646" i="2"/>
  <c r="Q462" i="2"/>
  <c r="N462" i="2"/>
  <c r="O462" i="2" s="1"/>
  <c r="K645" i="2"/>
  <c r="Q461" i="2"/>
  <c r="N461" i="2"/>
  <c r="O461" i="2" s="1"/>
  <c r="K644" i="2"/>
  <c r="Q460" i="2"/>
  <c r="N460" i="2"/>
  <c r="O460" i="2" s="1"/>
  <c r="K643" i="2"/>
  <c r="K110" i="2"/>
  <c r="Q459" i="2"/>
  <c r="N459" i="2"/>
  <c r="O459" i="2" s="1"/>
  <c r="K109" i="2"/>
  <c r="Q458" i="2"/>
  <c r="N458" i="2"/>
  <c r="O458" i="2" s="1"/>
  <c r="K642" i="2"/>
  <c r="Q457" i="2"/>
  <c r="N457" i="2"/>
  <c r="O457" i="2" s="1"/>
  <c r="K641" i="2"/>
  <c r="Q456" i="2"/>
  <c r="N456" i="2"/>
  <c r="O456" i="2" s="1"/>
  <c r="K640" i="2"/>
  <c r="Q455" i="2"/>
  <c r="N455" i="2"/>
  <c r="O455" i="2" s="1"/>
  <c r="K108" i="2"/>
  <c r="Q454" i="2"/>
  <c r="N454" i="2"/>
  <c r="O454" i="2" s="1"/>
  <c r="K639" i="2"/>
  <c r="Q453" i="2"/>
  <c r="N453" i="2"/>
  <c r="O453" i="2" s="1"/>
  <c r="K638" i="2"/>
  <c r="Q452" i="2"/>
  <c r="N452" i="2"/>
  <c r="O452" i="2" s="1"/>
  <c r="K637" i="2"/>
  <c r="Q451" i="2"/>
  <c r="N451" i="2"/>
  <c r="O451" i="2" s="1"/>
  <c r="K636" i="2"/>
  <c r="Q450" i="2"/>
  <c r="N450" i="2"/>
  <c r="O450" i="2" s="1"/>
  <c r="K635" i="2"/>
  <c r="Q449" i="2"/>
  <c r="N449" i="2"/>
  <c r="O449" i="2" s="1"/>
  <c r="K634" i="2"/>
  <c r="Q448" i="2"/>
  <c r="N448" i="2"/>
  <c r="O448" i="2" s="1"/>
  <c r="K633" i="2"/>
  <c r="Q447" i="2"/>
  <c r="N447" i="2"/>
  <c r="O447" i="2" s="1"/>
  <c r="K632" i="2"/>
  <c r="Q446" i="2"/>
  <c r="N446" i="2"/>
  <c r="O446" i="2" s="1"/>
  <c r="K631" i="2"/>
  <c r="Q445" i="2"/>
  <c r="N445" i="2"/>
  <c r="O445" i="2" s="1"/>
  <c r="K630" i="2"/>
  <c r="Q444" i="2"/>
  <c r="N444" i="2"/>
  <c r="O444" i="2" s="1"/>
  <c r="K629" i="2"/>
  <c r="Q443" i="2"/>
  <c r="N443" i="2"/>
  <c r="O443" i="2" s="1"/>
  <c r="K628" i="2"/>
  <c r="Q442" i="2"/>
  <c r="N442" i="2"/>
  <c r="O442" i="2" s="1"/>
  <c r="K627" i="2"/>
  <c r="Q441" i="2"/>
  <c r="N441" i="2"/>
  <c r="O441" i="2" s="1"/>
  <c r="K626" i="2"/>
  <c r="Q440" i="2"/>
  <c r="N440" i="2"/>
  <c r="O440" i="2" s="1"/>
  <c r="K625" i="2"/>
  <c r="Q439" i="2"/>
  <c r="N439" i="2"/>
  <c r="O439" i="2" s="1"/>
  <c r="K107" i="2"/>
  <c r="K624" i="2"/>
  <c r="Q438" i="2"/>
  <c r="N438" i="2"/>
  <c r="O438" i="2" s="1"/>
  <c r="K623" i="2"/>
  <c r="Q437" i="2"/>
  <c r="N437" i="2"/>
  <c r="O437" i="2" s="1"/>
  <c r="K622" i="2"/>
  <c r="Q436" i="2"/>
  <c r="N436" i="2"/>
  <c r="O436" i="2" s="1"/>
  <c r="K621" i="2"/>
  <c r="Q435" i="2"/>
  <c r="N435" i="2"/>
  <c r="O435" i="2" s="1"/>
  <c r="K620" i="2"/>
  <c r="Q434" i="2"/>
  <c r="N434" i="2"/>
  <c r="O434" i="2" s="1"/>
  <c r="K619" i="2"/>
  <c r="Q433" i="2"/>
  <c r="N433" i="2"/>
  <c r="O433" i="2" s="1"/>
  <c r="K618" i="2"/>
  <c r="Q432" i="2"/>
  <c r="N432" i="2"/>
  <c r="O432" i="2" s="1"/>
  <c r="K617" i="2"/>
  <c r="Q431" i="2"/>
  <c r="N431" i="2"/>
  <c r="O431" i="2" s="1"/>
  <c r="K616" i="2"/>
  <c r="Q430" i="2"/>
  <c r="N430" i="2"/>
  <c r="O430" i="2" s="1"/>
  <c r="K615" i="2"/>
  <c r="Q429" i="2"/>
  <c r="N429" i="2"/>
  <c r="O429" i="2" s="1"/>
  <c r="K614" i="2"/>
  <c r="Q428" i="2"/>
  <c r="N428" i="2"/>
  <c r="O428" i="2" s="1"/>
  <c r="K613" i="2"/>
  <c r="Q427" i="2"/>
  <c r="N427" i="2"/>
  <c r="O427" i="2" s="1"/>
  <c r="K106" i="2"/>
  <c r="Q426" i="2"/>
  <c r="N426" i="2"/>
  <c r="O426" i="2" s="1"/>
  <c r="K105" i="2"/>
  <c r="Q425" i="2"/>
  <c r="N425" i="2"/>
  <c r="O425" i="2" s="1"/>
  <c r="K612" i="2"/>
  <c r="Q424" i="2"/>
  <c r="N424" i="2"/>
  <c r="O424" i="2" s="1"/>
  <c r="K611" i="2"/>
  <c r="Q423" i="2"/>
  <c r="N423" i="2"/>
  <c r="O423" i="2" s="1"/>
  <c r="K610" i="2"/>
  <c r="Q422" i="2"/>
  <c r="N422" i="2"/>
  <c r="O422" i="2" s="1"/>
  <c r="K609" i="2"/>
  <c r="Q421" i="2"/>
  <c r="N421" i="2"/>
  <c r="O421" i="2" s="1"/>
  <c r="K608" i="2"/>
  <c r="Q420" i="2"/>
  <c r="N420" i="2"/>
  <c r="O420" i="2" s="1"/>
  <c r="K607" i="2"/>
  <c r="Q419" i="2"/>
  <c r="N419" i="2"/>
  <c r="O419" i="2" s="1"/>
  <c r="K606" i="2"/>
  <c r="Q418" i="2"/>
  <c r="N418" i="2"/>
  <c r="O418" i="2" s="1"/>
  <c r="K605" i="2"/>
  <c r="Q417" i="2"/>
  <c r="N417" i="2"/>
  <c r="O417" i="2" s="1"/>
  <c r="K604" i="2"/>
  <c r="Q416" i="2"/>
  <c r="N416" i="2"/>
  <c r="O416" i="2" s="1"/>
  <c r="K603" i="2"/>
  <c r="Q415" i="2"/>
  <c r="N415" i="2"/>
  <c r="O415" i="2" s="1"/>
  <c r="K602" i="2"/>
  <c r="Q414" i="2"/>
  <c r="N414" i="2"/>
  <c r="O414" i="2" s="1"/>
  <c r="Q413" i="2"/>
  <c r="N413" i="2"/>
  <c r="O413" i="2" s="1"/>
  <c r="K601" i="2"/>
  <c r="Q412" i="2"/>
  <c r="N412" i="2"/>
  <c r="O412" i="2" s="1"/>
  <c r="K600" i="2"/>
  <c r="Q411" i="2"/>
  <c r="N411" i="2"/>
  <c r="O411" i="2" s="1"/>
  <c r="K599" i="2"/>
  <c r="Q410" i="2"/>
  <c r="N410" i="2"/>
  <c r="O410" i="2" s="1"/>
  <c r="K598" i="2"/>
  <c r="Q409" i="2"/>
  <c r="N409" i="2"/>
  <c r="O409" i="2" s="1"/>
  <c r="K597" i="2"/>
  <c r="Q408" i="2"/>
  <c r="N408" i="2"/>
  <c r="O408" i="2" s="1"/>
  <c r="K596" i="2"/>
  <c r="Q407" i="2"/>
  <c r="N407" i="2"/>
  <c r="O407" i="2" s="1"/>
  <c r="K595" i="2"/>
  <c r="Q406" i="2"/>
  <c r="N406" i="2"/>
  <c r="O406" i="2" s="1"/>
  <c r="K104" i="2"/>
  <c r="Q405" i="2"/>
  <c r="N405" i="2"/>
  <c r="O405" i="2" s="1"/>
  <c r="K103" i="2"/>
  <c r="Q404" i="2"/>
  <c r="N404" i="2"/>
  <c r="O404" i="2" s="1"/>
  <c r="K16" i="2"/>
  <c r="Q403" i="2"/>
  <c r="N403" i="2"/>
  <c r="O403" i="2" s="1"/>
  <c r="K594" i="2"/>
  <c r="Q402" i="2"/>
  <c r="N402" i="2"/>
  <c r="O402" i="2" s="1"/>
  <c r="K593" i="2"/>
  <c r="Q401" i="2"/>
  <c r="N401" i="2"/>
  <c r="O401" i="2" s="1"/>
  <c r="K592" i="2"/>
  <c r="Q400" i="2"/>
  <c r="N400" i="2"/>
  <c r="O400" i="2" s="1"/>
  <c r="K591" i="2"/>
  <c r="Q399" i="2"/>
  <c r="N399" i="2"/>
  <c r="O399" i="2" s="1"/>
  <c r="K102" i="2"/>
  <c r="Q398" i="2"/>
  <c r="N398" i="2"/>
  <c r="O398" i="2" s="1"/>
  <c r="K101" i="2"/>
  <c r="Q397" i="2"/>
  <c r="N397" i="2"/>
  <c r="O397" i="2" s="1"/>
  <c r="K100" i="2"/>
  <c r="Q396" i="2"/>
  <c r="N396" i="2"/>
  <c r="O396" i="2" s="1"/>
  <c r="K99" i="2"/>
  <c r="Q395" i="2"/>
  <c r="N395" i="2"/>
  <c r="O395" i="2" s="1"/>
  <c r="K590" i="2"/>
  <c r="Q394" i="2"/>
  <c r="N394" i="2"/>
  <c r="O394" i="2" s="1"/>
  <c r="K589" i="2"/>
  <c r="Q393" i="2"/>
  <c r="N393" i="2"/>
  <c r="O393" i="2" s="1"/>
  <c r="K588" i="2"/>
  <c r="Q392" i="2"/>
  <c r="N392" i="2"/>
  <c r="O392" i="2" s="1"/>
  <c r="K587" i="2"/>
  <c r="Q391" i="2"/>
  <c r="N391" i="2"/>
  <c r="O391" i="2" s="1"/>
  <c r="K586" i="2"/>
  <c r="Q390" i="2"/>
  <c r="N390" i="2"/>
  <c r="O390" i="2" s="1"/>
  <c r="K585" i="2"/>
  <c r="Q389" i="2"/>
  <c r="N389" i="2"/>
  <c r="O389" i="2" s="1"/>
  <c r="K584" i="2"/>
  <c r="Q388" i="2"/>
  <c r="N388" i="2"/>
  <c r="O388" i="2" s="1"/>
  <c r="K583" i="2"/>
  <c r="Q387" i="2"/>
  <c r="N387" i="2"/>
  <c r="O387" i="2" s="1"/>
  <c r="K582" i="2"/>
  <c r="Q386" i="2"/>
  <c r="N386" i="2"/>
  <c r="O386" i="2" s="1"/>
  <c r="K581" i="2"/>
  <c r="Q385" i="2"/>
  <c r="N385" i="2"/>
  <c r="O385" i="2" s="1"/>
  <c r="K580" i="2"/>
  <c r="Q384" i="2"/>
  <c r="N384" i="2"/>
  <c r="O384" i="2" s="1"/>
  <c r="K579" i="2"/>
  <c r="Q383" i="2"/>
  <c r="N383" i="2"/>
  <c r="O383" i="2" s="1"/>
  <c r="K578" i="2"/>
  <c r="Q382" i="2"/>
  <c r="N382" i="2"/>
  <c r="O382" i="2" s="1"/>
  <c r="K577" i="2"/>
  <c r="Q381" i="2"/>
  <c r="N381" i="2"/>
  <c r="O381" i="2" s="1"/>
  <c r="K576" i="2"/>
  <c r="Q380" i="2"/>
  <c r="N380" i="2"/>
  <c r="O380" i="2" s="1"/>
  <c r="K575" i="2"/>
  <c r="Q379" i="2"/>
  <c r="N379" i="2"/>
  <c r="O379" i="2" s="1"/>
  <c r="K574" i="2"/>
  <c r="Q378" i="2"/>
  <c r="N378" i="2"/>
  <c r="O378" i="2" s="1"/>
  <c r="K573" i="2"/>
  <c r="Q377" i="2"/>
  <c r="N377" i="2"/>
  <c r="O377" i="2" s="1"/>
  <c r="K572" i="2"/>
  <c r="Q376" i="2"/>
  <c r="N376" i="2"/>
  <c r="O376" i="2" s="1"/>
  <c r="K98" i="2"/>
  <c r="Q375" i="2"/>
  <c r="N375" i="2"/>
  <c r="O375" i="2" s="1"/>
  <c r="K97" i="2"/>
  <c r="Q374" i="2"/>
  <c r="N374" i="2"/>
  <c r="O374" i="2" s="1"/>
  <c r="K571" i="2"/>
  <c r="Q373" i="2"/>
  <c r="N373" i="2"/>
  <c r="O373" i="2" s="1"/>
  <c r="K570" i="2"/>
  <c r="Q372" i="2"/>
  <c r="N372" i="2"/>
  <c r="O372" i="2" s="1"/>
  <c r="K569" i="2"/>
  <c r="Q371" i="2"/>
  <c r="N371" i="2"/>
  <c r="O371" i="2" s="1"/>
  <c r="K568" i="2"/>
  <c r="Q370" i="2"/>
  <c r="N370" i="2"/>
  <c r="O370" i="2" s="1"/>
  <c r="K567" i="2"/>
  <c r="Q369" i="2"/>
  <c r="N369" i="2"/>
  <c r="O369" i="2" s="1"/>
  <c r="K566" i="2"/>
  <c r="Q368" i="2"/>
  <c r="N368" i="2"/>
  <c r="O368" i="2" s="1"/>
  <c r="K565" i="2"/>
  <c r="Q367" i="2"/>
  <c r="N367" i="2"/>
  <c r="O367" i="2" s="1"/>
  <c r="K564" i="2"/>
  <c r="Q366" i="2"/>
  <c r="N366" i="2"/>
  <c r="O366" i="2" s="1"/>
  <c r="K563" i="2"/>
  <c r="Q365" i="2"/>
  <c r="N365" i="2"/>
  <c r="O365" i="2" s="1"/>
  <c r="K562" i="2"/>
  <c r="Q364" i="2"/>
  <c r="N364" i="2"/>
  <c r="O364" i="2" s="1"/>
  <c r="K561" i="2"/>
  <c r="Q363" i="2"/>
  <c r="N363" i="2"/>
  <c r="O363" i="2" s="1"/>
  <c r="K560" i="2"/>
  <c r="Q362" i="2"/>
  <c r="N362" i="2"/>
  <c r="O362" i="2" s="1"/>
  <c r="K559" i="2"/>
  <c r="Q361" i="2"/>
  <c r="N361" i="2"/>
  <c r="O361" i="2" s="1"/>
  <c r="K558" i="2"/>
  <c r="K557" i="2"/>
  <c r="Q360" i="2"/>
  <c r="N360" i="2"/>
  <c r="O360" i="2" s="1"/>
  <c r="K556" i="2"/>
  <c r="Q359" i="2"/>
  <c r="N359" i="2"/>
  <c r="O359" i="2" s="1"/>
  <c r="K555" i="2"/>
  <c r="Q358" i="2"/>
  <c r="N358" i="2"/>
  <c r="O358" i="2" s="1"/>
  <c r="K554" i="2"/>
  <c r="Q357" i="2"/>
  <c r="N357" i="2"/>
  <c r="O357" i="2" s="1"/>
  <c r="K553" i="2"/>
  <c r="Q356" i="2"/>
  <c r="N356" i="2"/>
  <c r="O356" i="2" s="1"/>
  <c r="K552" i="2"/>
  <c r="Q355" i="2"/>
  <c r="N355" i="2"/>
  <c r="O355" i="2" s="1"/>
  <c r="K551" i="2"/>
  <c r="Q354" i="2"/>
  <c r="N354" i="2"/>
  <c r="O354" i="2" s="1"/>
  <c r="K550" i="2"/>
  <c r="Q353" i="2"/>
  <c r="N353" i="2"/>
  <c r="O353" i="2" s="1"/>
  <c r="K549" i="2"/>
  <c r="Q352" i="2"/>
  <c r="N352" i="2"/>
  <c r="O352" i="2" s="1"/>
  <c r="K548" i="2"/>
  <c r="Q351" i="2"/>
  <c r="N351" i="2"/>
  <c r="O351" i="2" s="1"/>
  <c r="K547" i="2"/>
  <c r="Q350" i="2"/>
  <c r="N350" i="2"/>
  <c r="O350" i="2" s="1"/>
  <c r="K546" i="2"/>
  <c r="Q349" i="2"/>
  <c r="N349" i="2"/>
  <c r="O349" i="2" s="1"/>
  <c r="K545" i="2"/>
  <c r="Q348" i="2"/>
  <c r="N348" i="2"/>
  <c r="O348" i="2" s="1"/>
  <c r="K544" i="2"/>
  <c r="Q347" i="2"/>
  <c r="N347" i="2"/>
  <c r="O347" i="2" s="1"/>
  <c r="K96" i="2"/>
  <c r="Q346" i="2"/>
  <c r="N346" i="2"/>
  <c r="O346" i="2" s="1"/>
  <c r="K543" i="2"/>
  <c r="Q345" i="2"/>
  <c r="N345" i="2"/>
  <c r="O345" i="2" s="1"/>
  <c r="K542" i="2"/>
  <c r="Q344" i="2"/>
  <c r="N344" i="2"/>
  <c r="O344" i="2" s="1"/>
  <c r="K541" i="2"/>
  <c r="Q343" i="2"/>
  <c r="N343" i="2"/>
  <c r="O343" i="2" s="1"/>
  <c r="K540" i="2"/>
  <c r="Q342" i="2"/>
  <c r="N342" i="2"/>
  <c r="O342" i="2" s="1"/>
  <c r="K539" i="2"/>
  <c r="Q341" i="2"/>
  <c r="N341" i="2"/>
  <c r="O341" i="2" s="1"/>
  <c r="K538" i="2"/>
  <c r="Q340" i="2"/>
  <c r="N340" i="2"/>
  <c r="O340" i="2" s="1"/>
  <c r="K537" i="2"/>
  <c r="K536" i="2"/>
  <c r="Q339" i="2"/>
  <c r="N339" i="2"/>
  <c r="O339" i="2" s="1"/>
  <c r="K535" i="2"/>
  <c r="Q338" i="2"/>
  <c r="N338" i="2"/>
  <c r="O338" i="2" s="1"/>
  <c r="K534" i="2"/>
  <c r="Q337" i="2"/>
  <c r="N337" i="2"/>
  <c r="O337" i="2" s="1"/>
  <c r="K15" i="2"/>
  <c r="Q336" i="2"/>
  <c r="N336" i="2"/>
  <c r="O336" i="2" s="1"/>
  <c r="K533" i="2"/>
  <c r="Q335" i="2"/>
  <c r="N335" i="2"/>
  <c r="O335" i="2" s="1"/>
  <c r="K532" i="2"/>
  <c r="Q334" i="2"/>
  <c r="N334" i="2"/>
  <c r="O334" i="2" s="1"/>
  <c r="K95" i="2"/>
  <c r="Q333" i="2"/>
  <c r="N333" i="2"/>
  <c r="O333" i="2" s="1"/>
  <c r="K531" i="2"/>
  <c r="Q332" i="2"/>
  <c r="N332" i="2"/>
  <c r="O332" i="2" s="1"/>
  <c r="K530" i="2"/>
  <c r="Q331" i="2"/>
  <c r="N331" i="2"/>
  <c r="O331" i="2" s="1"/>
  <c r="K529" i="2"/>
  <c r="Q330" i="2"/>
  <c r="N330" i="2"/>
  <c r="O330" i="2" s="1"/>
  <c r="K94" i="2"/>
  <c r="Q329" i="2"/>
  <c r="N329" i="2"/>
  <c r="O329" i="2" s="1"/>
  <c r="K93" i="2"/>
  <c r="Q328" i="2"/>
  <c r="N328" i="2"/>
  <c r="O328" i="2" s="1"/>
  <c r="K528" i="2"/>
  <c r="Q327" i="2"/>
  <c r="N327" i="2"/>
  <c r="O327" i="2" s="1"/>
  <c r="K92" i="2"/>
  <c r="Q326" i="2"/>
  <c r="N326" i="2"/>
  <c r="O326" i="2" s="1"/>
  <c r="K527" i="2"/>
  <c r="Q325" i="2"/>
  <c r="N325" i="2"/>
  <c r="O325" i="2" s="1"/>
  <c r="K526" i="2"/>
  <c r="Q324" i="2"/>
  <c r="N324" i="2"/>
  <c r="O324" i="2" s="1"/>
  <c r="K525" i="2"/>
  <c r="Q323" i="2"/>
  <c r="N323" i="2"/>
  <c r="O323" i="2" s="1"/>
  <c r="K91" i="2"/>
  <c r="Q322" i="2"/>
  <c r="N322" i="2"/>
  <c r="O322" i="2" s="1"/>
  <c r="K524" i="2"/>
  <c r="Q321" i="2"/>
  <c r="N321" i="2"/>
  <c r="O321" i="2" s="1"/>
  <c r="K523" i="2"/>
  <c r="Q320" i="2"/>
  <c r="N320" i="2"/>
  <c r="O320" i="2" s="1"/>
  <c r="K90" i="2"/>
  <c r="Q319" i="2"/>
  <c r="N319" i="2"/>
  <c r="O319" i="2" s="1"/>
  <c r="K89" i="2"/>
  <c r="Q318" i="2"/>
  <c r="N318" i="2"/>
  <c r="O318" i="2" s="1"/>
  <c r="K88" i="2"/>
  <c r="Q317" i="2"/>
  <c r="N317" i="2"/>
  <c r="O317" i="2" s="1"/>
  <c r="K522" i="2"/>
  <c r="Q316" i="2"/>
  <c r="N316" i="2"/>
  <c r="O316" i="2" s="1"/>
  <c r="K521" i="2"/>
  <c r="Q315" i="2"/>
  <c r="N315" i="2"/>
  <c r="O315" i="2" s="1"/>
  <c r="K520" i="2"/>
  <c r="Q314" i="2"/>
  <c r="N314" i="2"/>
  <c r="O314" i="2" s="1"/>
  <c r="K519" i="2"/>
  <c r="Q313" i="2"/>
  <c r="N313" i="2"/>
  <c r="O313" i="2" s="1"/>
  <c r="K87" i="2"/>
  <c r="Q312" i="2"/>
  <c r="N312" i="2"/>
  <c r="O312" i="2" s="1"/>
  <c r="K518" i="2"/>
  <c r="Q311" i="2"/>
  <c r="N311" i="2"/>
  <c r="O311" i="2" s="1"/>
  <c r="K86" i="2"/>
  <c r="Q310" i="2"/>
  <c r="N310" i="2"/>
  <c r="O310" i="2" s="1"/>
  <c r="K85" i="2"/>
  <c r="Q309" i="2"/>
  <c r="N309" i="2"/>
  <c r="O309" i="2" s="1"/>
  <c r="K517" i="2"/>
  <c r="Q308" i="2"/>
  <c r="N308" i="2"/>
  <c r="O308" i="2" s="1"/>
  <c r="K516" i="2"/>
  <c r="Q307" i="2"/>
  <c r="N307" i="2"/>
  <c r="O307" i="2" s="1"/>
  <c r="K515" i="2"/>
  <c r="Q306" i="2"/>
  <c r="N306" i="2"/>
  <c r="O306" i="2" s="1"/>
  <c r="K514" i="2"/>
  <c r="Q305" i="2"/>
  <c r="N305" i="2"/>
  <c r="O305" i="2" s="1"/>
  <c r="K513" i="2"/>
  <c r="Q304" i="2"/>
  <c r="N304" i="2"/>
  <c r="O304" i="2" s="1"/>
  <c r="K84" i="2"/>
  <c r="Q303" i="2"/>
  <c r="N303" i="2"/>
  <c r="O303" i="2" s="1"/>
  <c r="K512" i="2"/>
  <c r="Q302" i="2"/>
  <c r="N302" i="2"/>
  <c r="O302" i="2" s="1"/>
  <c r="K511" i="2"/>
  <c r="Q301" i="2"/>
  <c r="N301" i="2"/>
  <c r="O301" i="2" s="1"/>
  <c r="K510" i="2"/>
  <c r="Q300" i="2"/>
  <c r="N300" i="2"/>
  <c r="O300" i="2" s="1"/>
  <c r="K509" i="2"/>
  <c r="Q299" i="2"/>
  <c r="N299" i="2"/>
  <c r="O299" i="2" s="1"/>
  <c r="K508" i="2"/>
  <c r="Q298" i="2"/>
  <c r="N298" i="2"/>
  <c r="O298" i="2" s="1"/>
  <c r="K507" i="2"/>
  <c r="Q297" i="2"/>
  <c r="N297" i="2"/>
  <c r="O297" i="2" s="1"/>
  <c r="K506" i="2"/>
  <c r="Q296" i="2"/>
  <c r="N296" i="2"/>
  <c r="O296" i="2" s="1"/>
  <c r="K505" i="2"/>
  <c r="Q295" i="2"/>
  <c r="N295" i="2"/>
  <c r="O295" i="2" s="1"/>
  <c r="K504" i="2"/>
  <c r="Q294" i="2"/>
  <c r="N294" i="2"/>
  <c r="O294" i="2" s="1"/>
  <c r="K503" i="2"/>
  <c r="Q293" i="2"/>
  <c r="N293" i="2"/>
  <c r="O293" i="2" s="1"/>
  <c r="K502" i="2"/>
  <c r="Q292" i="2"/>
  <c r="N292" i="2"/>
  <c r="O292" i="2" s="1"/>
  <c r="K501" i="2"/>
  <c r="Q291" i="2"/>
  <c r="N291" i="2"/>
  <c r="O291" i="2" s="1"/>
  <c r="K83" i="2"/>
  <c r="Q290" i="2"/>
  <c r="N290" i="2"/>
  <c r="O290" i="2" s="1"/>
  <c r="K82" i="2"/>
  <c r="Q289" i="2"/>
  <c r="N289" i="2"/>
  <c r="O289" i="2" s="1"/>
  <c r="K500" i="2"/>
  <c r="Q288" i="2"/>
  <c r="N288" i="2"/>
  <c r="O288" i="2" s="1"/>
  <c r="K499" i="2"/>
  <c r="Q287" i="2"/>
  <c r="N287" i="2"/>
  <c r="O287" i="2" s="1"/>
  <c r="K498" i="2"/>
  <c r="K497" i="2"/>
  <c r="Q286" i="2"/>
  <c r="N286" i="2"/>
  <c r="O286" i="2" s="1"/>
  <c r="K81" i="2"/>
  <c r="Q285" i="2"/>
  <c r="N285" i="2"/>
  <c r="O285" i="2" s="1"/>
  <c r="K80" i="2"/>
  <c r="Q284" i="2"/>
  <c r="N284" i="2"/>
  <c r="O284" i="2" s="1"/>
  <c r="K496" i="2"/>
  <c r="Q283" i="2"/>
  <c r="N283" i="2"/>
  <c r="O283" i="2" s="1"/>
  <c r="K495" i="2"/>
  <c r="Q282" i="2"/>
  <c r="N282" i="2"/>
  <c r="O282" i="2" s="1"/>
  <c r="K494" i="2"/>
  <c r="Q281" i="2"/>
  <c r="N281" i="2"/>
  <c r="O281" i="2" s="1"/>
  <c r="Q280" i="2"/>
  <c r="N280" i="2"/>
  <c r="O280" i="2" s="1"/>
  <c r="K493" i="2"/>
  <c r="Q279" i="2"/>
  <c r="N279" i="2"/>
  <c r="O279" i="2" s="1"/>
  <c r="K492" i="2"/>
  <c r="Q278" i="2"/>
  <c r="N278" i="2"/>
  <c r="O278" i="2" s="1"/>
  <c r="K491" i="2"/>
  <c r="Q277" i="2"/>
  <c r="N277" i="2"/>
  <c r="O277" i="2" s="1"/>
  <c r="K490" i="2"/>
  <c r="Q276" i="2"/>
  <c r="N276" i="2"/>
  <c r="O276" i="2" s="1"/>
  <c r="K489" i="2"/>
  <c r="Q275" i="2"/>
  <c r="N275" i="2"/>
  <c r="O275" i="2" s="1"/>
  <c r="K488" i="2"/>
  <c r="Q274" i="2"/>
  <c r="N274" i="2"/>
  <c r="O274" i="2" s="1"/>
  <c r="K487" i="2"/>
  <c r="Q273" i="2"/>
  <c r="N273" i="2"/>
  <c r="O273" i="2" s="1"/>
  <c r="K486" i="2"/>
  <c r="Q272" i="2"/>
  <c r="N272" i="2"/>
  <c r="O272" i="2" s="1"/>
  <c r="K79" i="2"/>
  <c r="Q271" i="2"/>
  <c r="N271" i="2"/>
  <c r="O271" i="2" s="1"/>
  <c r="K78" i="2"/>
  <c r="Q270" i="2"/>
  <c r="N270" i="2"/>
  <c r="O270" i="2" s="1"/>
  <c r="K485" i="2"/>
  <c r="Q269" i="2"/>
  <c r="N269" i="2"/>
  <c r="O269" i="2" s="1"/>
  <c r="K484" i="2"/>
  <c r="Q268" i="2"/>
  <c r="N268" i="2"/>
  <c r="O268" i="2" s="1"/>
  <c r="K483" i="2"/>
  <c r="Q267" i="2"/>
  <c r="N267" i="2"/>
  <c r="O267" i="2" s="1"/>
  <c r="K482" i="2"/>
  <c r="Q266" i="2"/>
  <c r="N266" i="2"/>
  <c r="O266" i="2" s="1"/>
  <c r="K481" i="2"/>
  <c r="Q265" i="2"/>
  <c r="N265" i="2"/>
  <c r="O265" i="2" s="1"/>
  <c r="K77" i="2"/>
  <c r="Q264" i="2"/>
  <c r="N264" i="2"/>
  <c r="O264" i="2" s="1"/>
  <c r="K480" i="2"/>
  <c r="Q263" i="2"/>
  <c r="N263" i="2"/>
  <c r="O263" i="2" s="1"/>
  <c r="K479" i="2"/>
  <c r="Q262" i="2"/>
  <c r="N262" i="2"/>
  <c r="O262" i="2" s="1"/>
  <c r="K76" i="2"/>
  <c r="Q261" i="2"/>
  <c r="N261" i="2"/>
  <c r="O261" i="2" s="1"/>
  <c r="K478" i="2"/>
  <c r="Q260" i="2"/>
  <c r="N260" i="2"/>
  <c r="O260" i="2" s="1"/>
  <c r="K477" i="2"/>
  <c r="Q259" i="2"/>
  <c r="N259" i="2"/>
  <c r="O259" i="2" s="1"/>
  <c r="K476" i="2"/>
  <c r="Q258" i="2"/>
  <c r="N258" i="2"/>
  <c r="O258" i="2" s="1"/>
  <c r="K475" i="2"/>
  <c r="Q257" i="2"/>
  <c r="N257" i="2"/>
  <c r="O257" i="2" s="1"/>
  <c r="K474" i="2"/>
  <c r="Q256" i="2"/>
  <c r="N256" i="2"/>
  <c r="O256" i="2" s="1"/>
  <c r="K473" i="2"/>
  <c r="Q255" i="2"/>
  <c r="N255" i="2"/>
  <c r="O255" i="2" s="1"/>
  <c r="K472" i="2"/>
  <c r="Q254" i="2"/>
  <c r="N254" i="2"/>
  <c r="O254" i="2" s="1"/>
  <c r="K471" i="2"/>
  <c r="Q253" i="2"/>
  <c r="N253" i="2"/>
  <c r="O253" i="2" s="1"/>
  <c r="K75" i="2"/>
  <c r="Q252" i="2"/>
  <c r="N252" i="2"/>
  <c r="O252" i="2" s="1"/>
  <c r="K470" i="2"/>
  <c r="Q251" i="2"/>
  <c r="N251" i="2"/>
  <c r="O251" i="2" s="1"/>
  <c r="K469" i="2"/>
  <c r="Q250" i="2"/>
  <c r="N250" i="2"/>
  <c r="O250" i="2" s="1"/>
  <c r="K468" i="2"/>
  <c r="Q249" i="2"/>
  <c r="N249" i="2"/>
  <c r="O249" i="2" s="1"/>
  <c r="K467" i="2"/>
  <c r="Q248" i="2"/>
  <c r="N248" i="2"/>
  <c r="O248" i="2" s="1"/>
  <c r="K466" i="2"/>
  <c r="Q247" i="2"/>
  <c r="N247" i="2"/>
  <c r="O247" i="2" s="1"/>
  <c r="K465" i="2"/>
  <c r="Q246" i="2"/>
  <c r="N246" i="2"/>
  <c r="O246" i="2" s="1"/>
  <c r="K464" i="2"/>
  <c r="Q245" i="2"/>
  <c r="N245" i="2"/>
  <c r="O245" i="2" s="1"/>
  <c r="Q244" i="2"/>
  <c r="N244" i="2"/>
  <c r="O244" i="2" s="1"/>
  <c r="Q243" i="2"/>
  <c r="N243" i="2"/>
  <c r="O243" i="2" s="1"/>
  <c r="Q242" i="2"/>
  <c r="N242" i="2"/>
  <c r="O242" i="2" s="1"/>
  <c r="K463" i="2"/>
  <c r="Q241" i="2"/>
  <c r="N241" i="2"/>
  <c r="O241" i="2" s="1"/>
  <c r="K462" i="2"/>
  <c r="Q240" i="2"/>
  <c r="N240" i="2"/>
  <c r="O240" i="2" s="1"/>
  <c r="K461" i="2"/>
  <c r="Q239" i="2"/>
  <c r="N239" i="2"/>
  <c r="O239" i="2" s="1"/>
  <c r="K460" i="2"/>
  <c r="Q238" i="2"/>
  <c r="N238" i="2"/>
  <c r="O238" i="2" s="1"/>
  <c r="Q237" i="2"/>
  <c r="N237" i="2"/>
  <c r="O237" i="2" s="1"/>
  <c r="K459" i="2"/>
  <c r="Q236" i="2"/>
  <c r="N236" i="2"/>
  <c r="O236" i="2" s="1"/>
  <c r="K458" i="2"/>
  <c r="Q235" i="2"/>
  <c r="N235" i="2"/>
  <c r="O235" i="2" s="1"/>
  <c r="K457" i="2"/>
  <c r="Q234" i="2"/>
  <c r="N234" i="2"/>
  <c r="O234" i="2" s="1"/>
  <c r="K456" i="2"/>
  <c r="Q233" i="2"/>
  <c r="N233" i="2"/>
  <c r="O233" i="2" s="1"/>
  <c r="K14" i="2"/>
  <c r="Q232" i="2"/>
  <c r="N232" i="2"/>
  <c r="O232" i="2" s="1"/>
  <c r="K13" i="2"/>
  <c r="Q231" i="2"/>
  <c r="N231" i="2"/>
  <c r="O231" i="2" s="1"/>
  <c r="K455" i="2"/>
  <c r="Q230" i="2"/>
  <c r="N230" i="2"/>
  <c r="O230" i="2" s="1"/>
  <c r="K74" i="2"/>
  <c r="Q229" i="2"/>
  <c r="N229" i="2"/>
  <c r="O229" i="2" s="1"/>
  <c r="K73" i="2"/>
  <c r="Q228" i="2"/>
  <c r="N228" i="2"/>
  <c r="O228" i="2" s="1"/>
  <c r="K72" i="2"/>
  <c r="Q227" i="2"/>
  <c r="N227" i="2"/>
  <c r="O227" i="2" s="1"/>
  <c r="K454" i="2"/>
  <c r="Q226" i="2"/>
  <c r="N226" i="2"/>
  <c r="O226" i="2" s="1"/>
  <c r="K71" i="2"/>
  <c r="Q225" i="2"/>
  <c r="N225" i="2"/>
  <c r="O225" i="2" s="1"/>
  <c r="K453" i="2"/>
  <c r="Q224" i="2"/>
  <c r="N224" i="2"/>
  <c r="O224" i="2" s="1"/>
  <c r="K452" i="2"/>
  <c r="Q223" i="2"/>
  <c r="N223" i="2"/>
  <c r="O223" i="2" s="1"/>
  <c r="K451" i="2"/>
  <c r="Q222" i="2"/>
  <c r="N222" i="2"/>
  <c r="O222" i="2" s="1"/>
  <c r="K450" i="2"/>
  <c r="Q221" i="2"/>
  <c r="N221" i="2"/>
  <c r="O221" i="2" s="1"/>
  <c r="K449" i="2"/>
  <c r="Q220" i="2"/>
  <c r="N220" i="2"/>
  <c r="O220" i="2" s="1"/>
  <c r="K448" i="2"/>
  <c r="Q219" i="2"/>
  <c r="N219" i="2"/>
  <c r="O219" i="2" s="1"/>
  <c r="K70" i="2"/>
  <c r="Q218" i="2"/>
  <c r="N218" i="2"/>
  <c r="O218" i="2" s="1"/>
  <c r="K12" i="2"/>
  <c r="Q217" i="2"/>
  <c r="N217" i="2"/>
  <c r="O217" i="2" s="1"/>
  <c r="K447" i="2"/>
  <c r="Q216" i="2"/>
  <c r="N216" i="2"/>
  <c r="O216" i="2" s="1"/>
  <c r="K446" i="2"/>
  <c r="Q215" i="2"/>
  <c r="N215" i="2"/>
  <c r="O215" i="2" s="1"/>
  <c r="K445" i="2"/>
  <c r="Q214" i="2"/>
  <c r="N214" i="2"/>
  <c r="O214" i="2" s="1"/>
  <c r="K11" i="2"/>
  <c r="Q213" i="2"/>
  <c r="N213" i="2"/>
  <c r="O213" i="2" s="1"/>
  <c r="K10" i="2"/>
  <c r="K444" i="2"/>
  <c r="Q212" i="2"/>
  <c r="N212" i="2"/>
  <c r="O212" i="2" s="1"/>
  <c r="K443" i="2"/>
  <c r="Q211" i="2"/>
  <c r="N211" i="2"/>
  <c r="O211" i="2" s="1"/>
  <c r="K442" i="2"/>
  <c r="Q210" i="2"/>
  <c r="N210" i="2"/>
  <c r="O210" i="2" s="1"/>
  <c r="K441" i="2"/>
  <c r="Q209" i="2"/>
  <c r="N209" i="2"/>
  <c r="O209" i="2" s="1"/>
  <c r="K440" i="2"/>
  <c r="Q208" i="2"/>
  <c r="N208" i="2"/>
  <c r="O208" i="2" s="1"/>
  <c r="K439" i="2"/>
  <c r="Q207" i="2"/>
  <c r="N207" i="2"/>
  <c r="O207" i="2" s="1"/>
  <c r="K69" i="2"/>
  <c r="Q206" i="2"/>
  <c r="N206" i="2"/>
  <c r="O206" i="2" s="1"/>
  <c r="K68" i="2"/>
  <c r="Q205" i="2"/>
  <c r="N205" i="2"/>
  <c r="O205" i="2" s="1"/>
  <c r="K67" i="2"/>
  <c r="Q204" i="2"/>
  <c r="N204" i="2"/>
  <c r="O204" i="2" s="1"/>
  <c r="K66" i="2"/>
  <c r="Q203" i="2"/>
  <c r="N203" i="2"/>
  <c r="O203" i="2" s="1"/>
  <c r="Q202" i="2"/>
  <c r="N202" i="2"/>
  <c r="O202" i="2" s="1"/>
  <c r="K438" i="2"/>
  <c r="Q201" i="2"/>
  <c r="N201" i="2"/>
  <c r="O201" i="2" s="1"/>
  <c r="K437" i="2"/>
  <c r="Q200" i="2"/>
  <c r="N200" i="2"/>
  <c r="O200" i="2" s="1"/>
  <c r="K436" i="2"/>
  <c r="Q199" i="2"/>
  <c r="N199" i="2"/>
  <c r="O199" i="2" s="1"/>
  <c r="K435" i="2"/>
  <c r="Q198" i="2"/>
  <c r="N198" i="2"/>
  <c r="O198" i="2" s="1"/>
  <c r="K434" i="2"/>
  <c r="Q197" i="2"/>
  <c r="N197" i="2"/>
  <c r="O197" i="2" s="1"/>
  <c r="K433" i="2"/>
  <c r="Q196" i="2"/>
  <c r="N196" i="2"/>
  <c r="O196" i="2" s="1"/>
  <c r="K432" i="2"/>
  <c r="Q195" i="2"/>
  <c r="N195" i="2"/>
  <c r="O195" i="2" s="1"/>
  <c r="K431" i="2"/>
  <c r="Q194" i="2"/>
  <c r="N194" i="2"/>
  <c r="O194" i="2" s="1"/>
  <c r="K430" i="2"/>
  <c r="Q193" i="2"/>
  <c r="N193" i="2"/>
  <c r="O193" i="2" s="1"/>
  <c r="K429" i="2"/>
  <c r="Q192" i="2"/>
  <c r="N192" i="2"/>
  <c r="O192" i="2" s="1"/>
  <c r="K428" i="2"/>
  <c r="Q191" i="2"/>
  <c r="N191" i="2"/>
  <c r="O191" i="2" s="1"/>
  <c r="K427" i="2"/>
  <c r="Q190" i="2"/>
  <c r="N190" i="2"/>
  <c r="O190" i="2" s="1"/>
  <c r="K426" i="2"/>
  <c r="Q189" i="2"/>
  <c r="N189" i="2"/>
  <c r="O189" i="2" s="1"/>
  <c r="K65" i="2"/>
  <c r="Q188" i="2"/>
  <c r="N188" i="2"/>
  <c r="O188" i="2" s="1"/>
  <c r="K425" i="2"/>
  <c r="Q187" i="2"/>
  <c r="N187" i="2"/>
  <c r="O187" i="2" s="1"/>
  <c r="K424" i="2"/>
  <c r="Q186" i="2"/>
  <c r="N186" i="2"/>
  <c r="O186" i="2" s="1"/>
  <c r="K423" i="2"/>
  <c r="Q185" i="2"/>
  <c r="N185" i="2"/>
  <c r="O185" i="2" s="1"/>
  <c r="K9" i="2"/>
  <c r="Q184" i="2"/>
  <c r="N184" i="2"/>
  <c r="O184" i="2" s="1"/>
  <c r="K8" i="2"/>
  <c r="Q183" i="2"/>
  <c r="N183" i="2"/>
  <c r="O183" i="2" s="1"/>
  <c r="K422" i="2"/>
  <c r="Q182" i="2"/>
  <c r="N182" i="2"/>
  <c r="O182" i="2" s="1"/>
  <c r="K421" i="2"/>
  <c r="Q181" i="2"/>
  <c r="N181" i="2"/>
  <c r="O181" i="2" s="1"/>
  <c r="K420" i="2"/>
  <c r="Q180" i="2"/>
  <c r="N180" i="2"/>
  <c r="O180" i="2" s="1"/>
  <c r="K419" i="2"/>
  <c r="Q179" i="2"/>
  <c r="N179" i="2"/>
  <c r="O179" i="2" s="1"/>
  <c r="K418" i="2"/>
  <c r="Q178" i="2"/>
  <c r="N178" i="2"/>
  <c r="O178" i="2" s="1"/>
  <c r="K417" i="2"/>
  <c r="Q177" i="2"/>
  <c r="N177" i="2"/>
  <c r="O177" i="2" s="1"/>
  <c r="K64" i="2"/>
  <c r="Q176" i="2"/>
  <c r="N176" i="2"/>
  <c r="O176" i="2" s="1"/>
  <c r="K63" i="2"/>
  <c r="Q175" i="2"/>
  <c r="N175" i="2"/>
  <c r="O175" i="2" s="1"/>
  <c r="K62" i="2"/>
  <c r="Q174" i="2"/>
  <c r="N174" i="2"/>
  <c r="O174" i="2" s="1"/>
  <c r="K61" i="2"/>
  <c r="Q173" i="2"/>
  <c r="N173" i="2"/>
  <c r="O173" i="2" s="1"/>
  <c r="K416" i="2"/>
  <c r="Q172" i="2"/>
  <c r="N172" i="2"/>
  <c r="O172" i="2" s="1"/>
  <c r="K415" i="2"/>
  <c r="Q171" i="2"/>
  <c r="N171" i="2"/>
  <c r="O171" i="2" s="1"/>
  <c r="K414" i="2"/>
  <c r="Q170" i="2"/>
  <c r="N170" i="2"/>
  <c r="O170" i="2" s="1"/>
  <c r="K413" i="2"/>
  <c r="Q169" i="2"/>
  <c r="N169" i="2"/>
  <c r="O169" i="2" s="1"/>
  <c r="K412" i="2"/>
  <c r="Q168" i="2"/>
  <c r="N168" i="2"/>
  <c r="O168" i="2" s="1"/>
  <c r="K60" i="2"/>
  <c r="Q167" i="2"/>
  <c r="N167" i="2"/>
  <c r="O167" i="2" s="1"/>
  <c r="K411" i="2"/>
  <c r="Q166" i="2"/>
  <c r="N166" i="2"/>
  <c r="O166" i="2" s="1"/>
  <c r="K410" i="2"/>
  <c r="Q165" i="2"/>
  <c r="N165" i="2"/>
  <c r="O165" i="2" s="1"/>
  <c r="K409" i="2"/>
  <c r="Q164" i="2"/>
  <c r="N164" i="2"/>
  <c r="O164" i="2" s="1"/>
  <c r="K59" i="2"/>
  <c r="Q163" i="2"/>
  <c r="N163" i="2"/>
  <c r="O163" i="2" s="1"/>
  <c r="K408" i="2"/>
  <c r="Q162" i="2"/>
  <c r="N162" i="2"/>
  <c r="O162" i="2" s="1"/>
  <c r="K407" i="2"/>
  <c r="Q161" i="2"/>
  <c r="N161" i="2"/>
  <c r="O161" i="2" s="1"/>
  <c r="K406" i="2"/>
  <c r="Q160" i="2"/>
  <c r="N160" i="2"/>
  <c r="O160" i="2" s="1"/>
  <c r="K405" i="2"/>
  <c r="Q159" i="2"/>
  <c r="N159" i="2"/>
  <c r="O159" i="2" s="1"/>
  <c r="K404" i="2"/>
  <c r="Q158" i="2"/>
  <c r="N158" i="2"/>
  <c r="O158" i="2" s="1"/>
  <c r="K403" i="2"/>
  <c r="Q157" i="2"/>
  <c r="N157" i="2"/>
  <c r="O157" i="2" s="1"/>
  <c r="K402" i="2"/>
  <c r="Q156" i="2"/>
  <c r="N156" i="2"/>
  <c r="O156" i="2" s="1"/>
  <c r="K401" i="2"/>
  <c r="Q155" i="2"/>
  <c r="N155" i="2"/>
  <c r="O155" i="2" s="1"/>
  <c r="K400" i="2"/>
  <c r="Q154" i="2"/>
  <c r="N154" i="2"/>
  <c r="O154" i="2" s="1"/>
  <c r="K399" i="2"/>
  <c r="Q153" i="2"/>
  <c r="N153" i="2"/>
  <c r="O153" i="2" s="1"/>
  <c r="K398" i="2"/>
  <c r="Q152" i="2"/>
  <c r="N152" i="2"/>
  <c r="O152" i="2" s="1"/>
  <c r="K397" i="2"/>
  <c r="Q151" i="2"/>
  <c r="N151" i="2"/>
  <c r="O151" i="2" s="1"/>
  <c r="K396" i="2"/>
  <c r="Q150" i="2"/>
  <c r="N150" i="2"/>
  <c r="O150" i="2" s="1"/>
  <c r="K395" i="2"/>
  <c r="Q149" i="2"/>
  <c r="N149" i="2"/>
  <c r="O149" i="2" s="1"/>
  <c r="K394" i="2"/>
  <c r="Q148" i="2"/>
  <c r="N148" i="2"/>
  <c r="O148" i="2" s="1"/>
  <c r="K58" i="2"/>
  <c r="Q147" i="2"/>
  <c r="N147" i="2"/>
  <c r="O147" i="2" s="1"/>
  <c r="K393" i="2"/>
  <c r="Q146" i="2"/>
  <c r="N146" i="2"/>
  <c r="O146" i="2" s="1"/>
  <c r="K392" i="2"/>
  <c r="Q145" i="2"/>
  <c r="N145" i="2"/>
  <c r="O145" i="2" s="1"/>
  <c r="K391" i="2"/>
  <c r="Q144" i="2"/>
  <c r="N144" i="2"/>
  <c r="O144" i="2" s="1"/>
  <c r="K57" i="2"/>
  <c r="Q143" i="2"/>
  <c r="N143" i="2"/>
  <c r="O143" i="2" s="1"/>
  <c r="K390" i="2"/>
  <c r="Q142" i="2"/>
  <c r="N142" i="2"/>
  <c r="O142" i="2" s="1"/>
  <c r="K389" i="2"/>
  <c r="Q141" i="2"/>
  <c r="N141" i="2"/>
  <c r="O141" i="2" s="1"/>
  <c r="K388" i="2"/>
  <c r="Q140" i="2"/>
  <c r="N140" i="2"/>
  <c r="O140" i="2" s="1"/>
  <c r="K387" i="2"/>
  <c r="Q139" i="2"/>
  <c r="N139" i="2"/>
  <c r="O139" i="2" s="1"/>
  <c r="K56" i="2"/>
  <c r="Q138" i="2"/>
  <c r="N138" i="2"/>
  <c r="O138" i="2" s="1"/>
  <c r="K386" i="2"/>
  <c r="Q137" i="2"/>
  <c r="N137" i="2"/>
  <c r="O137" i="2" s="1"/>
  <c r="K385" i="2"/>
  <c r="Q136" i="2"/>
  <c r="N136" i="2"/>
  <c r="O136" i="2" s="1"/>
  <c r="K384" i="2"/>
  <c r="Q135" i="2"/>
  <c r="N135" i="2"/>
  <c r="O135" i="2" s="1"/>
  <c r="K383" i="2"/>
  <c r="Q134" i="2"/>
  <c r="N134" i="2"/>
  <c r="O134" i="2" s="1"/>
  <c r="K382" i="2"/>
  <c r="Q133" i="2"/>
  <c r="N133" i="2"/>
  <c r="O133" i="2" s="1"/>
  <c r="K381" i="2"/>
  <c r="Q132" i="2"/>
  <c r="N132" i="2"/>
  <c r="O132" i="2" s="1"/>
  <c r="K380" i="2"/>
  <c r="Q131" i="2"/>
  <c r="N131" i="2"/>
  <c r="O131" i="2" s="1"/>
  <c r="K379" i="2"/>
  <c r="Q130" i="2"/>
  <c r="N130" i="2"/>
  <c r="O130" i="2" s="1"/>
  <c r="K378" i="2"/>
  <c r="Q129" i="2"/>
  <c r="N129" i="2"/>
  <c r="O129" i="2" s="1"/>
  <c r="K377" i="2"/>
  <c r="Q128" i="2"/>
  <c r="N128" i="2"/>
  <c r="O128" i="2" s="1"/>
  <c r="K376" i="2"/>
  <c r="Q127" i="2"/>
  <c r="N127" i="2"/>
  <c r="O127" i="2" s="1"/>
  <c r="K375" i="2"/>
  <c r="Q126" i="2"/>
  <c r="N126" i="2"/>
  <c r="O126" i="2" s="1"/>
  <c r="K55" i="2"/>
  <c r="Q125" i="2"/>
  <c r="N125" i="2"/>
  <c r="O125" i="2" s="1"/>
  <c r="K54" i="2"/>
  <c r="Q124" i="2"/>
  <c r="N124" i="2"/>
  <c r="O124" i="2" s="1"/>
  <c r="K53" i="2"/>
  <c r="Q123" i="2"/>
  <c r="N123" i="2"/>
  <c r="O123" i="2" s="1"/>
  <c r="K374" i="2"/>
  <c r="Q122" i="2"/>
  <c r="N122" i="2"/>
  <c r="O122" i="2" s="1"/>
  <c r="K373" i="2"/>
  <c r="Q121" i="2"/>
  <c r="N121" i="2"/>
  <c r="O121" i="2" s="1"/>
  <c r="K372" i="2"/>
  <c r="Q120" i="2"/>
  <c r="N120" i="2"/>
  <c r="O120" i="2" s="1"/>
  <c r="K371" i="2"/>
  <c r="Q119" i="2"/>
  <c r="N119" i="2"/>
  <c r="O119" i="2" s="1"/>
  <c r="K370" i="2"/>
  <c r="Q118" i="2"/>
  <c r="N118" i="2"/>
  <c r="O118" i="2" s="1"/>
  <c r="K369" i="2"/>
  <c r="Q117" i="2"/>
  <c r="N117" i="2"/>
  <c r="O117" i="2" s="1"/>
  <c r="K52" i="2"/>
  <c r="Q116" i="2"/>
  <c r="N116" i="2"/>
  <c r="O116" i="2" s="1"/>
  <c r="K368" i="2"/>
  <c r="Q115" i="2"/>
  <c r="N115" i="2"/>
  <c r="O115" i="2" s="1"/>
  <c r="K367" i="2"/>
  <c r="Q114" i="2"/>
  <c r="N114" i="2"/>
  <c r="O114" i="2" s="1"/>
  <c r="K366" i="2"/>
  <c r="Q113" i="2"/>
  <c r="N113" i="2"/>
  <c r="O113" i="2" s="1"/>
  <c r="K365" i="2"/>
  <c r="Q112" i="2"/>
  <c r="N112" i="2"/>
  <c r="O112" i="2" s="1"/>
  <c r="K364" i="2"/>
  <c r="Q111" i="2"/>
  <c r="N111" i="2"/>
  <c r="O111" i="2" s="1"/>
  <c r="K363" i="2"/>
  <c r="Q110" i="2"/>
  <c r="N110" i="2"/>
  <c r="O110" i="2" s="1"/>
  <c r="K51" i="2"/>
  <c r="Q109" i="2"/>
  <c r="N109" i="2"/>
  <c r="O109" i="2" s="1"/>
  <c r="K362" i="2"/>
  <c r="Q108" i="2"/>
  <c r="N108" i="2"/>
  <c r="O108" i="2" s="1"/>
  <c r="K361" i="2"/>
  <c r="Q107" i="2"/>
  <c r="N107" i="2"/>
  <c r="O107" i="2" s="1"/>
  <c r="Q106" i="2"/>
  <c r="N106" i="2"/>
  <c r="O106" i="2" s="1"/>
  <c r="K360" i="2"/>
  <c r="Q105" i="2"/>
  <c r="N105" i="2"/>
  <c r="O105" i="2" s="1"/>
  <c r="K359" i="2"/>
  <c r="Q104" i="2"/>
  <c r="N104" i="2"/>
  <c r="O104" i="2" s="1"/>
  <c r="K358" i="2"/>
  <c r="Q103" i="2"/>
  <c r="N103" i="2"/>
  <c r="O103" i="2" s="1"/>
  <c r="K7" i="2"/>
  <c r="Q102" i="2"/>
  <c r="N102" i="2"/>
  <c r="O102" i="2" s="1"/>
  <c r="K50" i="2"/>
  <c r="Q101" i="2"/>
  <c r="N101" i="2"/>
  <c r="O101" i="2" s="1"/>
  <c r="K357" i="2"/>
  <c r="Q100" i="2"/>
  <c r="N100" i="2"/>
  <c r="O100" i="2" s="1"/>
  <c r="K356" i="2"/>
  <c r="Q99" i="2"/>
  <c r="N99" i="2"/>
  <c r="O99" i="2" s="1"/>
  <c r="K355" i="2"/>
  <c r="Q98" i="2"/>
  <c r="N98" i="2"/>
  <c r="O98" i="2" s="1"/>
  <c r="K354" i="2"/>
  <c r="Q97" i="2"/>
  <c r="N97" i="2"/>
  <c r="O97" i="2" s="1"/>
  <c r="K353" i="2"/>
  <c r="Q96" i="2"/>
  <c r="N96" i="2"/>
  <c r="O96" i="2" s="1"/>
  <c r="K352" i="2"/>
  <c r="Q95" i="2"/>
  <c r="N95" i="2"/>
  <c r="O95" i="2" s="1"/>
  <c r="K351" i="2"/>
  <c r="Q94" i="2"/>
  <c r="N94" i="2"/>
  <c r="O94" i="2" s="1"/>
  <c r="K350" i="2"/>
  <c r="Q93" i="2"/>
  <c r="N93" i="2"/>
  <c r="O93" i="2" s="1"/>
  <c r="K349" i="2"/>
  <c r="Q92" i="2"/>
  <c r="N92" i="2"/>
  <c r="O92" i="2" s="1"/>
  <c r="K348" i="2"/>
  <c r="Q91" i="2"/>
  <c r="N91" i="2"/>
  <c r="O91" i="2" s="1"/>
  <c r="K347" i="2"/>
  <c r="Q90" i="2"/>
  <c r="N90" i="2"/>
  <c r="O90" i="2" s="1"/>
  <c r="K346" i="2"/>
  <c r="Q89" i="2"/>
  <c r="N89" i="2"/>
  <c r="O89" i="2" s="1"/>
  <c r="K345" i="2"/>
  <c r="Q88" i="2"/>
  <c r="N88" i="2"/>
  <c r="O88" i="2" s="1"/>
  <c r="K344" i="2"/>
  <c r="Q87" i="2"/>
  <c r="N87" i="2"/>
  <c r="O87" i="2" s="1"/>
  <c r="K343" i="2"/>
  <c r="Q86" i="2"/>
  <c r="N86" i="2"/>
  <c r="O86" i="2" s="1"/>
  <c r="K342" i="2"/>
  <c r="Q85" i="2"/>
  <c r="N85" i="2"/>
  <c r="O85" i="2" s="1"/>
  <c r="K341" i="2"/>
  <c r="Q84" i="2"/>
  <c r="N84" i="2"/>
  <c r="O84" i="2" s="1"/>
  <c r="K340" i="2"/>
  <c r="Q83" i="2"/>
  <c r="N83" i="2"/>
  <c r="O83" i="2" s="1"/>
  <c r="Q82" i="2"/>
  <c r="N82" i="2"/>
  <c r="O82" i="2" s="1"/>
  <c r="K339" i="2"/>
  <c r="Q81" i="2"/>
  <c r="N81" i="2"/>
  <c r="O81" i="2" s="1"/>
  <c r="K338" i="2"/>
  <c r="Q80" i="2"/>
  <c r="N80" i="2"/>
  <c r="O80" i="2" s="1"/>
  <c r="K49" i="2"/>
  <c r="Q79" i="2"/>
  <c r="N79" i="2"/>
  <c r="O79" i="2" s="1"/>
  <c r="K337" i="2"/>
  <c r="Q78" i="2"/>
  <c r="N78" i="2"/>
  <c r="O78" i="2" s="1"/>
  <c r="K336" i="2"/>
  <c r="Q77" i="2"/>
  <c r="N77" i="2"/>
  <c r="O77" i="2" s="1"/>
  <c r="K48" i="2"/>
  <c r="Q76" i="2"/>
  <c r="N76" i="2"/>
  <c r="O76" i="2" s="1"/>
  <c r="K335" i="2"/>
  <c r="Q75" i="2"/>
  <c r="N75" i="2"/>
  <c r="O75" i="2" s="1"/>
  <c r="K334" i="2"/>
  <c r="Q74" i="2"/>
  <c r="N74" i="2"/>
  <c r="O74" i="2" s="1"/>
  <c r="K47" i="2"/>
  <c r="Q73" i="2"/>
  <c r="N73" i="2"/>
  <c r="O73" i="2" s="1"/>
  <c r="K46" i="2"/>
  <c r="Q72" i="2"/>
  <c r="N72" i="2"/>
  <c r="O72" i="2" s="1"/>
  <c r="K333" i="2"/>
  <c r="Q71" i="2"/>
  <c r="N71" i="2"/>
  <c r="O71" i="2" s="1"/>
  <c r="K332" i="2"/>
  <c r="Q70" i="2"/>
  <c r="N70" i="2"/>
  <c r="O70" i="2" s="1"/>
  <c r="K331" i="2"/>
  <c r="Q69" i="2"/>
  <c r="N69" i="2"/>
  <c r="O69" i="2" s="1"/>
  <c r="K330" i="2"/>
  <c r="Q68" i="2"/>
  <c r="N68" i="2"/>
  <c r="O68" i="2" s="1"/>
  <c r="K329" i="2"/>
  <c r="Q67" i="2"/>
  <c r="N67" i="2"/>
  <c r="O67" i="2" s="1"/>
  <c r="K328" i="2"/>
  <c r="Q66" i="2"/>
  <c r="N66" i="2"/>
  <c r="O66" i="2" s="1"/>
  <c r="K327" i="2"/>
  <c r="Q65" i="2"/>
  <c r="N65" i="2"/>
  <c r="O65" i="2" s="1"/>
  <c r="K326" i="2"/>
  <c r="Q64" i="2"/>
  <c r="N64" i="2"/>
  <c r="O64" i="2" s="1"/>
  <c r="K325" i="2"/>
  <c r="Q63" i="2"/>
  <c r="N63" i="2"/>
  <c r="O63" i="2" s="1"/>
  <c r="K324" i="2"/>
  <c r="Q62" i="2"/>
  <c r="N62" i="2"/>
  <c r="O62" i="2" s="1"/>
  <c r="K323" i="2"/>
  <c r="Q61" i="2"/>
  <c r="N61" i="2"/>
  <c r="O61" i="2" s="1"/>
  <c r="K322" i="2"/>
  <c r="Q60" i="2"/>
  <c r="N60" i="2"/>
  <c r="O60" i="2" s="1"/>
  <c r="K321" i="2"/>
  <c r="Q59" i="2"/>
  <c r="N59" i="2"/>
  <c r="O59" i="2" s="1"/>
  <c r="K320" i="2"/>
  <c r="Q58" i="2"/>
  <c r="N58" i="2"/>
  <c r="O58" i="2" s="1"/>
  <c r="K319" i="2"/>
  <c r="Q57" i="2"/>
  <c r="N57" i="2"/>
  <c r="O57" i="2" s="1"/>
  <c r="K318" i="2"/>
  <c r="Q56" i="2"/>
  <c r="N56" i="2"/>
  <c r="O56" i="2" s="1"/>
  <c r="K317" i="2"/>
  <c r="Q55" i="2"/>
  <c r="N55" i="2"/>
  <c r="O55" i="2" s="1"/>
  <c r="K316" i="2"/>
  <c r="Q54" i="2"/>
  <c r="N54" i="2"/>
  <c r="O54" i="2" s="1"/>
  <c r="K315" i="2"/>
  <c r="Q53" i="2"/>
  <c r="N53" i="2"/>
  <c r="O53" i="2" s="1"/>
  <c r="K314" i="2"/>
  <c r="Q52" i="2"/>
  <c r="N52" i="2"/>
  <c r="O52" i="2" s="1"/>
  <c r="K313" i="2"/>
  <c r="Q51" i="2"/>
  <c r="N51" i="2"/>
  <c r="O51" i="2" s="1"/>
  <c r="K312" i="2"/>
  <c r="Q50" i="2"/>
  <c r="N50" i="2"/>
  <c r="O50" i="2" s="1"/>
  <c r="K311" i="2"/>
  <c r="Q49" i="2"/>
  <c r="N49" i="2"/>
  <c r="O49" i="2" s="1"/>
  <c r="K310" i="2"/>
  <c r="Q48" i="2"/>
  <c r="N48" i="2"/>
  <c r="O48" i="2" s="1"/>
  <c r="K309" i="2"/>
  <c r="Q47" i="2"/>
  <c r="N47" i="2"/>
  <c r="O47" i="2" s="1"/>
  <c r="K45" i="2"/>
  <c r="Q46" i="2"/>
  <c r="N46" i="2"/>
  <c r="O46" i="2" s="1"/>
  <c r="K308" i="2"/>
  <c r="Q45" i="2"/>
  <c r="N45" i="2"/>
  <c r="O45" i="2" s="1"/>
  <c r="K307" i="2"/>
  <c r="Q44" i="2"/>
  <c r="N44" i="2"/>
  <c r="O44" i="2" s="1"/>
  <c r="K306" i="2"/>
  <c r="Q43" i="2"/>
  <c r="N43" i="2"/>
  <c r="O43" i="2" s="1"/>
  <c r="K305" i="2"/>
  <c r="Q42" i="2"/>
  <c r="N42" i="2"/>
  <c r="O42" i="2" s="1"/>
  <c r="K304" i="2"/>
  <c r="Q41" i="2"/>
  <c r="N41" i="2"/>
  <c r="O41" i="2" s="1"/>
  <c r="K303" i="2"/>
  <c r="Q40" i="2"/>
  <c r="N40" i="2"/>
  <c r="O40" i="2" s="1"/>
  <c r="K302" i="2"/>
  <c r="Q39" i="2"/>
  <c r="N39" i="2"/>
  <c r="O39" i="2" s="1"/>
  <c r="K301" i="2"/>
  <c r="Q38" i="2"/>
  <c r="N38" i="2"/>
  <c r="O38" i="2" s="1"/>
  <c r="K300" i="2"/>
  <c r="Q37" i="2"/>
  <c r="N37" i="2"/>
  <c r="O37" i="2" s="1"/>
  <c r="K299" i="2"/>
  <c r="Q36" i="2"/>
  <c r="N36" i="2"/>
  <c r="O36" i="2" s="1"/>
  <c r="K298" i="2"/>
  <c r="Q35" i="2"/>
  <c r="N35" i="2"/>
  <c r="O35" i="2" s="1"/>
  <c r="K297" i="2"/>
  <c r="Q34" i="2"/>
  <c r="N34" i="2"/>
  <c r="O34" i="2" s="1"/>
  <c r="K296" i="2"/>
  <c r="Q33" i="2"/>
  <c r="N33" i="2"/>
  <c r="O33" i="2" s="1"/>
  <c r="K295" i="2"/>
  <c r="Q32" i="2"/>
  <c r="N32" i="2"/>
  <c r="O32" i="2" s="1"/>
  <c r="K294" i="2"/>
  <c r="Q31" i="2"/>
  <c r="N31" i="2"/>
  <c r="O31" i="2" s="1"/>
  <c r="K293" i="2"/>
  <c r="Q30" i="2"/>
  <c r="N30" i="2"/>
  <c r="O30" i="2" s="1"/>
  <c r="K292" i="2"/>
  <c r="Q29" i="2"/>
  <c r="N29" i="2"/>
  <c r="O29" i="2" s="1"/>
  <c r="K291" i="2"/>
  <c r="Q28" i="2"/>
  <c r="N28" i="2"/>
  <c r="O28" i="2" s="1"/>
  <c r="K290" i="2"/>
  <c r="Q27" i="2"/>
  <c r="N27" i="2"/>
  <c r="O27" i="2" s="1"/>
  <c r="K289" i="2"/>
  <c r="Q26" i="2"/>
  <c r="N26" i="2"/>
  <c r="O26" i="2" s="1"/>
  <c r="K288" i="2"/>
  <c r="Q25" i="2"/>
  <c r="N25" i="2"/>
  <c r="O25" i="2" s="1"/>
  <c r="K287" i="2"/>
  <c r="Q24" i="2"/>
  <c r="N24" i="2"/>
  <c r="O24" i="2" s="1"/>
  <c r="Q23" i="2"/>
  <c r="N23" i="2"/>
  <c r="O23" i="2" s="1"/>
  <c r="K286" i="2"/>
  <c r="Q22" i="2"/>
  <c r="N22" i="2"/>
  <c r="O22" i="2" s="1"/>
  <c r="K285" i="2"/>
  <c r="Q21" i="2"/>
  <c r="N21" i="2"/>
  <c r="O21" i="2" s="1"/>
  <c r="K44" i="2"/>
  <c r="Q20" i="2"/>
  <c r="N20" i="2"/>
  <c r="O20" i="2" s="1"/>
  <c r="K43" i="2"/>
  <c r="Q19" i="2"/>
  <c r="N19" i="2"/>
  <c r="O19" i="2" s="1"/>
  <c r="K42" i="2"/>
  <c r="Q18" i="2"/>
  <c r="N18" i="2"/>
  <c r="O18" i="2" s="1"/>
  <c r="K41" i="2"/>
  <c r="Q17" i="2"/>
  <c r="N17" i="2"/>
  <c r="O17" i="2" s="1"/>
  <c r="K6" i="2"/>
  <c r="Q16" i="2"/>
  <c r="N16" i="2"/>
  <c r="O16" i="2" s="1"/>
  <c r="K284" i="2"/>
  <c r="Q15" i="2"/>
  <c r="N15" i="2"/>
  <c r="O15" i="2" s="1"/>
  <c r="K40" i="2"/>
  <c r="Q14" i="2"/>
  <c r="N14" i="2"/>
  <c r="O14" i="2" s="1"/>
  <c r="K283" i="2"/>
  <c r="Q13" i="2"/>
  <c r="N13" i="2"/>
  <c r="O13" i="2" s="1"/>
  <c r="K282" i="2"/>
  <c r="Q12" i="2"/>
  <c r="N12" i="2"/>
  <c r="O12" i="2" s="1"/>
  <c r="K281" i="2"/>
  <c r="Q11" i="2"/>
  <c r="N11" i="2"/>
  <c r="O11" i="2" s="1"/>
  <c r="K280" i="2"/>
  <c r="Q10" i="2"/>
  <c r="N10" i="2"/>
  <c r="O10" i="2" s="1"/>
  <c r="K279" i="2"/>
  <c r="Q9" i="2"/>
  <c r="N9" i="2"/>
  <c r="O9" i="2" s="1"/>
  <c r="K278" i="2"/>
  <c r="Q8" i="2"/>
  <c r="N8" i="2"/>
  <c r="O8" i="2" s="1"/>
  <c r="K277" i="2"/>
  <c r="Q7" i="2"/>
  <c r="N7" i="2"/>
  <c r="O7" i="2" s="1"/>
  <c r="K276" i="2"/>
  <c r="Q6" i="2"/>
  <c r="N6" i="2"/>
  <c r="O6" i="2" s="1"/>
  <c r="K275" i="2"/>
  <c r="Q5" i="2"/>
  <c r="N5" i="2"/>
  <c r="O5" i="2" s="1"/>
  <c r="K39" i="2"/>
  <c r="Q4" i="2"/>
  <c r="N4" i="2"/>
  <c r="O4" i="2" s="1"/>
  <c r="K38" i="2"/>
  <c r="Q3" i="2"/>
  <c r="O3" i="2"/>
  <c r="K37" i="2"/>
  <c r="S253" i="2" l="1"/>
  <c r="S266" i="2"/>
  <c r="S1526" i="2"/>
  <c r="S1541" i="2"/>
  <c r="S857" i="2"/>
  <c r="S125" i="2"/>
  <c r="S1169" i="2"/>
  <c r="S825" i="2"/>
  <c r="S993" i="2"/>
  <c r="S814" i="2"/>
  <c r="S841" i="2"/>
  <c r="S958" i="2"/>
  <c r="S1055" i="2"/>
  <c r="L2" i="2"/>
  <c r="Q2" i="2"/>
  <c r="S748" i="2"/>
  <c r="S688" i="2"/>
  <c r="S716" i="2"/>
  <c r="S454" i="2"/>
  <c r="S911" i="2"/>
  <c r="S1363" i="2"/>
  <c r="S1475" i="2"/>
  <c r="S189" i="2"/>
  <c r="S608" i="2"/>
  <c r="S329" i="2"/>
  <c r="S250" i="2"/>
  <c r="S466" i="2"/>
  <c r="S785" i="2"/>
  <c r="S974" i="2"/>
  <c r="S1052" i="2"/>
  <c r="S719" i="2"/>
  <c r="S1523" i="2"/>
  <c r="S815" i="2"/>
  <c r="S847" i="2"/>
  <c r="S1507" i="2"/>
  <c r="S1494" i="2"/>
  <c r="S387" i="2"/>
  <c r="S1333" i="2"/>
  <c r="S149" i="2"/>
  <c r="S173" i="2"/>
  <c r="S417" i="2"/>
  <c r="S865" i="2"/>
  <c r="S917" i="2"/>
  <c r="S1007" i="2"/>
  <c r="S1477" i="2"/>
  <c r="S1554" i="2"/>
  <c r="S237" i="2"/>
  <c r="S135" i="2"/>
  <c r="S593" i="2"/>
  <c r="S779" i="2"/>
  <c r="S1257" i="2"/>
  <c r="S1273" i="2"/>
  <c r="S52" i="2"/>
  <c r="S84" i="2"/>
  <c r="S116" i="2"/>
  <c r="S263" i="2"/>
  <c r="S271" i="2"/>
  <c r="S388" i="2"/>
  <c r="S451" i="2"/>
  <c r="S828" i="2"/>
  <c r="S860" i="2"/>
  <c r="S1004" i="2"/>
  <c r="S1344" i="2"/>
  <c r="S1472" i="2"/>
  <c r="S1504" i="2"/>
  <c r="S1193" i="2"/>
  <c r="S577" i="2"/>
  <c r="S48" i="2"/>
  <c r="S877" i="2"/>
  <c r="S1272" i="2"/>
  <c r="S1205" i="2"/>
  <c r="S99" i="2"/>
  <c r="S115" i="2"/>
  <c r="S238" i="2"/>
  <c r="S915" i="2"/>
  <c r="S1086" i="2"/>
  <c r="S161" i="2"/>
  <c r="S224" i="2"/>
  <c r="S1613" i="2"/>
  <c r="S1434" i="2"/>
  <c r="S1527" i="2"/>
  <c r="S1392" i="2"/>
  <c r="S1456" i="2"/>
  <c r="S901" i="2"/>
  <c r="S921" i="2"/>
  <c r="S965" i="2"/>
  <c r="S1123" i="2"/>
  <c r="S1139" i="2"/>
  <c r="S1184" i="2"/>
  <c r="S1310" i="2"/>
  <c r="S1341" i="2"/>
  <c r="S269" i="2"/>
  <c r="S285" i="2"/>
  <c r="S441" i="2"/>
  <c r="S457" i="2"/>
  <c r="S485" i="2"/>
  <c r="S500" i="2"/>
  <c r="S580" i="2"/>
  <c r="S596" i="2"/>
  <c r="S627" i="2"/>
  <c r="S643" i="2"/>
  <c r="S675" i="2"/>
  <c r="S850" i="2"/>
  <c r="S898" i="2"/>
  <c r="S914" i="2"/>
  <c r="S950" i="2"/>
  <c r="S966" i="2"/>
  <c r="S1088" i="2"/>
  <c r="S1104" i="2"/>
  <c r="S1120" i="2"/>
  <c r="S1136" i="2"/>
  <c r="S1140" i="2"/>
  <c r="S1166" i="2"/>
  <c r="S1181" i="2"/>
  <c r="S783" i="2"/>
  <c r="S1239" i="2"/>
  <c r="S1275" i="2"/>
  <c r="S842" i="2"/>
  <c r="S163" i="2"/>
  <c r="S352" i="2"/>
  <c r="S367" i="2"/>
  <c r="S680" i="2"/>
  <c r="S775" i="2"/>
  <c r="S1419" i="2"/>
  <c r="S1435" i="2"/>
  <c r="S1471" i="2"/>
  <c r="S1531" i="2"/>
  <c r="S1546" i="2"/>
  <c r="S1598" i="2"/>
  <c r="S684" i="2"/>
  <c r="S247" i="2"/>
  <c r="S436" i="2"/>
  <c r="S323" i="2"/>
  <c r="S433" i="2"/>
  <c r="S861" i="2"/>
  <c r="S699" i="2"/>
  <c r="S44" i="2"/>
  <c r="S112" i="2"/>
  <c r="S1400" i="2"/>
  <c r="S1416" i="2"/>
  <c r="S1432" i="2"/>
  <c r="S1480" i="2"/>
  <c r="S1528" i="2"/>
  <c r="S1544" i="2"/>
  <c r="S1559" i="2"/>
  <c r="S1379" i="2"/>
  <c r="S895" i="2"/>
  <c r="S1114" i="2"/>
  <c r="S3" i="2"/>
  <c r="S468" i="2"/>
  <c r="S563" i="2"/>
  <c r="S1288" i="2"/>
  <c r="S1302" i="2"/>
  <c r="S1365" i="2"/>
  <c r="S1413" i="2"/>
  <c r="S1429" i="2"/>
  <c r="S1493" i="2"/>
  <c r="S1556" i="2"/>
  <c r="S1398" i="2"/>
  <c r="S574" i="2"/>
  <c r="S780" i="2"/>
  <c r="S1285" i="2"/>
  <c r="S1299" i="2"/>
  <c r="S1315" i="2"/>
  <c r="S1330" i="2"/>
  <c r="S1346" i="2"/>
  <c r="S1564" i="2"/>
  <c r="S1395" i="2"/>
  <c r="S100" i="2"/>
  <c r="S1117" i="2"/>
  <c r="S326" i="2"/>
  <c r="S845" i="2"/>
  <c r="S1051" i="2"/>
  <c r="S71" i="2"/>
  <c r="S903" i="2"/>
  <c r="S1061" i="2"/>
  <c r="S1077" i="2"/>
  <c r="S1081" i="2"/>
  <c r="S1125" i="2"/>
  <c r="S1156" i="2"/>
  <c r="S1282" i="2"/>
  <c r="S1327" i="2"/>
  <c r="S715" i="2"/>
  <c r="S192" i="2"/>
  <c r="S208" i="2"/>
  <c r="S212" i="2"/>
  <c r="S396" i="2"/>
  <c r="S416" i="2"/>
  <c r="S428" i="2"/>
  <c r="S518" i="2"/>
  <c r="S522" i="2"/>
  <c r="S534" i="2"/>
  <c r="S550" i="2"/>
  <c r="S613" i="2"/>
  <c r="S788" i="2"/>
  <c r="S868" i="2"/>
  <c r="S1000" i="2"/>
  <c r="S1010" i="2"/>
  <c r="S1058" i="2"/>
  <c r="S1078" i="2"/>
  <c r="S1122" i="2"/>
  <c r="S1153" i="2"/>
  <c r="S1231" i="2"/>
  <c r="S146" i="2"/>
  <c r="S743" i="2"/>
  <c r="S774" i="2"/>
  <c r="S1354" i="2"/>
  <c r="S9" i="2"/>
  <c r="S60" i="2"/>
  <c r="S159" i="2"/>
  <c r="S175" i="2"/>
  <c r="S740" i="2"/>
  <c r="S886" i="2"/>
  <c r="S1249" i="2"/>
  <c r="S1335" i="2"/>
  <c r="S1561" i="2"/>
  <c r="S10" i="2"/>
  <c r="S121" i="2"/>
  <c r="S140" i="2"/>
  <c r="S156" i="2"/>
  <c r="S160" i="2"/>
  <c r="S298" i="2"/>
  <c r="S330" i="2"/>
  <c r="S376" i="2"/>
  <c r="S598" i="2"/>
  <c r="S641" i="2"/>
  <c r="S657" i="2"/>
  <c r="S772" i="2"/>
  <c r="S979" i="2"/>
  <c r="S995" i="2"/>
  <c r="S1025" i="2"/>
  <c r="S1182" i="2"/>
  <c r="S1246" i="2"/>
  <c r="S1262" i="2"/>
  <c r="S1332" i="2"/>
  <c r="S295" i="2"/>
  <c r="S327" i="2"/>
  <c r="S527" i="2"/>
  <c r="S559" i="2"/>
  <c r="S575" i="2"/>
  <c r="S595" i="2"/>
  <c r="S622" i="2"/>
  <c r="S638" i="2"/>
  <c r="S654" i="2"/>
  <c r="S670" i="2"/>
  <c r="S769" i="2"/>
  <c r="S976" i="2"/>
  <c r="S992" i="2"/>
  <c r="S366" i="2"/>
  <c r="S124" i="2"/>
  <c r="S348" i="2"/>
  <c r="S771" i="2"/>
  <c r="S982" i="2"/>
  <c r="S1028" i="2"/>
  <c r="S1351" i="2"/>
  <c r="S1370" i="2"/>
  <c r="S57" i="2"/>
  <c r="S73" i="2"/>
  <c r="S198" i="2"/>
  <c r="S213" i="2"/>
  <c r="S245" i="2"/>
  <c r="S292" i="2"/>
  <c r="S324" i="2"/>
  <c r="S434" i="2"/>
  <c r="S524" i="2"/>
  <c r="S540" i="2"/>
  <c r="S572" i="2"/>
  <c r="S619" i="2"/>
  <c r="S635" i="2"/>
  <c r="S651" i="2"/>
  <c r="S671" i="2"/>
  <c r="S874" i="2"/>
  <c r="S881" i="2"/>
  <c r="S893" i="2"/>
  <c r="S925" i="2"/>
  <c r="S973" i="2"/>
  <c r="S1067" i="2"/>
  <c r="S1208" i="2"/>
  <c r="S1568" i="2"/>
  <c r="S1584" i="2"/>
  <c r="S195" i="2"/>
  <c r="S211" i="2"/>
  <c r="S274" i="2"/>
  <c r="S321" i="2"/>
  <c r="S399" i="2"/>
  <c r="S435" i="2"/>
  <c r="S537" i="2"/>
  <c r="S601" i="2"/>
  <c r="S871" i="2"/>
  <c r="S878" i="2"/>
  <c r="S970" i="2"/>
  <c r="S1084" i="2"/>
  <c r="S1144" i="2"/>
  <c r="S1159" i="2"/>
  <c r="S1163" i="2"/>
  <c r="S1173" i="2"/>
  <c r="S1438" i="2"/>
  <c r="S1534" i="2"/>
  <c r="S1549" i="2"/>
  <c r="S1565" i="2"/>
  <c r="S377" i="2"/>
  <c r="S393" i="2"/>
  <c r="S409" i="2"/>
  <c r="S1607" i="2"/>
  <c r="S736" i="2"/>
  <c r="S1056" i="2"/>
  <c r="S1229" i="2"/>
  <c r="S351" i="2"/>
  <c r="S822" i="2"/>
  <c r="S985" i="2"/>
  <c r="S1236" i="2"/>
  <c r="S1338" i="2"/>
  <c r="S1389" i="2"/>
  <c r="S1469" i="2"/>
  <c r="S1501" i="2"/>
  <c r="S143" i="2"/>
  <c r="S660" i="2"/>
  <c r="S786" i="2"/>
  <c r="S65" i="2"/>
  <c r="S69" i="2"/>
  <c r="S81" i="2"/>
  <c r="S97" i="2"/>
  <c r="S113" i="2"/>
  <c r="S136" i="2"/>
  <c r="S357" i="2"/>
  <c r="S368" i="2"/>
  <c r="S384" i="2"/>
  <c r="S713" i="2"/>
  <c r="S971" i="2"/>
  <c r="S975" i="2"/>
  <c r="S1049" i="2"/>
  <c r="S1190" i="2"/>
  <c r="S1206" i="2"/>
  <c r="S1226" i="2"/>
  <c r="S1254" i="2"/>
  <c r="S1258" i="2"/>
  <c r="S1270" i="2"/>
  <c r="S1295" i="2"/>
  <c r="S1001" i="2"/>
  <c r="S1307" i="2"/>
  <c r="S1453" i="2"/>
  <c r="S1485" i="2"/>
  <c r="S41" i="2"/>
  <c r="S76" i="2"/>
  <c r="S127" i="2"/>
  <c r="S379" i="2"/>
  <c r="S803" i="2"/>
  <c r="S998" i="2"/>
  <c r="S103" i="2"/>
  <c r="S123" i="2"/>
  <c r="S142" i="2"/>
  <c r="S170" i="2"/>
  <c r="S174" i="2"/>
  <c r="S739" i="2"/>
  <c r="S1059" i="2"/>
  <c r="S1232" i="2"/>
  <c r="S4" i="2"/>
  <c r="S34" i="2"/>
  <c r="S49" i="2"/>
  <c r="S78" i="2"/>
  <c r="S98" i="2"/>
  <c r="S240" i="2"/>
  <c r="S256" i="2"/>
  <c r="S260" i="2"/>
  <c r="S272" i="2"/>
  <c r="S381" i="2"/>
  <c r="S472" i="2"/>
  <c r="S488" i="2"/>
  <c r="S583" i="2"/>
  <c r="S599" i="2"/>
  <c r="S694" i="2"/>
  <c r="S710" i="2"/>
  <c r="S904" i="2"/>
  <c r="S920" i="2"/>
  <c r="S1172" i="2"/>
  <c r="S1187" i="2"/>
  <c r="S1203" i="2"/>
  <c r="S87" i="2"/>
  <c r="S280" i="2"/>
  <c r="S735" i="2"/>
  <c r="S766" i="2"/>
  <c r="S800" i="2"/>
  <c r="S835" i="2"/>
  <c r="S892" i="2"/>
  <c r="S908" i="2"/>
  <c r="S1068" i="2"/>
  <c r="S1135" i="2"/>
  <c r="S1211" i="2"/>
  <c r="S1348" i="2"/>
  <c r="S61" i="2"/>
  <c r="S222" i="2"/>
  <c r="S226" i="2"/>
  <c r="S261" i="2"/>
  <c r="S347" i="2"/>
  <c r="S362" i="2"/>
  <c r="S407" i="2"/>
  <c r="S419" i="2"/>
  <c r="S629" i="2"/>
  <c r="S633" i="2"/>
  <c r="S645" i="2"/>
  <c r="S728" i="2"/>
  <c r="S763" i="2"/>
  <c r="S797" i="2"/>
  <c r="S813" i="2"/>
  <c r="S816" i="2"/>
  <c r="S867" i="2"/>
  <c r="S905" i="2"/>
  <c r="S1043" i="2"/>
  <c r="S1062" i="2"/>
  <c r="S1069" i="2"/>
  <c r="S1132" i="2"/>
  <c r="S1148" i="2"/>
  <c r="S1202" i="2"/>
  <c r="S1240" i="2"/>
  <c r="S1447" i="2"/>
  <c r="S1451" i="2"/>
  <c r="S1463" i="2"/>
  <c r="S1479" i="2"/>
  <c r="S1511" i="2"/>
  <c r="S1515" i="2"/>
  <c r="S1577" i="2"/>
  <c r="S1593" i="2"/>
  <c r="S1609" i="2"/>
  <c r="S29" i="2"/>
  <c r="S64" i="2"/>
  <c r="S225" i="2"/>
  <c r="S531" i="2"/>
  <c r="S632" i="2"/>
  <c r="S668" i="2"/>
  <c r="S858" i="2"/>
  <c r="S1329" i="2"/>
  <c r="S1466" i="2"/>
  <c r="S1482" i="2"/>
  <c r="S11" i="2"/>
  <c r="S27" i="2"/>
  <c r="S43" i="2"/>
  <c r="S58" i="2"/>
  <c r="S147" i="2"/>
  <c r="S204" i="2"/>
  <c r="S219" i="2"/>
  <c r="S242" i="2"/>
  <c r="S344" i="2"/>
  <c r="S404" i="2"/>
  <c r="S478" i="2"/>
  <c r="S592" i="2"/>
  <c r="S607" i="2"/>
  <c r="S626" i="2"/>
  <c r="S725" i="2"/>
  <c r="S794" i="2"/>
  <c r="S798" i="2"/>
  <c r="S810" i="2"/>
  <c r="S902" i="2"/>
  <c r="S918" i="2"/>
  <c r="S1024" i="2"/>
  <c r="S1040" i="2"/>
  <c r="S1063" i="2"/>
  <c r="S1129" i="2"/>
  <c r="S1145" i="2"/>
  <c r="S1221" i="2"/>
  <c r="S1237" i="2"/>
  <c r="S1384" i="2"/>
  <c r="S1460" i="2"/>
  <c r="S1574" i="2"/>
  <c r="S1578" i="2"/>
  <c r="S1590" i="2"/>
  <c r="S1594" i="2"/>
  <c r="S1606" i="2"/>
  <c r="S157" i="2"/>
  <c r="S365" i="2"/>
  <c r="S484" i="2"/>
  <c r="S499" i="2"/>
  <c r="S731" i="2"/>
  <c r="S819" i="2"/>
  <c r="S1160" i="2"/>
  <c r="S1243" i="2"/>
  <c r="S1386" i="2"/>
  <c r="S1450" i="2"/>
  <c r="S1498" i="2"/>
  <c r="S1514" i="2"/>
  <c r="S1580" i="2"/>
  <c r="S1596" i="2"/>
  <c r="S1612" i="2"/>
  <c r="S7" i="2"/>
  <c r="S20" i="2"/>
  <c r="S90" i="2"/>
  <c r="S122" i="2"/>
  <c r="S128" i="2"/>
  <c r="S144" i="2"/>
  <c r="S176" i="2"/>
  <c r="S216" i="2"/>
  <c r="S220" i="2"/>
  <c r="S317" i="2"/>
  <c r="S341" i="2"/>
  <c r="S401" i="2"/>
  <c r="S475" i="2"/>
  <c r="S491" i="2"/>
  <c r="S510" i="2"/>
  <c r="S558" i="2"/>
  <c r="S589" i="2"/>
  <c r="S604" i="2"/>
  <c r="S687" i="2"/>
  <c r="S722" i="2"/>
  <c r="S791" i="2"/>
  <c r="S811" i="2"/>
  <c r="S919" i="2"/>
  <c r="S988" i="2"/>
  <c r="S1005" i="2"/>
  <c r="S1021" i="2"/>
  <c r="S1060" i="2"/>
  <c r="S1091" i="2"/>
  <c r="S1126" i="2"/>
  <c r="S1142" i="2"/>
  <c r="S1234" i="2"/>
  <c r="S1305" i="2"/>
  <c r="S1336" i="2"/>
  <c r="S1339" i="2"/>
  <c r="S1343" i="2"/>
  <c r="S1397" i="2"/>
  <c r="S1457" i="2"/>
  <c r="S1537" i="2"/>
  <c r="S1571" i="2"/>
  <c r="S1587" i="2"/>
  <c r="S21" i="2"/>
  <c r="S37" i="2"/>
  <c r="S72" i="2"/>
  <c r="S221" i="2"/>
  <c r="S318" i="2"/>
  <c r="S322" i="2"/>
  <c r="S358" i="2"/>
  <c r="S414" i="2"/>
  <c r="S430" i="2"/>
  <c r="S480" i="2"/>
  <c r="S495" i="2"/>
  <c r="S539" i="2"/>
  <c r="S555" i="2"/>
  <c r="S590" i="2"/>
  <c r="S640" i="2"/>
  <c r="S656" i="2"/>
  <c r="S672" i="2"/>
  <c r="S691" i="2"/>
  <c r="S727" i="2"/>
  <c r="S754" i="2"/>
  <c r="S796" i="2"/>
  <c r="S808" i="2"/>
  <c r="S812" i="2"/>
  <c r="S862" i="2"/>
  <c r="S967" i="2"/>
  <c r="S1076" i="2"/>
  <c r="S1092" i="2"/>
  <c r="S1096" i="2"/>
  <c r="S1111" i="2"/>
  <c r="S1164" i="2"/>
  <c r="S1167" i="2"/>
  <c r="S1178" i="2"/>
  <c r="S1267" i="2"/>
  <c r="S1394" i="2"/>
  <c r="S1410" i="2"/>
  <c r="S1426" i="2"/>
  <c r="S1442" i="2"/>
  <c r="S1458" i="2"/>
  <c r="S1474" i="2"/>
  <c r="S1522" i="2"/>
  <c r="S1604" i="2"/>
  <c r="S18" i="2"/>
  <c r="S104" i="2"/>
  <c r="S108" i="2"/>
  <c r="S158" i="2"/>
  <c r="S218" i="2"/>
  <c r="S281" i="2"/>
  <c r="S299" i="2"/>
  <c r="S315" i="2"/>
  <c r="S411" i="2"/>
  <c r="S449" i="2"/>
  <c r="S536" i="2"/>
  <c r="S552" i="2"/>
  <c r="S587" i="2"/>
  <c r="S606" i="2"/>
  <c r="S621" i="2"/>
  <c r="S637" i="2"/>
  <c r="S653" i="2"/>
  <c r="S751" i="2"/>
  <c r="S793" i="2"/>
  <c r="S805" i="2"/>
  <c r="S809" i="2"/>
  <c r="S840" i="2"/>
  <c r="S859" i="2"/>
  <c r="S875" i="2"/>
  <c r="S945" i="2"/>
  <c r="S1019" i="2"/>
  <c r="S1073" i="2"/>
  <c r="S1089" i="2"/>
  <c r="S1161" i="2"/>
  <c r="S1175" i="2"/>
  <c r="S1194" i="2"/>
  <c r="S1248" i="2"/>
  <c r="S1264" i="2"/>
  <c r="S1372" i="2"/>
  <c r="S1407" i="2"/>
  <c r="S1423" i="2"/>
  <c r="S1427" i="2"/>
  <c r="S1439" i="2"/>
  <c r="S1443" i="2"/>
  <c r="S1455" i="2"/>
  <c r="S1569" i="2"/>
  <c r="S1585" i="2"/>
  <c r="S1601" i="2"/>
  <c r="S35" i="2"/>
  <c r="S66" i="2"/>
  <c r="S82" i="2"/>
  <c r="S85" i="2"/>
  <c r="S101" i="2"/>
  <c r="S155" i="2"/>
  <c r="S215" i="2"/>
  <c r="S246" i="2"/>
  <c r="S262" i="2"/>
  <c r="S278" i="2"/>
  <c r="S296" i="2"/>
  <c r="S356" i="2"/>
  <c r="S392" i="2"/>
  <c r="S446" i="2"/>
  <c r="S486" i="2"/>
  <c r="S505" i="2"/>
  <c r="S549" i="2"/>
  <c r="S584" i="2"/>
  <c r="S618" i="2"/>
  <c r="S682" i="2"/>
  <c r="S749" i="2"/>
  <c r="S764" i="2"/>
  <c r="S802" i="2"/>
  <c r="S837" i="2"/>
  <c r="S856" i="2"/>
  <c r="S894" i="2"/>
  <c r="S926" i="2"/>
  <c r="S942" i="2"/>
  <c r="S1016" i="2"/>
  <c r="S1032" i="2"/>
  <c r="S1070" i="2"/>
  <c r="S1152" i="2"/>
  <c r="S1213" i="2"/>
  <c r="S1245" i="2"/>
  <c r="S1261" i="2"/>
  <c r="S1350" i="2"/>
  <c r="S1369" i="2"/>
  <c r="S1404" i="2"/>
  <c r="S1420" i="2"/>
  <c r="S1436" i="2"/>
  <c r="S1440" i="2"/>
  <c r="S1566" i="2"/>
  <c r="S1582" i="2"/>
  <c r="S12" i="2"/>
  <c r="S28" i="2"/>
  <c r="S51" i="2"/>
  <c r="S63" i="2"/>
  <c r="S67" i="2"/>
  <c r="S83" i="2"/>
  <c r="S152" i="2"/>
  <c r="S172" i="2"/>
  <c r="S197" i="2"/>
  <c r="S243" i="2"/>
  <c r="S259" i="2"/>
  <c r="S275" i="2"/>
  <c r="S293" i="2"/>
  <c r="S380" i="2"/>
  <c r="S383" i="2"/>
  <c r="S389" i="2"/>
  <c r="S455" i="2"/>
  <c r="S471" i="2"/>
  <c r="S502" i="2"/>
  <c r="S530" i="2"/>
  <c r="S546" i="2"/>
  <c r="S566" i="2"/>
  <c r="S578" i="2"/>
  <c r="S597" i="2"/>
  <c r="S698" i="2"/>
  <c r="S718" i="2"/>
  <c r="S746" i="2"/>
  <c r="S761" i="2"/>
  <c r="S777" i="2"/>
  <c r="S853" i="2"/>
  <c r="S923" i="2"/>
  <c r="S939" i="2"/>
  <c r="S977" i="2"/>
  <c r="S980" i="2"/>
  <c r="S999" i="2"/>
  <c r="S1064" i="2"/>
  <c r="S1071" i="2"/>
  <c r="S1150" i="2"/>
  <c r="S1170" i="2"/>
  <c r="S1242" i="2"/>
  <c r="S1274" i="2"/>
  <c r="S1297" i="2"/>
  <c r="S1313" i="2"/>
  <c r="S1347" i="2"/>
  <c r="S1366" i="2"/>
  <c r="S1385" i="2"/>
  <c r="S1401" i="2"/>
  <c r="S1437" i="2"/>
  <c r="S282" i="2"/>
  <c r="S899" i="2"/>
  <c r="S1039" i="2"/>
  <c r="S1312" i="2"/>
  <c r="S1345" i="2"/>
  <c r="S279" i="2"/>
  <c r="S334" i="2"/>
  <c r="S591" i="2"/>
  <c r="S747" i="2"/>
  <c r="S762" i="2"/>
  <c r="S896" i="2"/>
  <c r="S937" i="2"/>
  <c r="S956" i="2"/>
  <c r="S959" i="2"/>
  <c r="S1036" i="2"/>
  <c r="S1065" i="2"/>
  <c r="S1083" i="2"/>
  <c r="S1102" i="2"/>
  <c r="S1105" i="2"/>
  <c r="S1309" i="2"/>
  <c r="S1324" i="2"/>
  <c r="S1342" i="2"/>
  <c r="S1358" i="2"/>
  <c r="S1424" i="2"/>
  <c r="S1603" i="2"/>
  <c r="S39" i="2"/>
  <c r="S107" i="2"/>
  <c r="S131" i="2"/>
  <c r="S153" i="2"/>
  <c r="S171" i="2"/>
  <c r="S232" i="2"/>
  <c r="S273" i="2"/>
  <c r="S276" i="2"/>
  <c r="S291" i="2"/>
  <c r="S297" i="2"/>
  <c r="S313" i="2"/>
  <c r="S316" i="2"/>
  <c r="S331" i="2"/>
  <c r="S482" i="2"/>
  <c r="S497" i="2"/>
  <c r="S516" i="2"/>
  <c r="S519" i="2"/>
  <c r="S541" i="2"/>
  <c r="S676" i="2"/>
  <c r="S744" i="2"/>
  <c r="S890" i="2"/>
  <c r="S934" i="2"/>
  <c r="S1033" i="2"/>
  <c r="S1080" i="2"/>
  <c r="S1322" i="2"/>
  <c r="S1538" i="2"/>
  <c r="S1553" i="2"/>
  <c r="S1562" i="2"/>
  <c r="S1600" i="2"/>
  <c r="S1383" i="2"/>
  <c r="S13" i="2"/>
  <c r="S32" i="2"/>
  <c r="S168" i="2"/>
  <c r="S184" i="2"/>
  <c r="S229" i="2"/>
  <c r="S251" i="2"/>
  <c r="S270" i="2"/>
  <c r="S463" i="2"/>
  <c r="S479" i="2"/>
  <c r="S494" i="2"/>
  <c r="S538" i="2"/>
  <c r="S582" i="2"/>
  <c r="S756" i="2"/>
  <c r="S884" i="2"/>
  <c r="S887" i="2"/>
  <c r="S1074" i="2"/>
  <c r="S1093" i="2"/>
  <c r="S1280" i="2"/>
  <c r="S1283" i="2"/>
  <c r="S1286" i="2"/>
  <c r="S1352" i="2"/>
  <c r="S1371" i="2"/>
  <c r="S1535" i="2"/>
  <c r="S1550" i="2"/>
  <c r="S1597" i="2"/>
  <c r="S962" i="2"/>
  <c r="S54" i="2"/>
  <c r="S181" i="2"/>
  <c r="S209" i="2"/>
  <c r="S248" i="2"/>
  <c r="S340" i="2"/>
  <c r="S460" i="2"/>
  <c r="S535" i="2"/>
  <c r="S685" i="2"/>
  <c r="S906" i="2"/>
  <c r="S1316" i="2"/>
  <c r="S1349" i="2"/>
  <c r="S1532" i="2"/>
  <c r="S26" i="2"/>
  <c r="S412" i="2"/>
  <c r="S458" i="2"/>
  <c r="S838" i="2"/>
  <c r="S17" i="2"/>
  <c r="S36" i="2"/>
  <c r="S132" i="2"/>
  <c r="S390" i="2"/>
  <c r="S406" i="2"/>
  <c r="S464" i="2"/>
  <c r="S483" i="2"/>
  <c r="S648" i="2"/>
  <c r="S667" i="2"/>
  <c r="S714" i="2"/>
  <c r="S717" i="2"/>
  <c r="S832" i="2"/>
  <c r="S854" i="2"/>
  <c r="S1228" i="2"/>
  <c r="S1293" i="2"/>
  <c r="S1520" i="2"/>
  <c r="S370" i="2"/>
  <c r="S165" i="2"/>
  <c r="S267" i="2"/>
  <c r="S1547" i="2"/>
  <c r="S110" i="2"/>
  <c r="S138" i="2"/>
  <c r="S264" i="2"/>
  <c r="S431" i="2"/>
  <c r="S33" i="2"/>
  <c r="S129" i="2"/>
  <c r="S403" i="2"/>
  <c r="S422" i="2"/>
  <c r="S443" i="2"/>
  <c r="S642" i="2"/>
  <c r="S664" i="2"/>
  <c r="S692" i="2"/>
  <c r="S708" i="2"/>
  <c r="S711" i="2"/>
  <c r="S826" i="2"/>
  <c r="S873" i="2"/>
  <c r="S876" i="2"/>
  <c r="S983" i="2"/>
  <c r="S1002" i="2"/>
  <c r="S1225" i="2"/>
  <c r="S1281" i="2"/>
  <c r="S1284" i="2"/>
  <c r="S1287" i="2"/>
  <c r="S1290" i="2"/>
  <c r="S1476" i="2"/>
  <c r="S1517" i="2"/>
  <c r="S765" i="2"/>
  <c r="S206" i="2"/>
  <c r="S1090" i="2"/>
  <c r="S162" i="2"/>
  <c r="S863" i="2"/>
  <c r="S55" i="2"/>
  <c r="S400" i="2"/>
  <c r="S440" i="2"/>
  <c r="S624" i="2"/>
  <c r="S686" i="2"/>
  <c r="S689" i="2"/>
  <c r="S848" i="2"/>
  <c r="S870" i="2"/>
  <c r="S1072" i="2"/>
  <c r="S1200" i="2"/>
  <c r="S1222" i="2"/>
  <c r="S1473" i="2"/>
  <c r="S750" i="2"/>
  <c r="S1108" i="2"/>
  <c r="S507" i="2"/>
  <c r="S1300" i="2"/>
  <c r="S178" i="2"/>
  <c r="S203" i="2"/>
  <c r="S437" i="2"/>
  <c r="S14" i="2"/>
  <c r="S95" i="2"/>
  <c r="S290" i="2"/>
  <c r="S89" i="2"/>
  <c r="S309" i="2"/>
  <c r="S459" i="2"/>
  <c r="S658" i="2"/>
  <c r="S733" i="2"/>
  <c r="S820" i="2"/>
  <c r="S839" i="2"/>
  <c r="S1165" i="2"/>
  <c r="S1197" i="2"/>
  <c r="S1201" i="2"/>
  <c r="S1219" i="2"/>
  <c r="S1253" i="2"/>
  <c r="S1448" i="2"/>
  <c r="S1470" i="2"/>
  <c r="S1486" i="2"/>
  <c r="S594" i="2"/>
  <c r="S415" i="2"/>
  <c r="S476" i="2"/>
  <c r="S492" i="2"/>
  <c r="S753" i="2"/>
  <c r="S928" i="2"/>
  <c r="S1277" i="2"/>
  <c r="S1591" i="2"/>
  <c r="S141" i="2"/>
  <c r="S470" i="2"/>
  <c r="S79" i="2"/>
  <c r="S92" i="2"/>
  <c r="S385" i="2"/>
  <c r="S46" i="2"/>
  <c r="S59" i="2"/>
  <c r="S40" i="2"/>
  <c r="S148" i="2"/>
  <c r="S342" i="2"/>
  <c r="S354" i="2"/>
  <c r="S369" i="2"/>
  <c r="S655" i="2"/>
  <c r="S817" i="2"/>
  <c r="S986" i="2"/>
  <c r="S990" i="2"/>
  <c r="S1022" i="2"/>
  <c r="S1162" i="2"/>
  <c r="S1445" i="2"/>
  <c r="S1467" i="2"/>
  <c r="S337" i="2"/>
  <c r="S345" i="2"/>
  <c r="S363" i="2"/>
  <c r="S425" i="2"/>
  <c r="S452" i="2"/>
  <c r="S467" i="2"/>
  <c r="S473" i="2"/>
  <c r="S489" i="2"/>
  <c r="S513" i="2"/>
  <c r="S544" i="2"/>
  <c r="S569" i="2"/>
  <c r="S605" i="2"/>
  <c r="S661" i="2"/>
  <c r="S732" i="2"/>
  <c r="S741" i="2"/>
  <c r="S759" i="2"/>
  <c r="S823" i="2"/>
  <c r="S829" i="2"/>
  <c r="S851" i="2"/>
  <c r="S931" i="2"/>
  <c r="S953" i="2"/>
  <c r="S996" i="2"/>
  <c r="S1013" i="2"/>
  <c r="S1035" i="2"/>
  <c r="S1038" i="2"/>
  <c r="S1041" i="2"/>
  <c r="S1044" i="2"/>
  <c r="S1099" i="2"/>
  <c r="S1319" i="2"/>
  <c r="S1355" i="2"/>
  <c r="S1402" i="2"/>
  <c r="S1461" i="2"/>
  <c r="S1464" i="2"/>
  <c r="S1483" i="2"/>
  <c r="S1529" i="2"/>
  <c r="S1588" i="2"/>
  <c r="S1610" i="2"/>
  <c r="S15" i="2"/>
  <c r="S19" i="2"/>
  <c r="S86" i="2"/>
  <c r="S117" i="2"/>
  <c r="S169" i="2"/>
  <c r="S200" i="2"/>
  <c r="S236" i="2"/>
  <c r="S239" i="2"/>
  <c r="S288" i="2"/>
  <c r="S294" i="2"/>
  <c r="S310" i="2"/>
  <c r="S355" i="2"/>
  <c r="S373" i="2"/>
  <c r="S386" i="2"/>
  <c r="S413" i="2"/>
  <c r="S461" i="2"/>
  <c r="S526" i="2"/>
  <c r="S579" i="2"/>
  <c r="S588" i="2"/>
  <c r="S612" i="2"/>
  <c r="S615" i="2"/>
  <c r="S649" i="2"/>
  <c r="S652" i="2"/>
  <c r="S683" i="2"/>
  <c r="S690" i="2"/>
  <c r="S705" i="2"/>
  <c r="S799" i="2"/>
  <c r="S836" i="2"/>
  <c r="S922" i="2"/>
  <c r="S984" i="2"/>
  <c r="S1066" i="2"/>
  <c r="S1087" i="2"/>
  <c r="S1112" i="2"/>
  <c r="S1256" i="2"/>
  <c r="S1278" i="2"/>
  <c r="S1304" i="2"/>
  <c r="S1362" i="2"/>
  <c r="S1368" i="2"/>
  <c r="S1421" i="2"/>
  <c r="S1449" i="2"/>
  <c r="S1490" i="2"/>
  <c r="S1551" i="2"/>
  <c r="S1579" i="2"/>
  <c r="S68" i="2"/>
  <c r="S105" i="2"/>
  <c r="S139" i="2"/>
  <c r="S166" i="2"/>
  <c r="S185" i="2"/>
  <c r="S201" i="2"/>
  <c r="S233" i="2"/>
  <c r="S268" i="2"/>
  <c r="S286" i="2"/>
  <c r="S289" i="2"/>
  <c r="S307" i="2"/>
  <c r="S410" i="2"/>
  <c r="S477" i="2"/>
  <c r="S517" i="2"/>
  <c r="S609" i="2"/>
  <c r="S616" i="2"/>
  <c r="S646" i="2"/>
  <c r="S650" i="2"/>
  <c r="S674" i="2"/>
  <c r="S677" i="2"/>
  <c r="S702" i="2"/>
  <c r="S706" i="2"/>
  <c r="S833" i="2"/>
  <c r="S879" i="2"/>
  <c r="S889" i="2"/>
  <c r="S916" i="2"/>
  <c r="S935" i="2"/>
  <c r="S981" i="2"/>
  <c r="S1048" i="2"/>
  <c r="S1054" i="2"/>
  <c r="S1103" i="2"/>
  <c r="S1134" i="2"/>
  <c r="S1143" i="2"/>
  <c r="S1151" i="2"/>
  <c r="S1192" i="2"/>
  <c r="S1195" i="2"/>
  <c r="S1235" i="2"/>
  <c r="S1238" i="2"/>
  <c r="S1241" i="2"/>
  <c r="S1247" i="2"/>
  <c r="S1250" i="2"/>
  <c r="S1323" i="2"/>
  <c r="S1359" i="2"/>
  <c r="S1406" i="2"/>
  <c r="S1409" i="2"/>
  <c r="S1412" i="2"/>
  <c r="S1415" i="2"/>
  <c r="S1418" i="2"/>
  <c r="S1446" i="2"/>
  <c r="S1487" i="2"/>
  <c r="S1491" i="2"/>
  <c r="S1509" i="2"/>
  <c r="S1512" i="2"/>
  <c r="S1548" i="2"/>
  <c r="S1576" i="2"/>
  <c r="S1602" i="2"/>
  <c r="S74" i="2"/>
  <c r="S77" i="2"/>
  <c r="S96" i="2"/>
  <c r="S109" i="2"/>
  <c r="S133" i="2"/>
  <c r="S145" i="2"/>
  <c r="S167" i="2"/>
  <c r="S182" i="2"/>
  <c r="S230" i="2"/>
  <c r="S252" i="2"/>
  <c r="S304" i="2"/>
  <c r="S338" i="2"/>
  <c r="S346" i="2"/>
  <c r="S353" i="2"/>
  <c r="S364" i="2"/>
  <c r="S371" i="2"/>
  <c r="S426" i="2"/>
  <c r="S450" i="2"/>
  <c r="S490" i="2"/>
  <c r="S514" i="2"/>
  <c r="S545" i="2"/>
  <c r="S570" i="2"/>
  <c r="S586" i="2"/>
  <c r="S610" i="2"/>
  <c r="S669" i="2"/>
  <c r="S678" i="2"/>
  <c r="S696" i="2"/>
  <c r="S703" i="2"/>
  <c r="S742" i="2"/>
  <c r="S778" i="2"/>
  <c r="S830" i="2"/>
  <c r="S910" i="2"/>
  <c r="S913" i="2"/>
  <c r="S932" i="2"/>
  <c r="S954" i="2"/>
  <c r="S997" i="2"/>
  <c r="S1030" i="2"/>
  <c r="S1079" i="2"/>
  <c r="S1100" i="2"/>
  <c r="S1131" i="2"/>
  <c r="S1146" i="2"/>
  <c r="S1149" i="2"/>
  <c r="S1177" i="2"/>
  <c r="S1186" i="2"/>
  <c r="S1189" i="2"/>
  <c r="S1217" i="2"/>
  <c r="S1230" i="2"/>
  <c r="S1233" i="2"/>
  <c r="S1251" i="2"/>
  <c r="S1269" i="2"/>
  <c r="S1356" i="2"/>
  <c r="S1360" i="2"/>
  <c r="S1378" i="2"/>
  <c r="S1403" i="2"/>
  <c r="S1488" i="2"/>
  <c r="S1503" i="2"/>
  <c r="S1506" i="2"/>
  <c r="S1518" i="2"/>
  <c r="S1521" i="2"/>
  <c r="S1524" i="2"/>
  <c r="S1530" i="2"/>
  <c r="S1573" i="2"/>
  <c r="S25" i="2"/>
  <c r="S53" i="2"/>
  <c r="S75" i="2"/>
  <c r="S93" i="2"/>
  <c r="S130" i="2"/>
  <c r="S134" i="2"/>
  <c r="S137" i="2"/>
  <c r="S151" i="2"/>
  <c r="S154" i="2"/>
  <c r="S164" i="2"/>
  <c r="S179" i="2"/>
  <c r="S183" i="2"/>
  <c r="S227" i="2"/>
  <c r="S231" i="2"/>
  <c r="S249" i="2"/>
  <c r="S284" i="2"/>
  <c r="S301" i="2"/>
  <c r="S305" i="2"/>
  <c r="S335" i="2"/>
  <c r="S339" i="2"/>
  <c r="S395" i="2"/>
  <c r="S405" i="2"/>
  <c r="S423" i="2"/>
  <c r="S444" i="2"/>
  <c r="S447" i="2"/>
  <c r="S487" i="2"/>
  <c r="S508" i="2"/>
  <c r="S511" i="2"/>
  <c r="S542" i="2"/>
  <c r="S561" i="2"/>
  <c r="S564" i="2"/>
  <c r="S567" i="2"/>
  <c r="S603" i="2"/>
  <c r="S625" i="2"/>
  <c r="S721" i="2"/>
  <c r="S724" i="2"/>
  <c r="S730" i="2"/>
  <c r="S757" i="2"/>
  <c r="S770" i="2"/>
  <c r="S781" i="2"/>
  <c r="S821" i="2"/>
  <c r="S831" i="2"/>
  <c r="S843" i="2"/>
  <c r="S846" i="2"/>
  <c r="S907" i="2"/>
  <c r="S929" i="2"/>
  <c r="S948" i="2"/>
  <c r="S951" i="2"/>
  <c r="S964" i="2"/>
  <c r="S991" i="2"/>
  <c r="S994" i="2"/>
  <c r="S1027" i="2"/>
  <c r="S1094" i="2"/>
  <c r="S1097" i="2"/>
  <c r="S1128" i="2"/>
  <c r="S1147" i="2"/>
  <c r="S1174" i="2"/>
  <c r="S1183" i="2"/>
  <c r="S1214" i="2"/>
  <c r="S1353" i="2"/>
  <c r="S1375" i="2"/>
  <c r="S1500" i="2"/>
  <c r="S1525" i="2"/>
  <c r="S1543" i="2"/>
  <c r="S1570" i="2"/>
  <c r="S1586" i="2"/>
  <c r="S302" i="2"/>
  <c r="S332" i="2"/>
  <c r="S543" i="2"/>
  <c r="S734" i="2"/>
  <c r="S782" i="2"/>
  <c r="S844" i="2"/>
  <c r="S1037" i="2"/>
  <c r="S1497" i="2"/>
  <c r="S1540" i="2"/>
  <c r="S1558" i="2"/>
  <c r="S1567" i="2"/>
  <c r="S1583" i="2"/>
  <c r="S1615" i="2"/>
  <c r="S23" i="2"/>
  <c r="S45" i="2"/>
  <c r="S91" i="2"/>
  <c r="S118" i="2"/>
  <c r="S177" i="2"/>
  <c r="S244" i="2"/>
  <c r="S481" i="2"/>
  <c r="S506" i="2"/>
  <c r="S556" i="2"/>
  <c r="S807" i="2"/>
  <c r="S927" i="2"/>
  <c r="S1391" i="2"/>
  <c r="S8" i="2"/>
  <c r="S5" i="2"/>
  <c r="S333" i="2"/>
  <c r="S38" i="2"/>
  <c r="S319" i="2"/>
  <c r="S228" i="2"/>
  <c r="S562" i="2"/>
  <c r="S547" i="2"/>
  <c r="S1616" i="2"/>
  <c r="S1618" i="2"/>
  <c r="S308" i="2"/>
  <c r="S311" i="2"/>
  <c r="S709" i="2"/>
  <c r="S114" i="2"/>
  <c r="S193" i="2"/>
  <c r="S585" i="2"/>
  <c r="S866" i="2"/>
  <c r="S214" i="2"/>
  <c r="S88" i="2"/>
  <c r="S47" i="2"/>
  <c r="S50" i="2"/>
  <c r="S720" i="2"/>
  <c r="S24" i="2"/>
  <c r="S119" i="2"/>
  <c r="S1057" i="2"/>
  <c r="S111" i="2"/>
  <c r="S190" i="2"/>
  <c r="S196" i="2"/>
  <c r="S420" i="2"/>
  <c r="S758" i="2"/>
  <c r="S503" i="2"/>
  <c r="S553" i="2"/>
  <c r="S700" i="2"/>
  <c r="S325" i="2"/>
  <c r="S350" i="2"/>
  <c r="S448" i="2"/>
  <c r="S462" i="2"/>
  <c r="S523" i="2"/>
  <c r="S529" i="2"/>
  <c r="S818" i="2"/>
  <c r="S1031" i="2"/>
  <c r="S207" i="2"/>
  <c r="S235" i="2"/>
  <c r="S402" i="2"/>
  <c r="S520" i="2"/>
  <c r="S532" i="2"/>
  <c r="S120" i="2"/>
  <c r="S408" i="2"/>
  <c r="S1325" i="2"/>
  <c r="S265" i="2"/>
  <c r="S382" i="2"/>
  <c r="S644" i="2"/>
  <c r="S659" i="2"/>
  <c r="S738" i="2"/>
  <c r="S806" i="2"/>
  <c r="S1115" i="2"/>
  <c r="S187" i="2"/>
  <c r="S1046" i="2"/>
  <c r="S314" i="2"/>
  <c r="S1109" i="2"/>
  <c r="S1218" i="2"/>
  <c r="S1294" i="2"/>
  <c r="S1328" i="2"/>
  <c r="S429" i="2"/>
  <c r="S42" i="2"/>
  <c r="S360" i="2"/>
  <c r="S1176" i="2"/>
  <c r="S1011" i="2"/>
  <c r="S1495" i="2"/>
  <c r="S22" i="2"/>
  <c r="S106" i="2"/>
  <c r="S254" i="2"/>
  <c r="S283" i="2"/>
  <c r="S493" i="2"/>
  <c r="S636" i="2"/>
  <c r="S882" i="2"/>
  <c r="S940" i="2"/>
  <c r="S943" i="2"/>
  <c r="S946" i="2"/>
  <c r="S1008" i="2"/>
  <c r="S1489" i="2"/>
  <c r="S602" i="2"/>
  <c r="S679" i="2"/>
  <c r="S697" i="2"/>
  <c r="S56" i="2"/>
  <c r="S102" i="2"/>
  <c r="S223" i="2"/>
  <c r="S287" i="2"/>
  <c r="S432" i="2"/>
  <c r="S300" i="2"/>
  <c r="S469" i="2"/>
  <c r="S509" i="2"/>
  <c r="S647" i="2"/>
  <c r="S789" i="2"/>
  <c r="S795" i="2"/>
  <c r="S1179" i="2"/>
  <c r="S1185" i="2"/>
  <c r="S1209" i="2"/>
  <c r="S1308" i="2"/>
  <c r="S16" i="2"/>
  <c r="S188" i="2"/>
  <c r="S391" i="2"/>
  <c r="S397" i="2"/>
  <c r="S418" i="2"/>
  <c r="S515" i="2"/>
  <c r="S521" i="2"/>
  <c r="S533" i="2"/>
  <c r="S630" i="2"/>
  <c r="S1047" i="2"/>
  <c r="S1492" i="2"/>
  <c r="S31" i="2"/>
  <c r="S80" i="2"/>
  <c r="S374" i="2"/>
  <c r="S498" i="2"/>
  <c r="S581" i="2"/>
  <c r="S1137" i="2"/>
  <c r="S792" i="2"/>
  <c r="S827" i="2"/>
  <c r="S885" i="2"/>
  <c r="S1014" i="2"/>
  <c r="S1017" i="2"/>
  <c r="S1168" i="2"/>
  <c r="S1171" i="2"/>
  <c r="S1291" i="2"/>
  <c r="S30" i="2"/>
  <c r="S94" i="2"/>
  <c r="S150" i="2"/>
  <c r="S234" i="2"/>
  <c r="S257" i="2"/>
  <c r="S277" i="2"/>
  <c r="S349" i="2"/>
  <c r="S394" i="2"/>
  <c r="S439" i="2"/>
  <c r="S456" i="2"/>
  <c r="S573" i="2"/>
  <c r="S662" i="2"/>
  <c r="S723" i="2"/>
  <c r="S726" i="2"/>
  <c r="S760" i="2"/>
  <c r="S891" i="2"/>
  <c r="S897" i="2"/>
  <c r="S900" i="2"/>
  <c r="S968" i="2"/>
  <c r="S989" i="2"/>
  <c r="S1154" i="2"/>
  <c r="S1157" i="2"/>
  <c r="S1279" i="2"/>
  <c r="S1320" i="2"/>
  <c r="S255" i="2"/>
  <c r="S548" i="2"/>
  <c r="S571" i="2"/>
  <c r="S600" i="2"/>
  <c r="S701" i="2"/>
  <c r="S755" i="2"/>
  <c r="S1155" i="2"/>
  <c r="S6" i="2"/>
  <c r="S70" i="2"/>
  <c r="S303" i="2"/>
  <c r="S306" i="2"/>
  <c r="S372" i="2"/>
  <c r="S375" i="2"/>
  <c r="S398" i="2"/>
  <c r="S611" i="2"/>
  <c r="S614" i="2"/>
  <c r="S617" i="2"/>
  <c r="S634" i="2"/>
  <c r="S960" i="2"/>
  <c r="S963" i="2"/>
  <c r="S978" i="2"/>
  <c r="S1118" i="2"/>
  <c r="S1271" i="2"/>
  <c r="S199" i="2"/>
  <c r="S258" i="2"/>
  <c r="S551" i="2"/>
  <c r="S663" i="2"/>
  <c r="S695" i="2"/>
  <c r="S834" i="2"/>
  <c r="S852" i="2"/>
  <c r="S957" i="2"/>
  <c r="S1106" i="2"/>
  <c r="S191" i="2"/>
  <c r="S205" i="2"/>
  <c r="S241" i="2"/>
  <c r="S378" i="2"/>
  <c r="S421" i="2"/>
  <c r="S424" i="2"/>
  <c r="S465" i="2"/>
  <c r="S767" i="2"/>
  <c r="S773" i="2"/>
  <c r="S1050" i="2"/>
  <c r="S1268" i="2"/>
  <c r="S1381" i="2"/>
  <c r="S1399" i="2"/>
  <c r="S554" i="2"/>
  <c r="S666" i="2"/>
  <c r="S849" i="2"/>
  <c r="S969" i="2"/>
  <c r="S1085" i="2"/>
  <c r="S1158" i="2"/>
  <c r="S62" i="2"/>
  <c r="S126" i="2"/>
  <c r="S180" i="2"/>
  <c r="S359" i="2"/>
  <c r="S361" i="2"/>
  <c r="S427" i="2"/>
  <c r="S474" i="2"/>
  <c r="S525" i="2"/>
  <c r="S528" i="2"/>
  <c r="S681" i="2"/>
  <c r="S949" i="2"/>
  <c r="S1053" i="2"/>
  <c r="S1095" i="2"/>
  <c r="S1220" i="2"/>
  <c r="S1223" i="2"/>
  <c r="S1259" i="2"/>
  <c r="S1265" i="2"/>
  <c r="S1296" i="2"/>
  <c r="S1357" i="2"/>
  <c r="S1387" i="2"/>
  <c r="S217" i="2"/>
  <c r="S869" i="2"/>
  <c r="S1212" i="2"/>
  <c r="S210" i="2"/>
  <c r="S336" i="2"/>
  <c r="S442" i="2"/>
  <c r="S501" i="2"/>
  <c r="S565" i="2"/>
  <c r="S628" i="2"/>
  <c r="S801" i="2"/>
  <c r="S855" i="2"/>
  <c r="S883" i="2"/>
  <c r="S909" i="2"/>
  <c r="S938" i="2"/>
  <c r="S955" i="2"/>
  <c r="S1020" i="2"/>
  <c r="S1311" i="2"/>
  <c r="S1314" i="2"/>
  <c r="S1317" i="2"/>
  <c r="S1361" i="2"/>
  <c r="S1459" i="2"/>
  <c r="S1599" i="2"/>
  <c r="S343" i="2"/>
  <c r="S639" i="2"/>
  <c r="S1141" i="2"/>
  <c r="S1373" i="2"/>
  <c r="S1444" i="2"/>
  <c r="S202" i="2"/>
  <c r="S328" i="2"/>
  <c r="S445" i="2"/>
  <c r="S504" i="2"/>
  <c r="S568" i="2"/>
  <c r="S631" i="2"/>
  <c r="S673" i="2"/>
  <c r="S784" i="2"/>
  <c r="S787" i="2"/>
  <c r="S804" i="2"/>
  <c r="S824" i="2"/>
  <c r="S912" i="2"/>
  <c r="S941" i="2"/>
  <c r="S961" i="2"/>
  <c r="S987" i="2"/>
  <c r="S1023" i="2"/>
  <c r="S1098" i="2"/>
  <c r="S1101" i="2"/>
  <c r="S1198" i="2"/>
  <c r="S1227" i="2"/>
  <c r="S1331" i="2"/>
  <c r="S1367" i="2"/>
  <c r="S1605" i="2"/>
  <c r="S1608" i="2"/>
  <c r="S1611" i="2"/>
  <c r="S453" i="2"/>
  <c r="S512" i="2"/>
  <c r="S729" i="2"/>
  <c r="S1215" i="2"/>
  <c r="S1376" i="2"/>
  <c r="S1441" i="2"/>
  <c r="S194" i="2"/>
  <c r="S320" i="2"/>
  <c r="S557" i="2"/>
  <c r="S620" i="2"/>
  <c r="S704" i="2"/>
  <c r="S707" i="2"/>
  <c r="S790" i="2"/>
  <c r="S924" i="2"/>
  <c r="S1006" i="2"/>
  <c r="S1075" i="2"/>
  <c r="S1107" i="2"/>
  <c r="S1133" i="2"/>
  <c r="S1204" i="2"/>
  <c r="S1499" i="2"/>
  <c r="S1557" i="2"/>
  <c r="S1560" i="2"/>
  <c r="S1572" i="2"/>
  <c r="S1575" i="2"/>
  <c r="S576" i="2"/>
  <c r="S712" i="2"/>
  <c r="S1121" i="2"/>
  <c r="S1382" i="2"/>
  <c r="S186" i="2"/>
  <c r="S312" i="2"/>
  <c r="S438" i="2"/>
  <c r="S496" i="2"/>
  <c r="S560" i="2"/>
  <c r="S623" i="2"/>
  <c r="S665" i="2"/>
  <c r="S693" i="2"/>
  <c r="S776" i="2"/>
  <c r="S930" i="2"/>
  <c r="S947" i="2"/>
  <c r="S1009" i="2"/>
  <c r="S1029" i="2"/>
  <c r="S1260" i="2"/>
  <c r="S1266" i="2"/>
  <c r="S1430" i="2"/>
  <c r="S1433" i="2"/>
  <c r="S1496" i="2"/>
  <c r="S1563" i="2"/>
  <c r="S768" i="2"/>
  <c r="S888" i="2"/>
  <c r="S952" i="2"/>
  <c r="S1045" i="2"/>
  <c r="S1124" i="2"/>
  <c r="S1224" i="2"/>
  <c r="S1276" i="2"/>
  <c r="S1303" i="2"/>
  <c r="S1306" i="2"/>
  <c r="S1422" i="2"/>
  <c r="S1533" i="2"/>
  <c r="S1536" i="2"/>
  <c r="S1539" i="2"/>
  <c r="S752" i="2"/>
  <c r="S880" i="2"/>
  <c r="S944" i="2"/>
  <c r="S1012" i="2"/>
  <c r="S1207" i="2"/>
  <c r="S1318" i="2"/>
  <c r="S1321" i="2"/>
  <c r="S1364" i="2"/>
  <c r="S1390" i="2"/>
  <c r="S1393" i="2"/>
  <c r="S1396" i="2"/>
  <c r="S1431" i="2"/>
  <c r="S1510" i="2"/>
  <c r="S745" i="2"/>
  <c r="S872" i="2"/>
  <c r="S933" i="2"/>
  <c r="S972" i="2"/>
  <c r="S1015" i="2"/>
  <c r="S1082" i="2"/>
  <c r="S1110" i="2"/>
  <c r="S1113" i="2"/>
  <c r="S1116" i="2"/>
  <c r="S1210" i="2"/>
  <c r="S1216" i="2"/>
  <c r="S1405" i="2"/>
  <c r="S1408" i="2"/>
  <c r="S1411" i="2"/>
  <c r="S1513" i="2"/>
  <c r="S737" i="2"/>
  <c r="S864" i="2"/>
  <c r="S936" i="2"/>
  <c r="S1003" i="2"/>
  <c r="S1018" i="2"/>
  <c r="S1119" i="2"/>
  <c r="S1196" i="2"/>
  <c r="S1452" i="2"/>
  <c r="S1478" i="2"/>
  <c r="S1481" i="2"/>
  <c r="S1484" i="2"/>
  <c r="S1519" i="2"/>
  <c r="S1042" i="2"/>
  <c r="S1138" i="2"/>
  <c r="S1199" i="2"/>
  <c r="S1263" i="2"/>
  <c r="S1298" i="2"/>
  <c r="S1334" i="2"/>
  <c r="S1388" i="2"/>
  <c r="S1425" i="2"/>
  <c r="S1462" i="2"/>
  <c r="S1516" i="2"/>
  <c r="S1552" i="2"/>
  <c r="S1589" i="2"/>
  <c r="S1034" i="2"/>
  <c r="S1127" i="2"/>
  <c r="S1188" i="2"/>
  <c r="S1252" i="2"/>
  <c r="S1301" i="2"/>
  <c r="S1337" i="2"/>
  <c r="S1374" i="2"/>
  <c r="S1428" i="2"/>
  <c r="S1465" i="2"/>
  <c r="S1502" i="2"/>
  <c r="S1555" i="2"/>
  <c r="S1592" i="2"/>
  <c r="S1614" i="2"/>
  <c r="S1026" i="2"/>
  <c r="S1130" i="2"/>
  <c r="S1191" i="2"/>
  <c r="S1255" i="2"/>
  <c r="S1289" i="2"/>
  <c r="S1340" i="2"/>
  <c r="S1377" i="2"/>
  <c r="S1414" i="2"/>
  <c r="S1468" i="2"/>
  <c r="S1505" i="2"/>
  <c r="S1542" i="2"/>
  <c r="S1595" i="2"/>
  <c r="S1617" i="2"/>
  <c r="S1180" i="2"/>
  <c r="S1244" i="2"/>
  <c r="S1292" i="2"/>
  <c r="S1326" i="2"/>
  <c r="S1380" i="2"/>
  <c r="S1417" i="2"/>
  <c r="S1454" i="2"/>
  <c r="S1508" i="2"/>
  <c r="S1545" i="2"/>
  <c r="S1581" i="2"/>
  <c r="S1619" i="2"/>
  <c r="S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I3" authorId="0" shapeId="0" xr:uid="{F4B6CC49-3F56-4F68-BE91-ADDF7AC8E61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4" authorId="0" shapeId="0" xr:uid="{5679C44A-26C0-46D6-9A12-D391AA9D28F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5" authorId="0" shapeId="0" xr:uid="{FDBF09B4-D1DC-495C-B97A-40E84C0C7A5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6" authorId="0" shapeId="0" xr:uid="{057C6E1B-EB3C-4D19-B616-EE70B026FB0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7" authorId="0" shapeId="0" xr:uid="{5541D62C-6FAA-4ADA-B235-DD4E32ED513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8" authorId="0" shapeId="0" xr:uid="{978081F8-DD7E-4938-B8E0-AEE660E66DB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9" authorId="0" shapeId="0" xr:uid="{00C865A4-6602-4E51-A3D9-05F645F4D0E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0" authorId="0" shapeId="0" xr:uid="{903B1518-BE18-4829-B2AA-3C975EA1DB1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1" authorId="0" shapeId="0" xr:uid="{559FAB8E-CB00-42F3-8768-D09E6FB025D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2" authorId="0" shapeId="0" xr:uid="{C41E1863-22CE-4578-ACF8-56F0E799149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3" authorId="0" shapeId="0" xr:uid="{C12BBB8F-8CBD-4F43-AC57-749220F73A7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4" authorId="0" shapeId="0" xr:uid="{26AE3BAD-F01C-4174-A14C-0B9B07D1451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5" authorId="0" shapeId="0" xr:uid="{2FB050BC-284C-4E38-8CB7-BDBDA6680BD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6" authorId="0" shapeId="0" xr:uid="{8D22771E-B137-4BDA-BD44-69A9D05B085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7" authorId="0" shapeId="0" xr:uid="{A0BA26CC-45E7-4A03-A2D2-FA9969A6706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8" authorId="0" shapeId="0" xr:uid="{C7CFAC14-94BF-4306-9111-E79F509DCA7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9" authorId="0" shapeId="0" xr:uid="{EDBA093E-9EFF-40F7-8AB3-088820C2E40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0" authorId="0" shapeId="0" xr:uid="{D50B3338-696A-4D3B-AD13-6D6AB5D9A2D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1" authorId="0" shapeId="0" xr:uid="{ECABB6D8-7FF0-466E-A6F4-59A666C5963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2" authorId="0" shapeId="0" xr:uid="{0D19A4A3-86C1-4426-909D-0B2358E5940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3" authorId="0" shapeId="0" xr:uid="{5DBA777D-3EF2-4A89-91B9-F9E4FE6B21B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4" authorId="0" shapeId="0" xr:uid="{AE12E7CB-4268-40E6-894F-EC5B3BFFD21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5" authorId="0" shapeId="0" xr:uid="{CCCDDF7B-CA2A-471B-AC1A-AB5DCC5BF1A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6" authorId="0" shapeId="0" xr:uid="{8CBF040B-3E7B-46A7-A0CF-0E640EEBB03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7" authorId="0" shapeId="0" xr:uid="{8F6C67D9-D0EC-4E21-A650-EEAC9EA2CD0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8" authorId="0" shapeId="0" xr:uid="{18C3FA68-AC9E-4894-B9ED-BB7F158888B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9" authorId="0" shapeId="0" xr:uid="{56302AEA-5BE2-4641-97A4-2A74D06B781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0" authorId="0" shapeId="0" xr:uid="{80F35C3E-24E1-4288-8CE4-5EAA10BB5B8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1" authorId="0" shapeId="0" xr:uid="{57686724-6CFE-4E0F-A238-A0008C2425C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2" authorId="0" shapeId="0" xr:uid="{4B5333FB-B120-4E44-AD5A-3E7175AA24E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3" authorId="0" shapeId="0" xr:uid="{8DDEE41C-E370-4519-A761-5F872B79E79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4" authorId="0" shapeId="0" xr:uid="{22969C21-4672-466E-B804-13EDBAD7292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5" authorId="0" shapeId="0" xr:uid="{B51EC09B-950B-4FDF-8379-CD2D329F315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6" authorId="0" shapeId="0" xr:uid="{76FD55D3-FB8F-4721-BCBA-B2A643DD5A6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7" authorId="0" shapeId="0" xr:uid="{74604580-92DD-40E6-8015-82D67D2DD13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38" authorId="0" shapeId="0" xr:uid="{596B6100-0ABE-49E6-B506-233E05B9152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39" authorId="0" shapeId="0" xr:uid="{FEB0887E-8960-45F5-BA3D-90FE2AB6846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0" authorId="0" shapeId="0" xr:uid="{7F87250A-83A1-438C-B1AE-554124477A8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1" authorId="0" shapeId="0" xr:uid="{0F88A1D2-BE9C-4C23-896C-FF1F80F1454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2" authorId="0" shapeId="0" xr:uid="{F3B9A6D7-F0D7-4B4D-B612-87E99C3F855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3" authorId="0" shapeId="0" xr:uid="{05069F30-6CF7-4551-8BD8-5A209280985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4" authorId="0" shapeId="0" xr:uid="{10ECECAB-4044-410D-BC77-4F02BBEAC02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5" authorId="0" shapeId="0" xr:uid="{A0A3B978-B6F8-4762-9C93-D887472BDA4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6" authorId="0" shapeId="0" xr:uid="{AE138159-501D-4A7E-9454-44FE8EE322E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7" authorId="0" shapeId="0" xr:uid="{1705D651-2038-451A-A20A-DBE28CBACB4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8" authorId="0" shapeId="0" xr:uid="{9B3FAB4C-D867-4C93-9A05-2361A4E384F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9" authorId="0" shapeId="0" xr:uid="{8EF3D51D-8257-43FA-B924-3899695C78C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0" authorId="0" shapeId="0" xr:uid="{6719CDA7-5D23-49EC-8B1D-9A1A3E4D6B6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1" authorId="0" shapeId="0" xr:uid="{54682C33-26FA-4B99-86CB-8F61AFC326B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2" authorId="0" shapeId="0" xr:uid="{2682EE8E-22A1-4D11-A788-2EE787941AE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3" authorId="0" shapeId="0" xr:uid="{E3B2DABC-C79A-4C01-8986-FAB2F2516AE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4" authorId="0" shapeId="0" xr:uid="{706A7870-4600-4B1C-BFF4-43958662BB8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5" authorId="0" shapeId="0" xr:uid="{84DA2C8F-38E4-4C06-AF71-EE9899A1521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6" authorId="0" shapeId="0" xr:uid="{F47134AC-DD63-4C84-AC30-C8809B6E8EF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7" authorId="0" shapeId="0" xr:uid="{C3D308E0-F591-4757-9594-BB42850D7EB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8" authorId="0" shapeId="0" xr:uid="{F720E1E1-484E-4107-B712-038C2F99279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9" authorId="0" shapeId="0" xr:uid="{09182A04-7CF8-4E50-8DA9-B99354DA8C1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0" authorId="0" shapeId="0" xr:uid="{194649D0-E1DF-4C85-9BA7-9DDFD0D2FC1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1" authorId="0" shapeId="0" xr:uid="{4088A192-0B57-48E3-8853-F46D68C9C54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2" authorId="0" shapeId="0" xr:uid="{1B01E735-1242-40A7-8B39-47AC99DE7EC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3" authorId="0" shapeId="0" xr:uid="{40341A84-9C52-421A-92D4-AE1EB5D8B3E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4" authorId="0" shapeId="0" xr:uid="{79CF19DE-CB81-4A38-823B-DEDD160DCB4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5" authorId="0" shapeId="0" xr:uid="{F53E8E06-48A4-43B9-8D53-FE35BF2B9E0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6" authorId="0" shapeId="0" xr:uid="{0DA30600-715C-4359-80F9-ADBFB2E1869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7" authorId="0" shapeId="0" xr:uid="{EE446AD5-24AA-43C5-8897-7D400BBBFBA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8" authorId="0" shapeId="0" xr:uid="{3B390250-6E48-4063-9465-92606835B04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9" authorId="0" shapeId="0" xr:uid="{82116F57-6208-4F28-910D-D268E3D28CF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0" authorId="0" shapeId="0" xr:uid="{F26ECA0E-EFD1-4207-91A1-9698AC82369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1" authorId="0" shapeId="0" xr:uid="{F38750E4-1826-4EC3-AB37-34BBD91BF5C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2" authorId="0" shapeId="0" xr:uid="{B74E5216-3741-4A3E-8731-9D14E43E33E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3" authorId="0" shapeId="0" xr:uid="{A0F39255-4A74-4C54-8505-809D15CA488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4" authorId="0" shapeId="0" xr:uid="{AD48274F-16A9-4C90-A814-A5FC8C3A4E7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5" authorId="0" shapeId="0" xr:uid="{C0117E0C-ED75-4470-A119-CCAC754E6E6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6" authorId="0" shapeId="0" xr:uid="{EDFF3C33-DE8C-4BBE-8420-1DD3ED6E5CA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7" authorId="0" shapeId="0" xr:uid="{C3F01A41-D26E-433F-9C87-4E3C5144E57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8" authorId="0" shapeId="0" xr:uid="{0C49E528-3659-4F0C-97BB-EC0C7A15E4E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9" authorId="0" shapeId="0" xr:uid="{60A602B8-D512-4549-BBB9-D08796B54E6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0" authorId="0" shapeId="0" xr:uid="{8EA28800-B41B-423B-AB60-67EBC846E5B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1" authorId="0" shapeId="0" xr:uid="{1673A6FC-880A-47FE-B9C5-90DF2F591D5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2" authorId="0" shapeId="0" xr:uid="{903932DF-F8E9-48A5-8B4C-0E593737A35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3" authorId="0" shapeId="0" xr:uid="{226D3A5F-B566-4FA2-B5A6-701C11A2F18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4" authorId="0" shapeId="0" xr:uid="{3DC4EAF8-C4E6-427D-8DB0-E7C465E8256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5" authorId="0" shapeId="0" xr:uid="{878BC068-272A-4A1E-A9B3-E7C41EB2C8A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6" authorId="0" shapeId="0" xr:uid="{B1415B10-3A4D-4A43-88A7-2B309E3E5E4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7" authorId="0" shapeId="0" xr:uid="{5FEA3415-21FC-4081-B29A-97E444DC222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8" authorId="0" shapeId="0" xr:uid="{A9BD536D-942A-4F5B-BB83-09850178761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9" authorId="0" shapeId="0" xr:uid="{86FA6AEE-42DA-4AA5-AC19-73FEE5C1DA0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0" authorId="0" shapeId="0" xr:uid="{F092D32A-AF67-4D70-BD33-019C91BFD0F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1" authorId="0" shapeId="0" xr:uid="{E8C4C082-387E-40DA-9CB2-B5FADCDA82B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2" authorId="0" shapeId="0" xr:uid="{321DC98A-3DAD-40E4-A564-BAB56EB86E4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3" authorId="0" shapeId="0" xr:uid="{CBA8D609-6B0E-4E63-AD97-B621E6C0029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4" authorId="0" shapeId="0" xr:uid="{C441D6D0-878E-40F9-B8F6-5282B11DD95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5" authorId="0" shapeId="0" xr:uid="{190C199C-436D-4394-A10F-73D0AE9276C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6" authorId="0" shapeId="0" xr:uid="{04D37593-E8B3-4EF2-AF46-B55EAC9D5E4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7" authorId="0" shapeId="0" xr:uid="{7D0CDFD7-B395-4EF8-8053-C4F0FED2942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8" authorId="0" shapeId="0" xr:uid="{37BFF279-8BC6-4F36-BEEA-90731CA10A5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9" authorId="0" shapeId="0" xr:uid="{5DE589E5-4925-4ADD-A978-8DBFA062482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0" authorId="0" shapeId="0" xr:uid="{3E1D3C70-295A-49F0-85BC-152E9E160C7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1" authorId="0" shapeId="0" xr:uid="{DAFF8AB9-6671-4081-B18A-FCBFA191ED4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2" authorId="0" shapeId="0" xr:uid="{B7DA3B46-B411-4559-8D2C-E777F6377A9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3" authorId="0" shapeId="0" xr:uid="{05B45D68-236B-4FC8-AD20-1D65A593BC9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4" authorId="0" shapeId="0" xr:uid="{F83E95D6-5A04-4EF2-9EAD-981E13B3DF4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5" authorId="0" shapeId="0" xr:uid="{1E77CA06-D535-4FB5-8A3A-68794DB6A12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6" authorId="0" shapeId="0" xr:uid="{FCA2F6AF-C473-40D2-9286-DB5CCFBD7F3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7" authorId="0" shapeId="0" xr:uid="{31694037-BA97-4645-9B6F-004B9371FEA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8" authorId="0" shapeId="0" xr:uid="{EEFDAA2B-F03B-4F06-9AFE-4D844253B5F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9" authorId="0" shapeId="0" xr:uid="{7CC28088-B426-40D3-9F93-977972C0829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0" authorId="0" shapeId="0" xr:uid="{817677E2-6DEE-45A8-BC8F-F5D3581A184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1" authorId="0" shapeId="0" xr:uid="{9EB09567-560C-4BFC-BC48-667B80C2022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2" authorId="0" shapeId="0" xr:uid="{C79D869B-C838-48C8-AEBA-5F626F69D74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3" authorId="0" shapeId="0" xr:uid="{30D6C80B-2D25-4C12-94D3-EBE68A6FAED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4" authorId="0" shapeId="0" xr:uid="{682C2482-630E-4AC9-8271-8075629BBF4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5" authorId="0" shapeId="0" xr:uid="{A1BE47C2-0E8D-446E-B8B5-B5ED97A9961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6" authorId="0" shapeId="0" xr:uid="{5F72EE08-9A7C-452D-98F5-FEE8FE695E7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7" authorId="0" shapeId="0" xr:uid="{3577A83E-E035-407A-9457-AAA58EB5693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8" authorId="0" shapeId="0" xr:uid="{E37DB8F0-89DF-4736-A961-87AD7AED810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9" authorId="0" shapeId="0" xr:uid="{93045528-8FB3-4465-8C70-29D6B036612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0" authorId="0" shapeId="0" xr:uid="{9EDB02AE-CD75-405A-B30A-99141325F37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1" authorId="0" shapeId="0" xr:uid="{668A22EB-BE3B-4069-9539-43957B8FBF6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2" authorId="0" shapeId="0" xr:uid="{260CE0E4-3886-4D78-A44D-A699AFEB042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3" authorId="0" shapeId="0" xr:uid="{8DD84CFB-E6EA-4C1B-87A3-BB9C65B83DE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4" authorId="0" shapeId="0" xr:uid="{3B33E629-4957-46A6-BE92-5D72F04A072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5" authorId="0" shapeId="0" xr:uid="{CE0AD440-9B4D-4338-AB8D-6AEA74099A7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6" authorId="0" shapeId="0" xr:uid="{6122DB8A-8E34-4E25-B632-07547219374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7" authorId="0" shapeId="0" xr:uid="{35B69F78-79D1-47A7-8534-3C3146E4E71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8" authorId="0" shapeId="0" xr:uid="{593DAD50-D7BB-4A65-8A10-BFAA043F27B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9" authorId="0" shapeId="0" xr:uid="{07392346-68A3-4CEE-BD41-F6B43BB02B1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0" authorId="0" shapeId="0" xr:uid="{E968AA58-ADED-43A3-8C36-8EA6E682FCF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1" authorId="0" shapeId="0" xr:uid="{7E463A20-67B4-483F-89F4-24D4DB0DCA0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2" authorId="0" shapeId="0" xr:uid="{0B062FBA-2912-4C11-9265-AA86B9E43DB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3" authorId="0" shapeId="0" xr:uid="{34267ECD-DC2B-46EA-A458-60DB38ADEEA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4" authorId="0" shapeId="0" xr:uid="{AEC4FB25-F3DA-4891-8508-176D516DC43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5" authorId="0" shapeId="0" xr:uid="{1E47A235-7B99-45B8-8152-E44BCD01B31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6" authorId="0" shapeId="0" xr:uid="{D45FD38D-CB35-4056-B115-7500B1F4DED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7" authorId="0" shapeId="0" xr:uid="{C20B9356-7C5D-45BB-A302-3690F4EA152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8" authorId="0" shapeId="0" xr:uid="{CE77FDBF-27AA-4F3A-9668-C220610720B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9" authorId="0" shapeId="0" xr:uid="{FC901BCB-A701-4481-B09B-FE89073732C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0" authorId="0" shapeId="0" xr:uid="{3FE7CB8F-3FA3-4AF5-899A-DA62F9C9424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1" authorId="0" shapeId="0" xr:uid="{9232B09D-3D21-41AF-B6C1-A78125D0029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2" authorId="0" shapeId="0" xr:uid="{554F693B-5D8E-45F4-98BC-70B6177F177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3" authorId="0" shapeId="0" xr:uid="{AC12FD56-18E4-4543-BB52-B4579982519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4" authorId="0" shapeId="0" xr:uid="{DD9B040F-6AE8-489E-AF0C-21A9F3048FF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5" authorId="0" shapeId="0" xr:uid="{26239DC6-A45C-4E9C-93B0-9A8FFC02C4A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6" authorId="0" shapeId="0" xr:uid="{596ED1D7-CC16-48F0-BC09-380856D011D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7" authorId="0" shapeId="0" xr:uid="{A694C0BB-4C93-497B-8AE3-AC1161AFE90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8" authorId="0" shapeId="0" xr:uid="{8FD11705-7E32-4A67-AC93-69DEEE43AEE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9" authorId="0" shapeId="0" xr:uid="{DF5BF721-7EFA-43C3-A176-4D25AF57380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50" authorId="0" shapeId="0" xr:uid="{34F2EC73-41A6-4F9D-9DC0-179EB6794EA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51" authorId="0" shapeId="0" xr:uid="{D7C5EAA1-7744-4518-84E6-17226136C54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52" authorId="0" shapeId="0" xr:uid="{E90FF404-B8FA-45E9-A31B-27D85777ED7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53" authorId="0" shapeId="0" xr:uid="{5912F52E-2ACB-497D-B92D-6C6137FEAB4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54" authorId="0" shapeId="0" xr:uid="{4DAAB60A-A044-4AAA-A368-B59A1372B25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55" authorId="0" shapeId="0" xr:uid="{A46AC93E-76C0-4CE2-935B-5904577F78A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56" authorId="0" shapeId="0" xr:uid="{E297A63B-17B5-42A3-9F9A-10B18B79927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57" authorId="0" shapeId="0" xr:uid="{44F0C3C9-EC61-4EC9-9E2A-C8A38B7BB20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58" authorId="0" shapeId="0" xr:uid="{A7CBFA87-9C37-4CE8-9D05-A59AD4CC83A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59" authorId="0" shapeId="0" xr:uid="{69F69F53-F809-49CE-A642-ED304B2F24E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60" authorId="0" shapeId="0" xr:uid="{BBE8CA29-750F-4010-BEE8-261AC00AC40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61" authorId="0" shapeId="0" xr:uid="{569C39C2-F6F1-4ED0-9CBF-91E2E6F854B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62" authorId="0" shapeId="0" xr:uid="{532ED94E-D335-48F7-B12B-0E75CAF03EC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63" authorId="0" shapeId="0" xr:uid="{A1EBC6AA-A5E4-40EE-BFA7-42C138E9A8D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64" authorId="0" shapeId="0" xr:uid="{58F381E1-8B55-4D9D-B751-7F235A952AA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65" authorId="0" shapeId="0" xr:uid="{901296CD-3704-42F5-A4A9-4C7C3E9E312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66" authorId="0" shapeId="0" xr:uid="{8C7E9BE1-3339-4846-88A8-F1961E81AD2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67" authorId="0" shapeId="0" xr:uid="{99F4A12C-139A-4037-88B1-0BBDDF30BBC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68" authorId="0" shapeId="0" xr:uid="{2E7B5B80-8149-4552-8E54-C027B338A6C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69" authorId="0" shapeId="0" xr:uid="{C43EB4ED-EBC6-480E-9CFA-88A4FD9A0FC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70" authorId="0" shapeId="0" xr:uid="{C2554F43-37AE-43F1-8DED-7B38DF5221B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71" authorId="0" shapeId="0" xr:uid="{CDA8878E-9CEC-4B2E-8F5B-2158FC44076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72" authorId="0" shapeId="0" xr:uid="{8BCD0A36-3D6E-4048-A86B-490A08F53A3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73" authorId="0" shapeId="0" xr:uid="{0F7A16F4-34A9-47C3-9D86-2919C181E15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74" authorId="0" shapeId="0" xr:uid="{2BA96F5E-F438-4595-93AF-699514B16C9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75" authorId="0" shapeId="0" xr:uid="{E670CFFD-F87C-4CAF-BF81-FFA89D0A486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76" authorId="0" shapeId="0" xr:uid="{EF6E4044-8507-40E7-A1B7-07B8B435233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77" authorId="0" shapeId="0" xr:uid="{4DDD2EF5-6E93-4B98-85CB-F308CC659C9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78" authorId="0" shapeId="0" xr:uid="{4B02BB43-A158-44BA-859D-35BF049E977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79" authorId="0" shapeId="0" xr:uid="{8CAB3802-879A-4801-93A9-7E592A169BB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80" authorId="0" shapeId="0" xr:uid="{C78BC809-399D-4E81-B3DE-194E044D620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81" authorId="0" shapeId="0" xr:uid="{DDC3F65B-833C-4B26-8CCD-D9D7B75783E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82" authorId="0" shapeId="0" xr:uid="{78BEAF8F-F0E2-4E59-9CAB-371319AD49B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83" authorId="0" shapeId="0" xr:uid="{FAD74660-16E7-4248-B8B1-488E400F212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84" authorId="0" shapeId="0" xr:uid="{727E59DE-FDBC-4F78-BBD8-05E2D2117F0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85" authorId="0" shapeId="0" xr:uid="{88EC71DD-17D8-4109-8363-B8777F35B8D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86" authorId="0" shapeId="0" xr:uid="{DEABE5CB-8E0C-4C4B-8364-A8FADE83B76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87" authorId="0" shapeId="0" xr:uid="{69FE88B8-5D77-47ED-B606-0FB9ECFAA1E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88" authorId="0" shapeId="0" xr:uid="{880D3D99-1C7F-4787-9E88-A58699F8D2B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89" authorId="0" shapeId="0" xr:uid="{E405B6AF-C95C-4134-AEB8-979CD629278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90" authorId="0" shapeId="0" xr:uid="{1AB9776F-77C9-40C6-BBC3-FAFAC6D8D7C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91" authorId="0" shapeId="0" xr:uid="{1D4E24AC-3A8F-47A8-90E8-8E544B35495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92" authorId="0" shapeId="0" xr:uid="{BBBDA69C-F010-490D-BA13-61D0D312988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93" authorId="0" shapeId="0" xr:uid="{C7E651AD-B872-4F59-ABEA-A19A50C0EED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94" authorId="0" shapeId="0" xr:uid="{EC20E48B-7C24-442F-A38A-DFAA18E0DC2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95" authorId="0" shapeId="0" xr:uid="{FC3C49D7-5E46-479A-87B1-E05C0F14055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96" authorId="0" shapeId="0" xr:uid="{896CB9C2-11A1-4220-85A2-AB6A247D26A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97" authorId="0" shapeId="0" xr:uid="{28A5ECF6-4828-4C15-B31B-85AB29C79DE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98" authorId="0" shapeId="0" xr:uid="{85243FEB-2FF2-4CCB-A273-9499563D027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99" authorId="0" shapeId="0" xr:uid="{3E637842-B494-4DE3-8D91-54E0D16182D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00" authorId="0" shapeId="0" xr:uid="{D453B667-2D1C-4FF0-953B-AF72F4C0CA6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01" authorId="0" shapeId="0" xr:uid="{24B24FA3-1C27-42A3-8CB5-F2E61D0C8C3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02" authorId="0" shapeId="0" xr:uid="{E4CD272B-2424-49E5-9FC6-DA0653C1D12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03" authorId="0" shapeId="0" xr:uid="{49E3E513-4904-4CB5-ACA2-FAF6A761324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04" authorId="0" shapeId="0" xr:uid="{75830FD5-A370-4500-91C2-45203A1CFCF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05" authorId="0" shapeId="0" xr:uid="{8462FD5B-23C6-4B6E-B440-0C3020F64E0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06" authorId="0" shapeId="0" xr:uid="{2EB732E0-4105-4879-A8CB-006D8926B0B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07" authorId="0" shapeId="0" xr:uid="{58B12588-0F45-4D82-A68F-773807277CC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08" authorId="0" shapeId="0" xr:uid="{DFC06D78-78F9-4E00-8B57-B3AE1937BD7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09" authorId="0" shapeId="0" xr:uid="{C5D1E445-785B-4872-97DF-3080758220C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10" authorId="0" shapeId="0" xr:uid="{34C4751B-7C35-4D02-A880-67003411E13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11" authorId="0" shapeId="0" xr:uid="{9AC20A9F-4AFE-4537-91D7-3B66395DE10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12" authorId="0" shapeId="0" xr:uid="{E5C441BD-265A-4CAA-88DB-9AA91F02413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13" authorId="0" shapeId="0" xr:uid="{847C7C30-E67C-471F-A1AC-C8CAE67C509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14" authorId="0" shapeId="0" xr:uid="{9E77CF3C-6519-47DD-AB5C-F9DB642449F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15" authorId="0" shapeId="0" xr:uid="{7E15113F-B444-4A86-8F33-510C8FE37D8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16" authorId="0" shapeId="0" xr:uid="{3263D5E5-FEC9-4BC5-8A8B-2EC886E1701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17" authorId="0" shapeId="0" xr:uid="{BC4D4DC3-10C2-41D3-8594-5A689077568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18" authorId="0" shapeId="0" xr:uid="{BCC0308B-B777-41D7-B96C-624F8C22BED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19" authorId="0" shapeId="0" xr:uid="{66B915A0-545D-4EB9-B191-29AAF4B9760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20" authorId="0" shapeId="0" xr:uid="{8B35DE70-5B40-4238-9C46-B280B9D31A6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21" authorId="0" shapeId="0" xr:uid="{28CB6569-F590-4B9F-8E8A-44015A82194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22" authorId="0" shapeId="0" xr:uid="{6A276C2E-47B5-4B9C-BE2F-9C80777BD5A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23" authorId="0" shapeId="0" xr:uid="{B6EFF971-20C1-4058-8D62-E1539D1ECA3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24" authorId="0" shapeId="0" xr:uid="{91DAA781-3376-4A0D-BE9F-EC3001041CB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25" authorId="0" shapeId="0" xr:uid="{ED77E918-2CCD-4F4E-AFCC-1F0143C9773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26" authorId="0" shapeId="0" xr:uid="{EAC11EC5-4EB3-4FD1-82FB-CEF8E5C9F9E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27" authorId="0" shapeId="0" xr:uid="{43A15507-2951-4716-8588-8D2FAD6B750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28" authorId="0" shapeId="0" xr:uid="{20CA6917-6AA4-4BD0-BD42-C9C5FEDAE83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29" authorId="0" shapeId="0" xr:uid="{53E49E9F-0E8C-446D-B14B-A0CE104A9C1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30" authorId="0" shapeId="0" xr:uid="{0F30104A-4018-4CFF-AA05-4F1660BB4DB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31" authorId="0" shapeId="0" xr:uid="{8CB8D674-1532-437B-8222-0F7222C1794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32" authorId="0" shapeId="0" xr:uid="{560A6699-6A7E-402C-8F0B-F8CB9D74DB8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33" authorId="0" shapeId="0" xr:uid="{1832A4E9-FBBA-430D-B630-AC04FCB325B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34" authorId="0" shapeId="0" xr:uid="{657A49AA-FE0C-4BA8-AC68-1C475151CCA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35" authorId="0" shapeId="0" xr:uid="{86EDB8C8-7D47-4F6E-A8B2-EA3089C9B47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36" authorId="0" shapeId="0" xr:uid="{7BB652BC-BD00-4B6D-A40A-FAC3A793944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37" authorId="0" shapeId="0" xr:uid="{A050537C-757A-4D49-801A-0D5A77A9859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38" authorId="0" shapeId="0" xr:uid="{64A329C5-44E7-46AC-B95E-11CBAE6B63A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39" authorId="0" shapeId="0" xr:uid="{80FB9EDF-56C4-4FBC-A470-8596727C246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40" authorId="0" shapeId="0" xr:uid="{E5A104C3-D75A-4B27-8EA4-6DAC0741427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41" authorId="0" shapeId="0" xr:uid="{613F5B01-261F-4549-95C3-7694B8767B8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42" authorId="0" shapeId="0" xr:uid="{09E6612C-42F3-493D-AC7F-305A1B11CF1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43" authorId="0" shapeId="0" xr:uid="{F688C78F-9AD3-4026-847D-7E3E237990E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44" authorId="0" shapeId="0" xr:uid="{7DF6FEEC-FB63-4D4A-857B-AC4802F69DC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45" authorId="0" shapeId="0" xr:uid="{A14E146B-E88F-4751-90B3-FA0436B1DB2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46" authorId="0" shapeId="0" xr:uid="{AA2D3632-419C-48A4-AB39-8C986B74F63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47" authorId="0" shapeId="0" xr:uid="{669C236D-DE3A-4D77-B54F-9F4E19A1C29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48" authorId="0" shapeId="0" xr:uid="{B4670E96-0424-4BB3-9507-12869390388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49" authorId="0" shapeId="0" xr:uid="{0A9F786A-D763-40F8-B5BF-69CA361E2C9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50" authorId="0" shapeId="0" xr:uid="{713DC8B5-A752-481B-ACC1-B234B5C82B6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51" authorId="0" shapeId="0" xr:uid="{CDB10562-F04C-42D8-B4D8-97FF77A08FF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52" authorId="0" shapeId="0" xr:uid="{B6057D76-AD28-474E-8771-52F044BFED6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53" authorId="0" shapeId="0" xr:uid="{350D047D-AADF-41EE-90A8-D752511CCFE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54" authorId="0" shapeId="0" xr:uid="{DCF384DA-8B1C-498D-984E-A0079A611B3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55" authorId="0" shapeId="0" xr:uid="{B3FF51A3-B1C1-4866-B466-BBCF9F69866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56" authorId="0" shapeId="0" xr:uid="{E8BD1077-9E10-4319-BB51-9266E46D012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57" authorId="0" shapeId="0" xr:uid="{75750AA2-BB1E-4882-93BC-E43FD4952FE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58" authorId="0" shapeId="0" xr:uid="{765E3818-C70F-462B-8241-5802C92C378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59" authorId="0" shapeId="0" xr:uid="{3D6A1F87-D1CC-4DB4-8B84-184925224F5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60" authorId="0" shapeId="0" xr:uid="{B84DC206-FB75-4619-8ACE-C0221F32650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61" authorId="0" shapeId="0" xr:uid="{B25D48D1-3018-4DF5-9518-E9EE6135033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62" authorId="0" shapeId="0" xr:uid="{D1968567-506E-4966-9612-1711803D98F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63" authorId="0" shapeId="0" xr:uid="{AD3AE170-60EC-495E-BA69-1A989445896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64" authorId="0" shapeId="0" xr:uid="{75C23B5A-263B-47CF-B020-6BE5FA332CB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65" authorId="0" shapeId="0" xr:uid="{D9C3130C-BB67-4569-9806-61D63CE23E4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66" authorId="0" shapeId="0" xr:uid="{7EC7EEB4-4506-4C43-A1B5-D0C5235EC96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67" authorId="0" shapeId="0" xr:uid="{6B5438B0-FEB2-4217-9FEF-50D167FEA56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68" authorId="0" shapeId="0" xr:uid="{46764A12-5D91-4E82-8419-BA5D794AA5B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69" authorId="0" shapeId="0" xr:uid="{3F2C74B3-A3A6-4113-8254-9F29A136D55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70" authorId="0" shapeId="0" xr:uid="{2F49437D-4A02-4EBE-94F6-4D0D8A06D57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71" authorId="0" shapeId="0" xr:uid="{73FAF507-753E-4E97-8241-E8A4632230B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72" authorId="0" shapeId="0" xr:uid="{E1165A1F-35B0-4FA5-B516-22C5CB689B9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73" authorId="0" shapeId="0" xr:uid="{B004AFBD-DCC8-4332-9981-02C3ABB4DAC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274" authorId="0" shapeId="0" xr:uid="{D5A7BF70-C754-41CD-9B87-1EF70EF716E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<sst xmlns="http://schemas.openxmlformats.org/spreadsheetml/2006/main" count="9724" uniqueCount="3952">
  <si>
    <t>SN0109</t>
  </si>
  <si>
    <t>SN0318</t>
  </si>
  <si>
    <t>SN0393</t>
  </si>
  <si>
    <t>SN0421</t>
  </si>
  <si>
    <t>SN0162</t>
  </si>
  <si>
    <t>SN0205</t>
  </si>
  <si>
    <t>SN0160</t>
  </si>
  <si>
    <t>SN0016</t>
  </si>
  <si>
    <t>SN0505</t>
  </si>
  <si>
    <t>SN0672</t>
  </si>
  <si>
    <t>SN0144</t>
  </si>
  <si>
    <t>SN0923</t>
  </si>
  <si>
    <t>SN0582</t>
  </si>
  <si>
    <t>SN0721</t>
  </si>
  <si>
    <t>SN0463</t>
  </si>
  <si>
    <t>SN0495</t>
  </si>
  <si>
    <t>SN0091</t>
  </si>
  <si>
    <t>SN0913</t>
  </si>
  <si>
    <t>SN0779</t>
  </si>
  <si>
    <t>SN0939</t>
  </si>
  <si>
    <t>SN0797</t>
  </si>
  <si>
    <t>SN0931</t>
  </si>
  <si>
    <t>SN0882</t>
  </si>
  <si>
    <t>SN0017</t>
  </si>
  <si>
    <t>SN0482</t>
  </si>
  <si>
    <t>SN0602</t>
  </si>
  <si>
    <t>SN0994</t>
  </si>
  <si>
    <t>SN1177</t>
  </si>
  <si>
    <t>SN1162</t>
  </si>
  <si>
    <t>SN1172</t>
  </si>
  <si>
    <t>SN1088</t>
  </si>
  <si>
    <t>SN1253</t>
  </si>
  <si>
    <t>SN1315</t>
  </si>
  <si>
    <t>SN0072</t>
  </si>
  <si>
    <t>SN0333</t>
  </si>
  <si>
    <t>SN1534</t>
  </si>
  <si>
    <t>SN0652</t>
  </si>
  <si>
    <t>SN0663</t>
  </si>
  <si>
    <t>SN0536</t>
  </si>
  <si>
    <t>SN0364</t>
  </si>
  <si>
    <t>SN0769</t>
  </si>
  <si>
    <t>SN1520</t>
  </si>
  <si>
    <t>SN0832</t>
  </si>
  <si>
    <t>SN0982</t>
  </si>
  <si>
    <t>SN1578</t>
  </si>
  <si>
    <t>SN0014</t>
  </si>
  <si>
    <t>SN1583</t>
  </si>
  <si>
    <t>SN0983</t>
  </si>
  <si>
    <t>SN1711</t>
  </si>
  <si>
    <t>SN1663</t>
  </si>
  <si>
    <t>SN1698</t>
  </si>
  <si>
    <t>SN1703</t>
  </si>
  <si>
    <t>SN1674</t>
  </si>
  <si>
    <t>SN1781</t>
  </si>
  <si>
    <t>SN1941</t>
  </si>
  <si>
    <t>SN1967</t>
  </si>
  <si>
    <t>SN1567</t>
  </si>
  <si>
    <t>SN0867</t>
  </si>
  <si>
    <t>SN0049</t>
  </si>
  <si>
    <t>SN0052</t>
  </si>
  <si>
    <t>SN1836</t>
  </si>
  <si>
    <t>SN1297</t>
  </si>
  <si>
    <t>SN1704</t>
  </si>
  <si>
    <t>SN1871</t>
  </si>
  <si>
    <t>SN1324</t>
  </si>
  <si>
    <t>SN1498</t>
  </si>
  <si>
    <t>SN1069</t>
  </si>
  <si>
    <t>SN0675</t>
  </si>
  <si>
    <t>SN0269</t>
  </si>
  <si>
    <t>SN0803</t>
  </si>
  <si>
    <t>SN1913</t>
  </si>
  <si>
    <t>SN1628</t>
  </si>
  <si>
    <t>SN2027</t>
  </si>
  <si>
    <t>SN1625</t>
  </si>
  <si>
    <t>SN1503</t>
  </si>
  <si>
    <t>SN2047</t>
  </si>
  <si>
    <t>SN1482</t>
  </si>
  <si>
    <t>SN0271</t>
  </si>
  <si>
    <t>SN2037</t>
  </si>
  <si>
    <t>SN1103</t>
  </si>
  <si>
    <t>SN1483</t>
  </si>
  <si>
    <t>SN1606</t>
  </si>
  <si>
    <t>SN1612</t>
  </si>
  <si>
    <t>SN0110</t>
  </si>
  <si>
    <t>SN1377</t>
  </si>
  <si>
    <t>SN2028</t>
  </si>
  <si>
    <t>SN0878</t>
  </si>
  <si>
    <t>SN1819</t>
  </si>
  <si>
    <t>SN1635</t>
  </si>
  <si>
    <t>SN1643</t>
  </si>
  <si>
    <t>SN1100</t>
  </si>
  <si>
    <t>SN1627</t>
  </si>
  <si>
    <t>SN1511</t>
  </si>
  <si>
    <t>SN1323</t>
  </si>
  <si>
    <t>SN1504</t>
  </si>
  <si>
    <t>SN2041</t>
  </si>
  <si>
    <t>SN2138</t>
  </si>
  <si>
    <t>SN2105</t>
  </si>
  <si>
    <t>SN0628</t>
  </si>
  <si>
    <t>SN1640</t>
  </si>
  <si>
    <t>SN1776</t>
  </si>
  <si>
    <t>SN1791</t>
  </si>
  <si>
    <t>SN1141</t>
  </si>
  <si>
    <t>SN2142</t>
  </si>
  <si>
    <t>SN2053</t>
  </si>
  <si>
    <t>SN2130</t>
  </si>
  <si>
    <t>SN2136</t>
  </si>
  <si>
    <t>SN2429</t>
  </si>
  <si>
    <t>SN2438</t>
  </si>
  <si>
    <t>SN2524</t>
  </si>
  <si>
    <t>SN2535</t>
  </si>
  <si>
    <t>SN0278</t>
  </si>
  <si>
    <t>SN1143</t>
  </si>
  <si>
    <t>SN1355</t>
  </si>
  <si>
    <t>SN2199</t>
  </si>
  <si>
    <t>SN2161</t>
  </si>
  <si>
    <t>SN2543</t>
  </si>
  <si>
    <t>SN0696</t>
  </si>
  <si>
    <t>SN1873</t>
  </si>
  <si>
    <t>SN1639</t>
  </si>
  <si>
    <t>SN2050</t>
  </si>
  <si>
    <t>SN2084</t>
  </si>
  <si>
    <t>SN2587</t>
  </si>
  <si>
    <t>SN2171</t>
  </si>
  <si>
    <t>SN2606</t>
  </si>
  <si>
    <t>SN2318</t>
  </si>
  <si>
    <t>SN2321</t>
  </si>
  <si>
    <t>SN2292</t>
  </si>
  <si>
    <t>SN2338</t>
  </si>
  <si>
    <t>SN2249</t>
  </si>
  <si>
    <t>SN1646</t>
  </si>
  <si>
    <t>SN1794</t>
  </si>
  <si>
    <t>SN0968</t>
  </si>
  <si>
    <t>SN1812</t>
  </si>
  <si>
    <t>SN1825</t>
  </si>
  <si>
    <t>SN2652</t>
  </si>
  <si>
    <t>SN0148</t>
  </si>
  <si>
    <t>SN1922</t>
  </si>
  <si>
    <t>SN1522</t>
  </si>
  <si>
    <t>SN1929</t>
  </si>
  <si>
    <t>SN2413</t>
  </si>
  <si>
    <t>SN0267</t>
  </si>
  <si>
    <t>SN1087</t>
  </si>
  <si>
    <t>SN1792</t>
  </si>
  <si>
    <t>SN1696</t>
  </si>
  <si>
    <t>SN0115</t>
  </si>
  <si>
    <t>SN2209</t>
  </si>
  <si>
    <t>SN1367</t>
  </si>
  <si>
    <t>SN2880</t>
  </si>
  <si>
    <t>SN1386</t>
  </si>
  <si>
    <t>SN2881</t>
  </si>
  <si>
    <t>SN2227</t>
  </si>
  <si>
    <t>SN2649</t>
  </si>
  <si>
    <t>SN2011</t>
  </si>
  <si>
    <t>SN2625</t>
  </si>
  <si>
    <t>SN2637</t>
  </si>
  <si>
    <t>SN0128</t>
  </si>
  <si>
    <t>SN0158</t>
  </si>
  <si>
    <t>SN0167</t>
  </si>
  <si>
    <t>SN1400</t>
  </si>
  <si>
    <t>SN2479</t>
  </si>
  <si>
    <t>SN2643</t>
  </si>
  <si>
    <t>SN2240</t>
  </si>
  <si>
    <t>SN1950</t>
  </si>
  <si>
    <t>SN2381</t>
  </si>
  <si>
    <t>SN1985</t>
  </si>
  <si>
    <t>SN2758</t>
  </si>
  <si>
    <t>SN2628</t>
  </si>
  <si>
    <t>SN2382</t>
  </si>
  <si>
    <t>SN2569</t>
  </si>
  <si>
    <t>SN1416</t>
  </si>
  <si>
    <t>SN1445</t>
  </si>
  <si>
    <t>SN1439</t>
  </si>
  <si>
    <t>SN2553</t>
  </si>
  <si>
    <t>SN2765</t>
  </si>
  <si>
    <t>SN2295</t>
  </si>
  <si>
    <t>SN2165</t>
  </si>
  <si>
    <t>SN2571</t>
  </si>
  <si>
    <t>SN1365</t>
  </si>
  <si>
    <t>SN2206</t>
  </si>
  <si>
    <t>SN2100</t>
  </si>
  <si>
    <t>SN2884</t>
  </si>
  <si>
    <t>SN2886</t>
  </si>
  <si>
    <t>SN2926</t>
  </si>
  <si>
    <t>SN0138</t>
  </si>
  <si>
    <t>SN0119</t>
  </si>
  <si>
    <t>SN0033</t>
  </si>
  <si>
    <t>SN0230</t>
  </si>
  <si>
    <t>SN0108</t>
  </si>
  <si>
    <t>SN1447</t>
  </si>
  <si>
    <t>SN2882</t>
  </si>
  <si>
    <t>SN0089</t>
  </si>
  <si>
    <t>SN0202</t>
  </si>
  <si>
    <t>SN0185</t>
  </si>
  <si>
    <t>SN0143</t>
  </si>
  <si>
    <t>SN0583</t>
  </si>
  <si>
    <t>SN0177</t>
  </si>
  <si>
    <t>SN0223</t>
  </si>
  <si>
    <t>SN0140</t>
  </si>
  <si>
    <t>SN0272</t>
  </si>
  <si>
    <t>SN0444</t>
  </si>
  <si>
    <t>SN0135</t>
  </si>
  <si>
    <t>SN0065</t>
  </si>
  <si>
    <t>SN0101</t>
  </si>
  <si>
    <t>SN0503</t>
  </si>
  <si>
    <t>SN0485</t>
  </si>
  <si>
    <t>SN0746</t>
  </si>
  <si>
    <t>SN0902</t>
  </si>
  <si>
    <t>SN0240</t>
  </si>
  <si>
    <t>SN0051</t>
  </si>
  <si>
    <t>SN0073</t>
  </si>
  <si>
    <t>SN0009</t>
  </si>
  <si>
    <t>SN0851</t>
  </si>
  <si>
    <t>SN0103</t>
  </si>
  <si>
    <t>SN0789</t>
  </si>
  <si>
    <t>SN1046</t>
  </si>
  <si>
    <t>SN0616</t>
  </si>
  <si>
    <t>SN0363</t>
  </si>
  <si>
    <t>SN0875</t>
  </si>
  <si>
    <t>SN0010</t>
  </si>
  <si>
    <t>SN0129</t>
  </si>
  <si>
    <t>SN0037</t>
  </si>
  <si>
    <t>SN0423</t>
  </si>
  <si>
    <t>SN1023</t>
  </si>
  <si>
    <t>SN0339</t>
  </si>
  <si>
    <t>SN0260</t>
  </si>
  <si>
    <t>SN0145</t>
  </si>
  <si>
    <t>SN1081</t>
  </si>
  <si>
    <t>SN0365</t>
  </si>
  <si>
    <t>SN0433</t>
  </si>
  <si>
    <t>SN0811</t>
  </si>
  <si>
    <t>SN0847</t>
  </si>
  <si>
    <t>SN0877</t>
  </si>
  <si>
    <t>SN0116</t>
  </si>
  <si>
    <t>SN0909</t>
  </si>
  <si>
    <t>SN0298</t>
  </si>
  <si>
    <t>SN0381</t>
  </si>
  <si>
    <t>SN0727</t>
  </si>
  <si>
    <t>SN1153</t>
  </si>
  <si>
    <t>SN1362</t>
  </si>
  <si>
    <t>SN0168</t>
  </si>
  <si>
    <t>SN0165</t>
  </si>
  <si>
    <t>SN1433</t>
  </si>
  <si>
    <t>SN0919</t>
  </si>
  <si>
    <t>SN0973</t>
  </si>
  <si>
    <t>SN0133</t>
  </si>
  <si>
    <t>SN1378</t>
  </si>
  <si>
    <t>SN0899</t>
  </si>
  <si>
    <t>SN1364</t>
  </si>
  <si>
    <t>SN0925</t>
  </si>
  <si>
    <t>SN0179</t>
  </si>
  <si>
    <t>SN1458</t>
  </si>
  <si>
    <t>SN0184</t>
  </si>
  <si>
    <t>SN1723</t>
  </si>
  <si>
    <t>SN0426</t>
  </si>
  <si>
    <t>SN1764</t>
  </si>
  <si>
    <t>SN1767</t>
  </si>
  <si>
    <t>SN0186</t>
  </si>
  <si>
    <t>SN0226</t>
  </si>
  <si>
    <t>SN0585</t>
  </si>
  <si>
    <t>SN0454</t>
  </si>
  <si>
    <t>SN0209</t>
  </si>
  <si>
    <t>SN1499</t>
  </si>
  <si>
    <t>SN1581</t>
  </si>
  <si>
    <t>SN0317</t>
  </si>
  <si>
    <t>SN0319</t>
  </si>
  <si>
    <t>SN1094</t>
  </si>
  <si>
    <t>SN0341</t>
  </si>
  <si>
    <t>SN0349</t>
  </si>
  <si>
    <t>SN2769</t>
  </si>
  <si>
    <t>SN2768</t>
  </si>
  <si>
    <t>SN1596</t>
  </si>
  <si>
    <t>SN1885</t>
  </si>
  <si>
    <t>SN1897</t>
  </si>
  <si>
    <t>SN2783</t>
  </si>
  <si>
    <t>SN1863</t>
  </si>
  <si>
    <t>SN1218</t>
  </si>
  <si>
    <t>SN0159</t>
  </si>
  <si>
    <t>SN0414</t>
  </si>
  <si>
    <t>SN1968</t>
  </si>
  <si>
    <t>SN0067</t>
  </si>
  <si>
    <t>SN1949</t>
  </si>
  <si>
    <t>SN1603</t>
  </si>
  <si>
    <t>SN1998</t>
  </si>
  <si>
    <t>SN2414</t>
  </si>
  <si>
    <t>SN2519</t>
  </si>
  <si>
    <t>SN1528</t>
  </si>
  <si>
    <t>SN1664</t>
  </si>
  <si>
    <t>SN2052</t>
  </si>
  <si>
    <t>SN0370</t>
  </si>
  <si>
    <t>SN0960</t>
  </si>
  <si>
    <t>SN0246</t>
  </si>
  <si>
    <t>SN2580</t>
  </si>
  <si>
    <t>SN1267</t>
  </si>
  <si>
    <t>SN1585</t>
  </si>
  <si>
    <t>SN1147</t>
  </si>
  <si>
    <t>SN0795</t>
  </si>
  <si>
    <t>SN0516</t>
  </si>
  <si>
    <t>SN1569</t>
  </si>
  <si>
    <t>SN0396</t>
  </si>
  <si>
    <t>SN2672</t>
  </si>
  <si>
    <t>SN0380</t>
  </si>
  <si>
    <t>SN0062</t>
  </si>
  <si>
    <t>SN2827</t>
  </si>
  <si>
    <t>SN2693</t>
  </si>
  <si>
    <t>SN1280</t>
  </si>
  <si>
    <t>SN1990</t>
  </si>
  <si>
    <t>SN1958</t>
  </si>
  <si>
    <t>SN0874</t>
  </si>
  <si>
    <t>SN1289</t>
  </si>
  <si>
    <t>SN0407</t>
  </si>
  <si>
    <t>SN1986</t>
  </si>
  <si>
    <t>SN2322</t>
  </si>
  <si>
    <t>SN2329</t>
  </si>
  <si>
    <t>SN2059</t>
  </si>
  <si>
    <t>SN1642</t>
  </si>
  <si>
    <t>SN1538</t>
  </si>
  <si>
    <t>SN2067</t>
  </si>
  <si>
    <t>SN2405</t>
  </si>
  <si>
    <t>SN0244</t>
  </si>
  <si>
    <t>SN2449</t>
  </si>
  <si>
    <t>SN2584</t>
  </si>
  <si>
    <t>SN1775</t>
  </si>
  <si>
    <t>SN2187</t>
  </si>
  <si>
    <t>SN1999</t>
  </si>
  <si>
    <t>SN1028</t>
  </si>
  <si>
    <t>SN1099</t>
  </si>
  <si>
    <t>SN0600</t>
  </si>
  <si>
    <t>SN0703</t>
  </si>
  <si>
    <t>SN1980</t>
  </si>
  <si>
    <t>SN1356</t>
  </si>
  <si>
    <t>SN2015</t>
  </si>
  <si>
    <t>SN1991</t>
  </si>
  <si>
    <t>SN0717</t>
  </si>
  <si>
    <t>SN1914</t>
  </si>
  <si>
    <t>SN2679</t>
  </si>
  <si>
    <t>SN1561</t>
  </si>
  <si>
    <t>SN0706</t>
  </si>
  <si>
    <t>SN0486</t>
  </si>
  <si>
    <t>SN1979</t>
  </si>
  <si>
    <t>SN0603</t>
  </si>
  <si>
    <t>SN1673</t>
  </si>
  <si>
    <t>SN1686</t>
  </si>
  <si>
    <t>SN2586</t>
  </si>
  <si>
    <t>SN2458</t>
  </si>
  <si>
    <t>SN1093</t>
  </si>
  <si>
    <t>SN0438</t>
  </si>
  <si>
    <t>SN1226</t>
  </si>
  <si>
    <t>SN0621</t>
  </si>
  <si>
    <t>SN1127</t>
  </si>
  <si>
    <t>SN1672</t>
  </si>
  <si>
    <t>SN1502</t>
  </si>
  <si>
    <t>SN1689</t>
  </si>
  <si>
    <t>SN2008</t>
  </si>
  <si>
    <t>SN2069</t>
  </si>
  <si>
    <t>SN1163</t>
  </si>
  <si>
    <t>SN1171</t>
  </si>
  <si>
    <t>SN2094</t>
  </si>
  <si>
    <t>SN0943</t>
  </si>
  <si>
    <t>SN2621</t>
  </si>
  <si>
    <t>SN2523</t>
  </si>
  <si>
    <t>SN0775</t>
  </si>
  <si>
    <t>SN1636</t>
  </si>
  <si>
    <t>SN1589</t>
  </si>
  <si>
    <t>SN2072</t>
  </si>
  <si>
    <t>SN2092</t>
  </si>
  <si>
    <t>SN1748</t>
  </si>
  <si>
    <t>SN1616</t>
  </si>
  <si>
    <t>SN0907</t>
  </si>
  <si>
    <t>SN1945</t>
  </si>
  <si>
    <t>SN2466</t>
  </si>
  <si>
    <t>SN2473</t>
  </si>
  <si>
    <t>SN1535</t>
  </si>
  <si>
    <t>SN2368</t>
  </si>
  <si>
    <t>SN1550</t>
  </si>
  <si>
    <t>SN2518</t>
  </si>
  <si>
    <t>SN2536</t>
  </si>
  <si>
    <t>SN0561</t>
  </si>
  <si>
    <t>SN0643</t>
  </si>
  <si>
    <t>SN1182</t>
  </si>
  <si>
    <t>SN2377</t>
  </si>
  <si>
    <t>SN2552</t>
  </si>
  <si>
    <t>SN1930</t>
  </si>
  <si>
    <t>SN1804</t>
  </si>
  <si>
    <t>SN2003</t>
  </si>
  <si>
    <t>SN1724</t>
  </si>
  <si>
    <t>SN1837</t>
  </si>
  <si>
    <t>SN2229</t>
  </si>
  <si>
    <t>SN2411</t>
  </si>
  <si>
    <t>SN2228</t>
  </si>
  <si>
    <t>SN2096</t>
  </si>
  <si>
    <t>SN1962</t>
  </si>
  <si>
    <t>SN2872</t>
  </si>
  <si>
    <t>SN1828</t>
  </si>
  <si>
    <t>SN1988</t>
  </si>
  <si>
    <t>SN1691</t>
  </si>
  <si>
    <t>SN1811</t>
  </si>
  <si>
    <t>SN1577</t>
  </si>
  <si>
    <t>SN2665</t>
  </si>
  <si>
    <t>SN1864</t>
  </si>
  <si>
    <t>SN2766</t>
  </si>
  <si>
    <t>SN2172</t>
  </si>
  <si>
    <t>SN2178</t>
  </si>
  <si>
    <t>SN2893</t>
  </si>
  <si>
    <t>SN2778</t>
  </si>
  <si>
    <t>SN1895</t>
  </si>
  <si>
    <t>SN1240</t>
  </si>
  <si>
    <t>SN1281</t>
  </si>
  <si>
    <t>SN2655</t>
  </si>
  <si>
    <t>SN2879</t>
  </si>
  <si>
    <t>SN1403</t>
  </si>
  <si>
    <t>SN2476</t>
  </si>
  <si>
    <t>SN2654</t>
  </si>
  <si>
    <t>SN1463</t>
  </si>
  <si>
    <t>SN1302</t>
  </si>
  <si>
    <t>SN0897</t>
  </si>
  <si>
    <t>SN0898</t>
  </si>
  <si>
    <t>SN2135</t>
  </si>
  <si>
    <t>SN2776</t>
  </si>
  <si>
    <t>SN2153</t>
  </si>
  <si>
    <t>SN2807</t>
  </si>
  <si>
    <t>SN0758</t>
  </si>
  <si>
    <t>SN2173</t>
  </si>
  <si>
    <t>SN0794</t>
  </si>
  <si>
    <t>SN0774</t>
  </si>
  <si>
    <t>SN2129</t>
  </si>
  <si>
    <t>SN1352</t>
  </si>
  <si>
    <t>SN2656</t>
  </si>
  <si>
    <t>SN1513</t>
  </si>
  <si>
    <t>SN1334</t>
  </si>
  <si>
    <t>SN0575</t>
  </si>
  <si>
    <t>SN0933</t>
  </si>
  <si>
    <t>SN1372</t>
  </si>
  <si>
    <t>SN1241</t>
  </si>
  <si>
    <t>SN1405</t>
  </si>
  <si>
    <t>SN1408</t>
  </si>
  <si>
    <t>SN2166</t>
  </si>
  <si>
    <t>SN1461</t>
  </si>
  <si>
    <t>SN2197</t>
  </si>
  <si>
    <t>SN2603</t>
  </si>
  <si>
    <t>SN2635</t>
  </si>
  <si>
    <t>SN1027</t>
  </si>
  <si>
    <t>SN1959</t>
  </si>
  <si>
    <t>SN2017</t>
  </si>
  <si>
    <t>SN2795</t>
  </si>
  <si>
    <t>SN0701</t>
  </si>
  <si>
    <t>SN1822</t>
  </si>
  <si>
    <t>SN2159</t>
  </si>
  <si>
    <t>SN2139</t>
  </si>
  <si>
    <t>SN2467</t>
  </si>
  <si>
    <t>SN1518</t>
  </si>
  <si>
    <t>SN2680</t>
  </si>
  <si>
    <t>SN2316</t>
  </si>
  <si>
    <t>SN2065</t>
  </si>
  <si>
    <t>SN2713</t>
  </si>
  <si>
    <t>SN2690</t>
  </si>
  <si>
    <t>SN2472</t>
  </si>
  <si>
    <t>SN2424</t>
  </si>
  <si>
    <t>SN2398</t>
  </si>
  <si>
    <t>SN2481</t>
  </si>
  <si>
    <t>SN2226</t>
  </si>
  <si>
    <t>SN2380</t>
  </si>
  <si>
    <t>SN2019</t>
  </si>
  <si>
    <t>SN2026</t>
  </si>
  <si>
    <t>SN0985</t>
  </si>
  <si>
    <t>SN2415</t>
  </si>
  <si>
    <t>SN2589</t>
  </si>
  <si>
    <t>SN2662</t>
  </si>
  <si>
    <t>SN2613</t>
  </si>
  <si>
    <t>SN2627</t>
  </si>
  <si>
    <t>SN2895</t>
  </si>
  <si>
    <t>SN2383</t>
  </si>
  <si>
    <t>SN2678</t>
  </si>
  <si>
    <t>SN0079</t>
  </si>
  <si>
    <t>SN0085</t>
  </si>
  <si>
    <t>SN2864</t>
  </si>
  <si>
    <t>SN2885</t>
  </si>
  <si>
    <t>SN2522</t>
  </si>
  <si>
    <t>SN0074</t>
  </si>
  <si>
    <t>SN2716</t>
  </si>
  <si>
    <t>SN0183</t>
  </si>
  <si>
    <t>SN0533</t>
  </si>
  <si>
    <t>SN0274</t>
  </si>
  <si>
    <t>SN0422</t>
  </si>
  <si>
    <t>SN0452</t>
  </si>
  <si>
    <t>SN2821</t>
  </si>
  <si>
    <t>SN0064</t>
  </si>
  <si>
    <t>SN0410</t>
  </si>
  <si>
    <t>SN0404</t>
  </si>
  <si>
    <t>SN0451</t>
  </si>
  <si>
    <t>SN0416</t>
  </si>
  <si>
    <t>SN0684</t>
  </si>
  <si>
    <t>SN0437</t>
  </si>
  <si>
    <t>SN0991</t>
  </si>
  <si>
    <t>SN0268</t>
  </si>
  <si>
    <t>SN0164</t>
  </si>
  <si>
    <t>SN0088</t>
  </si>
  <si>
    <t>SN0702</t>
  </si>
  <si>
    <t>SN0719</t>
  </si>
  <si>
    <t>SN1196</t>
  </si>
  <si>
    <t>SN8012</t>
  </si>
  <si>
    <t>Wellness Defense™ 48 Tablet Counter Display</t>
  </si>
  <si>
    <t>SN2609</t>
  </si>
  <si>
    <t>SN0741</t>
  </si>
  <si>
    <t>SN1191</t>
  </si>
  <si>
    <t>SN0084</t>
  </si>
  <si>
    <t>SN0466</t>
  </si>
  <si>
    <t>SN0534</t>
  </si>
  <si>
    <t>SN1268</t>
  </si>
  <si>
    <t>SN1559</t>
  </si>
  <si>
    <t>SN1560</t>
  </si>
  <si>
    <t>SN0888</t>
  </si>
  <si>
    <t>SN0262</t>
  </si>
  <si>
    <t>SN0448</t>
  </si>
  <si>
    <t>SN1298</t>
  </si>
  <si>
    <t>SN0815</t>
  </si>
  <si>
    <t>SN0492</t>
  </si>
  <si>
    <t>SN1860</t>
  </si>
  <si>
    <t>SN0749</t>
  </si>
  <si>
    <t>SN1591</t>
  </si>
  <si>
    <t>SN1894</t>
  </si>
  <si>
    <t>SN0868</t>
  </si>
  <si>
    <t>SN1043</t>
  </si>
  <si>
    <t>SN0445</t>
  </si>
  <si>
    <t>SN1303</t>
  </si>
  <si>
    <t>SN0121</t>
  </si>
  <si>
    <t>SN0710</t>
  </si>
  <si>
    <t>SN0266</t>
  </si>
  <si>
    <t>SN1563</t>
  </si>
  <si>
    <t>SN1161</t>
  </si>
  <si>
    <t>SN0305</t>
  </si>
  <si>
    <t>SN1966</t>
  </si>
  <si>
    <t>SN0804</t>
  </si>
  <si>
    <t>SN0484</t>
  </si>
  <si>
    <t>SN1582</t>
  </si>
  <si>
    <t>SN1009</t>
  </si>
  <si>
    <t>SN0111</t>
  </si>
  <si>
    <t>SN1615</t>
  </si>
  <si>
    <t>SN2156</t>
  </si>
  <si>
    <t>SN1747</t>
  </si>
  <si>
    <t>SN0906</t>
  </si>
  <si>
    <t>SN0237</t>
  </si>
  <si>
    <t>SN1305</t>
  </si>
  <si>
    <t>SN1695</t>
  </si>
  <si>
    <t>SN0502</t>
  </si>
  <si>
    <t>SN1104</t>
  </si>
  <si>
    <t>SN2078</t>
  </si>
  <si>
    <t>SN1725</t>
  </si>
  <si>
    <t>SN1597</t>
  </si>
  <si>
    <t>SN1766</t>
  </si>
  <si>
    <t>SN0464</t>
  </si>
  <si>
    <t>SN1661</t>
  </si>
  <si>
    <t>SN0740</t>
  </si>
  <si>
    <t>SN1059</t>
  </si>
  <si>
    <t>SN2005</t>
  </si>
  <si>
    <t>SN2024</t>
  </si>
  <si>
    <t>SN1310</t>
  </si>
  <si>
    <t>SN1700</t>
  </si>
  <si>
    <t>SN1032</t>
  </si>
  <si>
    <t>SN2083</t>
  </si>
  <si>
    <t>SN0620</t>
  </si>
  <si>
    <t>SN0225</t>
  </si>
  <si>
    <t>SN0098</t>
  </si>
  <si>
    <t>SN0876</t>
  </si>
  <si>
    <t>SN0535</t>
  </si>
  <si>
    <t>SN1845</t>
  </si>
  <si>
    <t>SN2294</t>
  </si>
  <si>
    <t>SN1706</t>
  </si>
  <si>
    <t>SN0552</t>
  </si>
  <si>
    <t>SN1593</t>
  </si>
  <si>
    <t>SN1712</t>
  </si>
  <si>
    <t>SN1762</t>
  </si>
  <si>
    <t>SN2332</t>
  </si>
  <si>
    <t>SN2650</t>
  </si>
  <si>
    <t>SN0277</t>
  </si>
  <si>
    <t>SN1252</t>
  </si>
  <si>
    <t>SN2430</t>
  </si>
  <si>
    <t>SN2184</t>
  </si>
  <si>
    <t>SN0908</t>
  </si>
  <si>
    <t>SN2634</t>
  </si>
  <si>
    <t>SN1892</t>
  </si>
  <si>
    <t>SN2131</t>
  </si>
  <si>
    <t>SN1371</t>
  </si>
  <si>
    <t>SN1448</t>
  </si>
  <si>
    <t>SN2086</t>
  </si>
  <si>
    <t>SN1731</t>
  </si>
  <si>
    <t>SN0241</t>
  </si>
  <si>
    <t>SN0935</t>
  </si>
  <si>
    <t>SN0488</t>
  </si>
  <si>
    <t>SN0554</t>
  </si>
  <si>
    <t>SN2290</t>
  </si>
  <si>
    <t>SN2219</t>
  </si>
  <si>
    <t>SN0586</t>
  </si>
  <si>
    <t>SN1883</t>
  </si>
  <si>
    <t>SN2040</t>
  </si>
  <si>
    <t>SN2042</t>
  </si>
  <si>
    <t>SN2551</t>
  </si>
  <si>
    <t>SN2556</t>
  </si>
  <si>
    <t>SN0015</t>
  </si>
  <si>
    <t>SN1785</t>
  </si>
  <si>
    <t>SN2220</t>
  </si>
  <si>
    <t>SN0598</t>
  </si>
  <si>
    <t>SN0650</t>
  </si>
  <si>
    <t>SN1237</t>
  </si>
  <si>
    <t>SN2106</t>
  </si>
  <si>
    <t>SN0555</t>
  </si>
  <si>
    <t>SN1702</t>
  </si>
  <si>
    <t>SN0670</t>
  </si>
  <si>
    <t>SN0655</t>
  </si>
  <si>
    <t>SN2927</t>
  </si>
  <si>
    <t>SN1872</t>
  </si>
  <si>
    <t>SN1761</t>
  </si>
  <si>
    <t>SN0458</t>
  </si>
  <si>
    <t>SN1587</t>
  </si>
  <si>
    <t>SN1609</t>
  </si>
  <si>
    <t>SN1203</t>
  </si>
  <si>
    <t>SN0504</t>
  </si>
  <si>
    <t>SN1579</t>
  </si>
  <si>
    <t>SN2198</t>
  </si>
  <si>
    <t>SN2639</t>
  </si>
  <si>
    <t>SN2367</t>
  </si>
  <si>
    <t>SN2459</t>
  </si>
  <si>
    <t>SN2238</t>
  </si>
  <si>
    <t>SN0527</t>
  </si>
  <si>
    <t>SN2677</t>
  </si>
  <si>
    <t>SN2010</t>
  </si>
  <si>
    <t>SN2822</t>
  </si>
  <si>
    <t>SN2537</t>
  </si>
  <si>
    <t>SN2237</t>
  </si>
  <si>
    <t>SN2347</t>
  </si>
  <si>
    <t>SN2667</t>
  </si>
  <si>
    <t>SN2883</t>
  </si>
  <si>
    <t>SN2151</t>
  </si>
  <si>
    <t>SN2144</t>
  </si>
  <si>
    <t>SN2777</t>
  </si>
  <si>
    <t>SN2724</t>
  </si>
  <si>
    <t>SN0163</t>
  </si>
  <si>
    <t>SN2336</t>
  </si>
  <si>
    <t>SN1983</t>
  </si>
  <si>
    <t>SN0508</t>
  </si>
  <si>
    <t>SN2622</t>
  </si>
  <si>
    <t>SN1464</t>
  </si>
  <si>
    <t>SN0587</t>
  </si>
  <si>
    <t>SN1902</t>
  </si>
  <si>
    <t>SN1784</t>
  </si>
  <si>
    <t>SN2264</t>
  </si>
  <si>
    <t>SN2177</t>
  </si>
  <si>
    <t>SN2006</t>
  </si>
  <si>
    <t>SN2638</t>
  </si>
  <si>
    <t>SN2641</t>
  </si>
  <si>
    <t>SN0332</t>
  </si>
  <si>
    <t>SN2592</t>
  </si>
  <si>
    <t>SN2624</t>
  </si>
  <si>
    <t>SN0141</t>
  </si>
  <si>
    <t>SN1961</t>
  </si>
  <si>
    <t>SN0936</t>
  </si>
  <si>
    <t>SN2780</t>
  </si>
  <si>
    <t>SN0915</t>
  </si>
  <si>
    <t>SN2735</t>
  </si>
  <si>
    <t>SN2695</t>
  </si>
  <si>
    <t>SN2873</t>
  </si>
  <si>
    <t>SN2600</t>
  </si>
  <si>
    <t>SN2384</t>
  </si>
  <si>
    <t>SN0171</t>
  </si>
  <si>
    <t>SN2550</t>
  </si>
  <si>
    <t>SN0172</t>
  </si>
  <si>
    <t>SN2186</t>
  </si>
  <si>
    <t>SN2663</t>
  </si>
  <si>
    <t>SN2785</t>
  </si>
  <si>
    <t>SN0342</t>
  </si>
  <si>
    <t>SN2195</t>
  </si>
  <si>
    <t>SN0599</t>
  </si>
  <si>
    <t>SN2555</t>
  </si>
  <si>
    <t>SN2468</t>
  </si>
  <si>
    <t>SN2392</t>
  </si>
  <si>
    <t>SN0251</t>
  </si>
  <si>
    <t>SN2091</t>
  </si>
  <si>
    <t>SN2378</t>
  </si>
  <si>
    <t>SN2407</t>
  </si>
  <si>
    <t>SN2461</t>
  </si>
  <si>
    <t>SN2158</t>
  </si>
  <si>
    <t>SN0127</t>
  </si>
  <si>
    <t>SN0512</t>
  </si>
  <si>
    <t>SN0207</t>
  </si>
  <si>
    <t>SN0224</t>
  </si>
  <si>
    <t>SN0415</t>
  </si>
  <si>
    <t>SN1164</t>
  </si>
  <si>
    <t>SN2685</t>
  </si>
  <si>
    <t>SN0304</t>
  </si>
  <si>
    <t>SN0528</t>
  </si>
  <si>
    <t>SN0236</t>
  </si>
  <si>
    <t>SN1835</t>
  </si>
  <si>
    <t>SN0233</t>
  </si>
  <si>
    <t>SN0417</t>
  </si>
  <si>
    <t>SN0398</t>
  </si>
  <si>
    <t>SN0543</t>
  </si>
  <si>
    <t>SN0228</t>
  </si>
  <si>
    <t>SN0232</t>
  </si>
  <si>
    <t>SN0235</t>
  </si>
  <si>
    <t>SN0509</t>
  </si>
  <si>
    <t>SN1824</t>
  </si>
  <si>
    <t>SN0606</t>
  </si>
  <si>
    <t>SN0632</t>
  </si>
  <si>
    <t>SN0424</t>
  </si>
  <si>
    <t>SN2681</t>
  </si>
  <si>
    <t>SN1823</t>
  </si>
  <si>
    <t>SN0849</t>
  </si>
  <si>
    <t>SN0855</t>
  </si>
  <si>
    <t>SN0623</t>
  </si>
  <si>
    <t>SN2426</t>
  </si>
  <si>
    <t>SN2275</t>
  </si>
  <si>
    <t>SN0107</t>
  </si>
  <si>
    <t>SN0309</t>
  </si>
  <si>
    <t>SN0420</t>
  </si>
  <si>
    <t>SN0153</t>
  </si>
  <si>
    <t>SN0197</t>
  </si>
  <si>
    <t>SN0239</t>
  </si>
  <si>
    <t>SN1375</t>
  </si>
  <si>
    <t>SN1452</t>
  </si>
  <si>
    <t>SN0284</t>
  </si>
  <si>
    <t>SN0234</t>
  </si>
  <si>
    <t>SN0716</t>
  </si>
  <si>
    <t>SN1369</t>
  </si>
  <si>
    <t>SN0242</t>
  </si>
  <si>
    <t>SN0313</t>
  </si>
  <si>
    <t>SN0461</t>
  </si>
  <si>
    <t>SN1793</t>
  </si>
  <si>
    <t>SN0176</t>
  </si>
  <si>
    <t>SN0584</t>
  </si>
  <si>
    <t>SN0940</t>
  </si>
  <si>
    <t>SN0149</t>
  </si>
  <si>
    <t>SN0301</t>
  </si>
  <si>
    <t>SN0750</t>
  </si>
  <si>
    <t>SN0217</t>
  </si>
  <si>
    <t>SN0120</t>
  </si>
  <si>
    <t>SN0126</t>
  </si>
  <si>
    <t>SN0850</t>
  </si>
  <si>
    <t>SN1409</t>
  </si>
  <si>
    <t>SN0063</t>
  </si>
  <si>
    <t>SN0545</t>
  </si>
  <si>
    <t>SN1570</t>
  </si>
  <si>
    <t>SN1809</t>
  </si>
  <si>
    <t>SN1288</t>
  </si>
  <si>
    <t>SN0773</t>
  </si>
  <si>
    <t>SN1460</t>
  </si>
  <si>
    <t>SN1095</t>
  </si>
  <si>
    <t>SN1797</t>
  </si>
  <si>
    <t>SN1605</t>
  </si>
  <si>
    <t>SN1175</t>
  </si>
  <si>
    <t>SN0580</t>
  </si>
  <si>
    <t>SN0283</t>
  </si>
  <si>
    <t>SN1671</t>
  </si>
  <si>
    <t>SN1484</t>
  </si>
  <si>
    <t>SN0249</t>
  </si>
  <si>
    <t>SN1599</t>
  </si>
  <si>
    <t>SN1813</t>
  </si>
  <si>
    <t>SN0147</t>
  </si>
  <si>
    <t>SN1948</t>
  </si>
  <si>
    <t>SN0095</t>
  </si>
  <si>
    <t>SN0807</t>
  </si>
  <si>
    <t>SN2671</t>
  </si>
  <si>
    <t>SN0329</t>
  </si>
  <si>
    <t>SN2375</t>
  </si>
  <si>
    <t>SN0323</t>
  </si>
  <si>
    <t>SN0331</t>
  </si>
  <si>
    <t>SN0518</t>
  </si>
  <si>
    <t>SN0788</t>
  </si>
  <si>
    <t>SN0076</t>
  </si>
  <si>
    <t>SN1527</t>
  </si>
  <si>
    <t>SN1327</t>
  </si>
  <si>
    <t>SN0187</t>
  </si>
  <si>
    <t>SN0588</t>
  </si>
  <si>
    <t>SN0834</t>
  </si>
  <si>
    <t>SN0178</t>
  </si>
  <si>
    <t>SN0942</t>
  </si>
  <si>
    <t>SN0366</t>
  </si>
  <si>
    <t>SN0066</t>
  </si>
  <si>
    <t>SN1681</t>
  </si>
  <si>
    <t>SN1617</t>
  </si>
  <si>
    <t>SN0340</t>
  </si>
  <si>
    <t>SN0511</t>
  </si>
  <si>
    <t>SN1006</t>
  </si>
  <si>
    <t>SN1701</t>
  </si>
  <si>
    <t>SN0718</t>
  </si>
  <si>
    <t>SN2416</t>
  </si>
  <si>
    <t>SN2410</t>
  </si>
  <si>
    <t>SN0086</t>
  </si>
  <si>
    <t>SN1624</t>
  </si>
  <si>
    <t>SN2891</t>
  </si>
  <si>
    <t>SN1940</t>
  </si>
  <si>
    <t>SN0856</t>
  </si>
  <si>
    <t>SN1038</t>
  </si>
  <si>
    <t>SN0523</t>
  </si>
  <si>
    <t>SN0922</t>
  </si>
  <si>
    <t>SN0035</t>
  </si>
  <si>
    <t>SN0562</t>
  </si>
  <si>
    <t>SN1304</t>
  </si>
  <si>
    <t>SN0916</t>
  </si>
  <si>
    <t>SN0548</t>
  </si>
  <si>
    <t>SN0698</t>
  </si>
  <si>
    <t>SN1789</t>
  </si>
  <si>
    <t>SN0090</t>
  </si>
  <si>
    <t>SN1608</t>
  </si>
  <si>
    <t>SN2941</t>
  </si>
  <si>
    <t>SN1216</t>
  </si>
  <si>
    <t>SN0078</t>
  </si>
  <si>
    <t>SN1904</t>
  </si>
  <si>
    <t>SN0083</t>
  </si>
  <si>
    <t>SN0180</t>
  </si>
  <si>
    <t>SN0077</t>
  </si>
  <si>
    <t>SN2701</t>
  </si>
  <si>
    <t>SN2150</t>
  </si>
  <si>
    <t>SN0130</t>
  </si>
  <si>
    <t>SN1279</t>
  </si>
  <si>
    <t>SN1282</t>
  </si>
  <si>
    <t>SN1039</t>
  </si>
  <si>
    <t>SN0056</t>
  </si>
  <si>
    <t>SN2784</t>
  </si>
  <si>
    <t>SN0752</t>
  </si>
  <si>
    <t>SN1710</t>
  </si>
  <si>
    <t>SN1586</t>
  </si>
  <si>
    <t>SN0481</t>
  </si>
  <si>
    <t>SN1829</t>
  </si>
  <si>
    <t>SN2192</t>
  </si>
  <si>
    <t>SN0201</t>
  </si>
  <si>
    <t>SN0343</t>
  </si>
  <si>
    <t>SN2490</t>
  </si>
  <si>
    <t>SN0096</t>
  </si>
  <si>
    <t>SN2016</t>
  </si>
  <si>
    <t>SN0155</t>
  </si>
  <si>
    <t>SN2146</t>
  </si>
  <si>
    <t>SN1720</t>
  </si>
  <si>
    <t>SN1126</t>
  </si>
  <si>
    <t>SN0499</t>
  </si>
  <si>
    <t>SN0581</t>
  </si>
  <si>
    <t>SN1618</t>
  </si>
  <si>
    <t>SN1430</t>
  </si>
  <si>
    <t>SN0432</t>
  </si>
  <si>
    <t>SN1568</t>
  </si>
  <si>
    <t>SN0447</t>
  </si>
  <si>
    <t>SN0134</t>
  </si>
  <si>
    <t>SN2399</t>
  </si>
  <si>
    <t>SN0921</t>
  </si>
  <si>
    <t>SN0276</t>
  </si>
  <si>
    <t>SN0453</t>
  </si>
  <si>
    <t>SN0030</t>
  </si>
  <si>
    <t>SN2244</t>
  </si>
  <si>
    <t>SN0455</t>
  </si>
  <si>
    <t>SN0299</t>
  </si>
  <si>
    <t>SN1217</t>
  </si>
  <si>
    <t>SN0959</t>
  </si>
  <si>
    <t>SN0910</t>
  </si>
  <si>
    <t>SN2419</t>
  </si>
  <si>
    <t>SN2876</t>
  </si>
  <si>
    <t>SN0833</t>
  </si>
  <si>
    <t>SN1299</t>
  </si>
  <si>
    <t>SN1783</t>
  </si>
  <si>
    <t>SN1278</t>
  </si>
  <si>
    <t>SN1507</t>
  </si>
  <si>
    <t>SN2242</t>
  </si>
  <si>
    <t>SN1699</t>
  </si>
  <si>
    <t>SN1800</t>
  </si>
  <si>
    <t>SN0544</t>
  </si>
  <si>
    <t>SN1549</t>
  </si>
  <si>
    <t>SN2420</t>
  </si>
  <si>
    <t>SN1931</t>
  </si>
  <si>
    <t>SN2823</t>
  </si>
  <si>
    <t>SN0245</t>
  </si>
  <si>
    <t>SN0395</t>
  </si>
  <si>
    <t>SN0547</t>
  </si>
  <si>
    <t>SN0302</t>
  </si>
  <si>
    <t>SN1044</t>
  </si>
  <si>
    <t>SN2434</t>
  </si>
  <si>
    <t>SN2239</t>
  </si>
  <si>
    <t>SN1329</t>
  </si>
  <si>
    <t>SN0553</t>
  </si>
  <si>
    <t>SN1772</t>
  </si>
  <si>
    <t>SN2012</t>
  </si>
  <si>
    <t>SN2039</t>
  </si>
  <si>
    <t>SN2330</t>
  </si>
  <si>
    <t>SN0920</t>
  </si>
  <si>
    <t>SN1441</t>
  </si>
  <si>
    <t>SN1031</t>
  </si>
  <si>
    <t>SN0932</t>
  </si>
  <si>
    <t>SN1227</t>
  </si>
  <si>
    <t>SN2297</t>
  </si>
  <si>
    <t>SN1641</t>
  </si>
  <si>
    <t>SN2014</t>
  </si>
  <si>
    <t>SN0526</t>
  </si>
  <si>
    <t>SN0607</t>
  </si>
  <si>
    <t>SN0429</t>
  </si>
  <si>
    <t>SN0328</t>
  </si>
  <si>
    <t>SN2520</t>
  </si>
  <si>
    <t>SN2423</t>
  </si>
  <si>
    <t>SN1373</t>
  </si>
  <si>
    <t>SN0556</t>
  </si>
  <si>
    <t>SN2610</t>
  </si>
  <si>
    <t>SN0613</t>
  </si>
  <si>
    <t>SN2614</t>
  </si>
  <si>
    <t>SN2137</t>
  </si>
  <si>
    <t>SN1682</t>
  </si>
  <si>
    <t>SN2038</t>
  </si>
  <si>
    <t>SN2632</t>
  </si>
  <si>
    <t>SN0203</t>
  </si>
  <si>
    <t>SN2181</t>
  </si>
  <si>
    <t>SN2421</t>
  </si>
  <si>
    <t>SN2140</t>
  </si>
  <si>
    <t>SN0958</t>
  </si>
  <si>
    <t>SN0371</t>
  </si>
  <si>
    <t>SN0577</t>
  </si>
  <si>
    <t>SN2095</t>
  </si>
  <si>
    <t>SN0427</t>
  </si>
  <si>
    <t>SN2371</t>
  </si>
  <si>
    <t>SN2207</t>
  </si>
  <si>
    <t>SN0443</t>
  </si>
  <si>
    <t>SN0557</t>
  </si>
  <si>
    <t>SN1796</t>
  </si>
  <si>
    <t>SN2633</t>
  </si>
  <si>
    <t>SN1523</t>
  </si>
  <si>
    <t>SN2009</t>
  </si>
  <si>
    <t>SN0208</t>
  </si>
  <si>
    <t>SN1033</t>
  </si>
  <si>
    <t>SN1551</t>
  </si>
  <si>
    <t>SN1429</t>
  </si>
  <si>
    <t>SN2647</t>
  </si>
  <si>
    <t>SN0619</t>
  </si>
  <si>
    <t>SN1531</t>
  </si>
  <si>
    <t>SN0139</t>
  </si>
  <si>
    <t>SN1947</t>
  </si>
  <si>
    <t>SN2576</t>
  </si>
  <si>
    <t>SN0491</t>
  </si>
  <si>
    <t>SN0048</t>
  </si>
  <si>
    <t>SN2293</t>
  </si>
  <si>
    <t>SN0506</t>
  </si>
  <si>
    <t>SN1505</t>
  </si>
  <si>
    <t>SN0449</t>
  </si>
  <si>
    <t>SN1944</t>
  </si>
  <si>
    <t>SN1773</t>
  </si>
  <si>
    <t>SN2687</t>
  </si>
  <si>
    <t>SN1314</t>
  </si>
  <si>
    <t>SN1921</t>
  </si>
  <si>
    <t>SN1326</t>
  </si>
  <si>
    <t>SN0498</t>
  </si>
  <si>
    <t>SN1194</t>
  </si>
  <si>
    <t>SN2617</t>
  </si>
  <si>
    <t>SN1022</t>
  </si>
  <si>
    <t>SN0114</t>
  </si>
  <si>
    <t>SN2849</t>
  </si>
  <si>
    <t>SN2570</t>
  </si>
  <si>
    <t>SN0408</t>
  </si>
  <si>
    <t>SN1662</t>
  </si>
  <si>
    <t>SN1317</t>
  </si>
  <si>
    <t>SN2542</t>
  </si>
  <si>
    <t>SN2061</t>
  </si>
  <si>
    <t>SN0123</t>
  </si>
  <si>
    <t>SN1293</t>
  </si>
  <si>
    <t>SN1296</t>
  </si>
  <si>
    <t>SN1485</t>
  </si>
  <si>
    <t>SN1771</t>
  </si>
  <si>
    <t>SN1850</t>
  </si>
  <si>
    <t>SN1580</t>
  </si>
  <si>
    <t>SN0887</t>
  </si>
  <si>
    <t>SN0460</t>
  </si>
  <si>
    <t>SN0787</t>
  </si>
  <si>
    <t>SN1595</t>
  </si>
  <si>
    <t>SN2412</t>
  </si>
  <si>
    <t>SN2164</t>
  </si>
  <si>
    <t>SN1842</t>
  </si>
  <si>
    <t>SN1953</t>
  </si>
  <si>
    <t>SN1994</t>
  </si>
  <si>
    <t>SN2002</t>
  </si>
  <si>
    <t>SN0937</t>
  </si>
  <si>
    <t>SN1732</t>
  </si>
  <si>
    <t>SN1846</t>
  </si>
  <si>
    <t>SN1859</t>
  </si>
  <si>
    <t>SN0704</t>
  </si>
  <si>
    <t>SN0730</t>
  </si>
  <si>
    <t>SN1816</t>
  </si>
  <si>
    <t>SN0707</t>
  </si>
  <si>
    <t>SN2471</t>
  </si>
  <si>
    <t>SN2145</t>
  </si>
  <si>
    <t>SN1533</t>
  </si>
  <si>
    <t>SN1548</t>
  </si>
  <si>
    <t>SN1886</t>
  </si>
  <si>
    <t>SN1366</t>
  </si>
  <si>
    <t>SN2723</t>
  </si>
  <si>
    <t>SN0413</t>
  </si>
  <si>
    <t>SN2767</t>
  </si>
  <si>
    <t>SN2160</t>
  </si>
  <si>
    <t>SN1974</t>
  </si>
  <si>
    <t>SN1905</t>
  </si>
  <si>
    <t>SN2757</t>
  </si>
  <si>
    <t>SN2020</t>
  </si>
  <si>
    <t>SN0941</t>
  </si>
  <si>
    <t>SN1283</t>
  </si>
  <si>
    <t>SN2060</t>
  </si>
  <si>
    <t>SN0720</t>
  </si>
  <si>
    <t>SN0337</t>
  </si>
  <si>
    <t>SN1707</t>
  </si>
  <si>
    <t>SN1840</t>
  </si>
  <si>
    <t>SN1604</t>
  </si>
  <si>
    <t>SN1644</t>
  </si>
  <si>
    <t>SN0170</t>
  </si>
  <si>
    <t>SN1942</t>
  </si>
  <si>
    <t>SN2462</t>
  </si>
  <si>
    <t>SN2736</t>
  </si>
  <si>
    <t>SN1047</t>
  </si>
  <si>
    <t>SN2143</t>
  </si>
  <si>
    <t>SN1602</t>
  </si>
  <si>
    <t>SN2664</t>
  </si>
  <si>
    <t>SN1965</t>
  </si>
  <si>
    <t>SN2448</t>
  </si>
  <si>
    <t>SN1450</t>
  </si>
  <si>
    <t>SN0036</t>
  </si>
  <si>
    <t>SN1841</t>
  </si>
  <si>
    <t>SN2756</t>
  </si>
  <si>
    <t>SN0348</t>
  </si>
  <si>
    <t>SN2141</t>
  </si>
  <si>
    <t>SN1955</t>
  </si>
  <si>
    <t>SN0724</t>
  </si>
  <si>
    <t>SN0154</t>
  </si>
  <si>
    <t>SN0579</t>
  </si>
  <si>
    <t>SN0618</t>
  </si>
  <si>
    <t>SN1301</t>
  </si>
  <si>
    <t>SN1105</t>
  </si>
  <si>
    <t>SN1079</t>
  </si>
  <si>
    <t>SN0069</t>
  </si>
  <si>
    <t>SN0768</t>
  </si>
  <si>
    <t>SN0697</t>
  </si>
  <si>
    <t>SN2791</t>
  </si>
  <si>
    <t>SN1148</t>
  </si>
  <si>
    <t>SN2636</t>
  </si>
  <si>
    <t>SN1204</t>
  </si>
  <si>
    <t>SN0206</t>
  </si>
  <si>
    <t>SN1882</t>
  </si>
  <si>
    <t>SN2289</t>
  </si>
  <si>
    <t>SN2023</t>
  </si>
  <si>
    <t>SN2781</t>
  </si>
  <si>
    <t>SN2626</t>
  </si>
  <si>
    <t>SN0082</t>
  </si>
  <si>
    <t>SN2447</t>
  </si>
  <si>
    <t>SN0189</t>
  </si>
  <si>
    <t>SN2692</t>
  </si>
  <si>
    <t>SN0399</t>
  </si>
  <si>
    <t>SN2248</t>
  </si>
  <si>
    <t>SN1384</t>
  </si>
  <si>
    <t>SN2782</t>
  </si>
  <si>
    <t>SN1978</t>
  </si>
  <si>
    <t>SN2432</t>
  </si>
  <si>
    <t>SN2152</t>
  </si>
  <si>
    <t>SN2182</t>
  </si>
  <si>
    <t>SN1697</t>
  </si>
  <si>
    <t>SN2802</t>
  </si>
  <si>
    <t>SN1092</t>
  </si>
  <si>
    <t>SN0131</t>
  </si>
  <si>
    <t>SN2274</t>
  </si>
  <si>
    <t>SN0403</t>
  </si>
  <si>
    <t>SN2174</t>
  </si>
  <si>
    <t>SN2180</t>
  </si>
  <si>
    <t>SN2808</t>
  </si>
  <si>
    <t>SN0394</t>
  </si>
  <si>
    <t>SN0515</t>
  </si>
  <si>
    <t>SN2179</t>
  </si>
  <si>
    <t>SN0578</t>
  </si>
  <si>
    <t>SN1420</t>
  </si>
  <si>
    <t>SN2115</t>
  </si>
  <si>
    <t>SN1453</t>
  </si>
  <si>
    <t>SN2928</t>
  </si>
  <si>
    <t>SN1562</t>
  </si>
  <si>
    <t>SN2888</t>
  </si>
  <si>
    <t>SN0805</t>
  </si>
  <si>
    <t>SN2320</t>
  </si>
  <si>
    <t>SN1225</t>
  </si>
  <si>
    <t>SN1331</t>
  </si>
  <si>
    <t>SN0831</t>
  </si>
  <si>
    <t>SN0990</t>
  </si>
  <si>
    <t>SN2464</t>
  </si>
  <si>
    <t>SN0173</t>
  </si>
  <si>
    <t>SN1444</t>
  </si>
  <si>
    <t>SN1376</t>
  </si>
  <si>
    <t>SN0181</t>
  </si>
  <si>
    <t>SN2376</t>
  </si>
  <si>
    <t>SN0709</t>
  </si>
  <si>
    <t>SN0934</t>
  </si>
  <si>
    <t>SN0617</t>
  </si>
  <si>
    <t>SN2317</t>
  </si>
  <si>
    <t>SN1451</t>
  </si>
  <si>
    <t>SN0644</t>
  </si>
  <si>
    <t>SN0808</t>
  </si>
  <si>
    <t>SN1078</t>
  </si>
  <si>
    <t>SN1884</t>
  </si>
  <si>
    <t>SN0713</t>
  </si>
  <si>
    <t>SN2572</t>
  </si>
  <si>
    <t>SN1446</t>
  </si>
  <si>
    <t>SN1506</t>
  </si>
  <si>
    <t>SN1927</t>
  </si>
  <si>
    <t>SN0686</t>
  </si>
  <si>
    <t>SN0038</t>
  </si>
  <si>
    <t>SN0493</t>
  </si>
  <si>
    <t>SN2607</t>
  </si>
  <si>
    <t>SN1024</t>
  </si>
  <si>
    <t>SN2477</t>
  </si>
  <si>
    <t>SN2717</t>
  </si>
  <si>
    <t>SN1442</t>
  </si>
  <si>
    <t>SN2326</t>
  </si>
  <si>
    <t>SN1512</t>
  </si>
  <si>
    <t>SN0112</t>
  </si>
  <si>
    <t>SN2362</t>
  </si>
  <si>
    <t>SN2369</t>
  </si>
  <si>
    <t>SN1181</t>
  </si>
  <si>
    <t>SN0053</t>
  </si>
  <si>
    <t>SN1150</t>
  </si>
  <si>
    <t>SN2940</t>
  </si>
  <si>
    <t>SN0967</t>
  </si>
  <si>
    <t>SN0265</t>
  </si>
  <si>
    <t>SN0591</t>
  </si>
  <si>
    <t>SN2066</t>
  </si>
  <si>
    <t>SN0220</t>
  </si>
  <si>
    <t>SN1907</t>
  </si>
  <si>
    <t>SN1887</t>
  </si>
  <si>
    <t>SN0442</t>
  </si>
  <si>
    <t>SN0605</t>
  </si>
  <si>
    <t>SN0816</t>
  </si>
  <si>
    <t>SN1744</t>
  </si>
  <si>
    <t>SN1849</t>
  </si>
  <si>
    <t>SN2770</t>
  </si>
  <si>
    <t>SN0507</t>
  </si>
  <si>
    <t>SN0330</t>
  </si>
  <si>
    <t>SN1456</t>
  </si>
  <si>
    <t>SN1903</t>
  </si>
  <si>
    <t>SN2480</t>
  </si>
  <si>
    <t>SN1893</t>
  </si>
  <si>
    <t>SN0018</t>
  </si>
  <si>
    <t>SN2465</t>
  </si>
  <si>
    <t>SN1382</t>
  </si>
  <si>
    <t>SN0303</t>
  </si>
  <si>
    <t>SN1308</t>
  </si>
  <si>
    <t>SN1906</t>
  </si>
  <si>
    <t>SN1848</t>
  </si>
  <si>
    <t>SN1928</t>
  </si>
  <si>
    <t>SN0222</t>
  </si>
  <si>
    <t>SN1645</t>
  </si>
  <si>
    <t>SN2022</t>
  </si>
  <si>
    <t>SN2004</t>
  </si>
  <si>
    <t>SN1749</t>
  </si>
  <si>
    <t>SN1061</t>
  </si>
  <si>
    <t>SN1590</t>
  </si>
  <si>
    <t>SN1529</t>
  </si>
  <si>
    <t>SN1708</t>
  </si>
  <si>
    <t>SN2204</t>
  </si>
  <si>
    <t>SN2521</t>
  </si>
  <si>
    <t>SN0008</t>
  </si>
  <si>
    <t>SN1480</t>
  </si>
  <si>
    <t>SN0418</t>
  </si>
  <si>
    <t>SN1176</t>
  </si>
  <si>
    <t>SN2433</t>
  </si>
  <si>
    <t>SN1730</t>
  </si>
  <si>
    <t>SN0221</t>
  </si>
  <si>
    <t>SN0190</t>
  </si>
  <si>
    <t>SN1383</t>
  </si>
  <si>
    <t>SN0446</t>
  </si>
  <si>
    <t>SN1743</t>
  </si>
  <si>
    <t>SN2147</t>
  </si>
  <si>
    <t>SN1814</t>
  </si>
  <si>
    <t>SN0848</t>
  </si>
  <si>
    <t>SN0776</t>
  </si>
  <si>
    <t>SN0057</t>
  </si>
  <si>
    <t>SN2406</t>
  </si>
  <si>
    <t>SN0708</t>
  </si>
  <si>
    <t>SN0987</t>
  </si>
  <si>
    <t>SN1091</t>
  </si>
  <si>
    <t>SN2116</t>
  </si>
  <si>
    <t>SN2191</t>
  </si>
  <si>
    <t>SN2323</t>
  </si>
  <si>
    <t>SN2593</t>
  </si>
  <si>
    <t>SN0428</t>
  </si>
  <si>
    <t>SN1014</t>
  </si>
  <si>
    <t>SN1501</t>
  </si>
  <si>
    <t>SN1780</t>
  </si>
  <si>
    <t>SN1316</t>
  </si>
  <si>
    <t>SN2155</t>
  </si>
  <si>
    <t>SN1987</t>
  </si>
  <si>
    <t>SN1765</t>
  </si>
  <si>
    <t>SN1149</t>
  </si>
  <si>
    <t>SN2575</t>
  </si>
  <si>
    <t>SN2594</t>
  </si>
  <si>
    <t>SN1694</t>
  </si>
  <si>
    <t>SN1489</t>
  </si>
  <si>
    <t>SN2057</t>
  </si>
  <si>
    <t>SN1398</t>
  </si>
  <si>
    <t>SN1415</t>
  </si>
  <si>
    <t>SN1839</t>
  </si>
  <si>
    <t>SN1926</t>
  </si>
  <si>
    <t>SN2043</t>
  </si>
  <si>
    <t>SN2007</t>
  </si>
  <si>
    <t>SN2058</t>
  </si>
  <si>
    <t>SN2417</t>
  </si>
  <si>
    <t>SN2374</t>
  </si>
  <si>
    <t>SN1763</t>
  </si>
  <si>
    <t>SN0551</t>
  </si>
  <si>
    <t>SN0558</t>
  </si>
  <si>
    <t>SN0938</t>
  </si>
  <si>
    <t>SN1443</t>
  </si>
  <si>
    <t>SN1029</t>
  </si>
  <si>
    <t>SN0459</t>
  </si>
  <si>
    <t>SN1808</t>
  </si>
  <si>
    <t>SN0462</t>
  </si>
  <si>
    <t>SN1721</t>
  </si>
  <si>
    <t>SN1600</t>
  </si>
  <si>
    <t>SN2157</t>
  </si>
  <si>
    <t>SN2170</t>
  </si>
  <si>
    <t>SN2202</t>
  </si>
  <si>
    <t>SN2205</t>
  </si>
  <si>
    <t>SN2196</t>
  </si>
  <si>
    <t>SN1598</t>
  </si>
  <si>
    <t>SN1399</t>
  </si>
  <si>
    <t>SN1869</t>
  </si>
  <si>
    <t>SN2764</t>
  </si>
  <si>
    <t>SN0914</t>
  </si>
  <si>
    <t>SN0590</t>
  </si>
  <si>
    <t>SN2418</t>
  </si>
  <si>
    <t>SN1353</t>
  </si>
  <si>
    <t>SN1532</t>
  </si>
  <si>
    <t>SN1454</t>
  </si>
  <si>
    <t>SN1713</t>
  </si>
  <si>
    <t>SN2379</t>
  </si>
  <si>
    <t>SN0810</t>
  </si>
  <si>
    <t>SN0757</t>
  </si>
  <si>
    <t>SN2585</t>
  </si>
  <si>
    <t>SN1630</t>
  </si>
  <si>
    <t>SN2013</t>
  </si>
  <si>
    <t>SN2319</t>
  </si>
  <si>
    <t>SN1584</t>
  </si>
  <si>
    <t>SN1975</t>
  </si>
  <si>
    <t>SN2085</t>
  </si>
  <si>
    <t>SN2064</t>
  </si>
  <si>
    <t>SN2203</t>
  </si>
  <si>
    <t>SN2372</t>
  </si>
  <si>
    <t>SN2428</t>
  </si>
  <si>
    <t>SN2602</t>
  </si>
  <si>
    <t>SN2044</t>
  </si>
  <si>
    <t>SN2370</t>
  </si>
  <si>
    <t>SN2071</t>
  </si>
  <si>
    <t>SN2651</t>
  </si>
  <si>
    <t>SN2689</t>
  </si>
  <si>
    <t>SN2030</t>
  </si>
  <si>
    <t>SN2373</t>
  </si>
  <si>
    <t>SN2288</t>
  </si>
  <si>
    <t>SN2792</t>
  </si>
  <si>
    <t>SN2394</t>
  </si>
  <si>
    <t>SN2890</t>
  </si>
  <si>
    <t>SN2341</t>
  </si>
  <si>
    <t>SN2691</t>
  </si>
  <si>
    <t>SN2794</t>
  </si>
  <si>
    <t>SN2214</t>
  </si>
  <si>
    <t>SN2648</t>
  </si>
  <si>
    <t>SN2686</t>
  </si>
  <si>
    <t>SN2590</t>
  </si>
  <si>
    <t>SN2640</t>
  </si>
  <si>
    <t>SN2714</t>
  </si>
  <si>
    <t>SN2409</t>
  </si>
  <si>
    <t>SN1943</t>
  </si>
  <si>
    <t>SN2359</t>
  </si>
  <si>
    <t>SN2360</t>
  </si>
  <si>
    <t>SN2653</t>
  </si>
  <si>
    <t>SN2894</t>
  </si>
  <si>
    <t>SN2644</t>
  </si>
  <si>
    <t>SN2046</t>
  </si>
  <si>
    <t>SN2358</t>
  </si>
  <si>
    <t>SN2629</t>
  </si>
  <si>
    <t>SN2583</t>
  </si>
  <si>
    <t>SN2215</t>
  </si>
  <si>
    <t>SN2892</t>
  </si>
  <si>
    <t>SN2262</t>
  </si>
  <si>
    <t>SN1626</t>
  </si>
  <si>
    <t>SN2025</t>
  </si>
  <si>
    <t>SN2688</t>
  </si>
  <si>
    <t>SN2710</t>
  </si>
  <si>
    <t>SN2666</t>
  </si>
  <si>
    <t>SN1768</t>
  </si>
  <si>
    <t>SN0501</t>
  </si>
  <si>
    <t>SN2715</t>
  </si>
  <si>
    <t>SN2475</t>
  </si>
  <si>
    <t>SN1946</t>
  </si>
  <si>
    <t>SN1539</t>
  </si>
  <si>
    <t>SN2642</t>
  </si>
  <si>
    <t>SN2054</t>
  </si>
  <si>
    <t>SN2148</t>
  </si>
  <si>
    <t>SN2176</t>
  </si>
  <si>
    <t>SN2296</t>
  </si>
  <si>
    <t>SN2183</t>
  </si>
  <si>
    <t>SN2241</t>
  </si>
  <si>
    <t>SN2615</t>
  </si>
  <si>
    <t>SN0075</t>
  </si>
  <si>
    <t>SN0080</t>
  </si>
  <si>
    <t>SN1309</t>
  </si>
  <si>
    <t>SN0711</t>
  </si>
  <si>
    <t>SN0524</t>
  </si>
  <si>
    <t>SN1984</t>
  </si>
  <si>
    <t>SN1487</t>
  </si>
  <si>
    <t>SN1419</t>
  </si>
  <si>
    <t>SN1440</t>
  </si>
  <si>
    <t>SN2331</t>
  </si>
  <si>
    <t>SN1657</t>
  </si>
  <si>
    <t>SN0050</t>
  </si>
  <si>
    <t>SN0087</t>
  </si>
  <si>
    <t>SN2201</t>
  </si>
  <si>
    <t>SN0550</t>
  </si>
  <si>
    <t>SN2460</t>
  </si>
  <si>
    <t>SN0261</t>
  </si>
  <si>
    <t>SN0312</t>
  </si>
  <si>
    <t>SN1833</t>
  </si>
  <si>
    <t>SN1381</t>
  </si>
  <si>
    <t>SN1834</t>
  </si>
  <si>
    <t>SN0852</t>
  </si>
  <si>
    <t>SN1564</t>
  </si>
  <si>
    <t>SN2175</t>
  </si>
  <si>
    <t>SN1688</t>
  </si>
  <si>
    <t>SN2366</t>
  </si>
  <si>
    <t>SN2393</t>
  </si>
  <si>
    <t>SN2361</t>
  </si>
  <si>
    <t>SN1782</t>
  </si>
  <si>
    <t>SN0574</t>
  </si>
  <si>
    <t>SN0142</t>
  </si>
  <si>
    <t>SN2591</t>
  </si>
  <si>
    <t>SN1407</t>
  </si>
  <si>
    <t>SN1557</t>
  </si>
  <si>
    <t>SN2208</t>
  </si>
  <si>
    <t>SN2437</t>
  </si>
  <si>
    <t>SN2645</t>
  </si>
  <si>
    <t>SN0166</t>
  </si>
  <si>
    <t>SN1292</t>
  </si>
  <si>
    <t>SN1467</t>
  </si>
  <si>
    <t>SN1655</t>
  </si>
  <si>
    <t>SN1826</t>
  </si>
  <si>
    <t>SN0576</t>
  </si>
  <si>
    <t>SN0786</t>
  </si>
  <si>
    <t>SN1328</t>
  </si>
  <si>
    <t>SN1045</t>
  </si>
  <si>
    <t>SN1558</t>
  </si>
  <si>
    <t>SN1623</t>
  </si>
  <si>
    <t>SN2711</t>
  </si>
  <si>
    <t>SN1030</t>
  </si>
  <si>
    <t>SN1611</t>
  </si>
  <si>
    <t>SN2623</t>
  </si>
  <si>
    <t>SN2889</t>
  </si>
  <si>
    <t>SN2779</t>
  </si>
  <si>
    <t>SN0436</t>
  </si>
  <si>
    <t>SN0308</t>
  </si>
  <si>
    <t>SN2725</t>
  </si>
  <si>
    <t>SN0494</t>
  </si>
  <si>
    <t>SN0510</t>
  </si>
  <si>
    <t>SN1385</t>
  </si>
  <si>
    <t>SN2082</t>
  </si>
  <si>
    <t>SN1455</t>
  </si>
  <si>
    <t>SN0986</t>
  </si>
  <si>
    <t>SN1080</t>
  </si>
  <si>
    <t>SN1795</t>
  </si>
  <si>
    <t>SN2482</t>
  </si>
  <si>
    <t>SN2793</t>
  </si>
  <si>
    <t>SN2646</t>
  </si>
  <si>
    <t>SN0412</t>
  </si>
  <si>
    <t>SN2132</t>
  </si>
  <si>
    <t>SN1007</t>
  </si>
  <si>
    <t>SN2801</t>
  </si>
  <si>
    <t>SN2828</t>
  </si>
  <si>
    <t>SN1486</t>
  </si>
  <si>
    <t>SN1142</t>
  </si>
  <si>
    <t>SN2422</t>
  </si>
  <si>
    <t>SN0124</t>
  </si>
  <si>
    <t>SN0664</t>
  </si>
  <si>
    <t>SN0487</t>
  </si>
  <si>
    <t>SN2070</t>
  </si>
  <si>
    <t>SN1449</t>
  </si>
  <si>
    <t>SN1213</t>
  </si>
  <si>
    <t>SN2213</t>
  </si>
  <si>
    <t>SN2554</t>
  </si>
  <si>
    <t>SN0229</t>
  </si>
  <si>
    <t>SN1254</t>
  </si>
  <si>
    <t>SN2079</t>
  </si>
  <si>
    <t>SN1481</t>
  </si>
  <si>
    <t>SN1488</t>
  </si>
  <si>
    <t>SN0984</t>
  </si>
  <si>
    <t>SN2243</t>
  </si>
  <si>
    <t>SN0425</t>
  </si>
  <si>
    <t>SN0465</t>
  </si>
  <si>
    <t>SN0409</t>
  </si>
  <si>
    <t>SN1154</t>
  </si>
  <si>
    <t>SN1790</t>
  </si>
  <si>
    <t>SN0532</t>
  </si>
  <si>
    <t>SN1774</t>
  </si>
  <si>
    <t>SN0924</t>
  </si>
  <si>
    <t>SN1656</t>
  </si>
  <si>
    <t>SN0092</t>
  </si>
  <si>
    <t>SN0770</t>
  </si>
  <si>
    <t>SN1594</t>
  </si>
  <si>
    <t>SN0612</t>
  </si>
  <si>
    <t>SN1354</t>
  </si>
  <si>
    <t>SN1497</t>
  </si>
  <si>
    <t>SN0676</t>
  </si>
  <si>
    <t>SN0753</t>
  </si>
  <si>
    <t>SN1881</t>
  </si>
  <si>
    <t>SN0136</t>
  </si>
  <si>
    <t>SN0169</t>
  </si>
  <si>
    <t>SN1592</t>
  </si>
  <si>
    <t>SN1610</t>
  </si>
  <si>
    <t>SN2068</t>
  </si>
  <si>
    <t>SN0047</t>
  </si>
  <si>
    <t>SN0431</t>
  </si>
  <si>
    <t>SN1406</t>
  </si>
  <si>
    <t>SN1432</t>
  </si>
  <si>
    <t>SN0901</t>
  </si>
  <si>
    <t>SN2018</t>
  </si>
  <si>
    <t>SN1690</t>
  </si>
  <si>
    <t>SN1629</t>
  </si>
  <si>
    <t>SN0322</t>
  </si>
  <si>
    <t>SN2099</t>
  </si>
  <si>
    <t>SN1335</t>
  </si>
  <si>
    <t>SN1607</t>
  </si>
  <si>
    <t>SN1798</t>
  </si>
  <si>
    <t>SN0007</t>
  </si>
  <si>
    <t>SN1459</t>
  </si>
  <si>
    <t>SN1521</t>
  </si>
  <si>
    <t>SN0198</t>
  </si>
  <si>
    <t>SN2149</t>
  </si>
  <si>
    <t>SN0483</t>
  </si>
  <si>
    <t>SN0929</t>
  </si>
  <si>
    <t>SN1077</t>
  </si>
  <si>
    <t>SN2154</t>
  </si>
  <si>
    <t>SN1325</t>
  </si>
  <si>
    <t>SN1361</t>
  </si>
  <si>
    <t>SN1896</t>
  </si>
  <si>
    <t>SN1431</t>
  </si>
  <si>
    <t>SN0200</t>
  </si>
  <si>
    <t>SN2029</t>
  </si>
  <si>
    <t>SN2263</t>
  </si>
  <si>
    <t>SN2276</t>
  </si>
  <si>
    <t>SN1810</t>
  </si>
  <si>
    <t>SN1368</t>
  </si>
  <si>
    <t>SN1870</t>
  </si>
  <si>
    <t>SN2225</t>
  </si>
  <si>
    <t>SN2427</t>
  </si>
  <si>
    <t>SN2337</t>
  </si>
  <si>
    <t>SN2439</t>
  </si>
  <si>
    <t>SN1060</t>
  </si>
  <si>
    <t>SN0671</t>
  </si>
  <si>
    <t>SN0113</t>
  </si>
  <si>
    <t>SN1466</t>
  </si>
  <si>
    <t>SN0204</t>
  </si>
  <si>
    <t>SN2608</t>
  </si>
  <si>
    <t>SN2601</t>
  </si>
  <si>
    <t>SN2611</t>
  </si>
  <si>
    <t>SN2694</t>
  </si>
  <si>
    <t>SN2709</t>
  </si>
  <si>
    <t>SN2734</t>
  </si>
  <si>
    <t>SN2809</t>
  </si>
  <si>
    <t>SN2875</t>
  </si>
  <si>
    <t>SN2581</t>
  </si>
  <si>
    <t>SN2588</t>
  </si>
  <si>
    <t>SN1799</t>
  </si>
  <si>
    <t>SN1815</t>
  </si>
  <si>
    <t>SN0928</t>
  </si>
  <si>
    <t>SN0270</t>
  </si>
  <si>
    <t>SN0275</t>
  </si>
  <si>
    <t>SN0450</t>
  </si>
  <si>
    <t>SN0161</t>
  </si>
  <si>
    <t>SN1687</t>
  </si>
  <si>
    <t>SN2763</t>
  </si>
  <si>
    <t>UPC</t>
  </si>
  <si>
    <t>Item</t>
  </si>
  <si>
    <t>Description</t>
  </si>
  <si>
    <t>Wholesale</t>
  </si>
  <si>
    <t>Order</t>
  </si>
  <si>
    <t>Total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</si>
  <si>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</si>
  <si>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+14-1770-86052</t>
  </si>
  <si>
    <t>Poland → +48-2260-22010</t>
  </si>
  <si>
    <t>WhatsApp → +380-9871-54085</t>
  </si>
  <si>
    <t>E-mail → info@dsn.group</t>
  </si>
  <si>
    <t>Instagram → https://www.instagram.com/dsngroup.official/</t>
  </si>
  <si>
    <t>Weight, kg</t>
  </si>
  <si>
    <t>SN0012</t>
  </si>
  <si>
    <t>SN0013</t>
  </si>
  <si>
    <t>SN0021</t>
  </si>
  <si>
    <t>SN0022</t>
  </si>
  <si>
    <t>SN0043</t>
  </si>
  <si>
    <t>SN0044</t>
  </si>
  <si>
    <t>SN0054</t>
  </si>
  <si>
    <t>SN0055</t>
  </si>
  <si>
    <t>SN0058</t>
  </si>
  <si>
    <t>SN0059</t>
  </si>
  <si>
    <t>SN0060</t>
  </si>
  <si>
    <t>SN0061</t>
  </si>
  <si>
    <t>SN0097</t>
  </si>
  <si>
    <t>SN0174</t>
  </si>
  <si>
    <t>SN0175</t>
  </si>
  <si>
    <t>SN0316</t>
  </si>
  <si>
    <t>SN0357</t>
  </si>
  <si>
    <t>SN0358</t>
  </si>
  <si>
    <t>SN0385</t>
  </si>
  <si>
    <t>SN0386</t>
  </si>
  <si>
    <t>SN0387</t>
  </si>
  <si>
    <t>SN0388</t>
  </si>
  <si>
    <t>SN0391</t>
  </si>
  <si>
    <t>SN0392</t>
  </si>
  <si>
    <t>SN0631</t>
  </si>
  <si>
    <t>SN0633</t>
  </si>
  <si>
    <t>SN0635</t>
  </si>
  <si>
    <t>SN0636</t>
  </si>
  <si>
    <t>SN0637</t>
  </si>
  <si>
    <t>SN0638</t>
  </si>
  <si>
    <t>SN0639</t>
  </si>
  <si>
    <t>SN0640</t>
  </si>
  <si>
    <t>SN0641</t>
  </si>
  <si>
    <t>SN0642</t>
  </si>
  <si>
    <t>SN0659</t>
  </si>
  <si>
    <t>SN0660</t>
  </si>
  <si>
    <t>SN0677</t>
  </si>
  <si>
    <t>SN0678</t>
  </si>
  <si>
    <t>SN0705</t>
  </si>
  <si>
    <t>SN0764</t>
  </si>
  <si>
    <t>SN0765</t>
  </si>
  <si>
    <t>SN0802</t>
  </si>
  <si>
    <t>SN0823</t>
  </si>
  <si>
    <t>SN0853</t>
  </si>
  <si>
    <t>SN0854</t>
  </si>
  <si>
    <t>SN0869</t>
  </si>
  <si>
    <t>SN0870</t>
  </si>
  <si>
    <t>SN0871</t>
  </si>
  <si>
    <t>SN0893</t>
  </si>
  <si>
    <t>SN0964</t>
  </si>
  <si>
    <t>SN0965</t>
  </si>
  <si>
    <t>SN0966</t>
  </si>
  <si>
    <t>SN0969</t>
  </si>
  <si>
    <t>SN1013</t>
  </si>
  <si>
    <t>SN1015</t>
  </si>
  <si>
    <t>SN1063</t>
  </si>
  <si>
    <t>SN1064</t>
  </si>
  <si>
    <t>SN1130</t>
  </si>
  <si>
    <t>SN1131</t>
  </si>
  <si>
    <t>SN1155</t>
  </si>
  <si>
    <t>SN1156</t>
  </si>
  <si>
    <t>SN1169</t>
  </si>
  <si>
    <t>SN1170</t>
  </si>
  <si>
    <t>SN1214</t>
  </si>
  <si>
    <t>SN1219</t>
  </si>
  <si>
    <t>SN1220</t>
  </si>
  <si>
    <t>SN1221</t>
  </si>
  <si>
    <t>SN1294</t>
  </si>
  <si>
    <t>SN1295</t>
  </si>
  <si>
    <t>SN1311</t>
  </si>
  <si>
    <t>SN1312</t>
  </si>
  <si>
    <t>SN1313</t>
  </si>
  <si>
    <t>SN1370</t>
  </si>
  <si>
    <t>SN1387</t>
  </si>
  <si>
    <t>SN1402</t>
  </si>
  <si>
    <t>SN1421</t>
  </si>
  <si>
    <t>SN1422</t>
  </si>
  <si>
    <t>SN1423</t>
  </si>
  <si>
    <t>SN1424</t>
  </si>
  <si>
    <t>SN1425</t>
  </si>
  <si>
    <t>SN1426</t>
  </si>
  <si>
    <t>SN1490</t>
  </si>
  <si>
    <t>SN1491</t>
  </si>
  <si>
    <t>SN1492</t>
  </si>
  <si>
    <t>SN1565</t>
  </si>
  <si>
    <t>SN1566</t>
  </si>
  <si>
    <t>SN1576</t>
  </si>
  <si>
    <t>SN1619</t>
  </si>
  <si>
    <t>SN1683</t>
  </si>
  <si>
    <t>SN1684</t>
  </si>
  <si>
    <t>SN1705</t>
  </si>
  <si>
    <t>SN1718</t>
  </si>
  <si>
    <t>SN1719</t>
  </si>
  <si>
    <t>SN1751</t>
  </si>
  <si>
    <t>SN1752</t>
  </si>
  <si>
    <t>SN1915</t>
  </si>
  <si>
    <t>SN1916</t>
  </si>
  <si>
    <t>SN1917</t>
  </si>
  <si>
    <t>SN1918</t>
  </si>
  <si>
    <t>SN1919</t>
  </si>
  <si>
    <t>SN1920</t>
  </si>
  <si>
    <t>SN1951</t>
  </si>
  <si>
    <t>SN1952</t>
  </si>
  <si>
    <t>SN2051</t>
  </si>
  <si>
    <t>SN2073</t>
  </si>
  <si>
    <t>SN2217</t>
  </si>
  <si>
    <t>SN2218</t>
  </si>
  <si>
    <t>SN2261</t>
  </si>
  <si>
    <t>SN2277</t>
  </si>
  <si>
    <t>SN2278</t>
  </si>
  <si>
    <t>SN2340</t>
  </si>
  <si>
    <t>SN2351</t>
  </si>
  <si>
    <t>SN2352</t>
  </si>
  <si>
    <t>SN2353</t>
  </si>
  <si>
    <t>SN2485</t>
  </si>
  <si>
    <t>SN2486</t>
  </si>
  <si>
    <t>SN2620</t>
  </si>
  <si>
    <t>SN8006</t>
  </si>
  <si>
    <t>SN8019</t>
  </si>
  <si>
    <t>SN8039</t>
  </si>
  <si>
    <t>SN8080</t>
  </si>
  <si>
    <t>SN8512</t>
  </si>
  <si>
    <t>Mega-One™</t>
  </si>
  <si>
    <t>Mental Edge®</t>
  </si>
  <si>
    <t>Higher Mind™</t>
  </si>
  <si>
    <t>Ultra Colloidal Silver™ Nasal Spray 10 ppm</t>
  </si>
  <si>
    <t>Wellness Formula®</t>
  </si>
  <si>
    <t>Bilberry Extract 50 mg</t>
  </si>
  <si>
    <t>Ultra-Mag™</t>
  </si>
  <si>
    <t>Silymarin Plus™</t>
  </si>
  <si>
    <t>Liver Guard™</t>
  </si>
  <si>
    <t>Life Force® Multiple</t>
  </si>
  <si>
    <t>Life Force® Multiple, No Iron</t>
  </si>
  <si>
    <t>Wellness Elderberry Extract™ 500 mg</t>
  </si>
  <si>
    <t>Genistein Soy Complex 1000 mg</t>
  </si>
  <si>
    <t>Lutein with Floraglo 6 mg</t>
  </si>
  <si>
    <t>Wellness Elderberry Extract™</t>
  </si>
  <si>
    <t>Wellness Elderberry</t>
  </si>
  <si>
    <t>Bilberry Extract 100 mg</t>
  </si>
  <si>
    <t>Hangover Formula™</t>
  </si>
  <si>
    <t>Elan Vital™ Multiple</t>
  </si>
  <si>
    <t>Sleep Science® Melatonin 2 mg</t>
  </si>
  <si>
    <t>Sleep Science® Melatonin 3 mg</t>
  </si>
  <si>
    <t>Evening Primrose Oil, Hexane-Free 1350 mg</t>
  </si>
  <si>
    <t>Ginkgo-24™ 40 mg</t>
  </si>
  <si>
    <t>Ginkgo-24™ 60 mg</t>
  </si>
  <si>
    <t>Ginkgo-24™ 120 mg</t>
  </si>
  <si>
    <t>N-A-G™ 250 mg</t>
  </si>
  <si>
    <t>Mega-GLA 300™</t>
  </si>
  <si>
    <t>Sleep Science® Melatonin 2.5 mg Peppermint</t>
  </si>
  <si>
    <t>Sleep Science® Melatonin Orange</t>
  </si>
  <si>
    <t>Turmeric Extract</t>
  </si>
  <si>
    <t>Ultimate Ascorbate C™</t>
  </si>
  <si>
    <t>Garcinia Plus™</t>
  </si>
  <si>
    <t>Visual Eyes™</t>
  </si>
  <si>
    <t>Coenzymate™ B Complex Peppermint</t>
  </si>
  <si>
    <t>Activated Quercetin™</t>
  </si>
  <si>
    <t>L-Arginine</t>
  </si>
  <si>
    <t>ChromeMate® Chromium GTF 200 mcg, Yeast Free</t>
  </si>
  <si>
    <t>Chromium Picolinate 200 mcg, Yeast Free</t>
  </si>
  <si>
    <t>Super Amino Night™</t>
  </si>
  <si>
    <t>Amino Night™</t>
  </si>
  <si>
    <t>L-Cysteine</t>
  </si>
  <si>
    <t>Cat's Claw Defense Complex™</t>
  </si>
  <si>
    <t>Sleep Science® NutraSleep™</t>
  </si>
  <si>
    <t>L-Glutamine</t>
  </si>
  <si>
    <t>MegaMind™</t>
  </si>
  <si>
    <t>L-Glutamine 500 mg</t>
  </si>
  <si>
    <t>Reduced Glutathione 50 mg</t>
  </si>
  <si>
    <t>L-Carnitine (tartrate) 250 mg, tartrate</t>
  </si>
  <si>
    <t>Creatine, Athletic Series 1000 mg</t>
  </si>
  <si>
    <t>L-Lysine</t>
  </si>
  <si>
    <t>Charcoal 260 mg</t>
  </si>
  <si>
    <t>L-Lysine 500 mg</t>
  </si>
  <si>
    <t>L-Lysine 1000 mg</t>
  </si>
  <si>
    <t>Creatine, Athletic Series</t>
  </si>
  <si>
    <t>L-Methionine</t>
  </si>
  <si>
    <t>N-A-G™ 500 mg</t>
  </si>
  <si>
    <t>L-Alanine</t>
  </si>
  <si>
    <t>L-Ornithine</t>
  </si>
  <si>
    <t>Alpha Lipoic Acid 100 mg</t>
  </si>
  <si>
    <t>L-Phenylalanine</t>
  </si>
  <si>
    <t>Grape Seed Extract, Proanthodyn™ 200 mg</t>
  </si>
  <si>
    <t>L-Phenylalanine 500 mg</t>
  </si>
  <si>
    <t>DLPA 375 mg</t>
  </si>
  <si>
    <t>DLPA 750 mg</t>
  </si>
  <si>
    <t>Taurine</t>
  </si>
  <si>
    <t>L-Aspartic Acid</t>
  </si>
  <si>
    <t>N-Acetyl Cysteine 1000 mg</t>
  </si>
  <si>
    <t>Blue-Green Algae, Freeze Dried 500 mg</t>
  </si>
  <si>
    <t>Blue-Green Algae, Freeze Dried</t>
  </si>
  <si>
    <t>OptiZinc®</t>
  </si>
  <si>
    <t>OmegaEPA™ Fish Oil 1000 mg</t>
  </si>
  <si>
    <t>L-Leucine</t>
  </si>
  <si>
    <t>L-Valine</t>
  </si>
  <si>
    <t>Amino Strength™</t>
  </si>
  <si>
    <t>Amino Day™ 1000 mg</t>
  </si>
  <si>
    <t>Amino Athlete™ 1000 mg</t>
  </si>
  <si>
    <t>L-Tyrosine</t>
  </si>
  <si>
    <t>L-Tyrosine 500 mg</t>
  </si>
  <si>
    <t>Coenzyme Q10 30 mg</t>
  </si>
  <si>
    <t>L-Pyroglutamic Acid 1000 mg</t>
  </si>
  <si>
    <t>Alfalfa 648 mg</t>
  </si>
  <si>
    <t>Butcher's Broom 500 mg</t>
  </si>
  <si>
    <t>Feverfew Extract</t>
  </si>
  <si>
    <t>N-Acetyl L-Tyrosine 300 mg</t>
  </si>
  <si>
    <t>Ultra Colloidal Silver™ 10 ppm</t>
  </si>
  <si>
    <t>Pau D'Arco</t>
  </si>
  <si>
    <t>Pau D'Arco 500 mg</t>
  </si>
  <si>
    <t>Evening Primrose Oil, Hexane-Free 500 mg</t>
  </si>
  <si>
    <t>Serene Science® GABA Calm® Peppermint</t>
  </si>
  <si>
    <t>Guarana Energizer™ 900 mg</t>
  </si>
  <si>
    <t>Ultra Potassium™ 99 mg</t>
  </si>
  <si>
    <t>Serene Science® GABA 750 mg</t>
  </si>
  <si>
    <t>Pau D'Arco Extract 500 mg</t>
  </si>
  <si>
    <t>Boswellia Extract</t>
  </si>
  <si>
    <t>Chem-Defense™ Orange</t>
  </si>
  <si>
    <t>Chem-Defense™ Peppermint</t>
  </si>
  <si>
    <t>Suma 500 mg</t>
  </si>
  <si>
    <t>Cat's Claw Bark Una de Gato 500 mg</t>
  </si>
  <si>
    <t>Magnesium Malate 1250 mg</t>
  </si>
  <si>
    <t>Dibencozide 10000 mcg</t>
  </si>
  <si>
    <t>Coenzymated™ Vitamin B-6 25 mg</t>
  </si>
  <si>
    <t>Serene Science® GABA Calm® Orange</t>
  </si>
  <si>
    <t>Sleep Science® Melatonin 2.5 mg Orange</t>
  </si>
  <si>
    <t>Coenzymate™ B Complex Orange</t>
  </si>
  <si>
    <t>Pantothenic Acid 500 mg</t>
  </si>
  <si>
    <t>Pycnogenol® Complex</t>
  </si>
  <si>
    <t>Colostrum</t>
  </si>
  <si>
    <t>Pycnogenol® 25 mg</t>
  </si>
  <si>
    <t>Calcium 200 mg</t>
  </si>
  <si>
    <t>Calcium &amp; Magnesium 300 mg</t>
  </si>
  <si>
    <t>Pycnogenol® 50 mg</t>
  </si>
  <si>
    <t>Diet CitriMax™ 1000 mg</t>
  </si>
  <si>
    <t>Iron 25 mg</t>
  </si>
  <si>
    <t>Magnesium Chelate Complex 100 mg</t>
  </si>
  <si>
    <t>Pycnogenol® 75 mg</t>
  </si>
  <si>
    <t>Sleep Science® Melatonin NutraSpray™ 1.5 mg Orange</t>
  </si>
  <si>
    <t>Zinc 50 mg</t>
  </si>
  <si>
    <t>Acetyl L-Carnitine 500 mg</t>
  </si>
  <si>
    <t>Pycnogenol® 100 mg</t>
  </si>
  <si>
    <t>Acetyl L-Carnitine 250 mg</t>
  </si>
  <si>
    <t>Heart Science™</t>
  </si>
  <si>
    <t>Manganese 10 mg</t>
  </si>
  <si>
    <t>St. John's Positive Thoughts™</t>
  </si>
  <si>
    <t>Sleep Science® NightRest™ with Melatonin</t>
  </si>
  <si>
    <t>Ultra Chromium GTF™ 200 mcg, Yeast Free</t>
  </si>
  <si>
    <t>Mega Chromium Picolinate™ 300 mcg</t>
  </si>
  <si>
    <t>Cat's Claw Bark Una de Gato 1000 mg</t>
  </si>
  <si>
    <t>Coenzyme Q10 75 mg</t>
  </si>
  <si>
    <t>Alpha Lipoic Acid 200 mg</t>
  </si>
  <si>
    <t>Beta Carotene 25000 IU</t>
  </si>
  <si>
    <t>Vitamin B-1 100 mg</t>
  </si>
  <si>
    <t>Vitamin B-2 100 mg</t>
  </si>
  <si>
    <t>Vitamin B-6 50 mg</t>
  </si>
  <si>
    <t>Vitamin B-6 100 mg</t>
  </si>
  <si>
    <t>Vitamin B-6 500 mg</t>
  </si>
  <si>
    <t>Vitamin B-12 2000 mcg</t>
  </si>
  <si>
    <t>Vitamin B-50 Complex 50 mg</t>
  </si>
  <si>
    <t>Vitamin B-125 125 mg</t>
  </si>
  <si>
    <t>DMG 100 mg</t>
  </si>
  <si>
    <t>Coenzyme Q10 100 mg</t>
  </si>
  <si>
    <t>Vitamin C - Ascorbic Acid</t>
  </si>
  <si>
    <t>C-500 500 mg</t>
  </si>
  <si>
    <t>Vitamin C - Sodium Ascorbate</t>
  </si>
  <si>
    <t>C-1000 1000 mg</t>
  </si>
  <si>
    <t>Calcium Ascorbate</t>
  </si>
  <si>
    <t>C-1500 1500 mg</t>
  </si>
  <si>
    <t>C-B-R™</t>
  </si>
  <si>
    <t>Mega C-B-R™</t>
  </si>
  <si>
    <t>Acerola Cherry Chewable C 120 mg Fruit</t>
  </si>
  <si>
    <t>Acerola Cherry Chewable C 500 mg Fruit</t>
  </si>
  <si>
    <t>Vitamin E 400 IU, d-alpha Tocopherol</t>
  </si>
  <si>
    <t>Folic Acid 800 mcg</t>
  </si>
  <si>
    <t>Inositol, Pure</t>
  </si>
  <si>
    <t>Inositol &amp; Choline 800 mg</t>
  </si>
  <si>
    <t>Niacin 100 mg</t>
  </si>
  <si>
    <t>Niacinamide B-3 100 mg</t>
  </si>
  <si>
    <t>Niacinamide B-3 1500 mg</t>
  </si>
  <si>
    <t>PABA 100 mg</t>
  </si>
  <si>
    <t>Pantothenic Acid 100 mg</t>
  </si>
  <si>
    <t>Pantothenic Acid 250 mg</t>
  </si>
  <si>
    <t>Ultra Chromium Picolinate 500™ 500 mcg</t>
  </si>
  <si>
    <t>Pycnogenol® and Grape Seed Extract 50 mg</t>
  </si>
  <si>
    <t>Hi-Stress B&amp;C™</t>
  </si>
  <si>
    <t>Wellness Colloidal Silver™ 30 ppm</t>
  </si>
  <si>
    <t>Pycnogenol® and Grape Seed Extract 100 mg</t>
  </si>
  <si>
    <t>Gamma Oryzanol 60 mg</t>
  </si>
  <si>
    <t>Glucosamine Sulfate 500 mg</t>
  </si>
  <si>
    <t>Glucosamine Sulfate 750 mg</t>
  </si>
  <si>
    <t>Garcinia 1000™ 1000 mg</t>
  </si>
  <si>
    <t>Sleep Science® Melatonin 5 mg</t>
  </si>
  <si>
    <t>Phosphatidyl Serine Complex (Stabilized) 500 mg</t>
  </si>
  <si>
    <t>FOS 1000 mg</t>
  </si>
  <si>
    <t>FOS</t>
  </si>
  <si>
    <t>Sleep Science® Melatonin 5 mg Orange</t>
  </si>
  <si>
    <t>Sleep Science® Melatonin 5 mg Peppermint</t>
  </si>
  <si>
    <t>Sleep Science® Melatonin Complex™ 3 mg Orange</t>
  </si>
  <si>
    <t>Sleep Science® Melatonin Complex™ 3 mg Peppermint</t>
  </si>
  <si>
    <t>Ultra Colloidal Silver Spray™ 10 ppm</t>
  </si>
  <si>
    <t>Cat's Claw Extract</t>
  </si>
  <si>
    <t>Bee Pollen 500 mg</t>
  </si>
  <si>
    <t>Propolis 500 mg</t>
  </si>
  <si>
    <t>Propolis</t>
  </si>
  <si>
    <t>S.O.D. 2000</t>
  </si>
  <si>
    <t>Lecithin 1200 mg</t>
  </si>
  <si>
    <t>Phosphatidyl Choline in Lecithin 420 mg</t>
  </si>
  <si>
    <t>DMAE 351 mg</t>
  </si>
  <si>
    <t>Eternal Woman™ Menopause Multiple™</t>
  </si>
  <si>
    <t>Spirulina</t>
  </si>
  <si>
    <t>Spirulina 500 mg</t>
  </si>
  <si>
    <t>Life Minerals™, High Bioactivity, No Iron</t>
  </si>
  <si>
    <t>BioPerine® 10 mg</t>
  </si>
  <si>
    <t>Gamma Oryzanol 30 mg</t>
  </si>
  <si>
    <t>Inosine 500 mg</t>
  </si>
  <si>
    <t>DHA 200 mg</t>
  </si>
  <si>
    <t>Essential Enzymes® 500 mg</t>
  </si>
  <si>
    <t>Guar Gum</t>
  </si>
  <si>
    <t>Pregnenolone 10 mg Cherry</t>
  </si>
  <si>
    <t>Chlorella 500 mg</t>
  </si>
  <si>
    <t>Pregnenolone 25 mg</t>
  </si>
  <si>
    <t>Chondroitin Sulfate 400 mg</t>
  </si>
  <si>
    <t>Modified Citrus Pectin, PectImmune™</t>
  </si>
  <si>
    <t>Phytosterol Complex™ with Beta-Sitosterol 113 mg</t>
  </si>
  <si>
    <t>Sleep Science® Melatonin 1 mg Orange</t>
  </si>
  <si>
    <t>Sleep Science® Melatonin 1 mg Peppermint</t>
  </si>
  <si>
    <t>Pregnenolone 10 mg</t>
  </si>
  <si>
    <t>Smilax</t>
  </si>
  <si>
    <t>Sleep Science® Melatonin 1 mg</t>
  </si>
  <si>
    <t>Pregnenolone 25 mg Cherry</t>
  </si>
  <si>
    <t>Proline &amp; Lysine 550 mg</t>
  </si>
  <si>
    <t>Psyllium Husk</t>
  </si>
  <si>
    <t>K-Mag C™ 674 mg</t>
  </si>
  <si>
    <t>Sugar Ban™ 265 mg</t>
  </si>
  <si>
    <t>Trans-Ferulic Acid 250 mg</t>
  </si>
  <si>
    <t>Black Cohosh 80 mg</t>
  </si>
  <si>
    <t>Selenium 200 mcg</t>
  </si>
  <si>
    <t>Ultimate Ascorbate C™ 1000 mg</t>
  </si>
  <si>
    <t>Magnesium Ascorbate</t>
  </si>
  <si>
    <t>N-Acetyl Cysteine 600 mg</t>
  </si>
  <si>
    <t>Life Minerals™</t>
  </si>
  <si>
    <t>Niacin 250™</t>
  </si>
  <si>
    <t>Calcium D-Glucarate 500 mg</t>
  </si>
  <si>
    <t>TMG 750 mg</t>
  </si>
  <si>
    <t>Green Tea Extract 100 mg</t>
  </si>
  <si>
    <t>B-1, High Potency 500 mg</t>
  </si>
  <si>
    <t>St. John's Wort Extract 300 mg</t>
  </si>
  <si>
    <t>Bromelain 600 GDU</t>
  </si>
  <si>
    <t>Eternal Woman™ Hot Flash®</t>
  </si>
  <si>
    <t>No-Flush Niacin™ 500 mg</t>
  </si>
  <si>
    <t>Selenium, Yeast Free 200 mcg</t>
  </si>
  <si>
    <t>Pregnenolone 50 mg</t>
  </si>
  <si>
    <t>Coenzymated™ B-1 25 mg Peppermint</t>
  </si>
  <si>
    <t>Coenzymated™ B-2 25 mg Peppermint</t>
  </si>
  <si>
    <t>Pantethine 25 mg</t>
  </si>
  <si>
    <t>CCM Calcium™ 300 mg</t>
  </si>
  <si>
    <t>Arthred® Collagen</t>
  </si>
  <si>
    <t>Royal Jelly 500 mg</t>
  </si>
  <si>
    <t>Grape Seed Extract, Proanthodyn™ 100 mg</t>
  </si>
  <si>
    <t>Eternal Woman™ Mood Balance™</t>
  </si>
  <si>
    <t>Eternal Woman™ Mega Primrose™ 1350 mg</t>
  </si>
  <si>
    <t>Wellness GarliCell™ 5000 mcg</t>
  </si>
  <si>
    <t>Diet Chitosan™ 500 mg, Picture Label</t>
  </si>
  <si>
    <t>Wellness Colloidal Silver™ Throat Spray 30 ppm</t>
  </si>
  <si>
    <t>Wellness Colloidal Silver™ Nasal Spray 10 ppm</t>
  </si>
  <si>
    <t>Wellness C-1000™</t>
  </si>
  <si>
    <t>Homocysteine Defense™</t>
  </si>
  <si>
    <t>Wellness Oil of Oregano™</t>
  </si>
  <si>
    <t>Wellness Herbal Resistance™ Liquid Standard Formula</t>
  </si>
  <si>
    <t>Wellness Multiple™</t>
  </si>
  <si>
    <t>Calcium Night™</t>
  </si>
  <si>
    <t>Ultra-Cal Night™ Calcium Complex</t>
  </si>
  <si>
    <t>Eternal Woman™ Cimi-Fem™ 80 mg Chocolate</t>
  </si>
  <si>
    <t>Pyruvate Power™ 750 mg</t>
  </si>
  <si>
    <t>MSM with Vitamin C 750 mg</t>
  </si>
  <si>
    <t>MSM with Vitamin C</t>
  </si>
  <si>
    <t>Wellness Olive Leaf™</t>
  </si>
  <si>
    <t>Aller-Response®</t>
  </si>
  <si>
    <t>Eternal Woman™ Genistein Soy Complex 1000 mg</t>
  </si>
  <si>
    <t>Broccoli Sprouts Extract 250 mg</t>
  </si>
  <si>
    <t>Diet-Phen™ 814 mg, Classic Label</t>
  </si>
  <si>
    <t>Calm Thoughts™</t>
  </si>
  <si>
    <t>Flax Seed-Primrose Oil 1300 mg</t>
  </si>
  <si>
    <t>Phosphatidyl Serine 100™ 100 mg</t>
  </si>
  <si>
    <t>Phosphatidyl Serine  150 mg 30VCAP</t>
  </si>
  <si>
    <t>Phosphatidyl Serine 150 150 mg</t>
  </si>
  <si>
    <t>Skin Eternal® MSM Cream</t>
  </si>
  <si>
    <t>Male Response™</t>
  </si>
  <si>
    <t>Wellness Herbal Resistance™ Liquid Alcohol Free Formula</t>
  </si>
  <si>
    <t>Wellness Defense™</t>
  </si>
  <si>
    <t>Eternal Woman™ Progesterone Cream Jar</t>
  </si>
  <si>
    <t>Colostrum 650 mg</t>
  </si>
  <si>
    <t>St. John's Wort 450™ 450 mg</t>
  </si>
  <si>
    <t>Eternal Woman™ Phyto-Estrogen Cream</t>
  </si>
  <si>
    <t>Joint Response™</t>
  </si>
  <si>
    <t>Allercetin™ Allergy &amp; Sinus, Box</t>
  </si>
  <si>
    <t>Eternal Woman™ Ultra Bone Balance™</t>
  </si>
  <si>
    <t>Attentive Child™ Fruit</t>
  </si>
  <si>
    <t>Fibro-Response™</t>
  </si>
  <si>
    <t>Ultra Joint Response™</t>
  </si>
  <si>
    <t>SAMe 200 mg, Enteric Coated</t>
  </si>
  <si>
    <t>Maca 250 mg</t>
  </si>
  <si>
    <t>Glucosamine Chondroitin Complex with MSM</t>
  </si>
  <si>
    <t>Diet Metabo-7™</t>
  </si>
  <si>
    <t>L-Arginine 500 mg</t>
  </si>
  <si>
    <t>Taurine 500 mg</t>
  </si>
  <si>
    <t>Reduced Glutathione 250 mg</t>
  </si>
  <si>
    <t>MSM with Vitamin C 1000 mg</t>
  </si>
  <si>
    <t>MethylCobalamin 1 mg Cherry</t>
  </si>
  <si>
    <t>Prosta-Response™</t>
  </si>
  <si>
    <t>Swedish Flower Pollen</t>
  </si>
  <si>
    <t>Colostrum 500 mg</t>
  </si>
  <si>
    <t>Reduced Glutathione Complex 50 mg Orange</t>
  </si>
  <si>
    <t>Heart Response™</t>
  </si>
  <si>
    <t>D-Ribose 1000 mg Fruit</t>
  </si>
  <si>
    <t>Lutein with Floraglo 20 mg</t>
  </si>
  <si>
    <t>Wellness Larch Extract™ 1000 mg</t>
  </si>
  <si>
    <t>Red Clover Extract 500 mg</t>
  </si>
  <si>
    <t>MethylCobalamin 5 mg Cherry</t>
  </si>
  <si>
    <t>Wellness Cough Syrup™</t>
  </si>
  <si>
    <t>Eternal Woman™ Red Clover Extract 500 mg</t>
  </si>
  <si>
    <t>Bromelain 2000 GDU</t>
  </si>
  <si>
    <t>Apple Cider Vinegar 500 mg</t>
  </si>
  <si>
    <t>Betaine HCL 650 mg</t>
  </si>
  <si>
    <t>Glucosamine Sulfate</t>
  </si>
  <si>
    <t>IP-6</t>
  </si>
  <si>
    <t>IP-6 800 mg</t>
  </si>
  <si>
    <t>Biotin 5000 mcg</t>
  </si>
  <si>
    <t>Ascorbyl Palmitate 500 mg</t>
  </si>
  <si>
    <t>7-Keto® DHEA Metabolite 50 mg</t>
  </si>
  <si>
    <t>Glucosamine Chondroitin, Extra Strength</t>
  </si>
  <si>
    <t>Essential Fatty Acids, Complete</t>
  </si>
  <si>
    <t>Vinpocetine 10 mg</t>
  </si>
  <si>
    <t>SAMe 400 mg, Enteric Coated</t>
  </si>
  <si>
    <t>Calcium Citrate 333 mg</t>
  </si>
  <si>
    <t>Coenzyme Q10 200 mg</t>
  </si>
  <si>
    <t>Phase 2® Carbohydrate Blocker 500 mg</t>
  </si>
  <si>
    <t>Beta Sitosterol Mega Strength 375 mg</t>
  </si>
  <si>
    <t>Mastic Gum 500 mg</t>
  </si>
  <si>
    <t>Horny Goat Weed 1000 mg</t>
  </si>
  <si>
    <t>Alpha Lipoic Acid 300 mg</t>
  </si>
  <si>
    <t>Mega-One™ Multiple, No Iron</t>
  </si>
  <si>
    <t>Gluco-Science™</t>
  </si>
  <si>
    <t>Policosanol 10 mg</t>
  </si>
  <si>
    <t>Vitamin K 500 mcg</t>
  </si>
  <si>
    <t>Policosanol with Coenzyme Q10 10 mg</t>
  </si>
  <si>
    <t>Yaeyama Chlorella® 200 mg</t>
  </si>
  <si>
    <t>Advanced Ferrochel™ 27 mg</t>
  </si>
  <si>
    <t>Tribulus Extract 750 mg</t>
  </si>
  <si>
    <t>L-Carnitine (tartrate) 500 mg, tartrate</t>
  </si>
  <si>
    <t>Ascorbyl Palmitate</t>
  </si>
  <si>
    <t>Advanced B-12 Complex™ 5 mg</t>
  </si>
  <si>
    <t>Skin Eternal®</t>
  </si>
  <si>
    <t>Advanced One™ Multiple</t>
  </si>
  <si>
    <t>Advanced One™ Multiple (No Iron)</t>
  </si>
  <si>
    <t>MSM</t>
  </si>
  <si>
    <t>Serene Science® L-Theanine 200 mg</t>
  </si>
  <si>
    <t>Astaxanthin 2 mg</t>
  </si>
  <si>
    <t>Skin Eternal® Skin Eternal Serum</t>
  </si>
  <si>
    <t>Skin Eternal® Plus®</t>
  </si>
  <si>
    <t>Myricetin 100 mg</t>
  </si>
  <si>
    <t>DIM 100 mg</t>
  </si>
  <si>
    <t>Quercetin Nutra Drops™</t>
  </si>
  <si>
    <t>Yaeyama Chlorella®</t>
  </si>
  <si>
    <t>Policosanol Cholesterol Complex</t>
  </si>
  <si>
    <t>Wellness Oil of Oregano™ 45 mg</t>
  </si>
  <si>
    <t>Hyaluronic Acid, Injuv ® 70 mg</t>
  </si>
  <si>
    <t>L-Proline</t>
  </si>
  <si>
    <t>L-Carnosine 500 mg</t>
  </si>
  <si>
    <t>Coral Calcium 600 mg</t>
  </si>
  <si>
    <t>Coral Calcium</t>
  </si>
  <si>
    <t>Relora® 250 mg</t>
  </si>
  <si>
    <t>Inflama-Rest™</t>
  </si>
  <si>
    <t>Coral Calcium Multi-Mineral Complex</t>
  </si>
  <si>
    <t>Skin Eternal® DMAE Serum</t>
  </si>
  <si>
    <t>Echinacea Extract 500 mg</t>
  </si>
  <si>
    <t>Magnesium Malate 625 mg</t>
  </si>
  <si>
    <t>Coral Calcium/Magnesium</t>
  </si>
  <si>
    <t>Glycine 500 mg</t>
  </si>
  <si>
    <t>Potassium Iodide 32.5 mg</t>
  </si>
  <si>
    <t>Mushroom Immune Defense™</t>
  </si>
  <si>
    <t>Skin Eternal® Hyaluronic Acid 50 mg</t>
  </si>
  <si>
    <t>Pomegranate Extract 500 mg</t>
  </si>
  <si>
    <t>Ellagic Active™ 300 mg</t>
  </si>
  <si>
    <t>Skin Eternal® Cream Standard Formula</t>
  </si>
  <si>
    <t>L-Ornithine 667 mg</t>
  </si>
  <si>
    <t>Alkaline Balance™</t>
  </si>
  <si>
    <t>R-Lipoic Acid 50 mg</t>
  </si>
  <si>
    <t>R-Lipoic Acid 100 mg</t>
  </si>
  <si>
    <t>Serene Science® GABA</t>
  </si>
  <si>
    <t>Tongkat Ali</t>
  </si>
  <si>
    <t>Cherry Fruit Extract 500 mg</t>
  </si>
  <si>
    <t>Serene Science® 5-HTP 100 mg</t>
  </si>
  <si>
    <t>Gamma E 400 Complex 400 mg</t>
  </si>
  <si>
    <t>Serene Science® 5-HTP 50 mg</t>
  </si>
  <si>
    <t>HGH Surge™</t>
  </si>
  <si>
    <t>Vegetarian Pancreatin 475 mg</t>
  </si>
  <si>
    <t>NKO® Neptune Krill Oil 500 mg</t>
  </si>
  <si>
    <t>Eternal Woman™ Progesterone Cream Tube</t>
  </si>
  <si>
    <t>Skin Eternal® Cream Sensitive Skin Formula</t>
  </si>
  <si>
    <t>Nattokinase, NSK-SD® 33 mg</t>
  </si>
  <si>
    <t>Yerba Mate 600 mg</t>
  </si>
  <si>
    <t>Skin Eternal® Hyaluronic Serum</t>
  </si>
  <si>
    <t>Vanadyl Sulfate 10 mg</t>
  </si>
  <si>
    <t>Sytrinol™ 150 mg</t>
  </si>
  <si>
    <t>Renewal Antioxidants™</t>
  </si>
  <si>
    <t>Wellness Herbal Kids™ Liquid</t>
  </si>
  <si>
    <t>Serene Science® Theanine Serene® with Relora®</t>
  </si>
  <si>
    <t>Cholesterol Rescue™ 604 mg</t>
  </si>
  <si>
    <t>Hyaluronic Acid 50 mg</t>
  </si>
  <si>
    <t>Vitamin D-3 400 IU</t>
  </si>
  <si>
    <t>Vitamin D-3 1000 IU</t>
  </si>
  <si>
    <t>Mega-Kid™ Berry</t>
  </si>
  <si>
    <t>Acetyl L-Carnitine &amp; Alpha-Lipoic Acid 650 mg</t>
  </si>
  <si>
    <t>Serene Science® Holy Basil Extract 450 mg</t>
  </si>
  <si>
    <t>Artichoke Extract 500™ 500 mg</t>
  </si>
  <si>
    <t>Hyaluronic Acid 100 mg</t>
  </si>
  <si>
    <t>Wellness Transfer Factor™ 125 mg</t>
  </si>
  <si>
    <t>Nattokinase, NSK-SD® 50 mg</t>
  </si>
  <si>
    <t>Vegetarian Glucosamine 750 mg</t>
  </si>
  <si>
    <t>Cholestrex®</t>
  </si>
  <si>
    <t>Skin Eternal® DMAE Cream</t>
  </si>
  <si>
    <t>Vanadium with Chromium</t>
  </si>
  <si>
    <t>Guggulsterones 37.5 mg</t>
  </si>
  <si>
    <t>L-Arginine 1000 mg</t>
  </si>
  <si>
    <t>Green Tea Extract 500 mg</t>
  </si>
  <si>
    <t>Wellness Herbal Throat Spray™</t>
  </si>
  <si>
    <t>Coenzymated™ Vitamin B-6 100 mg</t>
  </si>
  <si>
    <t>Perilla Oil 1000 mg</t>
  </si>
  <si>
    <t>Green Coffee Extract 500 mg</t>
  </si>
  <si>
    <t>SOD Power™ 250 mg</t>
  </si>
  <si>
    <t>Zeaxanthin with Lutein 10 mg</t>
  </si>
  <si>
    <t>Nattokinase, NSK-SD® 100 mg</t>
  </si>
  <si>
    <t>Policosanol 20 mg</t>
  </si>
  <si>
    <t>Hyaluronic Joint Complex™</t>
  </si>
  <si>
    <t>Coconut Oil, Extra Virgin 1000 mg</t>
  </si>
  <si>
    <t>Benfotiamine 150 mg</t>
  </si>
  <si>
    <t>Triple Boron 3 mg</t>
  </si>
  <si>
    <t>Women's Life Force® Multiple</t>
  </si>
  <si>
    <t>Men's Life Force® Multiple</t>
  </si>
  <si>
    <t>Vitamin K2 + D3</t>
  </si>
  <si>
    <t>Eternal Woman™ Progesterone Cream Jar (CA)</t>
  </si>
  <si>
    <t>Eternal Woman™ Progesterone Cream Tube (CA)</t>
  </si>
  <si>
    <t>Yaeyama Chlorella® 200 mg, Box</t>
  </si>
  <si>
    <t>Huperzine A 200 mcg</t>
  </si>
  <si>
    <t>RejuvenZyme™ 486 mg</t>
  </si>
  <si>
    <t>Pancreatin 8X 500 mg</t>
  </si>
  <si>
    <t>Attentive Child™</t>
  </si>
  <si>
    <t>Serrapeptase</t>
  </si>
  <si>
    <t>Women's Life Force® Multiple, No Iron</t>
  </si>
  <si>
    <t>Wellness Formula®, (CA Formula)</t>
  </si>
  <si>
    <t>Phosphatidyl Serine Matrix™ 500 mg</t>
  </si>
  <si>
    <t>Mangosteen 75 mg</t>
  </si>
  <si>
    <t>L-Tryptophan 500 mg</t>
  </si>
  <si>
    <t>L-Tryptophan with Coenzyme B-6 500 mg</t>
  </si>
  <si>
    <t>L-Citrulline</t>
  </si>
  <si>
    <t>L-Tryptophan</t>
  </si>
  <si>
    <t>L-Citrulline 1000 mg</t>
  </si>
  <si>
    <t>L-Citrulline 500 mg</t>
  </si>
  <si>
    <t>D-Ribose</t>
  </si>
  <si>
    <t>L-Carnitine (fumarate) 250 mg, fumarate</t>
  </si>
  <si>
    <t>Ion Charge™</t>
  </si>
  <si>
    <t>ArcticPure® Omega-3 Fish Oil, Ultra Potency 850 mg</t>
  </si>
  <si>
    <t>ArcticPure® Ultra Potency Omega-3 Fish Oil, Enteric Coated 850 mg</t>
  </si>
  <si>
    <t>Modified Citrus Pectin, PectImmune™ 750 mg</t>
  </si>
  <si>
    <t>Chela-Detox™</t>
  </si>
  <si>
    <t>Acai Extract 500 mg</t>
  </si>
  <si>
    <t>MegaFolinic™ 800 mcg</t>
  </si>
  <si>
    <t>Red Wine Extract with Resveratrol</t>
  </si>
  <si>
    <t>Advanced Triple Boron with Calcium</t>
  </si>
  <si>
    <t>L-Arginine L-Citrulline Complex 1000 mg</t>
  </si>
  <si>
    <t>Resveratrol 80 mg</t>
  </si>
  <si>
    <t>Wellness Fizz® Berry</t>
  </si>
  <si>
    <t>L-Leucine 500 mg</t>
  </si>
  <si>
    <t>EGCG 350 mg</t>
  </si>
  <si>
    <t>Mag/Cal 2:1 370 mg</t>
  </si>
  <si>
    <t>Pantethine 300 mg</t>
  </si>
  <si>
    <t>Taurine 1000™ 1000 mg</t>
  </si>
  <si>
    <t>Inflama-Trim™</t>
  </si>
  <si>
    <t>NADH 10 mg Peppermint</t>
  </si>
  <si>
    <t>Pine Bark Extract 150 mg</t>
  </si>
  <si>
    <t>Resveratrol 100™ 100 mg</t>
  </si>
  <si>
    <t>Magnesium Citrate 133 mg</t>
  </si>
  <si>
    <t>Wellness Breathe Free™</t>
  </si>
  <si>
    <t>Ubiquinol CoQH 100 mg</t>
  </si>
  <si>
    <t>Blood Pressure Response™</t>
  </si>
  <si>
    <t>Magnesium Bis-Glycinate</t>
  </si>
  <si>
    <t>BCAA 733 mg</t>
  </si>
  <si>
    <t>Wellness Children's Immune Chewable™ Berry</t>
  </si>
  <si>
    <t>Brown Rice Protein</t>
  </si>
  <si>
    <t>Vitamin D-3 2000 IU</t>
  </si>
  <si>
    <t>WellGuard®</t>
  </si>
  <si>
    <t>NADH 20 mg Peppermint</t>
  </si>
  <si>
    <t>Ultra Potency Gymnema Sylvestre 550 mg</t>
  </si>
  <si>
    <t>Systemic C™ 500 mg</t>
  </si>
  <si>
    <t>Gymnema Sylvestre 450 mg</t>
  </si>
  <si>
    <t>ArcticPure® Krill Oil 500 mg</t>
  </si>
  <si>
    <t>Metabolic C™ 500 mg</t>
  </si>
  <si>
    <t>Metabolic C™ 1000 mg</t>
  </si>
  <si>
    <t>Slenderluma™ 500 mg</t>
  </si>
  <si>
    <t>Cilantro Metal Detox™</t>
  </si>
  <si>
    <t>Systemic C™ 1000 mg</t>
  </si>
  <si>
    <t>Mag Active™</t>
  </si>
  <si>
    <t>Wellness Cough Syrup™ for Kids Cherry</t>
  </si>
  <si>
    <t>ChocoLift™ 500 mg</t>
  </si>
  <si>
    <t>Mucuna Dopa 100 mg</t>
  </si>
  <si>
    <t>Coenzymated™ Vitamin B-6 333 mg</t>
  </si>
  <si>
    <t>D-Mannose 500 mg</t>
  </si>
  <si>
    <t>Serene Science® Magnesium Serene™ Berry</t>
  </si>
  <si>
    <t>Serene Science® Magnesium Serene™ Tangerine</t>
  </si>
  <si>
    <t>Ultra-Cal 1000™</t>
  </si>
  <si>
    <t>BerryOxidants™</t>
  </si>
  <si>
    <t>Pycnogenol® Supreme™</t>
  </si>
  <si>
    <t>EuroPure™ Silymarin 200 mg</t>
  </si>
  <si>
    <t>Skin Eternal® Day Cream</t>
  </si>
  <si>
    <t>Crystal Balance™ Himalayan Bath Salt</t>
  </si>
  <si>
    <t>Crystal Balance™ Himalayan Rock Salt Coarse Grind</t>
  </si>
  <si>
    <t>Crystal Balance™ Himalayan Rock Salt Fine Grind</t>
  </si>
  <si>
    <t>Crystal Balance™ Himalayan Rock Salt Fine Grind Refill</t>
  </si>
  <si>
    <t>AHCC®</t>
  </si>
  <si>
    <t>Wellness Fizz® Tangerine</t>
  </si>
  <si>
    <t>D-Ribose 1000 mg</t>
  </si>
  <si>
    <t>Vitamin D-3</t>
  </si>
  <si>
    <t>Pea Protein Power™</t>
  </si>
  <si>
    <t>XyliSmart®</t>
  </si>
  <si>
    <t>Resveratrol 200™ 200 mg</t>
  </si>
  <si>
    <t>GastricSoothe™</t>
  </si>
  <si>
    <t>Omega 3-6-9</t>
  </si>
  <si>
    <t>Essential EnzymesUltra®</t>
  </si>
  <si>
    <t>Vitamin D-3 5000 IU</t>
  </si>
  <si>
    <t>Pro-VegaTein™</t>
  </si>
  <si>
    <t>Resveratrol 40 mg, Classic Label</t>
  </si>
  <si>
    <t>Life Force® Green Multiple</t>
  </si>
  <si>
    <t>Male Nitro®</t>
  </si>
  <si>
    <t>Wellness Immune Chewable™ Berry</t>
  </si>
  <si>
    <t>Lactase Digest 30 mg</t>
  </si>
  <si>
    <t>Turmeric 1000™ 1000 mg</t>
  </si>
  <si>
    <t>Wellness Vitamin D-3 2000 IU</t>
  </si>
  <si>
    <t>UC-II® 40 mg</t>
  </si>
  <si>
    <t>Ageless Mind™</t>
  </si>
  <si>
    <t>Life Force® Vegan Multiple</t>
  </si>
  <si>
    <t>Magnesium Ascorbate 1000 mg</t>
  </si>
  <si>
    <t>Huperzine A 100 mcg</t>
  </si>
  <si>
    <t>Glycine Powder</t>
  </si>
  <si>
    <t>Wellness Herbal Resistance™ Liquid</t>
  </si>
  <si>
    <t>ArcticPure® Omega-3 1125 Fish Oil 1125 mg</t>
  </si>
  <si>
    <t>Turmeric with Meriva® 500 mg</t>
  </si>
  <si>
    <t>Maca Lift™ 600 mg</t>
  </si>
  <si>
    <t>Wellness EpiCor® with Vitamin D-3 500 mg</t>
  </si>
  <si>
    <t>Alpha Lipoic Acid 600 mg</t>
  </si>
  <si>
    <t>Skin Eternal® DMAE Firming Body Lotion</t>
  </si>
  <si>
    <t>NKO® Neptune Krill Oil 1000 mg</t>
  </si>
  <si>
    <t>Vegan Omega-3s EPA-DHA 300 mg</t>
  </si>
  <si>
    <t>Vitamin B-12 5 mg</t>
  </si>
  <si>
    <t>7-Keto® DHEA Metabolite 100 mg</t>
  </si>
  <si>
    <t>Sleep Science® Melatonin 10 mg</t>
  </si>
  <si>
    <t>MBP® Bone Renew™</t>
  </si>
  <si>
    <t>Energizing Green Coffee Extract 500 mg</t>
  </si>
  <si>
    <t>Bitter Melon 500 mg</t>
  </si>
  <si>
    <t>Magtein®</t>
  </si>
  <si>
    <t>PQQ Mind™</t>
  </si>
  <si>
    <t>Calcium Hydroxyapatite</t>
  </si>
  <si>
    <t>Zembrin 25 mg</t>
  </si>
  <si>
    <t>MBP® Osteo with Calcium</t>
  </si>
  <si>
    <t>Serene Science® L-Tryptophan 500 mg</t>
  </si>
  <si>
    <t>Provinal® Omega-7</t>
  </si>
  <si>
    <t>Omega-7 Sea Buckthorn Fruit Oil</t>
  </si>
  <si>
    <t>Vegan True® DHA 200 mg</t>
  </si>
  <si>
    <t>Vegan True® Glucosamine 750 mg</t>
  </si>
  <si>
    <t>Vegan True® Non-GMO Vitamin E 400 IU</t>
  </si>
  <si>
    <t>Vegan True® Phosphatidyl Serine 100™ 100 mg</t>
  </si>
  <si>
    <t>Vegan True® B-125 125 mg</t>
  </si>
  <si>
    <t>Vegan True® Methylcobalamin 1 mg Cherry</t>
  </si>
  <si>
    <t>Vegan True® Melatonin 2.5 mg Orange</t>
  </si>
  <si>
    <t>Vegan True® Melatonin 3 mg</t>
  </si>
  <si>
    <t>Vegan True® Non-GMO Vitamin C 1000 mg</t>
  </si>
  <si>
    <t>Vitamin E, Non-GMO 400 IU</t>
  </si>
  <si>
    <t>DIM 200 mg</t>
  </si>
  <si>
    <t>Vegan True® Non-Fish Omega-3s 300 mg</t>
  </si>
  <si>
    <t>Vegan True® Iron Support™</t>
  </si>
  <si>
    <t>Vegan True® Vitamin C Plantioxidant Complex</t>
  </si>
  <si>
    <t>Vegan True® Vegan Force™ Multiple</t>
  </si>
  <si>
    <t>Lutein 20 mg</t>
  </si>
  <si>
    <t>Vitamin D-3 2000 IU Black Cherry-Peach</t>
  </si>
  <si>
    <t>Turmeric 500™ 500 mg</t>
  </si>
  <si>
    <t>L-Tryptophan with Vitamin B-6 1000 mg</t>
  </si>
  <si>
    <t>Wellness Zinc Throat Spray™ Berry</t>
  </si>
  <si>
    <t>Brain Charge®</t>
  </si>
  <si>
    <t>Sleep Science® Melatonin Serene Night™ 3 mg</t>
  </si>
  <si>
    <t>Telomeron®</t>
  </si>
  <si>
    <t>Non-GMO Vitamin C 1000 mg</t>
  </si>
  <si>
    <t>Biotin 10000 mcg</t>
  </si>
  <si>
    <t>Kids D-3 400 IU Black Cherry</t>
  </si>
  <si>
    <t>Theracurmin® 300 mg</t>
  </si>
  <si>
    <t>EnerVital®</t>
  </si>
  <si>
    <t>Zea-Tein 20/20™</t>
  </si>
  <si>
    <t>Theracurmin® 600 mg</t>
  </si>
  <si>
    <t>Eternal Woman™ Meno-7™</t>
  </si>
  <si>
    <t>Hydroxocobalamin 1 mg Cherry</t>
  </si>
  <si>
    <t>Serene Science® 5-HTP 200 mg</t>
  </si>
  <si>
    <t>Top 10 Healers®</t>
  </si>
  <si>
    <t>Glutamine Comfort</t>
  </si>
  <si>
    <t>AllerStrength™</t>
  </si>
  <si>
    <t>Astaxanthin 12 mg</t>
  </si>
  <si>
    <t>Perluxan® Comfort</t>
  </si>
  <si>
    <t>Vitamin K2 Advantage 2200 mcg</t>
  </si>
  <si>
    <t>Marine Collagen</t>
  </si>
  <si>
    <t>Moringa Extract 600 mg</t>
  </si>
  <si>
    <t>PQQ Healthy Aging™</t>
  </si>
  <si>
    <t>Wellness Colloidal Silver™ 45 ppm</t>
  </si>
  <si>
    <t>Black Seed Oil 500 mg</t>
  </si>
  <si>
    <t>Caffeine + L-Theanine</t>
  </si>
  <si>
    <t>Screen Time® Screen Time Stamina®</t>
  </si>
  <si>
    <t>Skin Eternal® DNA Skin Support™ 500 mg</t>
  </si>
  <si>
    <t>Sleep Science® Sleep Rejuvenation®</t>
  </si>
  <si>
    <t>Malic Acid 833 mg</t>
  </si>
  <si>
    <t>Berberine 500 mg</t>
  </si>
  <si>
    <t>NightWell®</t>
  </si>
  <si>
    <t>Vitamin D-3 10000 IU</t>
  </si>
  <si>
    <t>Serene Science® Optimistic®</t>
  </si>
  <si>
    <t>Serene Science® Saffron Extract 15 mg</t>
  </si>
  <si>
    <t>Niacinamide 500 500 mg</t>
  </si>
  <si>
    <t>Resveratrol 500™ 500 mg</t>
  </si>
  <si>
    <t>Screen Time®  Blue Light Support</t>
  </si>
  <si>
    <t>Sleep Science® Melatonin 5 mg Mixed Berry</t>
  </si>
  <si>
    <t>Wellness D-mmunity®</t>
  </si>
  <si>
    <t>Wellness ImmuNitric®</t>
  </si>
  <si>
    <t>Wellness ImmuneSmart®</t>
  </si>
  <si>
    <t>Copper 3 mg</t>
  </si>
  <si>
    <t>Magnesium Glycinate</t>
  </si>
  <si>
    <t>Vegan True® Non-GMO Vitamin D-3 2,000 IU</t>
  </si>
  <si>
    <t>Wellness N-A-Cetin® Immune Protocol</t>
  </si>
  <si>
    <t>Nattokinase, NSK-SD® 200 mg</t>
  </si>
  <si>
    <t>Wellness Formula® 90 Tablet Floor Display</t>
  </si>
  <si>
    <t>Wellness Formula® Tablet Combo Floor Display</t>
  </si>
  <si>
    <t>Wellness Formula® 120 Capsule Floor Display</t>
  </si>
  <si>
    <t>Wellness Formula® Capsule Combo Floor Display</t>
  </si>
  <si>
    <t>Wellness Fizz® Berry 10 Wafer Counter Display</t>
  </si>
  <si>
    <t>Size</t>
  </si>
  <si>
    <t>Size Type</t>
  </si>
  <si>
    <t>100</t>
  </si>
  <si>
    <t>TABLET</t>
  </si>
  <si>
    <t>30</t>
  </si>
  <si>
    <t>60</t>
  </si>
  <si>
    <t>90</t>
  </si>
  <si>
    <t>180</t>
  </si>
  <si>
    <t>120</t>
  </si>
  <si>
    <t>1</t>
  </si>
  <si>
    <t>FL OZ LIQUID</t>
  </si>
  <si>
    <t>2</t>
  </si>
  <si>
    <t>45</t>
  </si>
  <si>
    <t>SOFTGEL</t>
  </si>
  <si>
    <t>240</t>
  </si>
  <si>
    <t>CAPSULE</t>
  </si>
  <si>
    <t>4</t>
  </si>
  <si>
    <t>8</t>
  </si>
  <si>
    <t>TIMED RELEASE TABLET</t>
  </si>
  <si>
    <t>LOZENGE</t>
  </si>
  <si>
    <t>50</t>
  </si>
  <si>
    <t>OZ POWDER</t>
  </si>
  <si>
    <t>16</t>
  </si>
  <si>
    <t>200</t>
  </si>
  <si>
    <t>GM POWDER</t>
  </si>
  <si>
    <t>CAPVEGI</t>
  </si>
  <si>
    <t>250</t>
  </si>
  <si>
    <t>500</t>
  </si>
  <si>
    <t>1000</t>
  </si>
  <si>
    <t>24</t>
  </si>
  <si>
    <t>OZ CRYSTALS</t>
  </si>
  <si>
    <t>360</t>
  </si>
  <si>
    <t>42</t>
  </si>
  <si>
    <t>400</t>
  </si>
  <si>
    <t>300</t>
  </si>
  <si>
    <t>40</t>
  </si>
  <si>
    <t>12</t>
  </si>
  <si>
    <t>75</t>
  </si>
  <si>
    <t>9</t>
  </si>
  <si>
    <t>OZ CREAM</t>
  </si>
  <si>
    <t>48</t>
  </si>
  <si>
    <t>WAFER</t>
  </si>
  <si>
    <t>20</t>
  </si>
  <si>
    <t>FL OZ SYRUP</t>
  </si>
  <si>
    <t>600</t>
  </si>
  <si>
    <t>35</t>
  </si>
  <si>
    <t>1.7</t>
  </si>
  <si>
    <t>0.4</t>
  </si>
  <si>
    <t>150</t>
  </si>
  <si>
    <t>10</t>
  </si>
  <si>
    <t>SOFTGEL VEGI</t>
  </si>
  <si>
    <t>32</t>
  </si>
  <si>
    <t>565</t>
  </si>
  <si>
    <t>PELLETS</t>
  </si>
  <si>
    <t>5</t>
  </si>
  <si>
    <t>17.6</t>
  </si>
  <si>
    <t>25</t>
  </si>
  <si>
    <t>3</t>
  </si>
  <si>
    <t>FAST MELT</t>
  </si>
  <si>
    <t>GUMMY</t>
  </si>
  <si>
    <t>PC</t>
  </si>
  <si>
    <t>Grapefruit Pectin Complex 1000 mg</t>
  </si>
  <si>
    <t>Wellness Zinc Lozenges™ 23 mg Peach-Raspberry</t>
  </si>
  <si>
    <t>NAD+ 25 mg Peppermint</t>
  </si>
  <si>
    <t>Eternal Woman™ Phyto-Estrogen Cream Jar</t>
  </si>
  <si>
    <t>SN1190</t>
  </si>
  <si>
    <t>Ipriflavone 300 mg</t>
  </si>
  <si>
    <t>Grapefruit Pectin Complex</t>
  </si>
  <si>
    <t>SN1677</t>
  </si>
  <si>
    <t>AHCC® with BioPerine® 500 mg</t>
  </si>
  <si>
    <t>SN1678</t>
  </si>
  <si>
    <t>Serene Science® Theanine Serene® with Magnesium</t>
  </si>
  <si>
    <t>SN1857</t>
  </si>
  <si>
    <t>AHCC® 500 mg</t>
  </si>
  <si>
    <t>SN1858</t>
  </si>
  <si>
    <t>SN1865</t>
  </si>
  <si>
    <t>AHCC® 750 mg</t>
  </si>
  <si>
    <t>SN1866</t>
  </si>
  <si>
    <t>SN2035</t>
  </si>
  <si>
    <t>SN2036</t>
  </si>
  <si>
    <t>SN2048</t>
  </si>
  <si>
    <t>NK-3 Immune™ 250 mg</t>
  </si>
  <si>
    <t>SN2049</t>
  </si>
  <si>
    <t>SN2055</t>
  </si>
  <si>
    <t>NK-3 Immune™ 500 mg</t>
  </si>
  <si>
    <t>SN2056</t>
  </si>
  <si>
    <t>SN2726</t>
  </si>
  <si>
    <t>SN2942</t>
  </si>
  <si>
    <t>SN2943</t>
  </si>
  <si>
    <t>SN2944</t>
  </si>
  <si>
    <t>SN2951</t>
  </si>
  <si>
    <t>SN2952</t>
  </si>
  <si>
    <t>SN2953</t>
  </si>
  <si>
    <t>SN2958</t>
  </si>
  <si>
    <t>Shilajit Extract 500 mg</t>
  </si>
  <si>
    <t>SN8504</t>
  </si>
  <si>
    <t>Wellness Formula® 45 Tablet Counter Display</t>
  </si>
  <si>
    <t>BerberTrim®</t>
  </si>
  <si>
    <t>SN2945</t>
  </si>
  <si>
    <t>RealFast™</t>
  </si>
  <si>
    <t>SN2946</t>
  </si>
  <si>
    <t>SN2947</t>
  </si>
  <si>
    <t>SN2948</t>
  </si>
  <si>
    <t>MitoNight™ with Melatonin</t>
  </si>
  <si>
    <t>SN2949</t>
  </si>
  <si>
    <t>SN2950</t>
  </si>
  <si>
    <t>Unіt Freight Cost</t>
  </si>
  <si>
    <t>unit, key</t>
  </si>
  <si>
    <t>Logistic Price</t>
  </si>
  <si>
    <t>Landed Cost</t>
  </si>
  <si>
    <t>021078000075</t>
  </si>
  <si>
    <t>021078000082</t>
  </si>
  <si>
    <t>021078000099</t>
  </si>
  <si>
    <t>021078000105</t>
  </si>
  <si>
    <t>021078000129</t>
  </si>
  <si>
    <t>021078000136</t>
  </si>
  <si>
    <t>021078000143</t>
  </si>
  <si>
    <t>021078000150</t>
  </si>
  <si>
    <t>021078000167</t>
  </si>
  <si>
    <t>021078000174</t>
  </si>
  <si>
    <t>021078000181</t>
  </si>
  <si>
    <t>021078000211</t>
  </si>
  <si>
    <t>021078000228</t>
  </si>
  <si>
    <t>021078000303</t>
  </si>
  <si>
    <t>021078000334</t>
  </si>
  <si>
    <t>021078000358</t>
  </si>
  <si>
    <t>021078000365</t>
  </si>
  <si>
    <t>021078000372</t>
  </si>
  <si>
    <t>021078000389</t>
  </si>
  <si>
    <t>021078000433</t>
  </si>
  <si>
    <t>021078000440</t>
  </si>
  <si>
    <t>021078000471</t>
  </si>
  <si>
    <t>021078000488</t>
  </si>
  <si>
    <t>021078000495</t>
  </si>
  <si>
    <t>021078000501</t>
  </si>
  <si>
    <t>021078000518</t>
  </si>
  <si>
    <t>021078000525</t>
  </si>
  <si>
    <t>021078000532</t>
  </si>
  <si>
    <t>021078000549</t>
  </si>
  <si>
    <t>021078000556</t>
  </si>
  <si>
    <t>021078000563</t>
  </si>
  <si>
    <t>021078000570</t>
  </si>
  <si>
    <t>021078000587</t>
  </si>
  <si>
    <t>021078000594</t>
  </si>
  <si>
    <t>021078000600</t>
  </si>
  <si>
    <t>021078000617</t>
  </si>
  <si>
    <t>021078000624</t>
  </si>
  <si>
    <t>021078000631</t>
  </si>
  <si>
    <t>021078000648</t>
  </si>
  <si>
    <t>021078000655</t>
  </si>
  <si>
    <t>021078000662</t>
  </si>
  <si>
    <t>021078000679</t>
  </si>
  <si>
    <t>021078000693</t>
  </si>
  <si>
    <t>021078000723</t>
  </si>
  <si>
    <t>021078000730</t>
  </si>
  <si>
    <t>021078000747</t>
  </si>
  <si>
    <t>021078000754</t>
  </si>
  <si>
    <t>021078000761</t>
  </si>
  <si>
    <t>021078000778</t>
  </si>
  <si>
    <t>021078000785</t>
  </si>
  <si>
    <t>021078000792</t>
  </si>
  <si>
    <t>021078000808</t>
  </si>
  <si>
    <t>021078000822</t>
  </si>
  <si>
    <t>021078000839</t>
  </si>
  <si>
    <t>021078000846</t>
  </si>
  <si>
    <t>021078000853</t>
  </si>
  <si>
    <t>021078000860</t>
  </si>
  <si>
    <t>021078000877</t>
  </si>
  <si>
    <t>021078000884</t>
  </si>
  <si>
    <t>021078000891</t>
  </si>
  <si>
    <t>021078000907</t>
  </si>
  <si>
    <t>021078000914</t>
  </si>
  <si>
    <t>021078000921</t>
  </si>
  <si>
    <t>021078000952</t>
  </si>
  <si>
    <t>021078000969</t>
  </si>
  <si>
    <t>021078000976</t>
  </si>
  <si>
    <t>021078000983</t>
  </si>
  <si>
    <t>021078001010</t>
  </si>
  <si>
    <t>021078001034</t>
  </si>
  <si>
    <t>021078001072</t>
  </si>
  <si>
    <t>021078001089</t>
  </si>
  <si>
    <t>021078001096</t>
  </si>
  <si>
    <t>021078001102</t>
  </si>
  <si>
    <t>021078001119</t>
  </si>
  <si>
    <t>021078001126</t>
  </si>
  <si>
    <t>021078001133</t>
  </si>
  <si>
    <t>021078001140</t>
  </si>
  <si>
    <t>021078001157</t>
  </si>
  <si>
    <t>021078001164</t>
  </si>
  <si>
    <t>021078001195</t>
  </si>
  <si>
    <t>021078001201</t>
  </si>
  <si>
    <t>021078001218</t>
  </si>
  <si>
    <t>021078001232</t>
  </si>
  <si>
    <t>021078001249</t>
  </si>
  <si>
    <t>021078001263</t>
  </si>
  <si>
    <t>021078001270</t>
  </si>
  <si>
    <t>021078001287</t>
  </si>
  <si>
    <t>021078001294</t>
  </si>
  <si>
    <t>021078001300</t>
  </si>
  <si>
    <t>021078001317</t>
  </si>
  <si>
    <t>021078001331</t>
  </si>
  <si>
    <t>021078001348</t>
  </si>
  <si>
    <t>021078001355</t>
  </si>
  <si>
    <t>021078001362</t>
  </si>
  <si>
    <t>021078001386</t>
  </si>
  <si>
    <t>021078001393</t>
  </si>
  <si>
    <t>021078001409</t>
  </si>
  <si>
    <t>021078001416</t>
  </si>
  <si>
    <t>021078001423</t>
  </si>
  <si>
    <t>021078001430</t>
  </si>
  <si>
    <t>021078001447</t>
  </si>
  <si>
    <t>021078001454</t>
  </si>
  <si>
    <t>021078001478</t>
  </si>
  <si>
    <t>021078001485</t>
  </si>
  <si>
    <t>021078001492</t>
  </si>
  <si>
    <t>021078001539</t>
  </si>
  <si>
    <t>021078001546</t>
  </si>
  <si>
    <t>021078001553</t>
  </si>
  <si>
    <t>021078001584</t>
  </si>
  <si>
    <t>021078001591</t>
  </si>
  <si>
    <t>021078001607</t>
  </si>
  <si>
    <t>021078001614</t>
  </si>
  <si>
    <t>021078001621</t>
  </si>
  <si>
    <t>021078001638</t>
  </si>
  <si>
    <t>021078001645</t>
  </si>
  <si>
    <t>021078001652</t>
  </si>
  <si>
    <t>021078001669</t>
  </si>
  <si>
    <t>021078001676</t>
  </si>
  <si>
    <t>021078001683</t>
  </si>
  <si>
    <t>021078001690</t>
  </si>
  <si>
    <t>021078001706</t>
  </si>
  <si>
    <t>021078001713</t>
  </si>
  <si>
    <t>021078001720</t>
  </si>
  <si>
    <t>021078001737</t>
  </si>
  <si>
    <t>021078001744</t>
  </si>
  <si>
    <t>021078001751</t>
  </si>
  <si>
    <t>021078001768</t>
  </si>
  <si>
    <t>021078001775</t>
  </si>
  <si>
    <t>021078001782</t>
  </si>
  <si>
    <t>021078001799</t>
  </si>
  <si>
    <t>021078001805</t>
  </si>
  <si>
    <t>021078001812</t>
  </si>
  <si>
    <t>021078001836</t>
  </si>
  <si>
    <t>021078001843</t>
  </si>
  <si>
    <t>021078001850</t>
  </si>
  <si>
    <t>021078001867</t>
  </si>
  <si>
    <t>021078001874</t>
  </si>
  <si>
    <t>021078001898</t>
  </si>
  <si>
    <t>021078001904</t>
  </si>
  <si>
    <t>021078001973</t>
  </si>
  <si>
    <t>021078001980</t>
  </si>
  <si>
    <t>021078002000</t>
  </si>
  <si>
    <t>021078002017</t>
  </si>
  <si>
    <t>021078002024</t>
  </si>
  <si>
    <t>021078002031</t>
  </si>
  <si>
    <t>021078002048</t>
  </si>
  <si>
    <t>021078002055</t>
  </si>
  <si>
    <t>021078002062</t>
  </si>
  <si>
    <t>021078002079</t>
  </si>
  <si>
    <t>021078002086</t>
  </si>
  <si>
    <t>021078002093</t>
  </si>
  <si>
    <t>021078002178</t>
  </si>
  <si>
    <t>021078002208</t>
  </si>
  <si>
    <t>021078002215</t>
  </si>
  <si>
    <t>021078002222</t>
  </si>
  <si>
    <t>021078002239</t>
  </si>
  <si>
    <t>021078002246</t>
  </si>
  <si>
    <t>021078002253</t>
  </si>
  <si>
    <t>021078002260</t>
  </si>
  <si>
    <t>021078002284</t>
  </si>
  <si>
    <t>021078002291</t>
  </si>
  <si>
    <t>021078002307</t>
  </si>
  <si>
    <t>021078002321</t>
  </si>
  <si>
    <t>021078002338</t>
  </si>
  <si>
    <t>021078002345</t>
  </si>
  <si>
    <t>021078002352</t>
  </si>
  <si>
    <t>021078002369</t>
  </si>
  <si>
    <t>021078002376</t>
  </si>
  <si>
    <t>021078002390</t>
  </si>
  <si>
    <t>021078002406</t>
  </si>
  <si>
    <t>021078002413</t>
  </si>
  <si>
    <t>021078002420</t>
  </si>
  <si>
    <t>021078002444</t>
  </si>
  <si>
    <t>021078002451</t>
  </si>
  <si>
    <t>021078002468</t>
  </si>
  <si>
    <t>021078002499</t>
  </si>
  <si>
    <t>021078002512</t>
  </si>
  <si>
    <t>021078002604</t>
  </si>
  <si>
    <t>021078002611</t>
  </si>
  <si>
    <t>021078002628</t>
  </si>
  <si>
    <t>021078002659</t>
  </si>
  <si>
    <t>021078002666</t>
  </si>
  <si>
    <t>021078002673</t>
  </si>
  <si>
    <t>021078002680</t>
  </si>
  <si>
    <t>021078002697</t>
  </si>
  <si>
    <t>021078002703</t>
  </si>
  <si>
    <t>021078002710</t>
  </si>
  <si>
    <t>021078002727</t>
  </si>
  <si>
    <t>021078002741</t>
  </si>
  <si>
    <t>021078002758</t>
  </si>
  <si>
    <t>021078002765</t>
  </si>
  <si>
    <t>021078002772</t>
  </si>
  <si>
    <t>021078002789</t>
  </si>
  <si>
    <t>021078002833</t>
  </si>
  <si>
    <t>021078002840</t>
  </si>
  <si>
    <t>021078002987</t>
  </si>
  <si>
    <t>021078002994</t>
  </si>
  <si>
    <t>021078003014</t>
  </si>
  <si>
    <t>021078003021</t>
  </si>
  <si>
    <t>021078003038</t>
  </si>
  <si>
    <t>021078003045</t>
  </si>
  <si>
    <t>021078003052</t>
  </si>
  <si>
    <t>021078003083</t>
  </si>
  <si>
    <t>021078003090</t>
  </si>
  <si>
    <t>021078003120</t>
  </si>
  <si>
    <t>021078003137</t>
  </si>
  <si>
    <t>021078003168</t>
  </si>
  <si>
    <t>021078003175</t>
  </si>
  <si>
    <t>021078003182</t>
  </si>
  <si>
    <t>021078003199</t>
  </si>
  <si>
    <t>021078003229</t>
  </si>
  <si>
    <t>021078003236</t>
  </si>
  <si>
    <t>021078003281</t>
  </si>
  <si>
    <t>021078003298</t>
  </si>
  <si>
    <t>021078003304</t>
  </si>
  <si>
    <t>021078003311</t>
  </si>
  <si>
    <t>021078003328</t>
  </si>
  <si>
    <t>021078003335</t>
  </si>
  <si>
    <t>021078003373</t>
  </si>
  <si>
    <t>021078003397</t>
  </si>
  <si>
    <t>021078003403</t>
  </si>
  <si>
    <t>021078003410</t>
  </si>
  <si>
    <t>021078003427</t>
  </si>
  <si>
    <t>021078003434</t>
  </si>
  <si>
    <t>021078003489</t>
  </si>
  <si>
    <t>021078003496</t>
  </si>
  <si>
    <t>021078003571</t>
  </si>
  <si>
    <t>021078003588</t>
  </si>
  <si>
    <t>021078003632</t>
  </si>
  <si>
    <t>021078003649</t>
  </si>
  <si>
    <t>021078003656</t>
  </si>
  <si>
    <t>021078003663</t>
  </si>
  <si>
    <t>021078003700</t>
  </si>
  <si>
    <t>021078003717</t>
  </si>
  <si>
    <t>021078003809</t>
  </si>
  <si>
    <t>021078003816</t>
  </si>
  <si>
    <t>021078003854</t>
  </si>
  <si>
    <t>021078003861</t>
  </si>
  <si>
    <t>021078003878</t>
  </si>
  <si>
    <t>021078003885</t>
  </si>
  <si>
    <t>021078003915</t>
  </si>
  <si>
    <t>021078003922</t>
  </si>
  <si>
    <t>021078003939</t>
  </si>
  <si>
    <t>021078003946</t>
  </si>
  <si>
    <t>021078003953</t>
  </si>
  <si>
    <t>021078003960</t>
  </si>
  <si>
    <t>021078003984</t>
  </si>
  <si>
    <t>021078003991</t>
  </si>
  <si>
    <t>021078004035</t>
  </si>
  <si>
    <t>021078004042</t>
  </si>
  <si>
    <t>021078004073</t>
  </si>
  <si>
    <t>021078004080</t>
  </si>
  <si>
    <t>021078004097</t>
  </si>
  <si>
    <t>021078004103</t>
  </si>
  <si>
    <t>021078004127</t>
  </si>
  <si>
    <t>021078004134</t>
  </si>
  <si>
    <t>021078004141</t>
  </si>
  <si>
    <t>021078004158</t>
  </si>
  <si>
    <t>021078004165</t>
  </si>
  <si>
    <t>021078004172</t>
  </si>
  <si>
    <t>021078004189</t>
  </si>
  <si>
    <t>021078004202</t>
  </si>
  <si>
    <t>021078004219</t>
  </si>
  <si>
    <t>021078004226</t>
  </si>
  <si>
    <t>021078004233</t>
  </si>
  <si>
    <t>021078004240</t>
  </si>
  <si>
    <t>021078004257</t>
  </si>
  <si>
    <t>021078004264</t>
  </si>
  <si>
    <t>021078004271</t>
  </si>
  <si>
    <t>021078004288</t>
  </si>
  <si>
    <t>021078004295</t>
  </si>
  <si>
    <t>021078004318</t>
  </si>
  <si>
    <t>021078004325</t>
  </si>
  <si>
    <t>021078004332</t>
  </si>
  <si>
    <t>021078004363</t>
  </si>
  <si>
    <t>021078004370</t>
  </si>
  <si>
    <t>021078004387</t>
  </si>
  <si>
    <t>021078004424</t>
  </si>
  <si>
    <t>021078004431</t>
  </si>
  <si>
    <t>021078004448</t>
  </si>
  <si>
    <t>021078004455</t>
  </si>
  <si>
    <t>021078004462</t>
  </si>
  <si>
    <t>021078004479</t>
  </si>
  <si>
    <t>021078004486</t>
  </si>
  <si>
    <t>021078004493</t>
  </si>
  <si>
    <t>021078004509</t>
  </si>
  <si>
    <t>021078004516</t>
  </si>
  <si>
    <t>021078004523</t>
  </si>
  <si>
    <t>021078004530</t>
  </si>
  <si>
    <t>021078004547</t>
  </si>
  <si>
    <t>021078004554</t>
  </si>
  <si>
    <t>021078004585</t>
  </si>
  <si>
    <t>021078004592</t>
  </si>
  <si>
    <t>021078004608</t>
  </si>
  <si>
    <t>021078004615</t>
  </si>
  <si>
    <t>021078004622</t>
  </si>
  <si>
    <t>021078004639</t>
  </si>
  <si>
    <t>021078004646</t>
  </si>
  <si>
    <t>021078004653</t>
  </si>
  <si>
    <t>021078004660</t>
  </si>
  <si>
    <t>021078004813</t>
  </si>
  <si>
    <t>021078004820</t>
  </si>
  <si>
    <t>021078004837</t>
  </si>
  <si>
    <t>021078004844</t>
  </si>
  <si>
    <t>021078004851</t>
  </si>
  <si>
    <t>021078004868</t>
  </si>
  <si>
    <t>021078004875</t>
  </si>
  <si>
    <t>021078004882</t>
  </si>
  <si>
    <t>021078004912</t>
  </si>
  <si>
    <t>021078004929</t>
  </si>
  <si>
    <t>021078004936</t>
  </si>
  <si>
    <t>021078004943</t>
  </si>
  <si>
    <t>021078004950</t>
  </si>
  <si>
    <t>021078004981</t>
  </si>
  <si>
    <t>021078004998</t>
  </si>
  <si>
    <t>021078005018</t>
  </si>
  <si>
    <t>021078005025</t>
  </si>
  <si>
    <t>021078005032</t>
  </si>
  <si>
    <t>021078005049</t>
  </si>
  <si>
    <t>021078005056</t>
  </si>
  <si>
    <t>021078005063</t>
  </si>
  <si>
    <t>021078005070</t>
  </si>
  <si>
    <t>021078005087</t>
  </si>
  <si>
    <t>021078005094</t>
  </si>
  <si>
    <t>021078005100</t>
  </si>
  <si>
    <t>021078005117</t>
  </si>
  <si>
    <t>021078005124</t>
  </si>
  <si>
    <t>021078005155</t>
  </si>
  <si>
    <t>021078005162</t>
  </si>
  <si>
    <t>021078005186</t>
  </si>
  <si>
    <t>021078005230</t>
  </si>
  <si>
    <t>021078005247</t>
  </si>
  <si>
    <t>021078005261</t>
  </si>
  <si>
    <t>021078005278</t>
  </si>
  <si>
    <t>021078005285</t>
  </si>
  <si>
    <t>021078005322</t>
  </si>
  <si>
    <t>021078005339</t>
  </si>
  <si>
    <t>021078005346</t>
  </si>
  <si>
    <t>021078005353</t>
  </si>
  <si>
    <t>021078005360</t>
  </si>
  <si>
    <t>021078005438</t>
  </si>
  <si>
    <t>021078005445</t>
  </si>
  <si>
    <t>021078005452</t>
  </si>
  <si>
    <t>021078005476</t>
  </si>
  <si>
    <t>021078005483</t>
  </si>
  <si>
    <t>021078005506</t>
  </si>
  <si>
    <t>021078005513</t>
  </si>
  <si>
    <t>021078005520</t>
  </si>
  <si>
    <t>021078005537</t>
  </si>
  <si>
    <t>021078005544</t>
  </si>
  <si>
    <t>021078005551</t>
  </si>
  <si>
    <t>021078005568</t>
  </si>
  <si>
    <t>021078005575</t>
  </si>
  <si>
    <t>021078005582</t>
  </si>
  <si>
    <t>021078005612</t>
  </si>
  <si>
    <t>021078005629</t>
  </si>
  <si>
    <t>021078005742</t>
  </si>
  <si>
    <t>021078005759</t>
  </si>
  <si>
    <t>021078005766</t>
  </si>
  <si>
    <t>021078005773</t>
  </si>
  <si>
    <t>021078005780</t>
  </si>
  <si>
    <t>021078005797</t>
  </si>
  <si>
    <t>021078005803</t>
  </si>
  <si>
    <t>021078005810</t>
  </si>
  <si>
    <t>021078005827</t>
  </si>
  <si>
    <t>021078005834</t>
  </si>
  <si>
    <t>021078005841</t>
  </si>
  <si>
    <t>021078005858</t>
  </si>
  <si>
    <t>021078005865</t>
  </si>
  <si>
    <t>021078005872</t>
  </si>
  <si>
    <t>021078005889</t>
  </si>
  <si>
    <t>021078005902</t>
  </si>
  <si>
    <t>021078005919</t>
  </si>
  <si>
    <t>021078005988</t>
  </si>
  <si>
    <t>021078005995</t>
  </si>
  <si>
    <t>021078006008</t>
  </si>
  <si>
    <t>021078006022</t>
  </si>
  <si>
    <t>021078006039</t>
  </si>
  <si>
    <t>021078006053</t>
  </si>
  <si>
    <t>021078006060</t>
  </si>
  <si>
    <t>021078006077</t>
  </si>
  <si>
    <t>021078006121</t>
  </si>
  <si>
    <t>021078006138</t>
  </si>
  <si>
    <t>021078006169</t>
  </si>
  <si>
    <t>021078006176</t>
  </si>
  <si>
    <t>021078006183</t>
  </si>
  <si>
    <t>021078006190</t>
  </si>
  <si>
    <t>021078006206</t>
  </si>
  <si>
    <t>021078006213</t>
  </si>
  <si>
    <t>021078006237</t>
  </si>
  <si>
    <t>021078006282</t>
  </si>
  <si>
    <t>021078006312</t>
  </si>
  <si>
    <t>021078006329</t>
  </si>
  <si>
    <t>021078006336</t>
  </si>
  <si>
    <t>021078006350</t>
  </si>
  <si>
    <t>021078006367</t>
  </si>
  <si>
    <t>021078006374</t>
  </si>
  <si>
    <t>021078006381</t>
  </si>
  <si>
    <t>021078006398</t>
  </si>
  <si>
    <t>021078006404</t>
  </si>
  <si>
    <t>021078006411</t>
  </si>
  <si>
    <t>021078006428</t>
  </si>
  <si>
    <t>021078006435</t>
  </si>
  <si>
    <t>021078006442</t>
  </si>
  <si>
    <t>021078006503</t>
  </si>
  <si>
    <t>021078006527</t>
  </si>
  <si>
    <t>021078006558</t>
  </si>
  <si>
    <t>021078006596</t>
  </si>
  <si>
    <t>021078006602</t>
  </si>
  <si>
    <t>021078006633</t>
  </si>
  <si>
    <t>021078006640</t>
  </si>
  <si>
    <t>021078006701</t>
  </si>
  <si>
    <t>021078006718</t>
  </si>
  <si>
    <t>021078006725</t>
  </si>
  <si>
    <t>021078006756</t>
  </si>
  <si>
    <t>021078006763</t>
  </si>
  <si>
    <t>021078006770</t>
  </si>
  <si>
    <t>021078006787</t>
  </si>
  <si>
    <t>021078006848</t>
  </si>
  <si>
    <t>021078006862</t>
  </si>
  <si>
    <t>021078006961</t>
  </si>
  <si>
    <t>021078006978</t>
  </si>
  <si>
    <t>021078006985</t>
  </si>
  <si>
    <t>021078007012</t>
  </si>
  <si>
    <t>021078007029</t>
  </si>
  <si>
    <t>021078007036</t>
  </si>
  <si>
    <t>021078007043</t>
  </si>
  <si>
    <t>021078007050</t>
  </si>
  <si>
    <t>021078007067</t>
  </si>
  <si>
    <t>021078007074</t>
  </si>
  <si>
    <t>021078007081</t>
  </si>
  <si>
    <t>021078007098</t>
  </si>
  <si>
    <t>021078007104</t>
  </si>
  <si>
    <t>021078007111</t>
  </si>
  <si>
    <t>021078007135</t>
  </si>
  <si>
    <t>021078007166</t>
  </si>
  <si>
    <t>021078007173</t>
  </si>
  <si>
    <t>021078007180</t>
  </si>
  <si>
    <t>021078007197</t>
  </si>
  <si>
    <t>021078007203</t>
  </si>
  <si>
    <t>021078007210</t>
  </si>
  <si>
    <t>021078007241</t>
  </si>
  <si>
    <t>021078007272</t>
  </si>
  <si>
    <t>021078007302</t>
  </si>
  <si>
    <t>021078007401</t>
  </si>
  <si>
    <t>021078007418</t>
  </si>
  <si>
    <t>021078007463</t>
  </si>
  <si>
    <t>021078007494</t>
  </si>
  <si>
    <t>021078007500</t>
  </si>
  <si>
    <t>021078007524</t>
  </si>
  <si>
    <t>021078007531</t>
  </si>
  <si>
    <t>021078007579</t>
  </si>
  <si>
    <t>021078007586</t>
  </si>
  <si>
    <t>021078007647</t>
  </si>
  <si>
    <t>021078007654</t>
  </si>
  <si>
    <t>021078007685</t>
  </si>
  <si>
    <t>021078007692</t>
  </si>
  <si>
    <t>021078007708</t>
  </si>
  <si>
    <t>021078007739</t>
  </si>
  <si>
    <t>021078007746</t>
  </si>
  <si>
    <t>021078007753</t>
  </si>
  <si>
    <t>021078007760</t>
  </si>
  <si>
    <t>021078007791</t>
  </si>
  <si>
    <t>021078007869</t>
  </si>
  <si>
    <t>021078007876</t>
  </si>
  <si>
    <t>021078007883</t>
  </si>
  <si>
    <t>021078007890</t>
  </si>
  <si>
    <t>021078007944</t>
  </si>
  <si>
    <t>021078007951</t>
  </si>
  <si>
    <t>021078007975</t>
  </si>
  <si>
    <t>021078008026</t>
  </si>
  <si>
    <t>021078008033</t>
  </si>
  <si>
    <t>021078008040</t>
  </si>
  <si>
    <t>021078008057</t>
  </si>
  <si>
    <t>021078008071</t>
  </si>
  <si>
    <t>021078008088</t>
  </si>
  <si>
    <t>021078008101</t>
  </si>
  <si>
    <t>021078008118</t>
  </si>
  <si>
    <t>021078008156</t>
  </si>
  <si>
    <t>021078008163</t>
  </si>
  <si>
    <t>021078008231</t>
  </si>
  <si>
    <t>021078008316</t>
  </si>
  <si>
    <t>021078008323</t>
  </si>
  <si>
    <t>021078008330</t>
  </si>
  <si>
    <t>021078008347</t>
  </si>
  <si>
    <t>021078008477</t>
  </si>
  <si>
    <t>021078008484</t>
  </si>
  <si>
    <t>021078008491</t>
  </si>
  <si>
    <t>021078008507</t>
  </si>
  <si>
    <t>021078008514</t>
  </si>
  <si>
    <t>021078008521</t>
  </si>
  <si>
    <t>021078008538</t>
  </si>
  <si>
    <t>021078008545</t>
  </si>
  <si>
    <t>021078008552</t>
  </si>
  <si>
    <t>021078008569</t>
  </si>
  <si>
    <t>021078008675</t>
  </si>
  <si>
    <t>021078008682</t>
  </si>
  <si>
    <t>021078008699</t>
  </si>
  <si>
    <t>021078008705</t>
  </si>
  <si>
    <t>021078008712</t>
  </si>
  <si>
    <t>021078008743</t>
  </si>
  <si>
    <t>021078008750</t>
  </si>
  <si>
    <t>021078008767</t>
  </si>
  <si>
    <t>021078008774</t>
  </si>
  <si>
    <t>021078008781</t>
  </si>
  <si>
    <t>021078008828</t>
  </si>
  <si>
    <t>021078008873</t>
  </si>
  <si>
    <t>021078008880</t>
  </si>
  <si>
    <t>021078008934</t>
  </si>
  <si>
    <t>021078008972</t>
  </si>
  <si>
    <t>021078008989</t>
  </si>
  <si>
    <t>021078008996</t>
  </si>
  <si>
    <t>021078009016</t>
  </si>
  <si>
    <t>021078009023</t>
  </si>
  <si>
    <t>021078009061</t>
  </si>
  <si>
    <t>021078009078</t>
  </si>
  <si>
    <t>021078009085</t>
  </si>
  <si>
    <t>021078009092</t>
  </si>
  <si>
    <t>021078009108</t>
  </si>
  <si>
    <t>021078009139</t>
  </si>
  <si>
    <t>021078009146</t>
  </si>
  <si>
    <t>021078009153</t>
  </si>
  <si>
    <t>021078009160</t>
  </si>
  <si>
    <t>021078009191</t>
  </si>
  <si>
    <t>021078009207</t>
  </si>
  <si>
    <t>021078009214</t>
  </si>
  <si>
    <t>021078009221</t>
  </si>
  <si>
    <t>021078009238</t>
  </si>
  <si>
    <t>021078009245</t>
  </si>
  <si>
    <t>021078009252</t>
  </si>
  <si>
    <t>021078009283</t>
  </si>
  <si>
    <t>021078009290</t>
  </si>
  <si>
    <t>021078009313</t>
  </si>
  <si>
    <t>021078009320</t>
  </si>
  <si>
    <t>021078009337</t>
  </si>
  <si>
    <t>021078009344</t>
  </si>
  <si>
    <t>021078009351</t>
  </si>
  <si>
    <t>021078009368</t>
  </si>
  <si>
    <t>021078009375</t>
  </si>
  <si>
    <t>021078009382</t>
  </si>
  <si>
    <t>021078009399</t>
  </si>
  <si>
    <t>021078009405</t>
  </si>
  <si>
    <t>021078009412</t>
  </si>
  <si>
    <t>021078009429</t>
  </si>
  <si>
    <t>021078009436</t>
  </si>
  <si>
    <t>021078009580</t>
  </si>
  <si>
    <t>021078009597</t>
  </si>
  <si>
    <t>021078009603</t>
  </si>
  <si>
    <t>021078009641</t>
  </si>
  <si>
    <t>021078009658</t>
  </si>
  <si>
    <t>021078009665</t>
  </si>
  <si>
    <t>021078009672</t>
  </si>
  <si>
    <t>021078009689</t>
  </si>
  <si>
    <t>021078009696</t>
  </si>
  <si>
    <t>021078009733</t>
  </si>
  <si>
    <t>021078009825</t>
  </si>
  <si>
    <t>021078009832</t>
  </si>
  <si>
    <t>021078009849</t>
  </si>
  <si>
    <t>021078009856</t>
  </si>
  <si>
    <t>021078009863</t>
  </si>
  <si>
    <t>021078009870</t>
  </si>
  <si>
    <t>021078009900</t>
  </si>
  <si>
    <t>021078009917</t>
  </si>
  <si>
    <t>021078009948</t>
  </si>
  <si>
    <t>021078010067</t>
  </si>
  <si>
    <t>021078010074</t>
  </si>
  <si>
    <t>021078010098</t>
  </si>
  <si>
    <t>021078010135</t>
  </si>
  <si>
    <t>021078010142</t>
  </si>
  <si>
    <t>021078010159</t>
  </si>
  <si>
    <t>021078010227</t>
  </si>
  <si>
    <t>021078010234</t>
  </si>
  <si>
    <t>021078010241</t>
  </si>
  <si>
    <t>021078010272</t>
  </si>
  <si>
    <t>021078010289</t>
  </si>
  <si>
    <t>021078010296</t>
  </si>
  <si>
    <t>021078010302</t>
  </si>
  <si>
    <t>021078010319</t>
  </si>
  <si>
    <t>021078010326</t>
  </si>
  <si>
    <t>021078010333</t>
  </si>
  <si>
    <t>021078010388</t>
  </si>
  <si>
    <t>021078010395</t>
  </si>
  <si>
    <t>021078010432</t>
  </si>
  <si>
    <t>021078010449</t>
  </si>
  <si>
    <t>021078010456</t>
  </si>
  <si>
    <t>021078010463</t>
  </si>
  <si>
    <t>021078010470</t>
  </si>
  <si>
    <t>021078010593</t>
  </si>
  <si>
    <t>021078010609</t>
  </si>
  <si>
    <t>021078010616</t>
  </si>
  <si>
    <t>021078010630</t>
  </si>
  <si>
    <t>021078010647</t>
  </si>
  <si>
    <t>021078010692</t>
  </si>
  <si>
    <t>021078010777</t>
  </si>
  <si>
    <t>021078010784</t>
  </si>
  <si>
    <t>021078010791</t>
  </si>
  <si>
    <t>021078010807</t>
  </si>
  <si>
    <t>021078010814</t>
  </si>
  <si>
    <t>021078010876</t>
  </si>
  <si>
    <t>021078010883</t>
  </si>
  <si>
    <t>021078010913</t>
  </si>
  <si>
    <t>021078010920</t>
  </si>
  <si>
    <t>021078010937</t>
  </si>
  <si>
    <t>021078010944</t>
  </si>
  <si>
    <t>021078010951</t>
  </si>
  <si>
    <t>021078010999</t>
  </si>
  <si>
    <t>021078011002</t>
  </si>
  <si>
    <t>021078411031</t>
  </si>
  <si>
    <t>021078411048</t>
  </si>
  <si>
    <t>021078411055</t>
  </si>
  <si>
    <t>021078011262</t>
  </si>
  <si>
    <t>021078011279</t>
  </si>
  <si>
    <t>021078011309</t>
  </si>
  <si>
    <t>021078011316</t>
  </si>
  <si>
    <t>021078011415</t>
  </si>
  <si>
    <t>021078011422</t>
  </si>
  <si>
    <t>021078011439</t>
  </si>
  <si>
    <t>021078011477</t>
  </si>
  <si>
    <t>021078011484</t>
  </si>
  <si>
    <t>021078011491</t>
  </si>
  <si>
    <t>021078011507</t>
  </si>
  <si>
    <t>021078011538</t>
  </si>
  <si>
    <t>021078011545</t>
  </si>
  <si>
    <t>021078011552</t>
  </si>
  <si>
    <t>021078011569</t>
  </si>
  <si>
    <t>021078011613</t>
  </si>
  <si>
    <t>021078011620</t>
  </si>
  <si>
    <t>021078011637</t>
  </si>
  <si>
    <t>021078011644</t>
  </si>
  <si>
    <t>021078011699</t>
  </si>
  <si>
    <t>021078011705</t>
  </si>
  <si>
    <t>021078011712</t>
  </si>
  <si>
    <t>021078011729</t>
  </si>
  <si>
    <t>021078011750</t>
  </si>
  <si>
    <t>021078011767</t>
  </si>
  <si>
    <t>021078011774</t>
  </si>
  <si>
    <t>021078011811</t>
  </si>
  <si>
    <t>021078011828</t>
  </si>
  <si>
    <t>021078011903</t>
  </si>
  <si>
    <t>021078011910</t>
  </si>
  <si>
    <t>021078011941</t>
  </si>
  <si>
    <t>021078011965</t>
  </si>
  <si>
    <t>021078012030</t>
  </si>
  <si>
    <t>021078012047</t>
  </si>
  <si>
    <t>021078012139</t>
  </si>
  <si>
    <t>021078012146</t>
  </si>
  <si>
    <t>021078012160</t>
  </si>
  <si>
    <t>021078012177</t>
  </si>
  <si>
    <t>021078012184</t>
  </si>
  <si>
    <t>021078012191</t>
  </si>
  <si>
    <t>021078012207</t>
  </si>
  <si>
    <t>021078012214</t>
  </si>
  <si>
    <t>021078012252</t>
  </si>
  <si>
    <t>021078012269</t>
  </si>
  <si>
    <t>021078012276</t>
  </si>
  <si>
    <t>021078012375</t>
  </si>
  <si>
    <t>021078012405</t>
  </si>
  <si>
    <t>021078012412</t>
  </si>
  <si>
    <t>021078012528</t>
  </si>
  <si>
    <t>021078012535</t>
  </si>
  <si>
    <t>021078012542</t>
  </si>
  <si>
    <t>021078012672</t>
  </si>
  <si>
    <t>021078012689</t>
  </si>
  <si>
    <t>021078012788</t>
  </si>
  <si>
    <t>021078012795</t>
  </si>
  <si>
    <t>021078012801</t>
  </si>
  <si>
    <t>021078012818</t>
  </si>
  <si>
    <t>021078012825</t>
  </si>
  <si>
    <t>021078012832</t>
  </si>
  <si>
    <t>021078012887</t>
  </si>
  <si>
    <t>021078012894</t>
  </si>
  <si>
    <t>021078012924</t>
  </si>
  <si>
    <t>021078012931</t>
  </si>
  <si>
    <t>021078412946</t>
  </si>
  <si>
    <t>021078412953</t>
  </si>
  <si>
    <t>021078012962</t>
  </si>
  <si>
    <t>021078012979</t>
  </si>
  <si>
    <t>021078012986</t>
  </si>
  <si>
    <t>021078012993</t>
  </si>
  <si>
    <t>021078013013</t>
  </si>
  <si>
    <t>021078013020</t>
  </si>
  <si>
    <t>021078013037</t>
  </si>
  <si>
    <t>021078013044</t>
  </si>
  <si>
    <t>021078013051</t>
  </si>
  <si>
    <t>021078013082</t>
  </si>
  <si>
    <t>021078013099</t>
  </si>
  <si>
    <t>021078013105</t>
  </si>
  <si>
    <t>021078013112</t>
  </si>
  <si>
    <t>021078013129</t>
  </si>
  <si>
    <t>021078013136</t>
  </si>
  <si>
    <t>021078013143</t>
  </si>
  <si>
    <t>021078013150</t>
  </si>
  <si>
    <t>021078013167</t>
  </si>
  <si>
    <t>021078013174</t>
  </si>
  <si>
    <t>021078013235</t>
  </si>
  <si>
    <t>021078013242</t>
  </si>
  <si>
    <t>021078013259</t>
  </si>
  <si>
    <t>021078013266</t>
  </si>
  <si>
    <t>021078013273</t>
  </si>
  <si>
    <t>021078013280</t>
  </si>
  <si>
    <t>021078013297</t>
  </si>
  <si>
    <t>021078013310</t>
  </si>
  <si>
    <t>021078013341</t>
  </si>
  <si>
    <t>021078013358</t>
  </si>
  <si>
    <t>021078013525</t>
  </si>
  <si>
    <t>021078013532</t>
  </si>
  <si>
    <t>021078013549</t>
  </si>
  <si>
    <t>021078013556</t>
  </si>
  <si>
    <t>021078013563</t>
  </si>
  <si>
    <t>021078013617</t>
  </si>
  <si>
    <t>021078013624</t>
  </si>
  <si>
    <t>021078013648</t>
  </si>
  <si>
    <t>021078013655</t>
  </si>
  <si>
    <t>021078013662</t>
  </si>
  <si>
    <t>021078013679</t>
  </si>
  <si>
    <t>021078013686</t>
  </si>
  <si>
    <t>021078013693</t>
  </si>
  <si>
    <t>021078013709</t>
  </si>
  <si>
    <t>021078013716</t>
  </si>
  <si>
    <t>021078013723</t>
  </si>
  <si>
    <t>021078013730</t>
  </si>
  <si>
    <t>021078013754</t>
  </si>
  <si>
    <t>021078013761</t>
  </si>
  <si>
    <t>021078013778</t>
  </si>
  <si>
    <t>021078013785</t>
  </si>
  <si>
    <t>021078013815</t>
  </si>
  <si>
    <t>021078013822</t>
  </si>
  <si>
    <t>021078013839</t>
  </si>
  <si>
    <t>021078013846</t>
  </si>
  <si>
    <t>021078013853</t>
  </si>
  <si>
    <t>021078013860</t>
  </si>
  <si>
    <t>021078013877</t>
  </si>
  <si>
    <t>021078013983</t>
  </si>
  <si>
    <t>021078013990</t>
  </si>
  <si>
    <t>021078014003</t>
  </si>
  <si>
    <t>021078014027</t>
  </si>
  <si>
    <t>021078014034</t>
  </si>
  <si>
    <t>021078014058</t>
  </si>
  <si>
    <t>021078014065</t>
  </si>
  <si>
    <t>021078014072</t>
  </si>
  <si>
    <t>021078014089</t>
  </si>
  <si>
    <t>021078014096</t>
  </si>
  <si>
    <t>021078014157</t>
  </si>
  <si>
    <t>021078014164</t>
  </si>
  <si>
    <t>021078014195</t>
  </si>
  <si>
    <t>021078014201</t>
  </si>
  <si>
    <t>021078014218</t>
  </si>
  <si>
    <t>021078014225</t>
  </si>
  <si>
    <t>021078014232</t>
  </si>
  <si>
    <t>021078014249</t>
  </si>
  <si>
    <t>021078014256</t>
  </si>
  <si>
    <t>021078014263</t>
  </si>
  <si>
    <t>021078014294</t>
  </si>
  <si>
    <t>021078014300</t>
  </si>
  <si>
    <t>021078014317</t>
  </si>
  <si>
    <t>021078014324</t>
  </si>
  <si>
    <t>021078014331</t>
  </si>
  <si>
    <t>021078014393</t>
  </si>
  <si>
    <t>021078014409</t>
  </si>
  <si>
    <t>021078014416</t>
  </si>
  <si>
    <t>021078014423</t>
  </si>
  <si>
    <t>021078014430</t>
  </si>
  <si>
    <t>021078014447</t>
  </si>
  <si>
    <t>021078014454</t>
  </si>
  <si>
    <t>021078014461</t>
  </si>
  <si>
    <t>021078014478</t>
  </si>
  <si>
    <t>021078014485</t>
  </si>
  <si>
    <t>021078014492</t>
  </si>
  <si>
    <t>021078014508</t>
  </si>
  <si>
    <t>021078014515</t>
  </si>
  <si>
    <t>021078014522</t>
  </si>
  <si>
    <t>021078014539</t>
  </si>
  <si>
    <t>021078014546</t>
  </si>
  <si>
    <t>021078014553</t>
  </si>
  <si>
    <t>021078014560</t>
  </si>
  <si>
    <t>021078014584</t>
  </si>
  <si>
    <t>021078014591</t>
  </si>
  <si>
    <t>021078014607</t>
  </si>
  <si>
    <t>021078014614</t>
  </si>
  <si>
    <t>021078014638</t>
  </si>
  <si>
    <t>021078014645</t>
  </si>
  <si>
    <t>021078014669</t>
  </si>
  <si>
    <t>021078014676</t>
  </si>
  <si>
    <t>021078014805</t>
  </si>
  <si>
    <t>021078014812</t>
  </si>
  <si>
    <t>021078014829</t>
  </si>
  <si>
    <t>021078014836</t>
  </si>
  <si>
    <t>021078014843</t>
  </si>
  <si>
    <t>021078014850</t>
  </si>
  <si>
    <t>021078014867</t>
  </si>
  <si>
    <t>021078014874</t>
  </si>
  <si>
    <t>021078014881</t>
  </si>
  <si>
    <t>021078014898</t>
  </si>
  <si>
    <t>021078014904</t>
  </si>
  <si>
    <t>021078014911</t>
  </si>
  <si>
    <t>021078014928</t>
  </si>
  <si>
    <t>021078014973</t>
  </si>
  <si>
    <t>021078014980</t>
  </si>
  <si>
    <t>021078014997</t>
  </si>
  <si>
    <t>021078015017</t>
  </si>
  <si>
    <t>021078015024</t>
  </si>
  <si>
    <t>021078015031</t>
  </si>
  <si>
    <t>021078015048</t>
  </si>
  <si>
    <t>021078015055</t>
  </si>
  <si>
    <t>021078015062</t>
  </si>
  <si>
    <t>021078015079</t>
  </si>
  <si>
    <t>021078015116</t>
  </si>
  <si>
    <t>021078015123</t>
  </si>
  <si>
    <t>021078015130</t>
  </si>
  <si>
    <t>021078015185</t>
  </si>
  <si>
    <t>021078015208</t>
  </si>
  <si>
    <t>021078015215</t>
  </si>
  <si>
    <t>021078015222</t>
  </si>
  <si>
    <t>021078015239</t>
  </si>
  <si>
    <t>021078015277</t>
  </si>
  <si>
    <t>021078015284</t>
  </si>
  <si>
    <t>021078015291</t>
  </si>
  <si>
    <t>021078015314</t>
  </si>
  <si>
    <t>021078015321</t>
  </si>
  <si>
    <t>021078015338</t>
  </si>
  <si>
    <t>021078015345</t>
  </si>
  <si>
    <t>021078015352</t>
  </si>
  <si>
    <t>021078015383</t>
  </si>
  <si>
    <t>021078015390</t>
  </si>
  <si>
    <t>021078015482</t>
  </si>
  <si>
    <t>021078015499</t>
  </si>
  <si>
    <t>021078015505</t>
  </si>
  <si>
    <t>021078015512</t>
  </si>
  <si>
    <t>021078015574</t>
  </si>
  <si>
    <t>021078015581</t>
  </si>
  <si>
    <t>021078015598</t>
  </si>
  <si>
    <t>021078015604</t>
  </si>
  <si>
    <t>021078015611</t>
  </si>
  <si>
    <t>021078015628</t>
  </si>
  <si>
    <t>021078015635</t>
  </si>
  <si>
    <t>021078015642</t>
  </si>
  <si>
    <t>021078015659</t>
  </si>
  <si>
    <t>021078015666</t>
  </si>
  <si>
    <t>021078015673</t>
  </si>
  <si>
    <t>021078015680</t>
  </si>
  <si>
    <t>021078015697</t>
  </si>
  <si>
    <t>021078015703</t>
  </si>
  <si>
    <t>021078015765</t>
  </si>
  <si>
    <t>021078015772</t>
  </si>
  <si>
    <t>021078015789</t>
  </si>
  <si>
    <t>021078015796</t>
  </si>
  <si>
    <t>021078015802</t>
  </si>
  <si>
    <t>021078015819</t>
  </si>
  <si>
    <t>021078015826</t>
  </si>
  <si>
    <t>021078015833</t>
  </si>
  <si>
    <t>021078015840</t>
  </si>
  <si>
    <t>021078015857</t>
  </si>
  <si>
    <t>021078015864</t>
  </si>
  <si>
    <t>021078015871</t>
  </si>
  <si>
    <t>021078015895</t>
  </si>
  <si>
    <t>021078015901</t>
  </si>
  <si>
    <t>021078015918</t>
  </si>
  <si>
    <t>021078015925</t>
  </si>
  <si>
    <t>021078015932</t>
  </si>
  <si>
    <t>021078015949</t>
  </si>
  <si>
    <t>021078015956</t>
  </si>
  <si>
    <t>021078015963</t>
  </si>
  <si>
    <t>021078015970</t>
  </si>
  <si>
    <t>021078015987</t>
  </si>
  <si>
    <t>021078015994</t>
  </si>
  <si>
    <t>021078016007</t>
  </si>
  <si>
    <t>021078016021</t>
  </si>
  <si>
    <t>021078016038</t>
  </si>
  <si>
    <t>021078016045</t>
  </si>
  <si>
    <t>021078016052</t>
  </si>
  <si>
    <t>021078016069</t>
  </si>
  <si>
    <t>021078016076</t>
  </si>
  <si>
    <t>021078016083</t>
  </si>
  <si>
    <t>021078016090</t>
  </si>
  <si>
    <t>021078016106</t>
  </si>
  <si>
    <t>021078016113</t>
  </si>
  <si>
    <t>021078016120</t>
  </si>
  <si>
    <t>021078016151</t>
  </si>
  <si>
    <t>021078016168</t>
  </si>
  <si>
    <t>021078016175</t>
  </si>
  <si>
    <t>021078016182</t>
  </si>
  <si>
    <t>021078416197</t>
  </si>
  <si>
    <t>021078016236</t>
  </si>
  <si>
    <t>021078016243</t>
  </si>
  <si>
    <t>021078016250</t>
  </si>
  <si>
    <t>021078016267</t>
  </si>
  <si>
    <t>021078016274</t>
  </si>
  <si>
    <t>021078016281</t>
  </si>
  <si>
    <t>021078016298</t>
  </si>
  <si>
    <t>021078016304</t>
  </si>
  <si>
    <t>021078016359</t>
  </si>
  <si>
    <t>021078016366</t>
  </si>
  <si>
    <t>021078016397</t>
  </si>
  <si>
    <t>021078016403</t>
  </si>
  <si>
    <t>021078016410</t>
  </si>
  <si>
    <t>021078016427</t>
  </si>
  <si>
    <t>021078016434</t>
  </si>
  <si>
    <t>021078016441</t>
  </si>
  <si>
    <t>021078416456</t>
  </si>
  <si>
    <t>021078416463</t>
  </si>
  <si>
    <t>021078016557</t>
  </si>
  <si>
    <t>021078016564</t>
  </si>
  <si>
    <t>021078016571</t>
  </si>
  <si>
    <t>021078016618</t>
  </si>
  <si>
    <t>021078016625</t>
  </si>
  <si>
    <t>021078016632</t>
  </si>
  <si>
    <t>021078016649</t>
  </si>
  <si>
    <t>021078016717</t>
  </si>
  <si>
    <t>021078016724</t>
  </si>
  <si>
    <t>021078016731</t>
  </si>
  <si>
    <t>021078016748</t>
  </si>
  <si>
    <t>021078016779</t>
  </si>
  <si>
    <t>021078016786</t>
  </si>
  <si>
    <t>021078016816</t>
  </si>
  <si>
    <t>021078016823</t>
  </si>
  <si>
    <t>021078016830</t>
  </si>
  <si>
    <t>021078016847</t>
  </si>
  <si>
    <t>021078016861</t>
  </si>
  <si>
    <t>021078016878</t>
  </si>
  <si>
    <t>021078016885</t>
  </si>
  <si>
    <t>021078016892</t>
  </si>
  <si>
    <t>021078016908</t>
  </si>
  <si>
    <t>021078016915</t>
  </si>
  <si>
    <t>021078016946</t>
  </si>
  <si>
    <t>021078016953</t>
  </si>
  <si>
    <t>021078016960</t>
  </si>
  <si>
    <t>021078016977</t>
  </si>
  <si>
    <t>021078016984</t>
  </si>
  <si>
    <t>021078016991</t>
  </si>
  <si>
    <t>021078017004</t>
  </si>
  <si>
    <t>021078017011</t>
  </si>
  <si>
    <t>021078017028</t>
  </si>
  <si>
    <t>021078017035</t>
  </si>
  <si>
    <t>021078017042</t>
  </si>
  <si>
    <t>021078017059</t>
  </si>
  <si>
    <t>021078017066</t>
  </si>
  <si>
    <t>021078017073</t>
  </si>
  <si>
    <t>021078017080</t>
  </si>
  <si>
    <t>021078017103</t>
  </si>
  <si>
    <t>021078017110</t>
  </si>
  <si>
    <t>021078017127</t>
  </si>
  <si>
    <t>021078017134</t>
  </si>
  <si>
    <t>021078017189</t>
  </si>
  <si>
    <t>021078017196</t>
  </si>
  <si>
    <t>021078017202</t>
  </si>
  <si>
    <t>021078017219</t>
  </si>
  <si>
    <t>021078017233</t>
  </si>
  <si>
    <t>021078017240</t>
  </si>
  <si>
    <t>021078017257</t>
  </si>
  <si>
    <t>021078017301</t>
  </si>
  <si>
    <t>021078017318</t>
  </si>
  <si>
    <t>021078017325</t>
  </si>
  <si>
    <t>021078017431</t>
  </si>
  <si>
    <t>021078017448</t>
  </si>
  <si>
    <t>021078017479</t>
  </si>
  <si>
    <t>021078017486</t>
  </si>
  <si>
    <t>021078017493</t>
  </si>
  <si>
    <t>021078017516</t>
  </si>
  <si>
    <t>021078017523</t>
  </si>
  <si>
    <t>021078017615</t>
  </si>
  <si>
    <t>021078017622</t>
  </si>
  <si>
    <t>021078017639</t>
  </si>
  <si>
    <t>021078017646</t>
  </si>
  <si>
    <t>021078017653</t>
  </si>
  <si>
    <t>021078017660</t>
  </si>
  <si>
    <t>021078017677</t>
  </si>
  <si>
    <t>021078017684</t>
  </si>
  <si>
    <t>021078017714</t>
  </si>
  <si>
    <t>021078017721</t>
  </si>
  <si>
    <t>021078017738</t>
  </si>
  <si>
    <t>021078017745</t>
  </si>
  <si>
    <t>021078017752</t>
  </si>
  <si>
    <t>021078017769</t>
  </si>
  <si>
    <t>021078017806</t>
  </si>
  <si>
    <t>021078017813</t>
  </si>
  <si>
    <t>021078017820</t>
  </si>
  <si>
    <t>021078017837</t>
  </si>
  <si>
    <t>021078017844</t>
  </si>
  <si>
    <t>021078017851</t>
  </si>
  <si>
    <t>021078017899</t>
  </si>
  <si>
    <t>021078017905</t>
  </si>
  <si>
    <t>021078017912</t>
  </si>
  <si>
    <t>021078017929</t>
  </si>
  <si>
    <t>021078017936</t>
  </si>
  <si>
    <t>021078017943</t>
  </si>
  <si>
    <t>021078017950</t>
  </si>
  <si>
    <t>021078017967</t>
  </si>
  <si>
    <t>021078017974</t>
  </si>
  <si>
    <t>021078017981</t>
  </si>
  <si>
    <t>021078017998</t>
  </si>
  <si>
    <t>021078018001</t>
  </si>
  <si>
    <t>021078018049</t>
  </si>
  <si>
    <t>021078018087</t>
  </si>
  <si>
    <t>021078018094</t>
  </si>
  <si>
    <t>021078018100</t>
  </si>
  <si>
    <t>021078018117</t>
  </si>
  <si>
    <t>021078018124</t>
  </si>
  <si>
    <t>021078018131</t>
  </si>
  <si>
    <t>021078018148</t>
  </si>
  <si>
    <t>021078018155</t>
  </si>
  <si>
    <t>021078018162</t>
  </si>
  <si>
    <t>021078018193</t>
  </si>
  <si>
    <t>021078018223</t>
  </si>
  <si>
    <t>021078018230</t>
  </si>
  <si>
    <t>021078018247</t>
  </si>
  <si>
    <t>021078018254</t>
  </si>
  <si>
    <t>021078018261</t>
  </si>
  <si>
    <t>021078018285</t>
  </si>
  <si>
    <t>021078018292</t>
  </si>
  <si>
    <t>021078018339</t>
  </si>
  <si>
    <t>021078018346</t>
  </si>
  <si>
    <t>021078018353</t>
  </si>
  <si>
    <t>021078018360</t>
  </si>
  <si>
    <t>021078018377</t>
  </si>
  <si>
    <t>021078018391</t>
  </si>
  <si>
    <t>021078018407</t>
  </si>
  <si>
    <t>021078018414</t>
  </si>
  <si>
    <t>021078018421</t>
  </si>
  <si>
    <t>021078018452</t>
  </si>
  <si>
    <t>021078018469</t>
  </si>
  <si>
    <t>021078018483</t>
  </si>
  <si>
    <t>021078018490</t>
  </si>
  <si>
    <t>021078018506</t>
  </si>
  <si>
    <t>021078018575</t>
  </si>
  <si>
    <t>021078018582</t>
  </si>
  <si>
    <t>021078018599</t>
  </si>
  <si>
    <t>021078018605</t>
  </si>
  <si>
    <t>021078018636</t>
  </si>
  <si>
    <t>021078018643</t>
  </si>
  <si>
    <t>021078018650</t>
  </si>
  <si>
    <t>021078018667</t>
  </si>
  <si>
    <t>021078018698</t>
  </si>
  <si>
    <t>021078018704</t>
  </si>
  <si>
    <t>021078018711</t>
  </si>
  <si>
    <t>021078018728</t>
  </si>
  <si>
    <t>021078018735</t>
  </si>
  <si>
    <t>021078018810</t>
  </si>
  <si>
    <t>021078018827</t>
  </si>
  <si>
    <t>021078018834</t>
  </si>
  <si>
    <t>021078018841</t>
  </si>
  <si>
    <t>021078018858</t>
  </si>
  <si>
    <t>021078018865</t>
  </si>
  <si>
    <t>021078018872</t>
  </si>
  <si>
    <t>021078018926</t>
  </si>
  <si>
    <t>021078018933</t>
  </si>
  <si>
    <t>021078018940</t>
  </si>
  <si>
    <t>021078018957</t>
  </si>
  <si>
    <t>021078018964</t>
  </si>
  <si>
    <t>021078018971</t>
  </si>
  <si>
    <t>021078019022</t>
  </si>
  <si>
    <t>021078019039</t>
  </si>
  <si>
    <t>021078019046</t>
  </si>
  <si>
    <t>021078019053</t>
  </si>
  <si>
    <t>021078019060</t>
  </si>
  <si>
    <t>021078019077</t>
  </si>
  <si>
    <t>021078019138</t>
  </si>
  <si>
    <t>021078019145</t>
  </si>
  <si>
    <t>021078019152</t>
  </si>
  <si>
    <t>021078019169</t>
  </si>
  <si>
    <t>021078019176</t>
  </si>
  <si>
    <t>021078019183</t>
  </si>
  <si>
    <t>021078019190</t>
  </si>
  <si>
    <t>021078019206</t>
  </si>
  <si>
    <t>021078019213</t>
  </si>
  <si>
    <t>021078019220</t>
  </si>
  <si>
    <t>021078019268</t>
  </si>
  <si>
    <t>021078019275</t>
  </si>
  <si>
    <t>021078019282</t>
  </si>
  <si>
    <t>021078019299</t>
  </si>
  <si>
    <t>021078019305</t>
  </si>
  <si>
    <t>021078019312</t>
  </si>
  <si>
    <t>021078019404</t>
  </si>
  <si>
    <t>021078019411</t>
  </si>
  <si>
    <t>021078019428</t>
  </si>
  <si>
    <t>021078019435</t>
  </si>
  <si>
    <t>021078019442</t>
  </si>
  <si>
    <t>021078019459</t>
  </si>
  <si>
    <t>021078019466</t>
  </si>
  <si>
    <t>021078019473</t>
  </si>
  <si>
    <t>021078019480</t>
  </si>
  <si>
    <t>021078019497</t>
  </si>
  <si>
    <t>021078019503</t>
  </si>
  <si>
    <t>021078019510</t>
  </si>
  <si>
    <t>021078019527</t>
  </si>
  <si>
    <t>021078019534</t>
  </si>
  <si>
    <t>021078019558</t>
  </si>
  <si>
    <t>021078019589</t>
  </si>
  <si>
    <t>021078019596</t>
  </si>
  <si>
    <t>021078019619</t>
  </si>
  <si>
    <t>021078019626</t>
  </si>
  <si>
    <t>021078019657</t>
  </si>
  <si>
    <t>021078019664</t>
  </si>
  <si>
    <t>021078019671</t>
  </si>
  <si>
    <t>021078019688</t>
  </si>
  <si>
    <t>021078019749</t>
  </si>
  <si>
    <t>021078019756</t>
  </si>
  <si>
    <t>021078019787</t>
  </si>
  <si>
    <t>021078019794</t>
  </si>
  <si>
    <t>021078019800</t>
  </si>
  <si>
    <t>021078019831</t>
  </si>
  <si>
    <t>021078019848</t>
  </si>
  <si>
    <t>021078019855</t>
  </si>
  <si>
    <t>021078019862</t>
  </si>
  <si>
    <t>021078019879</t>
  </si>
  <si>
    <t>021078019886</t>
  </si>
  <si>
    <t>021078019909</t>
  </si>
  <si>
    <t>021078019916</t>
  </si>
  <si>
    <t>021078019947</t>
  </si>
  <si>
    <t>021078019985</t>
  </si>
  <si>
    <t>021078019992</t>
  </si>
  <si>
    <t>021078020028</t>
  </si>
  <si>
    <t>021078020035</t>
  </si>
  <si>
    <t>021078020042</t>
  </si>
  <si>
    <t>021078020059</t>
  </si>
  <si>
    <t>021078020066</t>
  </si>
  <si>
    <t>021078020073</t>
  </si>
  <si>
    <t>021078020080</t>
  </si>
  <si>
    <t>021078020097</t>
  </si>
  <si>
    <t>021078020103</t>
  </si>
  <si>
    <t>021078020110</t>
  </si>
  <si>
    <t>021078020127</t>
  </si>
  <si>
    <t>021078020134</t>
  </si>
  <si>
    <t>021078020141</t>
  </si>
  <si>
    <t>021078020158</t>
  </si>
  <si>
    <t>021078020165</t>
  </si>
  <si>
    <t>021078020172</t>
  </si>
  <si>
    <t>021078020189</t>
  </si>
  <si>
    <t>021078020196</t>
  </si>
  <si>
    <t>021078020202</t>
  </si>
  <si>
    <t>021078020226</t>
  </si>
  <si>
    <t>021078020233</t>
  </si>
  <si>
    <t>021078020240</t>
  </si>
  <si>
    <t>021078020257</t>
  </si>
  <si>
    <t>021078020264</t>
  </si>
  <si>
    <t>021078020271</t>
  </si>
  <si>
    <t>021078020288</t>
  </si>
  <si>
    <t>021078020295</t>
  </si>
  <si>
    <t>021078020301</t>
  </si>
  <si>
    <t>021078020356</t>
  </si>
  <si>
    <t>021078020363</t>
  </si>
  <si>
    <t>021078020370</t>
  </si>
  <si>
    <t>021078020387</t>
  </si>
  <si>
    <t>021078020394</t>
  </si>
  <si>
    <t>021078020400</t>
  </si>
  <si>
    <t>021078020417</t>
  </si>
  <si>
    <t>021078020424</t>
  </si>
  <si>
    <t>021078020431</t>
  </si>
  <si>
    <t>021078020448</t>
  </si>
  <si>
    <t>021078020462</t>
  </si>
  <si>
    <t>021078020479</t>
  </si>
  <si>
    <t>021078020486</t>
  </si>
  <si>
    <t>021078020493</t>
  </si>
  <si>
    <t>021078020509</t>
  </si>
  <si>
    <t>021078020516</t>
  </si>
  <si>
    <t>021078020523</t>
  </si>
  <si>
    <t>021078020530</t>
  </si>
  <si>
    <t>021078020547</t>
  </si>
  <si>
    <t>021078020554</t>
  </si>
  <si>
    <t>021078020561</t>
  </si>
  <si>
    <t>021078020578</t>
  </si>
  <si>
    <t>021078020585</t>
  </si>
  <si>
    <t>021078020592</t>
  </si>
  <si>
    <t>021078020608</t>
  </si>
  <si>
    <t>021078020615</t>
  </si>
  <si>
    <t>021078020646</t>
  </si>
  <si>
    <t>021078020653</t>
  </si>
  <si>
    <t>021078020660</t>
  </si>
  <si>
    <t>021078020677</t>
  </si>
  <si>
    <t>021078020684</t>
  </si>
  <si>
    <t>021078020691</t>
  </si>
  <si>
    <t>021078020707</t>
  </si>
  <si>
    <t>021078020714</t>
  </si>
  <si>
    <t>021078020721</t>
  </si>
  <si>
    <t>021078020738</t>
  </si>
  <si>
    <t>021078020783</t>
  </si>
  <si>
    <t>021078020790</t>
  </si>
  <si>
    <t>021078020820</t>
  </si>
  <si>
    <t>021078020837</t>
  </si>
  <si>
    <t>021078020844</t>
  </si>
  <si>
    <t>021078020851</t>
  </si>
  <si>
    <t>021078020868</t>
  </si>
  <si>
    <t>021078020912</t>
  </si>
  <si>
    <t>021078020929</t>
  </si>
  <si>
    <t>021078020943</t>
  </si>
  <si>
    <t>021078020950</t>
  </si>
  <si>
    <t>021078020967</t>
  </si>
  <si>
    <t>021078020998</t>
  </si>
  <si>
    <t>021078021001</t>
  </si>
  <si>
    <t>021078021056</t>
  </si>
  <si>
    <t>021078021063</t>
  </si>
  <si>
    <t>021078021155</t>
  </si>
  <si>
    <t>021078021162</t>
  </si>
  <si>
    <t>021078021292</t>
  </si>
  <si>
    <t>021078021308</t>
  </si>
  <si>
    <t>021078021315</t>
  </si>
  <si>
    <t>021078021322</t>
  </si>
  <si>
    <t>021078021353</t>
  </si>
  <si>
    <t>021078021360</t>
  </si>
  <si>
    <t>021078021377</t>
  </si>
  <si>
    <t>021078021384</t>
  </si>
  <si>
    <t>021078021391</t>
  </si>
  <si>
    <t>021078021407</t>
  </si>
  <si>
    <t>021078021414</t>
  </si>
  <si>
    <t>021078021421</t>
  </si>
  <si>
    <t>021078021438</t>
  </si>
  <si>
    <t>021078021445</t>
  </si>
  <si>
    <t>021078021452</t>
  </si>
  <si>
    <t>021078021469</t>
  </si>
  <si>
    <t>021078021476</t>
  </si>
  <si>
    <t>021078021483</t>
  </si>
  <si>
    <t>021078021490</t>
  </si>
  <si>
    <t>021078021506</t>
  </si>
  <si>
    <t>021078021513</t>
  </si>
  <si>
    <t>021078021520</t>
  </si>
  <si>
    <t>021078021537</t>
  </si>
  <si>
    <t>021078021544</t>
  </si>
  <si>
    <t>021078021551</t>
  </si>
  <si>
    <t>021078021568</t>
  </si>
  <si>
    <t>021078021575</t>
  </si>
  <si>
    <t>021078021582</t>
  </si>
  <si>
    <t>021078021599</t>
  </si>
  <si>
    <t>021078021605</t>
  </si>
  <si>
    <t>021078021612</t>
  </si>
  <si>
    <t>021078021643</t>
  </si>
  <si>
    <t>021078021650</t>
  </si>
  <si>
    <t>021078021667</t>
  </si>
  <si>
    <t>021078021704</t>
  </si>
  <si>
    <t>021078021711</t>
  </si>
  <si>
    <t>021078021728</t>
  </si>
  <si>
    <t>021078021735</t>
  </si>
  <si>
    <t>021078021742</t>
  </si>
  <si>
    <t>021078021759</t>
  </si>
  <si>
    <t>021078021766</t>
  </si>
  <si>
    <t>021078021773</t>
  </si>
  <si>
    <t>021078021780</t>
  </si>
  <si>
    <t>021078021797</t>
  </si>
  <si>
    <t>021078021803</t>
  </si>
  <si>
    <t>021078021810</t>
  </si>
  <si>
    <t>021078021827</t>
  </si>
  <si>
    <t>021078021834</t>
  </si>
  <si>
    <t>021078021841</t>
  </si>
  <si>
    <t>021078021865</t>
  </si>
  <si>
    <t>021078021872</t>
  </si>
  <si>
    <t>021078021919</t>
  </si>
  <si>
    <t>021078021926</t>
  </si>
  <si>
    <t>021078021957</t>
  </si>
  <si>
    <t>021078021964</t>
  </si>
  <si>
    <t>021078021971</t>
  </si>
  <si>
    <t>021078021988</t>
  </si>
  <si>
    <t>021078021995</t>
  </si>
  <si>
    <t>021078022015</t>
  </si>
  <si>
    <t>021078022022</t>
  </si>
  <si>
    <t>021078022039</t>
  </si>
  <si>
    <t>021078022046</t>
  </si>
  <si>
    <t>021078022053</t>
  </si>
  <si>
    <t>021078022060</t>
  </si>
  <si>
    <t>021078022077</t>
  </si>
  <si>
    <t>021078022084</t>
  </si>
  <si>
    <t>021078022091</t>
  </si>
  <si>
    <t>021078022138</t>
  </si>
  <si>
    <t>021078022145</t>
  </si>
  <si>
    <t>021078022152</t>
  </si>
  <si>
    <t>021078022176</t>
  </si>
  <si>
    <t>021078022183</t>
  </si>
  <si>
    <t>021078022190</t>
  </si>
  <si>
    <t>021078022206</t>
  </si>
  <si>
    <t>021078022251</t>
  </si>
  <si>
    <t>021078022268</t>
  </si>
  <si>
    <t>021078022275</t>
  </si>
  <si>
    <t>021078022282</t>
  </si>
  <si>
    <t>021078022299</t>
  </si>
  <si>
    <t>021078022374</t>
  </si>
  <si>
    <t>021078022381</t>
  </si>
  <si>
    <t>021078022398</t>
  </si>
  <si>
    <t>021078022404</t>
  </si>
  <si>
    <t>021078022411</t>
  </si>
  <si>
    <t>021078022428</t>
  </si>
  <si>
    <t>021078022435</t>
  </si>
  <si>
    <t>021078022442</t>
  </si>
  <si>
    <t>021078022480</t>
  </si>
  <si>
    <t>021078022497</t>
  </si>
  <si>
    <t>021078022619</t>
  </si>
  <si>
    <t>021078022626</t>
  </si>
  <si>
    <t>021078022633</t>
  </si>
  <si>
    <t>021078022640</t>
  </si>
  <si>
    <t>021078022749</t>
  </si>
  <si>
    <t>021078022756</t>
  </si>
  <si>
    <t>021078022763</t>
  </si>
  <si>
    <t>021078022770</t>
  </si>
  <si>
    <t>021078022787</t>
  </si>
  <si>
    <t>021078022886</t>
  </si>
  <si>
    <t>021078022893</t>
  </si>
  <si>
    <t>021078022909</t>
  </si>
  <si>
    <t>021078022923</t>
  </si>
  <si>
    <t>021078022930</t>
  </si>
  <si>
    <t>021078022947</t>
  </si>
  <si>
    <t>021078022954</t>
  </si>
  <si>
    <t>021078022961</t>
  </si>
  <si>
    <t>021078022978</t>
  </si>
  <si>
    <t>021078023166</t>
  </si>
  <si>
    <t>021078023173</t>
  </si>
  <si>
    <t>021078023180</t>
  </si>
  <si>
    <t>021078023197</t>
  </si>
  <si>
    <t>021078023203</t>
  </si>
  <si>
    <t>021078023210</t>
  </si>
  <si>
    <t>021078023227</t>
  </si>
  <si>
    <t>021078023234</t>
  </si>
  <si>
    <t>021078023265</t>
  </si>
  <si>
    <t>021078023296</t>
  </si>
  <si>
    <t>021078023302</t>
  </si>
  <si>
    <t>021078023319</t>
  </si>
  <si>
    <t>021078023326</t>
  </si>
  <si>
    <t>021078023364</t>
  </si>
  <si>
    <t>021078023371</t>
  </si>
  <si>
    <t>021078023388</t>
  </si>
  <si>
    <t>021078023401</t>
  </si>
  <si>
    <t>021078023418</t>
  </si>
  <si>
    <t>021078023470</t>
  </si>
  <si>
    <t>021078023517</t>
  </si>
  <si>
    <t>021078023524</t>
  </si>
  <si>
    <t>021078023531</t>
  </si>
  <si>
    <t>021078023586</t>
  </si>
  <si>
    <t>021078023593</t>
  </si>
  <si>
    <t>021078023609</t>
  </si>
  <si>
    <t>021078023616</t>
  </si>
  <si>
    <t>021078023623</t>
  </si>
  <si>
    <t>021078023661</t>
  </si>
  <si>
    <t>021078023678</t>
  </si>
  <si>
    <t>021078023685</t>
  </si>
  <si>
    <t>021078023692</t>
  </si>
  <si>
    <t>021078023708</t>
  </si>
  <si>
    <t>021078023715</t>
  </si>
  <si>
    <t>021078023722</t>
  </si>
  <si>
    <t>021078023739</t>
  </si>
  <si>
    <t>021078023746</t>
  </si>
  <si>
    <t>021078023753</t>
  </si>
  <si>
    <t>021078023760</t>
  </si>
  <si>
    <t>021078023777</t>
  </si>
  <si>
    <t>021078023784</t>
  </si>
  <si>
    <t>021078023791</t>
  </si>
  <si>
    <t>021078023807</t>
  </si>
  <si>
    <t>021078023814</t>
  </si>
  <si>
    <t>021078023821</t>
  </si>
  <si>
    <t>021078023838</t>
  </si>
  <si>
    <t>021078023845</t>
  </si>
  <si>
    <t>021078023920</t>
  </si>
  <si>
    <t>021078023937</t>
  </si>
  <si>
    <t>021078023944</t>
  </si>
  <si>
    <t>021078023982</t>
  </si>
  <si>
    <t>021078023999</t>
  </si>
  <si>
    <t>021078024057</t>
  </si>
  <si>
    <t>021078024064</t>
  </si>
  <si>
    <t>021078024071</t>
  </si>
  <si>
    <t>021078024095</t>
  </si>
  <si>
    <t>021078024101</t>
  </si>
  <si>
    <t>021078024118</t>
  </si>
  <si>
    <t>021078024125</t>
  </si>
  <si>
    <t>021078024132</t>
  </si>
  <si>
    <t>021078024149</t>
  </si>
  <si>
    <t>021078024156</t>
  </si>
  <si>
    <t>021078024163</t>
  </si>
  <si>
    <t>021078024170</t>
  </si>
  <si>
    <t>021078024187</t>
  </si>
  <si>
    <t>021078024194</t>
  </si>
  <si>
    <t>021078024200</t>
  </si>
  <si>
    <t>021078024217</t>
  </si>
  <si>
    <t>021078024224</t>
  </si>
  <si>
    <t>021078024231</t>
  </si>
  <si>
    <t>021078024248</t>
  </si>
  <si>
    <t>021078024262</t>
  </si>
  <si>
    <t>021078424277</t>
  </si>
  <si>
    <t>021078024286</t>
  </si>
  <si>
    <t>021078024293</t>
  </si>
  <si>
    <t>021078024309</t>
  </si>
  <si>
    <t>021078024323</t>
  </si>
  <si>
    <t>021078024330</t>
  </si>
  <si>
    <t>021078024347</t>
  </si>
  <si>
    <t>021078024378</t>
  </si>
  <si>
    <t>021078024385</t>
  </si>
  <si>
    <t>021078024392</t>
  </si>
  <si>
    <t>021078024477</t>
  </si>
  <si>
    <t>021078024484</t>
  </si>
  <si>
    <t>021078024491</t>
  </si>
  <si>
    <t>021078024583</t>
  </si>
  <si>
    <t>021078024590</t>
  </si>
  <si>
    <t>021078024606</t>
  </si>
  <si>
    <t>021078024613</t>
  </si>
  <si>
    <t>021078024620</t>
  </si>
  <si>
    <t>021078024644</t>
  </si>
  <si>
    <t>021078024651</t>
  </si>
  <si>
    <t>021078024668</t>
  </si>
  <si>
    <t>021078024675</t>
  </si>
  <si>
    <t>021078024682</t>
  </si>
  <si>
    <t>021078024712</t>
  </si>
  <si>
    <t>021078024729</t>
  </si>
  <si>
    <t>021078024736</t>
  </si>
  <si>
    <t>021078024750</t>
  </si>
  <si>
    <t>021078024767</t>
  </si>
  <si>
    <t>021078024774</t>
  </si>
  <si>
    <t>021078024798</t>
  </si>
  <si>
    <t>021078024804</t>
  </si>
  <si>
    <t>021078024811</t>
  </si>
  <si>
    <t>021078024828</t>
  </si>
  <si>
    <t>021078024859</t>
  </si>
  <si>
    <t>021078024866</t>
  </si>
  <si>
    <t>021078024903</t>
  </si>
  <si>
    <t>021078025184</t>
  </si>
  <si>
    <t>021078025191</t>
  </si>
  <si>
    <t>021078025207</t>
  </si>
  <si>
    <t>021078025214</t>
  </si>
  <si>
    <t>021078025221</t>
  </si>
  <si>
    <t>021078025238</t>
  </si>
  <si>
    <t>021078025245</t>
  </si>
  <si>
    <t>021078025351</t>
  </si>
  <si>
    <t>021078025368</t>
  </si>
  <si>
    <t>021078025375</t>
  </si>
  <si>
    <t>021078025429</t>
  </si>
  <si>
    <t>021078025436</t>
  </si>
  <si>
    <t>021078025504</t>
  </si>
  <si>
    <t>021078025511</t>
  </si>
  <si>
    <t>021078025528</t>
  </si>
  <si>
    <t>021078025535</t>
  </si>
  <si>
    <t>021078025542</t>
  </si>
  <si>
    <t>021078025559</t>
  </si>
  <si>
    <t>021078025566</t>
  </si>
  <si>
    <t>021078025696</t>
  </si>
  <si>
    <t>021078025702</t>
  </si>
  <si>
    <t>021078025719</t>
  </si>
  <si>
    <t>021078025726</t>
  </si>
  <si>
    <t>021078025757</t>
  </si>
  <si>
    <t>021078025764</t>
  </si>
  <si>
    <t>021078025801</t>
  </si>
  <si>
    <t>021078025818</t>
  </si>
  <si>
    <t>021078025832</t>
  </si>
  <si>
    <t>021078025849</t>
  </si>
  <si>
    <t>021078025856</t>
  </si>
  <si>
    <t>021078025863</t>
  </si>
  <si>
    <t>021078025870</t>
  </si>
  <si>
    <t>021078025887</t>
  </si>
  <si>
    <t>021078025894</t>
  </si>
  <si>
    <t>021078025900</t>
  </si>
  <si>
    <t>021078025917</t>
  </si>
  <si>
    <t>021078025924</t>
  </si>
  <si>
    <t>021078025931</t>
  </si>
  <si>
    <t>021078025948</t>
  </si>
  <si>
    <t>021078026006</t>
  </si>
  <si>
    <t>021078026013</t>
  </si>
  <si>
    <t>021078026020</t>
  </si>
  <si>
    <t>021078026037</t>
  </si>
  <si>
    <t>021078026068</t>
  </si>
  <si>
    <t>021078026075</t>
  </si>
  <si>
    <t>021078026082</t>
  </si>
  <si>
    <t>021078026099</t>
  </si>
  <si>
    <t>021078026105</t>
  </si>
  <si>
    <t>021078026112</t>
  </si>
  <si>
    <t>021078026136</t>
  </si>
  <si>
    <t>021078026143</t>
  </si>
  <si>
    <t>021078026150</t>
  </si>
  <si>
    <t>021078026174</t>
  </si>
  <si>
    <t>021078026204</t>
  </si>
  <si>
    <t>021078026211</t>
  </si>
  <si>
    <t>021078026228</t>
  </si>
  <si>
    <t>021078026235</t>
  </si>
  <si>
    <t>021078026242</t>
  </si>
  <si>
    <t>021078026259</t>
  </si>
  <si>
    <t>021078026266</t>
  </si>
  <si>
    <t>021078026273</t>
  </si>
  <si>
    <t>021078026280</t>
  </si>
  <si>
    <t>021078026297</t>
  </si>
  <si>
    <t>021078026327</t>
  </si>
  <si>
    <t>021078026334</t>
  </si>
  <si>
    <t>021078026341</t>
  </si>
  <si>
    <t>021078026358</t>
  </si>
  <si>
    <t>021078026365</t>
  </si>
  <si>
    <t>021078026372</t>
  </si>
  <si>
    <t>021078026389</t>
  </si>
  <si>
    <t>021078026396</t>
  </si>
  <si>
    <t>021078026402</t>
  </si>
  <si>
    <t>021078026419</t>
  </si>
  <si>
    <t>021078026426</t>
  </si>
  <si>
    <t>021078026433</t>
  </si>
  <si>
    <t>021078026440</t>
  </si>
  <si>
    <t>021078026457</t>
  </si>
  <si>
    <t>021078026464</t>
  </si>
  <si>
    <t>021078026471</t>
  </si>
  <si>
    <t>021078026488</t>
  </si>
  <si>
    <t>021078026495</t>
  </si>
  <si>
    <t>021078026501</t>
  </si>
  <si>
    <t>021078026518</t>
  </si>
  <si>
    <t>021078026525</t>
  </si>
  <si>
    <t>021078026532</t>
  </si>
  <si>
    <t>021078026549</t>
  </si>
  <si>
    <t>021078026556</t>
  </si>
  <si>
    <t>021078026563</t>
  </si>
  <si>
    <t>021078026624</t>
  </si>
  <si>
    <t>021078026631</t>
  </si>
  <si>
    <t>021078026648</t>
  </si>
  <si>
    <t>021078026655</t>
  </si>
  <si>
    <t>021078026662</t>
  </si>
  <si>
    <t>021078026679</t>
  </si>
  <si>
    <t>021078026716</t>
  </si>
  <si>
    <t>021078026723</t>
  </si>
  <si>
    <t>021078026778</t>
  </si>
  <si>
    <t>021078026785</t>
  </si>
  <si>
    <t>021078026792</t>
  </si>
  <si>
    <t>021078026808</t>
  </si>
  <si>
    <t>021078026815</t>
  </si>
  <si>
    <t>021078026853</t>
  </si>
  <si>
    <t>021078026860</t>
  </si>
  <si>
    <t>021078026877</t>
  </si>
  <si>
    <t>021078026884</t>
  </si>
  <si>
    <t>021078026891</t>
  </si>
  <si>
    <t>021078026907</t>
  </si>
  <si>
    <t>021078026914</t>
  </si>
  <si>
    <t>021078026921</t>
  </si>
  <si>
    <t>021078026938</t>
  </si>
  <si>
    <t>021078026945</t>
  </si>
  <si>
    <t>021078026952</t>
  </si>
  <si>
    <t>021078027010</t>
  </si>
  <si>
    <t>021078027096</t>
  </si>
  <si>
    <t>021078027102</t>
  </si>
  <si>
    <t>021078027119</t>
  </si>
  <si>
    <t>021078027133</t>
  </si>
  <si>
    <t>021078027140</t>
  </si>
  <si>
    <t>021078027157</t>
  </si>
  <si>
    <t>021078027164</t>
  </si>
  <si>
    <t>021078027171</t>
  </si>
  <si>
    <t>021078027232</t>
  </si>
  <si>
    <t>021078027249</t>
  </si>
  <si>
    <t>021078027256</t>
  </si>
  <si>
    <t>021078027263</t>
  </si>
  <si>
    <t>021078027348</t>
  </si>
  <si>
    <t>021078027355</t>
  </si>
  <si>
    <t>021078027362</t>
  </si>
  <si>
    <t>021078027560</t>
  </si>
  <si>
    <t>021078027577</t>
  </si>
  <si>
    <t>021078027584</t>
  </si>
  <si>
    <t>021078027638</t>
  </si>
  <si>
    <t>021078027645</t>
  </si>
  <si>
    <t>021078027652</t>
  </si>
  <si>
    <t>021078027669</t>
  </si>
  <si>
    <t>021078027676</t>
  </si>
  <si>
    <t>021078027683</t>
  </si>
  <si>
    <t>021078027690</t>
  </si>
  <si>
    <t>021078027706</t>
  </si>
  <si>
    <t>021078027768</t>
  </si>
  <si>
    <t>021078027775</t>
  </si>
  <si>
    <t>021078027782</t>
  </si>
  <si>
    <t>021078027799</t>
  </si>
  <si>
    <t>021078027805</t>
  </si>
  <si>
    <t>021078027812</t>
  </si>
  <si>
    <t>021078027829</t>
  </si>
  <si>
    <t>021078027836</t>
  </si>
  <si>
    <t>021078027843</t>
  </si>
  <si>
    <t>021078027850</t>
  </si>
  <si>
    <t>021078027911</t>
  </si>
  <si>
    <t>021078027928</t>
  </si>
  <si>
    <t>021078027935</t>
  </si>
  <si>
    <t>021078027942</t>
  </si>
  <si>
    <t>021078027959</t>
  </si>
  <si>
    <t>021078028017</t>
  </si>
  <si>
    <t>021078028024</t>
  </si>
  <si>
    <t>021078028079</t>
  </si>
  <si>
    <t>021078028086</t>
  </si>
  <si>
    <t>021078028093</t>
  </si>
  <si>
    <t>021078028215</t>
  </si>
  <si>
    <t>021078028222</t>
  </si>
  <si>
    <t>021078028239</t>
  </si>
  <si>
    <t>021078028277</t>
  </si>
  <si>
    <t>021078028284</t>
  </si>
  <si>
    <t>021078028499</t>
  </si>
  <si>
    <t>021078028642</t>
  </si>
  <si>
    <t>021078028727</t>
  </si>
  <si>
    <t>021078028734</t>
  </si>
  <si>
    <t>021078028758</t>
  </si>
  <si>
    <t>021078028765</t>
  </si>
  <si>
    <t>021078028796</t>
  </si>
  <si>
    <t>021078028802</t>
  </si>
  <si>
    <t>021078028819</t>
  </si>
  <si>
    <t>021078028826</t>
  </si>
  <si>
    <t>021078028833</t>
  </si>
  <si>
    <t>021078028840</t>
  </si>
  <si>
    <t>021078028857</t>
  </si>
  <si>
    <t>021078028864</t>
  </si>
  <si>
    <t>021078028888</t>
  </si>
  <si>
    <t>021078028895</t>
  </si>
  <si>
    <t>021078028901</t>
  </si>
  <si>
    <t>021078028918</t>
  </si>
  <si>
    <t>021078028925</t>
  </si>
  <si>
    <t>021078028932</t>
  </si>
  <si>
    <t>021078028949</t>
  </si>
  <si>
    <t>021078028956</t>
  </si>
  <si>
    <t>021078029267</t>
  </si>
  <si>
    <t>021078029274</t>
  </si>
  <si>
    <t>021078029281</t>
  </si>
  <si>
    <t>021078029403</t>
  </si>
  <si>
    <t>021078029410</t>
  </si>
  <si>
    <t>021078029427</t>
  </si>
  <si>
    <t>021078029434</t>
  </si>
  <si>
    <t>021078029441</t>
  </si>
  <si>
    <t>021078029458</t>
  </si>
  <si>
    <t>021078029465</t>
  </si>
  <si>
    <t>021078029472</t>
  </si>
  <si>
    <t>021078029489</t>
  </si>
  <si>
    <t>021078029496</t>
  </si>
  <si>
    <t>021078029502</t>
  </si>
  <si>
    <t>021078029519</t>
  </si>
  <si>
    <t>021078029526</t>
  </si>
  <si>
    <t>021078029533</t>
  </si>
  <si>
    <t>021078029588</t>
  </si>
  <si>
    <t>021078080060</t>
  </si>
  <si>
    <t>021078080121</t>
  </si>
  <si>
    <t>021078080190</t>
  </si>
  <si>
    <t>021078080398</t>
  </si>
  <si>
    <t>021078080800</t>
  </si>
  <si>
    <t>021078085041</t>
  </si>
  <si>
    <t>021078085126</t>
  </si>
  <si>
    <t>Wellness ZincMunity®</t>
  </si>
  <si>
    <t>RATING</t>
  </si>
  <si>
    <t>А</t>
  </si>
  <si>
    <t>В</t>
  </si>
  <si>
    <t>С</t>
  </si>
  <si>
    <t>Case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</si>
</sst>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00"/>
    <numFmt numFmtId="166" formatCode="_-[$$-409]* #,##0.00_ ;_-[$$-409]* \-#,##0.00\ ;_-[$$-409]* &quot;-&quot;??_ ;_-@_ "/>
    <numFmt numFmtId="167" formatCode="[$$-409]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b/>
      <sz val="9.5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  <font>
      <b/>
      <sz val="11"/>
      <color theme="1"/>
      <name val="Segoe U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rgb="FF0064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59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 applyProtection="1">
      <alignment horizontal="center"/>
      <protection hidden="1"/>
    </xf>
    <xf numFmtId="0" fontId="7" fillId="0" borderId="6" xfId="1" applyFont="1" applyBorder="1" applyAlignment="1" applyProtection="1">
      <alignment horizontal="center"/>
      <protection hidden="1"/>
    </xf>
    <xf numFmtId="0" fontId="7" fillId="0" borderId="7" xfId="1" applyFont="1" applyBorder="1" applyAlignment="1" applyProtection="1">
      <alignment horizontal="center"/>
      <protection hidden="1"/>
    </xf>
    <xf numFmtId="0" fontId="7" fillId="0" borderId="8" xfId="1" applyFont="1" applyBorder="1" applyAlignment="1" applyProtection="1">
      <alignment horizontal="center"/>
      <protection hidden="1"/>
    </xf>
    <xf numFmtId="0" fontId="7" fillId="0" borderId="9" xfId="1" applyFont="1" applyBorder="1" applyAlignment="1" applyProtection="1">
      <alignment horizontal="center"/>
      <protection hidden="1"/>
    </xf>
    <xf numFmtId="0" fontId="7" fillId="0" borderId="10" xfId="1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7" fillId="0" borderId="0" xfId="1" applyFont="1" applyAlignment="1" applyProtection="1">
      <alignment horizontal="center"/>
      <protection hidden="1"/>
    </xf>
    <xf numFmtId="14" fontId="8" fillId="0" borderId="0" xfId="0" quotePrefix="1" applyNumberFormat="1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164" fontId="1" fillId="2" borderId="1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alignment horizontal="center"/>
      <protection locked="0"/>
    </xf>
    <xf numFmtId="14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" fontId="1" fillId="4" borderId="21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6" fontId="9" fillId="3" borderId="2" xfId="0" applyNumberFormat="1" applyFont="1" applyFill="1" applyBorder="1" applyAlignment="1" applyProtection="1">
      <alignment horizontal="center" vertical="center" wrapText="1" readingOrder="1"/>
      <protection hidden="1"/>
    </xf>
    <xf numFmtId="0" fontId="10" fillId="4" borderId="2" xfId="0" applyFont="1" applyFill="1" applyBorder="1" applyAlignment="1" applyProtection="1">
      <alignment horizontal="center" vertical="center" wrapText="1" readingOrder="1"/>
      <protection locked="0"/>
    </xf>
    <xf numFmtId="4" fontId="0" fillId="0" borderId="0" xfId="0" applyNumberFormat="1" applyAlignment="1">
      <alignment horizontal="center" vertical="center"/>
    </xf>
    <xf numFmtId="167" fontId="1" fillId="3" borderId="2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 applyProtection="1">
      <alignment vertical="center" wrapText="1" readingOrder="1"/>
      <protection hidden="1"/>
    </xf>
    <xf numFmtId="0" fontId="0" fillId="0" borderId="14" xfId="0" applyBorder="1"/>
    <xf numFmtId="0" fontId="0" fillId="0" borderId="11" xfId="0" applyBorder="1"/>
    <xf numFmtId="0" fontId="0" fillId="0" borderId="15" xfId="0" applyBorder="1"/>
    <xf numFmtId="0" fontId="0" fillId="0" borderId="3" xfId="0" applyBorder="1"/>
    <xf numFmtId="166" fontId="11" fillId="6" borderId="22" xfId="0" applyNumberFormat="1" applyFont="1" applyFill="1" applyBorder="1" applyAlignment="1" applyProtection="1">
      <alignment horizontal="center" vertical="center" wrapText="1" readingOrder="1"/>
      <protection hidden="1"/>
    </xf>
    <xf numFmtId="0" fontId="1" fillId="0" borderId="23" xfId="0" applyFont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 applyProtection="1">
      <alignment horizontal="center"/>
      <protection locked="0"/>
    </xf>
    <xf numFmtId="4" fontId="0" fillId="0" borderId="0" xfId="0" applyNumberFormat="1"/>
    <xf numFmtId="0" fontId="4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14" fontId="1" fillId="3" borderId="20" xfId="0" applyNumberFormat="1" applyFont="1" applyFill="1" applyBorder="1" applyAlignment="1">
      <alignment horizontal="center" vertical="center" wrapText="1"/>
    </xf>
    <xf numFmtId="14" fontId="1" fillId="3" borderId="21" xfId="0" applyNumberFormat="1" applyFont="1" applyFill="1" applyBorder="1" applyAlignment="1">
      <alignment horizontal="center" vertical="center" wrapText="1"/>
    </xf>
  </cellXfs>
  <cellStyles count="2">
    <cellStyle name="Excel Built-in Normal" xfId="1" xr:uid="{0CF1995F-0FC2-4AC6-AE13-7B7ED98EA146}"/>
    <cellStyle name="Звичайний" xfId="0" builtinId="0"/>
  </cellStyles>
  <dxfs count="5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gradientFill degree="180">
          <stop position="0">
            <color rgb="FFFF6600"/>
          </stop>
          <stop position="1">
            <color rgb="FFFFFF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541020</xdr:colOff>
      <xdr:row>0</xdr:row>
      <xdr:rowOff>0</xdr:rowOff>
    </xdr:from>
    <xdr:to>
      <xdr:col>6</xdr:col>
      <xdr:colOff>987013</xdr:colOff>
      <xdr:row>0</xdr:row>
      <xdr:rowOff>945030</xdr:rowOff>
    </xdr:to>
    <xdr:pic>
      <xdr:nvPicPr>
        <xdr:cNvPr id="2" name="Рисунок 1" descr="Source Naturals Vitamin and Herbal Supplement Provider Home Page">
          <a:extLst>
            <a:ext uri="{FF2B5EF4-FFF2-40B4-BE49-F238E27FC236}">
              <a16:creationId xmlns:a16="http://schemas.microsoft.com/office/drawing/2014/main" id="{9C1EBC7A-1B9D-4A08-9E01-4A623EABB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6220" y="0"/>
          <a:ext cx="1546860" cy="945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FA2C-CEF0-41E6-B58E-0B834ECDDC78}">
  <dimension ref="A1:S1627"/>
  <sheetViews>
    <sheetView tabSelected="1" zoomScale="85" zoomScaleNormal="85" workbookViewId="0">
      <pane ySplit="2" topLeftCell="A3" activePane="bottomLeft" state="frozen"/>
      <selection pane="bottomLeft" activeCell="L13" sqref="L13"/>
    </sheetView>
  </sheetViews>
  <sheetFormatPr defaultRowHeight="14.4" x14ac:dyDescent="0.3"/>
  <cols>
    <col min="1" max="1" width="13.109375" bestFit="1" customWidth="1"/>
    <col min="2" max="2" width="15.88671875" bestFit="1" customWidth="1"/>
    <col min="3" max="3" width="57.109375" customWidth="1"/>
    <col min="4" max="5" width="13.6640625" customWidth="1"/>
    <col min="6" max="6" width="15.77734375" bestFit="1" customWidth="1"/>
    <col min="7" max="7" width="15.77734375" customWidth="1"/>
    <col min="8" max="9" width="13.6640625" customWidth="1"/>
    <col min="10" max="10" width="8.88671875" style="10"/>
    <col min="11" max="11" width="11.33203125" style="1" customWidth="1"/>
    <col min="12" max="12" width="14" customWidth="1"/>
    <col min="14" max="14" width="10" customWidth="1"/>
    <col min="15" max="15" width="12.109375" bestFit="1" customWidth="1"/>
    <col min="16" max="17" width="10" customWidth="1"/>
    <col min="18" max="18" width="6.33203125" customWidth="1"/>
    <col min="19" max="19" width="12.33203125" customWidth="1"/>
  </cols>
  <sheetData>
    <row r="1" spans="1:19" ht="92.4" customHeight="1" thickBot="1" x14ac:dyDescent="0.35">
      <c r="A1" s="55" t="s">
        <v>1474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13">
        <v>46160</v>
      </c>
      <c r="N1" s="27" t="s">
        <v>2325</v>
      </c>
      <c r="O1" s="57" t="s">
        <v>2326</v>
      </c>
      <c r="P1" s="28" t="s">
        <v>1480</v>
      </c>
      <c r="Q1" s="33" t="s">
        <v>2327</v>
      </c>
      <c r="S1" s="36" t="str">
        <f>IFERROR(IF(SUM(S3:S1619)=0, "-", L2+Q2), "-")</f>
        <v>-</v>
      </c>
    </row>
    <row r="2" spans="1:19" ht="34.950000000000003" customHeight="1" thickBot="1" x14ac:dyDescent="0.35">
      <c r="A2" s="18" t="s">
        <v>1468</v>
      </c>
      <c r="B2" s="14" t="s">
        <v>1469</v>
      </c>
      <c r="C2" s="14" t="s">
        <v>1470</v>
      </c>
      <c r="D2" s="14" t="s">
        <v>2219</v>
      </c>
      <c r="E2" s="14" t="s">
        <v>2220</v>
      </c>
      <c r="F2" s="14" t="s">
        <v>1480</v>
      </c>
      <c r="G2" s="14" t="s">
        <v>3951</v>
      </c>
      <c r="H2" s="15" t="s">
        <v>1471</v>
      </c>
      <c r="I2" s="42" t="s">
        <v>3947</v>
      </c>
      <c r="J2" s="19" t="s">
        <v>1472</v>
      </c>
      <c r="K2" s="20" t="s">
        <v>1473</v>
      </c>
      <c r="L2" s="3">
        <f>SUM(K3:K1619)</f>
        <v>0</v>
      </c>
      <c r="M2" s="2"/>
      <c r="N2" s="34"/>
      <c r="O2" s="58"/>
      <c r="P2" s="29" t="str">
        <f>IF(SUM(P3:P1619)=0, "-", SUM(P3:P1619))</f>
        <v>-</v>
      </c>
      <c r="Q2" s="29" t="str">
        <f>IF(SUM(Q3:Q1619)=0, "-", SUM(Q3:Q1619))</f>
        <v>-</v>
      </c>
      <c r="R2" s="37"/>
      <c r="S2" s="30" t="s">
        <v>2328</v>
      </c>
    </row>
    <row r="3" spans="1:19" x14ac:dyDescent="0.3">
      <c r="A3" s="44" t="s">
        <v>2799</v>
      </c>
      <c r="B3" s="38" t="s">
        <v>1522</v>
      </c>
      <c r="C3" s="39" t="s">
        <v>1609</v>
      </c>
      <c r="D3" s="22" t="s">
        <v>2224</v>
      </c>
      <c r="E3" s="22" t="s">
        <v>2222</v>
      </c>
      <c r="F3" s="23">
        <v>0.15702233868474999</v>
      </c>
      <c r="G3" s="22">
        <v>12</v>
      </c>
      <c r="H3" s="16">
        <v>7.19</v>
      </c>
      <c r="I3" s="43" t="s">
        <v>3948</v>
      </c>
      <c r="J3" s="25"/>
      <c r="K3" s="16">
        <f t="shared" ref="K3:K66" si="0">J3*H3</f>
        <v>0</v>
      </c>
      <c r="M3" s="54"/>
      <c r="N3" s="31" t="str">
        <f t="shared" ref="N3:N66" si="1">IFERROR(IF($N$2*F3=0, "-", $N$2*F3), "-")</f>
        <v>-</v>
      </c>
      <c r="O3" s="31" t="str">
        <f>IFERROR(IF(N3&gt;0,H3+N3,"-"),"-")</f>
        <v>-</v>
      </c>
      <c r="P3" s="35" t="str">
        <f t="shared" ref="P3:P66" si="2">IF(J3&gt;0,J3*F3, "-")</f>
        <v>-</v>
      </c>
      <c r="Q3" s="32" t="str">
        <f>IFERROR(IF($N$2&gt;0, $N$2*P3, "-"), "-")</f>
        <v>-</v>
      </c>
      <c r="S3" s="32" t="str">
        <f>IFERROR(IF(Q3+K3=0, "-", IF(Q3&gt;0, Q3+K3, "-")), "-")</f>
        <v>-</v>
      </c>
    </row>
    <row r="4" spans="1:19" x14ac:dyDescent="0.3">
      <c r="A4" s="45" t="s">
        <v>2800</v>
      </c>
      <c r="B4" s="40" t="s">
        <v>69</v>
      </c>
      <c r="C4" s="41" t="s">
        <v>1609</v>
      </c>
      <c r="D4" s="21" t="s">
        <v>2227</v>
      </c>
      <c r="E4" s="21" t="s">
        <v>2222</v>
      </c>
      <c r="F4" s="24">
        <v>0.29087744707175006</v>
      </c>
      <c r="G4" s="21">
        <v>12</v>
      </c>
      <c r="H4" s="17">
        <v>13.19</v>
      </c>
      <c r="I4" s="43" t="s">
        <v>3948</v>
      </c>
      <c r="J4" s="26"/>
      <c r="K4" s="17">
        <f t="shared" si="0"/>
        <v>0</v>
      </c>
      <c r="N4" s="31" t="str">
        <f t="shared" si="1"/>
        <v>-</v>
      </c>
      <c r="O4" s="31" t="str">
        <f t="shared" ref="O4:O67" si="3">IFERROR(IF(N4&gt;0,H4+N4,"-"),"-")</f>
        <v>-</v>
      </c>
      <c r="P4" s="35" t="str">
        <f t="shared" si="2"/>
        <v>-</v>
      </c>
      <c r="Q4" s="32" t="str">
        <f t="shared" ref="Q4:Q67" si="4">IFERROR(IF($N$2&gt;0, $N$2*P4, "-"), "-")</f>
        <v>-</v>
      </c>
      <c r="S4" s="32" t="str">
        <f t="shared" ref="S4:S67" si="5">IFERROR(IF(Q4+K4=0, "-", IF(Q4&gt;0, Q4+K4, "-")), "-")</f>
        <v>-</v>
      </c>
    </row>
    <row r="5" spans="1:19" x14ac:dyDescent="0.3">
      <c r="A5" s="45" t="s">
        <v>3936</v>
      </c>
      <c r="B5" s="40" t="s">
        <v>2310</v>
      </c>
      <c r="C5" s="41" t="s">
        <v>1609</v>
      </c>
      <c r="D5" s="21" t="s">
        <v>2226</v>
      </c>
      <c r="E5" s="21" t="s">
        <v>2244</v>
      </c>
      <c r="F5" s="24">
        <v>0.25741366997500004</v>
      </c>
      <c r="G5" s="21">
        <v>12</v>
      </c>
      <c r="H5" s="17">
        <v>14.1</v>
      </c>
      <c r="I5" s="43" t="s">
        <v>3948</v>
      </c>
      <c r="J5" s="26"/>
      <c r="K5" s="17">
        <f t="shared" si="0"/>
        <v>0</v>
      </c>
      <c r="N5" s="31" t="str">
        <f t="shared" si="1"/>
        <v>-</v>
      </c>
      <c r="O5" s="31" t="str">
        <f t="shared" si="3"/>
        <v>-</v>
      </c>
      <c r="P5" s="35" t="str">
        <f t="shared" si="2"/>
        <v>-</v>
      </c>
      <c r="Q5" s="32" t="str">
        <f t="shared" si="4"/>
        <v>-</v>
      </c>
      <c r="S5" s="32" t="str">
        <f t="shared" si="5"/>
        <v>-</v>
      </c>
    </row>
    <row r="6" spans="1:19" x14ac:dyDescent="0.3">
      <c r="A6" s="45" t="s">
        <v>2343</v>
      </c>
      <c r="B6" s="40" t="s">
        <v>186</v>
      </c>
      <c r="C6" s="41" t="s">
        <v>1609</v>
      </c>
      <c r="D6" s="21" t="s">
        <v>2233</v>
      </c>
      <c r="E6" s="21" t="s">
        <v>2222</v>
      </c>
      <c r="F6" s="24">
        <v>0.55815864106245838</v>
      </c>
      <c r="G6" s="21">
        <v>12</v>
      </c>
      <c r="H6" s="17">
        <v>25.19</v>
      </c>
      <c r="I6" s="43" t="s">
        <v>3949</v>
      </c>
      <c r="J6" s="26"/>
      <c r="K6" s="17">
        <f t="shared" si="0"/>
        <v>0</v>
      </c>
      <c r="N6" s="31" t="str">
        <f t="shared" si="1"/>
        <v>-</v>
      </c>
      <c r="O6" s="31" t="str">
        <f t="shared" si="3"/>
        <v>-</v>
      </c>
      <c r="P6" s="35" t="str">
        <f t="shared" si="2"/>
        <v>-</v>
      </c>
      <c r="Q6" s="32" t="str">
        <f t="shared" si="4"/>
        <v>-</v>
      </c>
      <c r="S6" s="32" t="str">
        <f t="shared" si="5"/>
        <v>-</v>
      </c>
    </row>
    <row r="7" spans="1:19" x14ac:dyDescent="0.3">
      <c r="A7" s="45" t="s">
        <v>2427</v>
      </c>
      <c r="B7" s="40" t="s">
        <v>1323</v>
      </c>
      <c r="C7" s="41" t="s">
        <v>1655</v>
      </c>
      <c r="D7" s="21" t="s">
        <v>2221</v>
      </c>
      <c r="E7" s="21" t="s">
        <v>2222</v>
      </c>
      <c r="F7" s="24">
        <v>0.22394989287825001</v>
      </c>
      <c r="G7" s="21">
        <v>12</v>
      </c>
      <c r="H7" s="17">
        <v>8.39</v>
      </c>
      <c r="I7" s="43" t="s">
        <v>3949</v>
      </c>
      <c r="J7" s="26"/>
      <c r="K7" s="17">
        <f t="shared" si="0"/>
        <v>0</v>
      </c>
      <c r="N7" s="31" t="str">
        <f t="shared" si="1"/>
        <v>-</v>
      </c>
      <c r="O7" s="31" t="str">
        <f t="shared" si="3"/>
        <v>-</v>
      </c>
      <c r="P7" s="35" t="str">
        <f t="shared" si="2"/>
        <v>-</v>
      </c>
      <c r="Q7" s="32" t="str">
        <f t="shared" si="4"/>
        <v>-</v>
      </c>
      <c r="S7" s="32" t="str">
        <f t="shared" si="5"/>
        <v>-</v>
      </c>
    </row>
    <row r="8" spans="1:19" x14ac:dyDescent="0.3">
      <c r="A8" s="45" t="s">
        <v>2507</v>
      </c>
      <c r="B8" s="40" t="s">
        <v>1309</v>
      </c>
      <c r="C8" s="41" t="s">
        <v>1701</v>
      </c>
      <c r="D8" s="21" t="s">
        <v>2225</v>
      </c>
      <c r="E8" s="21" t="s">
        <v>2222</v>
      </c>
      <c r="F8" s="24">
        <v>0.21279530051266668</v>
      </c>
      <c r="G8" s="21">
        <v>12</v>
      </c>
      <c r="H8" s="17">
        <v>8.39</v>
      </c>
      <c r="I8" s="43" t="s">
        <v>3949</v>
      </c>
      <c r="J8" s="26"/>
      <c r="K8" s="17">
        <f t="shared" si="0"/>
        <v>0</v>
      </c>
      <c r="N8" s="31" t="str">
        <f t="shared" si="1"/>
        <v>-</v>
      </c>
      <c r="O8" s="31" t="str">
        <f t="shared" si="3"/>
        <v>-</v>
      </c>
      <c r="P8" s="35" t="str">
        <f t="shared" si="2"/>
        <v>-</v>
      </c>
      <c r="Q8" s="32" t="str">
        <f t="shared" si="4"/>
        <v>-</v>
      </c>
      <c r="S8" s="32" t="str">
        <f t="shared" si="5"/>
        <v>-</v>
      </c>
    </row>
    <row r="9" spans="1:19" x14ac:dyDescent="0.3">
      <c r="A9" s="45" t="s">
        <v>2508</v>
      </c>
      <c r="B9" s="40" t="s">
        <v>512</v>
      </c>
      <c r="C9" s="41" t="s">
        <v>1701</v>
      </c>
      <c r="D9" s="21" t="s">
        <v>2226</v>
      </c>
      <c r="E9" s="21" t="s">
        <v>2222</v>
      </c>
      <c r="F9" s="24">
        <v>0.39298486949516664</v>
      </c>
      <c r="G9" s="21">
        <v>12</v>
      </c>
      <c r="H9" s="17">
        <v>15.59</v>
      </c>
      <c r="I9" s="43" t="s">
        <v>3949</v>
      </c>
      <c r="J9" s="26"/>
      <c r="K9" s="17">
        <f t="shared" si="0"/>
        <v>0</v>
      </c>
      <c r="N9" s="31" t="str">
        <f t="shared" si="1"/>
        <v>-</v>
      </c>
      <c r="O9" s="31" t="str">
        <f t="shared" si="3"/>
        <v>-</v>
      </c>
      <c r="P9" s="35" t="str">
        <f t="shared" si="2"/>
        <v>-</v>
      </c>
      <c r="Q9" s="32" t="str">
        <f t="shared" si="4"/>
        <v>-</v>
      </c>
      <c r="S9" s="32" t="str">
        <f t="shared" si="5"/>
        <v>-</v>
      </c>
    </row>
    <row r="10" spans="1:19" x14ac:dyDescent="0.3">
      <c r="A10" s="45" t="s">
        <v>2536</v>
      </c>
      <c r="B10" s="40" t="s">
        <v>264</v>
      </c>
      <c r="C10" s="41" t="s">
        <v>1716</v>
      </c>
      <c r="D10" s="21" t="s">
        <v>2221</v>
      </c>
      <c r="E10" s="21" t="s">
        <v>2222</v>
      </c>
      <c r="F10" s="24">
        <v>0.13642924508675</v>
      </c>
      <c r="G10" s="21">
        <v>12</v>
      </c>
      <c r="H10" s="17">
        <v>5.0999999999999996</v>
      </c>
      <c r="I10" s="43" t="s">
        <v>3949</v>
      </c>
      <c r="J10" s="26"/>
      <c r="K10" s="17">
        <f t="shared" si="0"/>
        <v>0</v>
      </c>
      <c r="N10" s="31" t="str">
        <f t="shared" si="1"/>
        <v>-</v>
      </c>
      <c r="O10" s="31" t="str">
        <f t="shared" si="3"/>
        <v>-</v>
      </c>
      <c r="P10" s="35" t="str">
        <f t="shared" si="2"/>
        <v>-</v>
      </c>
      <c r="Q10" s="32" t="str">
        <f t="shared" si="4"/>
        <v>-</v>
      </c>
      <c r="S10" s="32" t="str">
        <f t="shared" si="5"/>
        <v>-</v>
      </c>
    </row>
    <row r="11" spans="1:19" x14ac:dyDescent="0.3">
      <c r="A11" s="45" t="s">
        <v>2537</v>
      </c>
      <c r="B11" s="40" t="s">
        <v>1</v>
      </c>
      <c r="C11" s="41" t="s">
        <v>1716</v>
      </c>
      <c r="D11" s="21" t="s">
        <v>2245</v>
      </c>
      <c r="E11" s="21" t="s">
        <v>2222</v>
      </c>
      <c r="F11" s="24">
        <v>0.32090904190216674</v>
      </c>
      <c r="G11" s="21">
        <v>12</v>
      </c>
      <c r="H11" s="17">
        <v>11.99</v>
      </c>
      <c r="I11" s="43" t="s">
        <v>3949</v>
      </c>
      <c r="J11" s="26"/>
      <c r="K11" s="17">
        <f t="shared" si="0"/>
        <v>0</v>
      </c>
      <c r="N11" s="31" t="str">
        <f t="shared" si="1"/>
        <v>-</v>
      </c>
      <c r="O11" s="31" t="str">
        <f t="shared" si="3"/>
        <v>-</v>
      </c>
      <c r="P11" s="35" t="str">
        <f t="shared" si="2"/>
        <v>-</v>
      </c>
      <c r="Q11" s="32" t="str">
        <f t="shared" si="4"/>
        <v>-</v>
      </c>
      <c r="S11" s="32" t="str">
        <f t="shared" si="5"/>
        <v>-</v>
      </c>
    </row>
    <row r="12" spans="1:19" x14ac:dyDescent="0.3">
      <c r="A12" s="45" t="s">
        <v>2541</v>
      </c>
      <c r="B12" s="40" t="s">
        <v>891</v>
      </c>
      <c r="C12" s="41" t="s">
        <v>1718</v>
      </c>
      <c r="D12" s="21" t="s">
        <v>2230</v>
      </c>
      <c r="E12" s="21" t="s">
        <v>2229</v>
      </c>
      <c r="F12" s="24">
        <v>0.10307272368582292</v>
      </c>
      <c r="G12" s="21">
        <v>48</v>
      </c>
      <c r="H12" s="17">
        <v>8.6999999999999993</v>
      </c>
      <c r="I12" s="43" t="s">
        <v>3949</v>
      </c>
      <c r="J12" s="26"/>
      <c r="K12" s="17">
        <f t="shared" si="0"/>
        <v>0</v>
      </c>
      <c r="N12" s="31" t="str">
        <f t="shared" si="1"/>
        <v>-</v>
      </c>
      <c r="O12" s="31" t="str">
        <f t="shared" si="3"/>
        <v>-</v>
      </c>
      <c r="P12" s="35" t="str">
        <f t="shared" si="2"/>
        <v>-</v>
      </c>
      <c r="Q12" s="32" t="str">
        <f t="shared" si="4"/>
        <v>-</v>
      </c>
      <c r="S12" s="32" t="str">
        <f t="shared" si="5"/>
        <v>-</v>
      </c>
    </row>
    <row r="13" spans="1:19" x14ac:dyDescent="0.3">
      <c r="A13" s="45" t="s">
        <v>2555</v>
      </c>
      <c r="B13" s="40" t="s">
        <v>1497</v>
      </c>
      <c r="C13" s="41" t="s">
        <v>1726</v>
      </c>
      <c r="D13" s="21" t="s">
        <v>2239</v>
      </c>
      <c r="E13" s="21" t="s">
        <v>2222</v>
      </c>
      <c r="F13" s="24">
        <v>0.12484562993787501</v>
      </c>
      <c r="G13" s="21">
        <v>12</v>
      </c>
      <c r="H13" s="17">
        <v>6.3</v>
      </c>
      <c r="I13" s="43" t="s">
        <v>3949</v>
      </c>
      <c r="J13" s="26"/>
      <c r="K13" s="17">
        <f t="shared" si="0"/>
        <v>0</v>
      </c>
      <c r="N13" s="31" t="str">
        <f t="shared" si="1"/>
        <v>-</v>
      </c>
      <c r="O13" s="31" t="str">
        <f t="shared" si="3"/>
        <v>-</v>
      </c>
      <c r="P13" s="35" t="str">
        <f t="shared" si="2"/>
        <v>-</v>
      </c>
      <c r="Q13" s="32" t="str">
        <f t="shared" si="4"/>
        <v>-</v>
      </c>
      <c r="S13" s="32" t="str">
        <f t="shared" si="5"/>
        <v>-</v>
      </c>
    </row>
    <row r="14" spans="1:19" x14ac:dyDescent="0.3">
      <c r="A14" s="45" t="s">
        <v>2556</v>
      </c>
      <c r="B14" s="40" t="s">
        <v>1498</v>
      </c>
      <c r="C14" s="41" t="s">
        <v>1726</v>
      </c>
      <c r="D14" s="21" t="s">
        <v>2221</v>
      </c>
      <c r="E14" s="21" t="s">
        <v>2222</v>
      </c>
      <c r="F14" s="24">
        <v>0.2333883941106667</v>
      </c>
      <c r="G14" s="21">
        <v>12</v>
      </c>
      <c r="H14" s="17">
        <v>11.7</v>
      </c>
      <c r="I14" s="43" t="s">
        <v>3949</v>
      </c>
      <c r="J14" s="26"/>
      <c r="K14" s="17">
        <f t="shared" si="0"/>
        <v>0</v>
      </c>
      <c r="N14" s="31" t="str">
        <f t="shared" si="1"/>
        <v>-</v>
      </c>
      <c r="O14" s="31" t="str">
        <f t="shared" si="3"/>
        <v>-</v>
      </c>
      <c r="P14" s="35" t="str">
        <f t="shared" si="2"/>
        <v>-</v>
      </c>
      <c r="Q14" s="32" t="str">
        <f t="shared" si="4"/>
        <v>-</v>
      </c>
      <c r="S14" s="32" t="str">
        <f t="shared" si="5"/>
        <v>-</v>
      </c>
    </row>
    <row r="15" spans="1:19" x14ac:dyDescent="0.3">
      <c r="A15" s="45" t="s">
        <v>2656</v>
      </c>
      <c r="B15" s="40" t="s">
        <v>1061</v>
      </c>
      <c r="C15" s="41" t="s">
        <v>1763</v>
      </c>
      <c r="D15" s="21" t="s">
        <v>2224</v>
      </c>
      <c r="E15" s="21" t="s">
        <v>2222</v>
      </c>
      <c r="F15" s="24">
        <v>4.5476415028916667E-2</v>
      </c>
      <c r="G15" s="21">
        <v>12</v>
      </c>
      <c r="H15" s="17">
        <v>6.9</v>
      </c>
      <c r="I15" s="43" t="s">
        <v>3949</v>
      </c>
      <c r="J15" s="26"/>
      <c r="K15" s="17">
        <f t="shared" si="0"/>
        <v>0</v>
      </c>
      <c r="N15" s="31" t="str">
        <f t="shared" si="1"/>
        <v>-</v>
      </c>
      <c r="O15" s="31" t="str">
        <f t="shared" si="3"/>
        <v>-</v>
      </c>
      <c r="P15" s="35" t="str">
        <f t="shared" si="2"/>
        <v>-</v>
      </c>
      <c r="Q15" s="32" t="str">
        <f t="shared" si="4"/>
        <v>-</v>
      </c>
      <c r="S15" s="32" t="str">
        <f t="shared" si="5"/>
        <v>-</v>
      </c>
    </row>
    <row r="16" spans="1:19" x14ac:dyDescent="0.3">
      <c r="A16" s="45" t="s">
        <v>2725</v>
      </c>
      <c r="B16" s="40" t="s">
        <v>1509</v>
      </c>
      <c r="C16" s="41" t="s">
        <v>1791</v>
      </c>
      <c r="D16" s="21" t="s">
        <v>2221</v>
      </c>
      <c r="E16" s="21" t="s">
        <v>2222</v>
      </c>
      <c r="F16" s="24">
        <v>0.10039133129024999</v>
      </c>
      <c r="G16" s="21">
        <v>12</v>
      </c>
      <c r="H16" s="17">
        <v>6.45</v>
      </c>
      <c r="I16" s="43" t="s">
        <v>3949</v>
      </c>
      <c r="J16" s="26"/>
      <c r="K16" s="17">
        <f t="shared" si="0"/>
        <v>0</v>
      </c>
      <c r="N16" s="31" t="str">
        <f t="shared" si="1"/>
        <v>-</v>
      </c>
      <c r="O16" s="31" t="str">
        <f t="shared" si="3"/>
        <v>-</v>
      </c>
      <c r="P16" s="35" t="str">
        <f t="shared" si="2"/>
        <v>-</v>
      </c>
      <c r="Q16" s="32" t="str">
        <f t="shared" si="4"/>
        <v>-</v>
      </c>
      <c r="S16" s="32" t="str">
        <f t="shared" si="5"/>
        <v>-</v>
      </c>
    </row>
    <row r="17" spans="1:19" x14ac:dyDescent="0.3">
      <c r="A17" s="45" t="s">
        <v>2787</v>
      </c>
      <c r="B17" s="40" t="s">
        <v>743</v>
      </c>
      <c r="C17" s="41" t="s">
        <v>1640</v>
      </c>
      <c r="D17" s="21" t="s">
        <v>2224</v>
      </c>
      <c r="E17" s="21" t="s">
        <v>2222</v>
      </c>
      <c r="F17" s="24">
        <v>4.5476415028916667E-2</v>
      </c>
      <c r="G17" s="21">
        <v>12</v>
      </c>
      <c r="H17" s="17">
        <v>4.1900000000000004</v>
      </c>
      <c r="I17" s="43" t="s">
        <v>3949</v>
      </c>
      <c r="J17" s="26"/>
      <c r="K17" s="17">
        <f t="shared" si="0"/>
        <v>0</v>
      </c>
      <c r="N17" s="31" t="str">
        <f t="shared" si="1"/>
        <v>-</v>
      </c>
      <c r="O17" s="31" t="str">
        <f t="shared" si="3"/>
        <v>-</v>
      </c>
      <c r="P17" s="35" t="str">
        <f t="shared" si="2"/>
        <v>-</v>
      </c>
      <c r="Q17" s="32" t="str">
        <f t="shared" si="4"/>
        <v>-</v>
      </c>
      <c r="S17" s="32" t="str">
        <f t="shared" si="5"/>
        <v>-</v>
      </c>
    </row>
    <row r="18" spans="1:19" x14ac:dyDescent="0.3">
      <c r="A18" s="45" t="s">
        <v>2791</v>
      </c>
      <c r="B18" s="40" t="s">
        <v>18</v>
      </c>
      <c r="C18" s="41" t="s">
        <v>1812</v>
      </c>
      <c r="D18" s="21" t="s">
        <v>2255</v>
      </c>
      <c r="E18" s="21" t="s">
        <v>2240</v>
      </c>
      <c r="F18" s="24">
        <v>0.48908597295250011</v>
      </c>
      <c r="G18" s="21">
        <v>12</v>
      </c>
      <c r="H18" s="17">
        <v>11.85</v>
      </c>
      <c r="I18" s="43" t="s">
        <v>3949</v>
      </c>
      <c r="J18" s="26"/>
      <c r="K18" s="17">
        <f t="shared" si="0"/>
        <v>0</v>
      </c>
      <c r="N18" s="31" t="str">
        <f t="shared" si="1"/>
        <v>-</v>
      </c>
      <c r="O18" s="31" t="str">
        <f t="shared" si="3"/>
        <v>-</v>
      </c>
      <c r="P18" s="35" t="str">
        <f t="shared" si="2"/>
        <v>-</v>
      </c>
      <c r="Q18" s="32" t="str">
        <f t="shared" si="4"/>
        <v>-</v>
      </c>
      <c r="S18" s="32" t="str">
        <f t="shared" si="5"/>
        <v>-</v>
      </c>
    </row>
    <row r="19" spans="1:19" x14ac:dyDescent="0.3">
      <c r="A19" s="45" t="s">
        <v>2814</v>
      </c>
      <c r="B19" s="40" t="s">
        <v>231</v>
      </c>
      <c r="C19" s="41" t="s">
        <v>1672</v>
      </c>
      <c r="D19" s="21" t="s">
        <v>2224</v>
      </c>
      <c r="E19" s="21" t="s">
        <v>2222</v>
      </c>
      <c r="F19" s="24">
        <v>5.0624688428416671E-2</v>
      </c>
      <c r="G19" s="21">
        <v>12</v>
      </c>
      <c r="H19" s="17">
        <v>5.0999999999999996</v>
      </c>
      <c r="I19" s="43" t="s">
        <v>3949</v>
      </c>
      <c r="J19" s="26"/>
      <c r="K19" s="17">
        <f t="shared" si="0"/>
        <v>0</v>
      </c>
      <c r="N19" s="31" t="str">
        <f t="shared" si="1"/>
        <v>-</v>
      </c>
      <c r="O19" s="31" t="str">
        <f t="shared" si="3"/>
        <v>-</v>
      </c>
      <c r="P19" s="35" t="str">
        <f t="shared" si="2"/>
        <v>-</v>
      </c>
      <c r="Q19" s="32" t="str">
        <f t="shared" si="4"/>
        <v>-</v>
      </c>
      <c r="S19" s="32" t="str">
        <f t="shared" si="5"/>
        <v>-</v>
      </c>
    </row>
    <row r="20" spans="1:19" x14ac:dyDescent="0.3">
      <c r="A20" s="45" t="s">
        <v>2937</v>
      </c>
      <c r="B20" s="40" t="s">
        <v>545</v>
      </c>
      <c r="C20" s="41" t="s">
        <v>1860</v>
      </c>
      <c r="D20" s="21" t="s">
        <v>2224</v>
      </c>
      <c r="E20" s="21" t="s">
        <v>2222</v>
      </c>
      <c r="F20" s="24">
        <v>0.13642924508675</v>
      </c>
      <c r="G20" s="21">
        <v>12</v>
      </c>
      <c r="H20" s="17">
        <v>11.99</v>
      </c>
      <c r="I20" s="43" t="s">
        <v>3949</v>
      </c>
      <c r="J20" s="26"/>
      <c r="K20" s="17">
        <f t="shared" si="0"/>
        <v>0</v>
      </c>
      <c r="N20" s="31" t="str">
        <f t="shared" si="1"/>
        <v>-</v>
      </c>
      <c r="O20" s="31" t="str">
        <f t="shared" si="3"/>
        <v>-</v>
      </c>
      <c r="P20" s="35" t="str">
        <f t="shared" si="2"/>
        <v>-</v>
      </c>
      <c r="Q20" s="32" t="str">
        <f t="shared" si="4"/>
        <v>-</v>
      </c>
      <c r="S20" s="32" t="str">
        <f t="shared" si="5"/>
        <v>-</v>
      </c>
    </row>
    <row r="21" spans="1:19" x14ac:dyDescent="0.3">
      <c r="A21" s="45" t="s">
        <v>3048</v>
      </c>
      <c r="B21" s="40" t="s">
        <v>432</v>
      </c>
      <c r="C21" s="41" t="s">
        <v>1908</v>
      </c>
      <c r="D21" s="21" t="s">
        <v>2224</v>
      </c>
      <c r="E21" s="21" t="s">
        <v>2222</v>
      </c>
      <c r="F21" s="24">
        <v>4.5476415028916667E-2</v>
      </c>
      <c r="G21" s="21">
        <v>12</v>
      </c>
      <c r="H21" s="17">
        <v>3.9</v>
      </c>
      <c r="I21" s="43" t="s">
        <v>3949</v>
      </c>
      <c r="J21" s="26"/>
      <c r="K21" s="17">
        <f t="shared" si="0"/>
        <v>0</v>
      </c>
      <c r="N21" s="31" t="str">
        <f t="shared" si="1"/>
        <v>-</v>
      </c>
      <c r="O21" s="31" t="str">
        <f t="shared" si="3"/>
        <v>-</v>
      </c>
      <c r="P21" s="35" t="str">
        <f t="shared" si="2"/>
        <v>-</v>
      </c>
      <c r="Q21" s="32" t="str">
        <f t="shared" si="4"/>
        <v>-</v>
      </c>
      <c r="S21" s="32" t="str">
        <f t="shared" si="5"/>
        <v>-</v>
      </c>
    </row>
    <row r="22" spans="1:19" x14ac:dyDescent="0.3">
      <c r="A22" s="45" t="s">
        <v>3193</v>
      </c>
      <c r="B22" s="40" t="s">
        <v>754</v>
      </c>
      <c r="C22" s="41" t="s">
        <v>1957</v>
      </c>
      <c r="D22" s="21" t="s">
        <v>2221</v>
      </c>
      <c r="E22" s="21" t="s">
        <v>2234</v>
      </c>
      <c r="F22" s="24">
        <v>0.15101601971866668</v>
      </c>
      <c r="G22" s="21">
        <v>12</v>
      </c>
      <c r="H22" s="17">
        <v>7.65</v>
      </c>
      <c r="I22" s="43" t="s">
        <v>3949</v>
      </c>
      <c r="J22" s="26"/>
      <c r="K22" s="17">
        <f t="shared" si="0"/>
        <v>0</v>
      </c>
      <c r="N22" s="31" t="str">
        <f t="shared" si="1"/>
        <v>-</v>
      </c>
      <c r="O22" s="31" t="str">
        <f t="shared" si="3"/>
        <v>-</v>
      </c>
      <c r="P22" s="35" t="str">
        <f t="shared" si="2"/>
        <v>-</v>
      </c>
      <c r="Q22" s="32" t="str">
        <f t="shared" si="4"/>
        <v>-</v>
      </c>
      <c r="S22" s="32" t="str">
        <f t="shared" si="5"/>
        <v>-</v>
      </c>
    </row>
    <row r="23" spans="1:19" x14ac:dyDescent="0.3">
      <c r="A23" s="45" t="s">
        <v>3450</v>
      </c>
      <c r="B23" s="40" t="s">
        <v>1230</v>
      </c>
      <c r="C23" s="41" t="s">
        <v>2043</v>
      </c>
      <c r="D23" s="21" t="s">
        <v>2224</v>
      </c>
      <c r="E23" s="21" t="s">
        <v>2232</v>
      </c>
      <c r="F23" s="24">
        <v>0.15444820198499998</v>
      </c>
      <c r="G23" s="21">
        <v>12</v>
      </c>
      <c r="H23" s="17">
        <v>12.59</v>
      </c>
      <c r="I23" s="43" t="s">
        <v>3949</v>
      </c>
      <c r="J23" s="26"/>
      <c r="K23" s="17">
        <f t="shared" si="0"/>
        <v>0</v>
      </c>
      <c r="N23" s="31" t="str">
        <f t="shared" si="1"/>
        <v>-</v>
      </c>
      <c r="O23" s="31" t="str">
        <f t="shared" si="3"/>
        <v>-</v>
      </c>
      <c r="P23" s="35" t="str">
        <f t="shared" si="2"/>
        <v>-</v>
      </c>
      <c r="Q23" s="32" t="str">
        <f t="shared" si="4"/>
        <v>-</v>
      </c>
      <c r="S23" s="32" t="str">
        <f t="shared" si="5"/>
        <v>-</v>
      </c>
    </row>
    <row r="24" spans="1:19" x14ac:dyDescent="0.3">
      <c r="A24" s="45" t="s">
        <v>3515</v>
      </c>
      <c r="B24" s="40" t="s">
        <v>1416</v>
      </c>
      <c r="C24" s="41" t="s">
        <v>2063</v>
      </c>
      <c r="D24" s="21" t="s">
        <v>2225</v>
      </c>
      <c r="E24" s="21" t="s">
        <v>2234</v>
      </c>
      <c r="F24" s="24">
        <v>0.14586774631916669</v>
      </c>
      <c r="G24" s="21">
        <v>12</v>
      </c>
      <c r="H24" s="17">
        <v>9.59</v>
      </c>
      <c r="I24" s="43" t="s">
        <v>3949</v>
      </c>
      <c r="J24" s="26"/>
      <c r="K24" s="17">
        <f t="shared" si="0"/>
        <v>0</v>
      </c>
      <c r="N24" s="31" t="str">
        <f t="shared" si="1"/>
        <v>-</v>
      </c>
      <c r="O24" s="31" t="str">
        <f t="shared" si="3"/>
        <v>-</v>
      </c>
      <c r="P24" s="35" t="str">
        <f t="shared" si="2"/>
        <v>-</v>
      </c>
      <c r="Q24" s="32" t="str">
        <f t="shared" si="4"/>
        <v>-</v>
      </c>
      <c r="S24" s="32" t="str">
        <f t="shared" si="5"/>
        <v>-</v>
      </c>
    </row>
    <row r="25" spans="1:19" x14ac:dyDescent="0.3">
      <c r="A25" s="45" t="s">
        <v>3523</v>
      </c>
      <c r="B25" s="40" t="s">
        <v>581</v>
      </c>
      <c r="C25" s="41" t="s">
        <v>2067</v>
      </c>
      <c r="D25" s="21" t="s">
        <v>2224</v>
      </c>
      <c r="E25" s="21" t="s">
        <v>2222</v>
      </c>
      <c r="F25" s="24">
        <v>0.16995737560099378</v>
      </c>
      <c r="G25" s="21">
        <v>12</v>
      </c>
      <c r="H25" s="17">
        <v>7.65</v>
      </c>
      <c r="I25" s="43" t="s">
        <v>3949</v>
      </c>
      <c r="J25" s="26"/>
      <c r="K25" s="17">
        <f t="shared" si="0"/>
        <v>0</v>
      </c>
      <c r="N25" s="31" t="str">
        <f t="shared" si="1"/>
        <v>-</v>
      </c>
      <c r="O25" s="31" t="str">
        <f t="shared" si="3"/>
        <v>-</v>
      </c>
      <c r="P25" s="35" t="str">
        <f t="shared" si="2"/>
        <v>-</v>
      </c>
      <c r="Q25" s="32" t="str">
        <f t="shared" si="4"/>
        <v>-</v>
      </c>
      <c r="S25" s="32" t="str">
        <f t="shared" si="5"/>
        <v>-</v>
      </c>
    </row>
    <row r="26" spans="1:19" x14ac:dyDescent="0.3">
      <c r="A26" s="45" t="s">
        <v>3524</v>
      </c>
      <c r="B26" s="40" t="s">
        <v>1362</v>
      </c>
      <c r="C26" s="41" t="s">
        <v>2067</v>
      </c>
      <c r="D26" s="21" t="s">
        <v>2227</v>
      </c>
      <c r="E26" s="21" t="s">
        <v>2222</v>
      </c>
      <c r="F26" s="24">
        <v>0.29705537515115005</v>
      </c>
      <c r="G26" s="21">
        <v>12</v>
      </c>
      <c r="H26" s="17">
        <v>14.1</v>
      </c>
      <c r="I26" s="43" t="s">
        <v>3949</v>
      </c>
      <c r="J26" s="26"/>
      <c r="K26" s="17">
        <f t="shared" si="0"/>
        <v>0</v>
      </c>
      <c r="N26" s="31" t="str">
        <f t="shared" si="1"/>
        <v>-</v>
      </c>
      <c r="O26" s="31" t="str">
        <f t="shared" si="3"/>
        <v>-</v>
      </c>
      <c r="P26" s="35" t="str">
        <f t="shared" si="2"/>
        <v>-</v>
      </c>
      <c r="Q26" s="32" t="str">
        <f t="shared" si="4"/>
        <v>-</v>
      </c>
      <c r="S26" s="32" t="str">
        <f t="shared" si="5"/>
        <v>-</v>
      </c>
    </row>
    <row r="27" spans="1:19" x14ac:dyDescent="0.3">
      <c r="A27" s="45" t="s">
        <v>3534</v>
      </c>
      <c r="B27" s="40" t="s">
        <v>633</v>
      </c>
      <c r="C27" s="41" t="s">
        <v>2071</v>
      </c>
      <c r="D27" s="21" t="s">
        <v>2221</v>
      </c>
      <c r="E27" s="21" t="s">
        <v>2234</v>
      </c>
      <c r="F27" s="24">
        <v>8.7520647791500011E-2</v>
      </c>
      <c r="G27" s="21">
        <v>12</v>
      </c>
      <c r="H27" s="17">
        <v>5.99</v>
      </c>
      <c r="I27" s="43" t="s">
        <v>3949</v>
      </c>
      <c r="J27" s="26"/>
      <c r="K27" s="17">
        <f t="shared" si="0"/>
        <v>0</v>
      </c>
      <c r="N27" s="31" t="str">
        <f t="shared" si="1"/>
        <v>-</v>
      </c>
      <c r="O27" s="31" t="str">
        <f t="shared" si="3"/>
        <v>-</v>
      </c>
      <c r="P27" s="35" t="str">
        <f t="shared" si="2"/>
        <v>-</v>
      </c>
      <c r="Q27" s="32" t="str">
        <f t="shared" si="4"/>
        <v>-</v>
      </c>
      <c r="S27" s="32" t="str">
        <f t="shared" si="5"/>
        <v>-</v>
      </c>
    </row>
    <row r="28" spans="1:19" x14ac:dyDescent="0.3">
      <c r="A28" s="45" t="s">
        <v>3767</v>
      </c>
      <c r="B28" s="40" t="s">
        <v>1458</v>
      </c>
      <c r="C28" s="41" t="s">
        <v>2158</v>
      </c>
      <c r="D28" s="21" t="s">
        <v>2223</v>
      </c>
      <c r="E28" s="21" t="s">
        <v>2222</v>
      </c>
      <c r="F28" s="24">
        <v>6.0234798774149993E-2</v>
      </c>
      <c r="G28" s="21">
        <v>12</v>
      </c>
      <c r="H28" s="17">
        <v>6.3</v>
      </c>
      <c r="I28" s="43" t="s">
        <v>3949</v>
      </c>
      <c r="J28" s="26"/>
      <c r="K28" s="17">
        <f t="shared" si="0"/>
        <v>0</v>
      </c>
      <c r="N28" s="31" t="str">
        <f t="shared" si="1"/>
        <v>-</v>
      </c>
      <c r="O28" s="31" t="str">
        <f t="shared" si="3"/>
        <v>-</v>
      </c>
      <c r="P28" s="35" t="str">
        <f t="shared" si="2"/>
        <v>-</v>
      </c>
      <c r="Q28" s="32" t="str">
        <f t="shared" si="4"/>
        <v>-</v>
      </c>
      <c r="S28" s="32" t="str">
        <f t="shared" si="5"/>
        <v>-</v>
      </c>
    </row>
    <row r="29" spans="1:19" x14ac:dyDescent="0.3">
      <c r="A29" s="45" t="s">
        <v>3768</v>
      </c>
      <c r="B29" s="40" t="s">
        <v>466</v>
      </c>
      <c r="C29" s="41" t="s">
        <v>2158</v>
      </c>
      <c r="D29" s="21" t="s">
        <v>2224</v>
      </c>
      <c r="E29" s="21" t="s">
        <v>2222</v>
      </c>
      <c r="F29" s="24">
        <v>8.9579957151300002E-2</v>
      </c>
      <c r="G29" s="21">
        <v>12</v>
      </c>
      <c r="H29" s="17">
        <v>10.79</v>
      </c>
      <c r="I29" s="43" t="s">
        <v>3949</v>
      </c>
      <c r="J29" s="26"/>
      <c r="K29" s="17">
        <f t="shared" si="0"/>
        <v>0</v>
      </c>
      <c r="N29" s="31" t="str">
        <f t="shared" si="1"/>
        <v>-</v>
      </c>
      <c r="O29" s="31" t="str">
        <f t="shared" si="3"/>
        <v>-</v>
      </c>
      <c r="P29" s="35" t="str">
        <f t="shared" si="2"/>
        <v>-</v>
      </c>
      <c r="Q29" s="32" t="str">
        <f t="shared" si="4"/>
        <v>-</v>
      </c>
      <c r="S29" s="32" t="str">
        <f t="shared" si="5"/>
        <v>-</v>
      </c>
    </row>
    <row r="30" spans="1:19" x14ac:dyDescent="0.3">
      <c r="A30" s="45" t="s">
        <v>3881</v>
      </c>
      <c r="B30" s="40" t="s">
        <v>274</v>
      </c>
      <c r="C30" s="41" t="s">
        <v>2197</v>
      </c>
      <c r="D30" s="21" t="s">
        <v>2224</v>
      </c>
      <c r="E30" s="21" t="s">
        <v>2244</v>
      </c>
      <c r="F30" s="24">
        <v>9.009478449125001E-2</v>
      </c>
      <c r="G30" s="21">
        <v>12</v>
      </c>
      <c r="H30" s="17">
        <v>16.5</v>
      </c>
      <c r="I30" s="43" t="s">
        <v>3949</v>
      </c>
      <c r="J30" s="26"/>
      <c r="K30" s="17">
        <f t="shared" si="0"/>
        <v>0</v>
      </c>
      <c r="N30" s="31" t="str">
        <f t="shared" si="1"/>
        <v>-</v>
      </c>
      <c r="O30" s="31" t="str">
        <f t="shared" si="3"/>
        <v>-</v>
      </c>
      <c r="P30" s="35" t="str">
        <f t="shared" si="2"/>
        <v>-</v>
      </c>
      <c r="Q30" s="32" t="str">
        <f t="shared" si="4"/>
        <v>-</v>
      </c>
      <c r="S30" s="32" t="str">
        <f t="shared" si="5"/>
        <v>-</v>
      </c>
    </row>
    <row r="31" spans="1:19" x14ac:dyDescent="0.3">
      <c r="A31" s="45" t="s">
        <v>3913</v>
      </c>
      <c r="B31" s="40" t="s">
        <v>1069</v>
      </c>
      <c r="C31" s="41" t="s">
        <v>2209</v>
      </c>
      <c r="D31" s="21" t="s">
        <v>2224</v>
      </c>
      <c r="E31" s="21" t="s">
        <v>2222</v>
      </c>
      <c r="F31" s="24">
        <v>3.6552741136449997E-2</v>
      </c>
      <c r="G31" s="21">
        <v>12</v>
      </c>
      <c r="H31" s="17">
        <v>3.45</v>
      </c>
      <c r="I31" s="43" t="s">
        <v>3949</v>
      </c>
      <c r="J31" s="26"/>
      <c r="K31" s="17">
        <f t="shared" si="0"/>
        <v>0</v>
      </c>
      <c r="N31" s="31" t="str">
        <f t="shared" si="1"/>
        <v>-</v>
      </c>
      <c r="O31" s="31" t="str">
        <f t="shared" si="3"/>
        <v>-</v>
      </c>
      <c r="P31" s="35" t="str">
        <f t="shared" si="2"/>
        <v>-</v>
      </c>
      <c r="Q31" s="32" t="str">
        <f t="shared" si="4"/>
        <v>-</v>
      </c>
      <c r="S31" s="32" t="str">
        <f t="shared" si="5"/>
        <v>-</v>
      </c>
    </row>
    <row r="32" spans="1:19" x14ac:dyDescent="0.3">
      <c r="A32" s="45" t="s">
        <v>3915</v>
      </c>
      <c r="B32" s="40" t="s">
        <v>1250</v>
      </c>
      <c r="C32" s="41" t="s">
        <v>2210</v>
      </c>
      <c r="D32" s="21" t="s">
        <v>2224</v>
      </c>
      <c r="E32" s="21" t="s">
        <v>2222</v>
      </c>
      <c r="F32" s="24">
        <v>0.17047220294094373</v>
      </c>
      <c r="G32" s="21">
        <v>12</v>
      </c>
      <c r="H32" s="17">
        <v>7.65</v>
      </c>
      <c r="I32" s="43" t="s">
        <v>3949</v>
      </c>
      <c r="J32" s="26"/>
      <c r="K32" s="17">
        <f t="shared" si="0"/>
        <v>0</v>
      </c>
      <c r="N32" s="31" t="str">
        <f t="shared" si="1"/>
        <v>-</v>
      </c>
      <c r="O32" s="31" t="str">
        <f t="shared" si="3"/>
        <v>-</v>
      </c>
      <c r="P32" s="35" t="str">
        <f t="shared" si="2"/>
        <v>-</v>
      </c>
      <c r="Q32" s="32" t="str">
        <f t="shared" si="4"/>
        <v>-</v>
      </c>
      <c r="S32" s="32" t="str">
        <f t="shared" si="5"/>
        <v>-</v>
      </c>
    </row>
    <row r="33" spans="1:19" x14ac:dyDescent="0.3">
      <c r="A33" s="45" t="s">
        <v>3916</v>
      </c>
      <c r="B33" s="40" t="s">
        <v>788</v>
      </c>
      <c r="C33" s="41" t="s">
        <v>2210</v>
      </c>
      <c r="D33" s="21" t="s">
        <v>2227</v>
      </c>
      <c r="E33" s="21" t="s">
        <v>2222</v>
      </c>
      <c r="F33" s="24">
        <v>0.29731278882112505</v>
      </c>
      <c r="G33" s="21">
        <v>12</v>
      </c>
      <c r="H33" s="17">
        <v>14.1</v>
      </c>
      <c r="I33" s="43" t="s">
        <v>3949</v>
      </c>
      <c r="J33" s="26"/>
      <c r="K33" s="17">
        <f t="shared" si="0"/>
        <v>0</v>
      </c>
      <c r="N33" s="31" t="str">
        <f t="shared" si="1"/>
        <v>-</v>
      </c>
      <c r="O33" s="31" t="str">
        <f t="shared" si="3"/>
        <v>-</v>
      </c>
      <c r="P33" s="35" t="str">
        <f t="shared" si="2"/>
        <v>-</v>
      </c>
      <c r="Q33" s="32" t="str">
        <f t="shared" si="4"/>
        <v>-</v>
      </c>
      <c r="S33" s="32" t="str">
        <f t="shared" si="5"/>
        <v>-</v>
      </c>
    </row>
    <row r="34" spans="1:19" x14ac:dyDescent="0.3">
      <c r="A34" s="45" t="s">
        <v>3917</v>
      </c>
      <c r="B34" s="40" t="s">
        <v>1272</v>
      </c>
      <c r="C34" s="41" t="s">
        <v>2210</v>
      </c>
      <c r="D34" s="21" t="s">
        <v>2226</v>
      </c>
      <c r="E34" s="21" t="s">
        <v>2222</v>
      </c>
      <c r="F34" s="24">
        <v>0.47192506162083336</v>
      </c>
      <c r="G34" s="21">
        <v>12</v>
      </c>
      <c r="H34" s="17">
        <v>23.1</v>
      </c>
      <c r="I34" s="43" t="s">
        <v>3949</v>
      </c>
      <c r="J34" s="26"/>
      <c r="K34" s="17">
        <f t="shared" si="0"/>
        <v>0</v>
      </c>
      <c r="N34" s="31" t="str">
        <f t="shared" si="1"/>
        <v>-</v>
      </c>
      <c r="O34" s="31" t="str">
        <f t="shared" si="3"/>
        <v>-</v>
      </c>
      <c r="P34" s="35" t="str">
        <f t="shared" si="2"/>
        <v>-</v>
      </c>
      <c r="Q34" s="32" t="str">
        <f t="shared" si="4"/>
        <v>-</v>
      </c>
      <c r="S34" s="32" t="str">
        <f t="shared" si="5"/>
        <v>-</v>
      </c>
    </row>
    <row r="35" spans="1:19" x14ac:dyDescent="0.3">
      <c r="A35" s="45" t="s">
        <v>3935</v>
      </c>
      <c r="B35" s="40" t="s">
        <v>2309</v>
      </c>
      <c r="C35" s="41" t="s">
        <v>1609</v>
      </c>
      <c r="D35" s="21" t="s">
        <v>2225</v>
      </c>
      <c r="E35" s="21" t="s">
        <v>2244</v>
      </c>
      <c r="F35" s="24">
        <v>0.13256804003712502</v>
      </c>
      <c r="G35" s="21">
        <v>12</v>
      </c>
      <c r="H35" s="17">
        <v>7.65</v>
      </c>
      <c r="I35" s="43" t="s">
        <v>3949</v>
      </c>
      <c r="J35" s="26"/>
      <c r="K35" s="17">
        <f t="shared" si="0"/>
        <v>0</v>
      </c>
      <c r="N35" s="31" t="str">
        <f t="shared" si="1"/>
        <v>-</v>
      </c>
      <c r="O35" s="31" t="str">
        <f t="shared" si="3"/>
        <v>-</v>
      </c>
      <c r="P35" s="35" t="str">
        <f t="shared" si="2"/>
        <v>-</v>
      </c>
      <c r="Q35" s="32" t="str">
        <f t="shared" si="4"/>
        <v>-</v>
      </c>
      <c r="S35" s="32" t="str">
        <f t="shared" si="5"/>
        <v>-</v>
      </c>
    </row>
    <row r="36" spans="1:19" x14ac:dyDescent="0.3">
      <c r="A36" s="45" t="s">
        <v>3937</v>
      </c>
      <c r="B36" s="40" t="s">
        <v>2311</v>
      </c>
      <c r="C36" s="41" t="s">
        <v>1609</v>
      </c>
      <c r="D36" s="21" t="s">
        <v>2250</v>
      </c>
      <c r="E36" s="21" t="s">
        <v>2244</v>
      </c>
      <c r="F36" s="24">
        <v>0.47003736137435004</v>
      </c>
      <c r="G36" s="21">
        <v>12</v>
      </c>
      <c r="H36" s="17">
        <v>26.99</v>
      </c>
      <c r="I36" s="43" t="s">
        <v>3949</v>
      </c>
      <c r="J36" s="26"/>
      <c r="K36" s="17">
        <f t="shared" si="0"/>
        <v>0</v>
      </c>
      <c r="N36" s="31" t="str">
        <f t="shared" si="1"/>
        <v>-</v>
      </c>
      <c r="O36" s="31" t="str">
        <f t="shared" si="3"/>
        <v>-</v>
      </c>
      <c r="P36" s="35" t="str">
        <f t="shared" si="2"/>
        <v>-</v>
      </c>
      <c r="Q36" s="32" t="str">
        <f t="shared" si="4"/>
        <v>-</v>
      </c>
      <c r="S36" s="32" t="str">
        <f t="shared" si="5"/>
        <v>-</v>
      </c>
    </row>
    <row r="37" spans="1:19" x14ac:dyDescent="0.3">
      <c r="A37" s="45" t="s">
        <v>2329</v>
      </c>
      <c r="B37" s="40" t="s">
        <v>1420</v>
      </c>
      <c r="C37" s="41" t="s">
        <v>1603</v>
      </c>
      <c r="D37" s="21" t="s">
        <v>2223</v>
      </c>
      <c r="E37" s="21" t="s">
        <v>2222</v>
      </c>
      <c r="F37" s="24">
        <v>0.11068787808925001</v>
      </c>
      <c r="G37" s="21">
        <v>12</v>
      </c>
      <c r="H37" s="17">
        <v>7.5</v>
      </c>
      <c r="I37" s="43" t="s">
        <v>3950</v>
      </c>
      <c r="J37" s="26"/>
      <c r="K37" s="17">
        <f t="shared" si="0"/>
        <v>0</v>
      </c>
      <c r="N37" s="31" t="str">
        <f t="shared" si="1"/>
        <v>-</v>
      </c>
      <c r="O37" s="31" t="str">
        <f t="shared" si="3"/>
        <v>-</v>
      </c>
      <c r="P37" s="35" t="str">
        <f t="shared" si="2"/>
        <v>-</v>
      </c>
      <c r="Q37" s="32" t="str">
        <f t="shared" si="4"/>
        <v>-</v>
      </c>
      <c r="S37" s="32" t="str">
        <f t="shared" si="5"/>
        <v>-</v>
      </c>
    </row>
    <row r="38" spans="1:19" x14ac:dyDescent="0.3">
      <c r="A38" s="45" t="s">
        <v>2330</v>
      </c>
      <c r="B38" s="40" t="s">
        <v>1151</v>
      </c>
      <c r="C38" s="41" t="s">
        <v>1603</v>
      </c>
      <c r="D38" s="21" t="s">
        <v>2224</v>
      </c>
      <c r="E38" s="21" t="s">
        <v>2222</v>
      </c>
      <c r="F38" s="24">
        <v>8.666260222491666E-2</v>
      </c>
      <c r="G38" s="21">
        <v>12</v>
      </c>
      <c r="H38" s="17">
        <v>13.95</v>
      </c>
      <c r="I38" s="43" t="s">
        <v>3950</v>
      </c>
      <c r="J38" s="26"/>
      <c r="K38" s="17">
        <f t="shared" si="0"/>
        <v>0</v>
      </c>
      <c r="N38" s="31" t="str">
        <f t="shared" si="1"/>
        <v>-</v>
      </c>
      <c r="O38" s="31" t="str">
        <f t="shared" si="3"/>
        <v>-</v>
      </c>
      <c r="P38" s="35" t="str">
        <f t="shared" si="2"/>
        <v>-</v>
      </c>
      <c r="Q38" s="32" t="str">
        <f t="shared" si="4"/>
        <v>-</v>
      </c>
      <c r="S38" s="32" t="str">
        <f t="shared" si="5"/>
        <v>-</v>
      </c>
    </row>
    <row r="39" spans="1:19" x14ac:dyDescent="0.3">
      <c r="A39" s="45" t="s">
        <v>2331</v>
      </c>
      <c r="B39" s="40" t="s">
        <v>211</v>
      </c>
      <c r="C39" s="41" t="s">
        <v>1603</v>
      </c>
      <c r="D39" s="21" t="s">
        <v>2225</v>
      </c>
      <c r="E39" s="21" t="s">
        <v>2222</v>
      </c>
      <c r="F39" s="24">
        <v>0.24883321430916666</v>
      </c>
      <c r="G39" s="21">
        <v>12</v>
      </c>
      <c r="H39" s="17">
        <v>20.39</v>
      </c>
      <c r="I39" s="43" t="s">
        <v>3950</v>
      </c>
      <c r="J39" s="26"/>
      <c r="K39" s="17">
        <f t="shared" si="0"/>
        <v>0</v>
      </c>
      <c r="N39" s="31" t="str">
        <f t="shared" si="1"/>
        <v>-</v>
      </c>
      <c r="O39" s="31" t="str">
        <f t="shared" si="3"/>
        <v>-</v>
      </c>
      <c r="P39" s="35" t="str">
        <f t="shared" si="2"/>
        <v>-</v>
      </c>
      <c r="Q39" s="32" t="str">
        <f t="shared" si="4"/>
        <v>-</v>
      </c>
      <c r="S39" s="32" t="str">
        <f t="shared" si="5"/>
        <v>-</v>
      </c>
    </row>
    <row r="40" spans="1:19" x14ac:dyDescent="0.3">
      <c r="A40" s="45" t="s">
        <v>2341</v>
      </c>
      <c r="B40" s="40" t="s">
        <v>1484</v>
      </c>
      <c r="C40" s="41" t="s">
        <v>1607</v>
      </c>
      <c r="D40" s="21" t="s">
        <v>2225</v>
      </c>
      <c r="E40" s="21" t="s">
        <v>2222</v>
      </c>
      <c r="F40" s="24">
        <v>0.19048611578150001</v>
      </c>
      <c r="G40" s="21">
        <v>12</v>
      </c>
      <c r="H40" s="17">
        <v>17.100000000000001</v>
      </c>
      <c r="I40" s="43" t="s">
        <v>3950</v>
      </c>
      <c r="J40" s="26"/>
      <c r="K40" s="17">
        <f t="shared" si="0"/>
        <v>0</v>
      </c>
      <c r="N40" s="31" t="str">
        <f t="shared" si="1"/>
        <v>-</v>
      </c>
      <c r="O40" s="31" t="str">
        <f t="shared" si="3"/>
        <v>-</v>
      </c>
      <c r="P40" s="35" t="str">
        <f t="shared" si="2"/>
        <v>-</v>
      </c>
      <c r="Q40" s="32" t="str">
        <f t="shared" si="4"/>
        <v>-</v>
      </c>
      <c r="S40" s="32" t="str">
        <f t="shared" si="5"/>
        <v>-</v>
      </c>
    </row>
    <row r="41" spans="1:19" x14ac:dyDescent="0.3">
      <c r="A41" s="45" t="s">
        <v>2344</v>
      </c>
      <c r="B41" s="40" t="s">
        <v>794</v>
      </c>
      <c r="C41" s="41" t="s">
        <v>1610</v>
      </c>
      <c r="D41" s="21" t="s">
        <v>2223</v>
      </c>
      <c r="E41" s="21" t="s">
        <v>2222</v>
      </c>
      <c r="F41" s="24">
        <v>5.5772961827916676E-2</v>
      </c>
      <c r="G41" s="21">
        <v>12</v>
      </c>
      <c r="H41" s="17">
        <v>4.95</v>
      </c>
      <c r="I41" s="43" t="s">
        <v>3950</v>
      </c>
      <c r="J41" s="26"/>
      <c r="K41" s="17">
        <f t="shared" si="0"/>
        <v>0</v>
      </c>
      <c r="N41" s="31" t="str">
        <f t="shared" si="1"/>
        <v>-</v>
      </c>
      <c r="O41" s="31" t="str">
        <f t="shared" si="3"/>
        <v>-</v>
      </c>
      <c r="P41" s="35" t="str">
        <f t="shared" si="2"/>
        <v>-</v>
      </c>
      <c r="Q41" s="32" t="str">
        <f t="shared" si="4"/>
        <v>-</v>
      </c>
      <c r="S41" s="32" t="str">
        <f t="shared" si="5"/>
        <v>-</v>
      </c>
    </row>
    <row r="42" spans="1:19" x14ac:dyDescent="0.3">
      <c r="A42" s="45" t="s">
        <v>2345</v>
      </c>
      <c r="B42" s="40" t="s">
        <v>1013</v>
      </c>
      <c r="C42" s="41" t="s">
        <v>1610</v>
      </c>
      <c r="D42" s="21" t="s">
        <v>2224</v>
      </c>
      <c r="E42" s="21" t="s">
        <v>2222</v>
      </c>
      <c r="F42" s="24">
        <v>8.2372374392000014E-2</v>
      </c>
      <c r="G42" s="21">
        <v>12</v>
      </c>
      <c r="H42" s="17">
        <v>8.99</v>
      </c>
      <c r="I42" s="43" t="s">
        <v>3950</v>
      </c>
      <c r="J42" s="26"/>
      <c r="K42" s="17">
        <f t="shared" si="0"/>
        <v>0</v>
      </c>
      <c r="N42" s="31" t="str">
        <f t="shared" si="1"/>
        <v>-</v>
      </c>
      <c r="O42" s="31" t="str">
        <f t="shared" si="3"/>
        <v>-</v>
      </c>
      <c r="P42" s="35" t="str">
        <f t="shared" si="2"/>
        <v>-</v>
      </c>
      <c r="Q42" s="32" t="str">
        <f t="shared" si="4"/>
        <v>-</v>
      </c>
      <c r="S42" s="32" t="str">
        <f t="shared" si="5"/>
        <v>-</v>
      </c>
    </row>
    <row r="43" spans="1:19" x14ac:dyDescent="0.3">
      <c r="A43" s="45" t="s">
        <v>2346</v>
      </c>
      <c r="B43" s="40" t="s">
        <v>221</v>
      </c>
      <c r="C43" s="41" t="s">
        <v>1611</v>
      </c>
      <c r="D43" s="21" t="s">
        <v>2223</v>
      </c>
      <c r="E43" s="21" t="s">
        <v>2222</v>
      </c>
      <c r="F43" s="24">
        <v>9.5243057890750007E-2</v>
      </c>
      <c r="G43" s="21">
        <v>12</v>
      </c>
      <c r="H43" s="17">
        <v>10.95</v>
      </c>
      <c r="I43" s="43" t="s">
        <v>3950</v>
      </c>
      <c r="J43" s="26"/>
      <c r="K43" s="17">
        <f t="shared" si="0"/>
        <v>0</v>
      </c>
      <c r="N43" s="31" t="str">
        <f t="shared" si="1"/>
        <v>-</v>
      </c>
      <c r="O43" s="31" t="str">
        <f t="shared" si="3"/>
        <v>-</v>
      </c>
      <c r="P43" s="35" t="str">
        <f t="shared" si="2"/>
        <v>-</v>
      </c>
      <c r="Q43" s="32" t="str">
        <f t="shared" si="4"/>
        <v>-</v>
      </c>
      <c r="S43" s="32" t="str">
        <f t="shared" si="5"/>
        <v>-</v>
      </c>
    </row>
    <row r="44" spans="1:19" x14ac:dyDescent="0.3">
      <c r="A44" s="45" t="s">
        <v>2347</v>
      </c>
      <c r="B44" s="40" t="s">
        <v>1097</v>
      </c>
      <c r="C44" s="41" t="s">
        <v>1611</v>
      </c>
      <c r="D44" s="21" t="s">
        <v>2224</v>
      </c>
      <c r="E44" s="21" t="s">
        <v>2222</v>
      </c>
      <c r="F44" s="24">
        <v>0.15101601971866668</v>
      </c>
      <c r="G44" s="21">
        <v>12</v>
      </c>
      <c r="H44" s="17">
        <v>20.99</v>
      </c>
      <c r="I44" s="43" t="s">
        <v>3950</v>
      </c>
      <c r="J44" s="26"/>
      <c r="K44" s="17">
        <f t="shared" si="0"/>
        <v>0</v>
      </c>
      <c r="N44" s="31" t="str">
        <f t="shared" si="1"/>
        <v>-</v>
      </c>
      <c r="O44" s="31" t="str">
        <f t="shared" si="3"/>
        <v>-</v>
      </c>
      <c r="P44" s="35" t="str">
        <f t="shared" si="2"/>
        <v>-</v>
      </c>
      <c r="Q44" s="32" t="str">
        <f t="shared" si="4"/>
        <v>-</v>
      </c>
      <c r="S44" s="32" t="str">
        <f t="shared" si="5"/>
        <v>-</v>
      </c>
    </row>
    <row r="45" spans="1:19" x14ac:dyDescent="0.3">
      <c r="A45" s="45" t="s">
        <v>2372</v>
      </c>
      <c r="B45" s="40" t="s">
        <v>33</v>
      </c>
      <c r="C45" s="41" t="s">
        <v>1619</v>
      </c>
      <c r="D45" s="21" t="s">
        <v>2223</v>
      </c>
      <c r="E45" s="21" t="s">
        <v>2222</v>
      </c>
      <c r="F45" s="24">
        <v>4.0328141629416663E-2</v>
      </c>
      <c r="G45" s="21">
        <v>12</v>
      </c>
      <c r="H45" s="17">
        <v>8.99</v>
      </c>
      <c r="I45" s="43" t="s">
        <v>3950</v>
      </c>
      <c r="J45" s="26"/>
      <c r="K45" s="17">
        <f t="shared" si="0"/>
        <v>0</v>
      </c>
      <c r="N45" s="31" t="str">
        <f t="shared" si="1"/>
        <v>-</v>
      </c>
      <c r="O45" s="31" t="str">
        <f t="shared" si="3"/>
        <v>-</v>
      </c>
      <c r="P45" s="35" t="str">
        <f t="shared" si="2"/>
        <v>-</v>
      </c>
      <c r="Q45" s="32" t="str">
        <f t="shared" si="4"/>
        <v>-</v>
      </c>
      <c r="S45" s="32" t="str">
        <f t="shared" si="5"/>
        <v>-</v>
      </c>
    </row>
    <row r="46" spans="1:19" x14ac:dyDescent="0.3">
      <c r="A46" s="45" t="s">
        <v>2398</v>
      </c>
      <c r="B46" s="40" t="s">
        <v>711</v>
      </c>
      <c r="C46" s="41" t="s">
        <v>1639</v>
      </c>
      <c r="D46" s="21" t="s">
        <v>2233</v>
      </c>
      <c r="E46" s="21" t="s">
        <v>2222</v>
      </c>
      <c r="F46" s="24">
        <v>0.10296546799</v>
      </c>
      <c r="G46" s="21">
        <v>12</v>
      </c>
      <c r="H46" s="17">
        <v>11.7</v>
      </c>
      <c r="I46" s="43" t="s">
        <v>3950</v>
      </c>
      <c r="J46" s="26"/>
      <c r="K46" s="17">
        <f t="shared" si="0"/>
        <v>0</v>
      </c>
      <c r="N46" s="31" t="str">
        <f t="shared" si="1"/>
        <v>-</v>
      </c>
      <c r="O46" s="31" t="str">
        <f t="shared" si="3"/>
        <v>-</v>
      </c>
      <c r="P46" s="35" t="str">
        <f t="shared" si="2"/>
        <v>-</v>
      </c>
      <c r="Q46" s="32" t="str">
        <f t="shared" si="4"/>
        <v>-</v>
      </c>
      <c r="S46" s="32" t="str">
        <f t="shared" si="5"/>
        <v>-</v>
      </c>
    </row>
    <row r="47" spans="1:19" x14ac:dyDescent="0.3">
      <c r="A47" s="45" t="s">
        <v>2399</v>
      </c>
      <c r="B47" s="40" t="s">
        <v>188</v>
      </c>
      <c r="C47" s="41" t="s">
        <v>1640</v>
      </c>
      <c r="D47" s="21" t="s">
        <v>2233</v>
      </c>
      <c r="E47" s="21" t="s">
        <v>2222</v>
      </c>
      <c r="F47" s="24">
        <v>9.7817194590499992E-2</v>
      </c>
      <c r="G47" s="21">
        <v>12</v>
      </c>
      <c r="H47" s="17">
        <v>12.59</v>
      </c>
      <c r="I47" s="43" t="s">
        <v>3950</v>
      </c>
      <c r="J47" s="26"/>
      <c r="K47" s="17">
        <f t="shared" si="0"/>
        <v>0</v>
      </c>
      <c r="N47" s="31" t="str">
        <f t="shared" si="1"/>
        <v>-</v>
      </c>
      <c r="O47" s="31" t="str">
        <f t="shared" si="3"/>
        <v>-</v>
      </c>
      <c r="P47" s="35" t="str">
        <f t="shared" si="2"/>
        <v>-</v>
      </c>
      <c r="Q47" s="32" t="str">
        <f t="shared" si="4"/>
        <v>-</v>
      </c>
      <c r="S47" s="32" t="str">
        <f t="shared" si="5"/>
        <v>-</v>
      </c>
    </row>
    <row r="48" spans="1:19" x14ac:dyDescent="0.3">
      <c r="A48" s="45" t="s">
        <v>2402</v>
      </c>
      <c r="B48" s="40" t="s">
        <v>536</v>
      </c>
      <c r="C48" s="41" t="s">
        <v>1641</v>
      </c>
      <c r="D48" s="21" t="s">
        <v>2227</v>
      </c>
      <c r="E48" s="21" t="s">
        <v>2234</v>
      </c>
      <c r="F48" s="24">
        <v>0.17761543228274998</v>
      </c>
      <c r="G48" s="21">
        <v>12</v>
      </c>
      <c r="H48" s="17">
        <v>14.99</v>
      </c>
      <c r="I48" s="43" t="s">
        <v>3950</v>
      </c>
      <c r="J48" s="26"/>
      <c r="K48" s="17">
        <f t="shared" si="0"/>
        <v>0</v>
      </c>
      <c r="N48" s="31" t="str">
        <f t="shared" si="1"/>
        <v>-</v>
      </c>
      <c r="O48" s="31" t="str">
        <f t="shared" si="3"/>
        <v>-</v>
      </c>
      <c r="P48" s="35" t="str">
        <f t="shared" si="2"/>
        <v>-</v>
      </c>
      <c r="Q48" s="32" t="str">
        <f t="shared" si="4"/>
        <v>-</v>
      </c>
      <c r="S48" s="32" t="str">
        <f t="shared" si="5"/>
        <v>-</v>
      </c>
    </row>
    <row r="49" spans="1:19" x14ac:dyDescent="0.3">
      <c r="A49" s="45" t="s">
        <v>2405</v>
      </c>
      <c r="B49" s="40" t="s">
        <v>946</v>
      </c>
      <c r="C49" s="41" t="s">
        <v>1641</v>
      </c>
      <c r="D49" s="21" t="s">
        <v>2233</v>
      </c>
      <c r="E49" s="21" t="s">
        <v>2222</v>
      </c>
      <c r="F49" s="24">
        <v>0.40328141629416675</v>
      </c>
      <c r="G49" s="21">
        <v>12</v>
      </c>
      <c r="H49" s="17">
        <v>29.39</v>
      </c>
      <c r="I49" s="43" t="s">
        <v>3950</v>
      </c>
      <c r="J49" s="26"/>
      <c r="K49" s="17">
        <f t="shared" si="0"/>
        <v>0</v>
      </c>
      <c r="N49" s="31" t="str">
        <f t="shared" si="1"/>
        <v>-</v>
      </c>
      <c r="O49" s="31" t="str">
        <f t="shared" si="3"/>
        <v>-</v>
      </c>
      <c r="P49" s="35" t="str">
        <f t="shared" si="2"/>
        <v>-</v>
      </c>
      <c r="Q49" s="32" t="str">
        <f t="shared" si="4"/>
        <v>-</v>
      </c>
      <c r="S49" s="32" t="str">
        <f t="shared" si="5"/>
        <v>-</v>
      </c>
    </row>
    <row r="50" spans="1:19" x14ac:dyDescent="0.3">
      <c r="A50" s="45" t="s">
        <v>2426</v>
      </c>
      <c r="B50" s="40" t="s">
        <v>653</v>
      </c>
      <c r="C50" s="41" t="s">
        <v>1655</v>
      </c>
      <c r="D50" s="21" t="s">
        <v>2239</v>
      </c>
      <c r="E50" s="21" t="s">
        <v>2222</v>
      </c>
      <c r="F50" s="24">
        <v>0.12613269828775001</v>
      </c>
      <c r="G50" s="21">
        <v>12</v>
      </c>
      <c r="H50" s="17">
        <v>4.6500000000000004</v>
      </c>
      <c r="I50" s="43" t="s">
        <v>3950</v>
      </c>
      <c r="J50" s="26"/>
      <c r="K50" s="17">
        <f t="shared" si="0"/>
        <v>0</v>
      </c>
      <c r="N50" s="31" t="str">
        <f t="shared" si="1"/>
        <v>-</v>
      </c>
      <c r="O50" s="31" t="str">
        <f t="shared" si="3"/>
        <v>-</v>
      </c>
      <c r="P50" s="35" t="str">
        <f t="shared" si="2"/>
        <v>-</v>
      </c>
      <c r="Q50" s="32" t="str">
        <f t="shared" si="4"/>
        <v>-</v>
      </c>
      <c r="S50" s="32" t="str">
        <f t="shared" si="5"/>
        <v>-</v>
      </c>
    </row>
    <row r="51" spans="1:19" x14ac:dyDescent="0.3">
      <c r="A51" s="45" t="s">
        <v>2433</v>
      </c>
      <c r="B51" s="40" t="s">
        <v>730</v>
      </c>
      <c r="C51" s="41" t="s">
        <v>1660</v>
      </c>
      <c r="D51" s="21" t="s">
        <v>2221</v>
      </c>
      <c r="E51" s="21" t="s">
        <v>2243</v>
      </c>
      <c r="F51" s="24">
        <v>0.16131256651766665</v>
      </c>
      <c r="G51" s="21">
        <v>12</v>
      </c>
      <c r="H51" s="17">
        <v>10.19</v>
      </c>
      <c r="I51" s="43" t="s">
        <v>3950</v>
      </c>
      <c r="J51" s="26"/>
      <c r="K51" s="17">
        <f t="shared" si="0"/>
        <v>0</v>
      </c>
      <c r="N51" s="31" t="str">
        <f t="shared" si="1"/>
        <v>-</v>
      </c>
      <c r="O51" s="31" t="str">
        <f t="shared" si="3"/>
        <v>-</v>
      </c>
      <c r="P51" s="35" t="str">
        <f t="shared" si="2"/>
        <v>-</v>
      </c>
      <c r="Q51" s="32" t="str">
        <f t="shared" si="4"/>
        <v>-</v>
      </c>
      <c r="S51" s="32" t="str">
        <f t="shared" si="5"/>
        <v>-</v>
      </c>
    </row>
    <row r="52" spans="1:19" x14ac:dyDescent="0.3">
      <c r="A52" s="45" t="s">
        <v>2440</v>
      </c>
      <c r="B52" s="40" t="s">
        <v>1465</v>
      </c>
      <c r="C52" s="41" t="s">
        <v>1664</v>
      </c>
      <c r="D52" s="21" t="s">
        <v>2221</v>
      </c>
      <c r="E52" s="21" t="s">
        <v>2222</v>
      </c>
      <c r="F52" s="24">
        <v>4.2473255545875006E-2</v>
      </c>
      <c r="G52" s="21">
        <v>12</v>
      </c>
      <c r="H52" s="17">
        <v>8.39</v>
      </c>
      <c r="I52" s="43" t="s">
        <v>3950</v>
      </c>
      <c r="J52" s="26"/>
      <c r="K52" s="17">
        <f t="shared" si="0"/>
        <v>0</v>
      </c>
      <c r="N52" s="31" t="str">
        <f t="shared" si="1"/>
        <v>-</v>
      </c>
      <c r="O52" s="31" t="str">
        <f t="shared" si="3"/>
        <v>-</v>
      </c>
      <c r="P52" s="35" t="str">
        <f t="shared" si="2"/>
        <v>-</v>
      </c>
      <c r="Q52" s="32" t="str">
        <f t="shared" si="4"/>
        <v>-</v>
      </c>
      <c r="S52" s="32" t="str">
        <f t="shared" si="5"/>
        <v>-</v>
      </c>
    </row>
    <row r="53" spans="1:19" x14ac:dyDescent="0.3">
      <c r="A53" s="45" t="s">
        <v>2447</v>
      </c>
      <c r="B53" s="40" t="s">
        <v>240</v>
      </c>
      <c r="C53" s="41" t="s">
        <v>1669</v>
      </c>
      <c r="D53" s="21" t="s">
        <v>2223</v>
      </c>
      <c r="E53" s="21" t="s">
        <v>2222</v>
      </c>
      <c r="F53" s="24">
        <v>7.7224100992499989E-2</v>
      </c>
      <c r="G53" s="21">
        <v>12</v>
      </c>
      <c r="H53" s="17">
        <v>7.5</v>
      </c>
      <c r="I53" s="43" t="s">
        <v>3950</v>
      </c>
      <c r="J53" s="26"/>
      <c r="K53" s="17">
        <f t="shared" si="0"/>
        <v>0</v>
      </c>
      <c r="N53" s="31" t="str">
        <f t="shared" si="1"/>
        <v>-</v>
      </c>
      <c r="O53" s="31" t="str">
        <f t="shared" si="3"/>
        <v>-</v>
      </c>
      <c r="P53" s="35" t="str">
        <f t="shared" si="2"/>
        <v>-</v>
      </c>
      <c r="Q53" s="32" t="str">
        <f t="shared" si="4"/>
        <v>-</v>
      </c>
      <c r="S53" s="32" t="str">
        <f t="shared" si="5"/>
        <v>-</v>
      </c>
    </row>
    <row r="54" spans="1:19" x14ac:dyDescent="0.3">
      <c r="A54" s="45" t="s">
        <v>2448</v>
      </c>
      <c r="B54" s="40" t="s">
        <v>1403</v>
      </c>
      <c r="C54" s="41" t="s">
        <v>1669</v>
      </c>
      <c r="D54" s="21" t="s">
        <v>2224</v>
      </c>
      <c r="E54" s="21" t="s">
        <v>2222</v>
      </c>
      <c r="F54" s="24">
        <v>0.13299706282041668</v>
      </c>
      <c r="G54" s="21">
        <v>12</v>
      </c>
      <c r="H54" s="17">
        <v>12.9</v>
      </c>
      <c r="I54" s="43" t="s">
        <v>3950</v>
      </c>
      <c r="J54" s="26"/>
      <c r="K54" s="17">
        <f t="shared" si="0"/>
        <v>0</v>
      </c>
      <c r="N54" s="31" t="str">
        <f t="shared" si="1"/>
        <v>-</v>
      </c>
      <c r="O54" s="31" t="str">
        <f t="shared" si="3"/>
        <v>-</v>
      </c>
      <c r="P54" s="35" t="str">
        <f t="shared" si="2"/>
        <v>-</v>
      </c>
      <c r="Q54" s="32" t="str">
        <f t="shared" si="4"/>
        <v>-</v>
      </c>
      <c r="S54" s="32" t="str">
        <f t="shared" si="5"/>
        <v>-</v>
      </c>
    </row>
    <row r="55" spans="1:19" x14ac:dyDescent="0.3">
      <c r="A55" s="45" t="s">
        <v>2449</v>
      </c>
      <c r="B55" s="40" t="s">
        <v>1002</v>
      </c>
      <c r="C55" s="41" t="s">
        <v>1669</v>
      </c>
      <c r="D55" s="21" t="s">
        <v>2227</v>
      </c>
      <c r="E55" s="21" t="s">
        <v>2222</v>
      </c>
      <c r="F55" s="24">
        <v>0.23424643967725001</v>
      </c>
      <c r="G55" s="21">
        <v>12</v>
      </c>
      <c r="H55" s="17">
        <v>23.1</v>
      </c>
      <c r="I55" s="43" t="s">
        <v>3950</v>
      </c>
      <c r="J55" s="26"/>
      <c r="K55" s="17">
        <f t="shared" si="0"/>
        <v>0</v>
      </c>
      <c r="N55" s="31" t="str">
        <f t="shared" si="1"/>
        <v>-</v>
      </c>
      <c r="O55" s="31" t="str">
        <f t="shared" si="3"/>
        <v>-</v>
      </c>
      <c r="P55" s="35" t="str">
        <f t="shared" si="2"/>
        <v>-</v>
      </c>
      <c r="Q55" s="32" t="str">
        <f t="shared" si="4"/>
        <v>-</v>
      </c>
      <c r="S55" s="32" t="str">
        <f t="shared" si="5"/>
        <v>-</v>
      </c>
    </row>
    <row r="56" spans="1:19" x14ac:dyDescent="0.3">
      <c r="A56" s="45" t="s">
        <v>2462</v>
      </c>
      <c r="B56" s="40" t="s">
        <v>252</v>
      </c>
      <c r="C56" s="41" t="s">
        <v>1677</v>
      </c>
      <c r="D56" s="21" t="s">
        <v>2227</v>
      </c>
      <c r="E56" s="21" t="s">
        <v>2222</v>
      </c>
      <c r="F56" s="24">
        <v>0.24368494090966669</v>
      </c>
      <c r="G56" s="21">
        <v>12</v>
      </c>
      <c r="H56" s="17">
        <v>20.25</v>
      </c>
      <c r="I56" s="43" t="s">
        <v>3950</v>
      </c>
      <c r="J56" s="26"/>
      <c r="K56" s="17">
        <f t="shared" si="0"/>
        <v>0</v>
      </c>
      <c r="N56" s="31" t="str">
        <f t="shared" si="1"/>
        <v>-</v>
      </c>
      <c r="O56" s="31" t="str">
        <f t="shared" si="3"/>
        <v>-</v>
      </c>
      <c r="P56" s="35" t="str">
        <f t="shared" si="2"/>
        <v>-</v>
      </c>
      <c r="Q56" s="32" t="str">
        <f t="shared" si="4"/>
        <v>-</v>
      </c>
      <c r="S56" s="32" t="str">
        <f t="shared" si="5"/>
        <v>-</v>
      </c>
    </row>
    <row r="57" spans="1:19" x14ac:dyDescent="0.3">
      <c r="A57" s="45" t="s">
        <v>2467</v>
      </c>
      <c r="B57" s="40" t="s">
        <v>1158</v>
      </c>
      <c r="C57" s="41" t="s">
        <v>1680</v>
      </c>
      <c r="D57" s="21" t="s">
        <v>2221</v>
      </c>
      <c r="E57" s="21" t="s">
        <v>2222</v>
      </c>
      <c r="F57" s="24">
        <v>0.2230918473116667</v>
      </c>
      <c r="G57" s="21">
        <v>12</v>
      </c>
      <c r="H57" s="17">
        <v>10.5</v>
      </c>
      <c r="I57" s="43" t="s">
        <v>3950</v>
      </c>
      <c r="J57" s="26"/>
      <c r="K57" s="17">
        <f t="shared" si="0"/>
        <v>0</v>
      </c>
      <c r="N57" s="31" t="str">
        <f t="shared" si="1"/>
        <v>-</v>
      </c>
      <c r="O57" s="31" t="str">
        <f t="shared" si="3"/>
        <v>-</v>
      </c>
      <c r="P57" s="35" t="str">
        <f t="shared" si="2"/>
        <v>-</v>
      </c>
      <c r="Q57" s="32" t="str">
        <f t="shared" si="4"/>
        <v>-</v>
      </c>
      <c r="S57" s="32" t="str">
        <f t="shared" si="5"/>
        <v>-</v>
      </c>
    </row>
    <row r="58" spans="1:19" x14ac:dyDescent="0.3">
      <c r="A58" s="45" t="s">
        <v>2471</v>
      </c>
      <c r="B58" s="40" t="s">
        <v>824</v>
      </c>
      <c r="C58" s="41" t="s">
        <v>1683</v>
      </c>
      <c r="D58" s="21" t="s">
        <v>2245</v>
      </c>
      <c r="E58" s="21" t="s">
        <v>2222</v>
      </c>
      <c r="F58" s="24">
        <v>0.31618979128595837</v>
      </c>
      <c r="G58" s="21">
        <v>12</v>
      </c>
      <c r="H58" s="17">
        <v>11.99</v>
      </c>
      <c r="I58" s="43" t="s">
        <v>3950</v>
      </c>
      <c r="J58" s="26"/>
      <c r="K58" s="17">
        <f t="shared" si="0"/>
        <v>0</v>
      </c>
      <c r="N58" s="31" t="str">
        <f t="shared" si="1"/>
        <v>-</v>
      </c>
      <c r="O58" s="31" t="str">
        <f t="shared" si="3"/>
        <v>-</v>
      </c>
      <c r="P58" s="35" t="str">
        <f t="shared" si="2"/>
        <v>-</v>
      </c>
      <c r="Q58" s="32" t="str">
        <f t="shared" si="4"/>
        <v>-</v>
      </c>
      <c r="S58" s="32" t="str">
        <f t="shared" si="5"/>
        <v>-</v>
      </c>
    </row>
    <row r="59" spans="1:19" x14ac:dyDescent="0.3">
      <c r="A59" s="45" t="s">
        <v>2487</v>
      </c>
      <c r="B59" s="40" t="s">
        <v>258</v>
      </c>
      <c r="C59" s="41" t="s">
        <v>1689</v>
      </c>
      <c r="D59" s="21" t="s">
        <v>2245</v>
      </c>
      <c r="E59" s="21" t="s">
        <v>2222</v>
      </c>
      <c r="F59" s="24">
        <v>0.31833490520241664</v>
      </c>
      <c r="G59" s="21">
        <v>12</v>
      </c>
      <c r="H59" s="17">
        <v>12.59</v>
      </c>
      <c r="I59" s="43" t="s">
        <v>3950</v>
      </c>
      <c r="J59" s="26"/>
      <c r="K59" s="17">
        <f t="shared" si="0"/>
        <v>0</v>
      </c>
      <c r="N59" s="31" t="str">
        <f t="shared" si="1"/>
        <v>-</v>
      </c>
      <c r="O59" s="31" t="str">
        <f t="shared" si="3"/>
        <v>-</v>
      </c>
      <c r="P59" s="35" t="str">
        <f t="shared" si="2"/>
        <v>-</v>
      </c>
      <c r="Q59" s="32" t="str">
        <f t="shared" si="4"/>
        <v>-</v>
      </c>
      <c r="S59" s="32" t="str">
        <f t="shared" si="5"/>
        <v>-</v>
      </c>
    </row>
    <row r="60" spans="1:19" x14ac:dyDescent="0.3">
      <c r="A60" s="45" t="s">
        <v>2491</v>
      </c>
      <c r="B60" s="40" t="s">
        <v>697</v>
      </c>
      <c r="C60" s="41" t="s">
        <v>1692</v>
      </c>
      <c r="D60" s="21" t="s">
        <v>2221</v>
      </c>
      <c r="E60" s="21" t="s">
        <v>2222</v>
      </c>
      <c r="F60" s="24">
        <v>0.20764702711316668</v>
      </c>
      <c r="G60" s="21">
        <v>12</v>
      </c>
      <c r="H60" s="17">
        <v>13.5</v>
      </c>
      <c r="I60" s="43" t="s">
        <v>3950</v>
      </c>
      <c r="J60" s="26"/>
      <c r="K60" s="17">
        <f t="shared" si="0"/>
        <v>0</v>
      </c>
      <c r="N60" s="31" t="str">
        <f t="shared" si="1"/>
        <v>-</v>
      </c>
      <c r="O60" s="31" t="str">
        <f t="shared" si="3"/>
        <v>-</v>
      </c>
      <c r="P60" s="35" t="str">
        <f t="shared" si="2"/>
        <v>-</v>
      </c>
      <c r="Q60" s="32" t="str">
        <f t="shared" si="4"/>
        <v>-</v>
      </c>
      <c r="S60" s="32" t="str">
        <f t="shared" si="5"/>
        <v>-</v>
      </c>
    </row>
    <row r="61" spans="1:19" x14ac:dyDescent="0.3">
      <c r="A61" s="45" t="s">
        <v>2497</v>
      </c>
      <c r="B61" s="40" t="s">
        <v>716</v>
      </c>
      <c r="C61" s="41" t="s">
        <v>1695</v>
      </c>
      <c r="D61" s="21" t="s">
        <v>2221</v>
      </c>
      <c r="E61" s="21" t="s">
        <v>2222</v>
      </c>
      <c r="F61" s="24">
        <v>0.12613269828775001</v>
      </c>
      <c r="G61" s="21">
        <v>12</v>
      </c>
      <c r="H61" s="17">
        <v>9.3000000000000007</v>
      </c>
      <c r="I61" s="43" t="s">
        <v>3950</v>
      </c>
      <c r="J61" s="26"/>
      <c r="K61" s="17">
        <f t="shared" si="0"/>
        <v>0</v>
      </c>
      <c r="N61" s="31" t="str">
        <f t="shared" si="1"/>
        <v>-</v>
      </c>
      <c r="O61" s="31" t="str">
        <f t="shared" si="3"/>
        <v>-</v>
      </c>
      <c r="P61" s="35" t="str">
        <f t="shared" si="2"/>
        <v>-</v>
      </c>
      <c r="Q61" s="32" t="str">
        <f t="shared" si="4"/>
        <v>-</v>
      </c>
      <c r="S61" s="32" t="str">
        <f t="shared" si="5"/>
        <v>-</v>
      </c>
    </row>
    <row r="62" spans="1:19" x14ac:dyDescent="0.3">
      <c r="A62" s="45" t="s">
        <v>2498</v>
      </c>
      <c r="B62" s="40" t="s">
        <v>208</v>
      </c>
      <c r="C62" s="41" t="s">
        <v>1694</v>
      </c>
      <c r="D62" s="21" t="s">
        <v>2225</v>
      </c>
      <c r="E62" s="21" t="s">
        <v>2222</v>
      </c>
      <c r="F62" s="24">
        <v>0.19735048031416669</v>
      </c>
      <c r="G62" s="21">
        <v>12</v>
      </c>
      <c r="H62" s="17">
        <v>11.1</v>
      </c>
      <c r="I62" s="43" t="s">
        <v>3950</v>
      </c>
      <c r="J62" s="26"/>
      <c r="K62" s="17">
        <f t="shared" si="0"/>
        <v>0</v>
      </c>
      <c r="N62" s="31" t="str">
        <f t="shared" si="1"/>
        <v>-</v>
      </c>
      <c r="O62" s="31" t="str">
        <f t="shared" si="3"/>
        <v>-</v>
      </c>
      <c r="P62" s="35" t="str">
        <f t="shared" si="2"/>
        <v>-</v>
      </c>
      <c r="Q62" s="32" t="str">
        <f t="shared" si="4"/>
        <v>-</v>
      </c>
      <c r="S62" s="32" t="str">
        <f t="shared" si="5"/>
        <v>-</v>
      </c>
    </row>
    <row r="63" spans="1:19" x14ac:dyDescent="0.3">
      <c r="A63" s="45" t="s">
        <v>2499</v>
      </c>
      <c r="B63" s="40" t="s">
        <v>586</v>
      </c>
      <c r="C63" s="41" t="s">
        <v>1696</v>
      </c>
      <c r="D63" s="21" t="s">
        <v>2239</v>
      </c>
      <c r="E63" s="21" t="s">
        <v>2222</v>
      </c>
      <c r="F63" s="24">
        <v>9.2668921191000023E-2</v>
      </c>
      <c r="G63" s="21">
        <v>12</v>
      </c>
      <c r="H63" s="17">
        <v>6.75</v>
      </c>
      <c r="I63" s="43" t="s">
        <v>3950</v>
      </c>
      <c r="J63" s="26"/>
      <c r="K63" s="17">
        <f t="shared" si="0"/>
        <v>0</v>
      </c>
      <c r="N63" s="31" t="str">
        <f t="shared" si="1"/>
        <v>-</v>
      </c>
      <c r="O63" s="31" t="str">
        <f t="shared" si="3"/>
        <v>-</v>
      </c>
      <c r="P63" s="35" t="str">
        <f t="shared" si="2"/>
        <v>-</v>
      </c>
      <c r="Q63" s="32" t="str">
        <f t="shared" si="4"/>
        <v>-</v>
      </c>
      <c r="S63" s="32" t="str">
        <f t="shared" si="5"/>
        <v>-</v>
      </c>
    </row>
    <row r="64" spans="1:19" x14ac:dyDescent="0.3">
      <c r="A64" s="45" t="s">
        <v>2500</v>
      </c>
      <c r="B64" s="40" t="s">
        <v>723</v>
      </c>
      <c r="C64" s="41" t="s">
        <v>1696</v>
      </c>
      <c r="D64" s="21" t="s">
        <v>2221</v>
      </c>
      <c r="E64" s="21" t="s">
        <v>2222</v>
      </c>
      <c r="F64" s="24">
        <v>0.16903497661691669</v>
      </c>
      <c r="G64" s="21">
        <v>12</v>
      </c>
      <c r="H64" s="17">
        <v>12.59</v>
      </c>
      <c r="I64" s="43" t="s">
        <v>3950</v>
      </c>
      <c r="J64" s="26"/>
      <c r="K64" s="17">
        <f t="shared" si="0"/>
        <v>0</v>
      </c>
      <c r="N64" s="31" t="str">
        <f t="shared" si="1"/>
        <v>-</v>
      </c>
      <c r="O64" s="31" t="str">
        <f t="shared" si="3"/>
        <v>-</v>
      </c>
      <c r="P64" s="35" t="str">
        <f t="shared" si="2"/>
        <v>-</v>
      </c>
      <c r="Q64" s="32" t="str">
        <f t="shared" si="4"/>
        <v>-</v>
      </c>
      <c r="S64" s="32" t="str">
        <f t="shared" si="5"/>
        <v>-</v>
      </c>
    </row>
    <row r="65" spans="1:19" x14ac:dyDescent="0.3">
      <c r="A65" s="45" t="s">
        <v>2512</v>
      </c>
      <c r="B65" s="40" t="s">
        <v>494</v>
      </c>
      <c r="C65" s="41" t="s">
        <v>1694</v>
      </c>
      <c r="D65" s="21" t="s">
        <v>2226</v>
      </c>
      <c r="E65" s="21" t="s">
        <v>2222</v>
      </c>
      <c r="F65" s="24">
        <v>0.35694695569866675</v>
      </c>
      <c r="G65" s="21">
        <v>12</v>
      </c>
      <c r="H65" s="17">
        <v>19.5</v>
      </c>
      <c r="I65" s="43" t="s">
        <v>3950</v>
      </c>
      <c r="J65" s="26"/>
      <c r="K65" s="17">
        <f t="shared" si="0"/>
        <v>0</v>
      </c>
      <c r="N65" s="31" t="str">
        <f t="shared" si="1"/>
        <v>-</v>
      </c>
      <c r="O65" s="31" t="str">
        <f t="shared" si="3"/>
        <v>-</v>
      </c>
      <c r="P65" s="35" t="str">
        <f t="shared" si="2"/>
        <v>-</v>
      </c>
      <c r="Q65" s="32" t="str">
        <f t="shared" si="4"/>
        <v>-</v>
      </c>
      <c r="S65" s="32" t="str">
        <f t="shared" si="5"/>
        <v>-</v>
      </c>
    </row>
    <row r="66" spans="1:19" x14ac:dyDescent="0.3">
      <c r="A66" s="45" t="s">
        <v>2526</v>
      </c>
      <c r="B66" s="40" t="s">
        <v>731</v>
      </c>
      <c r="C66" s="41" t="s">
        <v>1711</v>
      </c>
      <c r="D66" s="21" t="s">
        <v>2221</v>
      </c>
      <c r="E66" s="21" t="s">
        <v>2222</v>
      </c>
      <c r="F66" s="24">
        <v>0.18962807021491668</v>
      </c>
      <c r="G66" s="21">
        <v>12</v>
      </c>
      <c r="H66" s="17">
        <v>7.19</v>
      </c>
      <c r="I66" s="43" t="s">
        <v>3950</v>
      </c>
      <c r="J66" s="26"/>
      <c r="K66" s="17">
        <f t="shared" si="0"/>
        <v>0</v>
      </c>
      <c r="N66" s="31" t="str">
        <f t="shared" si="1"/>
        <v>-</v>
      </c>
      <c r="O66" s="31" t="str">
        <f t="shared" si="3"/>
        <v>-</v>
      </c>
      <c r="P66" s="35" t="str">
        <f t="shared" si="2"/>
        <v>-</v>
      </c>
      <c r="Q66" s="32" t="str">
        <f t="shared" si="4"/>
        <v>-</v>
      </c>
      <c r="S66" s="32" t="str">
        <f t="shared" si="5"/>
        <v>-</v>
      </c>
    </row>
    <row r="67" spans="1:19" x14ac:dyDescent="0.3">
      <c r="A67" s="45" t="s">
        <v>2527</v>
      </c>
      <c r="B67" s="40" t="s">
        <v>870</v>
      </c>
      <c r="C67" s="41" t="s">
        <v>1711</v>
      </c>
      <c r="D67" s="21" t="s">
        <v>2245</v>
      </c>
      <c r="E67" s="21" t="s">
        <v>2222</v>
      </c>
      <c r="F67" s="24">
        <v>0.44446760349016667</v>
      </c>
      <c r="G67" s="21">
        <v>12</v>
      </c>
      <c r="H67" s="17">
        <v>16.5</v>
      </c>
      <c r="I67" s="43" t="s">
        <v>3950</v>
      </c>
      <c r="J67" s="26"/>
      <c r="K67" s="17">
        <f t="shared" ref="K67:K130" si="6">J67*H67</f>
        <v>0</v>
      </c>
      <c r="N67" s="31" t="str">
        <f t="shared" ref="N67:N130" si="7">IFERROR(IF($N$2*F67=0, "-", $N$2*F67), "-")</f>
        <v>-</v>
      </c>
      <c r="O67" s="31" t="str">
        <f t="shared" si="3"/>
        <v>-</v>
      </c>
      <c r="P67" s="35" t="str">
        <f t="shared" ref="P67:P130" si="8">IF(J67&gt;0,J67*F67, "-")</f>
        <v>-</v>
      </c>
      <c r="Q67" s="32" t="str">
        <f t="shared" si="4"/>
        <v>-</v>
      </c>
      <c r="S67" s="32" t="str">
        <f t="shared" si="5"/>
        <v>-</v>
      </c>
    </row>
    <row r="68" spans="1:19" x14ac:dyDescent="0.3">
      <c r="A68" s="45" t="s">
        <v>2528</v>
      </c>
      <c r="B68" s="40" t="s">
        <v>1135</v>
      </c>
      <c r="C68" s="41" t="s">
        <v>1712</v>
      </c>
      <c r="D68" s="21" t="s">
        <v>2221</v>
      </c>
      <c r="E68" s="21" t="s">
        <v>2222</v>
      </c>
      <c r="F68" s="24">
        <v>0.28744526480541666</v>
      </c>
      <c r="G68" s="21">
        <v>12</v>
      </c>
      <c r="H68" s="17">
        <v>10.19</v>
      </c>
      <c r="I68" s="43" t="s">
        <v>3950</v>
      </c>
      <c r="J68" s="26"/>
      <c r="K68" s="17">
        <f t="shared" si="6"/>
        <v>0</v>
      </c>
      <c r="N68" s="31" t="str">
        <f t="shared" si="7"/>
        <v>-</v>
      </c>
      <c r="O68" s="31" t="str">
        <f t="shared" ref="O68:O131" si="9">IFERROR(IF(N68&gt;0,H68+N68,"-"),"-")</f>
        <v>-</v>
      </c>
      <c r="P68" s="35" t="str">
        <f t="shared" si="8"/>
        <v>-</v>
      </c>
      <c r="Q68" s="32" t="str">
        <f t="shared" ref="Q68:Q131" si="10">IFERROR(IF($N$2&gt;0, $N$2*P68, "-"), "-")</f>
        <v>-</v>
      </c>
      <c r="S68" s="32" t="str">
        <f t="shared" ref="S68:S131" si="11">IFERROR(IF(Q68+K68=0, "-", IF(Q68&gt;0, Q68+K68, "-")), "-")</f>
        <v>-</v>
      </c>
    </row>
    <row r="69" spans="1:19" x14ac:dyDescent="0.3">
      <c r="A69" s="45" t="s">
        <v>2529</v>
      </c>
      <c r="B69" s="40" t="s">
        <v>688</v>
      </c>
      <c r="C69" s="41" t="s">
        <v>1712</v>
      </c>
      <c r="D69" s="21" t="s">
        <v>2245</v>
      </c>
      <c r="E69" s="21" t="s">
        <v>2222</v>
      </c>
      <c r="F69" s="24">
        <v>0.66927554193500005</v>
      </c>
      <c r="G69" s="21">
        <v>12</v>
      </c>
      <c r="H69" s="17">
        <v>23.39</v>
      </c>
      <c r="I69" s="43" t="s">
        <v>3950</v>
      </c>
      <c r="J69" s="26"/>
      <c r="K69" s="17">
        <f t="shared" si="6"/>
        <v>0</v>
      </c>
      <c r="N69" s="31" t="str">
        <f t="shared" si="7"/>
        <v>-</v>
      </c>
      <c r="O69" s="31" t="str">
        <f t="shared" si="9"/>
        <v>-</v>
      </c>
      <c r="P69" s="35" t="str">
        <f t="shared" si="8"/>
        <v>-</v>
      </c>
      <c r="Q69" s="32" t="str">
        <f t="shared" si="10"/>
        <v>-</v>
      </c>
      <c r="S69" s="32" t="str">
        <f t="shared" si="11"/>
        <v>-</v>
      </c>
    </row>
    <row r="70" spans="1:19" x14ac:dyDescent="0.3">
      <c r="A70" s="45" t="s">
        <v>2542</v>
      </c>
      <c r="B70" s="40" t="s">
        <v>761</v>
      </c>
      <c r="C70" s="41" t="s">
        <v>1719</v>
      </c>
      <c r="D70" s="21" t="s">
        <v>2221</v>
      </c>
      <c r="E70" s="21" t="s">
        <v>2222</v>
      </c>
      <c r="F70" s="24">
        <v>0.14029045013637503</v>
      </c>
      <c r="G70" s="21">
        <v>12</v>
      </c>
      <c r="H70" s="17">
        <v>5.99</v>
      </c>
      <c r="I70" s="43" t="s">
        <v>3950</v>
      </c>
      <c r="J70" s="26"/>
      <c r="K70" s="17">
        <f t="shared" si="6"/>
        <v>0</v>
      </c>
      <c r="N70" s="31" t="str">
        <f t="shared" si="7"/>
        <v>-</v>
      </c>
      <c r="O70" s="31" t="str">
        <f t="shared" si="9"/>
        <v>-</v>
      </c>
      <c r="P70" s="35" t="str">
        <f t="shared" si="8"/>
        <v>-</v>
      </c>
      <c r="Q70" s="32" t="str">
        <f t="shared" si="10"/>
        <v>-</v>
      </c>
      <c r="S70" s="32" t="str">
        <f t="shared" si="11"/>
        <v>-</v>
      </c>
    </row>
    <row r="71" spans="1:19" x14ac:dyDescent="0.3">
      <c r="A71" s="45" t="s">
        <v>2549</v>
      </c>
      <c r="B71" s="40" t="s">
        <v>779</v>
      </c>
      <c r="C71" s="41" t="s">
        <v>1639</v>
      </c>
      <c r="D71" s="21" t="s">
        <v>2227</v>
      </c>
      <c r="E71" s="21" t="s">
        <v>2222</v>
      </c>
      <c r="F71" s="24">
        <v>6.606950862691667E-2</v>
      </c>
      <c r="G71" s="21">
        <v>12</v>
      </c>
      <c r="H71" s="17">
        <v>6.75</v>
      </c>
      <c r="I71" s="43" t="s">
        <v>3950</v>
      </c>
      <c r="J71" s="26"/>
      <c r="K71" s="17">
        <f t="shared" si="6"/>
        <v>0</v>
      </c>
      <c r="N71" s="31" t="str">
        <f t="shared" si="7"/>
        <v>-</v>
      </c>
      <c r="O71" s="31" t="str">
        <f t="shared" si="9"/>
        <v>-</v>
      </c>
      <c r="P71" s="35" t="str">
        <f t="shared" si="8"/>
        <v>-</v>
      </c>
      <c r="Q71" s="32" t="str">
        <f t="shared" si="10"/>
        <v>-</v>
      </c>
      <c r="S71" s="32" t="str">
        <f t="shared" si="11"/>
        <v>-</v>
      </c>
    </row>
    <row r="72" spans="1:19" x14ac:dyDescent="0.3">
      <c r="A72" s="45" t="s">
        <v>2551</v>
      </c>
      <c r="B72" s="40" t="s">
        <v>669</v>
      </c>
      <c r="C72" s="41" t="s">
        <v>1724</v>
      </c>
      <c r="D72" s="21" t="s">
        <v>2221</v>
      </c>
      <c r="E72" s="21" t="s">
        <v>2222</v>
      </c>
      <c r="F72" s="24">
        <v>6.0921235227416673E-2</v>
      </c>
      <c r="G72" s="21">
        <v>12</v>
      </c>
      <c r="H72" s="17">
        <v>4.3499999999999996</v>
      </c>
      <c r="I72" s="43" t="s">
        <v>3950</v>
      </c>
      <c r="J72" s="26"/>
      <c r="K72" s="17">
        <f t="shared" si="6"/>
        <v>0</v>
      </c>
      <c r="N72" s="31" t="str">
        <f t="shared" si="7"/>
        <v>-</v>
      </c>
      <c r="O72" s="31" t="str">
        <f t="shared" si="9"/>
        <v>-</v>
      </c>
      <c r="P72" s="35" t="str">
        <f t="shared" si="8"/>
        <v>-</v>
      </c>
      <c r="Q72" s="32" t="str">
        <f t="shared" si="10"/>
        <v>-</v>
      </c>
      <c r="S72" s="32" t="str">
        <f t="shared" si="11"/>
        <v>-</v>
      </c>
    </row>
    <row r="73" spans="1:19" x14ac:dyDescent="0.3">
      <c r="A73" s="45" t="s">
        <v>2552</v>
      </c>
      <c r="B73" s="40" t="s">
        <v>825</v>
      </c>
      <c r="C73" s="41" t="s">
        <v>1724</v>
      </c>
      <c r="D73" s="21" t="s">
        <v>2245</v>
      </c>
      <c r="E73" s="21" t="s">
        <v>2222</v>
      </c>
      <c r="F73" s="24">
        <v>0.11969735653837503</v>
      </c>
      <c r="G73" s="21">
        <v>12</v>
      </c>
      <c r="H73" s="17">
        <v>10.050000000000001</v>
      </c>
      <c r="I73" s="43" t="s">
        <v>3950</v>
      </c>
      <c r="J73" s="26"/>
      <c r="K73" s="17">
        <f t="shared" si="6"/>
        <v>0</v>
      </c>
      <c r="N73" s="31" t="str">
        <f t="shared" si="7"/>
        <v>-</v>
      </c>
      <c r="O73" s="31" t="str">
        <f t="shared" si="9"/>
        <v>-</v>
      </c>
      <c r="P73" s="35" t="str">
        <f t="shared" si="8"/>
        <v>-</v>
      </c>
      <c r="Q73" s="32" t="str">
        <f t="shared" si="10"/>
        <v>-</v>
      </c>
      <c r="S73" s="32" t="str">
        <f t="shared" si="11"/>
        <v>-</v>
      </c>
    </row>
    <row r="74" spans="1:19" x14ac:dyDescent="0.3">
      <c r="A74" s="45" t="s">
        <v>2553</v>
      </c>
      <c r="B74" s="40" t="s">
        <v>1016</v>
      </c>
      <c r="C74" s="41" t="s">
        <v>1725</v>
      </c>
      <c r="D74" s="21" t="s">
        <v>2231</v>
      </c>
      <c r="E74" s="21" t="s">
        <v>2222</v>
      </c>
      <c r="F74" s="24">
        <v>0.1175522426219167</v>
      </c>
      <c r="G74" s="21">
        <v>12</v>
      </c>
      <c r="H74" s="17">
        <v>8.25</v>
      </c>
      <c r="I74" s="43" t="s">
        <v>3950</v>
      </c>
      <c r="J74" s="26"/>
      <c r="K74" s="17">
        <f t="shared" si="6"/>
        <v>0</v>
      </c>
      <c r="N74" s="31" t="str">
        <f t="shared" si="7"/>
        <v>-</v>
      </c>
      <c r="O74" s="31" t="str">
        <f t="shared" si="9"/>
        <v>-</v>
      </c>
      <c r="P74" s="35" t="str">
        <f t="shared" si="8"/>
        <v>-</v>
      </c>
      <c r="Q74" s="32" t="str">
        <f t="shared" si="10"/>
        <v>-</v>
      </c>
      <c r="S74" s="32" t="str">
        <f t="shared" si="11"/>
        <v>-</v>
      </c>
    </row>
    <row r="75" spans="1:19" x14ac:dyDescent="0.3">
      <c r="A75" s="45" t="s">
        <v>2572</v>
      </c>
      <c r="B75" s="40" t="s">
        <v>1060</v>
      </c>
      <c r="C75" s="41" t="s">
        <v>1731</v>
      </c>
      <c r="D75" s="21" t="s">
        <v>2223</v>
      </c>
      <c r="E75" s="21" t="s">
        <v>2222</v>
      </c>
      <c r="F75" s="24">
        <v>5.5772961827916676E-2</v>
      </c>
      <c r="G75" s="21">
        <v>12</v>
      </c>
      <c r="H75" s="17">
        <v>4.95</v>
      </c>
      <c r="I75" s="43" t="s">
        <v>3950</v>
      </c>
      <c r="J75" s="26"/>
      <c r="K75" s="17">
        <f t="shared" si="6"/>
        <v>0</v>
      </c>
      <c r="N75" s="31" t="str">
        <f t="shared" si="7"/>
        <v>-</v>
      </c>
      <c r="O75" s="31" t="str">
        <f t="shared" si="9"/>
        <v>-</v>
      </c>
      <c r="P75" s="35" t="str">
        <f t="shared" si="8"/>
        <v>-</v>
      </c>
      <c r="Q75" s="32" t="str">
        <f t="shared" si="10"/>
        <v>-</v>
      </c>
      <c r="S75" s="32" t="str">
        <f t="shared" si="11"/>
        <v>-</v>
      </c>
    </row>
    <row r="76" spans="1:19" x14ac:dyDescent="0.3">
      <c r="A76" s="45" t="s">
        <v>2581</v>
      </c>
      <c r="B76" s="40" t="s">
        <v>1386</v>
      </c>
      <c r="C76" s="41" t="s">
        <v>1734</v>
      </c>
      <c r="D76" s="21" t="s">
        <v>2221</v>
      </c>
      <c r="E76" s="21" t="s">
        <v>2222</v>
      </c>
      <c r="F76" s="24">
        <v>9.1810875624416685E-2</v>
      </c>
      <c r="G76" s="21">
        <v>12</v>
      </c>
      <c r="H76" s="17">
        <v>5.85</v>
      </c>
      <c r="I76" s="43" t="s">
        <v>3950</v>
      </c>
      <c r="J76" s="26"/>
      <c r="K76" s="17">
        <f t="shared" si="6"/>
        <v>0</v>
      </c>
      <c r="N76" s="31" t="str">
        <f t="shared" si="7"/>
        <v>-</v>
      </c>
      <c r="O76" s="31" t="str">
        <f t="shared" si="9"/>
        <v>-</v>
      </c>
      <c r="P76" s="35" t="str">
        <f t="shared" si="8"/>
        <v>-</v>
      </c>
      <c r="Q76" s="32" t="str">
        <f t="shared" si="10"/>
        <v>-</v>
      </c>
      <c r="S76" s="32" t="str">
        <f t="shared" si="11"/>
        <v>-</v>
      </c>
    </row>
    <row r="77" spans="1:19" x14ac:dyDescent="0.3">
      <c r="A77" s="45" t="s">
        <v>2584</v>
      </c>
      <c r="B77" s="40" t="s">
        <v>986</v>
      </c>
      <c r="C77" s="41" t="s">
        <v>1736</v>
      </c>
      <c r="D77" s="21" t="s">
        <v>2221</v>
      </c>
      <c r="E77" s="21" t="s">
        <v>2222</v>
      </c>
      <c r="F77" s="24">
        <v>7.1217782026416682E-2</v>
      </c>
      <c r="G77" s="21">
        <v>12</v>
      </c>
      <c r="H77" s="17">
        <v>5.25</v>
      </c>
      <c r="I77" s="43" t="s">
        <v>3950</v>
      </c>
      <c r="J77" s="26"/>
      <c r="K77" s="17">
        <f t="shared" si="6"/>
        <v>0</v>
      </c>
      <c r="N77" s="31" t="str">
        <f t="shared" si="7"/>
        <v>-</v>
      </c>
      <c r="O77" s="31" t="str">
        <f t="shared" si="9"/>
        <v>-</v>
      </c>
      <c r="P77" s="35" t="str">
        <f t="shared" si="8"/>
        <v>-</v>
      </c>
      <c r="Q77" s="32" t="str">
        <f t="shared" si="10"/>
        <v>-</v>
      </c>
      <c r="S77" s="32" t="str">
        <f t="shared" si="11"/>
        <v>-</v>
      </c>
    </row>
    <row r="78" spans="1:19" x14ac:dyDescent="0.3">
      <c r="A78" s="45" t="s">
        <v>2590</v>
      </c>
      <c r="B78" s="40" t="s">
        <v>713</v>
      </c>
      <c r="C78" s="41" t="s">
        <v>1739</v>
      </c>
      <c r="D78" s="21" t="s">
        <v>2239</v>
      </c>
      <c r="E78" s="21" t="s">
        <v>2222</v>
      </c>
      <c r="F78" s="24">
        <v>8.1514328825416663E-2</v>
      </c>
      <c r="G78" s="21">
        <v>12</v>
      </c>
      <c r="H78" s="17">
        <v>5.7</v>
      </c>
      <c r="I78" s="43" t="s">
        <v>3950</v>
      </c>
      <c r="J78" s="26"/>
      <c r="K78" s="17">
        <f t="shared" si="6"/>
        <v>0</v>
      </c>
      <c r="N78" s="31" t="str">
        <f t="shared" si="7"/>
        <v>-</v>
      </c>
      <c r="O78" s="31" t="str">
        <f t="shared" si="9"/>
        <v>-</v>
      </c>
      <c r="P78" s="35" t="str">
        <f t="shared" si="8"/>
        <v>-</v>
      </c>
      <c r="Q78" s="32" t="str">
        <f t="shared" si="10"/>
        <v>-</v>
      </c>
      <c r="S78" s="32" t="str">
        <f t="shared" si="11"/>
        <v>-</v>
      </c>
    </row>
    <row r="79" spans="1:19" x14ac:dyDescent="0.3">
      <c r="A79" s="45" t="s">
        <v>2591</v>
      </c>
      <c r="B79" s="40" t="s">
        <v>3</v>
      </c>
      <c r="C79" s="41" t="s">
        <v>1739</v>
      </c>
      <c r="D79" s="21" t="s">
        <v>2221</v>
      </c>
      <c r="E79" s="21" t="s">
        <v>2222</v>
      </c>
      <c r="F79" s="24">
        <v>0.14672579188575002</v>
      </c>
      <c r="G79" s="21">
        <v>12</v>
      </c>
      <c r="H79" s="17">
        <v>10.5</v>
      </c>
      <c r="I79" s="43" t="s">
        <v>3950</v>
      </c>
      <c r="J79" s="26"/>
      <c r="K79" s="17">
        <f t="shared" si="6"/>
        <v>0</v>
      </c>
      <c r="N79" s="31" t="str">
        <f t="shared" si="7"/>
        <v>-</v>
      </c>
      <c r="O79" s="31" t="str">
        <f t="shared" si="9"/>
        <v>-</v>
      </c>
      <c r="P79" s="35" t="str">
        <f t="shared" si="8"/>
        <v>-</v>
      </c>
      <c r="Q79" s="32" t="str">
        <f t="shared" si="10"/>
        <v>-</v>
      </c>
      <c r="S79" s="32" t="str">
        <f t="shared" si="11"/>
        <v>-</v>
      </c>
    </row>
    <row r="80" spans="1:19" x14ac:dyDescent="0.3">
      <c r="A80" s="45" t="s">
        <v>2603</v>
      </c>
      <c r="B80" s="40" t="s">
        <v>1347</v>
      </c>
      <c r="C80" s="41" t="s">
        <v>1744</v>
      </c>
      <c r="D80" s="21" t="s">
        <v>2239</v>
      </c>
      <c r="E80" s="21" t="s">
        <v>2222</v>
      </c>
      <c r="F80" s="24">
        <v>7.1217782026416682E-2</v>
      </c>
      <c r="G80" s="21">
        <v>12</v>
      </c>
      <c r="H80" s="17">
        <v>3.59</v>
      </c>
      <c r="I80" s="43" t="s">
        <v>3950</v>
      </c>
      <c r="J80" s="26"/>
      <c r="K80" s="17">
        <f t="shared" si="6"/>
        <v>0</v>
      </c>
      <c r="N80" s="31" t="str">
        <f t="shared" si="7"/>
        <v>-</v>
      </c>
      <c r="O80" s="31" t="str">
        <f t="shared" si="9"/>
        <v>-</v>
      </c>
      <c r="P80" s="35" t="str">
        <f t="shared" si="8"/>
        <v>-</v>
      </c>
      <c r="Q80" s="32" t="str">
        <f t="shared" si="10"/>
        <v>-</v>
      </c>
      <c r="S80" s="32" t="str">
        <f t="shared" si="11"/>
        <v>-</v>
      </c>
    </row>
    <row r="81" spans="1:19" x14ac:dyDescent="0.3">
      <c r="A81" s="45" t="s">
        <v>2604</v>
      </c>
      <c r="B81" s="40" t="s">
        <v>492</v>
      </c>
      <c r="C81" s="41" t="s">
        <v>1744</v>
      </c>
      <c r="D81" s="21" t="s">
        <v>2221</v>
      </c>
      <c r="E81" s="21" t="s">
        <v>2222</v>
      </c>
      <c r="F81" s="24">
        <v>0.12098442488825001</v>
      </c>
      <c r="G81" s="21">
        <v>12</v>
      </c>
      <c r="H81" s="17">
        <v>6.45</v>
      </c>
      <c r="I81" s="43" t="s">
        <v>3950</v>
      </c>
      <c r="J81" s="26"/>
      <c r="K81" s="17">
        <f t="shared" si="6"/>
        <v>0</v>
      </c>
      <c r="N81" s="31" t="str">
        <f t="shared" si="7"/>
        <v>-</v>
      </c>
      <c r="O81" s="31" t="str">
        <f t="shared" si="9"/>
        <v>-</v>
      </c>
      <c r="P81" s="35" t="str">
        <f t="shared" si="8"/>
        <v>-</v>
      </c>
      <c r="Q81" s="32" t="str">
        <f t="shared" si="10"/>
        <v>-</v>
      </c>
      <c r="S81" s="32" t="str">
        <f t="shared" si="11"/>
        <v>-</v>
      </c>
    </row>
    <row r="82" spans="1:19" x14ac:dyDescent="0.3">
      <c r="A82" s="45" t="s">
        <v>2609</v>
      </c>
      <c r="B82" s="40" t="s">
        <v>523</v>
      </c>
      <c r="C82" s="41" t="s">
        <v>1746</v>
      </c>
      <c r="D82" s="21" t="s">
        <v>2221</v>
      </c>
      <c r="E82" s="21" t="s">
        <v>2237</v>
      </c>
      <c r="F82" s="24">
        <v>0.21279530051266668</v>
      </c>
      <c r="G82" s="21">
        <v>12</v>
      </c>
      <c r="H82" s="17">
        <v>10.19</v>
      </c>
      <c r="I82" s="43" t="s">
        <v>3950</v>
      </c>
      <c r="J82" s="26"/>
      <c r="K82" s="17">
        <f t="shared" si="6"/>
        <v>0</v>
      </c>
      <c r="N82" s="31" t="str">
        <f t="shared" si="7"/>
        <v>-</v>
      </c>
      <c r="O82" s="31" t="str">
        <f t="shared" si="9"/>
        <v>-</v>
      </c>
      <c r="P82" s="35" t="str">
        <f t="shared" si="8"/>
        <v>-</v>
      </c>
      <c r="Q82" s="32" t="str">
        <f t="shared" si="10"/>
        <v>-</v>
      </c>
      <c r="S82" s="32" t="str">
        <f t="shared" si="11"/>
        <v>-</v>
      </c>
    </row>
    <row r="83" spans="1:19" x14ac:dyDescent="0.3">
      <c r="A83" s="45" t="s">
        <v>2610</v>
      </c>
      <c r="B83" s="40" t="s">
        <v>1160</v>
      </c>
      <c r="C83" s="41" t="s">
        <v>1746</v>
      </c>
      <c r="D83" s="21" t="s">
        <v>2245</v>
      </c>
      <c r="E83" s="21" t="s">
        <v>2237</v>
      </c>
      <c r="F83" s="24">
        <v>0.46506069708816666</v>
      </c>
      <c r="G83" s="21">
        <v>12</v>
      </c>
      <c r="H83" s="17">
        <v>23.39</v>
      </c>
      <c r="I83" s="43" t="s">
        <v>3950</v>
      </c>
      <c r="J83" s="26"/>
      <c r="K83" s="17">
        <f t="shared" si="6"/>
        <v>0</v>
      </c>
      <c r="N83" s="31" t="str">
        <f t="shared" si="7"/>
        <v>-</v>
      </c>
      <c r="O83" s="31" t="str">
        <f t="shared" si="9"/>
        <v>-</v>
      </c>
      <c r="P83" s="35" t="str">
        <f t="shared" si="8"/>
        <v>-</v>
      </c>
      <c r="Q83" s="32" t="str">
        <f t="shared" si="10"/>
        <v>-</v>
      </c>
      <c r="S83" s="32" t="str">
        <f t="shared" si="11"/>
        <v>-</v>
      </c>
    </row>
    <row r="84" spans="1:19" x14ac:dyDescent="0.3">
      <c r="A84" s="45" t="s">
        <v>2623</v>
      </c>
      <c r="B84" s="40" t="s">
        <v>725</v>
      </c>
      <c r="C84" s="41" t="s">
        <v>1610</v>
      </c>
      <c r="D84" s="21" t="s">
        <v>2227</v>
      </c>
      <c r="E84" s="21" t="s">
        <v>2222</v>
      </c>
      <c r="F84" s="24">
        <v>0.14157751848625</v>
      </c>
      <c r="G84" s="21">
        <v>12</v>
      </c>
      <c r="H84" s="17">
        <v>17.100000000000001</v>
      </c>
      <c r="I84" s="43" t="s">
        <v>3950</v>
      </c>
      <c r="J84" s="26"/>
      <c r="K84" s="17">
        <f t="shared" si="6"/>
        <v>0</v>
      </c>
      <c r="N84" s="31" t="str">
        <f t="shared" si="7"/>
        <v>-</v>
      </c>
      <c r="O84" s="31" t="str">
        <f t="shared" si="9"/>
        <v>-</v>
      </c>
      <c r="P84" s="35" t="str">
        <f t="shared" si="8"/>
        <v>-</v>
      </c>
      <c r="Q84" s="32" t="str">
        <f t="shared" si="10"/>
        <v>-</v>
      </c>
      <c r="S84" s="32" t="str">
        <f t="shared" si="11"/>
        <v>-</v>
      </c>
    </row>
    <row r="85" spans="1:19" x14ac:dyDescent="0.3">
      <c r="A85" s="45" t="s">
        <v>2629</v>
      </c>
      <c r="B85" s="40" t="s">
        <v>821</v>
      </c>
      <c r="C85" s="41" t="s">
        <v>1753</v>
      </c>
      <c r="D85" s="21" t="s">
        <v>2239</v>
      </c>
      <c r="E85" s="21" t="s">
        <v>2222</v>
      </c>
      <c r="F85" s="24">
        <v>8.2372374392000014E-2</v>
      </c>
      <c r="G85" s="21">
        <v>12</v>
      </c>
      <c r="H85" s="17">
        <v>6.59</v>
      </c>
      <c r="I85" s="43" t="s">
        <v>3950</v>
      </c>
      <c r="J85" s="26"/>
      <c r="K85" s="17">
        <f t="shared" si="6"/>
        <v>0</v>
      </c>
      <c r="N85" s="31" t="str">
        <f t="shared" si="7"/>
        <v>-</v>
      </c>
      <c r="O85" s="31" t="str">
        <f t="shared" si="9"/>
        <v>-</v>
      </c>
      <c r="P85" s="35" t="str">
        <f t="shared" si="8"/>
        <v>-</v>
      </c>
      <c r="Q85" s="32" t="str">
        <f t="shared" si="10"/>
        <v>-</v>
      </c>
      <c r="S85" s="32" t="str">
        <f t="shared" si="11"/>
        <v>-</v>
      </c>
    </row>
    <row r="86" spans="1:19" x14ac:dyDescent="0.3">
      <c r="A86" s="45" t="s">
        <v>2630</v>
      </c>
      <c r="B86" s="40" t="s">
        <v>24</v>
      </c>
      <c r="C86" s="41" t="s">
        <v>1753</v>
      </c>
      <c r="D86" s="21" t="s">
        <v>2221</v>
      </c>
      <c r="E86" s="21" t="s">
        <v>2222</v>
      </c>
      <c r="F86" s="24">
        <v>0.14672579188575002</v>
      </c>
      <c r="G86" s="21">
        <v>12</v>
      </c>
      <c r="H86" s="17">
        <v>12.3</v>
      </c>
      <c r="I86" s="43" t="s">
        <v>3950</v>
      </c>
      <c r="J86" s="26"/>
      <c r="K86" s="17">
        <f t="shared" si="6"/>
        <v>0</v>
      </c>
      <c r="N86" s="31" t="str">
        <f t="shared" si="7"/>
        <v>-</v>
      </c>
      <c r="O86" s="31" t="str">
        <f t="shared" si="9"/>
        <v>-</v>
      </c>
      <c r="P86" s="35" t="str">
        <f t="shared" si="8"/>
        <v>-</v>
      </c>
      <c r="Q86" s="32" t="str">
        <f t="shared" si="10"/>
        <v>-</v>
      </c>
      <c r="S86" s="32" t="str">
        <f t="shared" si="11"/>
        <v>-</v>
      </c>
    </row>
    <row r="87" spans="1:19" x14ac:dyDescent="0.3">
      <c r="A87" s="45" t="s">
        <v>2632</v>
      </c>
      <c r="B87" s="40" t="s">
        <v>533</v>
      </c>
      <c r="C87" s="41" t="s">
        <v>1754</v>
      </c>
      <c r="D87" s="21" t="s">
        <v>2246</v>
      </c>
      <c r="E87" s="21" t="s">
        <v>2222</v>
      </c>
      <c r="F87" s="24">
        <v>0.18447979681541668</v>
      </c>
      <c r="G87" s="21">
        <v>12</v>
      </c>
      <c r="H87" s="17">
        <v>12.45</v>
      </c>
      <c r="I87" s="43" t="s">
        <v>3950</v>
      </c>
      <c r="J87" s="26"/>
      <c r="K87" s="17">
        <f t="shared" si="6"/>
        <v>0</v>
      </c>
      <c r="N87" s="31" t="str">
        <f t="shared" si="7"/>
        <v>-</v>
      </c>
      <c r="O87" s="31" t="str">
        <f t="shared" si="9"/>
        <v>-</v>
      </c>
      <c r="P87" s="35" t="str">
        <f t="shared" si="8"/>
        <v>-</v>
      </c>
      <c r="Q87" s="32" t="str">
        <f t="shared" si="10"/>
        <v>-</v>
      </c>
      <c r="S87" s="32" t="str">
        <f t="shared" si="11"/>
        <v>-</v>
      </c>
    </row>
    <row r="88" spans="1:19" x14ac:dyDescent="0.3">
      <c r="A88" s="45" t="s">
        <v>2637</v>
      </c>
      <c r="B88" s="40" t="s">
        <v>930</v>
      </c>
      <c r="C88" s="41" t="s">
        <v>1756</v>
      </c>
      <c r="D88" s="21" t="s">
        <v>2239</v>
      </c>
      <c r="E88" s="21" t="s">
        <v>2222</v>
      </c>
      <c r="F88" s="24">
        <v>0.12999390333737501</v>
      </c>
      <c r="G88" s="21">
        <v>12</v>
      </c>
      <c r="H88" s="17">
        <v>6.15</v>
      </c>
      <c r="I88" s="43" t="s">
        <v>3950</v>
      </c>
      <c r="J88" s="26"/>
      <c r="K88" s="17">
        <f t="shared" si="6"/>
        <v>0</v>
      </c>
      <c r="N88" s="31" t="str">
        <f t="shared" si="7"/>
        <v>-</v>
      </c>
      <c r="O88" s="31" t="str">
        <f t="shared" si="9"/>
        <v>-</v>
      </c>
      <c r="P88" s="35" t="str">
        <f t="shared" si="8"/>
        <v>-</v>
      </c>
      <c r="Q88" s="32" t="str">
        <f t="shared" si="10"/>
        <v>-</v>
      </c>
      <c r="S88" s="32" t="str">
        <f t="shared" si="11"/>
        <v>-</v>
      </c>
    </row>
    <row r="89" spans="1:19" x14ac:dyDescent="0.3">
      <c r="A89" s="45" t="s">
        <v>2638</v>
      </c>
      <c r="B89" s="40" t="s">
        <v>516</v>
      </c>
      <c r="C89" s="41" t="s">
        <v>1756</v>
      </c>
      <c r="D89" s="21" t="s">
        <v>2221</v>
      </c>
      <c r="E89" s="21" t="s">
        <v>2222</v>
      </c>
      <c r="F89" s="24">
        <v>0.24883321430916666</v>
      </c>
      <c r="G89" s="21">
        <v>12</v>
      </c>
      <c r="H89" s="17">
        <v>11.39</v>
      </c>
      <c r="I89" s="43" t="s">
        <v>3950</v>
      </c>
      <c r="J89" s="26"/>
      <c r="K89" s="17">
        <f t="shared" si="6"/>
        <v>0</v>
      </c>
      <c r="N89" s="31" t="str">
        <f t="shared" si="7"/>
        <v>-</v>
      </c>
      <c r="O89" s="31" t="str">
        <f t="shared" si="9"/>
        <v>-</v>
      </c>
      <c r="P89" s="35" t="str">
        <f t="shared" si="8"/>
        <v>-</v>
      </c>
      <c r="Q89" s="32" t="str">
        <f t="shared" si="10"/>
        <v>-</v>
      </c>
      <c r="S89" s="32" t="str">
        <f t="shared" si="11"/>
        <v>-</v>
      </c>
    </row>
    <row r="90" spans="1:19" x14ac:dyDescent="0.3">
      <c r="A90" s="45" t="s">
        <v>2639</v>
      </c>
      <c r="B90" s="40" t="s">
        <v>1098</v>
      </c>
      <c r="C90" s="41" t="s">
        <v>1755</v>
      </c>
      <c r="D90" s="21" t="s">
        <v>2230</v>
      </c>
      <c r="E90" s="21" t="s">
        <v>2240</v>
      </c>
      <c r="F90" s="24">
        <v>9.7817194590499992E-2</v>
      </c>
      <c r="G90" s="21">
        <v>12</v>
      </c>
      <c r="H90" s="17">
        <v>8.1</v>
      </c>
      <c r="I90" s="43" t="s">
        <v>3950</v>
      </c>
      <c r="J90" s="26"/>
      <c r="K90" s="17">
        <f t="shared" si="6"/>
        <v>0</v>
      </c>
      <c r="N90" s="31" t="str">
        <f t="shared" si="7"/>
        <v>-</v>
      </c>
      <c r="O90" s="31" t="str">
        <f t="shared" si="9"/>
        <v>-</v>
      </c>
      <c r="P90" s="35" t="str">
        <f t="shared" si="8"/>
        <v>-</v>
      </c>
      <c r="Q90" s="32" t="str">
        <f t="shared" si="10"/>
        <v>-</v>
      </c>
      <c r="S90" s="32" t="str">
        <f t="shared" si="11"/>
        <v>-</v>
      </c>
    </row>
    <row r="91" spans="1:19" x14ac:dyDescent="0.3">
      <c r="A91" s="45" t="s">
        <v>2642</v>
      </c>
      <c r="B91" s="40" t="s">
        <v>942</v>
      </c>
      <c r="C91" s="41" t="s">
        <v>1720</v>
      </c>
      <c r="D91" s="21" t="s">
        <v>2223</v>
      </c>
      <c r="E91" s="21" t="s">
        <v>2222</v>
      </c>
      <c r="F91" s="24">
        <v>6.0921235227416673E-2</v>
      </c>
      <c r="G91" s="21">
        <v>12</v>
      </c>
      <c r="H91" s="17">
        <v>5.99</v>
      </c>
      <c r="I91" s="43" t="s">
        <v>3950</v>
      </c>
      <c r="J91" s="26"/>
      <c r="K91" s="17">
        <f t="shared" si="6"/>
        <v>0</v>
      </c>
      <c r="N91" s="31" t="str">
        <f t="shared" si="7"/>
        <v>-</v>
      </c>
      <c r="O91" s="31" t="str">
        <f t="shared" si="9"/>
        <v>-</v>
      </c>
      <c r="P91" s="35" t="str">
        <f t="shared" si="8"/>
        <v>-</v>
      </c>
      <c r="Q91" s="32" t="str">
        <f t="shared" si="10"/>
        <v>-</v>
      </c>
      <c r="S91" s="32" t="str">
        <f t="shared" si="11"/>
        <v>-</v>
      </c>
    </row>
    <row r="92" spans="1:19" x14ac:dyDescent="0.3">
      <c r="A92" s="45" t="s">
        <v>2646</v>
      </c>
      <c r="B92" s="40" t="s">
        <v>204</v>
      </c>
      <c r="C92" s="41" t="s">
        <v>1758</v>
      </c>
      <c r="D92" s="21" t="s">
        <v>2221</v>
      </c>
      <c r="E92" s="21" t="s">
        <v>2222</v>
      </c>
      <c r="F92" s="24">
        <v>5.5772961827916676E-2</v>
      </c>
      <c r="G92" s="21">
        <v>12</v>
      </c>
      <c r="H92" s="17">
        <v>4.05</v>
      </c>
      <c r="I92" s="43" t="s">
        <v>3950</v>
      </c>
      <c r="J92" s="26"/>
      <c r="K92" s="17">
        <f t="shared" si="6"/>
        <v>0</v>
      </c>
      <c r="N92" s="31" t="str">
        <f t="shared" si="7"/>
        <v>-</v>
      </c>
      <c r="O92" s="31" t="str">
        <f t="shared" si="9"/>
        <v>-</v>
      </c>
      <c r="P92" s="35" t="str">
        <f t="shared" si="8"/>
        <v>-</v>
      </c>
      <c r="Q92" s="32" t="str">
        <f t="shared" si="10"/>
        <v>-</v>
      </c>
      <c r="S92" s="32" t="str">
        <f t="shared" si="11"/>
        <v>-</v>
      </c>
    </row>
    <row r="93" spans="1:19" x14ac:dyDescent="0.3">
      <c r="A93" s="45" t="s">
        <v>2648</v>
      </c>
      <c r="B93" s="40" t="s">
        <v>8</v>
      </c>
      <c r="C93" s="41" t="s">
        <v>1759</v>
      </c>
      <c r="D93" s="21" t="s">
        <v>2239</v>
      </c>
      <c r="E93" s="21" t="s">
        <v>2222</v>
      </c>
      <c r="F93" s="24">
        <v>0.1381453362199167</v>
      </c>
      <c r="G93" s="21">
        <v>12</v>
      </c>
      <c r="H93" s="17">
        <v>5.99</v>
      </c>
      <c r="I93" s="43" t="s">
        <v>3950</v>
      </c>
      <c r="J93" s="26"/>
      <c r="K93" s="17">
        <f t="shared" si="6"/>
        <v>0</v>
      </c>
      <c r="N93" s="31" t="str">
        <f t="shared" si="7"/>
        <v>-</v>
      </c>
      <c r="O93" s="31" t="str">
        <f t="shared" si="9"/>
        <v>-</v>
      </c>
      <c r="P93" s="35" t="str">
        <f t="shared" si="8"/>
        <v>-</v>
      </c>
      <c r="Q93" s="32" t="str">
        <f t="shared" si="10"/>
        <v>-</v>
      </c>
      <c r="S93" s="32" t="str">
        <f t="shared" si="11"/>
        <v>-</v>
      </c>
    </row>
    <row r="94" spans="1:19" x14ac:dyDescent="0.3">
      <c r="A94" s="45" t="s">
        <v>2649</v>
      </c>
      <c r="B94" s="40" t="s">
        <v>933</v>
      </c>
      <c r="C94" s="41" t="s">
        <v>1759</v>
      </c>
      <c r="D94" s="21" t="s">
        <v>2221</v>
      </c>
      <c r="E94" s="21" t="s">
        <v>2222</v>
      </c>
      <c r="F94" s="24">
        <v>0.25140735100891665</v>
      </c>
      <c r="G94" s="21">
        <v>12</v>
      </c>
      <c r="H94" s="17">
        <v>11.1</v>
      </c>
      <c r="I94" s="43" t="s">
        <v>3950</v>
      </c>
      <c r="J94" s="26"/>
      <c r="K94" s="17">
        <f t="shared" si="6"/>
        <v>0</v>
      </c>
      <c r="N94" s="31" t="str">
        <f t="shared" si="7"/>
        <v>-</v>
      </c>
      <c r="O94" s="31" t="str">
        <f t="shared" si="9"/>
        <v>-</v>
      </c>
      <c r="P94" s="35" t="str">
        <f t="shared" si="8"/>
        <v>-</v>
      </c>
      <c r="Q94" s="32" t="str">
        <f t="shared" si="10"/>
        <v>-</v>
      </c>
      <c r="S94" s="32" t="str">
        <f t="shared" si="11"/>
        <v>-</v>
      </c>
    </row>
    <row r="95" spans="1:19" x14ac:dyDescent="0.3">
      <c r="A95" s="45" t="s">
        <v>2653</v>
      </c>
      <c r="B95" s="40" t="s">
        <v>1351</v>
      </c>
      <c r="C95" s="41" t="s">
        <v>1761</v>
      </c>
      <c r="D95" s="21" t="s">
        <v>2245</v>
      </c>
      <c r="E95" s="21" t="s">
        <v>2222</v>
      </c>
      <c r="F95" s="24">
        <v>0.15702233868474999</v>
      </c>
      <c r="G95" s="21">
        <v>12</v>
      </c>
      <c r="H95" s="17">
        <v>12.59</v>
      </c>
      <c r="I95" s="43" t="s">
        <v>3950</v>
      </c>
      <c r="J95" s="26"/>
      <c r="K95" s="17">
        <f t="shared" si="6"/>
        <v>0</v>
      </c>
      <c r="N95" s="31" t="str">
        <f t="shared" si="7"/>
        <v>-</v>
      </c>
      <c r="O95" s="31" t="str">
        <f t="shared" si="9"/>
        <v>-</v>
      </c>
      <c r="P95" s="35" t="str">
        <f t="shared" si="8"/>
        <v>-</v>
      </c>
      <c r="Q95" s="32" t="str">
        <f t="shared" si="10"/>
        <v>-</v>
      </c>
      <c r="S95" s="32" t="str">
        <f t="shared" si="11"/>
        <v>-</v>
      </c>
    </row>
    <row r="96" spans="1:19" x14ac:dyDescent="0.3">
      <c r="A96" s="45" t="s">
        <v>2667</v>
      </c>
      <c r="B96" s="40" t="s">
        <v>564</v>
      </c>
      <c r="C96" s="41" t="s">
        <v>1701</v>
      </c>
      <c r="D96" s="21" t="s">
        <v>2250</v>
      </c>
      <c r="E96" s="21" t="s">
        <v>2222</v>
      </c>
      <c r="F96" s="24">
        <v>0.73491602777862497</v>
      </c>
      <c r="G96" s="21">
        <v>12</v>
      </c>
      <c r="H96" s="17">
        <v>29.7</v>
      </c>
      <c r="I96" s="43" t="s">
        <v>3950</v>
      </c>
      <c r="J96" s="26"/>
      <c r="K96" s="17">
        <f t="shared" si="6"/>
        <v>0</v>
      </c>
      <c r="N96" s="31" t="str">
        <f t="shared" si="7"/>
        <v>-</v>
      </c>
      <c r="O96" s="31" t="str">
        <f t="shared" si="9"/>
        <v>-</v>
      </c>
      <c r="P96" s="35" t="str">
        <f t="shared" si="8"/>
        <v>-</v>
      </c>
      <c r="Q96" s="32" t="str">
        <f t="shared" si="10"/>
        <v>-</v>
      </c>
      <c r="S96" s="32" t="str">
        <f t="shared" si="11"/>
        <v>-</v>
      </c>
    </row>
    <row r="97" spans="1:19" x14ac:dyDescent="0.3">
      <c r="A97" s="45" t="s">
        <v>2696</v>
      </c>
      <c r="B97" s="40" t="s">
        <v>259</v>
      </c>
      <c r="C97" s="41" t="s">
        <v>1778</v>
      </c>
      <c r="D97" s="21" t="s">
        <v>2239</v>
      </c>
      <c r="E97" s="21" t="s">
        <v>2238</v>
      </c>
      <c r="F97" s="24">
        <v>6.606950862691667E-2</v>
      </c>
      <c r="G97" s="21">
        <v>12</v>
      </c>
      <c r="H97" s="17">
        <v>7.79</v>
      </c>
      <c r="I97" s="43" t="s">
        <v>3950</v>
      </c>
      <c r="J97" s="26"/>
      <c r="K97" s="17">
        <f t="shared" si="6"/>
        <v>0</v>
      </c>
      <c r="N97" s="31" t="str">
        <f t="shared" si="7"/>
        <v>-</v>
      </c>
      <c r="O97" s="31" t="str">
        <f t="shared" si="9"/>
        <v>-</v>
      </c>
      <c r="P97" s="35" t="str">
        <f t="shared" si="8"/>
        <v>-</v>
      </c>
      <c r="Q97" s="32" t="str">
        <f t="shared" si="10"/>
        <v>-</v>
      </c>
      <c r="S97" s="32" t="str">
        <f t="shared" si="11"/>
        <v>-</v>
      </c>
    </row>
    <row r="98" spans="1:19" x14ac:dyDescent="0.3">
      <c r="A98" s="45" t="s">
        <v>2697</v>
      </c>
      <c r="B98" s="40" t="s">
        <v>592</v>
      </c>
      <c r="C98" s="41" t="s">
        <v>1778</v>
      </c>
      <c r="D98" s="21" t="s">
        <v>2221</v>
      </c>
      <c r="E98" s="21" t="s">
        <v>2238</v>
      </c>
      <c r="F98" s="24">
        <v>0.10940080973937501</v>
      </c>
      <c r="G98" s="21">
        <v>12</v>
      </c>
      <c r="H98" s="17">
        <v>14.55</v>
      </c>
      <c r="I98" s="43" t="s">
        <v>3950</v>
      </c>
      <c r="J98" s="26"/>
      <c r="K98" s="17">
        <f t="shared" si="6"/>
        <v>0</v>
      </c>
      <c r="N98" s="31" t="str">
        <f t="shared" si="7"/>
        <v>-</v>
      </c>
      <c r="O98" s="31" t="str">
        <f t="shared" si="9"/>
        <v>-</v>
      </c>
      <c r="P98" s="35" t="str">
        <f t="shared" si="8"/>
        <v>-</v>
      </c>
      <c r="Q98" s="32" t="str">
        <f t="shared" si="10"/>
        <v>-</v>
      </c>
      <c r="S98" s="32" t="str">
        <f t="shared" si="11"/>
        <v>-</v>
      </c>
    </row>
    <row r="99" spans="1:19" x14ac:dyDescent="0.3">
      <c r="A99" s="45" t="s">
        <v>2717</v>
      </c>
      <c r="B99" s="40" t="s">
        <v>348</v>
      </c>
      <c r="C99" s="41" t="s">
        <v>1788</v>
      </c>
      <c r="D99" s="21" t="s">
        <v>2239</v>
      </c>
      <c r="E99" s="21" t="s">
        <v>2222</v>
      </c>
      <c r="F99" s="24">
        <v>6.0921235227416673E-2</v>
      </c>
      <c r="G99" s="21">
        <v>12</v>
      </c>
      <c r="H99" s="17">
        <v>5.0999999999999996</v>
      </c>
      <c r="I99" s="43" t="s">
        <v>3950</v>
      </c>
      <c r="J99" s="26"/>
      <c r="K99" s="17">
        <f t="shared" si="6"/>
        <v>0</v>
      </c>
      <c r="N99" s="31" t="str">
        <f t="shared" si="7"/>
        <v>-</v>
      </c>
      <c r="O99" s="31" t="str">
        <f t="shared" si="9"/>
        <v>-</v>
      </c>
      <c r="P99" s="35" t="str">
        <f t="shared" si="8"/>
        <v>-</v>
      </c>
      <c r="Q99" s="32" t="str">
        <f t="shared" si="10"/>
        <v>-</v>
      </c>
      <c r="S99" s="32" t="str">
        <f t="shared" si="11"/>
        <v>-</v>
      </c>
    </row>
    <row r="100" spans="1:19" x14ac:dyDescent="0.3">
      <c r="A100" s="45" t="s">
        <v>2718</v>
      </c>
      <c r="B100" s="40" t="s">
        <v>708</v>
      </c>
      <c r="C100" s="41" t="s">
        <v>1788</v>
      </c>
      <c r="D100" s="21" t="s">
        <v>2221</v>
      </c>
      <c r="E100" s="21" t="s">
        <v>2222</v>
      </c>
      <c r="F100" s="24">
        <v>8.7520647791500011E-2</v>
      </c>
      <c r="G100" s="21">
        <v>12</v>
      </c>
      <c r="H100" s="17">
        <v>9.3000000000000007</v>
      </c>
      <c r="I100" s="43" t="s">
        <v>3950</v>
      </c>
      <c r="J100" s="26"/>
      <c r="K100" s="17">
        <f t="shared" si="6"/>
        <v>0</v>
      </c>
      <c r="N100" s="31" t="str">
        <f t="shared" si="7"/>
        <v>-</v>
      </c>
      <c r="O100" s="31" t="str">
        <f t="shared" si="9"/>
        <v>-</v>
      </c>
      <c r="P100" s="35" t="str">
        <f t="shared" si="8"/>
        <v>-</v>
      </c>
      <c r="Q100" s="32" t="str">
        <f t="shared" si="10"/>
        <v>-</v>
      </c>
      <c r="S100" s="32" t="str">
        <f t="shared" si="11"/>
        <v>-</v>
      </c>
    </row>
    <row r="101" spans="1:19" x14ac:dyDescent="0.3">
      <c r="A101" s="45" t="s">
        <v>2719</v>
      </c>
      <c r="B101" s="40" t="s">
        <v>98</v>
      </c>
      <c r="C101" s="41" t="s">
        <v>1673</v>
      </c>
      <c r="D101" s="21" t="s">
        <v>2221</v>
      </c>
      <c r="E101" s="21" t="s">
        <v>2232</v>
      </c>
      <c r="F101" s="24">
        <v>0.23424643967725001</v>
      </c>
      <c r="G101" s="21">
        <v>12</v>
      </c>
      <c r="H101" s="17">
        <v>12.45</v>
      </c>
      <c r="I101" s="43" t="s">
        <v>3950</v>
      </c>
      <c r="J101" s="26"/>
      <c r="K101" s="17">
        <f t="shared" si="6"/>
        <v>0</v>
      </c>
      <c r="N101" s="31" t="str">
        <f t="shared" si="7"/>
        <v>-</v>
      </c>
      <c r="O101" s="31" t="str">
        <f t="shared" si="9"/>
        <v>-</v>
      </c>
      <c r="P101" s="35" t="str">
        <f t="shared" si="8"/>
        <v>-</v>
      </c>
      <c r="Q101" s="32" t="str">
        <f t="shared" si="10"/>
        <v>-</v>
      </c>
      <c r="S101" s="32" t="str">
        <f t="shared" si="11"/>
        <v>-</v>
      </c>
    </row>
    <row r="102" spans="1:19" x14ac:dyDescent="0.3">
      <c r="A102" s="45" t="s">
        <v>2720</v>
      </c>
      <c r="B102" s="40" t="s">
        <v>1505</v>
      </c>
      <c r="C102" s="41" t="s">
        <v>1789</v>
      </c>
      <c r="D102" s="21" t="s">
        <v>2223</v>
      </c>
      <c r="E102" s="21" t="s">
        <v>2222</v>
      </c>
      <c r="F102" s="24">
        <v>9.009478449125001E-2</v>
      </c>
      <c r="G102" s="21">
        <v>12</v>
      </c>
      <c r="H102" s="17">
        <v>7.05</v>
      </c>
      <c r="I102" s="43" t="s">
        <v>3950</v>
      </c>
      <c r="J102" s="26"/>
      <c r="K102" s="17">
        <f t="shared" si="6"/>
        <v>0</v>
      </c>
      <c r="N102" s="31" t="str">
        <f t="shared" si="7"/>
        <v>-</v>
      </c>
      <c r="O102" s="31" t="str">
        <f t="shared" si="9"/>
        <v>-</v>
      </c>
      <c r="P102" s="35" t="str">
        <f t="shared" si="8"/>
        <v>-</v>
      </c>
      <c r="Q102" s="32" t="str">
        <f t="shared" si="10"/>
        <v>-</v>
      </c>
      <c r="S102" s="32" t="str">
        <f t="shared" si="11"/>
        <v>-</v>
      </c>
    </row>
    <row r="103" spans="1:19" x14ac:dyDescent="0.3">
      <c r="A103" s="45" t="s">
        <v>2726</v>
      </c>
      <c r="B103" s="40" t="s">
        <v>1510</v>
      </c>
      <c r="C103" s="41" t="s">
        <v>1791</v>
      </c>
      <c r="D103" s="21" t="s">
        <v>2242</v>
      </c>
      <c r="E103" s="21" t="s">
        <v>2222</v>
      </c>
      <c r="F103" s="24">
        <v>0.18190566011566667</v>
      </c>
      <c r="G103" s="21">
        <v>12</v>
      </c>
      <c r="H103" s="17">
        <v>11.99</v>
      </c>
      <c r="I103" s="43" t="s">
        <v>3950</v>
      </c>
      <c r="J103" s="26"/>
      <c r="K103" s="17">
        <f t="shared" si="6"/>
        <v>0</v>
      </c>
      <c r="N103" s="31" t="str">
        <f t="shared" si="7"/>
        <v>-</v>
      </c>
      <c r="O103" s="31" t="str">
        <f t="shared" si="9"/>
        <v>-</v>
      </c>
      <c r="P103" s="35" t="str">
        <f t="shared" si="8"/>
        <v>-</v>
      </c>
      <c r="Q103" s="32" t="str">
        <f t="shared" si="10"/>
        <v>-</v>
      </c>
      <c r="S103" s="32" t="str">
        <f t="shared" si="11"/>
        <v>-</v>
      </c>
    </row>
    <row r="104" spans="1:19" x14ac:dyDescent="0.3">
      <c r="A104" s="45" t="s">
        <v>2727</v>
      </c>
      <c r="B104" s="40" t="s">
        <v>1511</v>
      </c>
      <c r="C104" s="41" t="s">
        <v>1791</v>
      </c>
      <c r="D104" s="21" t="s">
        <v>2246</v>
      </c>
      <c r="E104" s="21" t="s">
        <v>2222</v>
      </c>
      <c r="F104" s="24">
        <v>0.41400698587645834</v>
      </c>
      <c r="G104" s="21">
        <v>12</v>
      </c>
      <c r="H104" s="17">
        <v>27.59</v>
      </c>
      <c r="I104" s="43" t="s">
        <v>3950</v>
      </c>
      <c r="J104" s="26"/>
      <c r="K104" s="17">
        <f t="shared" si="6"/>
        <v>0</v>
      </c>
      <c r="N104" s="31" t="str">
        <f t="shared" si="7"/>
        <v>-</v>
      </c>
      <c r="O104" s="31" t="str">
        <f t="shared" si="9"/>
        <v>-</v>
      </c>
      <c r="P104" s="35" t="str">
        <f t="shared" si="8"/>
        <v>-</v>
      </c>
      <c r="Q104" s="32" t="str">
        <f t="shared" si="10"/>
        <v>-</v>
      </c>
      <c r="S104" s="32" t="str">
        <f t="shared" si="11"/>
        <v>-</v>
      </c>
    </row>
    <row r="105" spans="1:19" x14ac:dyDescent="0.3">
      <c r="A105" s="45" t="s">
        <v>2746</v>
      </c>
      <c r="B105" s="40" t="s">
        <v>1518</v>
      </c>
      <c r="C105" s="41" t="s">
        <v>1801</v>
      </c>
      <c r="D105" s="21" t="s">
        <v>2227</v>
      </c>
      <c r="E105" s="21" t="s">
        <v>2222</v>
      </c>
      <c r="F105" s="24">
        <v>6.6927554193500008E-2</v>
      </c>
      <c r="G105" s="21">
        <v>12</v>
      </c>
      <c r="H105" s="17">
        <v>13.79</v>
      </c>
      <c r="I105" s="43" t="s">
        <v>3950</v>
      </c>
      <c r="J105" s="26"/>
      <c r="K105" s="17">
        <f t="shared" si="6"/>
        <v>0</v>
      </c>
      <c r="N105" s="31" t="str">
        <f t="shared" si="7"/>
        <v>-</v>
      </c>
      <c r="O105" s="31" t="str">
        <f t="shared" si="9"/>
        <v>-</v>
      </c>
      <c r="P105" s="35" t="str">
        <f t="shared" si="8"/>
        <v>-</v>
      </c>
      <c r="Q105" s="32" t="str">
        <f t="shared" si="10"/>
        <v>-</v>
      </c>
      <c r="S105" s="32" t="str">
        <f t="shared" si="11"/>
        <v>-</v>
      </c>
    </row>
    <row r="106" spans="1:19" x14ac:dyDescent="0.3">
      <c r="A106" s="45" t="s">
        <v>2747</v>
      </c>
      <c r="B106" s="40" t="s">
        <v>491</v>
      </c>
      <c r="C106" s="41" t="s">
        <v>1768</v>
      </c>
      <c r="D106" s="21" t="s">
        <v>2221</v>
      </c>
      <c r="E106" s="21" t="s">
        <v>2222</v>
      </c>
      <c r="F106" s="24">
        <v>5.5772961827916676E-2</v>
      </c>
      <c r="G106" s="21">
        <v>12</v>
      </c>
      <c r="H106" s="17">
        <v>6.59</v>
      </c>
      <c r="I106" s="43" t="s">
        <v>3950</v>
      </c>
      <c r="J106" s="26"/>
      <c r="K106" s="17">
        <f t="shared" si="6"/>
        <v>0</v>
      </c>
      <c r="N106" s="31" t="str">
        <f t="shared" si="7"/>
        <v>-</v>
      </c>
      <c r="O106" s="31" t="str">
        <f t="shared" si="9"/>
        <v>-</v>
      </c>
      <c r="P106" s="35" t="str">
        <f t="shared" si="8"/>
        <v>-</v>
      </c>
      <c r="Q106" s="32" t="str">
        <f t="shared" si="10"/>
        <v>-</v>
      </c>
      <c r="S106" s="32" t="str">
        <f t="shared" si="11"/>
        <v>-</v>
      </c>
    </row>
    <row r="107" spans="1:19" x14ac:dyDescent="0.3">
      <c r="A107" s="45" t="s">
        <v>2760</v>
      </c>
      <c r="B107" s="40" t="s">
        <v>1082</v>
      </c>
      <c r="C107" s="41" t="s">
        <v>1806</v>
      </c>
      <c r="D107" s="21" t="s">
        <v>2221</v>
      </c>
      <c r="E107" s="21" t="s">
        <v>2238</v>
      </c>
      <c r="F107" s="24">
        <v>6.606950862691667E-2</v>
      </c>
      <c r="G107" s="21">
        <v>12</v>
      </c>
      <c r="H107" s="17">
        <v>5.7</v>
      </c>
      <c r="I107" s="43" t="s">
        <v>3950</v>
      </c>
      <c r="J107" s="26"/>
      <c r="K107" s="17">
        <f t="shared" si="6"/>
        <v>0</v>
      </c>
      <c r="N107" s="31" t="str">
        <f t="shared" si="7"/>
        <v>-</v>
      </c>
      <c r="O107" s="31" t="str">
        <f t="shared" si="9"/>
        <v>-</v>
      </c>
      <c r="P107" s="35" t="str">
        <f t="shared" si="8"/>
        <v>-</v>
      </c>
      <c r="Q107" s="32" t="str">
        <f t="shared" si="10"/>
        <v>-</v>
      </c>
      <c r="S107" s="32" t="str">
        <f t="shared" si="11"/>
        <v>-</v>
      </c>
    </row>
    <row r="108" spans="1:19" x14ac:dyDescent="0.3">
      <c r="A108" s="45" t="s">
        <v>2776</v>
      </c>
      <c r="B108" s="40" t="s">
        <v>518</v>
      </c>
      <c r="C108" s="41" t="s">
        <v>1645</v>
      </c>
      <c r="D108" s="21" t="s">
        <v>2254</v>
      </c>
      <c r="E108" s="21" t="s">
        <v>2222</v>
      </c>
      <c r="F108" s="24">
        <v>0.10296546799</v>
      </c>
      <c r="G108" s="21">
        <v>12</v>
      </c>
      <c r="H108" s="17">
        <v>6.9</v>
      </c>
      <c r="I108" s="43" t="s">
        <v>3950</v>
      </c>
      <c r="J108" s="26"/>
      <c r="K108" s="17">
        <f t="shared" si="6"/>
        <v>0</v>
      </c>
      <c r="N108" s="31" t="str">
        <f t="shared" si="7"/>
        <v>-</v>
      </c>
      <c r="O108" s="31" t="str">
        <f t="shared" si="9"/>
        <v>-</v>
      </c>
      <c r="P108" s="35" t="str">
        <f t="shared" si="8"/>
        <v>-</v>
      </c>
      <c r="Q108" s="32" t="str">
        <f t="shared" si="10"/>
        <v>-</v>
      </c>
      <c r="S108" s="32" t="str">
        <f t="shared" si="11"/>
        <v>-</v>
      </c>
    </row>
    <row r="109" spans="1:19" x14ac:dyDescent="0.3">
      <c r="A109" s="45" t="s">
        <v>2780</v>
      </c>
      <c r="B109" s="40" t="s">
        <v>1227</v>
      </c>
      <c r="C109" s="41" t="s">
        <v>1811</v>
      </c>
      <c r="D109" s="21" t="s">
        <v>2224</v>
      </c>
      <c r="E109" s="21" t="s">
        <v>2222</v>
      </c>
      <c r="F109" s="24">
        <v>0.14329360961941667</v>
      </c>
      <c r="G109" s="21">
        <v>12</v>
      </c>
      <c r="H109" s="17">
        <v>7.65</v>
      </c>
      <c r="I109" s="43" t="s">
        <v>3950</v>
      </c>
      <c r="J109" s="26"/>
      <c r="K109" s="17">
        <f t="shared" si="6"/>
        <v>0</v>
      </c>
      <c r="N109" s="31" t="str">
        <f t="shared" si="7"/>
        <v>-</v>
      </c>
      <c r="O109" s="31" t="str">
        <f t="shared" si="9"/>
        <v>-</v>
      </c>
      <c r="P109" s="35" t="str">
        <f t="shared" si="8"/>
        <v>-</v>
      </c>
      <c r="Q109" s="32" t="str">
        <f t="shared" si="10"/>
        <v>-</v>
      </c>
      <c r="S109" s="32" t="str">
        <f t="shared" si="11"/>
        <v>-</v>
      </c>
    </row>
    <row r="110" spans="1:19" x14ac:dyDescent="0.3">
      <c r="A110" s="45" t="s">
        <v>2781</v>
      </c>
      <c r="B110" s="40" t="s">
        <v>421</v>
      </c>
      <c r="C110" s="41" t="s">
        <v>1811</v>
      </c>
      <c r="D110" s="21" t="s">
        <v>2227</v>
      </c>
      <c r="E110" s="21" t="s">
        <v>2222</v>
      </c>
      <c r="F110" s="24">
        <v>0.25483953327525005</v>
      </c>
      <c r="G110" s="21">
        <v>12</v>
      </c>
      <c r="H110" s="17">
        <v>14.1</v>
      </c>
      <c r="I110" s="43" t="s">
        <v>3950</v>
      </c>
      <c r="J110" s="26"/>
      <c r="K110" s="17">
        <f t="shared" si="6"/>
        <v>0</v>
      </c>
      <c r="N110" s="31" t="str">
        <f t="shared" si="7"/>
        <v>-</v>
      </c>
      <c r="O110" s="31" t="str">
        <f t="shared" si="9"/>
        <v>-</v>
      </c>
      <c r="P110" s="35" t="str">
        <f t="shared" si="8"/>
        <v>-</v>
      </c>
      <c r="Q110" s="32" t="str">
        <f t="shared" si="10"/>
        <v>-</v>
      </c>
      <c r="S110" s="32" t="str">
        <f t="shared" si="11"/>
        <v>-</v>
      </c>
    </row>
    <row r="111" spans="1:19" x14ac:dyDescent="0.3">
      <c r="A111" s="45" t="s">
        <v>2788</v>
      </c>
      <c r="B111" s="40" t="s">
        <v>424</v>
      </c>
      <c r="C111" s="41" t="s">
        <v>1640</v>
      </c>
      <c r="D111" s="21" t="s">
        <v>2227</v>
      </c>
      <c r="E111" s="21" t="s">
        <v>2222</v>
      </c>
      <c r="F111" s="24">
        <v>6.606950862691667E-2</v>
      </c>
      <c r="G111" s="21">
        <v>12</v>
      </c>
      <c r="H111" s="17">
        <v>7.5</v>
      </c>
      <c r="I111" s="43" t="s">
        <v>3950</v>
      </c>
      <c r="J111" s="26"/>
      <c r="K111" s="17">
        <f t="shared" si="6"/>
        <v>0</v>
      </c>
      <c r="N111" s="31" t="str">
        <f t="shared" si="7"/>
        <v>-</v>
      </c>
      <c r="O111" s="31" t="str">
        <f t="shared" si="9"/>
        <v>-</v>
      </c>
      <c r="P111" s="35" t="str">
        <f t="shared" si="8"/>
        <v>-</v>
      </c>
      <c r="Q111" s="32" t="str">
        <f t="shared" si="10"/>
        <v>-</v>
      </c>
      <c r="S111" s="32" t="str">
        <f t="shared" si="11"/>
        <v>-</v>
      </c>
    </row>
    <row r="112" spans="1:19" x14ac:dyDescent="0.3">
      <c r="A112" s="45" t="s">
        <v>2801</v>
      </c>
      <c r="B112" s="40" t="s">
        <v>532</v>
      </c>
      <c r="C112" s="41" t="s">
        <v>1815</v>
      </c>
      <c r="D112" s="21" t="s">
        <v>2223</v>
      </c>
      <c r="E112" s="21" t="s">
        <v>2222</v>
      </c>
      <c r="F112" s="24">
        <v>4.0328141629416663E-2</v>
      </c>
      <c r="G112" s="21">
        <v>12</v>
      </c>
      <c r="H112" s="17">
        <v>7.95</v>
      </c>
      <c r="I112" s="43" t="s">
        <v>3950</v>
      </c>
      <c r="J112" s="26"/>
      <c r="K112" s="17">
        <f t="shared" si="6"/>
        <v>0</v>
      </c>
      <c r="N112" s="31" t="str">
        <f t="shared" si="7"/>
        <v>-</v>
      </c>
      <c r="O112" s="31" t="str">
        <f t="shared" si="9"/>
        <v>-</v>
      </c>
      <c r="P112" s="35" t="str">
        <f t="shared" si="8"/>
        <v>-</v>
      </c>
      <c r="Q112" s="32" t="str">
        <f t="shared" si="10"/>
        <v>-</v>
      </c>
      <c r="S112" s="32" t="str">
        <f t="shared" si="11"/>
        <v>-</v>
      </c>
    </row>
    <row r="113" spans="1:19" x14ac:dyDescent="0.3">
      <c r="A113" s="45" t="s">
        <v>2805</v>
      </c>
      <c r="B113" s="40" t="s">
        <v>1226</v>
      </c>
      <c r="C113" s="41" t="s">
        <v>1817</v>
      </c>
      <c r="D113" s="21" t="s">
        <v>2224</v>
      </c>
      <c r="E113" s="21" t="s">
        <v>2222</v>
      </c>
      <c r="F113" s="24">
        <v>5.0624688428416671E-2</v>
      </c>
      <c r="G113" s="21">
        <v>12</v>
      </c>
      <c r="H113" s="17">
        <v>4.6500000000000004</v>
      </c>
      <c r="I113" s="43" t="s">
        <v>3950</v>
      </c>
      <c r="J113" s="26"/>
      <c r="K113" s="17">
        <f t="shared" si="6"/>
        <v>0</v>
      </c>
      <c r="N113" s="31" t="str">
        <f t="shared" si="7"/>
        <v>-</v>
      </c>
      <c r="O113" s="31" t="str">
        <f t="shared" si="9"/>
        <v>-</v>
      </c>
      <c r="P113" s="35" t="str">
        <f t="shared" si="8"/>
        <v>-</v>
      </c>
      <c r="Q113" s="32" t="str">
        <f t="shared" si="10"/>
        <v>-</v>
      </c>
      <c r="S113" s="32" t="str">
        <f t="shared" si="11"/>
        <v>-</v>
      </c>
    </row>
    <row r="114" spans="1:19" x14ac:dyDescent="0.3">
      <c r="A114" s="45" t="s">
        <v>2806</v>
      </c>
      <c r="B114" s="40" t="s">
        <v>230</v>
      </c>
      <c r="C114" s="41" t="s">
        <v>1817</v>
      </c>
      <c r="D114" s="21" t="s">
        <v>2227</v>
      </c>
      <c r="E114" s="21" t="s">
        <v>2222</v>
      </c>
      <c r="F114" s="24">
        <v>7.2075827592999991E-2</v>
      </c>
      <c r="G114" s="21">
        <v>12</v>
      </c>
      <c r="H114" s="17">
        <v>8.6999999999999993</v>
      </c>
      <c r="I114" s="43" t="s">
        <v>3950</v>
      </c>
      <c r="J114" s="26"/>
      <c r="K114" s="17">
        <f t="shared" si="6"/>
        <v>0</v>
      </c>
      <c r="N114" s="31" t="str">
        <f t="shared" si="7"/>
        <v>-</v>
      </c>
      <c r="O114" s="31" t="str">
        <f t="shared" si="9"/>
        <v>-</v>
      </c>
      <c r="P114" s="35" t="str">
        <f t="shared" si="8"/>
        <v>-</v>
      </c>
      <c r="Q114" s="32" t="str">
        <f t="shared" si="10"/>
        <v>-</v>
      </c>
      <c r="S114" s="32" t="str">
        <f t="shared" si="11"/>
        <v>-</v>
      </c>
    </row>
    <row r="115" spans="1:19" x14ac:dyDescent="0.3">
      <c r="A115" s="45" t="s">
        <v>2809</v>
      </c>
      <c r="B115" s="40" t="s">
        <v>1523</v>
      </c>
      <c r="C115" s="41" t="s">
        <v>1607</v>
      </c>
      <c r="D115" s="21" t="s">
        <v>2226</v>
      </c>
      <c r="E115" s="21" t="s">
        <v>2222</v>
      </c>
      <c r="F115" s="24">
        <v>0.38268832269616665</v>
      </c>
      <c r="G115" s="21">
        <v>12</v>
      </c>
      <c r="H115" s="17">
        <v>33.15</v>
      </c>
      <c r="I115" s="43" t="s">
        <v>3950</v>
      </c>
      <c r="J115" s="26"/>
      <c r="K115" s="17">
        <f t="shared" si="6"/>
        <v>0</v>
      </c>
      <c r="N115" s="31" t="str">
        <f t="shared" si="7"/>
        <v>-</v>
      </c>
      <c r="O115" s="31" t="str">
        <f t="shared" si="9"/>
        <v>-</v>
      </c>
      <c r="P115" s="35" t="str">
        <f t="shared" si="8"/>
        <v>-</v>
      </c>
      <c r="Q115" s="32" t="str">
        <f t="shared" si="10"/>
        <v>-</v>
      </c>
      <c r="S115" s="32" t="str">
        <f t="shared" si="11"/>
        <v>-</v>
      </c>
    </row>
    <row r="116" spans="1:19" x14ac:dyDescent="0.3">
      <c r="A116" s="45" t="s">
        <v>2811</v>
      </c>
      <c r="B116" s="40" t="s">
        <v>42</v>
      </c>
      <c r="C116" s="41" t="s">
        <v>1818</v>
      </c>
      <c r="D116" s="21" t="s">
        <v>2221</v>
      </c>
      <c r="E116" s="21" t="s">
        <v>2222</v>
      </c>
      <c r="F116" s="24">
        <v>0.25912976110816666</v>
      </c>
      <c r="G116" s="21">
        <v>12</v>
      </c>
      <c r="H116" s="17">
        <v>13.5</v>
      </c>
      <c r="I116" s="43" t="s">
        <v>3950</v>
      </c>
      <c r="J116" s="26"/>
      <c r="K116" s="17">
        <f t="shared" si="6"/>
        <v>0</v>
      </c>
      <c r="N116" s="31" t="str">
        <f t="shared" si="7"/>
        <v>-</v>
      </c>
      <c r="O116" s="31" t="str">
        <f t="shared" si="9"/>
        <v>-</v>
      </c>
      <c r="P116" s="35" t="str">
        <f t="shared" si="8"/>
        <v>-</v>
      </c>
      <c r="Q116" s="32" t="str">
        <f t="shared" si="10"/>
        <v>-</v>
      </c>
      <c r="S116" s="32" t="str">
        <f t="shared" si="11"/>
        <v>-</v>
      </c>
    </row>
    <row r="117" spans="1:19" x14ac:dyDescent="0.3">
      <c r="A117" s="45" t="s">
        <v>2815</v>
      </c>
      <c r="B117" s="40" t="s">
        <v>1164</v>
      </c>
      <c r="C117" s="41" t="s">
        <v>1672</v>
      </c>
      <c r="D117" s="21" t="s">
        <v>2227</v>
      </c>
      <c r="E117" s="21" t="s">
        <v>2222</v>
      </c>
      <c r="F117" s="24">
        <v>7.1217782026416682E-2</v>
      </c>
      <c r="G117" s="21">
        <v>12</v>
      </c>
      <c r="H117" s="17">
        <v>9.3000000000000007</v>
      </c>
      <c r="I117" s="43" t="s">
        <v>3950</v>
      </c>
      <c r="J117" s="26"/>
      <c r="K117" s="17">
        <f t="shared" si="6"/>
        <v>0</v>
      </c>
      <c r="N117" s="31" t="str">
        <f t="shared" si="7"/>
        <v>-</v>
      </c>
      <c r="O117" s="31" t="str">
        <f t="shared" si="9"/>
        <v>-</v>
      </c>
      <c r="P117" s="35" t="str">
        <f t="shared" si="8"/>
        <v>-</v>
      </c>
      <c r="Q117" s="32" t="str">
        <f t="shared" si="10"/>
        <v>-</v>
      </c>
      <c r="S117" s="32" t="str">
        <f t="shared" si="11"/>
        <v>-</v>
      </c>
    </row>
    <row r="118" spans="1:19" x14ac:dyDescent="0.3">
      <c r="A118" s="45" t="s">
        <v>2816</v>
      </c>
      <c r="B118" s="40" t="s">
        <v>706</v>
      </c>
      <c r="C118" s="41" t="s">
        <v>1820</v>
      </c>
      <c r="D118" s="21" t="s">
        <v>2223</v>
      </c>
      <c r="E118" s="21" t="s">
        <v>2222</v>
      </c>
      <c r="F118" s="24">
        <v>5.5772961827916676E-2</v>
      </c>
      <c r="G118" s="21">
        <v>12</v>
      </c>
      <c r="H118" s="17">
        <v>5.25</v>
      </c>
      <c r="I118" s="43" t="s">
        <v>3950</v>
      </c>
      <c r="J118" s="26"/>
      <c r="K118" s="17">
        <f t="shared" si="6"/>
        <v>0</v>
      </c>
      <c r="N118" s="31" t="str">
        <f t="shared" si="7"/>
        <v>-</v>
      </c>
      <c r="O118" s="31" t="str">
        <f t="shared" si="9"/>
        <v>-</v>
      </c>
      <c r="P118" s="35" t="str">
        <f t="shared" si="8"/>
        <v>-</v>
      </c>
      <c r="Q118" s="32" t="str">
        <f t="shared" si="10"/>
        <v>-</v>
      </c>
      <c r="S118" s="32" t="str">
        <f t="shared" si="11"/>
        <v>-</v>
      </c>
    </row>
    <row r="119" spans="1:19" x14ac:dyDescent="0.3">
      <c r="A119" s="45" t="s">
        <v>2817</v>
      </c>
      <c r="B119" s="40" t="s">
        <v>736</v>
      </c>
      <c r="C119" s="41" t="s">
        <v>1820</v>
      </c>
      <c r="D119" s="21" t="s">
        <v>2224</v>
      </c>
      <c r="E119" s="21" t="s">
        <v>2222</v>
      </c>
      <c r="F119" s="24">
        <v>8.7520647791500011E-2</v>
      </c>
      <c r="G119" s="21">
        <v>12</v>
      </c>
      <c r="H119" s="17">
        <v>9.59</v>
      </c>
      <c r="I119" s="43" t="s">
        <v>3950</v>
      </c>
      <c r="J119" s="26"/>
      <c r="K119" s="17">
        <f t="shared" si="6"/>
        <v>0</v>
      </c>
      <c r="N119" s="31" t="str">
        <f t="shared" si="7"/>
        <v>-</v>
      </c>
      <c r="O119" s="31" t="str">
        <f t="shared" si="9"/>
        <v>-</v>
      </c>
      <c r="P119" s="35" t="str">
        <f t="shared" si="8"/>
        <v>-</v>
      </c>
      <c r="Q119" s="32" t="str">
        <f t="shared" si="10"/>
        <v>-</v>
      </c>
      <c r="S119" s="32" t="str">
        <f t="shared" si="11"/>
        <v>-</v>
      </c>
    </row>
    <row r="120" spans="1:19" x14ac:dyDescent="0.3">
      <c r="A120" s="45" t="s">
        <v>2829</v>
      </c>
      <c r="B120" s="40" t="s">
        <v>308</v>
      </c>
      <c r="C120" s="41" t="s">
        <v>1742</v>
      </c>
      <c r="D120" s="21" t="s">
        <v>2223</v>
      </c>
      <c r="E120" s="21" t="s">
        <v>2234</v>
      </c>
      <c r="F120" s="24">
        <v>4.0328141629416663E-2</v>
      </c>
      <c r="G120" s="21">
        <v>12</v>
      </c>
      <c r="H120" s="17">
        <v>6.9</v>
      </c>
      <c r="I120" s="43" t="s">
        <v>3950</v>
      </c>
      <c r="J120" s="26"/>
      <c r="K120" s="17">
        <f t="shared" si="6"/>
        <v>0</v>
      </c>
      <c r="N120" s="31" t="str">
        <f t="shared" si="7"/>
        <v>-</v>
      </c>
      <c r="O120" s="31" t="str">
        <f t="shared" si="9"/>
        <v>-</v>
      </c>
      <c r="P120" s="35" t="str">
        <f t="shared" si="8"/>
        <v>-</v>
      </c>
      <c r="Q120" s="32" t="str">
        <f t="shared" si="10"/>
        <v>-</v>
      </c>
      <c r="S120" s="32" t="str">
        <f t="shared" si="11"/>
        <v>-</v>
      </c>
    </row>
    <row r="121" spans="1:19" x14ac:dyDescent="0.3">
      <c r="A121" s="45" t="s">
        <v>2831</v>
      </c>
      <c r="B121" s="40" t="s">
        <v>563</v>
      </c>
      <c r="C121" s="41" t="s">
        <v>1824</v>
      </c>
      <c r="D121" s="21" t="s">
        <v>2224</v>
      </c>
      <c r="E121" s="21" t="s">
        <v>2222</v>
      </c>
      <c r="F121" s="24">
        <v>0.11969735653837503</v>
      </c>
      <c r="G121" s="21">
        <v>12</v>
      </c>
      <c r="H121" s="17">
        <v>7.05</v>
      </c>
      <c r="I121" s="43" t="s">
        <v>3950</v>
      </c>
      <c r="J121" s="26"/>
      <c r="K121" s="17">
        <f t="shared" si="6"/>
        <v>0</v>
      </c>
      <c r="N121" s="31" t="str">
        <f t="shared" si="7"/>
        <v>-</v>
      </c>
      <c r="O121" s="31" t="str">
        <f t="shared" si="9"/>
        <v>-</v>
      </c>
      <c r="P121" s="35" t="str">
        <f t="shared" si="8"/>
        <v>-</v>
      </c>
      <c r="Q121" s="32" t="str">
        <f t="shared" si="10"/>
        <v>-</v>
      </c>
      <c r="S121" s="32" t="str">
        <f t="shared" si="11"/>
        <v>-</v>
      </c>
    </row>
    <row r="122" spans="1:19" x14ac:dyDescent="0.3">
      <c r="A122" s="45" t="s">
        <v>2843</v>
      </c>
      <c r="B122" s="40" t="s">
        <v>540</v>
      </c>
      <c r="C122" s="41" t="s">
        <v>1828</v>
      </c>
      <c r="D122" s="21" t="s">
        <v>2224</v>
      </c>
      <c r="E122" s="21" t="s">
        <v>2222</v>
      </c>
      <c r="F122" s="24">
        <v>7.6366055425916665E-2</v>
      </c>
      <c r="G122" s="21">
        <v>12</v>
      </c>
      <c r="H122" s="17">
        <v>5.99</v>
      </c>
      <c r="I122" s="43" t="s">
        <v>3950</v>
      </c>
      <c r="J122" s="26"/>
      <c r="K122" s="17">
        <f t="shared" si="6"/>
        <v>0</v>
      </c>
      <c r="N122" s="31" t="str">
        <f t="shared" si="7"/>
        <v>-</v>
      </c>
      <c r="O122" s="31" t="str">
        <f t="shared" si="9"/>
        <v>-</v>
      </c>
      <c r="P122" s="35" t="str">
        <f t="shared" si="8"/>
        <v>-</v>
      </c>
      <c r="Q122" s="32" t="str">
        <f t="shared" si="10"/>
        <v>-</v>
      </c>
      <c r="S122" s="32" t="str">
        <f t="shared" si="11"/>
        <v>-</v>
      </c>
    </row>
    <row r="123" spans="1:19" x14ac:dyDescent="0.3">
      <c r="A123" s="45" t="s">
        <v>2865</v>
      </c>
      <c r="B123" s="40" t="s">
        <v>587</v>
      </c>
      <c r="C123" s="41" t="s">
        <v>1834</v>
      </c>
      <c r="D123" s="21" t="s">
        <v>2224</v>
      </c>
      <c r="E123" s="21" t="s">
        <v>2238</v>
      </c>
      <c r="F123" s="24">
        <v>6.0921235227416673E-2</v>
      </c>
      <c r="G123" s="21">
        <v>12</v>
      </c>
      <c r="H123" s="17">
        <v>10.95</v>
      </c>
      <c r="I123" s="43" t="s">
        <v>3950</v>
      </c>
      <c r="J123" s="26"/>
      <c r="K123" s="17">
        <f t="shared" si="6"/>
        <v>0</v>
      </c>
      <c r="N123" s="31" t="str">
        <f t="shared" si="7"/>
        <v>-</v>
      </c>
      <c r="O123" s="31" t="str">
        <f t="shared" si="9"/>
        <v>-</v>
      </c>
      <c r="P123" s="35" t="str">
        <f t="shared" si="8"/>
        <v>-</v>
      </c>
      <c r="Q123" s="32" t="str">
        <f t="shared" si="10"/>
        <v>-</v>
      </c>
      <c r="S123" s="32" t="str">
        <f t="shared" si="11"/>
        <v>-</v>
      </c>
    </row>
    <row r="124" spans="1:19" x14ac:dyDescent="0.3">
      <c r="A124" s="45" t="s">
        <v>2866</v>
      </c>
      <c r="B124" s="40" t="s">
        <v>655</v>
      </c>
      <c r="C124" s="41" t="s">
        <v>2282</v>
      </c>
      <c r="D124" s="21" t="s">
        <v>2223</v>
      </c>
      <c r="E124" s="21" t="s">
        <v>2238</v>
      </c>
      <c r="F124" s="24">
        <v>4.5476415028916667E-2</v>
      </c>
      <c r="G124" s="21">
        <v>12</v>
      </c>
      <c r="H124" s="17">
        <v>8.5500000000000007</v>
      </c>
      <c r="I124" s="43" t="s">
        <v>3950</v>
      </c>
      <c r="J124" s="26"/>
      <c r="K124" s="17">
        <f t="shared" si="6"/>
        <v>0</v>
      </c>
      <c r="N124" s="31" t="str">
        <f t="shared" si="7"/>
        <v>-</v>
      </c>
      <c r="O124" s="31" t="str">
        <f t="shared" si="9"/>
        <v>-</v>
      </c>
      <c r="P124" s="35" t="str">
        <f t="shared" si="8"/>
        <v>-</v>
      </c>
      <c r="Q124" s="32" t="str">
        <f t="shared" si="10"/>
        <v>-</v>
      </c>
      <c r="S124" s="32" t="str">
        <f t="shared" si="11"/>
        <v>-</v>
      </c>
    </row>
    <row r="125" spans="1:19" x14ac:dyDescent="0.3">
      <c r="A125" s="45" t="s">
        <v>2867</v>
      </c>
      <c r="B125" s="40" t="s">
        <v>971</v>
      </c>
      <c r="C125" s="41" t="s">
        <v>2282</v>
      </c>
      <c r="D125" s="21" t="s">
        <v>2224</v>
      </c>
      <c r="E125" s="21" t="s">
        <v>2238</v>
      </c>
      <c r="F125" s="24">
        <v>6.0921235227416673E-2</v>
      </c>
      <c r="G125" s="21">
        <v>12</v>
      </c>
      <c r="H125" s="17">
        <v>16.190000000000001</v>
      </c>
      <c r="I125" s="43" t="s">
        <v>3950</v>
      </c>
      <c r="J125" s="26"/>
      <c r="K125" s="17">
        <f t="shared" si="6"/>
        <v>0</v>
      </c>
      <c r="N125" s="31" t="str">
        <f t="shared" si="7"/>
        <v>-</v>
      </c>
      <c r="O125" s="31" t="str">
        <f t="shared" si="9"/>
        <v>-</v>
      </c>
      <c r="P125" s="35" t="str">
        <f t="shared" si="8"/>
        <v>-</v>
      </c>
      <c r="Q125" s="32" t="str">
        <f t="shared" si="10"/>
        <v>-</v>
      </c>
      <c r="S125" s="32" t="str">
        <f t="shared" si="11"/>
        <v>-</v>
      </c>
    </row>
    <row r="126" spans="1:19" x14ac:dyDescent="0.3">
      <c r="A126" s="45" t="s">
        <v>2871</v>
      </c>
      <c r="B126" s="40" t="s">
        <v>993</v>
      </c>
      <c r="C126" s="41" t="s">
        <v>1703</v>
      </c>
      <c r="D126" s="21" t="s">
        <v>2224</v>
      </c>
      <c r="E126" s="21" t="s">
        <v>2238</v>
      </c>
      <c r="F126" s="24">
        <v>5.5772961827916676E-2</v>
      </c>
      <c r="G126" s="21">
        <v>12</v>
      </c>
      <c r="H126" s="17">
        <v>7.19</v>
      </c>
      <c r="I126" s="43" t="s">
        <v>3950</v>
      </c>
      <c r="J126" s="26"/>
      <c r="K126" s="17">
        <f t="shared" si="6"/>
        <v>0</v>
      </c>
      <c r="N126" s="31" t="str">
        <f t="shared" si="7"/>
        <v>-</v>
      </c>
      <c r="O126" s="31" t="str">
        <f t="shared" si="9"/>
        <v>-</v>
      </c>
      <c r="P126" s="35" t="str">
        <f t="shared" si="8"/>
        <v>-</v>
      </c>
      <c r="Q126" s="32" t="str">
        <f t="shared" si="10"/>
        <v>-</v>
      </c>
      <c r="S126" s="32" t="str">
        <f t="shared" si="11"/>
        <v>-</v>
      </c>
    </row>
    <row r="127" spans="1:19" x14ac:dyDescent="0.3">
      <c r="A127" s="45" t="s">
        <v>2880</v>
      </c>
      <c r="B127" s="40" t="s">
        <v>1113</v>
      </c>
      <c r="C127" s="41" t="s">
        <v>1820</v>
      </c>
      <c r="D127" s="21" t="s">
        <v>2227</v>
      </c>
      <c r="E127" s="21" t="s">
        <v>2222</v>
      </c>
      <c r="F127" s="24">
        <v>0.15702233868474999</v>
      </c>
      <c r="G127" s="21">
        <v>12</v>
      </c>
      <c r="H127" s="17">
        <v>17.989999999999998</v>
      </c>
      <c r="I127" s="43" t="s">
        <v>3950</v>
      </c>
      <c r="J127" s="26"/>
      <c r="K127" s="17">
        <f t="shared" si="6"/>
        <v>0</v>
      </c>
      <c r="N127" s="31" t="str">
        <f t="shared" si="7"/>
        <v>-</v>
      </c>
      <c r="O127" s="31" t="str">
        <f t="shared" si="9"/>
        <v>-</v>
      </c>
      <c r="P127" s="35" t="str">
        <f t="shared" si="8"/>
        <v>-</v>
      </c>
      <c r="Q127" s="32" t="str">
        <f t="shared" si="10"/>
        <v>-</v>
      </c>
      <c r="S127" s="32" t="str">
        <f t="shared" si="11"/>
        <v>-</v>
      </c>
    </row>
    <row r="128" spans="1:19" x14ac:dyDescent="0.3">
      <c r="A128" s="45" t="s">
        <v>2881</v>
      </c>
      <c r="B128" s="40" t="s">
        <v>132</v>
      </c>
      <c r="C128" s="41" t="s">
        <v>1788</v>
      </c>
      <c r="D128" s="21" t="s">
        <v>2242</v>
      </c>
      <c r="E128" s="21" t="s">
        <v>2222</v>
      </c>
      <c r="F128" s="24">
        <v>0.15873842981791667</v>
      </c>
      <c r="G128" s="21">
        <v>12</v>
      </c>
      <c r="H128" s="17">
        <v>17.7</v>
      </c>
      <c r="I128" s="43" t="s">
        <v>3950</v>
      </c>
      <c r="J128" s="26"/>
      <c r="K128" s="17">
        <f t="shared" si="6"/>
        <v>0</v>
      </c>
      <c r="N128" s="31" t="str">
        <f t="shared" si="7"/>
        <v>-</v>
      </c>
      <c r="O128" s="31" t="str">
        <f t="shared" si="9"/>
        <v>-</v>
      </c>
      <c r="P128" s="35" t="str">
        <f t="shared" si="8"/>
        <v>-</v>
      </c>
      <c r="Q128" s="32" t="str">
        <f t="shared" si="10"/>
        <v>-</v>
      </c>
      <c r="S128" s="32" t="str">
        <f t="shared" si="11"/>
        <v>-</v>
      </c>
    </row>
    <row r="129" spans="1:19" x14ac:dyDescent="0.3">
      <c r="A129" s="45" t="s">
        <v>2899</v>
      </c>
      <c r="B129" s="40" t="s">
        <v>945</v>
      </c>
      <c r="C129" s="41" t="s">
        <v>1843</v>
      </c>
      <c r="D129" s="21" t="s">
        <v>2224</v>
      </c>
      <c r="E129" s="21" t="s">
        <v>2234</v>
      </c>
      <c r="F129" s="24">
        <v>9.5243057890750007E-2</v>
      </c>
      <c r="G129" s="21">
        <v>12</v>
      </c>
      <c r="H129" s="17">
        <v>8.25</v>
      </c>
      <c r="I129" s="43" t="s">
        <v>3950</v>
      </c>
      <c r="J129" s="26"/>
      <c r="K129" s="17">
        <f t="shared" si="6"/>
        <v>0</v>
      </c>
      <c r="N129" s="31" t="str">
        <f t="shared" si="7"/>
        <v>-</v>
      </c>
      <c r="O129" s="31" t="str">
        <f t="shared" si="9"/>
        <v>-</v>
      </c>
      <c r="P129" s="35" t="str">
        <f t="shared" si="8"/>
        <v>-</v>
      </c>
      <c r="Q129" s="32" t="str">
        <f t="shared" si="10"/>
        <v>-</v>
      </c>
      <c r="S129" s="32" t="str">
        <f t="shared" si="11"/>
        <v>-</v>
      </c>
    </row>
    <row r="130" spans="1:19" x14ac:dyDescent="0.3">
      <c r="A130" s="45" t="s">
        <v>2900</v>
      </c>
      <c r="B130" s="40" t="s">
        <v>223</v>
      </c>
      <c r="C130" s="41" t="s">
        <v>1843</v>
      </c>
      <c r="D130" s="21" t="s">
        <v>2227</v>
      </c>
      <c r="E130" s="21" t="s">
        <v>2234</v>
      </c>
      <c r="F130" s="24">
        <v>0.17246715888324998</v>
      </c>
      <c r="G130" s="21">
        <v>12</v>
      </c>
      <c r="H130" s="17">
        <v>15.3</v>
      </c>
      <c r="I130" s="43" t="s">
        <v>3950</v>
      </c>
      <c r="J130" s="26"/>
      <c r="K130" s="17">
        <f t="shared" si="6"/>
        <v>0</v>
      </c>
      <c r="N130" s="31" t="str">
        <f t="shared" si="7"/>
        <v>-</v>
      </c>
      <c r="O130" s="31" t="str">
        <f t="shared" si="9"/>
        <v>-</v>
      </c>
      <c r="P130" s="35" t="str">
        <f t="shared" si="8"/>
        <v>-</v>
      </c>
      <c r="Q130" s="32" t="str">
        <f t="shared" si="10"/>
        <v>-</v>
      </c>
      <c r="S130" s="32" t="str">
        <f t="shared" si="11"/>
        <v>-</v>
      </c>
    </row>
    <row r="131" spans="1:19" x14ac:dyDescent="0.3">
      <c r="A131" s="45" t="s">
        <v>2901</v>
      </c>
      <c r="B131" s="40" t="s">
        <v>1100</v>
      </c>
      <c r="C131" s="41" t="s">
        <v>1843</v>
      </c>
      <c r="D131" s="21" t="s">
        <v>2233</v>
      </c>
      <c r="E131" s="21" t="s">
        <v>2234</v>
      </c>
      <c r="F131" s="24">
        <v>0.31104151788645834</v>
      </c>
      <c r="G131" s="21">
        <v>12</v>
      </c>
      <c r="H131" s="17">
        <v>29.39</v>
      </c>
      <c r="I131" s="43" t="s">
        <v>3950</v>
      </c>
      <c r="J131" s="26"/>
      <c r="K131" s="17">
        <f t="shared" ref="K131:K194" si="12">J131*H131</f>
        <v>0</v>
      </c>
      <c r="N131" s="31" t="str">
        <f t="shared" ref="N131:N194" si="13">IFERROR(IF($N$2*F131=0, "-", $N$2*F131), "-")</f>
        <v>-</v>
      </c>
      <c r="O131" s="31" t="str">
        <f t="shared" si="9"/>
        <v>-</v>
      </c>
      <c r="P131" s="35" t="str">
        <f t="shared" ref="P131:P194" si="14">IF(J131&gt;0,J131*F131, "-")</f>
        <v>-</v>
      </c>
      <c r="Q131" s="32" t="str">
        <f t="shared" si="10"/>
        <v>-</v>
      </c>
      <c r="S131" s="32" t="str">
        <f t="shared" si="11"/>
        <v>-</v>
      </c>
    </row>
    <row r="132" spans="1:19" x14ac:dyDescent="0.3">
      <c r="A132" s="45" t="s">
        <v>2936</v>
      </c>
      <c r="B132" s="40" t="s">
        <v>79</v>
      </c>
      <c r="C132" s="41" t="s">
        <v>1860</v>
      </c>
      <c r="D132" s="21" t="s">
        <v>2223</v>
      </c>
      <c r="E132" s="21" t="s">
        <v>2222</v>
      </c>
      <c r="F132" s="24">
        <v>8.2372374392000014E-2</v>
      </c>
      <c r="G132" s="21">
        <v>12</v>
      </c>
      <c r="H132" s="17">
        <v>6.45</v>
      </c>
      <c r="I132" s="43" t="s">
        <v>3950</v>
      </c>
      <c r="J132" s="26"/>
      <c r="K132" s="17">
        <f t="shared" si="12"/>
        <v>0</v>
      </c>
      <c r="N132" s="31" t="str">
        <f t="shared" si="13"/>
        <v>-</v>
      </c>
      <c r="O132" s="31" t="str">
        <f t="shared" ref="O132:O195" si="15">IFERROR(IF(N132&gt;0,H132+N132,"-"),"-")</f>
        <v>-</v>
      </c>
      <c r="P132" s="35" t="str">
        <f t="shared" si="14"/>
        <v>-</v>
      </c>
      <c r="Q132" s="32" t="str">
        <f t="shared" ref="Q132:Q195" si="16">IFERROR(IF($N$2&gt;0, $N$2*P132, "-"), "-")</f>
        <v>-</v>
      </c>
      <c r="S132" s="32" t="str">
        <f t="shared" ref="S132:S195" si="17">IFERROR(IF(Q132+K132=0, "-", IF(Q132&gt;0, Q132+K132, "-")), "-")</f>
        <v>-</v>
      </c>
    </row>
    <row r="133" spans="1:19" x14ac:dyDescent="0.3">
      <c r="A133" s="45" t="s">
        <v>2960</v>
      </c>
      <c r="B133" s="40" t="s">
        <v>356</v>
      </c>
      <c r="C133" s="41" t="s">
        <v>1872</v>
      </c>
      <c r="D133" s="21" t="s">
        <v>2223</v>
      </c>
      <c r="E133" s="21" t="s">
        <v>2222</v>
      </c>
      <c r="F133" s="24">
        <v>7.7224100992499989E-2</v>
      </c>
      <c r="G133" s="21">
        <v>12</v>
      </c>
      <c r="H133" s="17">
        <v>7.19</v>
      </c>
      <c r="I133" s="43" t="s">
        <v>3950</v>
      </c>
      <c r="J133" s="26"/>
      <c r="K133" s="17">
        <f t="shared" si="12"/>
        <v>0</v>
      </c>
      <c r="N133" s="31" t="str">
        <f t="shared" si="13"/>
        <v>-</v>
      </c>
      <c r="O133" s="31" t="str">
        <f t="shared" si="15"/>
        <v>-</v>
      </c>
      <c r="P133" s="35" t="str">
        <f t="shared" si="14"/>
        <v>-</v>
      </c>
      <c r="Q133" s="32" t="str">
        <f t="shared" si="16"/>
        <v>-</v>
      </c>
      <c r="S133" s="32" t="str">
        <f t="shared" si="17"/>
        <v>-</v>
      </c>
    </row>
    <row r="134" spans="1:19" x14ac:dyDescent="0.3">
      <c r="A134" s="45" t="s">
        <v>2970</v>
      </c>
      <c r="B134" s="40" t="s">
        <v>499</v>
      </c>
      <c r="C134" s="41" t="s">
        <v>1876</v>
      </c>
      <c r="D134" s="21" t="s">
        <v>2259</v>
      </c>
      <c r="E134" s="21" t="s">
        <v>2222</v>
      </c>
      <c r="F134" s="24">
        <v>4.325979731524305E-2</v>
      </c>
      <c r="G134" s="21">
        <v>144</v>
      </c>
      <c r="H134" s="17">
        <v>7.5</v>
      </c>
      <c r="I134" s="43" t="s">
        <v>3950</v>
      </c>
      <c r="J134" s="26"/>
      <c r="K134" s="17">
        <f t="shared" si="12"/>
        <v>0</v>
      </c>
      <c r="N134" s="31" t="str">
        <f t="shared" si="13"/>
        <v>-</v>
      </c>
      <c r="O134" s="31" t="str">
        <f t="shared" si="15"/>
        <v>-</v>
      </c>
      <c r="P134" s="35" t="str">
        <f t="shared" si="14"/>
        <v>-</v>
      </c>
      <c r="Q134" s="32" t="str">
        <f t="shared" si="16"/>
        <v>-</v>
      </c>
      <c r="S134" s="32" t="str">
        <f t="shared" si="17"/>
        <v>-</v>
      </c>
    </row>
    <row r="135" spans="1:19" x14ac:dyDescent="0.3">
      <c r="A135" s="45" t="s">
        <v>2973</v>
      </c>
      <c r="B135" s="40" t="s">
        <v>1374</v>
      </c>
      <c r="C135" s="41" t="s">
        <v>1878</v>
      </c>
      <c r="D135" s="21" t="s">
        <v>2223</v>
      </c>
      <c r="E135" s="21" t="s">
        <v>2260</v>
      </c>
      <c r="F135" s="24">
        <v>0.1381453362199167</v>
      </c>
      <c r="G135" s="21">
        <v>12</v>
      </c>
      <c r="H135" s="17">
        <v>7.65</v>
      </c>
      <c r="I135" s="43" t="s">
        <v>3950</v>
      </c>
      <c r="J135" s="26"/>
      <c r="K135" s="17">
        <f t="shared" si="12"/>
        <v>0</v>
      </c>
      <c r="N135" s="31" t="str">
        <f t="shared" si="13"/>
        <v>-</v>
      </c>
      <c r="O135" s="31" t="str">
        <f t="shared" si="15"/>
        <v>-</v>
      </c>
      <c r="P135" s="35" t="str">
        <f t="shared" si="14"/>
        <v>-</v>
      </c>
      <c r="Q135" s="32" t="str">
        <f t="shared" si="16"/>
        <v>-</v>
      </c>
      <c r="S135" s="32" t="str">
        <f t="shared" si="17"/>
        <v>-</v>
      </c>
    </row>
    <row r="136" spans="1:19" x14ac:dyDescent="0.3">
      <c r="A136" s="45" t="s">
        <v>2974</v>
      </c>
      <c r="B136" s="40" t="s">
        <v>1544</v>
      </c>
      <c r="C136" s="41" t="s">
        <v>1878</v>
      </c>
      <c r="D136" s="21" t="s">
        <v>2224</v>
      </c>
      <c r="E136" s="21" t="s">
        <v>2260</v>
      </c>
      <c r="F136" s="24">
        <v>0.27200044460691669</v>
      </c>
      <c r="G136" s="21">
        <v>12</v>
      </c>
      <c r="H136" s="17">
        <v>13.5</v>
      </c>
      <c r="I136" s="43" t="s">
        <v>3950</v>
      </c>
      <c r="J136" s="26"/>
      <c r="K136" s="17">
        <f t="shared" si="12"/>
        <v>0</v>
      </c>
      <c r="N136" s="31" t="str">
        <f t="shared" si="13"/>
        <v>-</v>
      </c>
      <c r="O136" s="31" t="str">
        <f t="shared" si="15"/>
        <v>-</v>
      </c>
      <c r="P136" s="35" t="str">
        <f t="shared" si="14"/>
        <v>-</v>
      </c>
      <c r="Q136" s="32" t="str">
        <f t="shared" si="16"/>
        <v>-</v>
      </c>
      <c r="S136" s="32" t="str">
        <f t="shared" si="17"/>
        <v>-</v>
      </c>
    </row>
    <row r="137" spans="1:19" x14ac:dyDescent="0.3">
      <c r="A137" s="45" t="s">
        <v>2981</v>
      </c>
      <c r="B137" s="40" t="s">
        <v>1072</v>
      </c>
      <c r="C137" s="41" t="s">
        <v>1742</v>
      </c>
      <c r="D137" s="21" t="s">
        <v>2223</v>
      </c>
      <c r="E137" s="21" t="s">
        <v>2232</v>
      </c>
      <c r="F137" s="24">
        <v>5.1482733995000002E-2</v>
      </c>
      <c r="G137" s="21">
        <v>12</v>
      </c>
      <c r="H137" s="17">
        <v>6.45</v>
      </c>
      <c r="I137" s="43" t="s">
        <v>3950</v>
      </c>
      <c r="J137" s="26"/>
      <c r="K137" s="17">
        <f t="shared" si="12"/>
        <v>0</v>
      </c>
      <c r="N137" s="31" t="str">
        <f t="shared" si="13"/>
        <v>-</v>
      </c>
      <c r="O137" s="31" t="str">
        <f t="shared" si="15"/>
        <v>-</v>
      </c>
      <c r="P137" s="35" t="str">
        <f t="shared" si="14"/>
        <v>-</v>
      </c>
      <c r="Q137" s="32" t="str">
        <f t="shared" si="16"/>
        <v>-</v>
      </c>
      <c r="S137" s="32" t="str">
        <f t="shared" si="17"/>
        <v>-</v>
      </c>
    </row>
    <row r="138" spans="1:19" x14ac:dyDescent="0.3">
      <c r="A138" s="45" t="s">
        <v>2984</v>
      </c>
      <c r="B138" s="40" t="s">
        <v>603</v>
      </c>
      <c r="C138" s="41" t="s">
        <v>1881</v>
      </c>
      <c r="D138" s="21" t="s">
        <v>2261</v>
      </c>
      <c r="E138" s="21" t="s">
        <v>2222</v>
      </c>
      <c r="F138" s="24">
        <v>3.6037913796499996E-2</v>
      </c>
      <c r="G138" s="21">
        <v>12</v>
      </c>
      <c r="H138" s="17">
        <v>14.1</v>
      </c>
      <c r="I138" s="43" t="s">
        <v>3950</v>
      </c>
      <c r="J138" s="26"/>
      <c r="K138" s="17">
        <f t="shared" si="12"/>
        <v>0</v>
      </c>
      <c r="N138" s="31" t="str">
        <f t="shared" si="13"/>
        <v>-</v>
      </c>
      <c r="O138" s="31" t="str">
        <f t="shared" si="15"/>
        <v>-</v>
      </c>
      <c r="P138" s="35" t="str">
        <f t="shared" si="14"/>
        <v>-</v>
      </c>
      <c r="Q138" s="32" t="str">
        <f t="shared" si="16"/>
        <v>-</v>
      </c>
      <c r="S138" s="32" t="str">
        <f t="shared" si="17"/>
        <v>-</v>
      </c>
    </row>
    <row r="139" spans="1:19" x14ac:dyDescent="0.3">
      <c r="A139" s="45" t="s">
        <v>2986</v>
      </c>
      <c r="B139" s="40" t="s">
        <v>433</v>
      </c>
      <c r="C139" s="41" t="s">
        <v>1882</v>
      </c>
      <c r="D139" s="21" t="s">
        <v>2224</v>
      </c>
      <c r="E139" s="21" t="s">
        <v>2222</v>
      </c>
      <c r="F139" s="24">
        <v>6.606950862691667E-2</v>
      </c>
      <c r="G139" s="21">
        <v>12</v>
      </c>
      <c r="H139" s="17">
        <v>8.39</v>
      </c>
      <c r="I139" s="43" t="s">
        <v>3950</v>
      </c>
      <c r="J139" s="26"/>
      <c r="K139" s="17">
        <f t="shared" si="12"/>
        <v>0</v>
      </c>
      <c r="N139" s="31" t="str">
        <f t="shared" si="13"/>
        <v>-</v>
      </c>
      <c r="O139" s="31" t="str">
        <f t="shared" si="15"/>
        <v>-</v>
      </c>
      <c r="P139" s="35" t="str">
        <f t="shared" si="14"/>
        <v>-</v>
      </c>
      <c r="Q139" s="32" t="str">
        <f t="shared" si="16"/>
        <v>-</v>
      </c>
      <c r="S139" s="32" t="str">
        <f t="shared" si="17"/>
        <v>-</v>
      </c>
    </row>
    <row r="140" spans="1:19" x14ac:dyDescent="0.3">
      <c r="A140" s="45" t="s">
        <v>2988</v>
      </c>
      <c r="B140" s="40" t="s">
        <v>31</v>
      </c>
      <c r="C140" s="41" t="s">
        <v>1883</v>
      </c>
      <c r="D140" s="21" t="s">
        <v>2224</v>
      </c>
      <c r="E140" s="21" t="s">
        <v>2222</v>
      </c>
      <c r="F140" s="24">
        <v>0.16388670321741669</v>
      </c>
      <c r="G140" s="21">
        <v>12</v>
      </c>
      <c r="H140" s="17">
        <v>11.99</v>
      </c>
      <c r="I140" s="43" t="s">
        <v>3950</v>
      </c>
      <c r="J140" s="26"/>
      <c r="K140" s="17">
        <f t="shared" si="12"/>
        <v>0</v>
      </c>
      <c r="N140" s="31" t="str">
        <f t="shared" si="13"/>
        <v>-</v>
      </c>
      <c r="O140" s="31" t="str">
        <f t="shared" si="15"/>
        <v>-</v>
      </c>
      <c r="P140" s="35" t="str">
        <f t="shared" si="14"/>
        <v>-</v>
      </c>
      <c r="Q140" s="32" t="str">
        <f t="shared" si="16"/>
        <v>-</v>
      </c>
      <c r="S140" s="32" t="str">
        <f t="shared" si="17"/>
        <v>-</v>
      </c>
    </row>
    <row r="141" spans="1:19" x14ac:dyDescent="0.3">
      <c r="A141" s="45" t="s">
        <v>2989</v>
      </c>
      <c r="B141" s="40" t="s">
        <v>1378</v>
      </c>
      <c r="C141" s="41" t="s">
        <v>1883</v>
      </c>
      <c r="D141" s="21" t="s">
        <v>2227</v>
      </c>
      <c r="E141" s="21" t="s">
        <v>2222</v>
      </c>
      <c r="F141" s="24">
        <v>0.30803835840341665</v>
      </c>
      <c r="G141" s="21">
        <v>12</v>
      </c>
      <c r="H141" s="17">
        <v>22.79</v>
      </c>
      <c r="I141" s="43" t="s">
        <v>3950</v>
      </c>
      <c r="J141" s="26"/>
      <c r="K141" s="17">
        <f t="shared" si="12"/>
        <v>0</v>
      </c>
      <c r="N141" s="31" t="str">
        <f t="shared" si="13"/>
        <v>-</v>
      </c>
      <c r="O141" s="31" t="str">
        <f t="shared" si="15"/>
        <v>-</v>
      </c>
      <c r="P141" s="35" t="str">
        <f t="shared" si="14"/>
        <v>-</v>
      </c>
      <c r="Q141" s="32" t="str">
        <f t="shared" si="16"/>
        <v>-</v>
      </c>
      <c r="S141" s="32" t="str">
        <f t="shared" si="17"/>
        <v>-</v>
      </c>
    </row>
    <row r="142" spans="1:19" x14ac:dyDescent="0.3">
      <c r="A142" s="45" t="s">
        <v>2992</v>
      </c>
      <c r="B142" s="40" t="s">
        <v>857</v>
      </c>
      <c r="C142" s="41" t="s">
        <v>1885</v>
      </c>
      <c r="D142" s="21" t="s">
        <v>2239</v>
      </c>
      <c r="E142" s="21" t="s">
        <v>2222</v>
      </c>
      <c r="F142" s="24">
        <v>8.880771614137499E-2</v>
      </c>
      <c r="G142" s="21">
        <v>12</v>
      </c>
      <c r="H142" s="17">
        <v>4.79</v>
      </c>
      <c r="I142" s="43" t="s">
        <v>3950</v>
      </c>
      <c r="J142" s="26"/>
      <c r="K142" s="17">
        <f t="shared" si="12"/>
        <v>0</v>
      </c>
      <c r="N142" s="31" t="str">
        <f t="shared" si="13"/>
        <v>-</v>
      </c>
      <c r="O142" s="31" t="str">
        <f t="shared" si="15"/>
        <v>-</v>
      </c>
      <c r="P142" s="35" t="str">
        <f t="shared" si="14"/>
        <v>-</v>
      </c>
      <c r="Q142" s="32" t="str">
        <f t="shared" si="16"/>
        <v>-</v>
      </c>
      <c r="S142" s="32" t="str">
        <f t="shared" si="17"/>
        <v>-</v>
      </c>
    </row>
    <row r="143" spans="1:19" x14ac:dyDescent="0.3">
      <c r="A143" s="45" t="s">
        <v>2993</v>
      </c>
      <c r="B143" s="40" t="s">
        <v>813</v>
      </c>
      <c r="C143" s="41" t="s">
        <v>1885</v>
      </c>
      <c r="D143" s="21" t="s">
        <v>2221</v>
      </c>
      <c r="E143" s="21" t="s">
        <v>2222</v>
      </c>
      <c r="F143" s="24">
        <v>0.14586774631916669</v>
      </c>
      <c r="G143" s="21">
        <v>12</v>
      </c>
      <c r="H143" s="17">
        <v>8.6999999999999993</v>
      </c>
      <c r="I143" s="43" t="s">
        <v>3950</v>
      </c>
      <c r="J143" s="26"/>
      <c r="K143" s="17">
        <f t="shared" si="12"/>
        <v>0</v>
      </c>
      <c r="N143" s="31" t="str">
        <f t="shared" si="13"/>
        <v>-</v>
      </c>
      <c r="O143" s="31" t="str">
        <f t="shared" si="15"/>
        <v>-</v>
      </c>
      <c r="P143" s="35" t="str">
        <f t="shared" si="14"/>
        <v>-</v>
      </c>
      <c r="Q143" s="32" t="str">
        <f t="shared" si="16"/>
        <v>-</v>
      </c>
      <c r="S143" s="32" t="str">
        <f t="shared" si="17"/>
        <v>-</v>
      </c>
    </row>
    <row r="144" spans="1:19" x14ac:dyDescent="0.3">
      <c r="A144" s="45" t="s">
        <v>2994</v>
      </c>
      <c r="B144" s="40" t="s">
        <v>305</v>
      </c>
      <c r="C144" s="41" t="s">
        <v>1886</v>
      </c>
      <c r="D144" s="21" t="s">
        <v>2224</v>
      </c>
      <c r="E144" s="21" t="s">
        <v>2222</v>
      </c>
      <c r="F144" s="24">
        <v>9.2668921191000023E-2</v>
      </c>
      <c r="G144" s="21">
        <v>12</v>
      </c>
      <c r="H144" s="17">
        <v>4.3499999999999996</v>
      </c>
      <c r="I144" s="43" t="s">
        <v>3950</v>
      </c>
      <c r="J144" s="26"/>
      <c r="K144" s="17">
        <f t="shared" si="12"/>
        <v>0</v>
      </c>
      <c r="N144" s="31" t="str">
        <f t="shared" si="13"/>
        <v>-</v>
      </c>
      <c r="O144" s="31" t="str">
        <f t="shared" si="15"/>
        <v>-</v>
      </c>
      <c r="P144" s="35" t="str">
        <f t="shared" si="14"/>
        <v>-</v>
      </c>
      <c r="Q144" s="32" t="str">
        <f t="shared" si="16"/>
        <v>-</v>
      </c>
      <c r="S144" s="32" t="str">
        <f t="shared" si="17"/>
        <v>-</v>
      </c>
    </row>
    <row r="145" spans="1:19" x14ac:dyDescent="0.3">
      <c r="A145" s="45" t="s">
        <v>2995</v>
      </c>
      <c r="B145" s="40" t="s">
        <v>407</v>
      </c>
      <c r="C145" s="41" t="s">
        <v>1886</v>
      </c>
      <c r="D145" s="21" t="s">
        <v>2227</v>
      </c>
      <c r="E145" s="21" t="s">
        <v>2222</v>
      </c>
      <c r="F145" s="24">
        <v>0.15873842981791667</v>
      </c>
      <c r="G145" s="21">
        <v>12</v>
      </c>
      <c r="H145" s="17">
        <v>7.95</v>
      </c>
      <c r="I145" s="43" t="s">
        <v>3950</v>
      </c>
      <c r="J145" s="26"/>
      <c r="K145" s="17">
        <f t="shared" si="12"/>
        <v>0</v>
      </c>
      <c r="N145" s="31" t="str">
        <f t="shared" si="13"/>
        <v>-</v>
      </c>
      <c r="O145" s="31" t="str">
        <f t="shared" si="15"/>
        <v>-</v>
      </c>
      <c r="P145" s="35" t="str">
        <f t="shared" si="14"/>
        <v>-</v>
      </c>
      <c r="Q145" s="32" t="str">
        <f t="shared" si="16"/>
        <v>-</v>
      </c>
      <c r="S145" s="32" t="str">
        <f t="shared" si="17"/>
        <v>-</v>
      </c>
    </row>
    <row r="146" spans="1:19" x14ac:dyDescent="0.3">
      <c r="A146" s="45" t="s">
        <v>3001</v>
      </c>
      <c r="B146" s="40" t="s">
        <v>955</v>
      </c>
      <c r="C146" s="41" t="s">
        <v>1889</v>
      </c>
      <c r="D146" s="21" t="s">
        <v>2227</v>
      </c>
      <c r="E146" s="21" t="s">
        <v>2238</v>
      </c>
      <c r="F146" s="24">
        <v>6.0921235227416673E-2</v>
      </c>
      <c r="G146" s="21">
        <v>12</v>
      </c>
      <c r="H146" s="17">
        <v>12.9</v>
      </c>
      <c r="I146" s="43" t="s">
        <v>3950</v>
      </c>
      <c r="J146" s="26"/>
      <c r="K146" s="17">
        <f t="shared" si="12"/>
        <v>0</v>
      </c>
      <c r="N146" s="31" t="str">
        <f t="shared" si="13"/>
        <v>-</v>
      </c>
      <c r="O146" s="31" t="str">
        <f t="shared" si="15"/>
        <v>-</v>
      </c>
      <c r="P146" s="35" t="str">
        <f t="shared" si="14"/>
        <v>-</v>
      </c>
      <c r="Q146" s="32" t="str">
        <f t="shared" si="16"/>
        <v>-</v>
      </c>
      <c r="S146" s="32" t="str">
        <f t="shared" si="17"/>
        <v>-</v>
      </c>
    </row>
    <row r="147" spans="1:19" x14ac:dyDescent="0.3">
      <c r="A147" s="45" t="s">
        <v>3012</v>
      </c>
      <c r="B147" s="40" t="s">
        <v>542</v>
      </c>
      <c r="C147" s="41" t="s">
        <v>1893</v>
      </c>
      <c r="D147" s="21" t="s">
        <v>2221</v>
      </c>
      <c r="E147" s="21" t="s">
        <v>2238</v>
      </c>
      <c r="F147" s="24">
        <v>9.7817194590499992E-2</v>
      </c>
      <c r="G147" s="21">
        <v>12</v>
      </c>
      <c r="H147" s="17">
        <v>13.05</v>
      </c>
      <c r="I147" s="43" t="s">
        <v>3950</v>
      </c>
      <c r="J147" s="26"/>
      <c r="K147" s="17">
        <f t="shared" si="12"/>
        <v>0</v>
      </c>
      <c r="N147" s="31" t="str">
        <f t="shared" si="13"/>
        <v>-</v>
      </c>
      <c r="O147" s="31" t="str">
        <f t="shared" si="15"/>
        <v>-</v>
      </c>
      <c r="P147" s="35" t="str">
        <f t="shared" si="14"/>
        <v>-</v>
      </c>
      <c r="Q147" s="32" t="str">
        <f t="shared" si="16"/>
        <v>-</v>
      </c>
      <c r="S147" s="32" t="str">
        <f t="shared" si="17"/>
        <v>-</v>
      </c>
    </row>
    <row r="148" spans="1:19" x14ac:dyDescent="0.3">
      <c r="A148" s="45" t="s">
        <v>3027</v>
      </c>
      <c r="B148" s="40" t="s">
        <v>769</v>
      </c>
      <c r="C148" s="41" t="s">
        <v>1754</v>
      </c>
      <c r="D148" s="21" t="s">
        <v>2242</v>
      </c>
      <c r="E148" s="21" t="s">
        <v>2222</v>
      </c>
      <c r="F148" s="24">
        <v>8.666260222491666E-2</v>
      </c>
      <c r="G148" s="21">
        <v>12</v>
      </c>
      <c r="H148" s="17">
        <v>5.39</v>
      </c>
      <c r="I148" s="43" t="s">
        <v>3950</v>
      </c>
      <c r="J148" s="26"/>
      <c r="K148" s="17">
        <f t="shared" si="12"/>
        <v>0</v>
      </c>
      <c r="N148" s="31" t="str">
        <f t="shared" si="13"/>
        <v>-</v>
      </c>
      <c r="O148" s="31" t="str">
        <f t="shared" si="15"/>
        <v>-</v>
      </c>
      <c r="P148" s="35" t="str">
        <f t="shared" si="14"/>
        <v>-</v>
      </c>
      <c r="Q148" s="32" t="str">
        <f t="shared" si="16"/>
        <v>-</v>
      </c>
      <c r="S148" s="32" t="str">
        <f t="shared" si="17"/>
        <v>-</v>
      </c>
    </row>
    <row r="149" spans="1:19" x14ac:dyDescent="0.3">
      <c r="A149" s="45" t="s">
        <v>3029</v>
      </c>
      <c r="B149" s="40" t="s">
        <v>874</v>
      </c>
      <c r="C149" s="41" t="s">
        <v>1899</v>
      </c>
      <c r="D149" s="21" t="s">
        <v>2224</v>
      </c>
      <c r="E149" s="21" t="s">
        <v>2238</v>
      </c>
      <c r="F149" s="24">
        <v>4.5476415028916667E-2</v>
      </c>
      <c r="G149" s="21">
        <v>12</v>
      </c>
      <c r="H149" s="17">
        <v>17.100000000000001</v>
      </c>
      <c r="I149" s="43" t="s">
        <v>3950</v>
      </c>
      <c r="J149" s="26"/>
      <c r="K149" s="17">
        <f t="shared" si="12"/>
        <v>0</v>
      </c>
      <c r="N149" s="31" t="str">
        <f t="shared" si="13"/>
        <v>-</v>
      </c>
      <c r="O149" s="31" t="str">
        <f t="shared" si="15"/>
        <v>-</v>
      </c>
      <c r="P149" s="35" t="str">
        <f t="shared" si="14"/>
        <v>-</v>
      </c>
      <c r="Q149" s="32" t="str">
        <f t="shared" si="16"/>
        <v>-</v>
      </c>
      <c r="S149" s="32" t="str">
        <f t="shared" si="17"/>
        <v>-</v>
      </c>
    </row>
    <row r="150" spans="1:19" x14ac:dyDescent="0.3">
      <c r="A150" s="45" t="s">
        <v>3037</v>
      </c>
      <c r="B150" s="40" t="s">
        <v>330</v>
      </c>
      <c r="C150" s="41" t="s">
        <v>1903</v>
      </c>
      <c r="D150" s="21" t="s">
        <v>2226</v>
      </c>
      <c r="E150" s="21" t="s">
        <v>2222</v>
      </c>
      <c r="F150" s="24">
        <v>0.2230918473116667</v>
      </c>
      <c r="G150" s="21">
        <v>12</v>
      </c>
      <c r="H150" s="17">
        <v>13.79</v>
      </c>
      <c r="I150" s="43" t="s">
        <v>3950</v>
      </c>
      <c r="J150" s="26"/>
      <c r="K150" s="17">
        <f t="shared" si="12"/>
        <v>0</v>
      </c>
      <c r="N150" s="31" t="str">
        <f t="shared" si="13"/>
        <v>-</v>
      </c>
      <c r="O150" s="31" t="str">
        <f t="shared" si="15"/>
        <v>-</v>
      </c>
      <c r="P150" s="35" t="str">
        <f t="shared" si="14"/>
        <v>-</v>
      </c>
      <c r="Q150" s="32" t="str">
        <f t="shared" si="16"/>
        <v>-</v>
      </c>
      <c r="S150" s="32" t="str">
        <f t="shared" si="17"/>
        <v>-</v>
      </c>
    </row>
    <row r="151" spans="1:19" x14ac:dyDescent="0.3">
      <c r="A151" s="45" t="s">
        <v>3046</v>
      </c>
      <c r="B151" s="40" t="s">
        <v>1553</v>
      </c>
      <c r="C151" s="41" t="s">
        <v>1907</v>
      </c>
      <c r="D151" s="21" t="s">
        <v>2225</v>
      </c>
      <c r="E151" s="21" t="s">
        <v>2222</v>
      </c>
      <c r="F151" s="24">
        <v>0.2230918473116667</v>
      </c>
      <c r="G151" s="21">
        <v>12</v>
      </c>
      <c r="H151" s="17">
        <v>15.3</v>
      </c>
      <c r="I151" s="43" t="s">
        <v>3950</v>
      </c>
      <c r="J151" s="26"/>
      <c r="K151" s="17">
        <f t="shared" si="12"/>
        <v>0</v>
      </c>
      <c r="N151" s="31" t="str">
        <f t="shared" si="13"/>
        <v>-</v>
      </c>
      <c r="O151" s="31" t="str">
        <f t="shared" si="15"/>
        <v>-</v>
      </c>
      <c r="P151" s="35" t="str">
        <f t="shared" si="14"/>
        <v>-</v>
      </c>
      <c r="Q151" s="32" t="str">
        <f t="shared" si="16"/>
        <v>-</v>
      </c>
      <c r="S151" s="32" t="str">
        <f t="shared" si="17"/>
        <v>-</v>
      </c>
    </row>
    <row r="152" spans="1:19" x14ac:dyDescent="0.3">
      <c r="A152" s="45" t="s">
        <v>3049</v>
      </c>
      <c r="B152" s="40" t="s">
        <v>894</v>
      </c>
      <c r="C152" s="41" t="s">
        <v>1908</v>
      </c>
      <c r="D152" s="21" t="s">
        <v>2227</v>
      </c>
      <c r="E152" s="21" t="s">
        <v>2222</v>
      </c>
      <c r="F152" s="24">
        <v>6.0921235227416673E-2</v>
      </c>
      <c r="G152" s="21">
        <v>12</v>
      </c>
      <c r="H152" s="17">
        <v>7.5</v>
      </c>
      <c r="I152" s="43" t="s">
        <v>3950</v>
      </c>
      <c r="J152" s="26"/>
      <c r="K152" s="17">
        <f t="shared" si="12"/>
        <v>0</v>
      </c>
      <c r="N152" s="31" t="str">
        <f t="shared" si="13"/>
        <v>-</v>
      </c>
      <c r="O152" s="31" t="str">
        <f t="shared" si="15"/>
        <v>-</v>
      </c>
      <c r="P152" s="35" t="str">
        <f t="shared" si="14"/>
        <v>-</v>
      </c>
      <c r="Q152" s="32" t="str">
        <f t="shared" si="16"/>
        <v>-</v>
      </c>
      <c r="S152" s="32" t="str">
        <f t="shared" si="17"/>
        <v>-</v>
      </c>
    </row>
    <row r="153" spans="1:19" x14ac:dyDescent="0.3">
      <c r="A153" s="45" t="s">
        <v>3051</v>
      </c>
      <c r="B153" s="40" t="s">
        <v>1079</v>
      </c>
      <c r="C153" s="41" t="s">
        <v>1909</v>
      </c>
      <c r="D153" s="21" t="s">
        <v>2225</v>
      </c>
      <c r="E153" s="21" t="s">
        <v>2222</v>
      </c>
      <c r="F153" s="24">
        <v>0.20249875371366668</v>
      </c>
      <c r="G153" s="21">
        <v>12</v>
      </c>
      <c r="H153" s="17">
        <v>11.99</v>
      </c>
      <c r="I153" s="43" t="s">
        <v>3950</v>
      </c>
      <c r="J153" s="26"/>
      <c r="K153" s="17">
        <f t="shared" si="12"/>
        <v>0</v>
      </c>
      <c r="N153" s="31" t="str">
        <f t="shared" si="13"/>
        <v>-</v>
      </c>
      <c r="O153" s="31" t="str">
        <f t="shared" si="15"/>
        <v>-</v>
      </c>
      <c r="P153" s="35" t="str">
        <f t="shared" si="14"/>
        <v>-</v>
      </c>
      <c r="Q153" s="32" t="str">
        <f t="shared" si="16"/>
        <v>-</v>
      </c>
      <c r="S153" s="32" t="str">
        <f t="shared" si="17"/>
        <v>-</v>
      </c>
    </row>
    <row r="154" spans="1:19" x14ac:dyDescent="0.3">
      <c r="A154" s="45" t="s">
        <v>3053</v>
      </c>
      <c r="B154" s="40" t="s">
        <v>246</v>
      </c>
      <c r="C154" s="41" t="s">
        <v>1910</v>
      </c>
      <c r="D154" s="21" t="s">
        <v>2224</v>
      </c>
      <c r="E154" s="21" t="s">
        <v>2222</v>
      </c>
      <c r="F154" s="24">
        <v>4.6334460595500011E-2</v>
      </c>
      <c r="G154" s="21">
        <v>12</v>
      </c>
      <c r="H154" s="17">
        <v>25.19</v>
      </c>
      <c r="I154" s="43" t="s">
        <v>3950</v>
      </c>
      <c r="J154" s="26"/>
      <c r="K154" s="17">
        <f t="shared" si="12"/>
        <v>0</v>
      </c>
      <c r="N154" s="31" t="str">
        <f t="shared" si="13"/>
        <v>-</v>
      </c>
      <c r="O154" s="31" t="str">
        <f t="shared" si="15"/>
        <v>-</v>
      </c>
      <c r="P154" s="35" t="str">
        <f t="shared" si="14"/>
        <v>-</v>
      </c>
      <c r="Q154" s="32" t="str">
        <f t="shared" si="16"/>
        <v>-</v>
      </c>
      <c r="S154" s="32" t="str">
        <f t="shared" si="17"/>
        <v>-</v>
      </c>
    </row>
    <row r="155" spans="1:19" x14ac:dyDescent="0.3">
      <c r="A155" s="45" t="s">
        <v>3054</v>
      </c>
      <c r="B155" s="40" t="s">
        <v>1312</v>
      </c>
      <c r="C155" s="41" t="s">
        <v>1911</v>
      </c>
      <c r="D155" s="21" t="s">
        <v>2224</v>
      </c>
      <c r="E155" s="21" t="s">
        <v>2222</v>
      </c>
      <c r="F155" s="24">
        <v>0.14844188301891667</v>
      </c>
      <c r="G155" s="21">
        <v>12</v>
      </c>
      <c r="H155" s="17">
        <v>12.59</v>
      </c>
      <c r="I155" s="43" t="s">
        <v>3950</v>
      </c>
      <c r="J155" s="26"/>
      <c r="K155" s="17">
        <f t="shared" si="12"/>
        <v>0</v>
      </c>
      <c r="N155" s="31" t="str">
        <f t="shared" si="13"/>
        <v>-</v>
      </c>
      <c r="O155" s="31" t="str">
        <f t="shared" si="15"/>
        <v>-</v>
      </c>
      <c r="P155" s="35" t="str">
        <f t="shared" si="14"/>
        <v>-</v>
      </c>
      <c r="Q155" s="32" t="str">
        <f t="shared" si="16"/>
        <v>-</v>
      </c>
      <c r="S155" s="32" t="str">
        <f t="shared" si="17"/>
        <v>-</v>
      </c>
    </row>
    <row r="156" spans="1:19" x14ac:dyDescent="0.3">
      <c r="A156" s="45" t="s">
        <v>3055</v>
      </c>
      <c r="B156" s="40" t="s">
        <v>1134</v>
      </c>
      <c r="C156" s="41" t="s">
        <v>1911</v>
      </c>
      <c r="D156" s="21" t="s">
        <v>2227</v>
      </c>
      <c r="E156" s="21" t="s">
        <v>2222</v>
      </c>
      <c r="F156" s="24">
        <v>0.31318663180291667</v>
      </c>
      <c r="G156" s="21">
        <v>12</v>
      </c>
      <c r="H156" s="17">
        <v>23.99</v>
      </c>
      <c r="I156" s="43" t="s">
        <v>3950</v>
      </c>
      <c r="J156" s="26"/>
      <c r="K156" s="17">
        <f t="shared" si="12"/>
        <v>0</v>
      </c>
      <c r="N156" s="31" t="str">
        <f t="shared" si="13"/>
        <v>-</v>
      </c>
      <c r="O156" s="31" t="str">
        <f t="shared" si="15"/>
        <v>-</v>
      </c>
      <c r="P156" s="35" t="str">
        <f t="shared" si="14"/>
        <v>-</v>
      </c>
      <c r="Q156" s="32" t="str">
        <f t="shared" si="16"/>
        <v>-</v>
      </c>
      <c r="S156" s="32" t="str">
        <f t="shared" si="17"/>
        <v>-</v>
      </c>
    </row>
    <row r="157" spans="1:19" x14ac:dyDescent="0.3">
      <c r="A157" s="45" t="s">
        <v>3062</v>
      </c>
      <c r="B157" s="40" t="s">
        <v>1215</v>
      </c>
      <c r="C157" s="41" t="s">
        <v>1913</v>
      </c>
      <c r="D157" s="21" t="s">
        <v>2227</v>
      </c>
      <c r="E157" s="21" t="s">
        <v>2222</v>
      </c>
      <c r="F157" s="24">
        <v>6.0921235227416673E-2</v>
      </c>
      <c r="G157" s="21">
        <v>12</v>
      </c>
      <c r="H157" s="17">
        <v>13.05</v>
      </c>
      <c r="I157" s="43" t="s">
        <v>3950</v>
      </c>
      <c r="J157" s="26"/>
      <c r="K157" s="17">
        <f t="shared" si="12"/>
        <v>0</v>
      </c>
      <c r="N157" s="31" t="str">
        <f t="shared" si="13"/>
        <v>-</v>
      </c>
      <c r="O157" s="31" t="str">
        <f t="shared" si="15"/>
        <v>-</v>
      </c>
      <c r="P157" s="35" t="str">
        <f t="shared" si="14"/>
        <v>-</v>
      </c>
      <c r="Q157" s="32" t="str">
        <f t="shared" si="16"/>
        <v>-</v>
      </c>
      <c r="S157" s="32" t="str">
        <f t="shared" si="17"/>
        <v>-</v>
      </c>
    </row>
    <row r="158" spans="1:19" x14ac:dyDescent="0.3">
      <c r="A158" s="45" t="s">
        <v>3071</v>
      </c>
      <c r="B158" s="40" t="s">
        <v>1190</v>
      </c>
      <c r="C158" s="41" t="s">
        <v>1918</v>
      </c>
      <c r="D158" s="21" t="s">
        <v>2224</v>
      </c>
      <c r="E158" s="21" t="s">
        <v>2222</v>
      </c>
      <c r="F158" s="24">
        <v>0.12012637932166667</v>
      </c>
      <c r="G158" s="21">
        <v>12</v>
      </c>
      <c r="H158" s="17">
        <v>7.35</v>
      </c>
      <c r="I158" s="43" t="s">
        <v>3950</v>
      </c>
      <c r="J158" s="26"/>
      <c r="K158" s="17">
        <f t="shared" si="12"/>
        <v>0</v>
      </c>
      <c r="N158" s="31" t="str">
        <f t="shared" si="13"/>
        <v>-</v>
      </c>
      <c r="O158" s="31" t="str">
        <f t="shared" si="15"/>
        <v>-</v>
      </c>
      <c r="P158" s="35" t="str">
        <f t="shared" si="14"/>
        <v>-</v>
      </c>
      <c r="Q158" s="32" t="str">
        <f t="shared" si="16"/>
        <v>-</v>
      </c>
      <c r="S158" s="32" t="str">
        <f t="shared" si="17"/>
        <v>-</v>
      </c>
    </row>
    <row r="159" spans="1:19" x14ac:dyDescent="0.3">
      <c r="A159" s="45" t="s">
        <v>3078</v>
      </c>
      <c r="B159" s="40" t="s">
        <v>1559</v>
      </c>
      <c r="C159" s="41" t="s">
        <v>1607</v>
      </c>
      <c r="D159" s="21" t="s">
        <v>2224</v>
      </c>
      <c r="E159" s="21" t="s">
        <v>2234</v>
      </c>
      <c r="F159" s="24">
        <v>9.6959149023916669E-2</v>
      </c>
      <c r="G159" s="21">
        <v>12</v>
      </c>
      <c r="H159" s="17">
        <v>8.39</v>
      </c>
      <c r="I159" s="43" t="s">
        <v>3950</v>
      </c>
      <c r="J159" s="26"/>
      <c r="K159" s="17">
        <f t="shared" si="12"/>
        <v>0</v>
      </c>
      <c r="N159" s="31" t="str">
        <f t="shared" si="13"/>
        <v>-</v>
      </c>
      <c r="O159" s="31" t="str">
        <f t="shared" si="15"/>
        <v>-</v>
      </c>
      <c r="P159" s="35" t="str">
        <f t="shared" si="14"/>
        <v>-</v>
      </c>
      <c r="Q159" s="32" t="str">
        <f t="shared" si="16"/>
        <v>-</v>
      </c>
      <c r="S159" s="32" t="str">
        <f t="shared" si="17"/>
        <v>-</v>
      </c>
    </row>
    <row r="160" spans="1:19" x14ac:dyDescent="0.3">
      <c r="A160" s="45" t="s">
        <v>3084</v>
      </c>
      <c r="B160" s="40" t="s">
        <v>1410</v>
      </c>
      <c r="C160" s="41" t="s">
        <v>1921</v>
      </c>
      <c r="D160" s="21" t="s">
        <v>2224</v>
      </c>
      <c r="E160" s="21" t="s">
        <v>2237</v>
      </c>
      <c r="F160" s="24">
        <v>9.9104262940375012E-2</v>
      </c>
      <c r="G160" s="21">
        <v>12</v>
      </c>
      <c r="H160" s="17">
        <v>10.5</v>
      </c>
      <c r="I160" s="43" t="s">
        <v>3950</v>
      </c>
      <c r="J160" s="26"/>
      <c r="K160" s="17">
        <f t="shared" si="12"/>
        <v>0</v>
      </c>
      <c r="N160" s="31" t="str">
        <f t="shared" si="13"/>
        <v>-</v>
      </c>
      <c r="O160" s="31" t="str">
        <f t="shared" si="15"/>
        <v>-</v>
      </c>
      <c r="P160" s="35" t="str">
        <f t="shared" si="14"/>
        <v>-</v>
      </c>
      <c r="Q160" s="32" t="str">
        <f t="shared" si="16"/>
        <v>-</v>
      </c>
      <c r="S160" s="32" t="str">
        <f t="shared" si="17"/>
        <v>-</v>
      </c>
    </row>
    <row r="161" spans="1:19" x14ac:dyDescent="0.3">
      <c r="A161" s="45" t="s">
        <v>3096</v>
      </c>
      <c r="B161" s="40" t="s">
        <v>1373</v>
      </c>
      <c r="C161" s="41" t="s">
        <v>1925</v>
      </c>
      <c r="D161" s="21" t="s">
        <v>2221</v>
      </c>
      <c r="E161" s="21" t="s">
        <v>2222</v>
      </c>
      <c r="F161" s="24">
        <v>6.606950862691667E-2</v>
      </c>
      <c r="G161" s="21">
        <v>12</v>
      </c>
      <c r="H161" s="17">
        <v>4.6500000000000004</v>
      </c>
      <c r="I161" s="43" t="s">
        <v>3950</v>
      </c>
      <c r="J161" s="26"/>
      <c r="K161" s="17">
        <f t="shared" si="12"/>
        <v>0</v>
      </c>
      <c r="N161" s="31" t="str">
        <f t="shared" si="13"/>
        <v>-</v>
      </c>
      <c r="O161" s="31" t="str">
        <f t="shared" si="15"/>
        <v>-</v>
      </c>
      <c r="P161" s="35" t="str">
        <f t="shared" si="14"/>
        <v>-</v>
      </c>
      <c r="Q161" s="32" t="str">
        <f t="shared" si="16"/>
        <v>-</v>
      </c>
      <c r="S161" s="32" t="str">
        <f t="shared" si="17"/>
        <v>-</v>
      </c>
    </row>
    <row r="162" spans="1:19" x14ac:dyDescent="0.3">
      <c r="A162" s="45" t="s">
        <v>3102</v>
      </c>
      <c r="B162" s="40" t="s">
        <v>1354</v>
      </c>
      <c r="C162" s="41" t="s">
        <v>1928</v>
      </c>
      <c r="D162" s="21" t="s">
        <v>2225</v>
      </c>
      <c r="E162" s="21" t="s">
        <v>2222</v>
      </c>
      <c r="F162" s="24">
        <v>8.2372374392000014E-2</v>
      </c>
      <c r="G162" s="21">
        <v>12</v>
      </c>
      <c r="H162" s="17">
        <v>5.99</v>
      </c>
      <c r="I162" s="43" t="s">
        <v>3950</v>
      </c>
      <c r="J162" s="26"/>
      <c r="K162" s="17">
        <f t="shared" si="12"/>
        <v>0</v>
      </c>
      <c r="N162" s="31" t="str">
        <f t="shared" si="13"/>
        <v>-</v>
      </c>
      <c r="O162" s="31" t="str">
        <f t="shared" si="15"/>
        <v>-</v>
      </c>
      <c r="P162" s="35" t="str">
        <f t="shared" si="14"/>
        <v>-</v>
      </c>
      <c r="Q162" s="32" t="str">
        <f t="shared" si="16"/>
        <v>-</v>
      </c>
      <c r="S162" s="32" t="str">
        <f t="shared" si="17"/>
        <v>-</v>
      </c>
    </row>
    <row r="163" spans="1:19" x14ac:dyDescent="0.3">
      <c r="A163" s="45" t="s">
        <v>3103</v>
      </c>
      <c r="B163" s="40" t="s">
        <v>1128</v>
      </c>
      <c r="C163" s="41" t="s">
        <v>1928</v>
      </c>
      <c r="D163" s="21" t="s">
        <v>2226</v>
      </c>
      <c r="E163" s="21" t="s">
        <v>2222</v>
      </c>
      <c r="F163" s="24">
        <v>0.1184102881885</v>
      </c>
      <c r="G163" s="21">
        <v>12</v>
      </c>
      <c r="H163" s="17">
        <v>11.1</v>
      </c>
      <c r="I163" s="43" t="s">
        <v>3950</v>
      </c>
      <c r="J163" s="26"/>
      <c r="K163" s="17">
        <f t="shared" si="12"/>
        <v>0</v>
      </c>
      <c r="N163" s="31" t="str">
        <f t="shared" si="13"/>
        <v>-</v>
      </c>
      <c r="O163" s="31" t="str">
        <f t="shared" si="15"/>
        <v>-</v>
      </c>
      <c r="P163" s="35" t="str">
        <f t="shared" si="14"/>
        <v>-</v>
      </c>
      <c r="Q163" s="32" t="str">
        <f t="shared" si="16"/>
        <v>-</v>
      </c>
      <c r="S163" s="32" t="str">
        <f t="shared" si="17"/>
        <v>-</v>
      </c>
    </row>
    <row r="164" spans="1:19" x14ac:dyDescent="0.3">
      <c r="A164" s="45" t="s">
        <v>3107</v>
      </c>
      <c r="B164" s="40" t="s">
        <v>437</v>
      </c>
      <c r="C164" s="41" t="s">
        <v>1929</v>
      </c>
      <c r="D164" s="21" t="s">
        <v>2224</v>
      </c>
      <c r="E164" s="21" t="s">
        <v>2222</v>
      </c>
      <c r="F164" s="24">
        <v>9.2668921191000023E-2</v>
      </c>
      <c r="G164" s="21">
        <v>12</v>
      </c>
      <c r="H164" s="17">
        <v>9.3000000000000007</v>
      </c>
      <c r="I164" s="43" t="s">
        <v>3950</v>
      </c>
      <c r="J164" s="26"/>
      <c r="K164" s="17">
        <f t="shared" si="12"/>
        <v>0</v>
      </c>
      <c r="N164" s="31" t="str">
        <f t="shared" si="13"/>
        <v>-</v>
      </c>
      <c r="O164" s="31" t="str">
        <f t="shared" si="15"/>
        <v>-</v>
      </c>
      <c r="P164" s="35" t="str">
        <f t="shared" si="14"/>
        <v>-</v>
      </c>
      <c r="Q164" s="32" t="str">
        <f t="shared" si="16"/>
        <v>-</v>
      </c>
      <c r="S164" s="32" t="str">
        <f t="shared" si="17"/>
        <v>-</v>
      </c>
    </row>
    <row r="165" spans="1:19" x14ac:dyDescent="0.3">
      <c r="A165" s="45" t="s">
        <v>3126</v>
      </c>
      <c r="B165" s="40" t="s">
        <v>65</v>
      </c>
      <c r="C165" s="41" t="s">
        <v>1937</v>
      </c>
      <c r="D165" s="21" t="s">
        <v>2223</v>
      </c>
      <c r="E165" s="21" t="s">
        <v>2222</v>
      </c>
      <c r="F165" s="24">
        <v>5.5772961827916676E-2</v>
      </c>
      <c r="G165" s="21">
        <v>12</v>
      </c>
      <c r="H165" s="17">
        <v>11.25</v>
      </c>
      <c r="I165" s="43" t="s">
        <v>3950</v>
      </c>
      <c r="J165" s="26"/>
      <c r="K165" s="17">
        <f t="shared" si="12"/>
        <v>0</v>
      </c>
      <c r="N165" s="31" t="str">
        <f t="shared" si="13"/>
        <v>-</v>
      </c>
      <c r="O165" s="31" t="str">
        <f t="shared" si="15"/>
        <v>-</v>
      </c>
      <c r="P165" s="35" t="str">
        <f t="shared" si="14"/>
        <v>-</v>
      </c>
      <c r="Q165" s="32" t="str">
        <f t="shared" si="16"/>
        <v>-</v>
      </c>
      <c r="S165" s="32" t="str">
        <f t="shared" si="17"/>
        <v>-</v>
      </c>
    </row>
    <row r="166" spans="1:19" x14ac:dyDescent="0.3">
      <c r="A166" s="45" t="s">
        <v>3139</v>
      </c>
      <c r="B166" s="40" t="s">
        <v>41</v>
      </c>
      <c r="C166" s="41" t="s">
        <v>1942</v>
      </c>
      <c r="D166" s="21" t="s">
        <v>2223</v>
      </c>
      <c r="E166" s="21" t="s">
        <v>2222</v>
      </c>
      <c r="F166" s="24">
        <v>4.0328141629416663E-2</v>
      </c>
      <c r="G166" s="21">
        <v>12</v>
      </c>
      <c r="H166" s="17">
        <v>5.39</v>
      </c>
      <c r="I166" s="43" t="s">
        <v>3950</v>
      </c>
      <c r="J166" s="26"/>
      <c r="K166" s="17">
        <f t="shared" si="12"/>
        <v>0</v>
      </c>
      <c r="N166" s="31" t="str">
        <f t="shared" si="13"/>
        <v>-</v>
      </c>
      <c r="O166" s="31" t="str">
        <f t="shared" si="15"/>
        <v>-</v>
      </c>
      <c r="P166" s="35" t="str">
        <f t="shared" si="14"/>
        <v>-</v>
      </c>
      <c r="Q166" s="32" t="str">
        <f t="shared" si="16"/>
        <v>-</v>
      </c>
      <c r="S166" s="32" t="str">
        <f t="shared" si="17"/>
        <v>-</v>
      </c>
    </row>
    <row r="167" spans="1:19" x14ac:dyDescent="0.3">
      <c r="A167" s="45" t="s">
        <v>3140</v>
      </c>
      <c r="B167" s="40" t="s">
        <v>1422</v>
      </c>
      <c r="C167" s="41" t="s">
        <v>1942</v>
      </c>
      <c r="D167" s="21" t="s">
        <v>2224</v>
      </c>
      <c r="E167" s="21" t="s">
        <v>2222</v>
      </c>
      <c r="F167" s="24">
        <v>5.6631007394500006E-2</v>
      </c>
      <c r="G167" s="21">
        <v>12</v>
      </c>
      <c r="H167" s="17">
        <v>9.9</v>
      </c>
      <c r="I167" s="43" t="s">
        <v>3950</v>
      </c>
      <c r="J167" s="26"/>
      <c r="K167" s="17">
        <f t="shared" si="12"/>
        <v>0</v>
      </c>
      <c r="N167" s="31" t="str">
        <f t="shared" si="13"/>
        <v>-</v>
      </c>
      <c r="O167" s="31" t="str">
        <f t="shared" si="15"/>
        <v>-</v>
      </c>
      <c r="P167" s="35" t="str">
        <f t="shared" si="14"/>
        <v>-</v>
      </c>
      <c r="Q167" s="32" t="str">
        <f t="shared" si="16"/>
        <v>-</v>
      </c>
      <c r="S167" s="32" t="str">
        <f t="shared" si="17"/>
        <v>-</v>
      </c>
    </row>
    <row r="168" spans="1:19" x14ac:dyDescent="0.3">
      <c r="A168" s="45" t="s">
        <v>3146</v>
      </c>
      <c r="B168" s="40" t="s">
        <v>926</v>
      </c>
      <c r="C168" s="41" t="s">
        <v>1945</v>
      </c>
      <c r="D168" s="21" t="s">
        <v>2224</v>
      </c>
      <c r="E168" s="21" t="s">
        <v>2222</v>
      </c>
      <c r="F168" s="24">
        <v>0.15359015641841667</v>
      </c>
      <c r="G168" s="21">
        <v>12</v>
      </c>
      <c r="H168" s="17">
        <v>22.79</v>
      </c>
      <c r="I168" s="43" t="s">
        <v>3950</v>
      </c>
      <c r="J168" s="26"/>
      <c r="K168" s="17">
        <f t="shared" si="12"/>
        <v>0</v>
      </c>
      <c r="N168" s="31" t="str">
        <f t="shared" si="13"/>
        <v>-</v>
      </c>
      <c r="O168" s="31" t="str">
        <f t="shared" si="15"/>
        <v>-</v>
      </c>
      <c r="P168" s="35" t="str">
        <f t="shared" si="14"/>
        <v>-</v>
      </c>
      <c r="Q168" s="32" t="str">
        <f t="shared" si="16"/>
        <v>-</v>
      </c>
      <c r="S168" s="32" t="str">
        <f t="shared" si="17"/>
        <v>-</v>
      </c>
    </row>
    <row r="169" spans="1:19" x14ac:dyDescent="0.3">
      <c r="A169" s="45" t="s">
        <v>3157</v>
      </c>
      <c r="B169" s="40" t="s">
        <v>1326</v>
      </c>
      <c r="C169" s="41" t="s">
        <v>1949</v>
      </c>
      <c r="D169" s="21" t="s">
        <v>2223</v>
      </c>
      <c r="E169" s="21" t="s">
        <v>2222</v>
      </c>
      <c r="F169" s="24">
        <v>7.6366055425916665E-2</v>
      </c>
      <c r="G169" s="21">
        <v>12</v>
      </c>
      <c r="H169" s="17">
        <v>13.5</v>
      </c>
      <c r="I169" s="43" t="s">
        <v>3950</v>
      </c>
      <c r="J169" s="26"/>
      <c r="K169" s="17">
        <f t="shared" si="12"/>
        <v>0</v>
      </c>
      <c r="N169" s="31" t="str">
        <f t="shared" si="13"/>
        <v>-</v>
      </c>
      <c r="O169" s="31" t="str">
        <f t="shared" si="15"/>
        <v>-</v>
      </c>
      <c r="P169" s="35" t="str">
        <f t="shared" si="14"/>
        <v>-</v>
      </c>
      <c r="Q169" s="32" t="str">
        <f t="shared" si="16"/>
        <v>-</v>
      </c>
      <c r="S169" s="32" t="str">
        <f t="shared" si="17"/>
        <v>-</v>
      </c>
    </row>
    <row r="170" spans="1:19" x14ac:dyDescent="0.3">
      <c r="A170" s="45" t="s">
        <v>3165</v>
      </c>
      <c r="B170" s="40" t="s">
        <v>1565</v>
      </c>
      <c r="C170" s="41" t="s">
        <v>1951</v>
      </c>
      <c r="D170" s="21" t="s">
        <v>2230</v>
      </c>
      <c r="E170" s="21" t="s">
        <v>2240</v>
      </c>
      <c r="F170" s="24">
        <v>9.2668921191000023E-2</v>
      </c>
      <c r="G170" s="21">
        <v>12</v>
      </c>
      <c r="H170" s="17">
        <v>5.55</v>
      </c>
      <c r="I170" s="43" t="s">
        <v>3950</v>
      </c>
      <c r="J170" s="26"/>
      <c r="K170" s="17">
        <f t="shared" si="12"/>
        <v>0</v>
      </c>
      <c r="N170" s="31" t="str">
        <f t="shared" si="13"/>
        <v>-</v>
      </c>
      <c r="O170" s="31" t="str">
        <f t="shared" si="15"/>
        <v>-</v>
      </c>
      <c r="P170" s="35" t="str">
        <f t="shared" si="14"/>
        <v>-</v>
      </c>
      <c r="Q170" s="32" t="str">
        <f t="shared" si="16"/>
        <v>-</v>
      </c>
      <c r="S170" s="32" t="str">
        <f t="shared" si="17"/>
        <v>-</v>
      </c>
    </row>
    <row r="171" spans="1:19" x14ac:dyDescent="0.3">
      <c r="A171" s="45" t="s">
        <v>3167</v>
      </c>
      <c r="B171" s="40" t="s">
        <v>56</v>
      </c>
      <c r="C171" s="41" t="s">
        <v>1942</v>
      </c>
      <c r="D171" s="21" t="s">
        <v>2227</v>
      </c>
      <c r="E171" s="21" t="s">
        <v>2222</v>
      </c>
      <c r="F171" s="24">
        <v>8.666260222491666E-2</v>
      </c>
      <c r="G171" s="21">
        <v>12</v>
      </c>
      <c r="H171" s="17">
        <v>17.989999999999998</v>
      </c>
      <c r="I171" s="43" t="s">
        <v>3950</v>
      </c>
      <c r="J171" s="26"/>
      <c r="K171" s="17">
        <f t="shared" si="12"/>
        <v>0</v>
      </c>
      <c r="N171" s="31" t="str">
        <f t="shared" si="13"/>
        <v>-</v>
      </c>
      <c r="O171" s="31" t="str">
        <f t="shared" si="15"/>
        <v>-</v>
      </c>
      <c r="P171" s="35" t="str">
        <f t="shared" si="14"/>
        <v>-</v>
      </c>
      <c r="Q171" s="32" t="str">
        <f t="shared" si="16"/>
        <v>-</v>
      </c>
      <c r="S171" s="32" t="str">
        <f t="shared" si="17"/>
        <v>-</v>
      </c>
    </row>
    <row r="172" spans="1:19" x14ac:dyDescent="0.3">
      <c r="A172" s="45" t="s">
        <v>3176</v>
      </c>
      <c r="B172" s="40" t="s">
        <v>263</v>
      </c>
      <c r="C172" s="41" t="s">
        <v>1788</v>
      </c>
      <c r="D172" s="21" t="s">
        <v>2239</v>
      </c>
      <c r="E172" s="21" t="s">
        <v>2234</v>
      </c>
      <c r="F172" s="24">
        <v>6.6927554193500008E-2</v>
      </c>
      <c r="G172" s="21">
        <v>12</v>
      </c>
      <c r="H172" s="17">
        <v>5.39</v>
      </c>
      <c r="I172" s="43" t="s">
        <v>3950</v>
      </c>
      <c r="J172" s="26"/>
      <c r="K172" s="17">
        <f t="shared" si="12"/>
        <v>0</v>
      </c>
      <c r="N172" s="31" t="str">
        <f t="shared" si="13"/>
        <v>-</v>
      </c>
      <c r="O172" s="31" t="str">
        <f t="shared" si="15"/>
        <v>-</v>
      </c>
      <c r="P172" s="35" t="str">
        <f t="shared" si="14"/>
        <v>-</v>
      </c>
      <c r="Q172" s="32" t="str">
        <f t="shared" si="16"/>
        <v>-</v>
      </c>
      <c r="S172" s="32" t="str">
        <f t="shared" si="17"/>
        <v>-</v>
      </c>
    </row>
    <row r="173" spans="1:19" x14ac:dyDescent="0.3">
      <c r="A173" s="45" t="s">
        <v>3177</v>
      </c>
      <c r="B173" s="40" t="s">
        <v>534</v>
      </c>
      <c r="C173" s="41" t="s">
        <v>1788</v>
      </c>
      <c r="D173" s="21" t="s">
        <v>2221</v>
      </c>
      <c r="E173" s="21" t="s">
        <v>2234</v>
      </c>
      <c r="F173" s="24">
        <v>0.1124039692224167</v>
      </c>
      <c r="G173" s="21">
        <v>12</v>
      </c>
      <c r="H173" s="17">
        <v>9.9</v>
      </c>
      <c r="I173" s="43" t="s">
        <v>3950</v>
      </c>
      <c r="J173" s="26"/>
      <c r="K173" s="17">
        <f t="shared" si="12"/>
        <v>0</v>
      </c>
      <c r="N173" s="31" t="str">
        <f t="shared" si="13"/>
        <v>-</v>
      </c>
      <c r="O173" s="31" t="str">
        <f t="shared" si="15"/>
        <v>-</v>
      </c>
      <c r="P173" s="35" t="str">
        <f t="shared" si="14"/>
        <v>-</v>
      </c>
      <c r="Q173" s="32" t="str">
        <f t="shared" si="16"/>
        <v>-</v>
      </c>
      <c r="S173" s="32" t="str">
        <f t="shared" si="17"/>
        <v>-</v>
      </c>
    </row>
    <row r="174" spans="1:19" x14ac:dyDescent="0.3">
      <c r="A174" s="45" t="s">
        <v>3179</v>
      </c>
      <c r="B174" s="40" t="s">
        <v>1232</v>
      </c>
      <c r="C174" s="41" t="s">
        <v>1950</v>
      </c>
      <c r="D174" s="21" t="s">
        <v>2224</v>
      </c>
      <c r="E174" s="21" t="s">
        <v>2234</v>
      </c>
      <c r="F174" s="24">
        <v>9.3955989540875015E-2</v>
      </c>
      <c r="G174" s="21">
        <v>12</v>
      </c>
      <c r="H174" s="17">
        <v>8.85</v>
      </c>
      <c r="I174" s="43" t="s">
        <v>3950</v>
      </c>
      <c r="J174" s="26"/>
      <c r="K174" s="17">
        <f t="shared" si="12"/>
        <v>0</v>
      </c>
      <c r="N174" s="31" t="str">
        <f t="shared" si="13"/>
        <v>-</v>
      </c>
      <c r="O174" s="31" t="str">
        <f t="shared" si="15"/>
        <v>-</v>
      </c>
      <c r="P174" s="35" t="str">
        <f t="shared" si="14"/>
        <v>-</v>
      </c>
      <c r="Q174" s="32" t="str">
        <f t="shared" si="16"/>
        <v>-</v>
      </c>
      <c r="S174" s="32" t="str">
        <f t="shared" si="17"/>
        <v>-</v>
      </c>
    </row>
    <row r="175" spans="1:19" x14ac:dyDescent="0.3">
      <c r="A175" s="45" t="s">
        <v>3188</v>
      </c>
      <c r="B175" s="40" t="s">
        <v>1395</v>
      </c>
      <c r="C175" s="41" t="s">
        <v>1955</v>
      </c>
      <c r="D175" s="21" t="s">
        <v>2265</v>
      </c>
      <c r="E175" s="21" t="s">
        <v>2229</v>
      </c>
      <c r="F175" s="24">
        <v>0.15959647538450003</v>
      </c>
      <c r="G175" s="21">
        <v>12</v>
      </c>
      <c r="H175" s="17">
        <v>19.190000000000001</v>
      </c>
      <c r="I175" s="43" t="s">
        <v>3950</v>
      </c>
      <c r="J175" s="26"/>
      <c r="K175" s="17">
        <f t="shared" si="12"/>
        <v>0</v>
      </c>
      <c r="N175" s="31" t="str">
        <f t="shared" si="13"/>
        <v>-</v>
      </c>
      <c r="O175" s="31" t="str">
        <f t="shared" si="15"/>
        <v>-</v>
      </c>
      <c r="P175" s="35" t="str">
        <f t="shared" si="14"/>
        <v>-</v>
      </c>
      <c r="Q175" s="32" t="str">
        <f t="shared" si="16"/>
        <v>-</v>
      </c>
      <c r="S175" s="32" t="str">
        <f t="shared" si="17"/>
        <v>-</v>
      </c>
    </row>
    <row r="176" spans="1:19" x14ac:dyDescent="0.3">
      <c r="A176" s="45" t="s">
        <v>3194</v>
      </c>
      <c r="B176" s="40" t="s">
        <v>1208</v>
      </c>
      <c r="C176" s="41" t="s">
        <v>1957</v>
      </c>
      <c r="D176" s="21" t="s">
        <v>2242</v>
      </c>
      <c r="E176" s="21" t="s">
        <v>2234</v>
      </c>
      <c r="F176" s="24">
        <v>0.26942630790716665</v>
      </c>
      <c r="G176" s="21">
        <v>12</v>
      </c>
      <c r="H176" s="17">
        <v>14.1</v>
      </c>
      <c r="I176" s="43" t="s">
        <v>3950</v>
      </c>
      <c r="J176" s="26"/>
      <c r="K176" s="17">
        <f t="shared" si="12"/>
        <v>0</v>
      </c>
      <c r="N176" s="31" t="str">
        <f t="shared" si="13"/>
        <v>-</v>
      </c>
      <c r="O176" s="31" t="str">
        <f t="shared" si="15"/>
        <v>-</v>
      </c>
      <c r="P176" s="35" t="str">
        <f t="shared" si="14"/>
        <v>-</v>
      </c>
      <c r="Q176" s="32" t="str">
        <f t="shared" si="16"/>
        <v>-</v>
      </c>
      <c r="S176" s="32" t="str">
        <f t="shared" si="17"/>
        <v>-</v>
      </c>
    </row>
    <row r="177" spans="1:19" x14ac:dyDescent="0.3">
      <c r="A177" s="45" t="s">
        <v>3197</v>
      </c>
      <c r="B177" s="40" t="s">
        <v>1000</v>
      </c>
      <c r="C177" s="41" t="s">
        <v>1959</v>
      </c>
      <c r="D177" s="21" t="s">
        <v>2221</v>
      </c>
      <c r="E177" s="21" t="s">
        <v>2234</v>
      </c>
      <c r="F177" s="24">
        <v>0.12270051602141667</v>
      </c>
      <c r="G177" s="21">
        <v>12</v>
      </c>
      <c r="H177" s="17">
        <v>7.79</v>
      </c>
      <c r="I177" s="43" t="s">
        <v>3950</v>
      </c>
      <c r="J177" s="26"/>
      <c r="K177" s="17">
        <f t="shared" si="12"/>
        <v>0</v>
      </c>
      <c r="N177" s="31" t="str">
        <f t="shared" si="13"/>
        <v>-</v>
      </c>
      <c r="O177" s="31" t="str">
        <f t="shared" si="15"/>
        <v>-</v>
      </c>
      <c r="P177" s="35" t="str">
        <f t="shared" si="14"/>
        <v>-</v>
      </c>
      <c r="Q177" s="32" t="str">
        <f t="shared" si="16"/>
        <v>-</v>
      </c>
      <c r="S177" s="32" t="str">
        <f t="shared" si="17"/>
        <v>-</v>
      </c>
    </row>
    <row r="178" spans="1:19" x14ac:dyDescent="0.3">
      <c r="A178" s="45" t="s">
        <v>3215</v>
      </c>
      <c r="B178" s="40" t="s">
        <v>91</v>
      </c>
      <c r="C178" s="41" t="s">
        <v>1963</v>
      </c>
      <c r="D178" s="21" t="s">
        <v>2224</v>
      </c>
      <c r="E178" s="21" t="s">
        <v>2222</v>
      </c>
      <c r="F178" s="24">
        <v>8.880771614137499E-2</v>
      </c>
      <c r="G178" s="21">
        <v>12</v>
      </c>
      <c r="H178" s="17">
        <v>7.35</v>
      </c>
      <c r="I178" s="43" t="s">
        <v>3950</v>
      </c>
      <c r="J178" s="26"/>
      <c r="K178" s="17">
        <f t="shared" si="12"/>
        <v>0</v>
      </c>
      <c r="N178" s="31" t="str">
        <f t="shared" si="13"/>
        <v>-</v>
      </c>
      <c r="O178" s="31" t="str">
        <f t="shared" si="15"/>
        <v>-</v>
      </c>
      <c r="P178" s="35" t="str">
        <f t="shared" si="14"/>
        <v>-</v>
      </c>
      <c r="Q178" s="32" t="str">
        <f t="shared" si="16"/>
        <v>-</v>
      </c>
      <c r="S178" s="32" t="str">
        <f t="shared" si="17"/>
        <v>-</v>
      </c>
    </row>
    <row r="179" spans="1:19" x14ac:dyDescent="0.3">
      <c r="A179" s="45" t="s">
        <v>3216</v>
      </c>
      <c r="B179" s="40" t="s">
        <v>71</v>
      </c>
      <c r="C179" s="41" t="s">
        <v>1963</v>
      </c>
      <c r="D179" s="21" t="s">
        <v>2227</v>
      </c>
      <c r="E179" s="21" t="s">
        <v>2222</v>
      </c>
      <c r="F179" s="24">
        <v>0.16903497661691669</v>
      </c>
      <c r="G179" s="21">
        <v>12</v>
      </c>
      <c r="H179" s="17">
        <v>12.59</v>
      </c>
      <c r="I179" s="43" t="s">
        <v>3950</v>
      </c>
      <c r="J179" s="26"/>
      <c r="K179" s="17">
        <f t="shared" si="12"/>
        <v>0</v>
      </c>
      <c r="N179" s="31" t="str">
        <f t="shared" si="13"/>
        <v>-</v>
      </c>
      <c r="O179" s="31" t="str">
        <f t="shared" si="15"/>
        <v>-</v>
      </c>
      <c r="P179" s="35" t="str">
        <f t="shared" si="14"/>
        <v>-</v>
      </c>
      <c r="Q179" s="32" t="str">
        <f t="shared" si="16"/>
        <v>-</v>
      </c>
      <c r="S179" s="32" t="str">
        <f t="shared" si="17"/>
        <v>-</v>
      </c>
    </row>
    <row r="180" spans="1:19" x14ac:dyDescent="0.3">
      <c r="A180" s="45" t="s">
        <v>3239</v>
      </c>
      <c r="B180" s="40" t="s">
        <v>52</v>
      </c>
      <c r="C180" s="41" t="s">
        <v>1971</v>
      </c>
      <c r="D180" s="21" t="s">
        <v>2224</v>
      </c>
      <c r="E180" s="21" t="s">
        <v>2222</v>
      </c>
      <c r="F180" s="24">
        <v>6.1779280794000004E-2</v>
      </c>
      <c r="G180" s="21">
        <v>12</v>
      </c>
      <c r="H180" s="17">
        <v>32.39</v>
      </c>
      <c r="I180" s="43" t="s">
        <v>3950</v>
      </c>
      <c r="J180" s="26"/>
      <c r="K180" s="17">
        <f t="shared" si="12"/>
        <v>0</v>
      </c>
      <c r="N180" s="31" t="str">
        <f t="shared" si="13"/>
        <v>-</v>
      </c>
      <c r="O180" s="31" t="str">
        <f t="shared" si="15"/>
        <v>-</v>
      </c>
      <c r="P180" s="35" t="str">
        <f t="shared" si="14"/>
        <v>-</v>
      </c>
      <c r="Q180" s="32" t="str">
        <f t="shared" si="16"/>
        <v>-</v>
      </c>
      <c r="S180" s="32" t="str">
        <f t="shared" si="17"/>
        <v>-</v>
      </c>
    </row>
    <row r="181" spans="1:19" x14ac:dyDescent="0.3">
      <c r="A181" s="45" t="s">
        <v>3262</v>
      </c>
      <c r="B181" s="40" t="s">
        <v>62</v>
      </c>
      <c r="C181" s="41" t="s">
        <v>1976</v>
      </c>
      <c r="D181" s="21" t="s">
        <v>2267</v>
      </c>
      <c r="E181" s="21" t="s">
        <v>2222</v>
      </c>
      <c r="F181" s="24">
        <v>0.53713652468116668</v>
      </c>
      <c r="G181" s="21">
        <v>12</v>
      </c>
      <c r="H181" s="17">
        <v>28.35</v>
      </c>
      <c r="I181" s="43" t="s">
        <v>3950</v>
      </c>
      <c r="J181" s="26"/>
      <c r="K181" s="17">
        <f t="shared" si="12"/>
        <v>0</v>
      </c>
      <c r="N181" s="31" t="str">
        <f t="shared" si="13"/>
        <v>-</v>
      </c>
      <c r="O181" s="31" t="str">
        <f t="shared" si="15"/>
        <v>-</v>
      </c>
      <c r="P181" s="35" t="str">
        <f t="shared" si="14"/>
        <v>-</v>
      </c>
      <c r="Q181" s="32" t="str">
        <f t="shared" si="16"/>
        <v>-</v>
      </c>
      <c r="S181" s="32" t="str">
        <f t="shared" si="17"/>
        <v>-</v>
      </c>
    </row>
    <row r="182" spans="1:19" x14ac:dyDescent="0.3">
      <c r="A182" s="45" t="s">
        <v>3283</v>
      </c>
      <c r="B182" s="40" t="s">
        <v>539</v>
      </c>
      <c r="C182" s="41" t="s">
        <v>1984</v>
      </c>
      <c r="D182" s="21" t="s">
        <v>2221</v>
      </c>
      <c r="E182" s="21" t="s">
        <v>2222</v>
      </c>
      <c r="F182" s="24">
        <v>6.6927554193500008E-2</v>
      </c>
      <c r="G182" s="21">
        <v>12</v>
      </c>
      <c r="H182" s="17">
        <v>7.95</v>
      </c>
      <c r="I182" s="43" t="s">
        <v>3950</v>
      </c>
      <c r="J182" s="26"/>
      <c r="K182" s="17">
        <f t="shared" si="12"/>
        <v>0</v>
      </c>
      <c r="N182" s="31" t="str">
        <f t="shared" si="13"/>
        <v>-</v>
      </c>
      <c r="O182" s="31" t="str">
        <f t="shared" si="15"/>
        <v>-</v>
      </c>
      <c r="P182" s="35" t="str">
        <f t="shared" si="14"/>
        <v>-</v>
      </c>
      <c r="Q182" s="32" t="str">
        <f t="shared" si="16"/>
        <v>-</v>
      </c>
      <c r="S182" s="32" t="str">
        <f t="shared" si="17"/>
        <v>-</v>
      </c>
    </row>
    <row r="183" spans="1:19" x14ac:dyDescent="0.3">
      <c r="A183" s="45" t="s">
        <v>3292</v>
      </c>
      <c r="B183" s="40" t="s">
        <v>1182</v>
      </c>
      <c r="C183" s="41" t="s">
        <v>1921</v>
      </c>
      <c r="D183" s="21" t="s">
        <v>2227</v>
      </c>
      <c r="E183" s="21" t="s">
        <v>2234</v>
      </c>
      <c r="F183" s="24">
        <v>0.11583615148875001</v>
      </c>
      <c r="G183" s="21">
        <v>12</v>
      </c>
      <c r="H183" s="17">
        <v>20.39</v>
      </c>
      <c r="I183" s="43" t="s">
        <v>3950</v>
      </c>
      <c r="J183" s="26"/>
      <c r="K183" s="17">
        <f t="shared" si="12"/>
        <v>0</v>
      </c>
      <c r="N183" s="31" t="str">
        <f t="shared" si="13"/>
        <v>-</v>
      </c>
      <c r="O183" s="31" t="str">
        <f t="shared" si="15"/>
        <v>-</v>
      </c>
      <c r="P183" s="35" t="str">
        <f t="shared" si="14"/>
        <v>-</v>
      </c>
      <c r="Q183" s="32" t="str">
        <f t="shared" si="16"/>
        <v>-</v>
      </c>
      <c r="S183" s="32" t="str">
        <f t="shared" si="17"/>
        <v>-</v>
      </c>
    </row>
    <row r="184" spans="1:19" x14ac:dyDescent="0.3">
      <c r="A184" s="45" t="s">
        <v>3297</v>
      </c>
      <c r="B184" s="40" t="s">
        <v>876</v>
      </c>
      <c r="C184" s="41" t="s">
        <v>1988</v>
      </c>
      <c r="D184" s="21" t="s">
        <v>2224</v>
      </c>
      <c r="E184" s="21" t="s">
        <v>2222</v>
      </c>
      <c r="F184" s="24">
        <v>0.16989302218350003</v>
      </c>
      <c r="G184" s="21">
        <v>12</v>
      </c>
      <c r="H184" s="17">
        <v>11.99</v>
      </c>
      <c r="I184" s="43" t="s">
        <v>3950</v>
      </c>
      <c r="J184" s="26"/>
      <c r="K184" s="17">
        <f t="shared" si="12"/>
        <v>0</v>
      </c>
      <c r="N184" s="31" t="str">
        <f t="shared" si="13"/>
        <v>-</v>
      </c>
      <c r="O184" s="31" t="str">
        <f t="shared" si="15"/>
        <v>-</v>
      </c>
      <c r="P184" s="35" t="str">
        <f t="shared" si="14"/>
        <v>-</v>
      </c>
      <c r="Q184" s="32" t="str">
        <f t="shared" si="16"/>
        <v>-</v>
      </c>
      <c r="S184" s="32" t="str">
        <f t="shared" si="17"/>
        <v>-</v>
      </c>
    </row>
    <row r="185" spans="1:19" x14ac:dyDescent="0.3">
      <c r="A185" s="45" t="s">
        <v>3300</v>
      </c>
      <c r="B185" s="40" t="s">
        <v>322</v>
      </c>
      <c r="C185" s="41" t="s">
        <v>2290</v>
      </c>
      <c r="D185" s="21" t="s">
        <v>2224</v>
      </c>
      <c r="E185" s="21" t="s">
        <v>2222</v>
      </c>
      <c r="F185" s="24">
        <v>0.15359015641841667</v>
      </c>
      <c r="G185" s="21">
        <v>12</v>
      </c>
      <c r="H185" s="17">
        <v>10.5</v>
      </c>
      <c r="I185" s="43" t="s">
        <v>3950</v>
      </c>
      <c r="J185" s="26"/>
      <c r="K185" s="17">
        <f t="shared" si="12"/>
        <v>0</v>
      </c>
      <c r="N185" s="31" t="str">
        <f t="shared" si="13"/>
        <v>-</v>
      </c>
      <c r="O185" s="31" t="str">
        <f t="shared" si="15"/>
        <v>-</v>
      </c>
      <c r="P185" s="35" t="str">
        <f t="shared" si="14"/>
        <v>-</v>
      </c>
      <c r="Q185" s="32" t="str">
        <f t="shared" si="16"/>
        <v>-</v>
      </c>
      <c r="S185" s="32" t="str">
        <f t="shared" si="17"/>
        <v>-</v>
      </c>
    </row>
    <row r="186" spans="1:19" x14ac:dyDescent="0.3">
      <c r="A186" s="45" t="s">
        <v>3303</v>
      </c>
      <c r="B186" s="40" t="s">
        <v>53</v>
      </c>
      <c r="C186" s="41" t="s">
        <v>1989</v>
      </c>
      <c r="D186" s="21" t="s">
        <v>2224</v>
      </c>
      <c r="E186" s="21" t="s">
        <v>2222</v>
      </c>
      <c r="F186" s="24">
        <v>9.3955989540875015E-2</v>
      </c>
      <c r="G186" s="21">
        <v>12</v>
      </c>
      <c r="H186" s="17">
        <v>21.3</v>
      </c>
      <c r="I186" s="43" t="s">
        <v>3950</v>
      </c>
      <c r="J186" s="26"/>
      <c r="K186" s="17">
        <f t="shared" si="12"/>
        <v>0</v>
      </c>
      <c r="N186" s="31" t="str">
        <f t="shared" si="13"/>
        <v>-</v>
      </c>
      <c r="O186" s="31" t="str">
        <f t="shared" si="15"/>
        <v>-</v>
      </c>
      <c r="P186" s="35" t="str">
        <f t="shared" si="14"/>
        <v>-</v>
      </c>
      <c r="Q186" s="32" t="str">
        <f t="shared" si="16"/>
        <v>-</v>
      </c>
      <c r="S186" s="32" t="str">
        <f t="shared" si="17"/>
        <v>-</v>
      </c>
    </row>
    <row r="187" spans="1:19" x14ac:dyDescent="0.3">
      <c r="A187" s="45" t="s">
        <v>3312</v>
      </c>
      <c r="B187" s="40" t="s">
        <v>726</v>
      </c>
      <c r="C187" s="41" t="s">
        <v>1993</v>
      </c>
      <c r="D187" s="21" t="s">
        <v>2223</v>
      </c>
      <c r="E187" s="21" t="s">
        <v>2260</v>
      </c>
      <c r="F187" s="24">
        <v>0.14844188301891667</v>
      </c>
      <c r="G187" s="21">
        <v>12</v>
      </c>
      <c r="H187" s="17">
        <v>6.9</v>
      </c>
      <c r="I187" s="43" t="s">
        <v>3950</v>
      </c>
      <c r="J187" s="26"/>
      <c r="K187" s="17">
        <f t="shared" si="12"/>
        <v>0</v>
      </c>
      <c r="N187" s="31" t="str">
        <f t="shared" si="13"/>
        <v>-</v>
      </c>
      <c r="O187" s="31" t="str">
        <f t="shared" si="15"/>
        <v>-</v>
      </c>
      <c r="P187" s="35" t="str">
        <f t="shared" si="14"/>
        <v>-</v>
      </c>
      <c r="Q187" s="32" t="str">
        <f t="shared" si="16"/>
        <v>-</v>
      </c>
      <c r="S187" s="32" t="str">
        <f t="shared" si="17"/>
        <v>-</v>
      </c>
    </row>
    <row r="188" spans="1:19" x14ac:dyDescent="0.3">
      <c r="A188" s="45" t="s">
        <v>3313</v>
      </c>
      <c r="B188" s="40" t="s">
        <v>131</v>
      </c>
      <c r="C188" s="41" t="s">
        <v>1993</v>
      </c>
      <c r="D188" s="21" t="s">
        <v>2224</v>
      </c>
      <c r="E188" s="21" t="s">
        <v>2260</v>
      </c>
      <c r="F188" s="24">
        <v>0.26685217120741672</v>
      </c>
      <c r="G188" s="21">
        <v>12</v>
      </c>
      <c r="H188" s="17">
        <v>12.9</v>
      </c>
      <c r="I188" s="43" t="s">
        <v>3950</v>
      </c>
      <c r="J188" s="26"/>
      <c r="K188" s="17">
        <f t="shared" si="12"/>
        <v>0</v>
      </c>
      <c r="N188" s="31" t="str">
        <f t="shared" si="13"/>
        <v>-</v>
      </c>
      <c r="O188" s="31" t="str">
        <f t="shared" si="15"/>
        <v>-</v>
      </c>
      <c r="P188" s="35" t="str">
        <f t="shared" si="14"/>
        <v>-</v>
      </c>
      <c r="Q188" s="32" t="str">
        <f t="shared" si="16"/>
        <v>-</v>
      </c>
      <c r="S188" s="32" t="str">
        <f t="shared" si="17"/>
        <v>-</v>
      </c>
    </row>
    <row r="189" spans="1:19" x14ac:dyDescent="0.3">
      <c r="A189" s="45" t="s">
        <v>3314</v>
      </c>
      <c r="B189" s="40" t="s">
        <v>1357</v>
      </c>
      <c r="C189" s="41" t="s">
        <v>1993</v>
      </c>
      <c r="D189" s="21" t="s">
        <v>2227</v>
      </c>
      <c r="E189" s="21" t="s">
        <v>2260</v>
      </c>
      <c r="F189" s="24">
        <v>0.47878942615350012</v>
      </c>
      <c r="G189" s="21">
        <v>12</v>
      </c>
      <c r="H189" s="17">
        <v>24.59</v>
      </c>
      <c r="I189" s="43" t="s">
        <v>3950</v>
      </c>
      <c r="J189" s="26"/>
      <c r="K189" s="17">
        <f t="shared" si="12"/>
        <v>0</v>
      </c>
      <c r="N189" s="31" t="str">
        <f t="shared" si="13"/>
        <v>-</v>
      </c>
      <c r="O189" s="31" t="str">
        <f t="shared" si="15"/>
        <v>-</v>
      </c>
      <c r="P189" s="35" t="str">
        <f t="shared" si="14"/>
        <v>-</v>
      </c>
      <c r="Q189" s="32" t="str">
        <f t="shared" si="16"/>
        <v>-</v>
      </c>
      <c r="S189" s="32" t="str">
        <f t="shared" si="17"/>
        <v>-</v>
      </c>
    </row>
    <row r="190" spans="1:19" x14ac:dyDescent="0.3">
      <c r="A190" s="45" t="s">
        <v>3317</v>
      </c>
      <c r="B190" s="40" t="s">
        <v>1419</v>
      </c>
      <c r="C190" s="41" t="s">
        <v>1994</v>
      </c>
      <c r="D190" s="21" t="s">
        <v>2223</v>
      </c>
      <c r="E190" s="21" t="s">
        <v>2222</v>
      </c>
      <c r="F190" s="24">
        <v>7.1217782026416682E-2</v>
      </c>
      <c r="G190" s="21">
        <v>12</v>
      </c>
      <c r="H190" s="17">
        <v>11.39</v>
      </c>
      <c r="I190" s="43" t="s">
        <v>3950</v>
      </c>
      <c r="J190" s="26"/>
      <c r="K190" s="17">
        <f t="shared" si="12"/>
        <v>0</v>
      </c>
      <c r="N190" s="31" t="str">
        <f t="shared" si="13"/>
        <v>-</v>
      </c>
      <c r="O190" s="31" t="str">
        <f t="shared" si="15"/>
        <v>-</v>
      </c>
      <c r="P190" s="35" t="str">
        <f t="shared" si="14"/>
        <v>-</v>
      </c>
      <c r="Q190" s="32" t="str">
        <f t="shared" si="16"/>
        <v>-</v>
      </c>
      <c r="S190" s="32" t="str">
        <f t="shared" si="17"/>
        <v>-</v>
      </c>
    </row>
    <row r="191" spans="1:19" x14ac:dyDescent="0.3">
      <c r="A191" s="45" t="s">
        <v>3318</v>
      </c>
      <c r="B191" s="40" t="s">
        <v>1459</v>
      </c>
      <c r="C191" s="41" t="s">
        <v>1994</v>
      </c>
      <c r="D191" s="21" t="s">
        <v>2224</v>
      </c>
      <c r="E191" s="21" t="s">
        <v>2222</v>
      </c>
      <c r="F191" s="24">
        <v>0.114549083138875</v>
      </c>
      <c r="G191" s="21">
        <v>12</v>
      </c>
      <c r="H191" s="17">
        <v>21.3</v>
      </c>
      <c r="I191" s="43" t="s">
        <v>3950</v>
      </c>
      <c r="J191" s="26"/>
      <c r="K191" s="17">
        <f t="shared" si="12"/>
        <v>0</v>
      </c>
      <c r="N191" s="31" t="str">
        <f t="shared" si="13"/>
        <v>-</v>
      </c>
      <c r="O191" s="31" t="str">
        <f t="shared" si="15"/>
        <v>-</v>
      </c>
      <c r="P191" s="35" t="str">
        <f t="shared" si="14"/>
        <v>-</v>
      </c>
      <c r="Q191" s="32" t="str">
        <f t="shared" si="16"/>
        <v>-</v>
      </c>
      <c r="S191" s="32" t="str">
        <f t="shared" si="17"/>
        <v>-</v>
      </c>
    </row>
    <row r="192" spans="1:19" x14ac:dyDescent="0.3">
      <c r="A192" s="45" t="s">
        <v>3329</v>
      </c>
      <c r="B192" s="40" t="s">
        <v>977</v>
      </c>
      <c r="C192" s="41" t="s">
        <v>1998</v>
      </c>
      <c r="D192" s="21" t="s">
        <v>2224</v>
      </c>
      <c r="E192" s="21" t="s">
        <v>2234</v>
      </c>
      <c r="F192" s="24">
        <v>7.3362895942875012E-2</v>
      </c>
      <c r="G192" s="21">
        <v>12</v>
      </c>
      <c r="H192" s="17">
        <v>18.59</v>
      </c>
      <c r="I192" s="43" t="s">
        <v>3950</v>
      </c>
      <c r="J192" s="26"/>
      <c r="K192" s="17">
        <f t="shared" si="12"/>
        <v>0</v>
      </c>
      <c r="N192" s="31" t="str">
        <f t="shared" si="13"/>
        <v>-</v>
      </c>
      <c r="O192" s="31" t="str">
        <f t="shared" si="15"/>
        <v>-</v>
      </c>
      <c r="P192" s="35" t="str">
        <f t="shared" si="14"/>
        <v>-</v>
      </c>
      <c r="Q192" s="32" t="str">
        <f t="shared" si="16"/>
        <v>-</v>
      </c>
      <c r="S192" s="32" t="str">
        <f t="shared" si="17"/>
        <v>-</v>
      </c>
    </row>
    <row r="193" spans="1:19" x14ac:dyDescent="0.3">
      <c r="A193" s="45" t="s">
        <v>3330</v>
      </c>
      <c r="B193" s="40" t="s">
        <v>87</v>
      </c>
      <c r="C193" s="41" t="s">
        <v>1692</v>
      </c>
      <c r="D193" s="21" t="s">
        <v>2224</v>
      </c>
      <c r="E193" s="21" t="s">
        <v>2222</v>
      </c>
      <c r="F193" s="24">
        <v>0.15873842981791667</v>
      </c>
      <c r="G193" s="21">
        <v>12</v>
      </c>
      <c r="H193" s="17">
        <v>8.6999999999999993</v>
      </c>
      <c r="I193" s="43" t="s">
        <v>3950</v>
      </c>
      <c r="J193" s="26"/>
      <c r="K193" s="17">
        <f t="shared" si="12"/>
        <v>0</v>
      </c>
      <c r="N193" s="31" t="str">
        <f t="shared" si="13"/>
        <v>-</v>
      </c>
      <c r="O193" s="31" t="str">
        <f t="shared" si="15"/>
        <v>-</v>
      </c>
      <c r="P193" s="35" t="str">
        <f t="shared" si="14"/>
        <v>-</v>
      </c>
      <c r="Q193" s="32" t="str">
        <f t="shared" si="16"/>
        <v>-</v>
      </c>
      <c r="S193" s="32" t="str">
        <f t="shared" si="17"/>
        <v>-</v>
      </c>
    </row>
    <row r="194" spans="1:19" x14ac:dyDescent="0.3">
      <c r="A194" s="45" t="s">
        <v>3340</v>
      </c>
      <c r="B194" s="40" t="s">
        <v>691</v>
      </c>
      <c r="C194" s="41" t="s">
        <v>2003</v>
      </c>
      <c r="D194" s="21" t="s">
        <v>2225</v>
      </c>
      <c r="E194" s="21" t="s">
        <v>2222</v>
      </c>
      <c r="F194" s="24">
        <v>5.5772961827916676E-2</v>
      </c>
      <c r="G194" s="21">
        <v>12</v>
      </c>
      <c r="H194" s="17">
        <v>6.59</v>
      </c>
      <c r="I194" s="43" t="s">
        <v>3950</v>
      </c>
      <c r="J194" s="26"/>
      <c r="K194" s="17">
        <f t="shared" si="12"/>
        <v>0</v>
      </c>
      <c r="N194" s="31" t="str">
        <f t="shared" si="13"/>
        <v>-</v>
      </c>
      <c r="O194" s="31" t="str">
        <f t="shared" si="15"/>
        <v>-</v>
      </c>
      <c r="P194" s="35" t="str">
        <f t="shared" si="14"/>
        <v>-</v>
      </c>
      <c r="Q194" s="32" t="str">
        <f t="shared" si="16"/>
        <v>-</v>
      </c>
      <c r="S194" s="32" t="str">
        <f t="shared" si="17"/>
        <v>-</v>
      </c>
    </row>
    <row r="195" spans="1:19" x14ac:dyDescent="0.3">
      <c r="A195" s="45" t="s">
        <v>3345</v>
      </c>
      <c r="B195" s="40" t="s">
        <v>1014</v>
      </c>
      <c r="C195" s="41" t="s">
        <v>2005</v>
      </c>
      <c r="D195" s="21" t="s">
        <v>2239</v>
      </c>
      <c r="E195" s="21" t="s">
        <v>2222</v>
      </c>
      <c r="F195" s="24">
        <v>0.1381453362199167</v>
      </c>
      <c r="G195" s="21">
        <v>12</v>
      </c>
      <c r="H195" s="17">
        <v>7.35</v>
      </c>
      <c r="I195" s="43" t="s">
        <v>3950</v>
      </c>
      <c r="J195" s="26"/>
      <c r="K195" s="17">
        <f t="shared" ref="K195:K257" si="18">J195*H195</f>
        <v>0</v>
      </c>
      <c r="N195" s="31" t="str">
        <f t="shared" ref="N195:N257" si="19">IFERROR(IF($N$2*F195=0, "-", $N$2*F195), "-")</f>
        <v>-</v>
      </c>
      <c r="O195" s="31" t="str">
        <f t="shared" si="15"/>
        <v>-</v>
      </c>
      <c r="P195" s="35" t="str">
        <f t="shared" ref="P195:P257" si="20">IF(J195&gt;0,J195*F195, "-")</f>
        <v>-</v>
      </c>
      <c r="Q195" s="32" t="str">
        <f t="shared" si="16"/>
        <v>-</v>
      </c>
      <c r="S195" s="32" t="str">
        <f t="shared" si="17"/>
        <v>-</v>
      </c>
    </row>
    <row r="196" spans="1:19" x14ac:dyDescent="0.3">
      <c r="A196" s="45" t="s">
        <v>3346</v>
      </c>
      <c r="B196" s="40" t="s">
        <v>967</v>
      </c>
      <c r="C196" s="41" t="s">
        <v>2005</v>
      </c>
      <c r="D196" s="21" t="s">
        <v>2221</v>
      </c>
      <c r="E196" s="21" t="s">
        <v>2222</v>
      </c>
      <c r="F196" s="24">
        <v>0.25140735100891665</v>
      </c>
      <c r="G196" s="21">
        <v>12</v>
      </c>
      <c r="H196" s="17">
        <v>13.65</v>
      </c>
      <c r="I196" s="43" t="s">
        <v>3950</v>
      </c>
      <c r="J196" s="26"/>
      <c r="K196" s="17">
        <f t="shared" si="18"/>
        <v>0</v>
      </c>
      <c r="N196" s="31" t="str">
        <f t="shared" si="19"/>
        <v>-</v>
      </c>
      <c r="O196" s="31" t="str">
        <f t="shared" ref="O196:O258" si="21">IFERROR(IF(N196&gt;0,H196+N196,"-"),"-")</f>
        <v>-</v>
      </c>
      <c r="P196" s="35" t="str">
        <f t="shared" si="20"/>
        <v>-</v>
      </c>
      <c r="Q196" s="32" t="str">
        <f t="shared" ref="Q196:Q258" si="22">IFERROR(IF($N$2&gt;0, $N$2*P196, "-"), "-")</f>
        <v>-</v>
      </c>
      <c r="S196" s="32" t="str">
        <f t="shared" ref="S196:S258" si="23">IFERROR(IF(Q196+K196=0, "-", IF(Q196&gt;0, Q196+K196, "-")), "-")</f>
        <v>-</v>
      </c>
    </row>
    <row r="197" spans="1:19" x14ac:dyDescent="0.3">
      <c r="A197" s="45" t="s">
        <v>3347</v>
      </c>
      <c r="B197" s="40" t="s">
        <v>565</v>
      </c>
      <c r="C197" s="41" t="s">
        <v>2006</v>
      </c>
      <c r="D197" s="21" t="s">
        <v>2224</v>
      </c>
      <c r="E197" s="21" t="s">
        <v>2222</v>
      </c>
      <c r="F197" s="24">
        <v>9.009478449125001E-2</v>
      </c>
      <c r="G197" s="21">
        <v>12</v>
      </c>
      <c r="H197" s="17">
        <v>6.59</v>
      </c>
      <c r="I197" s="43" t="s">
        <v>3950</v>
      </c>
      <c r="J197" s="26"/>
      <c r="K197" s="17">
        <f t="shared" si="18"/>
        <v>0</v>
      </c>
      <c r="N197" s="31" t="str">
        <f t="shared" si="19"/>
        <v>-</v>
      </c>
      <c r="O197" s="31" t="str">
        <f t="shared" si="21"/>
        <v>-</v>
      </c>
      <c r="P197" s="35" t="str">
        <f t="shared" si="20"/>
        <v>-</v>
      </c>
      <c r="Q197" s="32" t="str">
        <f t="shared" si="22"/>
        <v>-</v>
      </c>
      <c r="S197" s="32" t="str">
        <f t="shared" si="23"/>
        <v>-</v>
      </c>
    </row>
    <row r="198" spans="1:19" x14ac:dyDescent="0.3">
      <c r="A198" s="45" t="s">
        <v>3355</v>
      </c>
      <c r="B198" s="40" t="s">
        <v>517</v>
      </c>
      <c r="C198" s="41" t="s">
        <v>2008</v>
      </c>
      <c r="D198" s="21" t="s">
        <v>2224</v>
      </c>
      <c r="E198" s="21" t="s">
        <v>2222</v>
      </c>
      <c r="F198" s="24">
        <v>4.5476415028916667E-2</v>
      </c>
      <c r="G198" s="21">
        <v>12</v>
      </c>
      <c r="H198" s="17">
        <v>9.9</v>
      </c>
      <c r="I198" s="43" t="s">
        <v>3950</v>
      </c>
      <c r="J198" s="26"/>
      <c r="K198" s="17">
        <f t="shared" si="18"/>
        <v>0</v>
      </c>
      <c r="N198" s="31" t="str">
        <f t="shared" si="19"/>
        <v>-</v>
      </c>
      <c r="O198" s="31" t="str">
        <f t="shared" si="21"/>
        <v>-</v>
      </c>
      <c r="P198" s="35" t="str">
        <f t="shared" si="20"/>
        <v>-</v>
      </c>
      <c r="Q198" s="32" t="str">
        <f t="shared" si="22"/>
        <v>-</v>
      </c>
      <c r="S198" s="32" t="str">
        <f t="shared" si="23"/>
        <v>-</v>
      </c>
    </row>
    <row r="199" spans="1:19" x14ac:dyDescent="0.3">
      <c r="A199" s="45" t="s">
        <v>3361</v>
      </c>
      <c r="B199" s="40" t="s">
        <v>1439</v>
      </c>
      <c r="C199" s="41" t="s">
        <v>2010</v>
      </c>
      <c r="D199" s="21" t="s">
        <v>2223</v>
      </c>
      <c r="E199" s="21" t="s">
        <v>2222</v>
      </c>
      <c r="F199" s="24">
        <v>6.6927554193500008E-2</v>
      </c>
      <c r="G199" s="21">
        <v>12</v>
      </c>
      <c r="H199" s="17">
        <v>5.0999999999999996</v>
      </c>
      <c r="I199" s="43" t="s">
        <v>3950</v>
      </c>
      <c r="J199" s="26"/>
      <c r="K199" s="17">
        <f t="shared" si="18"/>
        <v>0</v>
      </c>
      <c r="N199" s="31" t="str">
        <f t="shared" si="19"/>
        <v>-</v>
      </c>
      <c r="O199" s="31" t="str">
        <f t="shared" si="21"/>
        <v>-</v>
      </c>
      <c r="P199" s="35" t="str">
        <f t="shared" si="20"/>
        <v>-</v>
      </c>
      <c r="Q199" s="32" t="str">
        <f t="shared" si="22"/>
        <v>-</v>
      </c>
      <c r="S199" s="32" t="str">
        <f t="shared" si="23"/>
        <v>-</v>
      </c>
    </row>
    <row r="200" spans="1:19" x14ac:dyDescent="0.3">
      <c r="A200" s="45" t="s">
        <v>3364</v>
      </c>
      <c r="B200" s="40" t="s">
        <v>118</v>
      </c>
      <c r="C200" s="41" t="s">
        <v>2011</v>
      </c>
      <c r="D200" s="21" t="s">
        <v>2224</v>
      </c>
      <c r="E200" s="21" t="s">
        <v>2222</v>
      </c>
      <c r="F200" s="24">
        <v>7.2075827592999991E-2</v>
      </c>
      <c r="G200" s="21">
        <v>12</v>
      </c>
      <c r="H200" s="17">
        <v>28.5</v>
      </c>
      <c r="I200" s="43" t="s">
        <v>3950</v>
      </c>
      <c r="J200" s="26"/>
      <c r="K200" s="17">
        <f t="shared" si="18"/>
        <v>0</v>
      </c>
      <c r="N200" s="31" t="str">
        <f t="shared" si="19"/>
        <v>-</v>
      </c>
      <c r="O200" s="31" t="str">
        <f t="shared" si="21"/>
        <v>-</v>
      </c>
      <c r="P200" s="35" t="str">
        <f t="shared" si="20"/>
        <v>-</v>
      </c>
      <c r="Q200" s="32" t="str">
        <f t="shared" si="22"/>
        <v>-</v>
      </c>
      <c r="S200" s="32" t="str">
        <f t="shared" si="23"/>
        <v>-</v>
      </c>
    </row>
    <row r="201" spans="1:19" x14ac:dyDescent="0.3">
      <c r="A201" s="45" t="s">
        <v>3373</v>
      </c>
      <c r="B201" s="40" t="s">
        <v>1131</v>
      </c>
      <c r="C201" s="41" t="s">
        <v>2015</v>
      </c>
      <c r="D201" s="21" t="s">
        <v>2224</v>
      </c>
      <c r="E201" s="21" t="s">
        <v>2222</v>
      </c>
      <c r="F201" s="24">
        <v>0.17160911331666664</v>
      </c>
      <c r="G201" s="21">
        <v>12</v>
      </c>
      <c r="H201" s="17">
        <v>21.45</v>
      </c>
      <c r="I201" s="43" t="s">
        <v>3950</v>
      </c>
      <c r="J201" s="26"/>
      <c r="K201" s="17">
        <f t="shared" si="18"/>
        <v>0</v>
      </c>
      <c r="N201" s="31" t="str">
        <f t="shared" si="19"/>
        <v>-</v>
      </c>
      <c r="O201" s="31" t="str">
        <f t="shared" si="21"/>
        <v>-</v>
      </c>
      <c r="P201" s="35" t="str">
        <f t="shared" si="20"/>
        <v>-</v>
      </c>
      <c r="Q201" s="32" t="str">
        <f t="shared" si="22"/>
        <v>-</v>
      </c>
      <c r="S201" s="32" t="str">
        <f t="shared" si="23"/>
        <v>-</v>
      </c>
    </row>
    <row r="202" spans="1:19" x14ac:dyDescent="0.3">
      <c r="A202" s="45" t="s">
        <v>3378</v>
      </c>
      <c r="B202" s="40" t="s">
        <v>643</v>
      </c>
      <c r="C202" s="41" t="s">
        <v>2016</v>
      </c>
      <c r="D202" s="21" t="s">
        <v>2224</v>
      </c>
      <c r="E202" s="21" t="s">
        <v>2232</v>
      </c>
      <c r="F202" s="24">
        <v>0.16131256651766665</v>
      </c>
      <c r="G202" s="21">
        <v>12</v>
      </c>
      <c r="H202" s="17">
        <v>8.99</v>
      </c>
      <c r="I202" s="43" t="s">
        <v>3950</v>
      </c>
      <c r="J202" s="26"/>
      <c r="K202" s="17">
        <f t="shared" si="18"/>
        <v>0</v>
      </c>
      <c r="N202" s="31" t="str">
        <f t="shared" si="19"/>
        <v>-</v>
      </c>
      <c r="O202" s="31" t="str">
        <f t="shared" si="21"/>
        <v>-</v>
      </c>
      <c r="P202" s="35" t="str">
        <f t="shared" si="20"/>
        <v>-</v>
      </c>
      <c r="Q202" s="32" t="str">
        <f t="shared" si="22"/>
        <v>-</v>
      </c>
      <c r="S202" s="32" t="str">
        <f t="shared" si="23"/>
        <v>-</v>
      </c>
    </row>
    <row r="203" spans="1:19" x14ac:dyDescent="0.3">
      <c r="A203" s="45" t="s">
        <v>3381</v>
      </c>
      <c r="B203" s="40" t="s">
        <v>990</v>
      </c>
      <c r="C203" s="41" t="s">
        <v>2017</v>
      </c>
      <c r="D203" s="21" t="s">
        <v>2223</v>
      </c>
      <c r="E203" s="21" t="s">
        <v>2222</v>
      </c>
      <c r="F203" s="24">
        <v>0.26685217120741672</v>
      </c>
      <c r="G203" s="21">
        <v>12</v>
      </c>
      <c r="H203" s="17">
        <v>5.39</v>
      </c>
      <c r="I203" s="43" t="s">
        <v>3950</v>
      </c>
      <c r="J203" s="26"/>
      <c r="K203" s="17">
        <f t="shared" si="18"/>
        <v>0</v>
      </c>
      <c r="N203" s="31" t="str">
        <f t="shared" si="19"/>
        <v>-</v>
      </c>
      <c r="O203" s="31" t="str">
        <f t="shared" si="21"/>
        <v>-</v>
      </c>
      <c r="P203" s="35" t="str">
        <f t="shared" si="20"/>
        <v>-</v>
      </c>
      <c r="Q203" s="32" t="str">
        <f t="shared" si="22"/>
        <v>-</v>
      </c>
      <c r="S203" s="32" t="str">
        <f t="shared" si="23"/>
        <v>-</v>
      </c>
    </row>
    <row r="204" spans="1:19" x14ac:dyDescent="0.3">
      <c r="A204" s="45" t="s">
        <v>3382</v>
      </c>
      <c r="B204" s="40" t="s">
        <v>1137</v>
      </c>
      <c r="C204" s="41" t="s">
        <v>2017</v>
      </c>
      <c r="D204" s="21" t="s">
        <v>2224</v>
      </c>
      <c r="E204" s="21" t="s">
        <v>2222</v>
      </c>
      <c r="F204" s="24">
        <v>6.0921235227416673E-2</v>
      </c>
      <c r="G204" s="21">
        <v>12</v>
      </c>
      <c r="H204" s="17">
        <v>9.59</v>
      </c>
      <c r="I204" s="43" t="s">
        <v>3950</v>
      </c>
      <c r="J204" s="26"/>
      <c r="K204" s="17">
        <f t="shared" si="18"/>
        <v>0</v>
      </c>
      <c r="N204" s="31" t="str">
        <f t="shared" si="19"/>
        <v>-</v>
      </c>
      <c r="O204" s="31" t="str">
        <f t="shared" si="21"/>
        <v>-</v>
      </c>
      <c r="P204" s="35" t="str">
        <f t="shared" si="20"/>
        <v>-</v>
      </c>
      <c r="Q204" s="32" t="str">
        <f t="shared" si="22"/>
        <v>-</v>
      </c>
      <c r="S204" s="32" t="str">
        <f t="shared" si="23"/>
        <v>-</v>
      </c>
    </row>
    <row r="205" spans="1:19" x14ac:dyDescent="0.3">
      <c r="A205" s="45" t="s">
        <v>3383</v>
      </c>
      <c r="B205" s="40" t="s">
        <v>1118</v>
      </c>
      <c r="C205" s="41" t="s">
        <v>2017</v>
      </c>
      <c r="D205" s="21" t="s">
        <v>2227</v>
      </c>
      <c r="E205" s="21" t="s">
        <v>2222</v>
      </c>
      <c r="F205" s="24">
        <v>8.7520647791500011E-2</v>
      </c>
      <c r="G205" s="21">
        <v>12</v>
      </c>
      <c r="H205" s="17">
        <v>18.3</v>
      </c>
      <c r="I205" s="43" t="s">
        <v>3950</v>
      </c>
      <c r="J205" s="26"/>
      <c r="K205" s="17">
        <f t="shared" si="18"/>
        <v>0</v>
      </c>
      <c r="N205" s="31" t="str">
        <f t="shared" si="19"/>
        <v>-</v>
      </c>
      <c r="O205" s="31" t="str">
        <f t="shared" si="21"/>
        <v>-</v>
      </c>
      <c r="P205" s="35" t="str">
        <f t="shared" si="20"/>
        <v>-</v>
      </c>
      <c r="Q205" s="32" t="str">
        <f t="shared" si="22"/>
        <v>-</v>
      </c>
      <c r="S205" s="32" t="str">
        <f t="shared" si="23"/>
        <v>-</v>
      </c>
    </row>
    <row r="206" spans="1:19" x14ac:dyDescent="0.3">
      <c r="A206" s="45" t="s">
        <v>3393</v>
      </c>
      <c r="B206" s="40" t="s">
        <v>137</v>
      </c>
      <c r="C206" s="41" t="s">
        <v>2021</v>
      </c>
      <c r="D206" s="21" t="s">
        <v>2224</v>
      </c>
      <c r="E206" s="21" t="s">
        <v>2222</v>
      </c>
      <c r="F206" s="24">
        <v>0.10811374138950001</v>
      </c>
      <c r="G206" s="21">
        <v>12</v>
      </c>
      <c r="H206" s="17">
        <v>11.85</v>
      </c>
      <c r="I206" s="43" t="s">
        <v>3950</v>
      </c>
      <c r="J206" s="26"/>
      <c r="K206" s="17">
        <f t="shared" si="18"/>
        <v>0</v>
      </c>
      <c r="N206" s="31" t="str">
        <f t="shared" si="19"/>
        <v>-</v>
      </c>
      <c r="O206" s="31" t="str">
        <f t="shared" si="21"/>
        <v>-</v>
      </c>
      <c r="P206" s="35" t="str">
        <f t="shared" si="20"/>
        <v>-</v>
      </c>
      <c r="Q206" s="32" t="str">
        <f t="shared" si="22"/>
        <v>-</v>
      </c>
      <c r="S206" s="32" t="str">
        <f t="shared" si="23"/>
        <v>-</v>
      </c>
    </row>
    <row r="207" spans="1:19" x14ac:dyDescent="0.3">
      <c r="A207" s="45" t="s">
        <v>3398</v>
      </c>
      <c r="B207" s="40" t="s">
        <v>382</v>
      </c>
      <c r="C207" s="41" t="s">
        <v>2025</v>
      </c>
      <c r="D207" s="21" t="s">
        <v>2224</v>
      </c>
      <c r="E207" s="21" t="s">
        <v>2222</v>
      </c>
      <c r="F207" s="24">
        <v>4.5476415028916667E-2</v>
      </c>
      <c r="G207" s="21">
        <v>12</v>
      </c>
      <c r="H207" s="17">
        <v>12.59</v>
      </c>
      <c r="I207" s="43" t="s">
        <v>3950</v>
      </c>
      <c r="J207" s="26"/>
      <c r="K207" s="17">
        <f t="shared" si="18"/>
        <v>0</v>
      </c>
      <c r="N207" s="31" t="str">
        <f t="shared" si="19"/>
        <v>-</v>
      </c>
      <c r="O207" s="31" t="str">
        <f t="shared" si="21"/>
        <v>-</v>
      </c>
      <c r="P207" s="35" t="str">
        <f t="shared" si="20"/>
        <v>-</v>
      </c>
      <c r="Q207" s="32" t="str">
        <f t="shared" si="22"/>
        <v>-</v>
      </c>
      <c r="S207" s="32" t="str">
        <f t="shared" si="23"/>
        <v>-</v>
      </c>
    </row>
    <row r="208" spans="1:19" x14ac:dyDescent="0.3">
      <c r="A208" s="45" t="s">
        <v>3405</v>
      </c>
      <c r="B208" s="40" t="s">
        <v>369</v>
      </c>
      <c r="C208" s="41" t="s">
        <v>2028</v>
      </c>
      <c r="D208" s="21" t="s">
        <v>2223</v>
      </c>
      <c r="E208" s="21" t="s">
        <v>2222</v>
      </c>
      <c r="F208" s="24">
        <v>3.5179868229916665E-2</v>
      </c>
      <c r="G208" s="21">
        <v>12</v>
      </c>
      <c r="H208" s="17">
        <v>5.55</v>
      </c>
      <c r="I208" s="43" t="s">
        <v>3950</v>
      </c>
      <c r="J208" s="26"/>
      <c r="K208" s="17">
        <f t="shared" si="18"/>
        <v>0</v>
      </c>
      <c r="N208" s="31" t="str">
        <f t="shared" si="19"/>
        <v>-</v>
      </c>
      <c r="O208" s="31" t="str">
        <f t="shared" si="21"/>
        <v>-</v>
      </c>
      <c r="P208" s="35" t="str">
        <f t="shared" si="20"/>
        <v>-</v>
      </c>
      <c r="Q208" s="32" t="str">
        <f t="shared" si="22"/>
        <v>-</v>
      </c>
      <c r="S208" s="32" t="str">
        <f t="shared" si="23"/>
        <v>-</v>
      </c>
    </row>
    <row r="209" spans="1:19" x14ac:dyDescent="0.3">
      <c r="A209" s="45" t="s">
        <v>3406</v>
      </c>
      <c r="B209" s="40" t="s">
        <v>1283</v>
      </c>
      <c r="C209" s="41" t="s">
        <v>2028</v>
      </c>
      <c r="D209" s="21" t="s">
        <v>2224</v>
      </c>
      <c r="E209" s="21" t="s">
        <v>2222</v>
      </c>
      <c r="F209" s="24">
        <v>6.0921235227416673E-2</v>
      </c>
      <c r="G209" s="21">
        <v>12</v>
      </c>
      <c r="H209" s="17">
        <v>10.19</v>
      </c>
      <c r="I209" s="43" t="s">
        <v>3950</v>
      </c>
      <c r="J209" s="26"/>
      <c r="K209" s="17">
        <f t="shared" si="18"/>
        <v>0</v>
      </c>
      <c r="N209" s="31" t="str">
        <f t="shared" si="19"/>
        <v>-</v>
      </c>
      <c r="O209" s="31" t="str">
        <f t="shared" si="21"/>
        <v>-</v>
      </c>
      <c r="P209" s="35" t="str">
        <f t="shared" si="20"/>
        <v>-</v>
      </c>
      <c r="Q209" s="32" t="str">
        <f t="shared" si="22"/>
        <v>-</v>
      </c>
      <c r="S209" s="32" t="str">
        <f t="shared" si="23"/>
        <v>-</v>
      </c>
    </row>
    <row r="210" spans="1:19" x14ac:dyDescent="0.3">
      <c r="A210" s="45" t="s">
        <v>3407</v>
      </c>
      <c r="B210" s="40" t="s">
        <v>928</v>
      </c>
      <c r="C210" s="41" t="s">
        <v>2028</v>
      </c>
      <c r="D210" s="21" t="s">
        <v>2227</v>
      </c>
      <c r="E210" s="21" t="s">
        <v>2222</v>
      </c>
      <c r="F210" s="24">
        <v>0.114549083138875</v>
      </c>
      <c r="G210" s="21">
        <v>12</v>
      </c>
      <c r="H210" s="17">
        <v>19.190000000000001</v>
      </c>
      <c r="I210" s="43" t="s">
        <v>3950</v>
      </c>
      <c r="J210" s="26"/>
      <c r="K210" s="17">
        <f t="shared" si="18"/>
        <v>0</v>
      </c>
      <c r="N210" s="31" t="str">
        <f t="shared" si="19"/>
        <v>-</v>
      </c>
      <c r="O210" s="31" t="str">
        <f t="shared" si="21"/>
        <v>-</v>
      </c>
      <c r="P210" s="35" t="str">
        <f t="shared" si="20"/>
        <v>-</v>
      </c>
      <c r="Q210" s="32" t="str">
        <f t="shared" si="22"/>
        <v>-</v>
      </c>
      <c r="S210" s="32" t="str">
        <f t="shared" si="23"/>
        <v>-</v>
      </c>
    </row>
    <row r="211" spans="1:19" x14ac:dyDescent="0.3">
      <c r="A211" s="45" t="s">
        <v>3408</v>
      </c>
      <c r="B211" s="40" t="s">
        <v>757</v>
      </c>
      <c r="C211" s="41" t="s">
        <v>2029</v>
      </c>
      <c r="D211" s="21" t="s">
        <v>2223</v>
      </c>
      <c r="E211" s="21" t="s">
        <v>2244</v>
      </c>
      <c r="F211" s="24">
        <v>3.689595936308334E-2</v>
      </c>
      <c r="G211" s="21">
        <v>12</v>
      </c>
      <c r="H211" s="17">
        <v>8.1</v>
      </c>
      <c r="I211" s="43" t="s">
        <v>3950</v>
      </c>
      <c r="J211" s="26"/>
      <c r="K211" s="17">
        <f t="shared" si="18"/>
        <v>0</v>
      </c>
      <c r="N211" s="31" t="str">
        <f t="shared" si="19"/>
        <v>-</v>
      </c>
      <c r="O211" s="31" t="str">
        <f t="shared" si="21"/>
        <v>-</v>
      </c>
      <c r="P211" s="35" t="str">
        <f t="shared" si="20"/>
        <v>-</v>
      </c>
      <c r="Q211" s="32" t="str">
        <f t="shared" si="22"/>
        <v>-</v>
      </c>
      <c r="S211" s="32" t="str">
        <f t="shared" si="23"/>
        <v>-</v>
      </c>
    </row>
    <row r="212" spans="1:19" x14ac:dyDescent="0.3">
      <c r="A212" s="45" t="s">
        <v>3409</v>
      </c>
      <c r="B212" s="40" t="s">
        <v>281</v>
      </c>
      <c r="C212" s="41" t="s">
        <v>2029</v>
      </c>
      <c r="D212" s="21" t="s">
        <v>2224</v>
      </c>
      <c r="E212" s="21" t="s">
        <v>2244</v>
      </c>
      <c r="F212" s="24">
        <v>5.5815864106245838E-2</v>
      </c>
      <c r="G212" s="21">
        <v>12</v>
      </c>
      <c r="H212" s="17">
        <v>15.3</v>
      </c>
      <c r="I212" s="43" t="s">
        <v>3950</v>
      </c>
      <c r="J212" s="26"/>
      <c r="K212" s="17">
        <f t="shared" si="18"/>
        <v>0</v>
      </c>
      <c r="N212" s="31" t="str">
        <f t="shared" si="19"/>
        <v>-</v>
      </c>
      <c r="O212" s="31" t="str">
        <f t="shared" si="21"/>
        <v>-</v>
      </c>
      <c r="P212" s="35" t="str">
        <f t="shared" si="20"/>
        <v>-</v>
      </c>
      <c r="Q212" s="32" t="str">
        <f t="shared" si="22"/>
        <v>-</v>
      </c>
      <c r="S212" s="32" t="str">
        <f t="shared" si="23"/>
        <v>-</v>
      </c>
    </row>
    <row r="213" spans="1:19" x14ac:dyDescent="0.3">
      <c r="A213" s="45" t="s">
        <v>3420</v>
      </c>
      <c r="B213" s="40" t="s">
        <v>531</v>
      </c>
      <c r="C213" s="41" t="s">
        <v>1839</v>
      </c>
      <c r="D213" s="21" t="s">
        <v>2227</v>
      </c>
      <c r="E213" s="21" t="s">
        <v>2234</v>
      </c>
      <c r="F213" s="24">
        <v>6.3066349143875003E-2</v>
      </c>
      <c r="G213" s="21">
        <v>12</v>
      </c>
      <c r="H213" s="17">
        <v>7.79</v>
      </c>
      <c r="I213" s="43" t="s">
        <v>3950</v>
      </c>
      <c r="J213" s="26"/>
      <c r="K213" s="17">
        <f t="shared" si="18"/>
        <v>0</v>
      </c>
      <c r="N213" s="31" t="str">
        <f t="shared" si="19"/>
        <v>-</v>
      </c>
      <c r="O213" s="31" t="str">
        <f t="shared" si="21"/>
        <v>-</v>
      </c>
      <c r="P213" s="35" t="str">
        <f t="shared" si="20"/>
        <v>-</v>
      </c>
      <c r="Q213" s="32" t="str">
        <f t="shared" si="22"/>
        <v>-</v>
      </c>
      <c r="S213" s="32" t="str">
        <f t="shared" si="23"/>
        <v>-</v>
      </c>
    </row>
    <row r="214" spans="1:19" x14ac:dyDescent="0.3">
      <c r="A214" s="45" t="s">
        <v>3423</v>
      </c>
      <c r="B214" s="40" t="s">
        <v>989</v>
      </c>
      <c r="C214" s="41" t="s">
        <v>2033</v>
      </c>
      <c r="D214" s="21" t="s">
        <v>2224</v>
      </c>
      <c r="E214" s="21" t="s">
        <v>2222</v>
      </c>
      <c r="F214" s="24">
        <v>5.0624688428416671E-2</v>
      </c>
      <c r="G214" s="21">
        <v>12</v>
      </c>
      <c r="H214" s="17">
        <v>10.79</v>
      </c>
      <c r="I214" s="43" t="s">
        <v>3950</v>
      </c>
      <c r="J214" s="26"/>
      <c r="K214" s="17">
        <f t="shared" si="18"/>
        <v>0</v>
      </c>
      <c r="N214" s="31" t="str">
        <f t="shared" si="19"/>
        <v>-</v>
      </c>
      <c r="O214" s="31" t="str">
        <f t="shared" si="21"/>
        <v>-</v>
      </c>
      <c r="P214" s="35" t="str">
        <f t="shared" si="20"/>
        <v>-</v>
      </c>
      <c r="Q214" s="32" t="str">
        <f t="shared" si="22"/>
        <v>-</v>
      </c>
      <c r="S214" s="32" t="str">
        <f t="shared" si="23"/>
        <v>-</v>
      </c>
    </row>
    <row r="215" spans="1:19" x14ac:dyDescent="0.3">
      <c r="A215" s="45" t="s">
        <v>3425</v>
      </c>
      <c r="B215" s="40" t="s">
        <v>1047</v>
      </c>
      <c r="C215" s="41" t="s">
        <v>2034</v>
      </c>
      <c r="D215" s="21" t="s">
        <v>2223</v>
      </c>
      <c r="E215" s="21" t="s">
        <v>2222</v>
      </c>
      <c r="F215" s="24">
        <v>6.0921235227416673E-2</v>
      </c>
      <c r="G215" s="21">
        <v>12</v>
      </c>
      <c r="H215" s="17">
        <v>7.19</v>
      </c>
      <c r="I215" s="43" t="s">
        <v>3950</v>
      </c>
      <c r="J215" s="26"/>
      <c r="K215" s="17">
        <f t="shared" si="18"/>
        <v>0</v>
      </c>
      <c r="N215" s="31" t="str">
        <f t="shared" si="19"/>
        <v>-</v>
      </c>
      <c r="O215" s="31" t="str">
        <f t="shared" si="21"/>
        <v>-</v>
      </c>
      <c r="P215" s="35" t="str">
        <f t="shared" si="20"/>
        <v>-</v>
      </c>
      <c r="Q215" s="32" t="str">
        <f t="shared" si="22"/>
        <v>-</v>
      </c>
      <c r="S215" s="32" t="str">
        <f t="shared" si="23"/>
        <v>-</v>
      </c>
    </row>
    <row r="216" spans="1:19" x14ac:dyDescent="0.3">
      <c r="A216" s="45" t="s">
        <v>3426</v>
      </c>
      <c r="B216" s="40" t="s">
        <v>339</v>
      </c>
      <c r="C216" s="41" t="s">
        <v>2034</v>
      </c>
      <c r="D216" s="21" t="s">
        <v>2224</v>
      </c>
      <c r="E216" s="21" t="s">
        <v>2222</v>
      </c>
      <c r="F216" s="24">
        <v>7.7224100992499989E-2</v>
      </c>
      <c r="G216" s="21">
        <v>12</v>
      </c>
      <c r="H216" s="17">
        <v>11.1</v>
      </c>
      <c r="I216" s="43" t="s">
        <v>3950</v>
      </c>
      <c r="J216" s="26"/>
      <c r="K216" s="17">
        <f t="shared" si="18"/>
        <v>0</v>
      </c>
      <c r="N216" s="31" t="str">
        <f t="shared" si="19"/>
        <v>-</v>
      </c>
      <c r="O216" s="31" t="str">
        <f t="shared" si="21"/>
        <v>-</v>
      </c>
      <c r="P216" s="35" t="str">
        <f t="shared" si="20"/>
        <v>-</v>
      </c>
      <c r="Q216" s="32" t="str">
        <f t="shared" si="22"/>
        <v>-</v>
      </c>
      <c r="S216" s="32" t="str">
        <f t="shared" si="23"/>
        <v>-</v>
      </c>
    </row>
    <row r="217" spans="1:19" x14ac:dyDescent="0.3">
      <c r="A217" s="45" t="s">
        <v>3427</v>
      </c>
      <c r="B217" s="40" t="s">
        <v>329</v>
      </c>
      <c r="C217" s="41" t="s">
        <v>2034</v>
      </c>
      <c r="D217" s="21" t="s">
        <v>2227</v>
      </c>
      <c r="E217" s="21" t="s">
        <v>2222</v>
      </c>
      <c r="F217" s="24">
        <v>0.13299706282041668</v>
      </c>
      <c r="G217" s="21">
        <v>12</v>
      </c>
      <c r="H217" s="17">
        <v>19.5</v>
      </c>
      <c r="I217" s="43" t="s">
        <v>3950</v>
      </c>
      <c r="J217" s="26"/>
      <c r="K217" s="17">
        <f t="shared" si="18"/>
        <v>0</v>
      </c>
      <c r="N217" s="31" t="str">
        <f t="shared" si="19"/>
        <v>-</v>
      </c>
      <c r="O217" s="31" t="str">
        <f t="shared" si="21"/>
        <v>-</v>
      </c>
      <c r="P217" s="35" t="str">
        <f t="shared" si="20"/>
        <v>-</v>
      </c>
      <c r="Q217" s="32" t="str">
        <f t="shared" si="22"/>
        <v>-</v>
      </c>
      <c r="S217" s="32" t="str">
        <f t="shared" si="23"/>
        <v>-</v>
      </c>
    </row>
    <row r="218" spans="1:19" x14ac:dyDescent="0.3">
      <c r="A218" s="45" t="s">
        <v>3432</v>
      </c>
      <c r="B218" s="40" t="s">
        <v>1181</v>
      </c>
      <c r="C218" s="41" t="s">
        <v>2035</v>
      </c>
      <c r="D218" s="21" t="s">
        <v>2224</v>
      </c>
      <c r="E218" s="21" t="s">
        <v>2222</v>
      </c>
      <c r="F218" s="24">
        <v>8.2372374392000014E-2</v>
      </c>
      <c r="G218" s="21">
        <v>12</v>
      </c>
      <c r="H218" s="17">
        <v>11.1</v>
      </c>
      <c r="I218" s="43" t="s">
        <v>3950</v>
      </c>
      <c r="J218" s="26"/>
      <c r="K218" s="17">
        <f t="shared" si="18"/>
        <v>0</v>
      </c>
      <c r="N218" s="31" t="str">
        <f t="shared" si="19"/>
        <v>-</v>
      </c>
      <c r="O218" s="31" t="str">
        <f t="shared" si="21"/>
        <v>-</v>
      </c>
      <c r="P218" s="35" t="str">
        <f t="shared" si="20"/>
        <v>-</v>
      </c>
      <c r="Q218" s="32" t="str">
        <f t="shared" si="22"/>
        <v>-</v>
      </c>
      <c r="S218" s="32" t="str">
        <f t="shared" si="23"/>
        <v>-</v>
      </c>
    </row>
    <row r="219" spans="1:19" x14ac:dyDescent="0.3">
      <c r="A219" s="45" t="s">
        <v>3436</v>
      </c>
      <c r="B219" s="40" t="s">
        <v>969</v>
      </c>
      <c r="C219" s="41" t="s">
        <v>2036</v>
      </c>
      <c r="D219" s="21" t="s">
        <v>2221</v>
      </c>
      <c r="E219" s="21" t="s">
        <v>2243</v>
      </c>
      <c r="F219" s="24">
        <v>0.18447979681541668</v>
      </c>
      <c r="G219" s="21">
        <v>12</v>
      </c>
      <c r="H219" s="17">
        <v>7.19</v>
      </c>
      <c r="I219" s="43" t="s">
        <v>3950</v>
      </c>
      <c r="J219" s="26"/>
      <c r="K219" s="17">
        <f t="shared" si="18"/>
        <v>0</v>
      </c>
      <c r="N219" s="31" t="str">
        <f t="shared" si="19"/>
        <v>-</v>
      </c>
      <c r="O219" s="31" t="str">
        <f t="shared" si="21"/>
        <v>-</v>
      </c>
      <c r="P219" s="35" t="str">
        <f t="shared" si="20"/>
        <v>-</v>
      </c>
      <c r="Q219" s="32" t="str">
        <f t="shared" si="22"/>
        <v>-</v>
      </c>
      <c r="S219" s="32" t="str">
        <f t="shared" si="23"/>
        <v>-</v>
      </c>
    </row>
    <row r="220" spans="1:19" x14ac:dyDescent="0.3">
      <c r="A220" s="45" t="s">
        <v>3442</v>
      </c>
      <c r="B220" s="40" t="s">
        <v>554</v>
      </c>
      <c r="C220" s="41" t="s">
        <v>2039</v>
      </c>
      <c r="D220" s="21" t="s">
        <v>2227</v>
      </c>
      <c r="E220" s="21" t="s">
        <v>2234</v>
      </c>
      <c r="F220" s="24">
        <v>0.16731888548375001</v>
      </c>
      <c r="G220" s="21">
        <v>12</v>
      </c>
      <c r="H220" s="17">
        <v>18.899999999999999</v>
      </c>
      <c r="I220" s="43" t="s">
        <v>3950</v>
      </c>
      <c r="J220" s="26"/>
      <c r="K220" s="17">
        <f t="shared" si="18"/>
        <v>0</v>
      </c>
      <c r="N220" s="31" t="str">
        <f t="shared" si="19"/>
        <v>-</v>
      </c>
      <c r="O220" s="31" t="str">
        <f t="shared" si="21"/>
        <v>-</v>
      </c>
      <c r="P220" s="35" t="str">
        <f t="shared" si="20"/>
        <v>-</v>
      </c>
      <c r="Q220" s="32" t="str">
        <f t="shared" si="22"/>
        <v>-</v>
      </c>
      <c r="S220" s="32" t="str">
        <f t="shared" si="23"/>
        <v>-</v>
      </c>
    </row>
    <row r="221" spans="1:19" x14ac:dyDescent="0.3">
      <c r="A221" s="45" t="s">
        <v>3463</v>
      </c>
      <c r="B221" s="40" t="s">
        <v>72</v>
      </c>
      <c r="C221" s="41" t="s">
        <v>2048</v>
      </c>
      <c r="D221" s="21" t="s">
        <v>2224</v>
      </c>
      <c r="E221" s="21" t="s">
        <v>2222</v>
      </c>
      <c r="F221" s="24">
        <v>3.5179868229916665E-2</v>
      </c>
      <c r="G221" s="21">
        <v>12</v>
      </c>
      <c r="H221" s="17">
        <v>6.15</v>
      </c>
      <c r="I221" s="43" t="s">
        <v>3950</v>
      </c>
      <c r="J221" s="26"/>
      <c r="K221" s="17">
        <f t="shared" si="18"/>
        <v>0</v>
      </c>
      <c r="N221" s="31" t="str">
        <f t="shared" si="19"/>
        <v>-</v>
      </c>
      <c r="O221" s="31" t="str">
        <f t="shared" si="21"/>
        <v>-</v>
      </c>
      <c r="P221" s="35" t="str">
        <f t="shared" si="20"/>
        <v>-</v>
      </c>
      <c r="Q221" s="32" t="str">
        <f t="shared" si="22"/>
        <v>-</v>
      </c>
      <c r="S221" s="32" t="str">
        <f t="shared" si="23"/>
        <v>-</v>
      </c>
    </row>
    <row r="222" spans="1:19" x14ac:dyDescent="0.3">
      <c r="A222" s="45" t="s">
        <v>3464</v>
      </c>
      <c r="B222" s="40" t="s">
        <v>85</v>
      </c>
      <c r="C222" s="41" t="s">
        <v>2048</v>
      </c>
      <c r="D222" s="21" t="s">
        <v>2227</v>
      </c>
      <c r="E222" s="21" t="s">
        <v>2222</v>
      </c>
      <c r="F222" s="24">
        <v>6.0921235227416673E-2</v>
      </c>
      <c r="G222" s="21">
        <v>12</v>
      </c>
      <c r="H222" s="17">
        <v>11.1</v>
      </c>
      <c r="I222" s="43" t="s">
        <v>3950</v>
      </c>
      <c r="J222" s="26"/>
      <c r="K222" s="17">
        <f t="shared" si="18"/>
        <v>0</v>
      </c>
      <c r="N222" s="31" t="str">
        <f t="shared" si="19"/>
        <v>-</v>
      </c>
      <c r="O222" s="31" t="str">
        <f t="shared" si="21"/>
        <v>-</v>
      </c>
      <c r="P222" s="35" t="str">
        <f t="shared" si="20"/>
        <v>-</v>
      </c>
      <c r="Q222" s="32" t="str">
        <f t="shared" si="22"/>
        <v>-</v>
      </c>
      <c r="S222" s="32" t="str">
        <f t="shared" si="23"/>
        <v>-</v>
      </c>
    </row>
    <row r="223" spans="1:19" x14ac:dyDescent="0.3">
      <c r="A223" s="45" t="s">
        <v>3474</v>
      </c>
      <c r="B223" s="40" t="s">
        <v>595</v>
      </c>
      <c r="C223" s="41" t="s">
        <v>2051</v>
      </c>
      <c r="D223" s="21" t="s">
        <v>2224</v>
      </c>
      <c r="E223" s="21" t="s">
        <v>2222</v>
      </c>
      <c r="F223" s="24">
        <v>6.8600743048337506E-2</v>
      </c>
      <c r="G223" s="21">
        <v>12</v>
      </c>
      <c r="H223" s="17">
        <v>8.5500000000000007</v>
      </c>
      <c r="I223" s="43" t="s">
        <v>3950</v>
      </c>
      <c r="J223" s="26"/>
      <c r="K223" s="17">
        <f t="shared" si="18"/>
        <v>0</v>
      </c>
      <c r="N223" s="31" t="str">
        <f t="shared" si="19"/>
        <v>-</v>
      </c>
      <c r="O223" s="31" t="str">
        <f t="shared" si="21"/>
        <v>-</v>
      </c>
      <c r="P223" s="35" t="str">
        <f t="shared" si="20"/>
        <v>-</v>
      </c>
      <c r="Q223" s="32" t="str">
        <f t="shared" si="22"/>
        <v>-</v>
      </c>
      <c r="S223" s="32" t="str">
        <f t="shared" si="23"/>
        <v>-</v>
      </c>
    </row>
    <row r="224" spans="1:19" x14ac:dyDescent="0.3">
      <c r="A224" s="45" t="s">
        <v>3475</v>
      </c>
      <c r="B224" s="40" t="s">
        <v>1193</v>
      </c>
      <c r="C224" s="41" t="s">
        <v>2051</v>
      </c>
      <c r="D224" s="21" t="s">
        <v>2227</v>
      </c>
      <c r="E224" s="21" t="s">
        <v>2222</v>
      </c>
      <c r="F224" s="24">
        <v>0.15616429311816668</v>
      </c>
      <c r="G224" s="21">
        <v>12</v>
      </c>
      <c r="H224" s="17">
        <v>15.59</v>
      </c>
      <c r="I224" s="43" t="s">
        <v>3950</v>
      </c>
      <c r="J224" s="26"/>
      <c r="K224" s="17">
        <f t="shared" si="18"/>
        <v>0</v>
      </c>
      <c r="N224" s="31" t="str">
        <f t="shared" si="19"/>
        <v>-</v>
      </c>
      <c r="O224" s="31" t="str">
        <f t="shared" si="21"/>
        <v>-</v>
      </c>
      <c r="P224" s="35" t="str">
        <f t="shared" si="20"/>
        <v>-</v>
      </c>
      <c r="Q224" s="32" t="str">
        <f t="shared" si="22"/>
        <v>-</v>
      </c>
      <c r="S224" s="32" t="str">
        <f t="shared" si="23"/>
        <v>-</v>
      </c>
    </row>
    <row r="225" spans="1:19" x14ac:dyDescent="0.3">
      <c r="A225" s="45" t="s">
        <v>3496</v>
      </c>
      <c r="B225" s="40" t="s">
        <v>317</v>
      </c>
      <c r="C225" s="41" t="s">
        <v>2058</v>
      </c>
      <c r="D225" s="21" t="s">
        <v>2224</v>
      </c>
      <c r="E225" s="21" t="s">
        <v>2234</v>
      </c>
      <c r="F225" s="24">
        <v>0.1175522426219167</v>
      </c>
      <c r="G225" s="21">
        <v>12</v>
      </c>
      <c r="H225" s="17">
        <v>5.0999999999999996</v>
      </c>
      <c r="I225" s="43" t="s">
        <v>3950</v>
      </c>
      <c r="J225" s="26"/>
      <c r="K225" s="17">
        <f t="shared" si="18"/>
        <v>0</v>
      </c>
      <c r="N225" s="31" t="str">
        <f t="shared" si="19"/>
        <v>-</v>
      </c>
      <c r="O225" s="31" t="str">
        <f t="shared" si="21"/>
        <v>-</v>
      </c>
      <c r="P225" s="35" t="str">
        <f t="shared" si="20"/>
        <v>-</v>
      </c>
      <c r="Q225" s="32" t="str">
        <f t="shared" si="22"/>
        <v>-</v>
      </c>
      <c r="S225" s="32" t="str">
        <f t="shared" si="23"/>
        <v>-</v>
      </c>
    </row>
    <row r="226" spans="1:19" x14ac:dyDescent="0.3">
      <c r="A226" s="45" t="s">
        <v>3497</v>
      </c>
      <c r="B226" s="40" t="s">
        <v>1406</v>
      </c>
      <c r="C226" s="41" t="s">
        <v>2058</v>
      </c>
      <c r="D226" s="21" t="s">
        <v>2227</v>
      </c>
      <c r="E226" s="21" t="s">
        <v>2234</v>
      </c>
      <c r="F226" s="24">
        <v>0.22566598401141666</v>
      </c>
      <c r="G226" s="21">
        <v>12</v>
      </c>
      <c r="H226" s="17">
        <v>9.3000000000000007</v>
      </c>
      <c r="I226" s="43" t="s">
        <v>3950</v>
      </c>
      <c r="J226" s="26"/>
      <c r="K226" s="17">
        <f t="shared" si="18"/>
        <v>0</v>
      </c>
      <c r="N226" s="31" t="str">
        <f t="shared" si="19"/>
        <v>-</v>
      </c>
      <c r="O226" s="31" t="str">
        <f t="shared" si="21"/>
        <v>-</v>
      </c>
      <c r="P226" s="35" t="str">
        <f t="shared" si="20"/>
        <v>-</v>
      </c>
      <c r="Q226" s="32" t="str">
        <f t="shared" si="22"/>
        <v>-</v>
      </c>
      <c r="S226" s="32" t="str">
        <f t="shared" si="23"/>
        <v>-</v>
      </c>
    </row>
    <row r="227" spans="1:19" x14ac:dyDescent="0.3">
      <c r="A227" s="45" t="s">
        <v>3503</v>
      </c>
      <c r="B227" s="40" t="s">
        <v>546</v>
      </c>
      <c r="C227" s="41" t="s">
        <v>2060</v>
      </c>
      <c r="D227" s="21" t="s">
        <v>2268</v>
      </c>
      <c r="E227" s="21" t="s">
        <v>2238</v>
      </c>
      <c r="F227" s="24">
        <v>4.3760323895750006E-2</v>
      </c>
      <c r="G227" s="21">
        <v>12</v>
      </c>
      <c r="H227" s="17">
        <v>13.79</v>
      </c>
      <c r="I227" s="43" t="s">
        <v>3950</v>
      </c>
      <c r="J227" s="26"/>
      <c r="K227" s="17">
        <f t="shared" si="18"/>
        <v>0</v>
      </c>
      <c r="N227" s="31" t="str">
        <f t="shared" si="19"/>
        <v>-</v>
      </c>
      <c r="O227" s="31" t="str">
        <f t="shared" si="21"/>
        <v>-</v>
      </c>
      <c r="P227" s="35" t="str">
        <f t="shared" si="20"/>
        <v>-</v>
      </c>
      <c r="Q227" s="32" t="str">
        <f t="shared" si="22"/>
        <v>-</v>
      </c>
      <c r="S227" s="32" t="str">
        <f t="shared" si="23"/>
        <v>-</v>
      </c>
    </row>
    <row r="228" spans="1:19" x14ac:dyDescent="0.3">
      <c r="A228" s="45" t="s">
        <v>3506</v>
      </c>
      <c r="B228" s="40" t="s">
        <v>559</v>
      </c>
      <c r="C228" s="41" t="s">
        <v>2061</v>
      </c>
      <c r="D228" s="21" t="s">
        <v>2224</v>
      </c>
      <c r="E228" s="21" t="s">
        <v>2222</v>
      </c>
      <c r="F228" s="24">
        <v>5.5772961827916676E-2</v>
      </c>
      <c r="G228" s="21">
        <v>12</v>
      </c>
      <c r="H228" s="17">
        <v>7.5</v>
      </c>
      <c r="I228" s="43" t="s">
        <v>3950</v>
      </c>
      <c r="J228" s="26"/>
      <c r="K228" s="17">
        <f t="shared" si="18"/>
        <v>0</v>
      </c>
      <c r="N228" s="31" t="str">
        <f t="shared" si="19"/>
        <v>-</v>
      </c>
      <c r="O228" s="31" t="str">
        <f t="shared" si="21"/>
        <v>-</v>
      </c>
      <c r="P228" s="35" t="str">
        <f t="shared" si="20"/>
        <v>-</v>
      </c>
      <c r="Q228" s="32" t="str">
        <f t="shared" si="22"/>
        <v>-</v>
      </c>
      <c r="S228" s="32" t="str">
        <f t="shared" si="23"/>
        <v>-</v>
      </c>
    </row>
    <row r="229" spans="1:19" x14ac:dyDescent="0.3">
      <c r="A229" s="45" t="s">
        <v>3516</v>
      </c>
      <c r="B229" s="40" t="s">
        <v>180</v>
      </c>
      <c r="C229" s="41" t="s">
        <v>2063</v>
      </c>
      <c r="D229" s="21" t="s">
        <v>2226</v>
      </c>
      <c r="E229" s="21" t="s">
        <v>2234</v>
      </c>
      <c r="F229" s="24">
        <v>0.28487112810566673</v>
      </c>
      <c r="G229" s="21">
        <v>12</v>
      </c>
      <c r="H229" s="17">
        <v>18.3</v>
      </c>
      <c r="I229" s="43" t="s">
        <v>3950</v>
      </c>
      <c r="J229" s="26"/>
      <c r="K229" s="17">
        <f t="shared" si="18"/>
        <v>0</v>
      </c>
      <c r="N229" s="31" t="str">
        <f t="shared" si="19"/>
        <v>-</v>
      </c>
      <c r="O229" s="31" t="str">
        <f t="shared" si="21"/>
        <v>-</v>
      </c>
      <c r="P229" s="35" t="str">
        <f t="shared" si="20"/>
        <v>-</v>
      </c>
      <c r="Q229" s="32" t="str">
        <f t="shared" si="22"/>
        <v>-</v>
      </c>
      <c r="S229" s="32" t="str">
        <f t="shared" si="23"/>
        <v>-</v>
      </c>
    </row>
    <row r="230" spans="1:19" x14ac:dyDescent="0.3">
      <c r="A230" s="45" t="s">
        <v>3528</v>
      </c>
      <c r="B230" s="40" t="s">
        <v>96</v>
      </c>
      <c r="C230" s="41" t="s">
        <v>2069</v>
      </c>
      <c r="D230" s="21" t="s">
        <v>2223</v>
      </c>
      <c r="E230" s="21" t="s">
        <v>2260</v>
      </c>
      <c r="F230" s="24">
        <v>0.1381453362199167</v>
      </c>
      <c r="G230" s="21">
        <v>12</v>
      </c>
      <c r="H230" s="17">
        <v>9.59</v>
      </c>
      <c r="I230" s="43" t="s">
        <v>3950</v>
      </c>
      <c r="J230" s="26"/>
      <c r="K230" s="17">
        <f t="shared" si="18"/>
        <v>0</v>
      </c>
      <c r="N230" s="31" t="str">
        <f t="shared" si="19"/>
        <v>-</v>
      </c>
      <c r="O230" s="31" t="str">
        <f t="shared" si="21"/>
        <v>-</v>
      </c>
      <c r="P230" s="35" t="str">
        <f t="shared" si="20"/>
        <v>-</v>
      </c>
      <c r="Q230" s="32" t="str">
        <f t="shared" si="22"/>
        <v>-</v>
      </c>
      <c r="S230" s="32" t="str">
        <f t="shared" si="23"/>
        <v>-</v>
      </c>
    </row>
    <row r="231" spans="1:19" x14ac:dyDescent="0.3">
      <c r="A231" s="45" t="s">
        <v>3529</v>
      </c>
      <c r="B231" s="40" t="s">
        <v>448</v>
      </c>
      <c r="C231" s="41" t="s">
        <v>2069</v>
      </c>
      <c r="D231" s="21" t="s">
        <v>2224</v>
      </c>
      <c r="E231" s="21" t="s">
        <v>2260</v>
      </c>
      <c r="F231" s="24">
        <v>0.25140735100891665</v>
      </c>
      <c r="G231" s="21">
        <v>12</v>
      </c>
      <c r="H231" s="17">
        <v>17.989999999999998</v>
      </c>
      <c r="I231" s="43" t="s">
        <v>3950</v>
      </c>
      <c r="J231" s="26"/>
      <c r="K231" s="17">
        <f t="shared" si="18"/>
        <v>0</v>
      </c>
      <c r="N231" s="31" t="str">
        <f t="shared" si="19"/>
        <v>-</v>
      </c>
      <c r="O231" s="31" t="str">
        <f t="shared" si="21"/>
        <v>-</v>
      </c>
      <c r="P231" s="35" t="str">
        <f t="shared" si="20"/>
        <v>-</v>
      </c>
      <c r="Q231" s="32" t="str">
        <f t="shared" si="22"/>
        <v>-</v>
      </c>
      <c r="S231" s="32" t="str">
        <f t="shared" si="23"/>
        <v>-</v>
      </c>
    </row>
    <row r="232" spans="1:19" x14ac:dyDescent="0.3">
      <c r="A232" s="45" t="s">
        <v>3535</v>
      </c>
      <c r="B232" s="40" t="s">
        <v>980</v>
      </c>
      <c r="C232" s="41" t="s">
        <v>2071</v>
      </c>
      <c r="D232" s="21" t="s">
        <v>2242</v>
      </c>
      <c r="E232" s="21" t="s">
        <v>2234</v>
      </c>
      <c r="F232" s="24">
        <v>0.14329360961941667</v>
      </c>
      <c r="G232" s="21">
        <v>12</v>
      </c>
      <c r="H232" s="17">
        <v>11.1</v>
      </c>
      <c r="I232" s="43" t="s">
        <v>3950</v>
      </c>
      <c r="J232" s="26"/>
      <c r="K232" s="17">
        <f t="shared" si="18"/>
        <v>0</v>
      </c>
      <c r="N232" s="31" t="str">
        <f t="shared" si="19"/>
        <v>-</v>
      </c>
      <c r="O232" s="31" t="str">
        <f t="shared" si="21"/>
        <v>-</v>
      </c>
      <c r="P232" s="35" t="str">
        <f t="shared" si="20"/>
        <v>-</v>
      </c>
      <c r="Q232" s="32" t="str">
        <f t="shared" si="22"/>
        <v>-</v>
      </c>
      <c r="S232" s="32" t="str">
        <f t="shared" si="23"/>
        <v>-</v>
      </c>
    </row>
    <row r="233" spans="1:19" x14ac:dyDescent="0.3">
      <c r="A233" s="45" t="s">
        <v>3551</v>
      </c>
      <c r="B233" s="40" t="s">
        <v>115</v>
      </c>
      <c r="C233" s="41" t="s">
        <v>2076</v>
      </c>
      <c r="D233" s="21" t="s">
        <v>2227</v>
      </c>
      <c r="E233" s="21" t="s">
        <v>2222</v>
      </c>
      <c r="F233" s="24">
        <v>0.14329360961941667</v>
      </c>
      <c r="G233" s="21">
        <v>12</v>
      </c>
      <c r="H233" s="17">
        <v>11.7</v>
      </c>
      <c r="I233" s="43" t="s">
        <v>3950</v>
      </c>
      <c r="J233" s="26"/>
      <c r="K233" s="17">
        <f t="shared" si="18"/>
        <v>0</v>
      </c>
      <c r="N233" s="31" t="str">
        <f t="shared" si="19"/>
        <v>-</v>
      </c>
      <c r="O233" s="31" t="str">
        <f t="shared" si="21"/>
        <v>-</v>
      </c>
      <c r="P233" s="35" t="str">
        <f t="shared" si="20"/>
        <v>-</v>
      </c>
      <c r="Q233" s="32" t="str">
        <f t="shared" si="22"/>
        <v>-</v>
      </c>
      <c r="S233" s="32" t="str">
        <f t="shared" si="23"/>
        <v>-</v>
      </c>
    </row>
    <row r="234" spans="1:19" x14ac:dyDescent="0.3">
      <c r="A234" s="45" t="s">
        <v>3594</v>
      </c>
      <c r="B234" s="40" t="s">
        <v>600</v>
      </c>
      <c r="C234" s="41" t="s">
        <v>2093</v>
      </c>
      <c r="D234" s="21" t="s">
        <v>2224</v>
      </c>
      <c r="E234" s="21" t="s">
        <v>2222</v>
      </c>
      <c r="F234" s="24">
        <v>0.14844188301891667</v>
      </c>
      <c r="G234" s="21">
        <v>12</v>
      </c>
      <c r="H234" s="17">
        <v>26.99</v>
      </c>
      <c r="I234" s="43" t="s">
        <v>3950</v>
      </c>
      <c r="J234" s="26"/>
      <c r="K234" s="17">
        <f t="shared" si="18"/>
        <v>0</v>
      </c>
      <c r="N234" s="31" t="str">
        <f t="shared" si="19"/>
        <v>-</v>
      </c>
      <c r="O234" s="31" t="str">
        <f t="shared" si="21"/>
        <v>-</v>
      </c>
      <c r="P234" s="35" t="str">
        <f t="shared" si="20"/>
        <v>-</v>
      </c>
      <c r="Q234" s="32" t="str">
        <f t="shared" si="22"/>
        <v>-</v>
      </c>
      <c r="S234" s="32" t="str">
        <f t="shared" si="23"/>
        <v>-</v>
      </c>
    </row>
    <row r="235" spans="1:19" x14ac:dyDescent="0.3">
      <c r="A235" s="45" t="s">
        <v>3625</v>
      </c>
      <c r="B235" s="40" t="s">
        <v>175</v>
      </c>
      <c r="C235" s="41" t="s">
        <v>2107</v>
      </c>
      <c r="D235" s="21" t="s">
        <v>2223</v>
      </c>
      <c r="E235" s="21" t="s">
        <v>2244</v>
      </c>
      <c r="F235" s="24">
        <v>3.5179868229916665E-2</v>
      </c>
      <c r="G235" s="21">
        <v>12</v>
      </c>
      <c r="H235" s="17">
        <v>8.1</v>
      </c>
      <c r="I235" s="43" t="s">
        <v>3950</v>
      </c>
      <c r="J235" s="26"/>
      <c r="K235" s="17">
        <f t="shared" si="18"/>
        <v>0</v>
      </c>
      <c r="N235" s="31" t="str">
        <f t="shared" si="19"/>
        <v>-</v>
      </c>
      <c r="O235" s="31" t="str">
        <f t="shared" si="21"/>
        <v>-</v>
      </c>
      <c r="P235" s="35" t="str">
        <f t="shared" si="20"/>
        <v>-</v>
      </c>
      <c r="Q235" s="32" t="str">
        <f t="shared" si="22"/>
        <v>-</v>
      </c>
      <c r="S235" s="32" t="str">
        <f t="shared" si="23"/>
        <v>-</v>
      </c>
    </row>
    <row r="236" spans="1:19" x14ac:dyDescent="0.3">
      <c r="A236" s="45" t="s">
        <v>3626</v>
      </c>
      <c r="B236" s="40" t="s">
        <v>1289</v>
      </c>
      <c r="C236" s="41" t="s">
        <v>2107</v>
      </c>
      <c r="D236" s="21" t="s">
        <v>2224</v>
      </c>
      <c r="E236" s="21" t="s">
        <v>2244</v>
      </c>
      <c r="F236" s="24">
        <v>4.5476415028916667E-2</v>
      </c>
      <c r="G236" s="21">
        <v>12</v>
      </c>
      <c r="H236" s="17">
        <v>14.99</v>
      </c>
      <c r="I236" s="43" t="s">
        <v>3950</v>
      </c>
      <c r="J236" s="26"/>
      <c r="K236" s="17">
        <f t="shared" si="18"/>
        <v>0</v>
      </c>
      <c r="N236" s="31" t="str">
        <f t="shared" si="19"/>
        <v>-</v>
      </c>
      <c r="O236" s="31" t="str">
        <f t="shared" si="21"/>
        <v>-</v>
      </c>
      <c r="P236" s="35" t="str">
        <f t="shared" si="20"/>
        <v>-</v>
      </c>
      <c r="Q236" s="32" t="str">
        <f t="shared" si="22"/>
        <v>-</v>
      </c>
      <c r="S236" s="32" t="str">
        <f t="shared" si="23"/>
        <v>-</v>
      </c>
    </row>
    <row r="237" spans="1:19" x14ac:dyDescent="0.3">
      <c r="A237" s="45" t="s">
        <v>3628</v>
      </c>
      <c r="B237" s="40" t="s">
        <v>452</v>
      </c>
      <c r="C237" s="41" t="s">
        <v>2108</v>
      </c>
      <c r="D237" s="21" t="s">
        <v>2223</v>
      </c>
      <c r="E237" s="21" t="s">
        <v>2232</v>
      </c>
      <c r="F237" s="24">
        <v>9.3955989540875015E-2</v>
      </c>
      <c r="G237" s="21">
        <v>12</v>
      </c>
      <c r="H237" s="17">
        <v>7.35</v>
      </c>
      <c r="I237" s="43" t="s">
        <v>3950</v>
      </c>
      <c r="J237" s="26"/>
      <c r="K237" s="17">
        <f t="shared" si="18"/>
        <v>0</v>
      </c>
      <c r="N237" s="31" t="str">
        <f t="shared" si="19"/>
        <v>-</v>
      </c>
      <c r="O237" s="31" t="str">
        <f t="shared" si="21"/>
        <v>-</v>
      </c>
      <c r="P237" s="35" t="str">
        <f t="shared" si="20"/>
        <v>-</v>
      </c>
      <c r="Q237" s="32" t="str">
        <f t="shared" si="22"/>
        <v>-</v>
      </c>
      <c r="S237" s="32" t="str">
        <f t="shared" si="23"/>
        <v>-</v>
      </c>
    </row>
    <row r="238" spans="1:19" x14ac:dyDescent="0.3">
      <c r="A238" s="45" t="s">
        <v>3643</v>
      </c>
      <c r="B238" s="40" t="s">
        <v>128</v>
      </c>
      <c r="C238" s="41" t="s">
        <v>2110</v>
      </c>
      <c r="D238" s="21" t="s">
        <v>2233</v>
      </c>
      <c r="E238" s="21" t="s">
        <v>2234</v>
      </c>
      <c r="F238" s="24">
        <v>0.14071947291966666</v>
      </c>
      <c r="G238" s="21">
        <v>12</v>
      </c>
      <c r="H238" s="17">
        <v>15.3</v>
      </c>
      <c r="I238" s="43" t="s">
        <v>3950</v>
      </c>
      <c r="J238" s="26"/>
      <c r="K238" s="17">
        <f t="shared" si="18"/>
        <v>0</v>
      </c>
      <c r="N238" s="31" t="str">
        <f t="shared" si="19"/>
        <v>-</v>
      </c>
      <c r="O238" s="31" t="str">
        <f t="shared" si="21"/>
        <v>-</v>
      </c>
      <c r="P238" s="35" t="str">
        <f t="shared" si="20"/>
        <v>-</v>
      </c>
      <c r="Q238" s="32" t="str">
        <f t="shared" si="22"/>
        <v>-</v>
      </c>
      <c r="S238" s="32" t="str">
        <f t="shared" si="23"/>
        <v>-</v>
      </c>
    </row>
    <row r="239" spans="1:19" x14ac:dyDescent="0.3">
      <c r="A239" s="45" t="s">
        <v>3657</v>
      </c>
      <c r="B239" s="40" t="s">
        <v>373</v>
      </c>
      <c r="C239" s="41" t="s">
        <v>2116</v>
      </c>
      <c r="D239" s="21" t="s">
        <v>2226</v>
      </c>
      <c r="E239" s="21" t="s">
        <v>2244</v>
      </c>
      <c r="F239" s="24">
        <v>3.50082591166E-2</v>
      </c>
      <c r="G239" s="21">
        <v>12</v>
      </c>
      <c r="H239" s="17">
        <v>19.5</v>
      </c>
      <c r="I239" s="43" t="s">
        <v>3950</v>
      </c>
      <c r="J239" s="26"/>
      <c r="K239" s="17">
        <f t="shared" si="18"/>
        <v>0</v>
      </c>
      <c r="N239" s="31" t="str">
        <f t="shared" si="19"/>
        <v>-</v>
      </c>
      <c r="O239" s="31" t="str">
        <f t="shared" si="21"/>
        <v>-</v>
      </c>
      <c r="P239" s="35" t="str">
        <f t="shared" si="20"/>
        <v>-</v>
      </c>
      <c r="Q239" s="32" t="str">
        <f t="shared" si="22"/>
        <v>-</v>
      </c>
      <c r="S239" s="32" t="str">
        <f t="shared" si="23"/>
        <v>-</v>
      </c>
    </row>
    <row r="240" spans="1:19" x14ac:dyDescent="0.3">
      <c r="A240" s="45" t="s">
        <v>3659</v>
      </c>
      <c r="B240" s="40" t="s">
        <v>1241</v>
      </c>
      <c r="C240" s="41" t="s">
        <v>2117</v>
      </c>
      <c r="D240" s="21" t="s">
        <v>2224</v>
      </c>
      <c r="E240" s="21" t="s">
        <v>2222</v>
      </c>
      <c r="F240" s="24">
        <v>0.14329360961941667</v>
      </c>
      <c r="G240" s="21">
        <v>12</v>
      </c>
      <c r="H240" s="17">
        <v>26.39</v>
      </c>
      <c r="I240" s="43" t="s">
        <v>3950</v>
      </c>
      <c r="J240" s="26"/>
      <c r="K240" s="17">
        <f t="shared" si="18"/>
        <v>0</v>
      </c>
      <c r="N240" s="31" t="str">
        <f t="shared" si="19"/>
        <v>-</v>
      </c>
      <c r="O240" s="31" t="str">
        <f t="shared" si="21"/>
        <v>-</v>
      </c>
      <c r="P240" s="35" t="str">
        <f t="shared" si="20"/>
        <v>-</v>
      </c>
      <c r="Q240" s="32" t="str">
        <f t="shared" si="22"/>
        <v>-</v>
      </c>
      <c r="S240" s="32" t="str">
        <f t="shared" si="23"/>
        <v>-</v>
      </c>
    </row>
    <row r="241" spans="1:19" x14ac:dyDescent="0.3">
      <c r="A241" s="45" t="s">
        <v>3682</v>
      </c>
      <c r="B241" s="40" t="s">
        <v>1260</v>
      </c>
      <c r="C241" s="41" t="s">
        <v>2123</v>
      </c>
      <c r="D241" s="21" t="s">
        <v>2224</v>
      </c>
      <c r="E241" s="21" t="s">
        <v>2222</v>
      </c>
      <c r="F241" s="24">
        <v>4.5476415028916667E-2</v>
      </c>
      <c r="G241" s="21">
        <v>12</v>
      </c>
      <c r="H241" s="17">
        <v>8.25</v>
      </c>
      <c r="I241" s="43" t="s">
        <v>3950</v>
      </c>
      <c r="J241" s="26"/>
      <c r="K241" s="17">
        <f t="shared" si="18"/>
        <v>0</v>
      </c>
      <c r="N241" s="31" t="str">
        <f t="shared" si="19"/>
        <v>-</v>
      </c>
      <c r="O241" s="31" t="str">
        <f t="shared" si="21"/>
        <v>-</v>
      </c>
      <c r="P241" s="35" t="str">
        <f t="shared" si="20"/>
        <v>-</v>
      </c>
      <c r="Q241" s="32" t="str">
        <f t="shared" si="22"/>
        <v>-</v>
      </c>
      <c r="S241" s="32" t="str">
        <f t="shared" si="23"/>
        <v>-</v>
      </c>
    </row>
    <row r="242" spans="1:19" x14ac:dyDescent="0.3">
      <c r="A242" s="45" t="s">
        <v>3683</v>
      </c>
      <c r="B242" s="40" t="s">
        <v>785</v>
      </c>
      <c r="C242" s="41" t="s">
        <v>2123</v>
      </c>
      <c r="D242" s="21" t="s">
        <v>2227</v>
      </c>
      <c r="E242" s="21" t="s">
        <v>2222</v>
      </c>
      <c r="F242" s="24">
        <v>5.5772961827916676E-2</v>
      </c>
      <c r="G242" s="21">
        <v>12</v>
      </c>
      <c r="H242" s="17">
        <v>15.59</v>
      </c>
      <c r="I242" s="43" t="s">
        <v>3950</v>
      </c>
      <c r="J242" s="26"/>
      <c r="K242" s="17">
        <f t="shared" si="18"/>
        <v>0</v>
      </c>
      <c r="N242" s="31" t="str">
        <f t="shared" si="19"/>
        <v>-</v>
      </c>
      <c r="O242" s="31" t="str">
        <f t="shared" si="21"/>
        <v>-</v>
      </c>
      <c r="P242" s="35" t="str">
        <f t="shared" si="20"/>
        <v>-</v>
      </c>
      <c r="Q242" s="32" t="str">
        <f t="shared" si="22"/>
        <v>-</v>
      </c>
      <c r="S242" s="32" t="str">
        <f t="shared" si="23"/>
        <v>-</v>
      </c>
    </row>
    <row r="243" spans="1:19" x14ac:dyDescent="0.3">
      <c r="A243" s="45" t="s">
        <v>3706</v>
      </c>
      <c r="B243" s="40" t="s">
        <v>1328</v>
      </c>
      <c r="C243" s="41" t="s">
        <v>2130</v>
      </c>
      <c r="D243" s="21" t="s">
        <v>2223</v>
      </c>
      <c r="E243" s="21" t="s">
        <v>2234</v>
      </c>
      <c r="F243" s="24">
        <v>4.6334460595500011E-2</v>
      </c>
      <c r="G243" s="21">
        <v>12</v>
      </c>
      <c r="H243" s="17">
        <v>7.79</v>
      </c>
      <c r="I243" s="43" t="s">
        <v>3950</v>
      </c>
      <c r="J243" s="26"/>
      <c r="K243" s="17">
        <f t="shared" si="18"/>
        <v>0</v>
      </c>
      <c r="N243" s="31" t="str">
        <f t="shared" si="19"/>
        <v>-</v>
      </c>
      <c r="O243" s="31" t="str">
        <f t="shared" si="21"/>
        <v>-</v>
      </c>
      <c r="P243" s="35" t="str">
        <f t="shared" si="20"/>
        <v>-</v>
      </c>
      <c r="Q243" s="32" t="str">
        <f t="shared" si="22"/>
        <v>-</v>
      </c>
      <c r="S243" s="32" t="str">
        <f t="shared" si="23"/>
        <v>-</v>
      </c>
    </row>
    <row r="244" spans="1:19" x14ac:dyDescent="0.3">
      <c r="A244" s="45" t="s">
        <v>3707</v>
      </c>
      <c r="B244" s="40" t="s">
        <v>108</v>
      </c>
      <c r="C244" s="41" t="s">
        <v>2130</v>
      </c>
      <c r="D244" s="21" t="s">
        <v>2224</v>
      </c>
      <c r="E244" s="21" t="s">
        <v>2234</v>
      </c>
      <c r="F244" s="24">
        <v>8.7520647791500011E-2</v>
      </c>
      <c r="G244" s="21">
        <v>12</v>
      </c>
      <c r="H244" s="17">
        <v>14.7</v>
      </c>
      <c r="I244" s="43" t="s">
        <v>3950</v>
      </c>
      <c r="J244" s="26"/>
      <c r="K244" s="17">
        <f t="shared" si="18"/>
        <v>0</v>
      </c>
      <c r="N244" s="31" t="str">
        <f t="shared" si="19"/>
        <v>-</v>
      </c>
      <c r="O244" s="31" t="str">
        <f t="shared" si="21"/>
        <v>-</v>
      </c>
      <c r="P244" s="35" t="str">
        <f t="shared" si="20"/>
        <v>-</v>
      </c>
      <c r="Q244" s="32" t="str">
        <f t="shared" si="22"/>
        <v>-</v>
      </c>
      <c r="S244" s="32" t="str">
        <f t="shared" si="23"/>
        <v>-</v>
      </c>
    </row>
    <row r="245" spans="1:19" x14ac:dyDescent="0.3">
      <c r="A245" s="45" t="s">
        <v>3708</v>
      </c>
      <c r="B245" s="40" t="s">
        <v>1443</v>
      </c>
      <c r="C245" s="41" t="s">
        <v>2130</v>
      </c>
      <c r="D245" s="21" t="s">
        <v>2227</v>
      </c>
      <c r="E245" s="21" t="s">
        <v>2234</v>
      </c>
      <c r="F245" s="24">
        <v>0.16474474878400003</v>
      </c>
      <c r="G245" s="21">
        <v>12</v>
      </c>
      <c r="H245" s="17">
        <v>28.05</v>
      </c>
      <c r="I245" s="43" t="s">
        <v>3950</v>
      </c>
      <c r="J245" s="26"/>
      <c r="K245" s="17">
        <f t="shared" si="18"/>
        <v>0</v>
      </c>
      <c r="N245" s="31" t="str">
        <f t="shared" si="19"/>
        <v>-</v>
      </c>
      <c r="O245" s="31" t="str">
        <f t="shared" si="21"/>
        <v>-</v>
      </c>
      <c r="P245" s="35" t="str">
        <f t="shared" si="20"/>
        <v>-</v>
      </c>
      <c r="Q245" s="32" t="str">
        <f t="shared" si="22"/>
        <v>-</v>
      </c>
      <c r="S245" s="32" t="str">
        <f t="shared" si="23"/>
        <v>-</v>
      </c>
    </row>
    <row r="246" spans="1:19" x14ac:dyDescent="0.3">
      <c r="A246" s="45" t="s">
        <v>3712</v>
      </c>
      <c r="B246" s="40" t="s">
        <v>344</v>
      </c>
      <c r="C246" s="41" t="s">
        <v>2133</v>
      </c>
      <c r="D246" s="21" t="s">
        <v>2223</v>
      </c>
      <c r="E246" s="21" t="s">
        <v>2269</v>
      </c>
      <c r="F246" s="24">
        <v>4.2902278329166668E-3</v>
      </c>
      <c r="G246" s="21">
        <v>12</v>
      </c>
      <c r="H246" s="17">
        <v>13.19</v>
      </c>
      <c r="I246" s="43" t="s">
        <v>3950</v>
      </c>
      <c r="J246" s="26"/>
      <c r="K246" s="17">
        <f t="shared" si="18"/>
        <v>0</v>
      </c>
      <c r="N246" s="31" t="str">
        <f t="shared" si="19"/>
        <v>-</v>
      </c>
      <c r="O246" s="31" t="str">
        <f t="shared" si="21"/>
        <v>-</v>
      </c>
      <c r="P246" s="35" t="str">
        <f t="shared" si="20"/>
        <v>-</v>
      </c>
      <c r="Q246" s="32" t="str">
        <f t="shared" si="22"/>
        <v>-</v>
      </c>
      <c r="S246" s="32" t="str">
        <f t="shared" si="23"/>
        <v>-</v>
      </c>
    </row>
    <row r="247" spans="1:19" x14ac:dyDescent="0.3">
      <c r="A247" s="45" t="s">
        <v>3713</v>
      </c>
      <c r="B247" s="40" t="s">
        <v>621</v>
      </c>
      <c r="C247" s="41" t="s">
        <v>2133</v>
      </c>
      <c r="D247" s="21" t="s">
        <v>2224</v>
      </c>
      <c r="E247" s="21" t="s">
        <v>2269</v>
      </c>
      <c r="F247" s="24">
        <v>0</v>
      </c>
      <c r="G247" s="21">
        <v>12</v>
      </c>
      <c r="H247" s="17">
        <v>25.5</v>
      </c>
      <c r="I247" s="43" t="s">
        <v>3950</v>
      </c>
      <c r="J247" s="26"/>
      <c r="K247" s="17">
        <f t="shared" si="18"/>
        <v>0</v>
      </c>
      <c r="N247" s="31" t="str">
        <f t="shared" si="19"/>
        <v>-</v>
      </c>
      <c r="O247" s="31" t="str">
        <f t="shared" si="21"/>
        <v>-</v>
      </c>
      <c r="P247" s="35" t="str">
        <f t="shared" si="20"/>
        <v>-</v>
      </c>
      <c r="Q247" s="32" t="str">
        <f t="shared" si="22"/>
        <v>-</v>
      </c>
      <c r="S247" s="32" t="str">
        <f t="shared" si="23"/>
        <v>-</v>
      </c>
    </row>
    <row r="248" spans="1:19" x14ac:dyDescent="0.3">
      <c r="A248" s="45" t="s">
        <v>3716</v>
      </c>
      <c r="B248" s="40" t="s">
        <v>1004</v>
      </c>
      <c r="C248" s="41" t="s">
        <v>2134</v>
      </c>
      <c r="D248" s="21" t="s">
        <v>2224</v>
      </c>
      <c r="E248" s="21" t="s">
        <v>2277</v>
      </c>
      <c r="F248" s="24">
        <v>5.1482733995000002E-2</v>
      </c>
      <c r="G248" s="21">
        <v>12</v>
      </c>
      <c r="H248" s="17">
        <v>9.9</v>
      </c>
      <c r="I248" s="43" t="s">
        <v>3950</v>
      </c>
      <c r="J248" s="26"/>
      <c r="K248" s="17">
        <f t="shared" si="18"/>
        <v>0</v>
      </c>
      <c r="N248" s="31" t="str">
        <f t="shared" si="19"/>
        <v>-</v>
      </c>
      <c r="O248" s="31" t="str">
        <f t="shared" si="21"/>
        <v>-</v>
      </c>
      <c r="P248" s="35" t="str">
        <f t="shared" si="20"/>
        <v>-</v>
      </c>
      <c r="Q248" s="32" t="str">
        <f t="shared" si="22"/>
        <v>-</v>
      </c>
      <c r="S248" s="32" t="str">
        <f t="shared" si="23"/>
        <v>-</v>
      </c>
    </row>
    <row r="249" spans="1:19" x14ac:dyDescent="0.3">
      <c r="A249" s="45" t="s">
        <v>3732</v>
      </c>
      <c r="B249" s="40" t="s">
        <v>1595</v>
      </c>
      <c r="C249" s="41" t="s">
        <v>2140</v>
      </c>
      <c r="D249" s="21" t="s">
        <v>2225</v>
      </c>
      <c r="E249" s="21" t="s">
        <v>2234</v>
      </c>
      <c r="F249" s="24">
        <v>0.17504129558300002</v>
      </c>
      <c r="G249" s="21">
        <v>12</v>
      </c>
      <c r="H249" s="17">
        <v>26.39</v>
      </c>
      <c r="I249" s="43" t="s">
        <v>3950</v>
      </c>
      <c r="J249" s="26"/>
      <c r="K249" s="17">
        <f t="shared" si="18"/>
        <v>0</v>
      </c>
      <c r="N249" s="31" t="str">
        <f t="shared" si="19"/>
        <v>-</v>
      </c>
      <c r="O249" s="31" t="str">
        <f t="shared" si="21"/>
        <v>-</v>
      </c>
      <c r="P249" s="35" t="str">
        <f t="shared" si="20"/>
        <v>-</v>
      </c>
      <c r="Q249" s="32" t="str">
        <f t="shared" si="22"/>
        <v>-</v>
      </c>
      <c r="S249" s="32" t="str">
        <f t="shared" si="23"/>
        <v>-</v>
      </c>
    </row>
    <row r="250" spans="1:19" x14ac:dyDescent="0.3">
      <c r="A250" s="45" t="s">
        <v>3759</v>
      </c>
      <c r="B250" s="40" t="s">
        <v>929</v>
      </c>
      <c r="C250" s="41" t="s">
        <v>2153</v>
      </c>
      <c r="D250" s="21" t="s">
        <v>2224</v>
      </c>
      <c r="E250" s="21" t="s">
        <v>2238</v>
      </c>
      <c r="F250" s="24">
        <v>6.0921235227416673E-2</v>
      </c>
      <c r="G250" s="21">
        <v>12</v>
      </c>
      <c r="H250" s="17">
        <v>7.05</v>
      </c>
      <c r="I250" s="43" t="s">
        <v>3950</v>
      </c>
      <c r="J250" s="26"/>
      <c r="K250" s="17">
        <f t="shared" si="18"/>
        <v>0</v>
      </c>
      <c r="N250" s="31" t="str">
        <f t="shared" si="19"/>
        <v>-</v>
      </c>
      <c r="O250" s="31" t="str">
        <f t="shared" si="21"/>
        <v>-</v>
      </c>
      <c r="P250" s="35" t="str">
        <f t="shared" si="20"/>
        <v>-</v>
      </c>
      <c r="Q250" s="32" t="str">
        <f t="shared" si="22"/>
        <v>-</v>
      </c>
      <c r="S250" s="32" t="str">
        <f t="shared" si="23"/>
        <v>-</v>
      </c>
    </row>
    <row r="251" spans="1:19" x14ac:dyDescent="0.3">
      <c r="A251" s="45" t="s">
        <v>3769</v>
      </c>
      <c r="B251" s="40" t="s">
        <v>1257</v>
      </c>
      <c r="C251" s="41" t="s">
        <v>2158</v>
      </c>
      <c r="D251" s="21" t="s">
        <v>2227</v>
      </c>
      <c r="E251" s="21" t="s">
        <v>2222</v>
      </c>
      <c r="F251" s="24">
        <v>0.16731888548375001</v>
      </c>
      <c r="G251" s="21">
        <v>12</v>
      </c>
      <c r="H251" s="17">
        <v>20.55</v>
      </c>
      <c r="I251" s="43" t="s">
        <v>3950</v>
      </c>
      <c r="J251" s="26"/>
      <c r="K251" s="17">
        <f t="shared" si="18"/>
        <v>0</v>
      </c>
      <c r="N251" s="31" t="str">
        <f t="shared" si="19"/>
        <v>-</v>
      </c>
      <c r="O251" s="31" t="str">
        <f t="shared" si="21"/>
        <v>-</v>
      </c>
      <c r="P251" s="35" t="str">
        <f t="shared" si="20"/>
        <v>-</v>
      </c>
      <c r="Q251" s="32" t="str">
        <f t="shared" si="22"/>
        <v>-</v>
      </c>
      <c r="S251" s="32" t="str">
        <f t="shared" si="23"/>
        <v>-</v>
      </c>
    </row>
    <row r="252" spans="1:19" x14ac:dyDescent="0.3">
      <c r="A252" s="45" t="s">
        <v>3774</v>
      </c>
      <c r="B252" s="40" t="s">
        <v>661</v>
      </c>
      <c r="C252" s="41" t="s">
        <v>2163</v>
      </c>
      <c r="D252" s="21" t="s">
        <v>2224</v>
      </c>
      <c r="E252" s="21" t="s">
        <v>2234</v>
      </c>
      <c r="F252" s="24">
        <v>7.6366055425916665E-2</v>
      </c>
      <c r="G252" s="21">
        <v>12</v>
      </c>
      <c r="H252" s="17">
        <v>13.5</v>
      </c>
      <c r="I252" s="43" t="s">
        <v>3950</v>
      </c>
      <c r="J252" s="26"/>
      <c r="K252" s="17">
        <f t="shared" si="18"/>
        <v>0</v>
      </c>
      <c r="N252" s="31" t="str">
        <f t="shared" si="19"/>
        <v>-</v>
      </c>
      <c r="O252" s="31" t="str">
        <f t="shared" si="21"/>
        <v>-</v>
      </c>
      <c r="P252" s="35" t="str">
        <f t="shared" si="20"/>
        <v>-</v>
      </c>
      <c r="Q252" s="32" t="str">
        <f t="shared" si="22"/>
        <v>-</v>
      </c>
      <c r="S252" s="32" t="str">
        <f t="shared" si="23"/>
        <v>-</v>
      </c>
    </row>
    <row r="253" spans="1:19" x14ac:dyDescent="0.3">
      <c r="A253" s="45" t="s">
        <v>3778</v>
      </c>
      <c r="B253" s="40" t="s">
        <v>124</v>
      </c>
      <c r="C253" s="41" t="s">
        <v>2165</v>
      </c>
      <c r="D253" s="21" t="s">
        <v>2224</v>
      </c>
      <c r="E253" s="21" t="s">
        <v>2222</v>
      </c>
      <c r="F253" s="24">
        <v>0.10425253633987501</v>
      </c>
      <c r="G253" s="21">
        <v>12</v>
      </c>
      <c r="H253" s="17">
        <v>14.85</v>
      </c>
      <c r="I253" s="43" t="s">
        <v>3950</v>
      </c>
      <c r="J253" s="26"/>
      <c r="K253" s="17">
        <f t="shared" si="18"/>
        <v>0</v>
      </c>
      <c r="N253" s="31" t="str">
        <f t="shared" si="19"/>
        <v>-</v>
      </c>
      <c r="O253" s="31" t="str">
        <f t="shared" si="21"/>
        <v>-</v>
      </c>
      <c r="P253" s="35" t="str">
        <f t="shared" si="20"/>
        <v>-</v>
      </c>
      <c r="Q253" s="32" t="str">
        <f t="shared" si="22"/>
        <v>-</v>
      </c>
      <c r="S253" s="32" t="str">
        <f t="shared" si="23"/>
        <v>-</v>
      </c>
    </row>
    <row r="254" spans="1:19" x14ac:dyDescent="0.3">
      <c r="A254" s="45" t="s">
        <v>3798</v>
      </c>
      <c r="B254" s="40" t="s">
        <v>902</v>
      </c>
      <c r="C254" s="41" t="s">
        <v>2172</v>
      </c>
      <c r="D254" s="21" t="s">
        <v>2224</v>
      </c>
      <c r="E254" s="21" t="s">
        <v>2222</v>
      </c>
      <c r="F254" s="24">
        <v>4.2902278329166661E-2</v>
      </c>
      <c r="G254" s="21">
        <v>12</v>
      </c>
      <c r="H254" s="17">
        <v>4.79</v>
      </c>
      <c r="I254" s="43" t="s">
        <v>3950</v>
      </c>
      <c r="J254" s="26"/>
      <c r="K254" s="17">
        <f t="shared" si="18"/>
        <v>0</v>
      </c>
      <c r="N254" s="31" t="str">
        <f t="shared" si="19"/>
        <v>-</v>
      </c>
      <c r="O254" s="31" t="str">
        <f t="shared" si="21"/>
        <v>-</v>
      </c>
      <c r="P254" s="35" t="str">
        <f t="shared" si="20"/>
        <v>-</v>
      </c>
      <c r="Q254" s="32" t="str">
        <f t="shared" si="22"/>
        <v>-</v>
      </c>
      <c r="S254" s="32" t="str">
        <f t="shared" si="23"/>
        <v>-</v>
      </c>
    </row>
    <row r="255" spans="1:19" x14ac:dyDescent="0.3">
      <c r="A255" s="45" t="s">
        <v>3799</v>
      </c>
      <c r="B255" s="40" t="s">
        <v>917</v>
      </c>
      <c r="C255" s="41" t="s">
        <v>2172</v>
      </c>
      <c r="D255" s="21" t="s">
        <v>2227</v>
      </c>
      <c r="E255" s="21" t="s">
        <v>2222</v>
      </c>
      <c r="F255" s="24">
        <v>6.3409567370508332E-2</v>
      </c>
      <c r="G255" s="21">
        <v>12</v>
      </c>
      <c r="H255" s="17">
        <v>8.85</v>
      </c>
      <c r="I255" s="43" t="s">
        <v>3950</v>
      </c>
      <c r="J255" s="26"/>
      <c r="K255" s="17">
        <f t="shared" si="18"/>
        <v>0</v>
      </c>
      <c r="N255" s="31" t="str">
        <f t="shared" si="19"/>
        <v>-</v>
      </c>
      <c r="O255" s="31" t="str">
        <f t="shared" si="21"/>
        <v>-</v>
      </c>
      <c r="P255" s="35" t="str">
        <f t="shared" si="20"/>
        <v>-</v>
      </c>
      <c r="Q255" s="32" t="str">
        <f t="shared" si="22"/>
        <v>-</v>
      </c>
      <c r="S255" s="32" t="str">
        <f t="shared" si="23"/>
        <v>-</v>
      </c>
    </row>
    <row r="256" spans="1:19" x14ac:dyDescent="0.3">
      <c r="A256" s="45" t="s">
        <v>3801</v>
      </c>
      <c r="B256" s="40" t="s">
        <v>440</v>
      </c>
      <c r="C256" s="41" t="s">
        <v>1998</v>
      </c>
      <c r="D256" s="21" t="s">
        <v>2224</v>
      </c>
      <c r="E256" s="21" t="s">
        <v>2244</v>
      </c>
      <c r="F256" s="24">
        <v>7.035973645983333E-2</v>
      </c>
      <c r="G256" s="21">
        <v>12</v>
      </c>
      <c r="H256" s="17">
        <v>18.3</v>
      </c>
      <c r="I256" s="43" t="s">
        <v>3950</v>
      </c>
      <c r="J256" s="26"/>
      <c r="K256" s="17">
        <f t="shared" si="18"/>
        <v>0</v>
      </c>
      <c r="N256" s="31" t="str">
        <f t="shared" si="19"/>
        <v>-</v>
      </c>
      <c r="O256" s="31" t="str">
        <f t="shared" si="21"/>
        <v>-</v>
      </c>
      <c r="P256" s="35" t="str">
        <f t="shared" si="20"/>
        <v>-</v>
      </c>
      <c r="Q256" s="32" t="str">
        <f t="shared" si="22"/>
        <v>-</v>
      </c>
      <c r="S256" s="32" t="str">
        <f t="shared" si="23"/>
        <v>-</v>
      </c>
    </row>
    <row r="257" spans="1:19" x14ac:dyDescent="0.3">
      <c r="A257" s="45" t="s">
        <v>3839</v>
      </c>
      <c r="B257" s="40" t="s">
        <v>1276</v>
      </c>
      <c r="C257" s="41" t="s">
        <v>2184</v>
      </c>
      <c r="D257" s="21" t="s">
        <v>2223</v>
      </c>
      <c r="E257" s="21" t="s">
        <v>2232</v>
      </c>
      <c r="F257" s="24">
        <v>4.0002084314114998E-2</v>
      </c>
      <c r="G257" s="21">
        <v>12</v>
      </c>
      <c r="H257" s="17">
        <v>20.39</v>
      </c>
      <c r="I257" s="43" t="s">
        <v>3950</v>
      </c>
      <c r="J257" s="26"/>
      <c r="K257" s="17">
        <f t="shared" si="18"/>
        <v>0</v>
      </c>
      <c r="N257" s="31" t="str">
        <f t="shared" si="19"/>
        <v>-</v>
      </c>
      <c r="O257" s="31" t="str">
        <f t="shared" si="21"/>
        <v>-</v>
      </c>
      <c r="P257" s="35" t="str">
        <f t="shared" si="20"/>
        <v>-</v>
      </c>
      <c r="Q257" s="32" t="str">
        <f t="shared" si="22"/>
        <v>-</v>
      </c>
      <c r="S257" s="32" t="str">
        <f t="shared" si="23"/>
        <v>-</v>
      </c>
    </row>
    <row r="258" spans="1:19" x14ac:dyDescent="0.3">
      <c r="A258" s="45" t="s">
        <v>3843</v>
      </c>
      <c r="B258" s="40" t="s">
        <v>1042</v>
      </c>
      <c r="C258" s="41" t="s">
        <v>1908</v>
      </c>
      <c r="D258" s="21" t="s">
        <v>2242</v>
      </c>
      <c r="E258" s="21" t="s">
        <v>2222</v>
      </c>
      <c r="F258" s="24">
        <v>9.7624134338018767E-2</v>
      </c>
      <c r="G258" s="21">
        <v>12</v>
      </c>
      <c r="H258" s="17">
        <v>9.3000000000000007</v>
      </c>
      <c r="I258" s="43" t="s">
        <v>3950</v>
      </c>
      <c r="J258" s="26"/>
      <c r="K258" s="17">
        <f t="shared" ref="K258:K320" si="24">J258*H258</f>
        <v>0</v>
      </c>
      <c r="N258" s="31" t="str">
        <f t="shared" ref="N258:N321" si="25">IFERROR(IF($N$2*F258=0, "-", $N$2*F258), "-")</f>
        <v>-</v>
      </c>
      <c r="O258" s="31" t="str">
        <f t="shared" si="21"/>
        <v>-</v>
      </c>
      <c r="P258" s="35" t="str">
        <f t="shared" ref="P258:P321" si="26">IF(J258&gt;0,J258*F258, "-")</f>
        <v>-</v>
      </c>
      <c r="Q258" s="32" t="str">
        <f t="shared" si="22"/>
        <v>-</v>
      </c>
      <c r="S258" s="32" t="str">
        <f t="shared" si="23"/>
        <v>-</v>
      </c>
    </row>
    <row r="259" spans="1:19" x14ac:dyDescent="0.3">
      <c r="A259" s="45" t="s">
        <v>3848</v>
      </c>
      <c r="B259" s="40" t="s">
        <v>1453</v>
      </c>
      <c r="C259" s="41" t="s">
        <v>2186</v>
      </c>
      <c r="D259" s="21" t="s">
        <v>2223</v>
      </c>
      <c r="E259" s="21" t="s">
        <v>2222</v>
      </c>
      <c r="F259" s="24">
        <v>4.1314894030987509E-2</v>
      </c>
      <c r="G259" s="21">
        <v>12</v>
      </c>
      <c r="H259" s="17">
        <v>10.19</v>
      </c>
      <c r="I259" s="43" t="s">
        <v>3950</v>
      </c>
      <c r="J259" s="26"/>
      <c r="K259" s="17">
        <f t="shared" si="24"/>
        <v>0</v>
      </c>
      <c r="N259" s="31" t="str">
        <f t="shared" si="25"/>
        <v>-</v>
      </c>
      <c r="O259" s="31" t="str">
        <f t="shared" ref="O259:O322" si="27">IFERROR(IF(N259&gt;0,H259+N259,"-"),"-")</f>
        <v>-</v>
      </c>
      <c r="P259" s="35" t="str">
        <f t="shared" si="26"/>
        <v>-</v>
      </c>
      <c r="Q259" s="32" t="str">
        <f t="shared" ref="Q259:Q321" si="28">IFERROR(IF($N$2&gt;0, $N$2*P259, "-"), "-")</f>
        <v>-</v>
      </c>
      <c r="S259" s="32" t="str">
        <f t="shared" ref="S259:S321" si="29">IFERROR(IF(Q259+K259=0, "-", IF(Q259&gt;0, Q259+K259, "-")), "-")</f>
        <v>-</v>
      </c>
    </row>
    <row r="260" spans="1:19" x14ac:dyDescent="0.3">
      <c r="A260" s="45" t="s">
        <v>3849</v>
      </c>
      <c r="B260" s="40" t="s">
        <v>1277</v>
      </c>
      <c r="C260" s="41" t="s">
        <v>2186</v>
      </c>
      <c r="D260" s="21" t="s">
        <v>2224</v>
      </c>
      <c r="E260" s="21" t="s">
        <v>2222</v>
      </c>
      <c r="F260" s="24">
        <v>5.1976110195785415E-2</v>
      </c>
      <c r="G260" s="21">
        <v>12</v>
      </c>
      <c r="H260" s="17">
        <v>19.190000000000001</v>
      </c>
      <c r="I260" s="43" t="s">
        <v>3950</v>
      </c>
      <c r="J260" s="26"/>
      <c r="K260" s="17">
        <f t="shared" si="24"/>
        <v>0</v>
      </c>
      <c r="N260" s="31" t="str">
        <f t="shared" si="25"/>
        <v>-</v>
      </c>
      <c r="O260" s="31" t="str">
        <f t="shared" si="27"/>
        <v>-</v>
      </c>
      <c r="P260" s="35" t="str">
        <f t="shared" si="26"/>
        <v>-</v>
      </c>
      <c r="Q260" s="32" t="str">
        <f t="shared" si="28"/>
        <v>-</v>
      </c>
      <c r="S260" s="32" t="str">
        <f t="shared" si="29"/>
        <v>-</v>
      </c>
    </row>
    <row r="261" spans="1:19" x14ac:dyDescent="0.3">
      <c r="A261" s="45" t="s">
        <v>3851</v>
      </c>
      <c r="B261" s="40" t="s">
        <v>454</v>
      </c>
      <c r="C261" s="41" t="s">
        <v>2187</v>
      </c>
      <c r="D261" s="21" t="s">
        <v>2227</v>
      </c>
      <c r="E261" s="21" t="s">
        <v>2222</v>
      </c>
      <c r="F261" s="24">
        <v>0.23167230297750002</v>
      </c>
      <c r="G261" s="21">
        <v>12</v>
      </c>
      <c r="H261" s="17">
        <v>16.79</v>
      </c>
      <c r="I261" s="43" t="s">
        <v>3950</v>
      </c>
      <c r="J261" s="26"/>
      <c r="K261" s="17">
        <f t="shared" si="24"/>
        <v>0</v>
      </c>
      <c r="N261" s="31" t="str">
        <f t="shared" si="25"/>
        <v>-</v>
      </c>
      <c r="O261" s="31" t="str">
        <f t="shared" si="27"/>
        <v>-</v>
      </c>
      <c r="P261" s="35" t="str">
        <f t="shared" si="26"/>
        <v>-</v>
      </c>
      <c r="Q261" s="32" t="str">
        <f t="shared" si="28"/>
        <v>-</v>
      </c>
      <c r="S261" s="32" t="str">
        <f t="shared" si="29"/>
        <v>-</v>
      </c>
    </row>
    <row r="262" spans="1:19" x14ac:dyDescent="0.3">
      <c r="A262" s="45" t="s">
        <v>3852</v>
      </c>
      <c r="B262" s="40" t="s">
        <v>1259</v>
      </c>
      <c r="C262" s="41" t="s">
        <v>2187</v>
      </c>
      <c r="D262" s="21" t="s">
        <v>2233</v>
      </c>
      <c r="E262" s="21" t="s">
        <v>2222</v>
      </c>
      <c r="F262" s="24">
        <v>0.45562219585575003</v>
      </c>
      <c r="G262" s="21">
        <v>12</v>
      </c>
      <c r="H262" s="17">
        <v>32.39</v>
      </c>
      <c r="I262" s="43" t="s">
        <v>3950</v>
      </c>
      <c r="J262" s="26"/>
      <c r="K262" s="17">
        <f t="shared" si="24"/>
        <v>0</v>
      </c>
      <c r="N262" s="31" t="str">
        <f t="shared" si="25"/>
        <v>-</v>
      </c>
      <c r="O262" s="31" t="str">
        <f t="shared" si="27"/>
        <v>-</v>
      </c>
      <c r="P262" s="35" t="str">
        <f t="shared" si="26"/>
        <v>-</v>
      </c>
      <c r="Q262" s="32" t="str">
        <f t="shared" si="28"/>
        <v>-</v>
      </c>
      <c r="S262" s="32" t="str">
        <f t="shared" si="29"/>
        <v>-</v>
      </c>
    </row>
    <row r="263" spans="1:19" x14ac:dyDescent="0.3">
      <c r="A263" s="45" t="s">
        <v>3864</v>
      </c>
      <c r="B263" s="40" t="s">
        <v>991</v>
      </c>
      <c r="C263" s="41" t="s">
        <v>2191</v>
      </c>
      <c r="D263" s="21" t="s">
        <v>2227</v>
      </c>
      <c r="E263" s="21" t="s">
        <v>2232</v>
      </c>
      <c r="F263" s="24">
        <v>0.13638634280842082</v>
      </c>
      <c r="G263" s="21">
        <v>12</v>
      </c>
      <c r="H263" s="17">
        <v>13.19</v>
      </c>
      <c r="I263" s="43" t="s">
        <v>3950</v>
      </c>
      <c r="J263" s="26"/>
      <c r="K263" s="17">
        <f t="shared" si="24"/>
        <v>0</v>
      </c>
      <c r="N263" s="31" t="str">
        <f t="shared" si="25"/>
        <v>-</v>
      </c>
      <c r="O263" s="31" t="str">
        <f t="shared" si="27"/>
        <v>-</v>
      </c>
      <c r="P263" s="35" t="str">
        <f t="shared" si="26"/>
        <v>-</v>
      </c>
      <c r="Q263" s="32" t="str">
        <f t="shared" si="28"/>
        <v>-</v>
      </c>
      <c r="S263" s="32" t="str">
        <f t="shared" si="29"/>
        <v>-</v>
      </c>
    </row>
    <row r="264" spans="1:19" x14ac:dyDescent="0.3">
      <c r="A264" s="45" t="s">
        <v>3866</v>
      </c>
      <c r="B264" s="40" t="s">
        <v>1467</v>
      </c>
      <c r="C264" s="41" t="s">
        <v>2192</v>
      </c>
      <c r="D264" s="21" t="s">
        <v>2224</v>
      </c>
      <c r="E264" s="21" t="s">
        <v>2222</v>
      </c>
      <c r="F264" s="24">
        <v>9.2111191572720824E-2</v>
      </c>
      <c r="G264" s="21">
        <v>12</v>
      </c>
      <c r="H264" s="17">
        <v>7.79</v>
      </c>
      <c r="I264" s="43" t="s">
        <v>3950</v>
      </c>
      <c r="J264" s="26"/>
      <c r="K264" s="17">
        <f t="shared" si="24"/>
        <v>0</v>
      </c>
      <c r="N264" s="31" t="str">
        <f t="shared" si="25"/>
        <v>-</v>
      </c>
      <c r="O264" s="31" t="str">
        <f t="shared" si="27"/>
        <v>-</v>
      </c>
      <c r="P264" s="35" t="str">
        <f t="shared" si="26"/>
        <v>-</v>
      </c>
      <c r="Q264" s="32" t="str">
        <f t="shared" si="28"/>
        <v>-</v>
      </c>
      <c r="S264" s="32" t="str">
        <f t="shared" si="29"/>
        <v>-</v>
      </c>
    </row>
    <row r="265" spans="1:19" x14ac:dyDescent="0.3">
      <c r="A265" s="45" t="s">
        <v>3869</v>
      </c>
      <c r="B265" s="40" t="s">
        <v>400</v>
      </c>
      <c r="C265" s="41" t="s">
        <v>2172</v>
      </c>
      <c r="D265" s="21" t="s">
        <v>2224</v>
      </c>
      <c r="E265" s="21" t="s">
        <v>2277</v>
      </c>
      <c r="F265" s="24">
        <v>3.9470096062833339E-2</v>
      </c>
      <c r="G265" s="21">
        <v>12</v>
      </c>
      <c r="H265" s="17">
        <v>6.45</v>
      </c>
      <c r="I265" s="43" t="s">
        <v>3950</v>
      </c>
      <c r="J265" s="26"/>
      <c r="K265" s="17">
        <f t="shared" si="24"/>
        <v>0</v>
      </c>
      <c r="N265" s="31" t="str">
        <f t="shared" si="25"/>
        <v>-</v>
      </c>
      <c r="O265" s="31" t="str">
        <f t="shared" si="27"/>
        <v>-</v>
      </c>
      <c r="P265" s="35" t="str">
        <f t="shared" si="26"/>
        <v>-</v>
      </c>
      <c r="Q265" s="32" t="str">
        <f t="shared" si="28"/>
        <v>-</v>
      </c>
      <c r="S265" s="32" t="str">
        <f t="shared" si="29"/>
        <v>-</v>
      </c>
    </row>
    <row r="266" spans="1:19" x14ac:dyDescent="0.3">
      <c r="A266" s="45" t="s">
        <v>3870</v>
      </c>
      <c r="B266" s="40" t="s">
        <v>987</v>
      </c>
      <c r="C266" s="41" t="s">
        <v>2172</v>
      </c>
      <c r="D266" s="21" t="s">
        <v>2227</v>
      </c>
      <c r="E266" s="21" t="s">
        <v>2277</v>
      </c>
      <c r="F266" s="24">
        <v>5.1482733995000002E-2</v>
      </c>
      <c r="G266" s="21">
        <v>12</v>
      </c>
      <c r="H266" s="17">
        <v>9.59</v>
      </c>
      <c r="I266" s="43" t="s">
        <v>3950</v>
      </c>
      <c r="J266" s="26"/>
      <c r="K266" s="17">
        <f t="shared" si="24"/>
        <v>0</v>
      </c>
      <c r="N266" s="31" t="str">
        <f t="shared" si="25"/>
        <v>-</v>
      </c>
      <c r="O266" s="31" t="str">
        <f t="shared" si="27"/>
        <v>-</v>
      </c>
      <c r="P266" s="35" t="str">
        <f t="shared" si="26"/>
        <v>-</v>
      </c>
      <c r="Q266" s="32" t="str">
        <f t="shared" si="28"/>
        <v>-</v>
      </c>
      <c r="S266" s="32" t="str">
        <f t="shared" si="29"/>
        <v>-</v>
      </c>
    </row>
    <row r="267" spans="1:19" x14ac:dyDescent="0.3">
      <c r="A267" s="45" t="s">
        <v>3880</v>
      </c>
      <c r="B267" s="40" t="s">
        <v>1046</v>
      </c>
      <c r="C267" s="41" t="s">
        <v>2197</v>
      </c>
      <c r="D267" s="21" t="s">
        <v>2223</v>
      </c>
      <c r="E267" s="21" t="s">
        <v>2244</v>
      </c>
      <c r="F267" s="24">
        <v>5.7060030177791668E-2</v>
      </c>
      <c r="G267" s="21">
        <v>12</v>
      </c>
      <c r="H267" s="17">
        <v>8.6999999999999993</v>
      </c>
      <c r="I267" s="43" t="s">
        <v>3950</v>
      </c>
      <c r="J267" s="26"/>
      <c r="K267" s="17">
        <f t="shared" si="24"/>
        <v>0</v>
      </c>
      <c r="N267" s="31" t="str">
        <f t="shared" si="25"/>
        <v>-</v>
      </c>
      <c r="O267" s="31" t="str">
        <f t="shared" si="27"/>
        <v>-</v>
      </c>
      <c r="P267" s="35" t="str">
        <f t="shared" si="26"/>
        <v>-</v>
      </c>
      <c r="Q267" s="32" t="str">
        <f t="shared" si="28"/>
        <v>-</v>
      </c>
      <c r="S267" s="32" t="str">
        <f t="shared" si="29"/>
        <v>-</v>
      </c>
    </row>
    <row r="268" spans="1:19" x14ac:dyDescent="0.3">
      <c r="A268" s="45" t="s">
        <v>3882</v>
      </c>
      <c r="B268" s="40" t="s">
        <v>817</v>
      </c>
      <c r="C268" s="41" t="s">
        <v>2197</v>
      </c>
      <c r="D268" s="21" t="s">
        <v>2227</v>
      </c>
      <c r="E268" s="21" t="s">
        <v>2244</v>
      </c>
      <c r="F268" s="24">
        <v>0.16302865765083333</v>
      </c>
      <c r="G268" s="21">
        <v>12</v>
      </c>
      <c r="H268" s="17">
        <v>32.1</v>
      </c>
      <c r="I268" s="43" t="s">
        <v>3950</v>
      </c>
      <c r="J268" s="26"/>
      <c r="K268" s="17">
        <f t="shared" si="24"/>
        <v>0</v>
      </c>
      <c r="N268" s="31" t="str">
        <f t="shared" si="25"/>
        <v>-</v>
      </c>
      <c r="O268" s="31" t="str">
        <f t="shared" si="27"/>
        <v>-</v>
      </c>
      <c r="P268" s="35" t="str">
        <f t="shared" si="26"/>
        <v>-</v>
      </c>
      <c r="Q268" s="32" t="str">
        <f t="shared" si="28"/>
        <v>-</v>
      </c>
      <c r="S268" s="32" t="str">
        <f t="shared" si="29"/>
        <v>-</v>
      </c>
    </row>
    <row r="269" spans="1:19" x14ac:dyDescent="0.3">
      <c r="A269" s="45" t="s">
        <v>3884</v>
      </c>
      <c r="B269" s="40" t="s">
        <v>1029</v>
      </c>
      <c r="C269" s="41" t="s">
        <v>2199</v>
      </c>
      <c r="D269" s="21" t="s">
        <v>2224</v>
      </c>
      <c r="E269" s="21" t="s">
        <v>2232</v>
      </c>
      <c r="F269" s="24">
        <v>4.0328141629416663E-2</v>
      </c>
      <c r="G269" s="21">
        <v>12</v>
      </c>
      <c r="H269" s="17">
        <v>5.7</v>
      </c>
      <c r="I269" s="43" t="s">
        <v>3950</v>
      </c>
      <c r="J269" s="26"/>
      <c r="K269" s="17">
        <f t="shared" si="24"/>
        <v>0</v>
      </c>
      <c r="N269" s="31" t="str">
        <f t="shared" si="25"/>
        <v>-</v>
      </c>
      <c r="O269" s="31" t="str">
        <f t="shared" si="27"/>
        <v>-</v>
      </c>
      <c r="P269" s="35" t="str">
        <f t="shared" si="26"/>
        <v>-</v>
      </c>
      <c r="Q269" s="32" t="str">
        <f t="shared" si="28"/>
        <v>-</v>
      </c>
      <c r="S269" s="32" t="str">
        <f t="shared" si="29"/>
        <v>-</v>
      </c>
    </row>
    <row r="270" spans="1:19" x14ac:dyDescent="0.3">
      <c r="A270" s="45" t="s">
        <v>3886</v>
      </c>
      <c r="B270" s="40" t="s">
        <v>1359</v>
      </c>
      <c r="C270" s="41" t="s">
        <v>2199</v>
      </c>
      <c r="D270" s="21" t="s">
        <v>2233</v>
      </c>
      <c r="E270" s="21" t="s">
        <v>2232</v>
      </c>
      <c r="F270" s="24">
        <v>9.6959149023916669E-2</v>
      </c>
      <c r="G270" s="21">
        <v>12</v>
      </c>
      <c r="H270" s="17">
        <v>18.59</v>
      </c>
      <c r="I270" s="43" t="s">
        <v>3950</v>
      </c>
      <c r="J270" s="26"/>
      <c r="K270" s="17">
        <f t="shared" si="24"/>
        <v>0</v>
      </c>
      <c r="N270" s="31" t="str">
        <f t="shared" si="25"/>
        <v>-</v>
      </c>
      <c r="O270" s="31" t="str">
        <f t="shared" si="27"/>
        <v>-</v>
      </c>
      <c r="P270" s="35" t="str">
        <f t="shared" si="26"/>
        <v>-</v>
      </c>
      <c r="Q270" s="32" t="str">
        <f t="shared" si="28"/>
        <v>-</v>
      </c>
      <c r="S270" s="32" t="str">
        <f t="shared" si="29"/>
        <v>-</v>
      </c>
    </row>
    <row r="271" spans="1:19" x14ac:dyDescent="0.3">
      <c r="A271" s="45" t="s">
        <v>3891</v>
      </c>
      <c r="B271" s="40" t="s">
        <v>420</v>
      </c>
      <c r="C271" s="41" t="s">
        <v>2202</v>
      </c>
      <c r="D271" s="21" t="s">
        <v>2224</v>
      </c>
      <c r="E271" s="21" t="s">
        <v>2222</v>
      </c>
      <c r="F271" s="24">
        <v>7.9025996682325003E-2</v>
      </c>
      <c r="G271" s="21">
        <v>12</v>
      </c>
      <c r="H271" s="17">
        <v>4.79</v>
      </c>
      <c r="I271" s="43" t="s">
        <v>3950</v>
      </c>
      <c r="J271" s="26"/>
      <c r="K271" s="17">
        <f t="shared" si="24"/>
        <v>0</v>
      </c>
      <c r="N271" s="31" t="str">
        <f t="shared" si="25"/>
        <v>-</v>
      </c>
      <c r="O271" s="31" t="str">
        <f t="shared" si="27"/>
        <v>-</v>
      </c>
      <c r="P271" s="35" t="str">
        <f t="shared" si="26"/>
        <v>-</v>
      </c>
      <c r="Q271" s="32" t="str">
        <f t="shared" si="28"/>
        <v>-</v>
      </c>
      <c r="S271" s="32" t="str">
        <f t="shared" si="29"/>
        <v>-</v>
      </c>
    </row>
    <row r="272" spans="1:19" x14ac:dyDescent="0.3">
      <c r="A272" s="45" t="s">
        <v>3914</v>
      </c>
      <c r="B272" s="40" t="s">
        <v>1345</v>
      </c>
      <c r="C272" s="41" t="s">
        <v>2209</v>
      </c>
      <c r="D272" s="21" t="s">
        <v>2227</v>
      </c>
      <c r="E272" s="21" t="s">
        <v>2222</v>
      </c>
      <c r="F272" s="24">
        <v>8.1943351608708345E-2</v>
      </c>
      <c r="G272" s="21">
        <v>12</v>
      </c>
      <c r="H272" s="17">
        <v>5.99</v>
      </c>
      <c r="I272" s="43" t="s">
        <v>3950</v>
      </c>
      <c r="J272" s="26"/>
      <c r="K272" s="17">
        <f t="shared" si="24"/>
        <v>0</v>
      </c>
      <c r="N272" s="31" t="str">
        <f t="shared" si="25"/>
        <v>-</v>
      </c>
      <c r="O272" s="31" t="str">
        <f t="shared" si="27"/>
        <v>-</v>
      </c>
      <c r="P272" s="35" t="str">
        <f t="shared" si="26"/>
        <v>-</v>
      </c>
      <c r="Q272" s="32" t="str">
        <f t="shared" si="28"/>
        <v>-</v>
      </c>
      <c r="S272" s="32" t="str">
        <f t="shared" si="29"/>
        <v>-</v>
      </c>
    </row>
    <row r="273" spans="1:19" x14ac:dyDescent="0.3">
      <c r="A273" s="45" t="s">
        <v>3924</v>
      </c>
      <c r="B273" s="40" t="s">
        <v>1112</v>
      </c>
      <c r="C273" s="41" t="s">
        <v>2213</v>
      </c>
      <c r="D273" s="21" t="s">
        <v>2223</v>
      </c>
      <c r="E273" s="21" t="s">
        <v>2244</v>
      </c>
      <c r="F273" s="24">
        <v>1.7761543228275001E-2</v>
      </c>
      <c r="G273" s="21">
        <v>12</v>
      </c>
      <c r="H273" s="17">
        <v>20.39</v>
      </c>
      <c r="I273" s="43" t="s">
        <v>3950</v>
      </c>
      <c r="J273" s="26"/>
      <c r="K273" s="17">
        <f t="shared" si="24"/>
        <v>0</v>
      </c>
      <c r="N273" s="31" t="str">
        <f t="shared" si="25"/>
        <v>-</v>
      </c>
      <c r="O273" s="31" t="str">
        <f t="shared" si="27"/>
        <v>-</v>
      </c>
      <c r="P273" s="35" t="str">
        <f t="shared" si="26"/>
        <v>-</v>
      </c>
      <c r="Q273" s="32" t="str">
        <f t="shared" si="28"/>
        <v>-</v>
      </c>
      <c r="S273" s="32" t="str">
        <f t="shared" si="29"/>
        <v>-</v>
      </c>
    </row>
    <row r="274" spans="1:19" x14ac:dyDescent="0.3">
      <c r="A274" s="45" t="s">
        <v>3938</v>
      </c>
      <c r="B274" s="40" t="s">
        <v>2312</v>
      </c>
      <c r="C274" s="41" t="s">
        <v>2313</v>
      </c>
      <c r="D274" s="21" t="s">
        <v>2227</v>
      </c>
      <c r="E274" s="21" t="s">
        <v>2244</v>
      </c>
      <c r="F274" s="24">
        <v>0.13261094231545417</v>
      </c>
      <c r="G274" s="21">
        <v>12</v>
      </c>
      <c r="H274" s="17">
        <v>14.7</v>
      </c>
      <c r="I274" s="43" t="s">
        <v>3950</v>
      </c>
      <c r="J274" s="26"/>
      <c r="K274" s="17">
        <f t="shared" si="24"/>
        <v>0</v>
      </c>
      <c r="N274" s="31" t="str">
        <f t="shared" si="25"/>
        <v>-</v>
      </c>
      <c r="O274" s="31" t="str">
        <f t="shared" si="27"/>
        <v>-</v>
      </c>
      <c r="P274" s="35" t="str">
        <f t="shared" si="26"/>
        <v>-</v>
      </c>
      <c r="Q274" s="32" t="str">
        <f t="shared" si="28"/>
        <v>-</v>
      </c>
      <c r="S274" s="32" t="str">
        <f t="shared" si="29"/>
        <v>-</v>
      </c>
    </row>
    <row r="275" spans="1:19" x14ac:dyDescent="0.3">
      <c r="A275" s="45" t="s">
        <v>2332</v>
      </c>
      <c r="B275" s="40" t="s">
        <v>219</v>
      </c>
      <c r="C275" s="41" t="s">
        <v>1603</v>
      </c>
      <c r="D275" s="21" t="s">
        <v>2226</v>
      </c>
      <c r="E275" s="21" t="s">
        <v>2222</v>
      </c>
      <c r="F275" s="24">
        <v>0.44961587688966681</v>
      </c>
      <c r="G275" s="21">
        <v>12</v>
      </c>
      <c r="H275" s="17">
        <v>39.9</v>
      </c>
      <c r="I275" s="43" t="s">
        <v>3950</v>
      </c>
      <c r="J275" s="26"/>
      <c r="K275" s="17">
        <f t="shared" si="24"/>
        <v>0</v>
      </c>
      <c r="N275" s="31" t="str">
        <f t="shared" si="25"/>
        <v>-</v>
      </c>
      <c r="O275" s="31" t="str">
        <f t="shared" si="27"/>
        <v>-</v>
      </c>
      <c r="P275" s="35" t="str">
        <f t="shared" si="26"/>
        <v>-</v>
      </c>
      <c r="Q275" s="32" t="str">
        <f t="shared" si="28"/>
        <v>-</v>
      </c>
      <c r="S275" s="32" t="str">
        <f t="shared" si="29"/>
        <v>-</v>
      </c>
    </row>
    <row r="276" spans="1:19" x14ac:dyDescent="0.3">
      <c r="A276" s="45" t="s">
        <v>2333</v>
      </c>
      <c r="B276" s="40" t="s">
        <v>1481</v>
      </c>
      <c r="C276" s="41" t="s">
        <v>1604</v>
      </c>
      <c r="D276" s="21" t="s">
        <v>2224</v>
      </c>
      <c r="E276" s="21" t="s">
        <v>2222</v>
      </c>
      <c r="F276" s="24">
        <v>0.15873842981791667</v>
      </c>
      <c r="G276" s="21">
        <v>12</v>
      </c>
      <c r="H276" s="17">
        <v>8.99</v>
      </c>
      <c r="I276" s="43" t="s">
        <v>3950</v>
      </c>
      <c r="J276" s="26"/>
      <c r="K276" s="17">
        <f t="shared" si="24"/>
        <v>0</v>
      </c>
      <c r="N276" s="31" t="str">
        <f t="shared" si="25"/>
        <v>-</v>
      </c>
      <c r="O276" s="31" t="str">
        <f t="shared" si="27"/>
        <v>-</v>
      </c>
      <c r="P276" s="35" t="str">
        <f t="shared" si="26"/>
        <v>-</v>
      </c>
      <c r="Q276" s="32" t="str">
        <f t="shared" si="28"/>
        <v>-</v>
      </c>
      <c r="S276" s="32" t="str">
        <f t="shared" si="29"/>
        <v>-</v>
      </c>
    </row>
    <row r="277" spans="1:19" x14ac:dyDescent="0.3">
      <c r="A277" s="45" t="s">
        <v>2334</v>
      </c>
      <c r="B277" s="40" t="s">
        <v>1482</v>
      </c>
      <c r="C277" s="41" t="s">
        <v>1604</v>
      </c>
      <c r="D277" s="21" t="s">
        <v>2227</v>
      </c>
      <c r="E277" s="21" t="s">
        <v>2222</v>
      </c>
      <c r="F277" s="24">
        <v>0.29774181160441665</v>
      </c>
      <c r="G277" s="21">
        <v>12</v>
      </c>
      <c r="H277" s="17">
        <v>17.100000000000001</v>
      </c>
      <c r="I277" s="43" t="s">
        <v>3950</v>
      </c>
      <c r="J277" s="26"/>
      <c r="K277" s="17">
        <f t="shared" si="24"/>
        <v>0</v>
      </c>
      <c r="N277" s="31" t="str">
        <f t="shared" si="25"/>
        <v>-</v>
      </c>
      <c r="O277" s="31" t="str">
        <f t="shared" si="27"/>
        <v>-</v>
      </c>
      <c r="P277" s="35" t="str">
        <f t="shared" si="26"/>
        <v>-</v>
      </c>
      <c r="Q277" s="32" t="str">
        <f t="shared" si="28"/>
        <v>-</v>
      </c>
      <c r="S277" s="32" t="str">
        <f t="shared" si="29"/>
        <v>-</v>
      </c>
    </row>
    <row r="278" spans="1:19" x14ac:dyDescent="0.3">
      <c r="A278" s="45" t="s">
        <v>2335</v>
      </c>
      <c r="B278" s="40" t="s">
        <v>45</v>
      </c>
      <c r="C278" s="41" t="s">
        <v>1605</v>
      </c>
      <c r="D278" s="21" t="s">
        <v>2223</v>
      </c>
      <c r="E278" s="21" t="s">
        <v>2222</v>
      </c>
      <c r="F278" s="24">
        <v>0.10210742242341668</v>
      </c>
      <c r="G278" s="21">
        <v>12</v>
      </c>
      <c r="H278" s="17">
        <v>14.99</v>
      </c>
      <c r="I278" s="43" t="s">
        <v>3950</v>
      </c>
      <c r="J278" s="26"/>
      <c r="K278" s="17">
        <f t="shared" si="24"/>
        <v>0</v>
      </c>
      <c r="N278" s="31" t="str">
        <f t="shared" si="25"/>
        <v>-</v>
      </c>
      <c r="O278" s="31" t="str">
        <f t="shared" si="27"/>
        <v>-</v>
      </c>
      <c r="P278" s="35" t="str">
        <f t="shared" si="26"/>
        <v>-</v>
      </c>
      <c r="Q278" s="32" t="str">
        <f t="shared" si="28"/>
        <v>-</v>
      </c>
      <c r="S278" s="32" t="str">
        <f t="shared" si="29"/>
        <v>-</v>
      </c>
    </row>
    <row r="279" spans="1:19" x14ac:dyDescent="0.3">
      <c r="A279" s="45" t="s">
        <v>2336</v>
      </c>
      <c r="B279" s="40" t="s">
        <v>598</v>
      </c>
      <c r="C279" s="41" t="s">
        <v>1605</v>
      </c>
      <c r="D279" s="21" t="s">
        <v>2224</v>
      </c>
      <c r="E279" s="21" t="s">
        <v>2222</v>
      </c>
      <c r="F279" s="24">
        <v>0.15616429311816668</v>
      </c>
      <c r="G279" s="21">
        <v>12</v>
      </c>
      <c r="H279" s="17">
        <v>28.79</v>
      </c>
      <c r="I279" s="43" t="s">
        <v>3950</v>
      </c>
      <c r="J279" s="26"/>
      <c r="K279" s="17">
        <f t="shared" si="24"/>
        <v>0</v>
      </c>
      <c r="N279" s="31" t="str">
        <f t="shared" si="25"/>
        <v>-</v>
      </c>
      <c r="O279" s="31" t="str">
        <f t="shared" si="27"/>
        <v>-</v>
      </c>
      <c r="P279" s="35" t="str">
        <f t="shared" si="26"/>
        <v>-</v>
      </c>
      <c r="Q279" s="32" t="str">
        <f t="shared" si="28"/>
        <v>-</v>
      </c>
      <c r="S279" s="32" t="str">
        <f t="shared" si="29"/>
        <v>-</v>
      </c>
    </row>
    <row r="280" spans="1:19" x14ac:dyDescent="0.3">
      <c r="A280" s="45" t="s">
        <v>2337</v>
      </c>
      <c r="B280" s="40" t="s">
        <v>7</v>
      </c>
      <c r="C280" s="41" t="s">
        <v>1605</v>
      </c>
      <c r="D280" s="21" t="s">
        <v>2225</v>
      </c>
      <c r="E280" s="21" t="s">
        <v>2222</v>
      </c>
      <c r="F280" s="24">
        <v>0.21880161947875001</v>
      </c>
      <c r="G280" s="21">
        <v>12</v>
      </c>
      <c r="H280" s="17">
        <v>42.59</v>
      </c>
      <c r="I280" s="43" t="s">
        <v>3950</v>
      </c>
      <c r="J280" s="26"/>
      <c r="K280" s="17">
        <f t="shared" si="24"/>
        <v>0</v>
      </c>
      <c r="N280" s="31" t="str">
        <f t="shared" si="25"/>
        <v>-</v>
      </c>
      <c r="O280" s="31" t="str">
        <f t="shared" si="27"/>
        <v>-</v>
      </c>
      <c r="P280" s="35" t="str">
        <f t="shared" si="26"/>
        <v>-</v>
      </c>
      <c r="Q280" s="32" t="str">
        <f t="shared" si="28"/>
        <v>-</v>
      </c>
      <c r="S280" s="32" t="str">
        <f t="shared" si="29"/>
        <v>-</v>
      </c>
    </row>
    <row r="281" spans="1:19" x14ac:dyDescent="0.3">
      <c r="A281" s="45" t="s">
        <v>2338</v>
      </c>
      <c r="B281" s="40" t="s">
        <v>23</v>
      </c>
      <c r="C281" s="41" t="s">
        <v>1606</v>
      </c>
      <c r="D281" s="21" t="s">
        <v>2228</v>
      </c>
      <c r="E281" s="21" t="s">
        <v>2229</v>
      </c>
      <c r="F281" s="24">
        <v>0.10403802494822917</v>
      </c>
      <c r="G281" s="21">
        <v>48</v>
      </c>
      <c r="H281" s="17">
        <v>7.19</v>
      </c>
      <c r="I281" s="43" t="s">
        <v>3950</v>
      </c>
      <c r="J281" s="26"/>
      <c r="K281" s="17">
        <f t="shared" si="24"/>
        <v>0</v>
      </c>
      <c r="N281" s="31" t="str">
        <f t="shared" si="25"/>
        <v>-</v>
      </c>
      <c r="O281" s="31" t="str">
        <f t="shared" si="27"/>
        <v>-</v>
      </c>
      <c r="P281" s="35" t="str">
        <f t="shared" si="26"/>
        <v>-</v>
      </c>
      <c r="Q281" s="32" t="str">
        <f t="shared" si="28"/>
        <v>-</v>
      </c>
      <c r="S281" s="32" t="str">
        <f t="shared" si="29"/>
        <v>-</v>
      </c>
    </row>
    <row r="282" spans="1:19" x14ac:dyDescent="0.3">
      <c r="A282" s="45" t="s">
        <v>2339</v>
      </c>
      <c r="B282" s="40" t="s">
        <v>1132</v>
      </c>
      <c r="C282" s="41" t="s">
        <v>1606</v>
      </c>
      <c r="D282" s="21" t="s">
        <v>2230</v>
      </c>
      <c r="E282" s="21" t="s">
        <v>2229</v>
      </c>
      <c r="F282" s="24">
        <v>0.15730835387361111</v>
      </c>
      <c r="G282" s="21">
        <v>36</v>
      </c>
      <c r="H282" s="17">
        <v>13.5</v>
      </c>
      <c r="I282" s="43" t="s">
        <v>3950</v>
      </c>
      <c r="J282" s="26"/>
      <c r="K282" s="17">
        <f t="shared" si="24"/>
        <v>0</v>
      </c>
      <c r="N282" s="31" t="str">
        <f t="shared" si="25"/>
        <v>-</v>
      </c>
      <c r="O282" s="31" t="str">
        <f t="shared" si="27"/>
        <v>-</v>
      </c>
      <c r="P282" s="35" t="str">
        <f t="shared" si="26"/>
        <v>-</v>
      </c>
      <c r="Q282" s="32" t="str">
        <f t="shared" si="28"/>
        <v>-</v>
      </c>
      <c r="S282" s="32" t="str">
        <f t="shared" si="29"/>
        <v>-</v>
      </c>
    </row>
    <row r="283" spans="1:19" x14ac:dyDescent="0.3">
      <c r="A283" s="45" t="s">
        <v>2340</v>
      </c>
      <c r="B283" s="40" t="s">
        <v>1483</v>
      </c>
      <c r="C283" s="41" t="s">
        <v>1607</v>
      </c>
      <c r="D283" s="21" t="s">
        <v>2231</v>
      </c>
      <c r="E283" s="21" t="s">
        <v>2222</v>
      </c>
      <c r="F283" s="24">
        <v>0.12098442488825001</v>
      </c>
      <c r="G283" s="21">
        <v>12</v>
      </c>
      <c r="H283" s="17">
        <v>8.99</v>
      </c>
      <c r="I283" s="43" t="s">
        <v>3950</v>
      </c>
      <c r="J283" s="26"/>
      <c r="K283" s="17">
        <f t="shared" si="24"/>
        <v>0</v>
      </c>
      <c r="N283" s="31" t="str">
        <f t="shared" si="25"/>
        <v>-</v>
      </c>
      <c r="O283" s="31" t="str">
        <f t="shared" si="27"/>
        <v>-</v>
      </c>
      <c r="P283" s="35" t="str">
        <f t="shared" si="26"/>
        <v>-</v>
      </c>
      <c r="Q283" s="32" t="str">
        <f t="shared" si="28"/>
        <v>-</v>
      </c>
      <c r="S283" s="32" t="str">
        <f t="shared" si="29"/>
        <v>-</v>
      </c>
    </row>
    <row r="284" spans="1:19" x14ac:dyDescent="0.3">
      <c r="A284" s="45" t="s">
        <v>2342</v>
      </c>
      <c r="B284" s="40" t="s">
        <v>845</v>
      </c>
      <c r="C284" s="41" t="s">
        <v>1608</v>
      </c>
      <c r="D284" s="21" t="s">
        <v>2227</v>
      </c>
      <c r="E284" s="21" t="s">
        <v>2222</v>
      </c>
      <c r="F284" s="24">
        <v>6.1779280794000004E-2</v>
      </c>
      <c r="G284" s="21">
        <v>12</v>
      </c>
      <c r="H284" s="17">
        <v>18.3</v>
      </c>
      <c r="I284" s="43" t="s">
        <v>3950</v>
      </c>
      <c r="J284" s="26"/>
      <c r="K284" s="17">
        <f t="shared" si="24"/>
        <v>0</v>
      </c>
      <c r="N284" s="31" t="str">
        <f t="shared" si="25"/>
        <v>-</v>
      </c>
      <c r="O284" s="31" t="str">
        <f t="shared" si="27"/>
        <v>-</v>
      </c>
      <c r="P284" s="35" t="str">
        <f t="shared" si="26"/>
        <v>-</v>
      </c>
      <c r="Q284" s="32" t="str">
        <f t="shared" si="28"/>
        <v>-</v>
      </c>
      <c r="S284" s="32" t="str">
        <f t="shared" si="29"/>
        <v>-</v>
      </c>
    </row>
    <row r="285" spans="1:19" x14ac:dyDescent="0.3">
      <c r="A285" s="45" t="s">
        <v>2348</v>
      </c>
      <c r="B285" s="40" t="s">
        <v>1485</v>
      </c>
      <c r="C285" s="41" t="s">
        <v>1612</v>
      </c>
      <c r="D285" s="21" t="s">
        <v>2226</v>
      </c>
      <c r="E285" s="21" t="s">
        <v>2222</v>
      </c>
      <c r="F285" s="24">
        <v>0.43760323895750003</v>
      </c>
      <c r="G285" s="21">
        <v>12</v>
      </c>
      <c r="H285" s="17">
        <v>46.5</v>
      </c>
      <c r="I285" s="43" t="s">
        <v>3950</v>
      </c>
      <c r="J285" s="26"/>
      <c r="K285" s="17">
        <f t="shared" si="24"/>
        <v>0</v>
      </c>
      <c r="N285" s="31" t="str">
        <f t="shared" si="25"/>
        <v>-</v>
      </c>
      <c r="O285" s="31" t="str">
        <f t="shared" si="27"/>
        <v>-</v>
      </c>
      <c r="P285" s="35" t="str">
        <f t="shared" si="26"/>
        <v>-</v>
      </c>
      <c r="Q285" s="32" t="str">
        <f t="shared" si="28"/>
        <v>-</v>
      </c>
      <c r="S285" s="32" t="str">
        <f t="shared" si="29"/>
        <v>-</v>
      </c>
    </row>
    <row r="286" spans="1:19" x14ac:dyDescent="0.3">
      <c r="A286" s="45" t="s">
        <v>2349</v>
      </c>
      <c r="B286" s="40" t="s">
        <v>1486</v>
      </c>
      <c r="C286" s="41" t="s">
        <v>1613</v>
      </c>
      <c r="D286" s="21" t="s">
        <v>2226</v>
      </c>
      <c r="E286" s="21" t="s">
        <v>2222</v>
      </c>
      <c r="F286" s="24">
        <v>0.42730669215850003</v>
      </c>
      <c r="G286" s="21">
        <v>12</v>
      </c>
      <c r="H286" s="17">
        <v>46.5</v>
      </c>
      <c r="I286" s="43" t="s">
        <v>3950</v>
      </c>
      <c r="J286" s="26"/>
      <c r="K286" s="17">
        <f t="shared" si="24"/>
        <v>0</v>
      </c>
      <c r="N286" s="31" t="str">
        <f t="shared" si="25"/>
        <v>-</v>
      </c>
      <c r="O286" s="31" t="str">
        <f t="shared" si="27"/>
        <v>-</v>
      </c>
      <c r="P286" s="35" t="str">
        <f t="shared" si="26"/>
        <v>-</v>
      </c>
      <c r="Q286" s="32" t="str">
        <f t="shared" si="28"/>
        <v>-</v>
      </c>
      <c r="S286" s="32" t="str">
        <f t="shared" si="29"/>
        <v>-</v>
      </c>
    </row>
    <row r="287" spans="1:19" x14ac:dyDescent="0.3">
      <c r="A287" s="45" t="s">
        <v>2350</v>
      </c>
      <c r="B287" s="40" t="s">
        <v>1407</v>
      </c>
      <c r="C287" s="41" t="s">
        <v>1614</v>
      </c>
      <c r="D287" s="21" t="s">
        <v>2224</v>
      </c>
      <c r="E287" s="21" t="s">
        <v>2222</v>
      </c>
      <c r="F287" s="24">
        <v>8.3659442741875006E-2</v>
      </c>
      <c r="G287" s="21">
        <v>12</v>
      </c>
      <c r="H287" s="17">
        <v>8.6999999999999993</v>
      </c>
      <c r="I287" s="43" t="s">
        <v>3950</v>
      </c>
      <c r="J287" s="26"/>
      <c r="K287" s="17">
        <f t="shared" si="24"/>
        <v>0</v>
      </c>
      <c r="N287" s="31" t="str">
        <f t="shared" si="25"/>
        <v>-</v>
      </c>
      <c r="O287" s="31" t="str">
        <f t="shared" si="27"/>
        <v>-</v>
      </c>
      <c r="P287" s="35" t="str">
        <f t="shared" si="26"/>
        <v>-</v>
      </c>
      <c r="Q287" s="32" t="str">
        <f t="shared" si="28"/>
        <v>-</v>
      </c>
      <c r="S287" s="32" t="str">
        <f t="shared" si="29"/>
        <v>-</v>
      </c>
    </row>
    <row r="288" spans="1:19" x14ac:dyDescent="0.3">
      <c r="A288" s="45" t="s">
        <v>2351</v>
      </c>
      <c r="B288" s="40" t="s">
        <v>931</v>
      </c>
      <c r="C288" s="41" t="s">
        <v>1614</v>
      </c>
      <c r="D288" s="21" t="s">
        <v>2227</v>
      </c>
      <c r="E288" s="21" t="s">
        <v>2222</v>
      </c>
      <c r="F288" s="24">
        <v>0.14071947291966666</v>
      </c>
      <c r="G288" s="21">
        <v>12</v>
      </c>
      <c r="H288" s="17">
        <v>16.79</v>
      </c>
      <c r="I288" s="43" t="s">
        <v>3950</v>
      </c>
      <c r="J288" s="26"/>
      <c r="K288" s="17">
        <f t="shared" si="24"/>
        <v>0</v>
      </c>
      <c r="N288" s="31" t="str">
        <f t="shared" si="25"/>
        <v>-</v>
      </c>
      <c r="O288" s="31" t="str">
        <f t="shared" si="27"/>
        <v>-</v>
      </c>
      <c r="P288" s="35" t="str">
        <f t="shared" si="26"/>
        <v>-</v>
      </c>
      <c r="Q288" s="32" t="str">
        <f t="shared" si="28"/>
        <v>-</v>
      </c>
      <c r="S288" s="32" t="str">
        <f t="shared" si="29"/>
        <v>-</v>
      </c>
    </row>
    <row r="289" spans="1:19" x14ac:dyDescent="0.3">
      <c r="A289" s="45" t="s">
        <v>2352</v>
      </c>
      <c r="B289" s="40" t="s">
        <v>58</v>
      </c>
      <c r="C289" s="41" t="s">
        <v>1615</v>
      </c>
      <c r="D289" s="21" t="s">
        <v>2224</v>
      </c>
      <c r="E289" s="21" t="s">
        <v>2222</v>
      </c>
      <c r="F289" s="24">
        <v>0.14844188301891667</v>
      </c>
      <c r="G289" s="21">
        <v>12</v>
      </c>
      <c r="H289" s="17">
        <v>8.6999999999999993</v>
      </c>
      <c r="I289" s="43" t="s">
        <v>3950</v>
      </c>
      <c r="J289" s="26"/>
      <c r="K289" s="17">
        <f t="shared" si="24"/>
        <v>0</v>
      </c>
      <c r="N289" s="31" t="str">
        <f t="shared" si="25"/>
        <v>-</v>
      </c>
      <c r="O289" s="31" t="str">
        <f t="shared" si="27"/>
        <v>-</v>
      </c>
      <c r="P289" s="35" t="str">
        <f t="shared" si="26"/>
        <v>-</v>
      </c>
      <c r="Q289" s="32" t="str">
        <f t="shared" si="28"/>
        <v>-</v>
      </c>
      <c r="S289" s="32" t="str">
        <f t="shared" si="29"/>
        <v>-</v>
      </c>
    </row>
    <row r="290" spans="1:19" x14ac:dyDescent="0.3">
      <c r="A290" s="45" t="s">
        <v>2353</v>
      </c>
      <c r="B290" s="40" t="s">
        <v>1304</v>
      </c>
      <c r="C290" s="41" t="s">
        <v>1615</v>
      </c>
      <c r="D290" s="21" t="s">
        <v>2227</v>
      </c>
      <c r="E290" s="21" t="s">
        <v>2222</v>
      </c>
      <c r="F290" s="24">
        <v>0.26685217120741672</v>
      </c>
      <c r="G290" s="21">
        <v>12</v>
      </c>
      <c r="H290" s="17">
        <v>16.5</v>
      </c>
      <c r="I290" s="43" t="s">
        <v>3950</v>
      </c>
      <c r="J290" s="26"/>
      <c r="K290" s="17">
        <f t="shared" si="24"/>
        <v>0</v>
      </c>
      <c r="N290" s="31" t="str">
        <f t="shared" si="25"/>
        <v>-</v>
      </c>
      <c r="O290" s="31" t="str">
        <f t="shared" si="27"/>
        <v>-</v>
      </c>
      <c r="P290" s="35" t="str">
        <f t="shared" si="26"/>
        <v>-</v>
      </c>
      <c r="Q290" s="32" t="str">
        <f t="shared" si="28"/>
        <v>-</v>
      </c>
      <c r="S290" s="32" t="str">
        <f t="shared" si="29"/>
        <v>-</v>
      </c>
    </row>
    <row r="291" spans="1:19" x14ac:dyDescent="0.3">
      <c r="A291" s="45" t="s">
        <v>2354</v>
      </c>
      <c r="B291" s="40" t="s">
        <v>209</v>
      </c>
      <c r="C291" s="41" t="s">
        <v>1616</v>
      </c>
      <c r="D291" s="21" t="s">
        <v>2231</v>
      </c>
      <c r="E291" s="21" t="s">
        <v>2234</v>
      </c>
      <c r="F291" s="24">
        <v>3.5179868229916665E-2</v>
      </c>
      <c r="G291" s="21">
        <v>12</v>
      </c>
      <c r="H291" s="17">
        <v>7.79</v>
      </c>
      <c r="I291" s="43" t="s">
        <v>3950</v>
      </c>
      <c r="J291" s="26"/>
      <c r="K291" s="17">
        <f t="shared" si="24"/>
        <v>0</v>
      </c>
      <c r="N291" s="31" t="str">
        <f t="shared" si="25"/>
        <v>-</v>
      </c>
      <c r="O291" s="31" t="str">
        <f t="shared" si="27"/>
        <v>-</v>
      </c>
      <c r="P291" s="35" t="str">
        <f t="shared" si="26"/>
        <v>-</v>
      </c>
      <c r="Q291" s="32" t="str">
        <f t="shared" si="28"/>
        <v>-</v>
      </c>
      <c r="S291" s="32" t="str">
        <f t="shared" si="29"/>
        <v>-</v>
      </c>
    </row>
    <row r="292" spans="1:19" x14ac:dyDescent="0.3">
      <c r="A292" s="45" t="s">
        <v>2355</v>
      </c>
      <c r="B292" s="40" t="s">
        <v>59</v>
      </c>
      <c r="C292" s="41" t="s">
        <v>1616</v>
      </c>
      <c r="D292" s="21" t="s">
        <v>2225</v>
      </c>
      <c r="E292" s="21" t="s">
        <v>2234</v>
      </c>
      <c r="F292" s="24">
        <v>4.1186187196000007E-2</v>
      </c>
      <c r="G292" s="21">
        <v>12</v>
      </c>
      <c r="H292" s="17">
        <v>14.7</v>
      </c>
      <c r="I292" s="43" t="s">
        <v>3950</v>
      </c>
      <c r="J292" s="26"/>
      <c r="K292" s="17">
        <f t="shared" si="24"/>
        <v>0</v>
      </c>
      <c r="N292" s="31" t="str">
        <f t="shared" si="25"/>
        <v>-</v>
      </c>
      <c r="O292" s="31" t="str">
        <f t="shared" si="27"/>
        <v>-</v>
      </c>
      <c r="P292" s="35" t="str">
        <f t="shared" si="26"/>
        <v>-</v>
      </c>
      <c r="Q292" s="32" t="str">
        <f t="shared" si="28"/>
        <v>-</v>
      </c>
      <c r="S292" s="32" t="str">
        <f t="shared" si="29"/>
        <v>-</v>
      </c>
    </row>
    <row r="293" spans="1:19" x14ac:dyDescent="0.3">
      <c r="A293" s="45" t="s">
        <v>2356</v>
      </c>
      <c r="B293" s="40" t="s">
        <v>1110</v>
      </c>
      <c r="C293" s="41" t="s">
        <v>1617</v>
      </c>
      <c r="D293" s="21" t="s">
        <v>2230</v>
      </c>
      <c r="E293" s="21" t="s">
        <v>2229</v>
      </c>
      <c r="F293" s="24">
        <v>0.13900338178650001</v>
      </c>
      <c r="G293" s="21">
        <v>12</v>
      </c>
      <c r="H293" s="17">
        <v>5.99</v>
      </c>
      <c r="I293" s="43" t="s">
        <v>3950</v>
      </c>
      <c r="J293" s="26"/>
      <c r="K293" s="17">
        <f t="shared" si="24"/>
        <v>0</v>
      </c>
      <c r="N293" s="31" t="str">
        <f t="shared" si="25"/>
        <v>-</v>
      </c>
      <c r="O293" s="31" t="str">
        <f t="shared" si="27"/>
        <v>-</v>
      </c>
      <c r="P293" s="35" t="str">
        <f t="shared" si="26"/>
        <v>-</v>
      </c>
      <c r="Q293" s="32" t="str">
        <f t="shared" si="28"/>
        <v>-</v>
      </c>
      <c r="S293" s="32" t="str">
        <f t="shared" si="29"/>
        <v>-</v>
      </c>
    </row>
    <row r="294" spans="1:19" x14ac:dyDescent="0.3">
      <c r="A294" s="45" t="s">
        <v>2357</v>
      </c>
      <c r="B294" s="40" t="s">
        <v>1487</v>
      </c>
      <c r="C294" s="41" t="s">
        <v>1617</v>
      </c>
      <c r="D294" s="21" t="s">
        <v>2235</v>
      </c>
      <c r="E294" s="21" t="s">
        <v>2229</v>
      </c>
      <c r="F294" s="24">
        <v>0.26771021677400003</v>
      </c>
      <c r="G294" s="21">
        <v>12</v>
      </c>
      <c r="H294" s="17">
        <v>11.1</v>
      </c>
      <c r="I294" s="43" t="s">
        <v>3950</v>
      </c>
      <c r="J294" s="26"/>
      <c r="K294" s="17">
        <f t="shared" si="24"/>
        <v>0</v>
      </c>
      <c r="N294" s="31" t="str">
        <f t="shared" si="25"/>
        <v>-</v>
      </c>
      <c r="O294" s="31" t="str">
        <f t="shared" si="27"/>
        <v>-</v>
      </c>
      <c r="P294" s="35" t="str">
        <f t="shared" si="26"/>
        <v>-</v>
      </c>
      <c r="Q294" s="32" t="str">
        <f t="shared" si="28"/>
        <v>-</v>
      </c>
      <c r="S294" s="32" t="str">
        <f t="shared" si="29"/>
        <v>-</v>
      </c>
    </row>
    <row r="295" spans="1:19" x14ac:dyDescent="0.3">
      <c r="A295" s="45" t="s">
        <v>2358</v>
      </c>
      <c r="B295" s="40" t="s">
        <v>1488</v>
      </c>
      <c r="C295" s="41" t="s">
        <v>1618</v>
      </c>
      <c r="D295" s="21" t="s">
        <v>2236</v>
      </c>
      <c r="E295" s="21" t="s">
        <v>2229</v>
      </c>
      <c r="F295" s="24">
        <v>0.5096790665505001</v>
      </c>
      <c r="G295" s="21">
        <v>12</v>
      </c>
      <c r="H295" s="17">
        <v>20.99</v>
      </c>
      <c r="I295" s="43" t="s">
        <v>3950</v>
      </c>
      <c r="J295" s="26"/>
      <c r="K295" s="17">
        <f t="shared" si="24"/>
        <v>0</v>
      </c>
      <c r="N295" s="31" t="str">
        <f t="shared" si="25"/>
        <v>-</v>
      </c>
      <c r="O295" s="31" t="str">
        <f t="shared" si="27"/>
        <v>-</v>
      </c>
      <c r="P295" s="35" t="str">
        <f t="shared" si="26"/>
        <v>-</v>
      </c>
      <c r="Q295" s="32" t="str">
        <f t="shared" si="28"/>
        <v>-</v>
      </c>
      <c r="S295" s="32" t="str">
        <f t="shared" si="29"/>
        <v>-</v>
      </c>
    </row>
    <row r="296" spans="1:19" x14ac:dyDescent="0.3">
      <c r="A296" s="45" t="s">
        <v>2359</v>
      </c>
      <c r="B296" s="40" t="s">
        <v>816</v>
      </c>
      <c r="C296" s="41" t="s">
        <v>1619</v>
      </c>
      <c r="D296" s="21" t="s">
        <v>2227</v>
      </c>
      <c r="E296" s="21" t="s">
        <v>2222</v>
      </c>
      <c r="F296" s="24">
        <v>6.1779280794000004E-2</v>
      </c>
      <c r="G296" s="21">
        <v>12</v>
      </c>
      <c r="H296" s="17">
        <v>33.299999999999997</v>
      </c>
      <c r="I296" s="43" t="s">
        <v>3950</v>
      </c>
      <c r="J296" s="26"/>
      <c r="K296" s="17">
        <f t="shared" si="24"/>
        <v>0</v>
      </c>
      <c r="N296" s="31" t="str">
        <f t="shared" si="25"/>
        <v>-</v>
      </c>
      <c r="O296" s="31" t="str">
        <f t="shared" si="27"/>
        <v>-</v>
      </c>
      <c r="P296" s="35" t="str">
        <f t="shared" si="26"/>
        <v>-</v>
      </c>
      <c r="Q296" s="32" t="str">
        <f t="shared" si="28"/>
        <v>-</v>
      </c>
      <c r="S296" s="32" t="str">
        <f t="shared" si="29"/>
        <v>-</v>
      </c>
    </row>
    <row r="297" spans="1:19" x14ac:dyDescent="0.3">
      <c r="A297" s="45" t="s">
        <v>2360</v>
      </c>
      <c r="B297" s="40" t="s">
        <v>1166</v>
      </c>
      <c r="C297" s="41" t="s">
        <v>1620</v>
      </c>
      <c r="D297" s="21" t="s">
        <v>2227</v>
      </c>
      <c r="E297" s="21" t="s">
        <v>2222</v>
      </c>
      <c r="F297" s="24">
        <v>0.30031594830416669</v>
      </c>
      <c r="G297" s="21">
        <v>12</v>
      </c>
      <c r="H297" s="17">
        <v>25.79</v>
      </c>
      <c r="I297" s="43" t="s">
        <v>3950</v>
      </c>
      <c r="J297" s="26"/>
      <c r="K297" s="17">
        <f t="shared" si="24"/>
        <v>0</v>
      </c>
      <c r="N297" s="31" t="str">
        <f t="shared" si="25"/>
        <v>-</v>
      </c>
      <c r="O297" s="31" t="str">
        <f t="shared" si="27"/>
        <v>-</v>
      </c>
      <c r="P297" s="35" t="str">
        <f t="shared" si="26"/>
        <v>-</v>
      </c>
      <c r="Q297" s="32" t="str">
        <f t="shared" si="28"/>
        <v>-</v>
      </c>
      <c r="S297" s="32" t="str">
        <f t="shared" si="29"/>
        <v>-</v>
      </c>
    </row>
    <row r="298" spans="1:19" x14ac:dyDescent="0.3">
      <c r="A298" s="45" t="s">
        <v>2361</v>
      </c>
      <c r="B298" s="40" t="s">
        <v>1489</v>
      </c>
      <c r="C298" s="41" t="s">
        <v>1621</v>
      </c>
      <c r="D298" s="21" t="s">
        <v>2223</v>
      </c>
      <c r="E298" s="21" t="s">
        <v>2222</v>
      </c>
      <c r="F298" s="24">
        <v>9.6959149023916669E-2</v>
      </c>
      <c r="G298" s="21">
        <v>12</v>
      </c>
      <c r="H298" s="17">
        <v>8.85</v>
      </c>
      <c r="I298" s="43" t="s">
        <v>3950</v>
      </c>
      <c r="J298" s="26"/>
      <c r="K298" s="17">
        <f t="shared" si="24"/>
        <v>0</v>
      </c>
      <c r="N298" s="31" t="str">
        <f t="shared" si="25"/>
        <v>-</v>
      </c>
      <c r="O298" s="31" t="str">
        <f t="shared" si="27"/>
        <v>-</v>
      </c>
      <c r="P298" s="35" t="str">
        <f t="shared" si="26"/>
        <v>-</v>
      </c>
      <c r="Q298" s="32" t="str">
        <f t="shared" si="28"/>
        <v>-</v>
      </c>
      <c r="S298" s="32" t="str">
        <f t="shared" si="29"/>
        <v>-</v>
      </c>
    </row>
    <row r="299" spans="1:19" x14ac:dyDescent="0.3">
      <c r="A299" s="45" t="s">
        <v>2362</v>
      </c>
      <c r="B299" s="40" t="s">
        <v>1490</v>
      </c>
      <c r="C299" s="41" t="s">
        <v>1621</v>
      </c>
      <c r="D299" s="21" t="s">
        <v>2224</v>
      </c>
      <c r="E299" s="21" t="s">
        <v>2222</v>
      </c>
      <c r="F299" s="24">
        <v>0.15359015641841667</v>
      </c>
      <c r="G299" s="21">
        <v>12</v>
      </c>
      <c r="H299" s="17">
        <v>16.79</v>
      </c>
      <c r="I299" s="43" t="s">
        <v>3950</v>
      </c>
      <c r="J299" s="26"/>
      <c r="K299" s="17">
        <f t="shared" si="24"/>
        <v>0</v>
      </c>
      <c r="N299" s="31" t="str">
        <f t="shared" si="25"/>
        <v>-</v>
      </c>
      <c r="O299" s="31" t="str">
        <f t="shared" si="27"/>
        <v>-</v>
      </c>
      <c r="P299" s="35" t="str">
        <f t="shared" si="26"/>
        <v>-</v>
      </c>
      <c r="Q299" s="32" t="str">
        <f t="shared" si="28"/>
        <v>-</v>
      </c>
      <c r="S299" s="32" t="str">
        <f t="shared" si="29"/>
        <v>-</v>
      </c>
    </row>
    <row r="300" spans="1:19" x14ac:dyDescent="0.3">
      <c r="A300" s="45" t="s">
        <v>2363</v>
      </c>
      <c r="B300" s="40" t="s">
        <v>1491</v>
      </c>
      <c r="C300" s="41" t="s">
        <v>1621</v>
      </c>
      <c r="D300" s="21" t="s">
        <v>2225</v>
      </c>
      <c r="E300" s="21" t="s">
        <v>2222</v>
      </c>
      <c r="F300" s="24">
        <v>0.21794357391216668</v>
      </c>
      <c r="G300" s="21">
        <v>12</v>
      </c>
      <c r="H300" s="17">
        <v>24.75</v>
      </c>
      <c r="I300" s="43" t="s">
        <v>3950</v>
      </c>
      <c r="J300" s="26"/>
      <c r="K300" s="17">
        <f t="shared" si="24"/>
        <v>0</v>
      </c>
      <c r="N300" s="31" t="str">
        <f t="shared" si="25"/>
        <v>-</v>
      </c>
      <c r="O300" s="31" t="str">
        <f t="shared" si="27"/>
        <v>-</v>
      </c>
      <c r="P300" s="35" t="str">
        <f t="shared" si="26"/>
        <v>-</v>
      </c>
      <c r="Q300" s="32" t="str">
        <f t="shared" si="28"/>
        <v>-</v>
      </c>
      <c r="S300" s="32" t="str">
        <f t="shared" si="29"/>
        <v>-</v>
      </c>
    </row>
    <row r="301" spans="1:19" x14ac:dyDescent="0.3">
      <c r="A301" s="45" t="s">
        <v>2364</v>
      </c>
      <c r="B301" s="40" t="s">
        <v>1492</v>
      </c>
      <c r="C301" s="41" t="s">
        <v>1621</v>
      </c>
      <c r="D301" s="21" t="s">
        <v>2226</v>
      </c>
      <c r="E301" s="21" t="s">
        <v>2222</v>
      </c>
      <c r="F301" s="24">
        <v>0.40328141629416675</v>
      </c>
      <c r="G301" s="21">
        <v>12</v>
      </c>
      <c r="H301" s="17">
        <v>48.3</v>
      </c>
      <c r="I301" s="43" t="s">
        <v>3950</v>
      </c>
      <c r="J301" s="26"/>
      <c r="K301" s="17">
        <f t="shared" si="24"/>
        <v>0</v>
      </c>
      <c r="N301" s="31" t="str">
        <f t="shared" si="25"/>
        <v>-</v>
      </c>
      <c r="O301" s="31" t="str">
        <f t="shared" si="27"/>
        <v>-</v>
      </c>
      <c r="P301" s="35" t="str">
        <f t="shared" si="26"/>
        <v>-</v>
      </c>
      <c r="Q301" s="32" t="str">
        <f t="shared" si="28"/>
        <v>-</v>
      </c>
      <c r="S301" s="32" t="str">
        <f t="shared" si="29"/>
        <v>-</v>
      </c>
    </row>
    <row r="302" spans="1:19" x14ac:dyDescent="0.3">
      <c r="A302" s="45" t="s">
        <v>2365</v>
      </c>
      <c r="B302" s="40" t="s">
        <v>302</v>
      </c>
      <c r="C302" s="41" t="s">
        <v>1622</v>
      </c>
      <c r="D302" s="21" t="s">
        <v>2224</v>
      </c>
      <c r="E302" s="21" t="s">
        <v>2237</v>
      </c>
      <c r="F302" s="24">
        <v>5.0624688428416671E-2</v>
      </c>
      <c r="G302" s="21">
        <v>12</v>
      </c>
      <c r="H302" s="17">
        <v>5.39</v>
      </c>
      <c r="I302" s="43" t="s">
        <v>3950</v>
      </c>
      <c r="J302" s="26"/>
      <c r="K302" s="17">
        <f t="shared" si="24"/>
        <v>0</v>
      </c>
      <c r="N302" s="31" t="str">
        <f t="shared" si="25"/>
        <v>-</v>
      </c>
      <c r="O302" s="31" t="str">
        <f t="shared" si="27"/>
        <v>-</v>
      </c>
      <c r="P302" s="35" t="str">
        <f t="shared" si="26"/>
        <v>-</v>
      </c>
      <c r="Q302" s="32" t="str">
        <f t="shared" si="28"/>
        <v>-</v>
      </c>
      <c r="S302" s="32" t="str">
        <f t="shared" si="29"/>
        <v>-</v>
      </c>
    </row>
    <row r="303" spans="1:19" x14ac:dyDescent="0.3">
      <c r="A303" s="45" t="s">
        <v>2366</v>
      </c>
      <c r="B303" s="40" t="s">
        <v>738</v>
      </c>
      <c r="C303" s="41" t="s">
        <v>1622</v>
      </c>
      <c r="D303" s="21" t="s">
        <v>2227</v>
      </c>
      <c r="E303" s="21" t="s">
        <v>2237</v>
      </c>
      <c r="F303" s="24">
        <v>7.1217782026416682E-2</v>
      </c>
      <c r="G303" s="21">
        <v>12</v>
      </c>
      <c r="H303" s="17">
        <v>10.19</v>
      </c>
      <c r="I303" s="43" t="s">
        <v>3950</v>
      </c>
      <c r="J303" s="26"/>
      <c r="K303" s="17">
        <f t="shared" si="24"/>
        <v>0</v>
      </c>
      <c r="N303" s="31" t="str">
        <f t="shared" si="25"/>
        <v>-</v>
      </c>
      <c r="O303" s="31" t="str">
        <f t="shared" si="27"/>
        <v>-</v>
      </c>
      <c r="P303" s="35" t="str">
        <f t="shared" si="26"/>
        <v>-</v>
      </c>
      <c r="Q303" s="32" t="str">
        <f t="shared" si="28"/>
        <v>-</v>
      </c>
      <c r="S303" s="32" t="str">
        <f t="shared" si="29"/>
        <v>-</v>
      </c>
    </row>
    <row r="304" spans="1:19" x14ac:dyDescent="0.3">
      <c r="A304" s="45" t="s">
        <v>2367</v>
      </c>
      <c r="B304" s="40" t="s">
        <v>486</v>
      </c>
      <c r="C304" s="41" t="s">
        <v>1622</v>
      </c>
      <c r="D304" s="21" t="s">
        <v>2233</v>
      </c>
      <c r="E304" s="21" t="s">
        <v>2237</v>
      </c>
      <c r="F304" s="24">
        <v>0.11969735653837503</v>
      </c>
      <c r="G304" s="21">
        <v>12</v>
      </c>
      <c r="H304" s="17">
        <v>19.5</v>
      </c>
      <c r="I304" s="43" t="s">
        <v>3950</v>
      </c>
      <c r="J304" s="26"/>
      <c r="K304" s="17">
        <f t="shared" si="24"/>
        <v>0</v>
      </c>
      <c r="N304" s="31" t="str">
        <f t="shared" si="25"/>
        <v>-</v>
      </c>
      <c r="O304" s="31" t="str">
        <f t="shared" si="27"/>
        <v>-</v>
      </c>
      <c r="P304" s="35" t="str">
        <f t="shared" si="26"/>
        <v>-</v>
      </c>
      <c r="Q304" s="32" t="str">
        <f t="shared" si="28"/>
        <v>-</v>
      </c>
      <c r="S304" s="32" t="str">
        <f t="shared" si="29"/>
        <v>-</v>
      </c>
    </row>
    <row r="305" spans="1:19" x14ac:dyDescent="0.3">
      <c r="A305" s="45" t="s">
        <v>2368</v>
      </c>
      <c r="B305" s="40" t="s">
        <v>202</v>
      </c>
      <c r="C305" s="41" t="s">
        <v>1623</v>
      </c>
      <c r="D305" s="21" t="s">
        <v>2224</v>
      </c>
      <c r="E305" s="21" t="s">
        <v>2237</v>
      </c>
      <c r="F305" s="24">
        <v>5.0624688428416671E-2</v>
      </c>
      <c r="G305" s="21">
        <v>12</v>
      </c>
      <c r="H305" s="17">
        <v>6.15</v>
      </c>
      <c r="I305" s="43" t="s">
        <v>3950</v>
      </c>
      <c r="J305" s="26"/>
      <c r="K305" s="17">
        <f t="shared" si="24"/>
        <v>0</v>
      </c>
      <c r="N305" s="31" t="str">
        <f t="shared" si="25"/>
        <v>-</v>
      </c>
      <c r="O305" s="31" t="str">
        <f t="shared" si="27"/>
        <v>-</v>
      </c>
      <c r="P305" s="35" t="str">
        <f t="shared" si="26"/>
        <v>-</v>
      </c>
      <c r="Q305" s="32" t="str">
        <f t="shared" si="28"/>
        <v>-</v>
      </c>
      <c r="S305" s="32" t="str">
        <f t="shared" si="29"/>
        <v>-</v>
      </c>
    </row>
    <row r="306" spans="1:19" x14ac:dyDescent="0.3">
      <c r="A306" s="45" t="s">
        <v>2369</v>
      </c>
      <c r="B306" s="40" t="s">
        <v>776</v>
      </c>
      <c r="C306" s="41" t="s">
        <v>1623</v>
      </c>
      <c r="D306" s="21" t="s">
        <v>2227</v>
      </c>
      <c r="E306" s="21" t="s">
        <v>2237</v>
      </c>
      <c r="F306" s="24">
        <v>7.1217782026416682E-2</v>
      </c>
      <c r="G306" s="21">
        <v>12</v>
      </c>
      <c r="H306" s="17">
        <v>11.7</v>
      </c>
      <c r="I306" s="43" t="s">
        <v>3950</v>
      </c>
      <c r="J306" s="26"/>
      <c r="K306" s="17">
        <f t="shared" si="24"/>
        <v>0</v>
      </c>
      <c r="N306" s="31" t="str">
        <f t="shared" si="25"/>
        <v>-</v>
      </c>
      <c r="O306" s="31" t="str">
        <f t="shared" si="27"/>
        <v>-</v>
      </c>
      <c r="P306" s="35" t="str">
        <f t="shared" si="26"/>
        <v>-</v>
      </c>
      <c r="Q306" s="32" t="str">
        <f t="shared" si="28"/>
        <v>-</v>
      </c>
      <c r="S306" s="32" t="str">
        <f t="shared" si="29"/>
        <v>-</v>
      </c>
    </row>
    <row r="307" spans="1:19" x14ac:dyDescent="0.3">
      <c r="A307" s="45" t="s">
        <v>2370</v>
      </c>
      <c r="B307" s="40" t="s">
        <v>280</v>
      </c>
      <c r="C307" s="41" t="s">
        <v>1623</v>
      </c>
      <c r="D307" s="21" t="s">
        <v>2233</v>
      </c>
      <c r="E307" s="21" t="s">
        <v>2237</v>
      </c>
      <c r="F307" s="24">
        <v>0.11969735653837503</v>
      </c>
      <c r="G307" s="21">
        <v>12</v>
      </c>
      <c r="H307" s="17">
        <v>22.35</v>
      </c>
      <c r="I307" s="43" t="s">
        <v>3950</v>
      </c>
      <c r="J307" s="26"/>
      <c r="K307" s="17">
        <f t="shared" si="24"/>
        <v>0</v>
      </c>
      <c r="N307" s="31" t="str">
        <f t="shared" si="25"/>
        <v>-</v>
      </c>
      <c r="O307" s="31" t="str">
        <f t="shared" si="27"/>
        <v>-</v>
      </c>
      <c r="P307" s="35" t="str">
        <f t="shared" si="26"/>
        <v>-</v>
      </c>
      <c r="Q307" s="32" t="str">
        <f t="shared" si="28"/>
        <v>-</v>
      </c>
      <c r="S307" s="32" t="str">
        <f t="shared" si="29"/>
        <v>-</v>
      </c>
    </row>
    <row r="308" spans="1:19" x14ac:dyDescent="0.3">
      <c r="A308" s="45" t="s">
        <v>2371</v>
      </c>
      <c r="B308" s="40" t="s">
        <v>1026</v>
      </c>
      <c r="C308" s="41" t="s">
        <v>1605</v>
      </c>
      <c r="D308" s="21" t="s">
        <v>2227</v>
      </c>
      <c r="E308" s="21" t="s">
        <v>2222</v>
      </c>
      <c r="F308" s="24">
        <v>0.28229699140591669</v>
      </c>
      <c r="G308" s="21">
        <v>12</v>
      </c>
      <c r="H308" s="17">
        <v>56.39</v>
      </c>
      <c r="I308" s="43" t="s">
        <v>3950</v>
      </c>
      <c r="J308" s="26"/>
      <c r="K308" s="17">
        <f t="shared" si="24"/>
        <v>0</v>
      </c>
      <c r="N308" s="31" t="str">
        <f t="shared" si="25"/>
        <v>-</v>
      </c>
      <c r="O308" s="31" t="str">
        <f t="shared" si="27"/>
        <v>-</v>
      </c>
      <c r="P308" s="35" t="str">
        <f t="shared" si="26"/>
        <v>-</v>
      </c>
      <c r="Q308" s="32" t="str">
        <f t="shared" si="28"/>
        <v>-</v>
      </c>
      <c r="S308" s="32" t="str">
        <f t="shared" si="29"/>
        <v>-</v>
      </c>
    </row>
    <row r="309" spans="1:19" x14ac:dyDescent="0.3">
      <c r="A309" s="45" t="s">
        <v>2373</v>
      </c>
      <c r="B309" s="40" t="s">
        <v>210</v>
      </c>
      <c r="C309" s="41" t="s">
        <v>1619</v>
      </c>
      <c r="D309" s="21" t="s">
        <v>2224</v>
      </c>
      <c r="E309" s="21" t="s">
        <v>2222</v>
      </c>
      <c r="F309" s="24">
        <v>4.5476415028916667E-2</v>
      </c>
      <c r="G309" s="21">
        <v>12</v>
      </c>
      <c r="H309" s="17">
        <v>17.100000000000001</v>
      </c>
      <c r="I309" s="43" t="s">
        <v>3950</v>
      </c>
      <c r="J309" s="26"/>
      <c r="K309" s="17">
        <f t="shared" si="24"/>
        <v>0</v>
      </c>
      <c r="N309" s="31" t="str">
        <f t="shared" si="25"/>
        <v>-</v>
      </c>
      <c r="O309" s="31" t="str">
        <f t="shared" si="27"/>
        <v>-</v>
      </c>
      <c r="P309" s="35" t="str">
        <f t="shared" si="26"/>
        <v>-</v>
      </c>
      <c r="Q309" s="32" t="str">
        <f t="shared" si="28"/>
        <v>-</v>
      </c>
      <c r="S309" s="32" t="str">
        <f t="shared" si="29"/>
        <v>-</v>
      </c>
    </row>
    <row r="310" spans="1:19" x14ac:dyDescent="0.3">
      <c r="A310" s="45" t="s">
        <v>2374</v>
      </c>
      <c r="B310" s="40" t="s">
        <v>478</v>
      </c>
      <c r="C310" s="41" t="s">
        <v>1624</v>
      </c>
      <c r="D310" s="21" t="s">
        <v>2223</v>
      </c>
      <c r="E310" s="21" t="s">
        <v>2232</v>
      </c>
      <c r="F310" s="24">
        <v>9.9104262940375012E-2</v>
      </c>
      <c r="G310" s="21">
        <v>12</v>
      </c>
      <c r="H310" s="17">
        <v>7.79</v>
      </c>
      <c r="I310" s="43" t="s">
        <v>3950</v>
      </c>
      <c r="J310" s="26"/>
      <c r="K310" s="17">
        <f t="shared" si="24"/>
        <v>0</v>
      </c>
      <c r="N310" s="31" t="str">
        <f t="shared" si="25"/>
        <v>-</v>
      </c>
      <c r="O310" s="31" t="str">
        <f t="shared" si="27"/>
        <v>-</v>
      </c>
      <c r="P310" s="35" t="str">
        <f t="shared" si="26"/>
        <v>-</v>
      </c>
      <c r="Q310" s="32" t="str">
        <f t="shared" si="28"/>
        <v>-</v>
      </c>
      <c r="S310" s="32" t="str">
        <f t="shared" si="29"/>
        <v>-</v>
      </c>
    </row>
    <row r="311" spans="1:19" x14ac:dyDescent="0.3">
      <c r="A311" s="45" t="s">
        <v>2375</v>
      </c>
      <c r="B311" s="40" t="s">
        <v>1293</v>
      </c>
      <c r="C311" s="41" t="s">
        <v>1624</v>
      </c>
      <c r="D311" s="21" t="s">
        <v>2224</v>
      </c>
      <c r="E311" s="21" t="s">
        <v>2232</v>
      </c>
      <c r="F311" s="24">
        <v>0.17675738671616667</v>
      </c>
      <c r="G311" s="21">
        <v>12</v>
      </c>
      <c r="H311" s="17">
        <v>14.7</v>
      </c>
      <c r="I311" s="43" t="s">
        <v>3950</v>
      </c>
      <c r="J311" s="26"/>
      <c r="K311" s="17">
        <f t="shared" si="24"/>
        <v>0</v>
      </c>
      <c r="N311" s="31" t="str">
        <f t="shared" si="25"/>
        <v>-</v>
      </c>
      <c r="O311" s="31" t="str">
        <f t="shared" si="27"/>
        <v>-</v>
      </c>
      <c r="P311" s="35" t="str">
        <f t="shared" si="26"/>
        <v>-</v>
      </c>
      <c r="Q311" s="32" t="str">
        <f t="shared" si="28"/>
        <v>-</v>
      </c>
      <c r="S311" s="32" t="str">
        <f t="shared" si="29"/>
        <v>-</v>
      </c>
    </row>
    <row r="312" spans="1:19" x14ac:dyDescent="0.3">
      <c r="A312" s="45" t="s">
        <v>2376</v>
      </c>
      <c r="B312" s="40" t="s">
        <v>767</v>
      </c>
      <c r="C312" s="41" t="s">
        <v>1625</v>
      </c>
      <c r="D312" s="21" t="s">
        <v>2227</v>
      </c>
      <c r="E312" s="21" t="s">
        <v>2222</v>
      </c>
      <c r="F312" s="24">
        <v>6.6927554193500008E-2</v>
      </c>
      <c r="G312" s="21">
        <v>12</v>
      </c>
      <c r="H312" s="17">
        <v>11.55</v>
      </c>
      <c r="I312" s="43" t="s">
        <v>3950</v>
      </c>
      <c r="J312" s="26"/>
      <c r="K312" s="17">
        <f t="shared" si="24"/>
        <v>0</v>
      </c>
      <c r="N312" s="31" t="str">
        <f t="shared" si="25"/>
        <v>-</v>
      </c>
      <c r="O312" s="31" t="str">
        <f t="shared" si="27"/>
        <v>-</v>
      </c>
      <c r="P312" s="35" t="str">
        <f t="shared" si="26"/>
        <v>-</v>
      </c>
      <c r="Q312" s="32" t="str">
        <f t="shared" si="28"/>
        <v>-</v>
      </c>
      <c r="S312" s="32" t="str">
        <f t="shared" si="29"/>
        <v>-</v>
      </c>
    </row>
    <row r="313" spans="1:19" x14ac:dyDescent="0.3">
      <c r="A313" s="45" t="s">
        <v>2377</v>
      </c>
      <c r="B313" s="40" t="s">
        <v>809</v>
      </c>
      <c r="C313" s="41" t="s">
        <v>1626</v>
      </c>
      <c r="D313" s="21" t="s">
        <v>2227</v>
      </c>
      <c r="E313" s="21" t="s">
        <v>2222</v>
      </c>
      <c r="F313" s="24">
        <v>6.1779280794000004E-2</v>
      </c>
      <c r="G313" s="21">
        <v>12</v>
      </c>
      <c r="H313" s="17">
        <v>16.5</v>
      </c>
      <c r="I313" s="43" t="s">
        <v>3950</v>
      </c>
      <c r="J313" s="26"/>
      <c r="K313" s="17">
        <f t="shared" si="24"/>
        <v>0</v>
      </c>
      <c r="N313" s="31" t="str">
        <f t="shared" si="25"/>
        <v>-</v>
      </c>
      <c r="O313" s="31" t="str">
        <f t="shared" si="27"/>
        <v>-</v>
      </c>
      <c r="P313" s="35" t="str">
        <f t="shared" si="26"/>
        <v>-</v>
      </c>
      <c r="Q313" s="32" t="str">
        <f t="shared" si="28"/>
        <v>-</v>
      </c>
      <c r="S313" s="32" t="str">
        <f t="shared" si="29"/>
        <v>-</v>
      </c>
    </row>
    <row r="314" spans="1:19" x14ac:dyDescent="0.3">
      <c r="A314" s="45" t="s">
        <v>2378</v>
      </c>
      <c r="B314" s="40" t="s">
        <v>805</v>
      </c>
      <c r="C314" s="41" t="s">
        <v>1627</v>
      </c>
      <c r="D314" s="21" t="s">
        <v>2223</v>
      </c>
      <c r="E314" s="21" t="s">
        <v>2222</v>
      </c>
      <c r="F314" s="24">
        <v>4.0328141629416663E-2</v>
      </c>
      <c r="G314" s="21">
        <v>12</v>
      </c>
      <c r="H314" s="17">
        <v>7.5</v>
      </c>
      <c r="I314" s="43" t="s">
        <v>3950</v>
      </c>
      <c r="J314" s="26"/>
      <c r="K314" s="17">
        <f t="shared" si="24"/>
        <v>0</v>
      </c>
      <c r="N314" s="31" t="str">
        <f t="shared" si="25"/>
        <v>-</v>
      </c>
      <c r="O314" s="31" t="str">
        <f t="shared" si="27"/>
        <v>-</v>
      </c>
      <c r="P314" s="35" t="str">
        <f t="shared" si="26"/>
        <v>-</v>
      </c>
      <c r="Q314" s="32" t="str">
        <f t="shared" si="28"/>
        <v>-</v>
      </c>
      <c r="S314" s="32" t="str">
        <f t="shared" si="29"/>
        <v>-</v>
      </c>
    </row>
    <row r="315" spans="1:19" x14ac:dyDescent="0.3">
      <c r="A315" s="45" t="s">
        <v>2379</v>
      </c>
      <c r="B315" s="40" t="s">
        <v>473</v>
      </c>
      <c r="C315" s="41" t="s">
        <v>1627</v>
      </c>
      <c r="D315" s="21" t="s">
        <v>2224</v>
      </c>
      <c r="E315" s="21" t="s">
        <v>2222</v>
      </c>
      <c r="F315" s="24">
        <v>5.0624688428416671E-2</v>
      </c>
      <c r="G315" s="21">
        <v>12</v>
      </c>
      <c r="H315" s="17">
        <v>13.5</v>
      </c>
      <c r="I315" s="43" t="s">
        <v>3950</v>
      </c>
      <c r="J315" s="26"/>
      <c r="K315" s="17">
        <f t="shared" si="24"/>
        <v>0</v>
      </c>
      <c r="N315" s="31" t="str">
        <f t="shared" si="25"/>
        <v>-</v>
      </c>
      <c r="O315" s="31" t="str">
        <f t="shared" si="27"/>
        <v>-</v>
      </c>
      <c r="P315" s="35" t="str">
        <f t="shared" si="26"/>
        <v>-</v>
      </c>
      <c r="Q315" s="32" t="str">
        <f t="shared" si="28"/>
        <v>-</v>
      </c>
      <c r="S315" s="32" t="str">
        <f t="shared" si="29"/>
        <v>-</v>
      </c>
    </row>
    <row r="316" spans="1:19" x14ac:dyDescent="0.3">
      <c r="A316" s="45" t="s">
        <v>2380</v>
      </c>
      <c r="B316" s="40" t="s">
        <v>1294</v>
      </c>
      <c r="C316" s="41" t="s">
        <v>1624</v>
      </c>
      <c r="D316" s="21" t="s">
        <v>2227</v>
      </c>
      <c r="E316" s="21" t="s">
        <v>2232</v>
      </c>
      <c r="F316" s="24">
        <v>0.32605731530166665</v>
      </c>
      <c r="G316" s="21">
        <v>12</v>
      </c>
      <c r="H316" s="17">
        <v>21.9</v>
      </c>
      <c r="I316" s="43" t="s">
        <v>3950</v>
      </c>
      <c r="J316" s="26"/>
      <c r="K316" s="17">
        <f t="shared" si="24"/>
        <v>0</v>
      </c>
      <c r="N316" s="31" t="str">
        <f t="shared" si="25"/>
        <v>-</v>
      </c>
      <c r="O316" s="31" t="str">
        <f t="shared" si="27"/>
        <v>-</v>
      </c>
      <c r="P316" s="35" t="str">
        <f t="shared" si="26"/>
        <v>-</v>
      </c>
      <c r="Q316" s="32" t="str">
        <f t="shared" si="28"/>
        <v>-</v>
      </c>
      <c r="S316" s="32" t="str">
        <f t="shared" si="29"/>
        <v>-</v>
      </c>
    </row>
    <row r="317" spans="1:19" x14ac:dyDescent="0.3">
      <c r="A317" s="45" t="s">
        <v>2381</v>
      </c>
      <c r="B317" s="40" t="s">
        <v>1039</v>
      </c>
      <c r="C317" s="41" t="s">
        <v>1628</v>
      </c>
      <c r="D317" s="21" t="s">
        <v>2227</v>
      </c>
      <c r="E317" s="21" t="s">
        <v>2222</v>
      </c>
      <c r="F317" s="24">
        <v>8.2372374392000014E-2</v>
      </c>
      <c r="G317" s="21">
        <v>12</v>
      </c>
      <c r="H317" s="17">
        <v>13.19</v>
      </c>
      <c r="I317" s="43" t="s">
        <v>3950</v>
      </c>
      <c r="J317" s="26"/>
      <c r="K317" s="17">
        <f t="shared" si="24"/>
        <v>0</v>
      </c>
      <c r="N317" s="31" t="str">
        <f t="shared" si="25"/>
        <v>-</v>
      </c>
      <c r="O317" s="31" t="str">
        <f t="shared" si="27"/>
        <v>-</v>
      </c>
      <c r="P317" s="35" t="str">
        <f t="shared" si="26"/>
        <v>-</v>
      </c>
      <c r="Q317" s="32" t="str">
        <f t="shared" si="28"/>
        <v>-</v>
      </c>
      <c r="S317" s="32" t="str">
        <f t="shared" si="29"/>
        <v>-</v>
      </c>
    </row>
    <row r="318" spans="1:19" x14ac:dyDescent="0.3">
      <c r="A318" s="45" t="s">
        <v>2382</v>
      </c>
      <c r="B318" s="40" t="s">
        <v>807</v>
      </c>
      <c r="C318" s="41" t="s">
        <v>1629</v>
      </c>
      <c r="D318" s="21" t="s">
        <v>2227</v>
      </c>
      <c r="E318" s="21" t="s">
        <v>2232</v>
      </c>
      <c r="F318" s="24">
        <v>0.32090904190216674</v>
      </c>
      <c r="G318" s="21">
        <v>12</v>
      </c>
      <c r="H318" s="17">
        <v>39.590000000000003</v>
      </c>
      <c r="I318" s="43" t="s">
        <v>3950</v>
      </c>
      <c r="J318" s="26"/>
      <c r="K318" s="17">
        <f t="shared" si="24"/>
        <v>0</v>
      </c>
      <c r="N318" s="31" t="str">
        <f t="shared" si="25"/>
        <v>-</v>
      </c>
      <c r="O318" s="31" t="str">
        <f t="shared" si="27"/>
        <v>-</v>
      </c>
      <c r="P318" s="35" t="str">
        <f t="shared" si="26"/>
        <v>-</v>
      </c>
      <c r="Q318" s="32" t="str">
        <f t="shared" si="28"/>
        <v>-</v>
      </c>
      <c r="S318" s="32" t="str">
        <f t="shared" si="29"/>
        <v>-</v>
      </c>
    </row>
    <row r="319" spans="1:19" x14ac:dyDescent="0.3">
      <c r="A319" s="45" t="s">
        <v>2383</v>
      </c>
      <c r="B319" s="40" t="s">
        <v>505</v>
      </c>
      <c r="C319" s="41" t="s">
        <v>1630</v>
      </c>
      <c r="D319" s="21" t="s">
        <v>2224</v>
      </c>
      <c r="E319" s="21" t="s">
        <v>2238</v>
      </c>
      <c r="F319" s="24">
        <v>5.0624688428416671E-2</v>
      </c>
      <c r="G319" s="21">
        <v>12</v>
      </c>
      <c r="H319" s="17">
        <v>5.55</v>
      </c>
      <c r="I319" s="43" t="s">
        <v>3950</v>
      </c>
      <c r="J319" s="26"/>
      <c r="K319" s="17">
        <f t="shared" si="24"/>
        <v>0</v>
      </c>
      <c r="N319" s="31" t="str">
        <f t="shared" si="25"/>
        <v>-</v>
      </c>
      <c r="O319" s="31" t="str">
        <f t="shared" si="27"/>
        <v>-</v>
      </c>
      <c r="P319" s="35" t="str">
        <f t="shared" si="26"/>
        <v>-</v>
      </c>
      <c r="Q319" s="32" t="str">
        <f t="shared" si="28"/>
        <v>-</v>
      </c>
      <c r="S319" s="32" t="str">
        <f t="shared" si="29"/>
        <v>-</v>
      </c>
    </row>
    <row r="320" spans="1:19" x14ac:dyDescent="0.3">
      <c r="A320" s="45" t="s">
        <v>2384</v>
      </c>
      <c r="B320" s="40" t="s">
        <v>474</v>
      </c>
      <c r="C320" s="41" t="s">
        <v>1630</v>
      </c>
      <c r="D320" s="21" t="s">
        <v>2227</v>
      </c>
      <c r="E320" s="21" t="s">
        <v>2238</v>
      </c>
      <c r="F320" s="24">
        <v>7.6366055425916665E-2</v>
      </c>
      <c r="G320" s="21">
        <v>12</v>
      </c>
      <c r="H320" s="17">
        <v>10.19</v>
      </c>
      <c r="I320" s="43" t="s">
        <v>3950</v>
      </c>
      <c r="J320" s="26"/>
      <c r="K320" s="17">
        <f t="shared" si="24"/>
        <v>0</v>
      </c>
      <c r="N320" s="31" t="str">
        <f t="shared" si="25"/>
        <v>-</v>
      </c>
      <c r="O320" s="31" t="str">
        <f t="shared" si="27"/>
        <v>-</v>
      </c>
      <c r="P320" s="35" t="str">
        <f t="shared" si="26"/>
        <v>-</v>
      </c>
      <c r="Q320" s="32" t="str">
        <f t="shared" si="28"/>
        <v>-</v>
      </c>
      <c r="S320" s="32" t="str">
        <f t="shared" si="29"/>
        <v>-</v>
      </c>
    </row>
    <row r="321" spans="1:19" x14ac:dyDescent="0.3">
      <c r="A321" s="45" t="s">
        <v>2385</v>
      </c>
      <c r="B321" s="40" t="s">
        <v>786</v>
      </c>
      <c r="C321" s="41" t="s">
        <v>1631</v>
      </c>
      <c r="D321" s="21" t="s">
        <v>2230</v>
      </c>
      <c r="E321" s="21" t="s">
        <v>2229</v>
      </c>
      <c r="F321" s="24">
        <v>0.14929992858550001</v>
      </c>
      <c r="G321" s="21">
        <v>12</v>
      </c>
      <c r="H321" s="17">
        <v>7.5</v>
      </c>
      <c r="I321" s="43" t="s">
        <v>3950</v>
      </c>
      <c r="J321" s="26"/>
      <c r="K321" s="17">
        <f t="shared" ref="K321:K382" si="30">J321*H321</f>
        <v>0</v>
      </c>
      <c r="N321" s="31" t="str">
        <f t="shared" si="25"/>
        <v>-</v>
      </c>
      <c r="O321" s="31" t="str">
        <f t="shared" si="27"/>
        <v>-</v>
      </c>
      <c r="P321" s="35" t="str">
        <f t="shared" si="26"/>
        <v>-</v>
      </c>
      <c r="Q321" s="32" t="str">
        <f t="shared" si="28"/>
        <v>-</v>
      </c>
      <c r="S321" s="32" t="str">
        <f t="shared" si="29"/>
        <v>-</v>
      </c>
    </row>
    <row r="322" spans="1:19" x14ac:dyDescent="0.3">
      <c r="A322" s="45" t="s">
        <v>2386</v>
      </c>
      <c r="B322" s="40" t="s">
        <v>1305</v>
      </c>
      <c r="C322" s="41" t="s">
        <v>1631</v>
      </c>
      <c r="D322" s="21" t="s">
        <v>2235</v>
      </c>
      <c r="E322" s="21" t="s">
        <v>2229</v>
      </c>
      <c r="F322" s="24">
        <v>0.29345158377150005</v>
      </c>
      <c r="G322" s="21">
        <v>12</v>
      </c>
      <c r="H322" s="17">
        <v>13.95</v>
      </c>
      <c r="I322" s="43" t="s">
        <v>3950</v>
      </c>
      <c r="J322" s="26"/>
      <c r="K322" s="17">
        <f t="shared" si="30"/>
        <v>0</v>
      </c>
      <c r="N322" s="31" t="str">
        <f t="shared" ref="N322:N384" si="31">IFERROR(IF($N$2*F322=0, "-", $N$2*F322), "-")</f>
        <v>-</v>
      </c>
      <c r="O322" s="31" t="str">
        <f t="shared" si="27"/>
        <v>-</v>
      </c>
      <c r="P322" s="35" t="str">
        <f t="shared" ref="P322:P384" si="32">IF(J322&gt;0,J322*F322, "-")</f>
        <v>-</v>
      </c>
      <c r="Q322" s="32" t="str">
        <f t="shared" ref="Q322:Q383" si="33">IFERROR(IF($N$2&gt;0, $N$2*P322, "-"), "-")</f>
        <v>-</v>
      </c>
      <c r="S322" s="32" t="str">
        <f t="shared" ref="S322:S383" si="34">IFERROR(IF(Q322+K322=0, "-", IF(Q322&gt;0, Q322+K322, "-")), "-")</f>
        <v>-</v>
      </c>
    </row>
    <row r="323" spans="1:19" x14ac:dyDescent="0.3">
      <c r="A323" s="45" t="s">
        <v>2387</v>
      </c>
      <c r="B323" s="40" t="s">
        <v>496</v>
      </c>
      <c r="C323" s="41" t="s">
        <v>1632</v>
      </c>
      <c r="D323" s="21" t="s">
        <v>2239</v>
      </c>
      <c r="E323" s="21" t="s">
        <v>2222</v>
      </c>
      <c r="F323" s="24">
        <v>5.5772961827916676E-2</v>
      </c>
      <c r="G323" s="21">
        <v>12</v>
      </c>
      <c r="H323" s="17">
        <v>8.85</v>
      </c>
      <c r="I323" s="43" t="s">
        <v>3950</v>
      </c>
      <c r="J323" s="26"/>
      <c r="K323" s="17">
        <f t="shared" si="30"/>
        <v>0</v>
      </c>
      <c r="N323" s="31" t="str">
        <f t="shared" si="31"/>
        <v>-</v>
      </c>
      <c r="O323" s="31" t="str">
        <f t="shared" ref="O323:O385" si="35">IFERROR(IF(N323&gt;0,H323+N323,"-"),"-")</f>
        <v>-</v>
      </c>
      <c r="P323" s="35" t="str">
        <f t="shared" si="32"/>
        <v>-</v>
      </c>
      <c r="Q323" s="32" t="str">
        <f t="shared" si="33"/>
        <v>-</v>
      </c>
      <c r="S323" s="32" t="str">
        <f t="shared" si="34"/>
        <v>-</v>
      </c>
    </row>
    <row r="324" spans="1:19" x14ac:dyDescent="0.3">
      <c r="A324" s="45" t="s">
        <v>2388</v>
      </c>
      <c r="B324" s="40" t="s">
        <v>191</v>
      </c>
      <c r="C324" s="41" t="s">
        <v>1632</v>
      </c>
      <c r="D324" s="21" t="s">
        <v>2221</v>
      </c>
      <c r="E324" s="21" t="s">
        <v>2222</v>
      </c>
      <c r="F324" s="24">
        <v>7.2075827592999991E-2</v>
      </c>
      <c r="G324" s="21">
        <v>12</v>
      </c>
      <c r="H324" s="17">
        <v>16.79</v>
      </c>
      <c r="I324" s="43" t="s">
        <v>3950</v>
      </c>
      <c r="J324" s="26"/>
      <c r="K324" s="17">
        <f t="shared" si="30"/>
        <v>0</v>
      </c>
      <c r="N324" s="31" t="str">
        <f t="shared" si="31"/>
        <v>-</v>
      </c>
      <c r="O324" s="31" t="str">
        <f t="shared" si="35"/>
        <v>-</v>
      </c>
      <c r="P324" s="35" t="str">
        <f t="shared" si="32"/>
        <v>-</v>
      </c>
      <c r="Q324" s="32" t="str">
        <f t="shared" si="33"/>
        <v>-</v>
      </c>
      <c r="S324" s="32" t="str">
        <f t="shared" si="34"/>
        <v>-</v>
      </c>
    </row>
    <row r="325" spans="1:19" x14ac:dyDescent="0.3">
      <c r="A325" s="45" t="s">
        <v>2389</v>
      </c>
      <c r="B325" s="40" t="s">
        <v>801</v>
      </c>
      <c r="C325" s="41" t="s">
        <v>1633</v>
      </c>
      <c r="D325" s="21" t="s">
        <v>2235</v>
      </c>
      <c r="E325" s="21" t="s">
        <v>2240</v>
      </c>
      <c r="F325" s="24">
        <v>0.18705393351516672</v>
      </c>
      <c r="G325" s="21">
        <v>12</v>
      </c>
      <c r="H325" s="17">
        <v>9.4499999999999993</v>
      </c>
      <c r="I325" s="43" t="s">
        <v>3950</v>
      </c>
      <c r="J325" s="26"/>
      <c r="K325" s="17">
        <f t="shared" si="30"/>
        <v>0</v>
      </c>
      <c r="N325" s="31" t="str">
        <f t="shared" si="31"/>
        <v>-</v>
      </c>
      <c r="O325" s="31" t="str">
        <f t="shared" si="35"/>
        <v>-</v>
      </c>
      <c r="P325" s="35" t="str">
        <f t="shared" si="32"/>
        <v>-</v>
      </c>
      <c r="Q325" s="32" t="str">
        <f t="shared" si="33"/>
        <v>-</v>
      </c>
      <c r="S325" s="32" t="str">
        <f t="shared" si="34"/>
        <v>-</v>
      </c>
    </row>
    <row r="326" spans="1:19" x14ac:dyDescent="0.3">
      <c r="A326" s="45" t="s">
        <v>2390</v>
      </c>
      <c r="B326" s="40" t="s">
        <v>16</v>
      </c>
      <c r="C326" s="41" t="s">
        <v>1633</v>
      </c>
      <c r="D326" s="21" t="s">
        <v>2236</v>
      </c>
      <c r="E326" s="21" t="s">
        <v>2240</v>
      </c>
      <c r="F326" s="24">
        <v>0.33635386210066676</v>
      </c>
      <c r="G326" s="21">
        <v>12</v>
      </c>
      <c r="H326" s="17">
        <v>17.989999999999998</v>
      </c>
      <c r="I326" s="43" t="s">
        <v>3950</v>
      </c>
      <c r="J326" s="26"/>
      <c r="K326" s="17">
        <f t="shared" si="30"/>
        <v>0</v>
      </c>
      <c r="N326" s="31" t="str">
        <f t="shared" si="31"/>
        <v>-</v>
      </c>
      <c r="O326" s="31" t="str">
        <f t="shared" si="35"/>
        <v>-</v>
      </c>
      <c r="P326" s="35" t="str">
        <f t="shared" si="32"/>
        <v>-</v>
      </c>
      <c r="Q326" s="32" t="str">
        <f t="shared" si="33"/>
        <v>-</v>
      </c>
      <c r="S326" s="32" t="str">
        <f t="shared" si="34"/>
        <v>-</v>
      </c>
    </row>
    <row r="327" spans="1:19" x14ac:dyDescent="0.3">
      <c r="A327" s="45" t="s">
        <v>2391</v>
      </c>
      <c r="B327" s="40" t="s">
        <v>1393</v>
      </c>
      <c r="C327" s="41" t="s">
        <v>1633</v>
      </c>
      <c r="D327" s="21" t="s">
        <v>2241</v>
      </c>
      <c r="E327" s="21" t="s">
        <v>2240</v>
      </c>
      <c r="F327" s="24">
        <v>0.59205144094250006</v>
      </c>
      <c r="G327" s="21">
        <v>12</v>
      </c>
      <c r="H327" s="17">
        <v>34.79</v>
      </c>
      <c r="I327" s="43" t="s">
        <v>3950</v>
      </c>
      <c r="J327" s="26"/>
      <c r="K327" s="17">
        <f t="shared" si="30"/>
        <v>0</v>
      </c>
      <c r="N327" s="31" t="str">
        <f t="shared" si="31"/>
        <v>-</v>
      </c>
      <c r="O327" s="31" t="str">
        <f t="shared" si="35"/>
        <v>-</v>
      </c>
      <c r="P327" s="35" t="str">
        <f t="shared" si="32"/>
        <v>-</v>
      </c>
      <c r="Q327" s="32" t="str">
        <f t="shared" si="33"/>
        <v>-</v>
      </c>
      <c r="S327" s="32" t="str">
        <f t="shared" si="34"/>
        <v>-</v>
      </c>
    </row>
    <row r="328" spans="1:19" x14ac:dyDescent="0.3">
      <c r="A328" s="45" t="s">
        <v>2392</v>
      </c>
      <c r="B328" s="40" t="s">
        <v>758</v>
      </c>
      <c r="C328" s="41" t="s">
        <v>1634</v>
      </c>
      <c r="D328" s="21" t="s">
        <v>2224</v>
      </c>
      <c r="E328" s="21" t="s">
        <v>2222</v>
      </c>
      <c r="F328" s="24">
        <v>9.2668921191000023E-2</v>
      </c>
      <c r="G328" s="21">
        <v>12</v>
      </c>
      <c r="H328" s="17">
        <v>10.95</v>
      </c>
      <c r="I328" s="43" t="s">
        <v>3950</v>
      </c>
      <c r="J328" s="26"/>
      <c r="K328" s="17">
        <f t="shared" si="30"/>
        <v>0</v>
      </c>
      <c r="N328" s="31" t="str">
        <f t="shared" si="31"/>
        <v>-</v>
      </c>
      <c r="O328" s="31" t="str">
        <f t="shared" si="35"/>
        <v>-</v>
      </c>
      <c r="P328" s="35" t="str">
        <f t="shared" si="32"/>
        <v>-</v>
      </c>
      <c r="Q328" s="32" t="str">
        <f t="shared" si="33"/>
        <v>-</v>
      </c>
      <c r="S328" s="32" t="str">
        <f t="shared" si="34"/>
        <v>-</v>
      </c>
    </row>
    <row r="329" spans="1:19" x14ac:dyDescent="0.3">
      <c r="A329" s="45" t="s">
        <v>2393</v>
      </c>
      <c r="B329" s="40" t="s">
        <v>827</v>
      </c>
      <c r="C329" s="41" t="s">
        <v>1634</v>
      </c>
      <c r="D329" s="21" t="s">
        <v>2227</v>
      </c>
      <c r="E329" s="21" t="s">
        <v>2222</v>
      </c>
      <c r="F329" s="24">
        <v>0.16388670321741669</v>
      </c>
      <c r="G329" s="21">
        <v>12</v>
      </c>
      <c r="H329" s="17">
        <v>20.85</v>
      </c>
      <c r="I329" s="43" t="s">
        <v>3950</v>
      </c>
      <c r="J329" s="26"/>
      <c r="K329" s="17">
        <f t="shared" si="30"/>
        <v>0</v>
      </c>
      <c r="N329" s="31" t="str">
        <f t="shared" si="31"/>
        <v>-</v>
      </c>
      <c r="O329" s="31" t="str">
        <f t="shared" si="35"/>
        <v>-</v>
      </c>
      <c r="P329" s="35" t="str">
        <f t="shared" si="32"/>
        <v>-</v>
      </c>
      <c r="Q329" s="32" t="str">
        <f t="shared" si="33"/>
        <v>-</v>
      </c>
      <c r="S329" s="32" t="str">
        <f t="shared" si="34"/>
        <v>-</v>
      </c>
    </row>
    <row r="330" spans="1:19" x14ac:dyDescent="0.3">
      <c r="A330" s="45" t="s">
        <v>2394</v>
      </c>
      <c r="B330" s="40" t="s">
        <v>1493</v>
      </c>
      <c r="C330" s="41" t="s">
        <v>1635</v>
      </c>
      <c r="D330" s="21" t="s">
        <v>2227</v>
      </c>
      <c r="E330" s="21" t="s">
        <v>2222</v>
      </c>
      <c r="F330" s="24">
        <v>0.24969125987575003</v>
      </c>
      <c r="G330" s="21">
        <v>12</v>
      </c>
      <c r="H330" s="17">
        <v>43.19</v>
      </c>
      <c r="I330" s="43" t="s">
        <v>3950</v>
      </c>
      <c r="J330" s="26"/>
      <c r="K330" s="17">
        <f t="shared" si="30"/>
        <v>0</v>
      </c>
      <c r="N330" s="31" t="str">
        <f t="shared" si="31"/>
        <v>-</v>
      </c>
      <c r="O330" s="31" t="str">
        <f t="shared" si="35"/>
        <v>-</v>
      </c>
      <c r="P330" s="35" t="str">
        <f t="shared" si="32"/>
        <v>-</v>
      </c>
      <c r="Q330" s="32" t="str">
        <f t="shared" si="33"/>
        <v>-</v>
      </c>
      <c r="S330" s="32" t="str">
        <f t="shared" si="34"/>
        <v>-</v>
      </c>
    </row>
    <row r="331" spans="1:19" x14ac:dyDescent="0.3">
      <c r="A331" s="45" t="s">
        <v>2395</v>
      </c>
      <c r="B331" s="40" t="s">
        <v>562</v>
      </c>
      <c r="C331" s="41" t="s">
        <v>1636</v>
      </c>
      <c r="D331" s="21" t="s">
        <v>2227</v>
      </c>
      <c r="E331" s="21" t="s">
        <v>2238</v>
      </c>
      <c r="F331" s="24">
        <v>0.12484562993787501</v>
      </c>
      <c r="G331" s="21">
        <v>12</v>
      </c>
      <c r="H331" s="17">
        <v>35.99</v>
      </c>
      <c r="I331" s="43" t="s">
        <v>3950</v>
      </c>
      <c r="J331" s="26"/>
      <c r="K331" s="17">
        <f t="shared" si="30"/>
        <v>0</v>
      </c>
      <c r="N331" s="31" t="str">
        <f t="shared" si="31"/>
        <v>-</v>
      </c>
      <c r="O331" s="31" t="str">
        <f t="shared" si="35"/>
        <v>-</v>
      </c>
      <c r="P331" s="35" t="str">
        <f t="shared" si="32"/>
        <v>-</v>
      </c>
      <c r="Q331" s="32" t="str">
        <f t="shared" si="33"/>
        <v>-</v>
      </c>
      <c r="S331" s="32" t="str">
        <f t="shared" si="34"/>
        <v>-</v>
      </c>
    </row>
    <row r="332" spans="1:19" x14ac:dyDescent="0.3">
      <c r="A332" s="45" t="s">
        <v>2396</v>
      </c>
      <c r="B332" s="40" t="s">
        <v>203</v>
      </c>
      <c r="C332" s="41" t="s">
        <v>1637</v>
      </c>
      <c r="D332" s="21" t="s">
        <v>2242</v>
      </c>
      <c r="E332" s="21" t="s">
        <v>2222</v>
      </c>
      <c r="F332" s="24">
        <v>0.28744526480541666</v>
      </c>
      <c r="G332" s="21">
        <v>12</v>
      </c>
      <c r="H332" s="17">
        <v>46.19</v>
      </c>
      <c r="I332" s="43" t="s">
        <v>3950</v>
      </c>
      <c r="J332" s="26"/>
      <c r="K332" s="17">
        <f t="shared" si="30"/>
        <v>0</v>
      </c>
      <c r="N332" s="31" t="str">
        <f t="shared" si="31"/>
        <v>-</v>
      </c>
      <c r="O332" s="31" t="str">
        <f t="shared" si="35"/>
        <v>-</v>
      </c>
      <c r="P332" s="35" t="str">
        <f t="shared" si="32"/>
        <v>-</v>
      </c>
      <c r="Q332" s="32" t="str">
        <f t="shared" si="33"/>
        <v>-</v>
      </c>
      <c r="S332" s="32" t="str">
        <f t="shared" si="34"/>
        <v>-</v>
      </c>
    </row>
    <row r="333" spans="1:19" x14ac:dyDescent="0.3">
      <c r="A333" s="45" t="s">
        <v>2397</v>
      </c>
      <c r="B333" s="40" t="s">
        <v>213</v>
      </c>
      <c r="C333" s="41" t="s">
        <v>1638</v>
      </c>
      <c r="D333" s="21" t="s">
        <v>2221</v>
      </c>
      <c r="E333" s="21" t="s">
        <v>2243</v>
      </c>
      <c r="F333" s="24">
        <v>0.16646083991716668</v>
      </c>
      <c r="G333" s="21">
        <v>12</v>
      </c>
      <c r="H333" s="17">
        <v>5.99</v>
      </c>
      <c r="I333" s="43" t="s">
        <v>3950</v>
      </c>
      <c r="J333" s="26"/>
      <c r="K333" s="17">
        <f t="shared" si="30"/>
        <v>0</v>
      </c>
      <c r="N333" s="31" t="str">
        <f t="shared" si="31"/>
        <v>-</v>
      </c>
      <c r="O333" s="31" t="str">
        <f t="shared" si="35"/>
        <v>-</v>
      </c>
      <c r="P333" s="35" t="str">
        <f t="shared" si="32"/>
        <v>-</v>
      </c>
      <c r="Q333" s="32" t="str">
        <f t="shared" si="33"/>
        <v>-</v>
      </c>
      <c r="S333" s="32" t="str">
        <f t="shared" si="34"/>
        <v>-</v>
      </c>
    </row>
    <row r="334" spans="1:19" x14ac:dyDescent="0.3">
      <c r="A334" s="45" t="s">
        <v>2400</v>
      </c>
      <c r="B334" s="40" t="s">
        <v>0</v>
      </c>
      <c r="C334" s="41" t="s">
        <v>1611</v>
      </c>
      <c r="D334" s="21" t="s">
        <v>2227</v>
      </c>
      <c r="E334" s="21" t="s">
        <v>2222</v>
      </c>
      <c r="F334" s="24">
        <v>0.26685217120741672</v>
      </c>
      <c r="G334" s="21">
        <v>12</v>
      </c>
      <c r="H334" s="17">
        <v>40.950000000000003</v>
      </c>
      <c r="I334" s="43" t="s">
        <v>3950</v>
      </c>
      <c r="J334" s="26"/>
      <c r="K334" s="17">
        <f t="shared" si="30"/>
        <v>0</v>
      </c>
      <c r="N334" s="31" t="str">
        <f t="shared" si="31"/>
        <v>-</v>
      </c>
      <c r="O334" s="31" t="str">
        <f t="shared" si="35"/>
        <v>-</v>
      </c>
      <c r="P334" s="35" t="str">
        <f t="shared" si="32"/>
        <v>-</v>
      </c>
      <c r="Q334" s="32" t="str">
        <f t="shared" si="33"/>
        <v>-</v>
      </c>
      <c r="S334" s="32" t="str">
        <f t="shared" si="34"/>
        <v>-</v>
      </c>
    </row>
    <row r="335" spans="1:19" x14ac:dyDescent="0.3">
      <c r="A335" s="45" t="s">
        <v>2401</v>
      </c>
      <c r="B335" s="40" t="s">
        <v>83</v>
      </c>
      <c r="C335" s="41" t="s">
        <v>1641</v>
      </c>
      <c r="D335" s="21" t="s">
        <v>2224</v>
      </c>
      <c r="E335" s="21" t="s">
        <v>2234</v>
      </c>
      <c r="F335" s="24">
        <v>9.5243057890750007E-2</v>
      </c>
      <c r="G335" s="21">
        <v>12</v>
      </c>
      <c r="H335" s="17">
        <v>8.1</v>
      </c>
      <c r="I335" s="43" t="s">
        <v>3950</v>
      </c>
      <c r="J335" s="26"/>
      <c r="K335" s="17">
        <f t="shared" si="30"/>
        <v>0</v>
      </c>
      <c r="N335" s="31" t="str">
        <f t="shared" si="31"/>
        <v>-</v>
      </c>
      <c r="O335" s="31" t="str">
        <f t="shared" si="35"/>
        <v>-</v>
      </c>
      <c r="P335" s="35" t="str">
        <f t="shared" si="32"/>
        <v>-</v>
      </c>
      <c r="Q335" s="32" t="str">
        <f t="shared" si="33"/>
        <v>-</v>
      </c>
      <c r="S335" s="32" t="str">
        <f t="shared" si="34"/>
        <v>-</v>
      </c>
    </row>
    <row r="336" spans="1:19" x14ac:dyDescent="0.3">
      <c r="A336" s="45" t="s">
        <v>2403</v>
      </c>
      <c r="B336" s="40" t="s">
        <v>1106</v>
      </c>
      <c r="C336" s="41" t="s">
        <v>1641</v>
      </c>
      <c r="D336" s="21" t="s">
        <v>2224</v>
      </c>
      <c r="E336" s="21" t="s">
        <v>2222</v>
      </c>
      <c r="F336" s="24">
        <v>0.11969735653837503</v>
      </c>
      <c r="G336" s="21">
        <v>12</v>
      </c>
      <c r="H336" s="17">
        <v>8.1</v>
      </c>
      <c r="I336" s="43" t="s">
        <v>3950</v>
      </c>
      <c r="J336" s="26"/>
      <c r="K336" s="17">
        <f t="shared" si="30"/>
        <v>0</v>
      </c>
      <c r="N336" s="31" t="str">
        <f t="shared" si="31"/>
        <v>-</v>
      </c>
      <c r="O336" s="31" t="str">
        <f t="shared" si="35"/>
        <v>-</v>
      </c>
      <c r="P336" s="35" t="str">
        <f t="shared" si="32"/>
        <v>-</v>
      </c>
      <c r="Q336" s="32" t="str">
        <f t="shared" si="33"/>
        <v>-</v>
      </c>
      <c r="S336" s="32" t="str">
        <f t="shared" si="34"/>
        <v>-</v>
      </c>
    </row>
    <row r="337" spans="1:19" x14ac:dyDescent="0.3">
      <c r="A337" s="45" t="s">
        <v>2404</v>
      </c>
      <c r="B337" s="40" t="s">
        <v>1446</v>
      </c>
      <c r="C337" s="41" t="s">
        <v>1641</v>
      </c>
      <c r="D337" s="21" t="s">
        <v>2227</v>
      </c>
      <c r="E337" s="21" t="s">
        <v>2222</v>
      </c>
      <c r="F337" s="24">
        <v>0.21794357391216668</v>
      </c>
      <c r="G337" s="21">
        <v>12</v>
      </c>
      <c r="H337" s="17">
        <v>15.3</v>
      </c>
      <c r="I337" s="43" t="s">
        <v>3950</v>
      </c>
      <c r="J337" s="26"/>
      <c r="K337" s="17">
        <f t="shared" si="30"/>
        <v>0</v>
      </c>
      <c r="N337" s="31" t="str">
        <f t="shared" si="31"/>
        <v>-</v>
      </c>
      <c r="O337" s="31" t="str">
        <f t="shared" si="35"/>
        <v>-</v>
      </c>
      <c r="P337" s="35" t="str">
        <f t="shared" si="32"/>
        <v>-</v>
      </c>
      <c r="Q337" s="32" t="str">
        <f t="shared" si="33"/>
        <v>-</v>
      </c>
      <c r="S337" s="32" t="str">
        <f t="shared" si="34"/>
        <v>-</v>
      </c>
    </row>
    <row r="338" spans="1:19" x14ac:dyDescent="0.3">
      <c r="A338" s="45" t="s">
        <v>2406</v>
      </c>
      <c r="B338" s="40" t="s">
        <v>145</v>
      </c>
      <c r="C338" s="41" t="s">
        <v>1642</v>
      </c>
      <c r="D338" s="21" t="s">
        <v>2224</v>
      </c>
      <c r="E338" s="21" t="s">
        <v>2234</v>
      </c>
      <c r="F338" s="24">
        <v>7.8511169342374995E-2</v>
      </c>
      <c r="G338" s="21">
        <v>12</v>
      </c>
      <c r="H338" s="17">
        <v>7.35</v>
      </c>
      <c r="I338" s="43" t="s">
        <v>3950</v>
      </c>
      <c r="J338" s="26"/>
      <c r="K338" s="17">
        <f t="shared" si="30"/>
        <v>0</v>
      </c>
      <c r="N338" s="31" t="str">
        <f t="shared" si="31"/>
        <v>-</v>
      </c>
      <c r="O338" s="31" t="str">
        <f t="shared" si="35"/>
        <v>-</v>
      </c>
      <c r="P338" s="35" t="str">
        <f t="shared" si="32"/>
        <v>-</v>
      </c>
      <c r="Q338" s="32" t="str">
        <f t="shared" si="33"/>
        <v>-</v>
      </c>
      <c r="S338" s="32" t="str">
        <f t="shared" si="34"/>
        <v>-</v>
      </c>
    </row>
    <row r="339" spans="1:19" x14ac:dyDescent="0.3">
      <c r="A339" s="45" t="s">
        <v>2407</v>
      </c>
      <c r="B339" s="40" t="s">
        <v>233</v>
      </c>
      <c r="C339" s="41" t="s">
        <v>1642</v>
      </c>
      <c r="D339" s="21" t="s">
        <v>2227</v>
      </c>
      <c r="E339" s="21" t="s">
        <v>2234</v>
      </c>
      <c r="F339" s="24">
        <v>0.14071947291966666</v>
      </c>
      <c r="G339" s="21">
        <v>12</v>
      </c>
      <c r="H339" s="17">
        <v>13.65</v>
      </c>
      <c r="I339" s="43" t="s">
        <v>3950</v>
      </c>
      <c r="J339" s="26"/>
      <c r="K339" s="17">
        <f t="shared" si="30"/>
        <v>0</v>
      </c>
      <c r="N339" s="31" t="str">
        <f t="shared" si="31"/>
        <v>-</v>
      </c>
      <c r="O339" s="31" t="str">
        <f t="shared" si="35"/>
        <v>-</v>
      </c>
      <c r="P339" s="35" t="str">
        <f t="shared" si="32"/>
        <v>-</v>
      </c>
      <c r="Q339" s="32" t="str">
        <f t="shared" si="33"/>
        <v>-</v>
      </c>
      <c r="S339" s="32" t="str">
        <f t="shared" si="34"/>
        <v>-</v>
      </c>
    </row>
    <row r="340" spans="1:19" x14ac:dyDescent="0.3">
      <c r="A340" s="45" t="s">
        <v>2408</v>
      </c>
      <c r="B340" s="40" t="s">
        <v>185</v>
      </c>
      <c r="C340" s="41" t="s">
        <v>1642</v>
      </c>
      <c r="D340" s="21" t="s">
        <v>2233</v>
      </c>
      <c r="E340" s="21" t="s">
        <v>2222</v>
      </c>
      <c r="F340" s="24">
        <v>0.33120558870116673</v>
      </c>
      <c r="G340" s="21">
        <v>12</v>
      </c>
      <c r="H340" s="17">
        <v>25.79</v>
      </c>
      <c r="I340" s="43" t="s">
        <v>3950</v>
      </c>
      <c r="J340" s="26"/>
      <c r="K340" s="17">
        <f t="shared" si="30"/>
        <v>0</v>
      </c>
      <c r="N340" s="31" t="str">
        <f t="shared" si="31"/>
        <v>-</v>
      </c>
      <c r="O340" s="31" t="str">
        <f t="shared" si="35"/>
        <v>-</v>
      </c>
      <c r="P340" s="35" t="str">
        <f t="shared" si="32"/>
        <v>-</v>
      </c>
      <c r="Q340" s="32" t="str">
        <f t="shared" si="33"/>
        <v>-</v>
      </c>
      <c r="S340" s="32" t="str">
        <f t="shared" si="34"/>
        <v>-</v>
      </c>
    </row>
    <row r="341" spans="1:19" x14ac:dyDescent="0.3">
      <c r="A341" s="45" t="s">
        <v>2409</v>
      </c>
      <c r="B341" s="40" t="s">
        <v>734</v>
      </c>
      <c r="C341" s="41" t="s">
        <v>1643</v>
      </c>
      <c r="D341" s="21" t="s">
        <v>2221</v>
      </c>
      <c r="E341" s="21" t="s">
        <v>2243</v>
      </c>
      <c r="F341" s="24">
        <v>0.16217061208425002</v>
      </c>
      <c r="G341" s="21">
        <v>12</v>
      </c>
      <c r="H341" s="17">
        <v>16.79</v>
      </c>
      <c r="I341" s="43" t="s">
        <v>3950</v>
      </c>
      <c r="J341" s="26"/>
      <c r="K341" s="17">
        <f t="shared" si="30"/>
        <v>0</v>
      </c>
      <c r="N341" s="31" t="str">
        <f t="shared" si="31"/>
        <v>-</v>
      </c>
      <c r="O341" s="31" t="str">
        <f t="shared" si="35"/>
        <v>-</v>
      </c>
      <c r="P341" s="35" t="str">
        <f t="shared" si="32"/>
        <v>-</v>
      </c>
      <c r="Q341" s="32" t="str">
        <f t="shared" si="33"/>
        <v>-</v>
      </c>
      <c r="S341" s="32" t="str">
        <f t="shared" si="34"/>
        <v>-</v>
      </c>
    </row>
    <row r="342" spans="1:19" x14ac:dyDescent="0.3">
      <c r="A342" s="45" t="s">
        <v>2410</v>
      </c>
      <c r="B342" s="40" t="s">
        <v>525</v>
      </c>
      <c r="C342" s="41" t="s">
        <v>1644</v>
      </c>
      <c r="D342" s="21" t="s">
        <v>2227</v>
      </c>
      <c r="E342" s="21" t="s">
        <v>2222</v>
      </c>
      <c r="F342" s="24">
        <v>0.28572917367225004</v>
      </c>
      <c r="G342" s="21">
        <v>12</v>
      </c>
      <c r="H342" s="17">
        <v>30.59</v>
      </c>
      <c r="I342" s="43" t="s">
        <v>3950</v>
      </c>
      <c r="J342" s="26"/>
      <c r="K342" s="17">
        <f t="shared" si="30"/>
        <v>0</v>
      </c>
      <c r="N342" s="31" t="str">
        <f t="shared" si="31"/>
        <v>-</v>
      </c>
      <c r="O342" s="31" t="str">
        <f t="shared" si="35"/>
        <v>-</v>
      </c>
      <c r="P342" s="35" t="str">
        <f t="shared" si="32"/>
        <v>-</v>
      </c>
      <c r="Q342" s="32" t="str">
        <f t="shared" si="33"/>
        <v>-</v>
      </c>
      <c r="S342" s="32" t="str">
        <f t="shared" si="34"/>
        <v>-</v>
      </c>
    </row>
    <row r="343" spans="1:19" x14ac:dyDescent="0.3">
      <c r="A343" s="45" t="s">
        <v>2411</v>
      </c>
      <c r="B343" s="40" t="s">
        <v>954</v>
      </c>
      <c r="C343" s="41" t="s">
        <v>1645</v>
      </c>
      <c r="D343" s="21" t="s">
        <v>2242</v>
      </c>
      <c r="E343" s="21" t="s">
        <v>2222</v>
      </c>
      <c r="F343" s="24">
        <v>0.42387450989216674</v>
      </c>
      <c r="G343" s="21">
        <v>12</v>
      </c>
      <c r="H343" s="17">
        <v>29.39</v>
      </c>
      <c r="I343" s="43" t="s">
        <v>3950</v>
      </c>
      <c r="J343" s="26"/>
      <c r="K343" s="17">
        <f t="shared" si="30"/>
        <v>0</v>
      </c>
      <c r="N343" s="31" t="str">
        <f t="shared" si="31"/>
        <v>-</v>
      </c>
      <c r="O343" s="31" t="str">
        <f t="shared" si="35"/>
        <v>-</v>
      </c>
      <c r="P343" s="35" t="str">
        <f t="shared" si="32"/>
        <v>-</v>
      </c>
      <c r="Q343" s="32" t="str">
        <f t="shared" si="33"/>
        <v>-</v>
      </c>
      <c r="S343" s="32" t="str">
        <f t="shared" si="34"/>
        <v>-</v>
      </c>
    </row>
    <row r="344" spans="1:19" x14ac:dyDescent="0.3">
      <c r="A344" s="45" t="s">
        <v>2412</v>
      </c>
      <c r="B344" s="40" t="s">
        <v>1369</v>
      </c>
      <c r="C344" s="41" t="s">
        <v>1646</v>
      </c>
      <c r="D344" s="21" t="s">
        <v>2221</v>
      </c>
      <c r="E344" s="21" t="s">
        <v>2243</v>
      </c>
      <c r="F344" s="24">
        <v>0.16731888548375001</v>
      </c>
      <c r="G344" s="21">
        <v>12</v>
      </c>
      <c r="H344" s="17">
        <v>8.99</v>
      </c>
      <c r="I344" s="43" t="s">
        <v>3950</v>
      </c>
      <c r="J344" s="26"/>
      <c r="K344" s="17">
        <f t="shared" si="30"/>
        <v>0</v>
      </c>
      <c r="N344" s="31" t="str">
        <f t="shared" si="31"/>
        <v>-</v>
      </c>
      <c r="O344" s="31" t="str">
        <f t="shared" si="35"/>
        <v>-</v>
      </c>
      <c r="P344" s="35" t="str">
        <f t="shared" si="32"/>
        <v>-</v>
      </c>
      <c r="Q344" s="32" t="str">
        <f t="shared" si="33"/>
        <v>-</v>
      </c>
      <c r="S344" s="32" t="str">
        <f t="shared" si="34"/>
        <v>-</v>
      </c>
    </row>
    <row r="345" spans="1:19" x14ac:dyDescent="0.3">
      <c r="A345" s="45" t="s">
        <v>2413</v>
      </c>
      <c r="B345" s="40" t="s">
        <v>735</v>
      </c>
      <c r="C345" s="41" t="s">
        <v>1648</v>
      </c>
      <c r="D345" s="21" t="s">
        <v>2239</v>
      </c>
      <c r="E345" s="21" t="s">
        <v>2222</v>
      </c>
      <c r="F345" s="24">
        <v>7.7224100992499989E-2</v>
      </c>
      <c r="G345" s="21">
        <v>12</v>
      </c>
      <c r="H345" s="17">
        <v>4.95</v>
      </c>
      <c r="I345" s="43" t="s">
        <v>3950</v>
      </c>
      <c r="J345" s="26"/>
      <c r="K345" s="17">
        <f t="shared" si="30"/>
        <v>0</v>
      </c>
      <c r="N345" s="31" t="str">
        <f t="shared" si="31"/>
        <v>-</v>
      </c>
      <c r="O345" s="31" t="str">
        <f t="shared" si="35"/>
        <v>-</v>
      </c>
      <c r="P345" s="35" t="str">
        <f t="shared" si="32"/>
        <v>-</v>
      </c>
      <c r="Q345" s="32" t="str">
        <f t="shared" si="33"/>
        <v>-</v>
      </c>
      <c r="S345" s="32" t="str">
        <f t="shared" si="34"/>
        <v>-</v>
      </c>
    </row>
    <row r="346" spans="1:19" x14ac:dyDescent="0.3">
      <c r="A346" s="45" t="s">
        <v>2414</v>
      </c>
      <c r="B346" s="40" t="s">
        <v>681</v>
      </c>
      <c r="C346" s="41" t="s">
        <v>1648</v>
      </c>
      <c r="D346" s="21" t="s">
        <v>2221</v>
      </c>
      <c r="E346" s="21" t="s">
        <v>2222</v>
      </c>
      <c r="F346" s="24">
        <v>0.13299706282041668</v>
      </c>
      <c r="G346" s="21">
        <v>12</v>
      </c>
      <c r="H346" s="17">
        <v>9.15</v>
      </c>
      <c r="I346" s="43" t="s">
        <v>3950</v>
      </c>
      <c r="J346" s="26"/>
      <c r="K346" s="17">
        <f t="shared" si="30"/>
        <v>0</v>
      </c>
      <c r="N346" s="31" t="str">
        <f t="shared" si="31"/>
        <v>-</v>
      </c>
      <c r="O346" s="31" t="str">
        <f t="shared" si="35"/>
        <v>-</v>
      </c>
      <c r="P346" s="35" t="str">
        <f t="shared" si="32"/>
        <v>-</v>
      </c>
      <c r="Q346" s="32" t="str">
        <f t="shared" si="33"/>
        <v>-</v>
      </c>
      <c r="S346" s="32" t="str">
        <f t="shared" si="34"/>
        <v>-</v>
      </c>
    </row>
    <row r="347" spans="1:19" x14ac:dyDescent="0.3">
      <c r="A347" s="45" t="s">
        <v>2415</v>
      </c>
      <c r="B347" s="40" t="s">
        <v>156</v>
      </c>
      <c r="C347" s="41" t="s">
        <v>1649</v>
      </c>
      <c r="D347" s="21" t="s">
        <v>2223</v>
      </c>
      <c r="E347" s="21" t="s">
        <v>2222</v>
      </c>
      <c r="F347" s="24">
        <v>3.5179868229916665E-2</v>
      </c>
      <c r="G347" s="21">
        <v>12</v>
      </c>
      <c r="H347" s="17">
        <v>4.5</v>
      </c>
      <c r="I347" s="43" t="s">
        <v>3950</v>
      </c>
      <c r="J347" s="26"/>
      <c r="K347" s="17">
        <f t="shared" si="30"/>
        <v>0</v>
      </c>
      <c r="N347" s="31" t="str">
        <f t="shared" si="31"/>
        <v>-</v>
      </c>
      <c r="O347" s="31" t="str">
        <f t="shared" si="35"/>
        <v>-</v>
      </c>
      <c r="P347" s="35" t="str">
        <f t="shared" si="32"/>
        <v>-</v>
      </c>
      <c r="Q347" s="32" t="str">
        <f t="shared" si="33"/>
        <v>-</v>
      </c>
      <c r="S347" s="32" t="str">
        <f t="shared" si="34"/>
        <v>-</v>
      </c>
    </row>
    <row r="348" spans="1:19" x14ac:dyDescent="0.3">
      <c r="A348" s="45" t="s">
        <v>2416</v>
      </c>
      <c r="B348" s="40" t="s">
        <v>220</v>
      </c>
      <c r="C348" s="41" t="s">
        <v>1649</v>
      </c>
      <c r="D348" s="21" t="s">
        <v>2224</v>
      </c>
      <c r="E348" s="21" t="s">
        <v>2222</v>
      </c>
      <c r="F348" s="24">
        <v>6.0921235227416673E-2</v>
      </c>
      <c r="G348" s="21">
        <v>12</v>
      </c>
      <c r="H348" s="17">
        <v>8.1</v>
      </c>
      <c r="I348" s="43" t="s">
        <v>3950</v>
      </c>
      <c r="J348" s="26"/>
      <c r="K348" s="17">
        <f t="shared" si="30"/>
        <v>0</v>
      </c>
      <c r="N348" s="31" t="str">
        <f t="shared" si="31"/>
        <v>-</v>
      </c>
      <c r="O348" s="31" t="str">
        <f t="shared" si="35"/>
        <v>-</v>
      </c>
      <c r="P348" s="35" t="str">
        <f t="shared" si="32"/>
        <v>-</v>
      </c>
      <c r="Q348" s="32" t="str">
        <f t="shared" si="33"/>
        <v>-</v>
      </c>
      <c r="S348" s="32" t="str">
        <f t="shared" si="34"/>
        <v>-</v>
      </c>
    </row>
    <row r="349" spans="1:19" x14ac:dyDescent="0.3">
      <c r="A349" s="45" t="s">
        <v>2417</v>
      </c>
      <c r="B349" s="40" t="s">
        <v>812</v>
      </c>
      <c r="C349" s="41" t="s">
        <v>1650</v>
      </c>
      <c r="D349" s="21" t="s">
        <v>2223</v>
      </c>
      <c r="E349" s="21" t="s">
        <v>2234</v>
      </c>
      <c r="F349" s="24">
        <v>4.5476415028916667E-2</v>
      </c>
      <c r="G349" s="21">
        <v>12</v>
      </c>
      <c r="H349" s="17">
        <v>4.79</v>
      </c>
      <c r="I349" s="43" t="s">
        <v>3950</v>
      </c>
      <c r="J349" s="26"/>
      <c r="K349" s="17">
        <f t="shared" si="30"/>
        <v>0</v>
      </c>
      <c r="N349" s="31" t="str">
        <f t="shared" si="31"/>
        <v>-</v>
      </c>
      <c r="O349" s="31" t="str">
        <f t="shared" si="35"/>
        <v>-</v>
      </c>
      <c r="P349" s="35" t="str">
        <f t="shared" si="32"/>
        <v>-</v>
      </c>
      <c r="Q349" s="32" t="str">
        <f t="shared" si="33"/>
        <v>-</v>
      </c>
      <c r="S349" s="32" t="str">
        <f t="shared" si="34"/>
        <v>-</v>
      </c>
    </row>
    <row r="350" spans="1:19" x14ac:dyDescent="0.3">
      <c r="A350" s="45" t="s">
        <v>2418</v>
      </c>
      <c r="B350" s="40" t="s">
        <v>1054</v>
      </c>
      <c r="C350" s="41" t="s">
        <v>1650</v>
      </c>
      <c r="D350" s="21" t="s">
        <v>2224</v>
      </c>
      <c r="E350" s="21" t="s">
        <v>2234</v>
      </c>
      <c r="F350" s="24">
        <v>6.0921235227416673E-2</v>
      </c>
      <c r="G350" s="21">
        <v>12</v>
      </c>
      <c r="H350" s="17">
        <v>8.39</v>
      </c>
      <c r="I350" s="43" t="s">
        <v>3950</v>
      </c>
      <c r="J350" s="26"/>
      <c r="K350" s="17">
        <f t="shared" si="30"/>
        <v>0</v>
      </c>
      <c r="N350" s="31" t="str">
        <f t="shared" si="31"/>
        <v>-</v>
      </c>
      <c r="O350" s="31" t="str">
        <f t="shared" si="35"/>
        <v>-</v>
      </c>
      <c r="P350" s="35" t="str">
        <f t="shared" si="32"/>
        <v>-</v>
      </c>
      <c r="Q350" s="32" t="str">
        <f t="shared" si="33"/>
        <v>-</v>
      </c>
      <c r="S350" s="32" t="str">
        <f t="shared" si="34"/>
        <v>-</v>
      </c>
    </row>
    <row r="351" spans="1:19" x14ac:dyDescent="0.3">
      <c r="A351" s="45" t="s">
        <v>2419</v>
      </c>
      <c r="B351" s="40" t="s">
        <v>245</v>
      </c>
      <c r="C351" s="41" t="s">
        <v>1651</v>
      </c>
      <c r="D351" s="21" t="s">
        <v>2239</v>
      </c>
      <c r="E351" s="21" t="s">
        <v>2222</v>
      </c>
      <c r="F351" s="24">
        <v>0.10811374138950001</v>
      </c>
      <c r="G351" s="21">
        <v>12</v>
      </c>
      <c r="H351" s="17">
        <v>6.59</v>
      </c>
      <c r="I351" s="43" t="s">
        <v>3950</v>
      </c>
      <c r="J351" s="26"/>
      <c r="K351" s="17">
        <f t="shared" si="30"/>
        <v>0</v>
      </c>
      <c r="N351" s="31" t="str">
        <f t="shared" si="31"/>
        <v>-</v>
      </c>
      <c r="O351" s="31" t="str">
        <f t="shared" si="35"/>
        <v>-</v>
      </c>
      <c r="P351" s="35" t="str">
        <f t="shared" si="32"/>
        <v>-</v>
      </c>
      <c r="Q351" s="32" t="str">
        <f t="shared" si="33"/>
        <v>-</v>
      </c>
      <c r="S351" s="32" t="str">
        <f t="shared" si="34"/>
        <v>-</v>
      </c>
    </row>
    <row r="352" spans="1:19" x14ac:dyDescent="0.3">
      <c r="A352" s="45" t="s">
        <v>2420</v>
      </c>
      <c r="B352" s="40" t="s">
        <v>840</v>
      </c>
      <c r="C352" s="41" t="s">
        <v>1651</v>
      </c>
      <c r="D352" s="21" t="s">
        <v>2221</v>
      </c>
      <c r="E352" s="21" t="s">
        <v>2222</v>
      </c>
      <c r="F352" s="24">
        <v>0.20249875371366668</v>
      </c>
      <c r="G352" s="21">
        <v>12</v>
      </c>
      <c r="H352" s="17">
        <v>12.3</v>
      </c>
      <c r="I352" s="43" t="s">
        <v>3950</v>
      </c>
      <c r="J352" s="26"/>
      <c r="K352" s="17">
        <f t="shared" si="30"/>
        <v>0</v>
      </c>
      <c r="N352" s="31" t="str">
        <f t="shared" si="31"/>
        <v>-</v>
      </c>
      <c r="O352" s="31" t="str">
        <f t="shared" si="35"/>
        <v>-</v>
      </c>
      <c r="P352" s="35" t="str">
        <f t="shared" si="32"/>
        <v>-</v>
      </c>
      <c r="Q352" s="32" t="str">
        <f t="shared" si="33"/>
        <v>-</v>
      </c>
      <c r="S352" s="32" t="str">
        <f t="shared" si="34"/>
        <v>-</v>
      </c>
    </row>
    <row r="353" spans="1:19" x14ac:dyDescent="0.3">
      <c r="A353" s="45" t="s">
        <v>2421</v>
      </c>
      <c r="B353" s="40" t="s">
        <v>201</v>
      </c>
      <c r="C353" s="41" t="s">
        <v>1652</v>
      </c>
      <c r="D353" s="21" t="s">
        <v>2221</v>
      </c>
      <c r="E353" s="21" t="s">
        <v>2243</v>
      </c>
      <c r="F353" s="24">
        <v>0.17160911331666664</v>
      </c>
      <c r="G353" s="21">
        <v>12</v>
      </c>
      <c r="H353" s="17">
        <v>4.5</v>
      </c>
      <c r="I353" s="43" t="s">
        <v>3950</v>
      </c>
      <c r="J353" s="26"/>
      <c r="K353" s="17">
        <f t="shared" si="30"/>
        <v>0</v>
      </c>
      <c r="N353" s="31" t="str">
        <f t="shared" si="31"/>
        <v>-</v>
      </c>
      <c r="O353" s="31" t="str">
        <f t="shared" si="35"/>
        <v>-</v>
      </c>
      <c r="P353" s="35" t="str">
        <f t="shared" si="32"/>
        <v>-</v>
      </c>
      <c r="Q353" s="32" t="str">
        <f t="shared" si="33"/>
        <v>-</v>
      </c>
      <c r="S353" s="32" t="str">
        <f t="shared" si="34"/>
        <v>-</v>
      </c>
    </row>
    <row r="354" spans="1:19" x14ac:dyDescent="0.3">
      <c r="A354" s="45" t="s">
        <v>2422</v>
      </c>
      <c r="B354" s="40" t="s">
        <v>1402</v>
      </c>
      <c r="C354" s="41" t="s">
        <v>1653</v>
      </c>
      <c r="D354" s="21" t="s">
        <v>2242</v>
      </c>
      <c r="E354" s="21" t="s">
        <v>2244</v>
      </c>
      <c r="F354" s="24">
        <v>0.15359015641841667</v>
      </c>
      <c r="G354" s="21">
        <v>12</v>
      </c>
      <c r="H354" s="17">
        <v>17.100000000000001</v>
      </c>
      <c r="I354" s="43" t="s">
        <v>3950</v>
      </c>
      <c r="J354" s="26"/>
      <c r="K354" s="17">
        <f t="shared" si="30"/>
        <v>0</v>
      </c>
      <c r="N354" s="31" t="str">
        <f t="shared" si="31"/>
        <v>-</v>
      </c>
      <c r="O354" s="31" t="str">
        <f t="shared" si="35"/>
        <v>-</v>
      </c>
      <c r="P354" s="35" t="str">
        <f t="shared" si="32"/>
        <v>-</v>
      </c>
      <c r="Q354" s="32" t="str">
        <f t="shared" si="33"/>
        <v>-</v>
      </c>
      <c r="S354" s="32" t="str">
        <f t="shared" si="34"/>
        <v>-</v>
      </c>
    </row>
    <row r="355" spans="1:19" x14ac:dyDescent="0.3">
      <c r="A355" s="45" t="s">
        <v>2423</v>
      </c>
      <c r="B355" s="40" t="s">
        <v>184</v>
      </c>
      <c r="C355" s="41" t="s">
        <v>1654</v>
      </c>
      <c r="D355" s="21" t="s">
        <v>2239</v>
      </c>
      <c r="E355" s="21" t="s">
        <v>2222</v>
      </c>
      <c r="F355" s="24">
        <v>8.2372374392000014E-2</v>
      </c>
      <c r="G355" s="21">
        <v>12</v>
      </c>
      <c r="H355" s="17">
        <v>3.75</v>
      </c>
      <c r="I355" s="43" t="s">
        <v>3950</v>
      </c>
      <c r="J355" s="26"/>
      <c r="K355" s="17">
        <f t="shared" si="30"/>
        <v>0</v>
      </c>
      <c r="N355" s="31" t="str">
        <f t="shared" si="31"/>
        <v>-</v>
      </c>
      <c r="O355" s="31" t="str">
        <f t="shared" si="35"/>
        <v>-</v>
      </c>
      <c r="P355" s="35" t="str">
        <f t="shared" si="32"/>
        <v>-</v>
      </c>
      <c r="Q355" s="32" t="str">
        <f t="shared" si="33"/>
        <v>-</v>
      </c>
      <c r="S355" s="32" t="str">
        <f t="shared" si="34"/>
        <v>-</v>
      </c>
    </row>
    <row r="356" spans="1:19" x14ac:dyDescent="0.3">
      <c r="A356" s="45" t="s">
        <v>2424</v>
      </c>
      <c r="B356" s="40" t="s">
        <v>927</v>
      </c>
      <c r="C356" s="41" t="s">
        <v>1654</v>
      </c>
      <c r="D356" s="21" t="s">
        <v>2221</v>
      </c>
      <c r="E356" s="21" t="s">
        <v>2222</v>
      </c>
      <c r="F356" s="24">
        <v>0.14157751848625</v>
      </c>
      <c r="G356" s="21">
        <v>12</v>
      </c>
      <c r="H356" s="17">
        <v>6.59</v>
      </c>
      <c r="I356" s="43" t="s">
        <v>3950</v>
      </c>
      <c r="J356" s="26"/>
      <c r="K356" s="17">
        <f t="shared" si="30"/>
        <v>0</v>
      </c>
      <c r="N356" s="31" t="str">
        <f t="shared" si="31"/>
        <v>-</v>
      </c>
      <c r="O356" s="31" t="str">
        <f t="shared" si="35"/>
        <v>-</v>
      </c>
      <c r="P356" s="35" t="str">
        <f t="shared" si="32"/>
        <v>-</v>
      </c>
      <c r="Q356" s="32" t="str">
        <f t="shared" si="33"/>
        <v>-</v>
      </c>
      <c r="S356" s="32" t="str">
        <f t="shared" si="34"/>
        <v>-</v>
      </c>
    </row>
    <row r="357" spans="1:19" x14ac:dyDescent="0.3">
      <c r="A357" s="45" t="s">
        <v>2425</v>
      </c>
      <c r="B357" s="40" t="s">
        <v>198</v>
      </c>
      <c r="C357" s="41" t="s">
        <v>1654</v>
      </c>
      <c r="D357" s="21" t="s">
        <v>2245</v>
      </c>
      <c r="E357" s="21" t="s">
        <v>2222</v>
      </c>
      <c r="F357" s="24">
        <v>0.33120558870116673</v>
      </c>
      <c r="G357" s="21">
        <v>12</v>
      </c>
      <c r="H357" s="17">
        <v>14.99</v>
      </c>
      <c r="I357" s="43" t="s">
        <v>3950</v>
      </c>
      <c r="J357" s="26"/>
      <c r="K357" s="17">
        <f t="shared" si="30"/>
        <v>0</v>
      </c>
      <c r="N357" s="31" t="str">
        <f t="shared" si="31"/>
        <v>-</v>
      </c>
      <c r="O357" s="31" t="str">
        <f t="shared" si="35"/>
        <v>-</v>
      </c>
      <c r="P357" s="35" t="str">
        <f t="shared" si="32"/>
        <v>-</v>
      </c>
      <c r="Q357" s="32" t="str">
        <f t="shared" si="33"/>
        <v>-</v>
      </c>
      <c r="S357" s="32" t="str">
        <f t="shared" si="34"/>
        <v>-</v>
      </c>
    </row>
    <row r="358" spans="1:19" x14ac:dyDescent="0.3">
      <c r="A358" s="45" t="s">
        <v>2428</v>
      </c>
      <c r="B358" s="40" t="s">
        <v>194</v>
      </c>
      <c r="C358" s="41" t="s">
        <v>1656</v>
      </c>
      <c r="D358" s="21" t="s">
        <v>2235</v>
      </c>
      <c r="E358" s="21" t="s">
        <v>2240</v>
      </c>
      <c r="F358" s="24">
        <v>0.18705393351516672</v>
      </c>
      <c r="G358" s="21">
        <v>12</v>
      </c>
      <c r="H358" s="17">
        <v>6.75</v>
      </c>
      <c r="I358" s="43" t="s">
        <v>3950</v>
      </c>
      <c r="J358" s="26"/>
      <c r="K358" s="17">
        <f t="shared" si="30"/>
        <v>0</v>
      </c>
      <c r="N358" s="31" t="str">
        <f t="shared" si="31"/>
        <v>-</v>
      </c>
      <c r="O358" s="31" t="str">
        <f t="shared" si="35"/>
        <v>-</v>
      </c>
      <c r="P358" s="35" t="str">
        <f t="shared" si="32"/>
        <v>-</v>
      </c>
      <c r="Q358" s="32" t="str">
        <f t="shared" si="33"/>
        <v>-</v>
      </c>
      <c r="S358" s="32" t="str">
        <f t="shared" si="34"/>
        <v>-</v>
      </c>
    </row>
    <row r="359" spans="1:19" x14ac:dyDescent="0.3">
      <c r="A359" s="45" t="s">
        <v>2429</v>
      </c>
      <c r="B359" s="40" t="s">
        <v>10</v>
      </c>
      <c r="C359" s="41" t="s">
        <v>1656</v>
      </c>
      <c r="D359" s="21" t="s">
        <v>2236</v>
      </c>
      <c r="E359" s="21" t="s">
        <v>2240</v>
      </c>
      <c r="F359" s="24">
        <v>0.34150213550016667</v>
      </c>
      <c r="G359" s="21">
        <v>12</v>
      </c>
      <c r="H359" s="17">
        <v>12.45</v>
      </c>
      <c r="I359" s="43" t="s">
        <v>3950</v>
      </c>
      <c r="J359" s="26"/>
      <c r="K359" s="17">
        <f t="shared" si="30"/>
        <v>0</v>
      </c>
      <c r="N359" s="31" t="str">
        <f t="shared" si="31"/>
        <v>-</v>
      </c>
      <c r="O359" s="31" t="str">
        <f t="shared" si="35"/>
        <v>-</v>
      </c>
      <c r="P359" s="35" t="str">
        <f t="shared" si="32"/>
        <v>-</v>
      </c>
      <c r="Q359" s="32" t="str">
        <f t="shared" si="33"/>
        <v>-</v>
      </c>
      <c r="S359" s="32" t="str">
        <f t="shared" si="34"/>
        <v>-</v>
      </c>
    </row>
    <row r="360" spans="1:19" x14ac:dyDescent="0.3">
      <c r="A360" s="45" t="s">
        <v>2430</v>
      </c>
      <c r="B360" s="40" t="s">
        <v>226</v>
      </c>
      <c r="C360" s="41" t="s">
        <v>1657</v>
      </c>
      <c r="D360" s="21" t="s">
        <v>2221</v>
      </c>
      <c r="E360" s="21" t="s">
        <v>2243</v>
      </c>
      <c r="F360" s="24">
        <v>0.16131256651766665</v>
      </c>
      <c r="G360" s="21">
        <v>12</v>
      </c>
      <c r="H360" s="17">
        <v>14.25</v>
      </c>
      <c r="I360" s="43" t="s">
        <v>3950</v>
      </c>
      <c r="J360" s="26"/>
      <c r="K360" s="17">
        <f t="shared" si="30"/>
        <v>0</v>
      </c>
      <c r="N360" s="31" t="str">
        <f t="shared" si="31"/>
        <v>-</v>
      </c>
      <c r="O360" s="31" t="str">
        <f t="shared" si="35"/>
        <v>-</v>
      </c>
      <c r="P360" s="35" t="str">
        <f t="shared" si="32"/>
        <v>-</v>
      </c>
      <c r="Q360" s="32" t="str">
        <f t="shared" si="33"/>
        <v>-</v>
      </c>
      <c r="S360" s="32" t="str">
        <f t="shared" si="34"/>
        <v>-</v>
      </c>
    </row>
    <row r="361" spans="1:19" x14ac:dyDescent="0.3">
      <c r="A361" s="45" t="s">
        <v>2431</v>
      </c>
      <c r="B361" s="40" t="s">
        <v>756</v>
      </c>
      <c r="C361" s="41" t="s">
        <v>1658</v>
      </c>
      <c r="D361" s="21" t="s">
        <v>2224</v>
      </c>
      <c r="E361" s="21" t="s">
        <v>2222</v>
      </c>
      <c r="F361" s="24">
        <v>8.2372374392000014E-2</v>
      </c>
      <c r="G361" s="21">
        <v>12</v>
      </c>
      <c r="H361" s="17">
        <v>11.85</v>
      </c>
      <c r="I361" s="43" t="s">
        <v>3950</v>
      </c>
      <c r="J361" s="26"/>
      <c r="K361" s="17">
        <f t="shared" si="30"/>
        <v>0</v>
      </c>
      <c r="N361" s="31" t="str">
        <f t="shared" si="31"/>
        <v>-</v>
      </c>
      <c r="O361" s="31" t="str">
        <f t="shared" si="35"/>
        <v>-</v>
      </c>
      <c r="P361" s="35" t="str">
        <f t="shared" si="32"/>
        <v>-</v>
      </c>
      <c r="Q361" s="32" t="str">
        <f t="shared" si="33"/>
        <v>-</v>
      </c>
      <c r="S361" s="32" t="str">
        <f t="shared" si="34"/>
        <v>-</v>
      </c>
    </row>
    <row r="362" spans="1:19" x14ac:dyDescent="0.3">
      <c r="A362" s="45" t="s">
        <v>2432</v>
      </c>
      <c r="B362" s="40" t="s">
        <v>136</v>
      </c>
      <c r="C362" s="41" t="s">
        <v>1659</v>
      </c>
      <c r="D362" s="21" t="s">
        <v>2221</v>
      </c>
      <c r="E362" s="21" t="s">
        <v>2243</v>
      </c>
      <c r="F362" s="24">
        <v>0.15873842981791667</v>
      </c>
      <c r="G362" s="21">
        <v>12</v>
      </c>
      <c r="H362" s="17">
        <v>4.95</v>
      </c>
      <c r="I362" s="43" t="s">
        <v>3950</v>
      </c>
      <c r="J362" s="26"/>
      <c r="K362" s="17">
        <f t="shared" si="30"/>
        <v>0</v>
      </c>
      <c r="N362" s="31" t="str">
        <f t="shared" si="31"/>
        <v>-</v>
      </c>
      <c r="O362" s="31" t="str">
        <f t="shared" si="35"/>
        <v>-</v>
      </c>
      <c r="P362" s="35" t="str">
        <f t="shared" si="32"/>
        <v>-</v>
      </c>
      <c r="Q362" s="32" t="str">
        <f t="shared" si="33"/>
        <v>-</v>
      </c>
      <c r="S362" s="32" t="str">
        <f t="shared" si="34"/>
        <v>-</v>
      </c>
    </row>
    <row r="363" spans="1:19" x14ac:dyDescent="0.3">
      <c r="A363" s="45" t="s">
        <v>2434</v>
      </c>
      <c r="B363" s="40" t="s">
        <v>714</v>
      </c>
      <c r="C363" s="41" t="s">
        <v>1661</v>
      </c>
      <c r="D363" s="21" t="s">
        <v>2223</v>
      </c>
      <c r="E363" s="21" t="s">
        <v>2222</v>
      </c>
      <c r="F363" s="24">
        <v>4.5476415028916667E-2</v>
      </c>
      <c r="G363" s="21">
        <v>12</v>
      </c>
      <c r="H363" s="17">
        <v>4.05</v>
      </c>
      <c r="I363" s="43" t="s">
        <v>3950</v>
      </c>
      <c r="J363" s="26"/>
      <c r="K363" s="17">
        <f t="shared" si="30"/>
        <v>0</v>
      </c>
      <c r="N363" s="31" t="str">
        <f t="shared" si="31"/>
        <v>-</v>
      </c>
      <c r="O363" s="31" t="str">
        <f t="shared" si="35"/>
        <v>-</v>
      </c>
      <c r="P363" s="35" t="str">
        <f t="shared" si="32"/>
        <v>-</v>
      </c>
      <c r="Q363" s="32" t="str">
        <f t="shared" si="33"/>
        <v>-</v>
      </c>
      <c r="S363" s="32" t="str">
        <f t="shared" si="34"/>
        <v>-</v>
      </c>
    </row>
    <row r="364" spans="1:19" x14ac:dyDescent="0.3">
      <c r="A364" s="45" t="s">
        <v>2435</v>
      </c>
      <c r="B364" s="40" t="s">
        <v>1020</v>
      </c>
      <c r="C364" s="41" t="s">
        <v>1661</v>
      </c>
      <c r="D364" s="21" t="s">
        <v>2224</v>
      </c>
      <c r="E364" s="21" t="s">
        <v>2222</v>
      </c>
      <c r="F364" s="24">
        <v>6.0921235227416673E-2</v>
      </c>
      <c r="G364" s="21">
        <v>12</v>
      </c>
      <c r="H364" s="17">
        <v>6.9</v>
      </c>
      <c r="I364" s="43" t="s">
        <v>3950</v>
      </c>
      <c r="J364" s="26"/>
      <c r="K364" s="17">
        <f t="shared" si="30"/>
        <v>0</v>
      </c>
      <c r="N364" s="31" t="str">
        <f t="shared" si="31"/>
        <v>-</v>
      </c>
      <c r="O364" s="31" t="str">
        <f t="shared" si="35"/>
        <v>-</v>
      </c>
      <c r="P364" s="35" t="str">
        <f t="shared" si="32"/>
        <v>-</v>
      </c>
      <c r="Q364" s="32" t="str">
        <f t="shared" si="33"/>
        <v>-</v>
      </c>
      <c r="S364" s="32" t="str">
        <f t="shared" si="34"/>
        <v>-</v>
      </c>
    </row>
    <row r="365" spans="1:19" x14ac:dyDescent="0.3">
      <c r="A365" s="45" t="s">
        <v>2436</v>
      </c>
      <c r="B365" s="40" t="s">
        <v>829</v>
      </c>
      <c r="C365" s="41" t="s">
        <v>1661</v>
      </c>
      <c r="D365" s="21" t="s">
        <v>2227</v>
      </c>
      <c r="E365" s="21" t="s">
        <v>2222</v>
      </c>
      <c r="F365" s="24">
        <v>9.7817194590499992E-2</v>
      </c>
      <c r="G365" s="21">
        <v>12</v>
      </c>
      <c r="H365" s="17">
        <v>12.59</v>
      </c>
      <c r="I365" s="43" t="s">
        <v>3950</v>
      </c>
      <c r="J365" s="26"/>
      <c r="K365" s="17">
        <f t="shared" si="30"/>
        <v>0</v>
      </c>
      <c r="N365" s="31" t="str">
        <f t="shared" si="31"/>
        <v>-</v>
      </c>
      <c r="O365" s="31" t="str">
        <f t="shared" si="35"/>
        <v>-</v>
      </c>
      <c r="P365" s="35" t="str">
        <f t="shared" si="32"/>
        <v>-</v>
      </c>
      <c r="Q365" s="32" t="str">
        <f t="shared" si="33"/>
        <v>-</v>
      </c>
      <c r="S365" s="32" t="str">
        <f t="shared" si="34"/>
        <v>-</v>
      </c>
    </row>
    <row r="366" spans="1:19" x14ac:dyDescent="0.3">
      <c r="A366" s="45" t="s">
        <v>2437</v>
      </c>
      <c r="B366" s="40" t="s">
        <v>157</v>
      </c>
      <c r="C366" s="41" t="s">
        <v>1662</v>
      </c>
      <c r="D366" s="21" t="s">
        <v>2221</v>
      </c>
      <c r="E366" s="21" t="s">
        <v>2243</v>
      </c>
      <c r="F366" s="24">
        <v>0.16131256651766665</v>
      </c>
      <c r="G366" s="21">
        <v>12</v>
      </c>
      <c r="H366" s="17">
        <v>6.9</v>
      </c>
      <c r="I366" s="43" t="s">
        <v>3950</v>
      </c>
      <c r="J366" s="26"/>
      <c r="K366" s="17">
        <f t="shared" si="30"/>
        <v>0</v>
      </c>
      <c r="N366" s="31" t="str">
        <f t="shared" si="31"/>
        <v>-</v>
      </c>
      <c r="O366" s="31" t="str">
        <f t="shared" si="35"/>
        <v>-</v>
      </c>
      <c r="P366" s="35" t="str">
        <f t="shared" si="32"/>
        <v>-</v>
      </c>
      <c r="Q366" s="32" t="str">
        <f t="shared" si="33"/>
        <v>-</v>
      </c>
      <c r="S366" s="32" t="str">
        <f t="shared" si="34"/>
        <v>-</v>
      </c>
    </row>
    <row r="367" spans="1:19" x14ac:dyDescent="0.3">
      <c r="A367" s="45" t="s">
        <v>2438</v>
      </c>
      <c r="B367" s="40" t="s">
        <v>277</v>
      </c>
      <c r="C367" s="41" t="s">
        <v>1663</v>
      </c>
      <c r="D367" s="21" t="s">
        <v>2225</v>
      </c>
      <c r="E367" s="21" t="s">
        <v>2222</v>
      </c>
      <c r="F367" s="24">
        <v>6.1779280794000004E-2</v>
      </c>
      <c r="G367" s="21">
        <v>12</v>
      </c>
      <c r="H367" s="17">
        <v>30.15</v>
      </c>
      <c r="I367" s="43" t="s">
        <v>3950</v>
      </c>
      <c r="J367" s="26"/>
      <c r="K367" s="17">
        <f t="shared" si="30"/>
        <v>0</v>
      </c>
      <c r="N367" s="31" t="str">
        <f t="shared" si="31"/>
        <v>-</v>
      </c>
      <c r="O367" s="31" t="str">
        <f t="shared" si="35"/>
        <v>-</v>
      </c>
      <c r="P367" s="35" t="str">
        <f t="shared" si="32"/>
        <v>-</v>
      </c>
      <c r="Q367" s="32" t="str">
        <f t="shared" si="33"/>
        <v>-</v>
      </c>
      <c r="S367" s="32" t="str">
        <f t="shared" si="34"/>
        <v>-</v>
      </c>
    </row>
    <row r="368" spans="1:19" x14ac:dyDescent="0.3">
      <c r="A368" s="45" t="s">
        <v>2439</v>
      </c>
      <c r="B368" s="40" t="s">
        <v>6</v>
      </c>
      <c r="C368" s="41" t="s">
        <v>1664</v>
      </c>
      <c r="D368" s="21" t="s">
        <v>2239</v>
      </c>
      <c r="E368" s="21" t="s">
        <v>2222</v>
      </c>
      <c r="F368" s="24">
        <v>6.606950862691667E-2</v>
      </c>
      <c r="G368" s="21">
        <v>12</v>
      </c>
      <c r="H368" s="17">
        <v>4.6500000000000004</v>
      </c>
      <c r="I368" s="43" t="s">
        <v>3950</v>
      </c>
      <c r="J368" s="26"/>
      <c r="K368" s="17">
        <f t="shared" si="30"/>
        <v>0</v>
      </c>
      <c r="N368" s="31" t="str">
        <f t="shared" si="31"/>
        <v>-</v>
      </c>
      <c r="O368" s="31" t="str">
        <f t="shared" si="35"/>
        <v>-</v>
      </c>
      <c r="P368" s="35" t="str">
        <f t="shared" si="32"/>
        <v>-</v>
      </c>
      <c r="Q368" s="32" t="str">
        <f t="shared" si="33"/>
        <v>-</v>
      </c>
      <c r="S368" s="32" t="str">
        <f t="shared" si="34"/>
        <v>-</v>
      </c>
    </row>
    <row r="369" spans="1:19" x14ac:dyDescent="0.3">
      <c r="A369" s="45" t="s">
        <v>2441</v>
      </c>
      <c r="B369" s="40" t="s">
        <v>4</v>
      </c>
      <c r="C369" s="41" t="s">
        <v>1665</v>
      </c>
      <c r="D369" s="21" t="s">
        <v>2224</v>
      </c>
      <c r="E369" s="21" t="s">
        <v>2222</v>
      </c>
      <c r="F369" s="24">
        <v>8.1514328825416663E-2</v>
      </c>
      <c r="G369" s="21">
        <v>12</v>
      </c>
      <c r="H369" s="17">
        <v>6.75</v>
      </c>
      <c r="I369" s="43" t="s">
        <v>3950</v>
      </c>
      <c r="J369" s="26"/>
      <c r="K369" s="17">
        <f t="shared" si="30"/>
        <v>0</v>
      </c>
      <c r="N369" s="31" t="str">
        <f t="shared" si="31"/>
        <v>-</v>
      </c>
      <c r="O369" s="31" t="str">
        <f t="shared" si="35"/>
        <v>-</v>
      </c>
      <c r="P369" s="35" t="str">
        <f t="shared" si="32"/>
        <v>-</v>
      </c>
      <c r="Q369" s="32" t="str">
        <f t="shared" si="33"/>
        <v>-</v>
      </c>
      <c r="S369" s="32" t="str">
        <f t="shared" si="34"/>
        <v>-</v>
      </c>
    </row>
    <row r="370" spans="1:19" x14ac:dyDescent="0.3">
      <c r="A370" s="45" t="s">
        <v>2442</v>
      </c>
      <c r="B370" s="40" t="s">
        <v>636</v>
      </c>
      <c r="C370" s="41" t="s">
        <v>1665</v>
      </c>
      <c r="D370" s="21" t="s">
        <v>2227</v>
      </c>
      <c r="E370" s="21" t="s">
        <v>2222</v>
      </c>
      <c r="F370" s="24">
        <v>0.14672579188575002</v>
      </c>
      <c r="G370" s="21">
        <v>12</v>
      </c>
      <c r="H370" s="17">
        <v>12.59</v>
      </c>
      <c r="I370" s="43" t="s">
        <v>3950</v>
      </c>
      <c r="J370" s="26"/>
      <c r="K370" s="17">
        <f t="shared" si="30"/>
        <v>0</v>
      </c>
      <c r="N370" s="31" t="str">
        <f t="shared" si="31"/>
        <v>-</v>
      </c>
      <c r="O370" s="31" t="str">
        <f t="shared" si="35"/>
        <v>-</v>
      </c>
      <c r="P370" s="35" t="str">
        <f t="shared" si="32"/>
        <v>-</v>
      </c>
      <c r="Q370" s="32" t="str">
        <f t="shared" si="33"/>
        <v>-</v>
      </c>
      <c r="S370" s="32" t="str">
        <f t="shared" si="34"/>
        <v>-</v>
      </c>
    </row>
    <row r="371" spans="1:19" x14ac:dyDescent="0.3">
      <c r="A371" s="45" t="s">
        <v>2443</v>
      </c>
      <c r="B371" s="40" t="s">
        <v>495</v>
      </c>
      <c r="C371" s="41" t="s">
        <v>1666</v>
      </c>
      <c r="D371" s="21" t="s">
        <v>2223</v>
      </c>
      <c r="E371" s="21" t="s">
        <v>2222</v>
      </c>
      <c r="F371" s="24">
        <v>7.1217782026416682E-2</v>
      </c>
      <c r="G371" s="21">
        <v>12</v>
      </c>
      <c r="H371" s="17">
        <v>6.59</v>
      </c>
      <c r="I371" s="43" t="s">
        <v>3950</v>
      </c>
      <c r="J371" s="26"/>
      <c r="K371" s="17">
        <f t="shared" si="30"/>
        <v>0</v>
      </c>
      <c r="N371" s="31" t="str">
        <f t="shared" si="31"/>
        <v>-</v>
      </c>
      <c r="O371" s="31" t="str">
        <f t="shared" si="35"/>
        <v>-</v>
      </c>
      <c r="P371" s="35" t="str">
        <f t="shared" si="32"/>
        <v>-</v>
      </c>
      <c r="Q371" s="32" t="str">
        <f t="shared" si="33"/>
        <v>-</v>
      </c>
      <c r="S371" s="32" t="str">
        <f t="shared" si="34"/>
        <v>-</v>
      </c>
    </row>
    <row r="372" spans="1:19" x14ac:dyDescent="0.3">
      <c r="A372" s="45" t="s">
        <v>2444</v>
      </c>
      <c r="B372" s="40" t="s">
        <v>241</v>
      </c>
      <c r="C372" s="41" t="s">
        <v>1666</v>
      </c>
      <c r="D372" s="21" t="s">
        <v>2224</v>
      </c>
      <c r="E372" s="21" t="s">
        <v>2222</v>
      </c>
      <c r="F372" s="24">
        <v>0.11969735653837503</v>
      </c>
      <c r="G372" s="21">
        <v>12</v>
      </c>
      <c r="H372" s="17">
        <v>11.99</v>
      </c>
      <c r="I372" s="43" t="s">
        <v>3950</v>
      </c>
      <c r="J372" s="26"/>
      <c r="K372" s="17">
        <f t="shared" si="30"/>
        <v>0</v>
      </c>
      <c r="N372" s="31" t="str">
        <f t="shared" si="31"/>
        <v>-</v>
      </c>
      <c r="O372" s="31" t="str">
        <f t="shared" si="35"/>
        <v>-</v>
      </c>
      <c r="P372" s="35" t="str">
        <f t="shared" si="32"/>
        <v>-</v>
      </c>
      <c r="Q372" s="32" t="str">
        <f t="shared" si="33"/>
        <v>-</v>
      </c>
      <c r="S372" s="32" t="str">
        <f t="shared" si="34"/>
        <v>-</v>
      </c>
    </row>
    <row r="373" spans="1:19" x14ac:dyDescent="0.3">
      <c r="A373" s="45" t="s">
        <v>2445</v>
      </c>
      <c r="B373" s="40" t="s">
        <v>1330</v>
      </c>
      <c r="C373" s="41" t="s">
        <v>1667</v>
      </c>
      <c r="D373" s="21" t="s">
        <v>2221</v>
      </c>
      <c r="E373" s="21" t="s">
        <v>2243</v>
      </c>
      <c r="F373" s="24">
        <v>0.17160911331666664</v>
      </c>
      <c r="G373" s="21">
        <v>12</v>
      </c>
      <c r="H373" s="17">
        <v>6.15</v>
      </c>
      <c r="I373" s="43" t="s">
        <v>3950</v>
      </c>
      <c r="J373" s="26"/>
      <c r="K373" s="17">
        <f t="shared" si="30"/>
        <v>0</v>
      </c>
      <c r="N373" s="31" t="str">
        <f t="shared" si="31"/>
        <v>-</v>
      </c>
      <c r="O373" s="31" t="str">
        <f t="shared" si="35"/>
        <v>-</v>
      </c>
      <c r="P373" s="35" t="str">
        <f t="shared" si="32"/>
        <v>-</v>
      </c>
      <c r="Q373" s="32" t="str">
        <f t="shared" si="33"/>
        <v>-</v>
      </c>
      <c r="S373" s="32" t="str">
        <f t="shared" si="34"/>
        <v>-</v>
      </c>
    </row>
    <row r="374" spans="1:19" x14ac:dyDescent="0.3">
      <c r="A374" s="45" t="s">
        <v>2446</v>
      </c>
      <c r="B374" s="40" t="s">
        <v>158</v>
      </c>
      <c r="C374" s="41" t="s">
        <v>1668</v>
      </c>
      <c r="D374" s="21" t="s">
        <v>2221</v>
      </c>
      <c r="E374" s="21" t="s">
        <v>2243</v>
      </c>
      <c r="F374" s="24">
        <v>0.15702233868474999</v>
      </c>
      <c r="G374" s="21">
        <v>12</v>
      </c>
      <c r="H374" s="17">
        <v>5.55</v>
      </c>
      <c r="I374" s="43" t="s">
        <v>3950</v>
      </c>
      <c r="J374" s="26"/>
      <c r="K374" s="17">
        <f t="shared" si="30"/>
        <v>0</v>
      </c>
      <c r="N374" s="31" t="str">
        <f t="shared" si="31"/>
        <v>-</v>
      </c>
      <c r="O374" s="31" t="str">
        <f t="shared" si="35"/>
        <v>-</v>
      </c>
      <c r="P374" s="35" t="str">
        <f t="shared" si="32"/>
        <v>-</v>
      </c>
      <c r="Q374" s="32" t="str">
        <f t="shared" si="33"/>
        <v>-</v>
      </c>
      <c r="S374" s="32" t="str">
        <f t="shared" si="34"/>
        <v>-</v>
      </c>
    </row>
    <row r="375" spans="1:19" x14ac:dyDescent="0.3">
      <c r="A375" s="45" t="s">
        <v>2450</v>
      </c>
      <c r="B375" s="40" t="s">
        <v>663</v>
      </c>
      <c r="C375" s="41" t="s">
        <v>1670</v>
      </c>
      <c r="D375" s="21" t="s">
        <v>2239</v>
      </c>
      <c r="E375" s="21" t="s">
        <v>2222</v>
      </c>
      <c r="F375" s="24">
        <v>0.16989302218350003</v>
      </c>
      <c r="G375" s="21">
        <v>12</v>
      </c>
      <c r="H375" s="17">
        <v>12.9</v>
      </c>
      <c r="I375" s="43" t="s">
        <v>3950</v>
      </c>
      <c r="J375" s="26"/>
      <c r="K375" s="17">
        <f t="shared" si="30"/>
        <v>0</v>
      </c>
      <c r="N375" s="31" t="str">
        <f t="shared" si="31"/>
        <v>-</v>
      </c>
      <c r="O375" s="31" t="str">
        <f t="shared" si="35"/>
        <v>-</v>
      </c>
      <c r="P375" s="35" t="str">
        <f t="shared" si="32"/>
        <v>-</v>
      </c>
      <c r="Q375" s="32" t="str">
        <f t="shared" si="33"/>
        <v>-</v>
      </c>
      <c r="S375" s="32" t="str">
        <f t="shared" si="34"/>
        <v>-</v>
      </c>
    </row>
    <row r="376" spans="1:19" x14ac:dyDescent="0.3">
      <c r="A376" s="45" t="s">
        <v>2451</v>
      </c>
      <c r="B376" s="40" t="s">
        <v>665</v>
      </c>
      <c r="C376" s="41" t="s">
        <v>1670</v>
      </c>
      <c r="D376" s="21" t="s">
        <v>2221</v>
      </c>
      <c r="E376" s="21" t="s">
        <v>2222</v>
      </c>
      <c r="F376" s="24">
        <v>9.9104262940375012E-2</v>
      </c>
      <c r="G376" s="21">
        <v>12</v>
      </c>
      <c r="H376" s="17">
        <v>24.59</v>
      </c>
      <c r="I376" s="43" t="s">
        <v>3950</v>
      </c>
      <c r="J376" s="26"/>
      <c r="K376" s="17">
        <f t="shared" si="30"/>
        <v>0</v>
      </c>
      <c r="N376" s="31" t="str">
        <f t="shared" si="31"/>
        <v>-</v>
      </c>
      <c r="O376" s="31" t="str">
        <f t="shared" si="35"/>
        <v>-</v>
      </c>
      <c r="P376" s="35" t="str">
        <f t="shared" si="32"/>
        <v>-</v>
      </c>
      <c r="Q376" s="32" t="str">
        <f t="shared" si="33"/>
        <v>-</v>
      </c>
      <c r="S376" s="32" t="str">
        <f t="shared" si="34"/>
        <v>-</v>
      </c>
    </row>
    <row r="377" spans="1:19" x14ac:dyDescent="0.3">
      <c r="A377" s="45" t="s">
        <v>2452</v>
      </c>
      <c r="B377" s="40" t="s">
        <v>1077</v>
      </c>
      <c r="C377" s="41" t="s">
        <v>1670</v>
      </c>
      <c r="D377" s="21" t="s">
        <v>2242</v>
      </c>
      <c r="E377" s="21" t="s">
        <v>2222</v>
      </c>
      <c r="F377" s="24">
        <v>0.18190566011566667</v>
      </c>
      <c r="G377" s="21">
        <v>12</v>
      </c>
      <c r="H377" s="17">
        <v>47.99</v>
      </c>
      <c r="I377" s="43" t="s">
        <v>3950</v>
      </c>
      <c r="J377" s="26"/>
      <c r="K377" s="17">
        <f t="shared" si="30"/>
        <v>0</v>
      </c>
      <c r="N377" s="31" t="str">
        <f t="shared" si="31"/>
        <v>-</v>
      </c>
      <c r="O377" s="31" t="str">
        <f t="shared" si="35"/>
        <v>-</v>
      </c>
      <c r="P377" s="35" t="str">
        <f t="shared" si="32"/>
        <v>-</v>
      </c>
      <c r="Q377" s="32" t="str">
        <f t="shared" si="33"/>
        <v>-</v>
      </c>
      <c r="S377" s="32" t="str">
        <f t="shared" si="34"/>
        <v>-</v>
      </c>
    </row>
    <row r="378" spans="1:19" x14ac:dyDescent="0.3">
      <c r="A378" s="45" t="s">
        <v>2453</v>
      </c>
      <c r="B378" s="40" t="s">
        <v>1494</v>
      </c>
      <c r="C378" s="41" t="s">
        <v>1671</v>
      </c>
      <c r="D378" s="21" t="s">
        <v>2230</v>
      </c>
      <c r="E378" s="21" t="s">
        <v>2240</v>
      </c>
      <c r="F378" s="24">
        <v>0.1124039692224167</v>
      </c>
      <c r="G378" s="21">
        <v>12</v>
      </c>
      <c r="H378" s="17">
        <v>23.1</v>
      </c>
      <c r="I378" s="43" t="s">
        <v>3950</v>
      </c>
      <c r="J378" s="26"/>
      <c r="K378" s="17">
        <f t="shared" si="30"/>
        <v>0</v>
      </c>
      <c r="N378" s="31" t="str">
        <f t="shared" si="31"/>
        <v>-</v>
      </c>
      <c r="O378" s="31" t="str">
        <f t="shared" si="35"/>
        <v>-</v>
      </c>
      <c r="P378" s="35" t="str">
        <f t="shared" si="32"/>
        <v>-</v>
      </c>
      <c r="Q378" s="32" t="str">
        <f t="shared" si="33"/>
        <v>-</v>
      </c>
      <c r="S378" s="32" t="str">
        <f t="shared" si="34"/>
        <v>-</v>
      </c>
    </row>
    <row r="379" spans="1:19" x14ac:dyDescent="0.3">
      <c r="A379" s="45" t="s">
        <v>2454</v>
      </c>
      <c r="B379" s="40" t="s">
        <v>1495</v>
      </c>
      <c r="C379" s="41" t="s">
        <v>1671</v>
      </c>
      <c r="D379" s="21" t="s">
        <v>2235</v>
      </c>
      <c r="E379" s="21" t="s">
        <v>2240</v>
      </c>
      <c r="F379" s="24">
        <v>0.19306025248125003</v>
      </c>
      <c r="G379" s="21">
        <v>12</v>
      </c>
      <c r="H379" s="17">
        <v>44.99</v>
      </c>
      <c r="I379" s="43" t="s">
        <v>3950</v>
      </c>
      <c r="J379" s="26"/>
      <c r="K379" s="17">
        <f t="shared" si="30"/>
        <v>0</v>
      </c>
      <c r="N379" s="31" t="str">
        <f t="shared" si="31"/>
        <v>-</v>
      </c>
      <c r="O379" s="31" t="str">
        <f t="shared" si="35"/>
        <v>-</v>
      </c>
      <c r="P379" s="35" t="str">
        <f t="shared" si="32"/>
        <v>-</v>
      </c>
      <c r="Q379" s="32" t="str">
        <f t="shared" si="33"/>
        <v>-</v>
      </c>
      <c r="S379" s="32" t="str">
        <f t="shared" si="34"/>
        <v>-</v>
      </c>
    </row>
    <row r="380" spans="1:19" x14ac:dyDescent="0.3">
      <c r="A380" s="45" t="s">
        <v>2455</v>
      </c>
      <c r="B380" s="40" t="s">
        <v>727</v>
      </c>
      <c r="C380" s="41" t="s">
        <v>1672</v>
      </c>
      <c r="D380" s="21" t="s">
        <v>2233</v>
      </c>
      <c r="E380" s="21" t="s">
        <v>2222</v>
      </c>
      <c r="F380" s="24">
        <v>0.1184102881885</v>
      </c>
      <c r="G380" s="21">
        <v>12</v>
      </c>
      <c r="H380" s="17">
        <v>17.989999999999998</v>
      </c>
      <c r="I380" s="43" t="s">
        <v>3950</v>
      </c>
      <c r="J380" s="26"/>
      <c r="K380" s="17">
        <f t="shared" si="30"/>
        <v>0</v>
      </c>
      <c r="N380" s="31" t="str">
        <f t="shared" si="31"/>
        <v>-</v>
      </c>
      <c r="O380" s="31" t="str">
        <f t="shared" si="35"/>
        <v>-</v>
      </c>
      <c r="P380" s="35" t="str">
        <f t="shared" si="32"/>
        <v>-</v>
      </c>
      <c r="Q380" s="32" t="str">
        <f t="shared" si="33"/>
        <v>-</v>
      </c>
      <c r="S380" s="32" t="str">
        <f t="shared" si="34"/>
        <v>-</v>
      </c>
    </row>
    <row r="381" spans="1:19" x14ac:dyDescent="0.3">
      <c r="A381" s="45" t="s">
        <v>2456</v>
      </c>
      <c r="B381" s="40" t="s">
        <v>196</v>
      </c>
      <c r="C381" s="41" t="s">
        <v>1673</v>
      </c>
      <c r="D381" s="21" t="s">
        <v>2242</v>
      </c>
      <c r="E381" s="21" t="s">
        <v>2232</v>
      </c>
      <c r="F381" s="24">
        <v>0.41701014535950004</v>
      </c>
      <c r="G381" s="21">
        <v>12</v>
      </c>
      <c r="H381" s="17">
        <v>23.99</v>
      </c>
      <c r="I381" s="43" t="s">
        <v>3950</v>
      </c>
      <c r="J381" s="26"/>
      <c r="K381" s="17">
        <f t="shared" si="30"/>
        <v>0</v>
      </c>
      <c r="N381" s="31" t="str">
        <f t="shared" si="31"/>
        <v>-</v>
      </c>
      <c r="O381" s="31" t="str">
        <f t="shared" si="35"/>
        <v>-</v>
      </c>
      <c r="P381" s="35" t="str">
        <f t="shared" si="32"/>
        <v>-</v>
      </c>
      <c r="Q381" s="32" t="str">
        <f t="shared" si="33"/>
        <v>-</v>
      </c>
      <c r="S381" s="32" t="str">
        <f t="shared" si="34"/>
        <v>-</v>
      </c>
    </row>
    <row r="382" spans="1:19" x14ac:dyDescent="0.3">
      <c r="A382" s="45" t="s">
        <v>2457</v>
      </c>
      <c r="B382" s="40" t="s">
        <v>773</v>
      </c>
      <c r="C382" s="41" t="s">
        <v>1674</v>
      </c>
      <c r="D382" s="21" t="s">
        <v>2221</v>
      </c>
      <c r="E382" s="21" t="s">
        <v>2243</v>
      </c>
      <c r="F382" s="24">
        <v>0.17418325001641669</v>
      </c>
      <c r="G382" s="21">
        <v>12</v>
      </c>
      <c r="H382" s="17">
        <v>8.6999999999999993</v>
      </c>
      <c r="I382" s="43" t="s">
        <v>3950</v>
      </c>
      <c r="J382" s="26"/>
      <c r="K382" s="17">
        <f t="shared" si="30"/>
        <v>0</v>
      </c>
      <c r="N382" s="31" t="str">
        <f t="shared" si="31"/>
        <v>-</v>
      </c>
      <c r="O382" s="31" t="str">
        <f t="shared" si="35"/>
        <v>-</v>
      </c>
      <c r="P382" s="35" t="str">
        <f t="shared" si="32"/>
        <v>-</v>
      </c>
      <c r="Q382" s="32" t="str">
        <f t="shared" si="33"/>
        <v>-</v>
      </c>
      <c r="S382" s="32" t="str">
        <f t="shared" si="34"/>
        <v>-</v>
      </c>
    </row>
    <row r="383" spans="1:19" x14ac:dyDescent="0.3">
      <c r="A383" s="45" t="s">
        <v>2458</v>
      </c>
      <c r="B383" s="40" t="s">
        <v>250</v>
      </c>
      <c r="C383" s="41" t="s">
        <v>1675</v>
      </c>
      <c r="D383" s="21" t="s">
        <v>2221</v>
      </c>
      <c r="E383" s="21" t="s">
        <v>2243</v>
      </c>
      <c r="F383" s="24">
        <v>0.16388670321741669</v>
      </c>
      <c r="G383" s="21">
        <v>12</v>
      </c>
      <c r="H383" s="17">
        <v>6.59</v>
      </c>
      <c r="I383" s="43" t="s">
        <v>3950</v>
      </c>
      <c r="J383" s="26"/>
      <c r="K383" s="17">
        <f t="shared" ref="K383:K445" si="36">J383*H383</f>
        <v>0</v>
      </c>
      <c r="N383" s="31" t="str">
        <f t="shared" si="31"/>
        <v>-</v>
      </c>
      <c r="O383" s="31" t="str">
        <f t="shared" si="35"/>
        <v>-</v>
      </c>
      <c r="P383" s="35" t="str">
        <f t="shared" si="32"/>
        <v>-</v>
      </c>
      <c r="Q383" s="32" t="str">
        <f t="shared" si="33"/>
        <v>-</v>
      </c>
      <c r="S383" s="32" t="str">
        <f t="shared" si="34"/>
        <v>-</v>
      </c>
    </row>
    <row r="384" spans="1:19" x14ac:dyDescent="0.3">
      <c r="A384" s="45" t="s">
        <v>2459</v>
      </c>
      <c r="B384" s="40" t="s">
        <v>808</v>
      </c>
      <c r="C384" s="41" t="s">
        <v>1676</v>
      </c>
      <c r="D384" s="21" t="s">
        <v>2239</v>
      </c>
      <c r="E384" s="21" t="s">
        <v>2222</v>
      </c>
      <c r="F384" s="24">
        <v>0.10296546799</v>
      </c>
      <c r="G384" s="21">
        <v>12</v>
      </c>
      <c r="H384" s="17">
        <v>8.39</v>
      </c>
      <c r="I384" s="43" t="s">
        <v>3950</v>
      </c>
      <c r="J384" s="26"/>
      <c r="K384" s="17">
        <f t="shared" si="36"/>
        <v>0</v>
      </c>
      <c r="N384" s="31" t="str">
        <f t="shared" si="31"/>
        <v>-</v>
      </c>
      <c r="O384" s="31" t="str">
        <f t="shared" si="35"/>
        <v>-</v>
      </c>
      <c r="P384" s="35" t="str">
        <f t="shared" si="32"/>
        <v>-</v>
      </c>
      <c r="Q384" s="32" t="str">
        <f t="shared" ref="Q384:Q446" si="37">IFERROR(IF($N$2&gt;0, $N$2*P384, "-"), "-")</f>
        <v>-</v>
      </c>
      <c r="S384" s="32" t="str">
        <f t="shared" ref="S384:S446" si="38">IFERROR(IF(Q384+K384=0, "-", IF(Q384&gt;0, Q384+K384, "-")), "-")</f>
        <v>-</v>
      </c>
    </row>
    <row r="385" spans="1:19" x14ac:dyDescent="0.3">
      <c r="A385" s="45" t="s">
        <v>2460</v>
      </c>
      <c r="B385" s="40" t="s">
        <v>1080</v>
      </c>
      <c r="C385" s="41" t="s">
        <v>1676</v>
      </c>
      <c r="D385" s="21" t="s">
        <v>2221</v>
      </c>
      <c r="E385" s="21" t="s">
        <v>2222</v>
      </c>
      <c r="F385" s="24">
        <v>0.18447979681541668</v>
      </c>
      <c r="G385" s="21">
        <v>12</v>
      </c>
      <c r="H385" s="17">
        <v>15.9</v>
      </c>
      <c r="I385" s="43" t="s">
        <v>3950</v>
      </c>
      <c r="J385" s="26"/>
      <c r="K385" s="17">
        <f t="shared" si="36"/>
        <v>0</v>
      </c>
      <c r="N385" s="31" t="str">
        <f t="shared" ref="N385:N448" si="39">IFERROR(IF($N$2*F385=0, "-", $N$2*F385), "-")</f>
        <v>-</v>
      </c>
      <c r="O385" s="31" t="str">
        <f t="shared" si="35"/>
        <v>-</v>
      </c>
      <c r="P385" s="35" t="str">
        <f t="shared" ref="P385:P448" si="40">IF(J385&gt;0,J385*F385, "-")</f>
        <v>-</v>
      </c>
      <c r="Q385" s="32" t="str">
        <f t="shared" si="37"/>
        <v>-</v>
      </c>
      <c r="S385" s="32" t="str">
        <f t="shared" si="38"/>
        <v>-</v>
      </c>
    </row>
    <row r="386" spans="1:19" x14ac:dyDescent="0.3">
      <c r="A386" s="45" t="s">
        <v>2461</v>
      </c>
      <c r="B386" s="40" t="s">
        <v>480</v>
      </c>
      <c r="C386" s="41" t="s">
        <v>1677</v>
      </c>
      <c r="D386" s="21" t="s">
        <v>2224</v>
      </c>
      <c r="E386" s="21" t="s">
        <v>2222</v>
      </c>
      <c r="F386" s="24">
        <v>0.12999390333737501</v>
      </c>
      <c r="G386" s="21">
        <v>12</v>
      </c>
      <c r="H386" s="17">
        <v>10.5</v>
      </c>
      <c r="I386" s="43" t="s">
        <v>3950</v>
      </c>
      <c r="J386" s="26"/>
      <c r="K386" s="17">
        <f t="shared" si="36"/>
        <v>0</v>
      </c>
      <c r="N386" s="31" t="str">
        <f t="shared" si="39"/>
        <v>-</v>
      </c>
      <c r="O386" s="31" t="str">
        <f t="shared" ref="O386:O449" si="41">IFERROR(IF(N386&gt;0,H386+N386,"-"),"-")</f>
        <v>-</v>
      </c>
      <c r="P386" s="35" t="str">
        <f t="shared" si="40"/>
        <v>-</v>
      </c>
      <c r="Q386" s="32" t="str">
        <f t="shared" si="37"/>
        <v>-</v>
      </c>
      <c r="S386" s="32" t="str">
        <f t="shared" si="38"/>
        <v>-</v>
      </c>
    </row>
    <row r="387" spans="1:19" x14ac:dyDescent="0.3">
      <c r="A387" s="45" t="s">
        <v>2463</v>
      </c>
      <c r="B387" s="40" t="s">
        <v>193</v>
      </c>
      <c r="C387" s="41" t="s">
        <v>1678</v>
      </c>
      <c r="D387" s="21" t="s">
        <v>2239</v>
      </c>
      <c r="E387" s="21" t="s">
        <v>2222</v>
      </c>
      <c r="F387" s="24">
        <v>0.114549083138875</v>
      </c>
      <c r="G387" s="21">
        <v>12</v>
      </c>
      <c r="H387" s="17">
        <v>8.6999999999999993</v>
      </c>
      <c r="I387" s="43" t="s">
        <v>3950</v>
      </c>
      <c r="J387" s="26"/>
      <c r="K387" s="17">
        <f t="shared" si="36"/>
        <v>0</v>
      </c>
      <c r="N387" s="31" t="str">
        <f t="shared" si="39"/>
        <v>-</v>
      </c>
      <c r="O387" s="31" t="str">
        <f t="shared" si="41"/>
        <v>-</v>
      </c>
      <c r="P387" s="35" t="str">
        <f t="shared" si="40"/>
        <v>-</v>
      </c>
      <c r="Q387" s="32" t="str">
        <f t="shared" si="37"/>
        <v>-</v>
      </c>
      <c r="S387" s="32" t="str">
        <f t="shared" si="38"/>
        <v>-</v>
      </c>
    </row>
    <row r="388" spans="1:19" x14ac:dyDescent="0.3">
      <c r="A388" s="45" t="s">
        <v>2464</v>
      </c>
      <c r="B388" s="40" t="s">
        <v>257</v>
      </c>
      <c r="C388" s="41" t="s">
        <v>1678</v>
      </c>
      <c r="D388" s="21" t="s">
        <v>2221</v>
      </c>
      <c r="E388" s="21" t="s">
        <v>2222</v>
      </c>
      <c r="F388" s="24">
        <v>0.20764702711316668</v>
      </c>
      <c r="G388" s="21">
        <v>12</v>
      </c>
      <c r="H388" s="17">
        <v>16.5</v>
      </c>
      <c r="I388" s="43" t="s">
        <v>3950</v>
      </c>
      <c r="J388" s="26"/>
      <c r="K388" s="17">
        <f t="shared" si="36"/>
        <v>0</v>
      </c>
      <c r="N388" s="31" t="str">
        <f t="shared" si="39"/>
        <v>-</v>
      </c>
      <c r="O388" s="31" t="str">
        <f t="shared" si="41"/>
        <v>-</v>
      </c>
      <c r="P388" s="35" t="str">
        <f t="shared" si="40"/>
        <v>-</v>
      </c>
      <c r="Q388" s="32" t="str">
        <f t="shared" si="37"/>
        <v>-</v>
      </c>
      <c r="S388" s="32" t="str">
        <f t="shared" si="38"/>
        <v>-</v>
      </c>
    </row>
    <row r="389" spans="1:19" x14ac:dyDescent="0.3">
      <c r="A389" s="45" t="s">
        <v>2465</v>
      </c>
      <c r="B389" s="40" t="s">
        <v>770</v>
      </c>
      <c r="C389" s="41" t="s">
        <v>1679</v>
      </c>
      <c r="D389" s="21" t="s">
        <v>2221</v>
      </c>
      <c r="E389" s="21" t="s">
        <v>2243</v>
      </c>
      <c r="F389" s="24">
        <v>0.19220220691466666</v>
      </c>
      <c r="G389" s="21">
        <v>12</v>
      </c>
      <c r="H389" s="17">
        <v>6.59</v>
      </c>
      <c r="I389" s="43" t="s">
        <v>3950</v>
      </c>
      <c r="J389" s="26"/>
      <c r="K389" s="17">
        <f t="shared" si="36"/>
        <v>0</v>
      </c>
      <c r="N389" s="31" t="str">
        <f t="shared" si="39"/>
        <v>-</v>
      </c>
      <c r="O389" s="31" t="str">
        <f t="shared" si="41"/>
        <v>-</v>
      </c>
      <c r="P389" s="35" t="str">
        <f t="shared" si="40"/>
        <v>-</v>
      </c>
      <c r="Q389" s="32" t="str">
        <f t="shared" si="37"/>
        <v>-</v>
      </c>
      <c r="S389" s="32" t="str">
        <f t="shared" si="38"/>
        <v>-</v>
      </c>
    </row>
    <row r="390" spans="1:19" x14ac:dyDescent="0.3">
      <c r="A390" s="45" t="s">
        <v>2466</v>
      </c>
      <c r="B390" s="40" t="s">
        <v>1041</v>
      </c>
      <c r="C390" s="41" t="s">
        <v>1680</v>
      </c>
      <c r="D390" s="21" t="s">
        <v>2239</v>
      </c>
      <c r="E390" s="21" t="s">
        <v>2222</v>
      </c>
      <c r="F390" s="24">
        <v>0.1184102881885</v>
      </c>
      <c r="G390" s="21">
        <v>12</v>
      </c>
      <c r="H390" s="17">
        <v>5.7</v>
      </c>
      <c r="I390" s="43" t="s">
        <v>3950</v>
      </c>
      <c r="J390" s="26"/>
      <c r="K390" s="17">
        <f t="shared" si="36"/>
        <v>0</v>
      </c>
      <c r="N390" s="31" t="str">
        <f t="shared" si="39"/>
        <v>-</v>
      </c>
      <c r="O390" s="31" t="str">
        <f t="shared" si="41"/>
        <v>-</v>
      </c>
      <c r="P390" s="35" t="str">
        <f t="shared" si="40"/>
        <v>-</v>
      </c>
      <c r="Q390" s="32" t="str">
        <f t="shared" si="37"/>
        <v>-</v>
      </c>
      <c r="S390" s="32" t="str">
        <f t="shared" si="38"/>
        <v>-</v>
      </c>
    </row>
    <row r="391" spans="1:19" x14ac:dyDescent="0.3">
      <c r="A391" s="45" t="s">
        <v>2468</v>
      </c>
      <c r="B391" s="40" t="s">
        <v>715</v>
      </c>
      <c r="C391" s="41" t="s">
        <v>1681</v>
      </c>
      <c r="D391" s="21" t="s">
        <v>2223</v>
      </c>
      <c r="E391" s="21" t="s">
        <v>2238</v>
      </c>
      <c r="F391" s="24">
        <v>0.36981763919741667</v>
      </c>
      <c r="G391" s="21">
        <v>12</v>
      </c>
      <c r="H391" s="17">
        <v>4.1900000000000004</v>
      </c>
      <c r="I391" s="43" t="s">
        <v>3950</v>
      </c>
      <c r="J391" s="26"/>
      <c r="K391" s="17">
        <f t="shared" si="36"/>
        <v>0</v>
      </c>
      <c r="N391" s="31" t="str">
        <f t="shared" si="39"/>
        <v>-</v>
      </c>
      <c r="O391" s="31" t="str">
        <f t="shared" si="41"/>
        <v>-</v>
      </c>
      <c r="P391" s="35" t="str">
        <f t="shared" si="40"/>
        <v>-</v>
      </c>
      <c r="Q391" s="32" t="str">
        <f t="shared" si="37"/>
        <v>-</v>
      </c>
      <c r="S391" s="32" t="str">
        <f t="shared" si="38"/>
        <v>-</v>
      </c>
    </row>
    <row r="392" spans="1:19" x14ac:dyDescent="0.3">
      <c r="A392" s="45" t="s">
        <v>2469</v>
      </c>
      <c r="B392" s="40" t="s">
        <v>1423</v>
      </c>
      <c r="C392" s="41" t="s">
        <v>1681</v>
      </c>
      <c r="D392" s="21" t="s">
        <v>2224</v>
      </c>
      <c r="E392" s="21" t="s">
        <v>2238</v>
      </c>
      <c r="F392" s="24">
        <v>6.0921235227416673E-2</v>
      </c>
      <c r="G392" s="21">
        <v>12</v>
      </c>
      <c r="H392" s="17">
        <v>6.59</v>
      </c>
      <c r="I392" s="43" t="s">
        <v>3950</v>
      </c>
      <c r="J392" s="26"/>
      <c r="K392" s="17">
        <f t="shared" si="36"/>
        <v>0</v>
      </c>
      <c r="N392" s="31" t="str">
        <f t="shared" si="39"/>
        <v>-</v>
      </c>
      <c r="O392" s="31" t="str">
        <f t="shared" si="41"/>
        <v>-</v>
      </c>
      <c r="P392" s="35" t="str">
        <f t="shared" si="40"/>
        <v>-</v>
      </c>
      <c r="Q392" s="32" t="str">
        <f t="shared" si="37"/>
        <v>-</v>
      </c>
      <c r="S392" s="32" t="str">
        <f t="shared" si="38"/>
        <v>-</v>
      </c>
    </row>
    <row r="393" spans="1:19" x14ac:dyDescent="0.3">
      <c r="A393" s="45" t="s">
        <v>2470</v>
      </c>
      <c r="B393" s="40" t="s">
        <v>1433</v>
      </c>
      <c r="C393" s="41" t="s">
        <v>1682</v>
      </c>
      <c r="D393" s="21" t="s">
        <v>2227</v>
      </c>
      <c r="E393" s="21" t="s">
        <v>2222</v>
      </c>
      <c r="F393" s="24">
        <v>0.1999246170139167</v>
      </c>
      <c r="G393" s="21">
        <v>12</v>
      </c>
      <c r="H393" s="17">
        <v>19.95</v>
      </c>
      <c r="I393" s="43" t="s">
        <v>3950</v>
      </c>
      <c r="J393" s="26"/>
      <c r="K393" s="17">
        <f t="shared" si="36"/>
        <v>0</v>
      </c>
      <c r="N393" s="31" t="str">
        <f t="shared" si="39"/>
        <v>-</v>
      </c>
      <c r="O393" s="31" t="str">
        <f t="shared" si="41"/>
        <v>-</v>
      </c>
      <c r="P393" s="35" t="str">
        <f t="shared" si="40"/>
        <v>-</v>
      </c>
      <c r="Q393" s="32" t="str">
        <f t="shared" si="37"/>
        <v>-</v>
      </c>
      <c r="S393" s="32" t="str">
        <f t="shared" si="38"/>
        <v>-</v>
      </c>
    </row>
    <row r="394" spans="1:19" x14ac:dyDescent="0.3">
      <c r="A394" s="45" t="s">
        <v>2472</v>
      </c>
      <c r="B394" s="40" t="s">
        <v>192</v>
      </c>
      <c r="C394" s="41" t="s">
        <v>1683</v>
      </c>
      <c r="D394" s="21" t="s">
        <v>2246</v>
      </c>
      <c r="E394" s="21" t="s">
        <v>2222</v>
      </c>
      <c r="F394" s="24">
        <v>0.59591264599212501</v>
      </c>
      <c r="G394" s="21">
        <v>12</v>
      </c>
      <c r="H394" s="17">
        <v>23.1</v>
      </c>
      <c r="I394" s="43" t="s">
        <v>3950</v>
      </c>
      <c r="J394" s="26"/>
      <c r="K394" s="17">
        <f t="shared" si="36"/>
        <v>0</v>
      </c>
      <c r="N394" s="31" t="str">
        <f t="shared" si="39"/>
        <v>-</v>
      </c>
      <c r="O394" s="31" t="str">
        <f t="shared" si="41"/>
        <v>-</v>
      </c>
      <c r="P394" s="35" t="str">
        <f t="shared" si="40"/>
        <v>-</v>
      </c>
      <c r="Q394" s="32" t="str">
        <f t="shared" si="37"/>
        <v>-</v>
      </c>
      <c r="S394" s="32" t="str">
        <f t="shared" si="38"/>
        <v>-</v>
      </c>
    </row>
    <row r="395" spans="1:19" x14ac:dyDescent="0.3">
      <c r="A395" s="45" t="s">
        <v>2473</v>
      </c>
      <c r="B395" s="40" t="s">
        <v>903</v>
      </c>
      <c r="C395" s="41" t="s">
        <v>1683</v>
      </c>
      <c r="D395" s="21" t="s">
        <v>2247</v>
      </c>
      <c r="E395" s="21" t="s">
        <v>2222</v>
      </c>
      <c r="F395" s="24">
        <v>0.85375533875041665</v>
      </c>
      <c r="G395" s="21">
        <v>12</v>
      </c>
      <c r="H395" s="17">
        <v>44.99</v>
      </c>
      <c r="I395" s="43" t="s">
        <v>3950</v>
      </c>
      <c r="J395" s="26"/>
      <c r="K395" s="17">
        <f t="shared" si="36"/>
        <v>0</v>
      </c>
      <c r="N395" s="31" t="str">
        <f t="shared" si="39"/>
        <v>-</v>
      </c>
      <c r="O395" s="31" t="str">
        <f t="shared" si="41"/>
        <v>-</v>
      </c>
      <c r="P395" s="35" t="str">
        <f t="shared" si="40"/>
        <v>-</v>
      </c>
      <c r="Q395" s="32" t="str">
        <f t="shared" si="37"/>
        <v>-</v>
      </c>
      <c r="S395" s="32" t="str">
        <f t="shared" si="38"/>
        <v>-</v>
      </c>
    </row>
    <row r="396" spans="1:19" x14ac:dyDescent="0.3">
      <c r="A396" s="45" t="s">
        <v>2474</v>
      </c>
      <c r="B396" s="40" t="s">
        <v>1448</v>
      </c>
      <c r="C396" s="41" t="s">
        <v>1630</v>
      </c>
      <c r="D396" s="21" t="s">
        <v>2233</v>
      </c>
      <c r="E396" s="21" t="s">
        <v>2238</v>
      </c>
      <c r="F396" s="24">
        <v>0.11969735653837503</v>
      </c>
      <c r="G396" s="21">
        <v>12</v>
      </c>
      <c r="H396" s="17">
        <v>19.5</v>
      </c>
      <c r="I396" s="43" t="s">
        <v>3950</v>
      </c>
      <c r="J396" s="26"/>
      <c r="K396" s="17">
        <f t="shared" si="36"/>
        <v>0</v>
      </c>
      <c r="N396" s="31" t="str">
        <f t="shared" si="39"/>
        <v>-</v>
      </c>
      <c r="O396" s="31" t="str">
        <f t="shared" si="41"/>
        <v>-</v>
      </c>
      <c r="P396" s="35" t="str">
        <f t="shared" si="40"/>
        <v>-</v>
      </c>
      <c r="Q396" s="32" t="str">
        <f t="shared" si="37"/>
        <v>-</v>
      </c>
      <c r="S396" s="32" t="str">
        <f t="shared" si="38"/>
        <v>-</v>
      </c>
    </row>
    <row r="397" spans="1:19" x14ac:dyDescent="0.3">
      <c r="A397" s="45" t="s">
        <v>2475</v>
      </c>
      <c r="B397" s="40" t="s">
        <v>5</v>
      </c>
      <c r="C397" s="41" t="s">
        <v>1634</v>
      </c>
      <c r="D397" s="21" t="s">
        <v>2233</v>
      </c>
      <c r="E397" s="21" t="s">
        <v>2222</v>
      </c>
      <c r="F397" s="24">
        <v>0.31318663180291667</v>
      </c>
      <c r="G397" s="21">
        <v>12</v>
      </c>
      <c r="H397" s="17">
        <v>40.5</v>
      </c>
      <c r="I397" s="43" t="s">
        <v>3950</v>
      </c>
      <c r="J397" s="26"/>
      <c r="K397" s="17">
        <f t="shared" si="36"/>
        <v>0</v>
      </c>
      <c r="N397" s="31" t="str">
        <f t="shared" si="39"/>
        <v>-</v>
      </c>
      <c r="O397" s="31" t="str">
        <f t="shared" si="41"/>
        <v>-</v>
      </c>
      <c r="P397" s="35" t="str">
        <f t="shared" si="40"/>
        <v>-</v>
      </c>
      <c r="Q397" s="32" t="str">
        <f t="shared" si="37"/>
        <v>-</v>
      </c>
      <c r="S397" s="32" t="str">
        <f t="shared" si="38"/>
        <v>-</v>
      </c>
    </row>
    <row r="398" spans="1:19" x14ac:dyDescent="0.3">
      <c r="A398" s="45" t="s">
        <v>2476</v>
      </c>
      <c r="B398" s="40" t="s">
        <v>1033</v>
      </c>
      <c r="C398" s="41" t="s">
        <v>1684</v>
      </c>
      <c r="D398" s="21" t="s">
        <v>2221</v>
      </c>
      <c r="E398" s="21" t="s">
        <v>2222</v>
      </c>
      <c r="F398" s="24">
        <v>0.11969735653837503</v>
      </c>
      <c r="G398" s="21">
        <v>12</v>
      </c>
      <c r="H398" s="17">
        <v>6.59</v>
      </c>
      <c r="I398" s="43" t="s">
        <v>3950</v>
      </c>
      <c r="J398" s="26"/>
      <c r="K398" s="17">
        <f t="shared" si="36"/>
        <v>0</v>
      </c>
      <c r="N398" s="31" t="str">
        <f t="shared" si="39"/>
        <v>-</v>
      </c>
      <c r="O398" s="31" t="str">
        <f t="shared" si="41"/>
        <v>-</v>
      </c>
      <c r="P398" s="35" t="str">
        <f t="shared" si="40"/>
        <v>-</v>
      </c>
      <c r="Q398" s="32" t="str">
        <f t="shared" si="37"/>
        <v>-</v>
      </c>
      <c r="S398" s="32" t="str">
        <f t="shared" si="38"/>
        <v>-</v>
      </c>
    </row>
    <row r="399" spans="1:19" x14ac:dyDescent="0.3">
      <c r="A399" s="45" t="s">
        <v>2477</v>
      </c>
      <c r="B399" s="40" t="s">
        <v>683</v>
      </c>
      <c r="C399" s="41" t="s">
        <v>1684</v>
      </c>
      <c r="D399" s="21" t="s">
        <v>2245</v>
      </c>
      <c r="E399" s="21" t="s">
        <v>2222</v>
      </c>
      <c r="F399" s="24">
        <v>0.27543262687325004</v>
      </c>
      <c r="G399" s="21">
        <v>12</v>
      </c>
      <c r="H399" s="17">
        <v>15.3</v>
      </c>
      <c r="I399" s="43" t="s">
        <v>3950</v>
      </c>
      <c r="J399" s="26"/>
      <c r="K399" s="17">
        <f t="shared" si="36"/>
        <v>0</v>
      </c>
      <c r="N399" s="31" t="str">
        <f t="shared" si="39"/>
        <v>-</v>
      </c>
      <c r="O399" s="31" t="str">
        <f t="shared" si="41"/>
        <v>-</v>
      </c>
      <c r="P399" s="35" t="str">
        <f t="shared" si="40"/>
        <v>-</v>
      </c>
      <c r="Q399" s="32" t="str">
        <f t="shared" si="37"/>
        <v>-</v>
      </c>
      <c r="S399" s="32" t="str">
        <f t="shared" si="38"/>
        <v>-</v>
      </c>
    </row>
    <row r="400" spans="1:19" x14ac:dyDescent="0.3">
      <c r="A400" s="45" t="s">
        <v>2478</v>
      </c>
      <c r="B400" s="40" t="s">
        <v>920</v>
      </c>
      <c r="C400" s="41" t="s">
        <v>1685</v>
      </c>
      <c r="D400" s="21" t="s">
        <v>2239</v>
      </c>
      <c r="E400" s="21" t="s">
        <v>2222</v>
      </c>
      <c r="F400" s="24">
        <v>7.2075827592999991E-2</v>
      </c>
      <c r="G400" s="21">
        <v>12</v>
      </c>
      <c r="H400" s="17">
        <v>6.3</v>
      </c>
      <c r="I400" s="43" t="s">
        <v>3950</v>
      </c>
      <c r="J400" s="26"/>
      <c r="K400" s="17">
        <f t="shared" si="36"/>
        <v>0</v>
      </c>
      <c r="N400" s="31" t="str">
        <f t="shared" si="39"/>
        <v>-</v>
      </c>
      <c r="O400" s="31" t="str">
        <f t="shared" si="41"/>
        <v>-</v>
      </c>
      <c r="P400" s="35" t="str">
        <f t="shared" si="40"/>
        <v>-</v>
      </c>
      <c r="Q400" s="32" t="str">
        <f t="shared" si="37"/>
        <v>-</v>
      </c>
      <c r="S400" s="32" t="str">
        <f t="shared" si="38"/>
        <v>-</v>
      </c>
    </row>
    <row r="401" spans="1:19" x14ac:dyDescent="0.3">
      <c r="A401" s="45" t="s">
        <v>2479</v>
      </c>
      <c r="B401" s="40" t="s">
        <v>261</v>
      </c>
      <c r="C401" s="41" t="s">
        <v>1685</v>
      </c>
      <c r="D401" s="21" t="s">
        <v>2221</v>
      </c>
      <c r="E401" s="21" t="s">
        <v>2222</v>
      </c>
      <c r="F401" s="24">
        <v>0.12098442488825001</v>
      </c>
      <c r="G401" s="21">
        <v>12</v>
      </c>
      <c r="H401" s="17">
        <v>11.85</v>
      </c>
      <c r="I401" s="43" t="s">
        <v>3950</v>
      </c>
      <c r="J401" s="26"/>
      <c r="K401" s="17">
        <f t="shared" si="36"/>
        <v>0</v>
      </c>
      <c r="N401" s="31" t="str">
        <f t="shared" si="39"/>
        <v>-</v>
      </c>
      <c r="O401" s="31" t="str">
        <f t="shared" si="41"/>
        <v>-</v>
      </c>
      <c r="P401" s="35" t="str">
        <f t="shared" si="40"/>
        <v>-</v>
      </c>
      <c r="Q401" s="32" t="str">
        <f t="shared" si="37"/>
        <v>-</v>
      </c>
      <c r="S401" s="32" t="str">
        <f t="shared" si="38"/>
        <v>-</v>
      </c>
    </row>
    <row r="402" spans="1:19" x14ac:dyDescent="0.3">
      <c r="A402" s="45" t="s">
        <v>2480</v>
      </c>
      <c r="B402" s="40" t="s">
        <v>733</v>
      </c>
      <c r="C402" s="41" t="s">
        <v>1686</v>
      </c>
      <c r="D402" s="21" t="s">
        <v>2227</v>
      </c>
      <c r="E402" s="21" t="s">
        <v>2222</v>
      </c>
      <c r="F402" s="24">
        <v>9.9104262940375012E-2</v>
      </c>
      <c r="G402" s="21">
        <v>12</v>
      </c>
      <c r="H402" s="17">
        <v>19.190000000000001</v>
      </c>
      <c r="I402" s="43" t="s">
        <v>3950</v>
      </c>
      <c r="J402" s="26"/>
      <c r="K402" s="17">
        <f t="shared" si="36"/>
        <v>0</v>
      </c>
      <c r="N402" s="31" t="str">
        <f t="shared" si="39"/>
        <v>-</v>
      </c>
      <c r="O402" s="31" t="str">
        <f t="shared" si="41"/>
        <v>-</v>
      </c>
      <c r="P402" s="35" t="str">
        <f t="shared" si="40"/>
        <v>-</v>
      </c>
      <c r="Q402" s="32" t="str">
        <f t="shared" si="37"/>
        <v>-</v>
      </c>
      <c r="S402" s="32" t="str">
        <f t="shared" si="38"/>
        <v>-</v>
      </c>
    </row>
    <row r="403" spans="1:19" x14ac:dyDescent="0.3">
      <c r="A403" s="45" t="s">
        <v>2481</v>
      </c>
      <c r="B403" s="40" t="s">
        <v>1117</v>
      </c>
      <c r="C403" s="41" t="s">
        <v>1687</v>
      </c>
      <c r="D403" s="21" t="s">
        <v>2230</v>
      </c>
      <c r="E403" s="21" t="s">
        <v>2229</v>
      </c>
      <c r="F403" s="24">
        <v>0.17444066368639166</v>
      </c>
      <c r="G403" s="21">
        <v>12</v>
      </c>
      <c r="H403" s="17">
        <v>10.5</v>
      </c>
      <c r="I403" s="43" t="s">
        <v>3950</v>
      </c>
      <c r="J403" s="26"/>
      <c r="K403" s="17">
        <f t="shared" si="36"/>
        <v>0</v>
      </c>
      <c r="N403" s="31" t="str">
        <f t="shared" si="39"/>
        <v>-</v>
      </c>
      <c r="O403" s="31" t="str">
        <f t="shared" si="41"/>
        <v>-</v>
      </c>
      <c r="P403" s="35" t="str">
        <f t="shared" si="40"/>
        <v>-</v>
      </c>
      <c r="Q403" s="32" t="str">
        <f t="shared" si="37"/>
        <v>-</v>
      </c>
      <c r="S403" s="32" t="str">
        <f t="shared" si="38"/>
        <v>-</v>
      </c>
    </row>
    <row r="404" spans="1:19" x14ac:dyDescent="0.3">
      <c r="A404" s="45" t="s">
        <v>2482</v>
      </c>
      <c r="B404" s="40" t="s">
        <v>1157</v>
      </c>
      <c r="C404" s="41" t="s">
        <v>1687</v>
      </c>
      <c r="D404" s="21" t="s">
        <v>2235</v>
      </c>
      <c r="E404" s="21" t="s">
        <v>2229</v>
      </c>
      <c r="F404" s="24">
        <v>0.26256194337450006</v>
      </c>
      <c r="G404" s="21">
        <v>12</v>
      </c>
      <c r="H404" s="17">
        <v>18.899999999999999</v>
      </c>
      <c r="I404" s="43" t="s">
        <v>3950</v>
      </c>
      <c r="J404" s="26"/>
      <c r="K404" s="17">
        <f t="shared" si="36"/>
        <v>0</v>
      </c>
      <c r="N404" s="31" t="str">
        <f t="shared" si="39"/>
        <v>-</v>
      </c>
      <c r="O404" s="31" t="str">
        <f t="shared" si="41"/>
        <v>-</v>
      </c>
      <c r="P404" s="35" t="str">
        <f t="shared" si="40"/>
        <v>-</v>
      </c>
      <c r="Q404" s="32" t="str">
        <f t="shared" si="37"/>
        <v>-</v>
      </c>
      <c r="S404" s="32" t="str">
        <f t="shared" si="38"/>
        <v>-</v>
      </c>
    </row>
    <row r="405" spans="1:19" x14ac:dyDescent="0.3">
      <c r="A405" s="45" t="s">
        <v>2483</v>
      </c>
      <c r="B405" s="40" t="s">
        <v>1140</v>
      </c>
      <c r="C405" s="41" t="s">
        <v>1658</v>
      </c>
      <c r="D405" s="21" t="s">
        <v>2227</v>
      </c>
      <c r="E405" s="21" t="s">
        <v>2222</v>
      </c>
      <c r="F405" s="24">
        <v>0.13514217673687501</v>
      </c>
      <c r="G405" s="21">
        <v>12</v>
      </c>
      <c r="H405" s="17">
        <v>22.5</v>
      </c>
      <c r="I405" s="43" t="s">
        <v>3950</v>
      </c>
      <c r="J405" s="26"/>
      <c r="K405" s="17">
        <f t="shared" si="36"/>
        <v>0</v>
      </c>
      <c r="N405" s="31" t="str">
        <f t="shared" si="39"/>
        <v>-</v>
      </c>
      <c r="O405" s="31" t="str">
        <f t="shared" si="41"/>
        <v>-</v>
      </c>
      <c r="P405" s="35" t="str">
        <f t="shared" si="40"/>
        <v>-</v>
      </c>
      <c r="Q405" s="32" t="str">
        <f t="shared" si="37"/>
        <v>-</v>
      </c>
      <c r="S405" s="32" t="str">
        <f t="shared" si="38"/>
        <v>-</v>
      </c>
    </row>
    <row r="406" spans="1:19" x14ac:dyDescent="0.3">
      <c r="A406" s="45" t="s">
        <v>2484</v>
      </c>
      <c r="B406" s="40" t="s">
        <v>197</v>
      </c>
      <c r="C406" s="41" t="s">
        <v>1627</v>
      </c>
      <c r="D406" s="21" t="s">
        <v>2227</v>
      </c>
      <c r="E406" s="21" t="s">
        <v>2222</v>
      </c>
      <c r="F406" s="24">
        <v>6.6927554193500008E-2</v>
      </c>
      <c r="G406" s="21">
        <v>12</v>
      </c>
      <c r="H406" s="17">
        <v>25.79</v>
      </c>
      <c r="I406" s="43" t="s">
        <v>3950</v>
      </c>
      <c r="J406" s="26"/>
      <c r="K406" s="17">
        <f t="shared" si="36"/>
        <v>0</v>
      </c>
      <c r="N406" s="31" t="str">
        <f t="shared" si="39"/>
        <v>-</v>
      </c>
      <c r="O406" s="31" t="str">
        <f t="shared" si="41"/>
        <v>-</v>
      </c>
      <c r="P406" s="35" t="str">
        <f t="shared" si="40"/>
        <v>-</v>
      </c>
      <c r="Q406" s="32" t="str">
        <f t="shared" si="37"/>
        <v>-</v>
      </c>
      <c r="S406" s="32" t="str">
        <f t="shared" si="38"/>
        <v>-</v>
      </c>
    </row>
    <row r="407" spans="1:19" x14ac:dyDescent="0.3">
      <c r="A407" s="45" t="s">
        <v>2485</v>
      </c>
      <c r="B407" s="40" t="s">
        <v>684</v>
      </c>
      <c r="C407" s="41" t="s">
        <v>1688</v>
      </c>
      <c r="D407" s="21" t="s">
        <v>2235</v>
      </c>
      <c r="E407" s="21" t="s">
        <v>2229</v>
      </c>
      <c r="F407" s="24">
        <v>0.26256194337450006</v>
      </c>
      <c r="G407" s="21">
        <v>12</v>
      </c>
      <c r="H407" s="17">
        <v>11.1</v>
      </c>
      <c r="I407" s="43" t="s">
        <v>3950</v>
      </c>
      <c r="J407" s="26"/>
      <c r="K407" s="17">
        <f t="shared" si="36"/>
        <v>0</v>
      </c>
      <c r="N407" s="31" t="str">
        <f t="shared" si="39"/>
        <v>-</v>
      </c>
      <c r="O407" s="31" t="str">
        <f t="shared" si="41"/>
        <v>-</v>
      </c>
      <c r="P407" s="35" t="str">
        <f t="shared" si="40"/>
        <v>-</v>
      </c>
      <c r="Q407" s="32" t="str">
        <f t="shared" si="37"/>
        <v>-</v>
      </c>
      <c r="S407" s="32" t="str">
        <f t="shared" si="38"/>
        <v>-</v>
      </c>
    </row>
    <row r="408" spans="1:19" x14ac:dyDescent="0.3">
      <c r="A408" s="45" t="s">
        <v>2486</v>
      </c>
      <c r="B408" s="40" t="s">
        <v>561</v>
      </c>
      <c r="C408" s="41" t="s">
        <v>1689</v>
      </c>
      <c r="D408" s="21" t="s">
        <v>2221</v>
      </c>
      <c r="E408" s="21" t="s">
        <v>2222</v>
      </c>
      <c r="F408" s="24">
        <v>0.13514217673687501</v>
      </c>
      <c r="G408" s="21">
        <v>12</v>
      </c>
      <c r="H408" s="17">
        <v>5.39</v>
      </c>
      <c r="I408" s="43" t="s">
        <v>3950</v>
      </c>
      <c r="J408" s="26"/>
      <c r="K408" s="17">
        <f t="shared" si="36"/>
        <v>0</v>
      </c>
      <c r="N408" s="31" t="str">
        <f t="shared" si="39"/>
        <v>-</v>
      </c>
      <c r="O408" s="31" t="str">
        <f t="shared" si="41"/>
        <v>-</v>
      </c>
      <c r="P408" s="35" t="str">
        <f t="shared" si="40"/>
        <v>-</v>
      </c>
      <c r="Q408" s="32" t="str">
        <f t="shared" si="37"/>
        <v>-</v>
      </c>
      <c r="S408" s="32" t="str">
        <f t="shared" si="38"/>
        <v>-</v>
      </c>
    </row>
    <row r="409" spans="1:19" x14ac:dyDescent="0.3">
      <c r="A409" s="45" t="s">
        <v>2488</v>
      </c>
      <c r="B409" s="40" t="s">
        <v>696</v>
      </c>
      <c r="C409" s="41" t="s">
        <v>1690</v>
      </c>
      <c r="D409" s="21" t="s">
        <v>2224</v>
      </c>
      <c r="E409" s="21" t="s">
        <v>2232</v>
      </c>
      <c r="F409" s="24">
        <v>7.7224100992499989E-2</v>
      </c>
      <c r="G409" s="21">
        <v>12</v>
      </c>
      <c r="H409" s="17">
        <v>7.65</v>
      </c>
      <c r="I409" s="43" t="s">
        <v>3950</v>
      </c>
      <c r="J409" s="26"/>
      <c r="K409" s="17">
        <f t="shared" si="36"/>
        <v>0</v>
      </c>
      <c r="N409" s="31" t="str">
        <f t="shared" si="39"/>
        <v>-</v>
      </c>
      <c r="O409" s="31" t="str">
        <f t="shared" si="41"/>
        <v>-</v>
      </c>
      <c r="P409" s="35" t="str">
        <f t="shared" si="40"/>
        <v>-</v>
      </c>
      <c r="Q409" s="32" t="str">
        <f t="shared" si="37"/>
        <v>-</v>
      </c>
      <c r="S409" s="32" t="str">
        <f t="shared" si="38"/>
        <v>-</v>
      </c>
    </row>
    <row r="410" spans="1:19" x14ac:dyDescent="0.3">
      <c r="A410" s="45" t="s">
        <v>2489</v>
      </c>
      <c r="B410" s="40" t="s">
        <v>1377</v>
      </c>
      <c r="C410" s="41" t="s">
        <v>1690</v>
      </c>
      <c r="D410" s="21" t="s">
        <v>2225</v>
      </c>
      <c r="E410" s="21" t="s">
        <v>2232</v>
      </c>
      <c r="F410" s="24">
        <v>0.11068787808925001</v>
      </c>
      <c r="G410" s="21">
        <v>12</v>
      </c>
      <c r="H410" s="17">
        <v>11.1</v>
      </c>
      <c r="I410" s="43" t="s">
        <v>3950</v>
      </c>
      <c r="J410" s="26"/>
      <c r="K410" s="17">
        <f t="shared" si="36"/>
        <v>0</v>
      </c>
      <c r="N410" s="31" t="str">
        <f t="shared" si="39"/>
        <v>-</v>
      </c>
      <c r="O410" s="31" t="str">
        <f t="shared" si="41"/>
        <v>-</v>
      </c>
      <c r="P410" s="35" t="str">
        <f t="shared" si="40"/>
        <v>-</v>
      </c>
      <c r="Q410" s="32" t="str">
        <f t="shared" si="37"/>
        <v>-</v>
      </c>
      <c r="S410" s="32" t="str">
        <f t="shared" si="38"/>
        <v>-</v>
      </c>
    </row>
    <row r="411" spans="1:19" x14ac:dyDescent="0.3">
      <c r="A411" s="45" t="s">
        <v>2490</v>
      </c>
      <c r="B411" s="40" t="s">
        <v>187</v>
      </c>
      <c r="C411" s="41" t="s">
        <v>1691</v>
      </c>
      <c r="D411" s="21" t="s">
        <v>2223</v>
      </c>
      <c r="E411" s="21" t="s">
        <v>2238</v>
      </c>
      <c r="F411" s="24">
        <v>5.5772961827916676E-2</v>
      </c>
      <c r="G411" s="21">
        <v>12</v>
      </c>
      <c r="H411" s="17">
        <v>4.5</v>
      </c>
      <c r="I411" s="43" t="s">
        <v>3950</v>
      </c>
      <c r="J411" s="26"/>
      <c r="K411" s="17">
        <f t="shared" si="36"/>
        <v>0</v>
      </c>
      <c r="N411" s="31" t="str">
        <f t="shared" si="39"/>
        <v>-</v>
      </c>
      <c r="O411" s="31" t="str">
        <f t="shared" si="41"/>
        <v>-</v>
      </c>
      <c r="P411" s="35" t="str">
        <f t="shared" si="40"/>
        <v>-</v>
      </c>
      <c r="Q411" s="32" t="str">
        <f t="shared" si="37"/>
        <v>-</v>
      </c>
      <c r="S411" s="32" t="str">
        <f t="shared" si="38"/>
        <v>-</v>
      </c>
    </row>
    <row r="412" spans="1:19" x14ac:dyDescent="0.3">
      <c r="A412" s="45" t="s">
        <v>2492</v>
      </c>
      <c r="B412" s="40" t="s">
        <v>692</v>
      </c>
      <c r="C412" s="41" t="s">
        <v>1692</v>
      </c>
      <c r="D412" s="21" t="s">
        <v>2242</v>
      </c>
      <c r="E412" s="21" t="s">
        <v>2222</v>
      </c>
      <c r="F412" s="24">
        <v>0.38268832269616665</v>
      </c>
      <c r="G412" s="21">
        <v>12</v>
      </c>
      <c r="H412" s="17">
        <v>25.79</v>
      </c>
      <c r="I412" s="43" t="s">
        <v>3950</v>
      </c>
      <c r="J412" s="26"/>
      <c r="K412" s="17">
        <f t="shared" si="36"/>
        <v>0</v>
      </c>
      <c r="N412" s="31" t="str">
        <f t="shared" si="39"/>
        <v>-</v>
      </c>
      <c r="O412" s="31" t="str">
        <f t="shared" si="41"/>
        <v>-</v>
      </c>
      <c r="P412" s="35" t="str">
        <f t="shared" si="40"/>
        <v>-</v>
      </c>
      <c r="Q412" s="32" t="str">
        <f t="shared" si="37"/>
        <v>-</v>
      </c>
      <c r="S412" s="32" t="str">
        <f t="shared" si="38"/>
        <v>-</v>
      </c>
    </row>
    <row r="413" spans="1:19" x14ac:dyDescent="0.3">
      <c r="A413" s="45" t="s">
        <v>2493</v>
      </c>
      <c r="B413" s="40" t="s">
        <v>720</v>
      </c>
      <c r="C413" s="41" t="s">
        <v>1691</v>
      </c>
      <c r="D413" s="21" t="s">
        <v>2224</v>
      </c>
      <c r="E413" s="21" t="s">
        <v>2238</v>
      </c>
      <c r="F413" s="24">
        <v>8.7520647791500011E-2</v>
      </c>
      <c r="G413" s="21">
        <v>12</v>
      </c>
      <c r="H413" s="17">
        <v>8.6999999999999993</v>
      </c>
      <c r="I413" s="43" t="s">
        <v>3950</v>
      </c>
      <c r="J413" s="26"/>
      <c r="K413" s="17">
        <f t="shared" si="36"/>
        <v>0</v>
      </c>
      <c r="N413" s="31" t="str">
        <f t="shared" si="39"/>
        <v>-</v>
      </c>
      <c r="O413" s="31" t="str">
        <f t="shared" si="41"/>
        <v>-</v>
      </c>
      <c r="P413" s="35" t="str">
        <f t="shared" si="40"/>
        <v>-</v>
      </c>
      <c r="Q413" s="32" t="str">
        <f t="shared" si="37"/>
        <v>-</v>
      </c>
      <c r="S413" s="32" t="str">
        <f t="shared" si="38"/>
        <v>-</v>
      </c>
    </row>
    <row r="414" spans="1:19" x14ac:dyDescent="0.3">
      <c r="A414" s="45" t="s">
        <v>2494</v>
      </c>
      <c r="B414" s="40" t="s">
        <v>698</v>
      </c>
      <c r="C414" s="41" t="s">
        <v>1693</v>
      </c>
      <c r="D414" s="21" t="s">
        <v>2221</v>
      </c>
      <c r="E414" s="21" t="s">
        <v>2222</v>
      </c>
      <c r="F414" s="24">
        <v>0.22824012071116667</v>
      </c>
      <c r="G414" s="21">
        <v>12</v>
      </c>
      <c r="H414" s="17">
        <v>6.9</v>
      </c>
      <c r="I414" s="43" t="s">
        <v>3950</v>
      </c>
      <c r="J414" s="26"/>
      <c r="K414" s="17">
        <f t="shared" si="36"/>
        <v>0</v>
      </c>
      <c r="N414" s="31" t="str">
        <f t="shared" si="39"/>
        <v>-</v>
      </c>
      <c r="O414" s="31" t="str">
        <f t="shared" si="41"/>
        <v>-</v>
      </c>
      <c r="P414" s="35" t="str">
        <f t="shared" si="40"/>
        <v>-</v>
      </c>
      <c r="Q414" s="32" t="str">
        <f t="shared" si="37"/>
        <v>-</v>
      </c>
      <c r="S414" s="32" t="str">
        <f t="shared" si="38"/>
        <v>-</v>
      </c>
    </row>
    <row r="415" spans="1:19" x14ac:dyDescent="0.3">
      <c r="A415" s="45" t="s">
        <v>2495</v>
      </c>
      <c r="B415" s="40" t="s">
        <v>690</v>
      </c>
      <c r="C415" s="41" t="s">
        <v>1693</v>
      </c>
      <c r="D415" s="21" t="s">
        <v>2242</v>
      </c>
      <c r="E415" s="21" t="s">
        <v>2222</v>
      </c>
      <c r="F415" s="24">
        <v>0.42902278329166671</v>
      </c>
      <c r="G415" s="21">
        <v>12</v>
      </c>
      <c r="H415" s="17">
        <v>12.9</v>
      </c>
      <c r="I415" s="43" t="s">
        <v>3950</v>
      </c>
      <c r="J415" s="26"/>
      <c r="K415" s="17">
        <f t="shared" si="36"/>
        <v>0</v>
      </c>
      <c r="N415" s="31" t="str">
        <f t="shared" si="39"/>
        <v>-</v>
      </c>
      <c r="O415" s="31" t="str">
        <f t="shared" si="41"/>
        <v>-</v>
      </c>
      <c r="P415" s="35" t="str">
        <f t="shared" si="40"/>
        <v>-</v>
      </c>
      <c r="Q415" s="32" t="str">
        <f t="shared" si="37"/>
        <v>-</v>
      </c>
      <c r="S415" s="32" t="str">
        <f t="shared" si="38"/>
        <v>-</v>
      </c>
    </row>
    <row r="416" spans="1:19" x14ac:dyDescent="0.3">
      <c r="A416" s="45" t="s">
        <v>2496</v>
      </c>
      <c r="B416" s="40" t="s">
        <v>541</v>
      </c>
      <c r="C416" s="41" t="s">
        <v>1694</v>
      </c>
      <c r="D416" s="21" t="s">
        <v>2231</v>
      </c>
      <c r="E416" s="21" t="s">
        <v>2222</v>
      </c>
      <c r="F416" s="24">
        <v>0.10940080973937501</v>
      </c>
      <c r="G416" s="21">
        <v>12</v>
      </c>
      <c r="H416" s="17">
        <v>6.3</v>
      </c>
      <c r="I416" s="43" t="s">
        <v>3950</v>
      </c>
      <c r="J416" s="26"/>
      <c r="K416" s="17">
        <f t="shared" si="36"/>
        <v>0</v>
      </c>
      <c r="N416" s="31" t="str">
        <f t="shared" si="39"/>
        <v>-</v>
      </c>
      <c r="O416" s="31" t="str">
        <f t="shared" si="41"/>
        <v>-</v>
      </c>
      <c r="P416" s="35" t="str">
        <f t="shared" si="40"/>
        <v>-</v>
      </c>
      <c r="Q416" s="32" t="str">
        <f t="shared" si="37"/>
        <v>-</v>
      </c>
      <c r="S416" s="32" t="str">
        <f t="shared" si="38"/>
        <v>-</v>
      </c>
    </row>
    <row r="417" spans="1:19" x14ac:dyDescent="0.3">
      <c r="A417" s="45" t="s">
        <v>2501</v>
      </c>
      <c r="B417" s="40" t="s">
        <v>319</v>
      </c>
      <c r="C417" s="41" t="s">
        <v>1697</v>
      </c>
      <c r="D417" s="21" t="s">
        <v>2231</v>
      </c>
      <c r="E417" s="21" t="s">
        <v>2238</v>
      </c>
      <c r="F417" s="24">
        <v>6.0921235227416673E-2</v>
      </c>
      <c r="G417" s="21">
        <v>12</v>
      </c>
      <c r="H417" s="17">
        <v>6.59</v>
      </c>
      <c r="I417" s="43" t="s">
        <v>3950</v>
      </c>
      <c r="J417" s="26"/>
      <c r="K417" s="17">
        <f t="shared" si="36"/>
        <v>0</v>
      </c>
      <c r="N417" s="31" t="str">
        <f t="shared" si="39"/>
        <v>-</v>
      </c>
      <c r="O417" s="31" t="str">
        <f t="shared" si="41"/>
        <v>-</v>
      </c>
      <c r="P417" s="35" t="str">
        <f t="shared" si="40"/>
        <v>-</v>
      </c>
      <c r="Q417" s="32" t="str">
        <f t="shared" si="37"/>
        <v>-</v>
      </c>
      <c r="S417" s="32" t="str">
        <f t="shared" si="38"/>
        <v>-</v>
      </c>
    </row>
    <row r="418" spans="1:19" x14ac:dyDescent="0.3">
      <c r="A418" s="45" t="s">
        <v>2502</v>
      </c>
      <c r="B418" s="40" t="s">
        <v>867</v>
      </c>
      <c r="C418" s="41" t="s">
        <v>1697</v>
      </c>
      <c r="D418" s="21" t="s">
        <v>2225</v>
      </c>
      <c r="E418" s="21" t="s">
        <v>2238</v>
      </c>
      <c r="F418" s="24">
        <v>9.2668921191000023E-2</v>
      </c>
      <c r="G418" s="21">
        <v>12</v>
      </c>
      <c r="H418" s="17">
        <v>12.3</v>
      </c>
      <c r="I418" s="43" t="s">
        <v>3950</v>
      </c>
      <c r="J418" s="26"/>
      <c r="K418" s="17">
        <f t="shared" si="36"/>
        <v>0</v>
      </c>
      <c r="N418" s="31" t="str">
        <f t="shared" si="39"/>
        <v>-</v>
      </c>
      <c r="O418" s="31" t="str">
        <f t="shared" si="41"/>
        <v>-</v>
      </c>
      <c r="P418" s="35" t="str">
        <f t="shared" si="40"/>
        <v>-</v>
      </c>
      <c r="Q418" s="32" t="str">
        <f t="shared" si="37"/>
        <v>-</v>
      </c>
      <c r="S418" s="32" t="str">
        <f t="shared" si="38"/>
        <v>-</v>
      </c>
    </row>
    <row r="419" spans="1:19" x14ac:dyDescent="0.3">
      <c r="A419" s="45" t="s">
        <v>2503</v>
      </c>
      <c r="B419" s="40" t="s">
        <v>291</v>
      </c>
      <c r="C419" s="41" t="s">
        <v>1698</v>
      </c>
      <c r="D419" s="21" t="s">
        <v>2231</v>
      </c>
      <c r="E419" s="21" t="s">
        <v>2238</v>
      </c>
      <c r="F419" s="24">
        <v>6.0921235227416673E-2</v>
      </c>
      <c r="G419" s="21">
        <v>12</v>
      </c>
      <c r="H419" s="17">
        <v>6.45</v>
      </c>
      <c r="I419" s="43" t="s">
        <v>3950</v>
      </c>
      <c r="J419" s="26"/>
      <c r="K419" s="17">
        <f t="shared" si="36"/>
        <v>0</v>
      </c>
      <c r="N419" s="31" t="str">
        <f t="shared" si="39"/>
        <v>-</v>
      </c>
      <c r="O419" s="31" t="str">
        <f t="shared" si="41"/>
        <v>-</v>
      </c>
      <c r="P419" s="35" t="str">
        <f t="shared" si="40"/>
        <v>-</v>
      </c>
      <c r="Q419" s="32" t="str">
        <f t="shared" si="37"/>
        <v>-</v>
      </c>
      <c r="S419" s="32" t="str">
        <f t="shared" si="38"/>
        <v>-</v>
      </c>
    </row>
    <row r="420" spans="1:19" x14ac:dyDescent="0.3">
      <c r="A420" s="45" t="s">
        <v>2504</v>
      </c>
      <c r="B420" s="40" t="s">
        <v>753</v>
      </c>
      <c r="C420" s="41" t="s">
        <v>1647</v>
      </c>
      <c r="D420" s="21" t="s">
        <v>2225</v>
      </c>
      <c r="E420" s="21" t="s">
        <v>2222</v>
      </c>
      <c r="F420" s="24">
        <v>0.20850507267975002</v>
      </c>
      <c r="G420" s="21">
        <v>12</v>
      </c>
      <c r="H420" s="17">
        <v>21.45</v>
      </c>
      <c r="I420" s="43" t="s">
        <v>3950</v>
      </c>
      <c r="J420" s="26"/>
      <c r="K420" s="17">
        <f t="shared" si="36"/>
        <v>0</v>
      </c>
      <c r="N420" s="31" t="str">
        <f t="shared" si="39"/>
        <v>-</v>
      </c>
      <c r="O420" s="31" t="str">
        <f t="shared" si="41"/>
        <v>-</v>
      </c>
      <c r="P420" s="35" t="str">
        <f t="shared" si="40"/>
        <v>-</v>
      </c>
      <c r="Q420" s="32" t="str">
        <f t="shared" si="37"/>
        <v>-</v>
      </c>
      <c r="S420" s="32" t="str">
        <f t="shared" si="38"/>
        <v>-</v>
      </c>
    </row>
    <row r="421" spans="1:19" x14ac:dyDescent="0.3">
      <c r="A421" s="45" t="s">
        <v>2505</v>
      </c>
      <c r="B421" s="40" t="s">
        <v>675</v>
      </c>
      <c r="C421" s="41" t="s">
        <v>1699</v>
      </c>
      <c r="D421" s="21" t="s">
        <v>2239</v>
      </c>
      <c r="E421" s="21" t="s">
        <v>2222</v>
      </c>
      <c r="F421" s="24">
        <v>6.606950862691667E-2</v>
      </c>
      <c r="G421" s="21">
        <v>12</v>
      </c>
      <c r="H421" s="17">
        <v>8.25</v>
      </c>
      <c r="I421" s="43" t="s">
        <v>3950</v>
      </c>
      <c r="J421" s="26"/>
      <c r="K421" s="17">
        <f t="shared" si="36"/>
        <v>0</v>
      </c>
      <c r="N421" s="31" t="str">
        <f t="shared" si="39"/>
        <v>-</v>
      </c>
      <c r="O421" s="31" t="str">
        <f t="shared" si="41"/>
        <v>-</v>
      </c>
      <c r="P421" s="35" t="str">
        <f t="shared" si="40"/>
        <v>-</v>
      </c>
      <c r="Q421" s="32" t="str">
        <f t="shared" si="37"/>
        <v>-</v>
      </c>
      <c r="S421" s="32" t="str">
        <f t="shared" si="38"/>
        <v>-</v>
      </c>
    </row>
    <row r="422" spans="1:19" x14ac:dyDescent="0.3">
      <c r="A422" s="45" t="s">
        <v>2506</v>
      </c>
      <c r="B422" s="40" t="s">
        <v>225</v>
      </c>
      <c r="C422" s="41" t="s">
        <v>1700</v>
      </c>
      <c r="D422" s="21" t="s">
        <v>2224</v>
      </c>
      <c r="E422" s="21" t="s">
        <v>2222</v>
      </c>
      <c r="F422" s="24">
        <v>8.2372374392000014E-2</v>
      </c>
      <c r="G422" s="21">
        <v>12</v>
      </c>
      <c r="H422" s="17">
        <v>4.05</v>
      </c>
      <c r="I422" s="43" t="s">
        <v>3950</v>
      </c>
      <c r="J422" s="26"/>
      <c r="K422" s="17">
        <f t="shared" si="36"/>
        <v>0</v>
      </c>
      <c r="N422" s="31" t="str">
        <f t="shared" si="39"/>
        <v>-</v>
      </c>
      <c r="O422" s="31" t="str">
        <f t="shared" si="41"/>
        <v>-</v>
      </c>
      <c r="P422" s="35" t="str">
        <f t="shared" si="40"/>
        <v>-</v>
      </c>
      <c r="Q422" s="32" t="str">
        <f t="shared" si="37"/>
        <v>-</v>
      </c>
      <c r="S422" s="32" t="str">
        <f t="shared" si="38"/>
        <v>-</v>
      </c>
    </row>
    <row r="423" spans="1:19" x14ac:dyDescent="0.3">
      <c r="A423" s="45" t="s">
        <v>2509</v>
      </c>
      <c r="B423" s="40" t="s">
        <v>1114</v>
      </c>
      <c r="C423" s="41" t="s">
        <v>1688</v>
      </c>
      <c r="D423" s="21" t="s">
        <v>2236</v>
      </c>
      <c r="E423" s="21" t="s">
        <v>2229</v>
      </c>
      <c r="F423" s="24">
        <v>0.49938251975150005</v>
      </c>
      <c r="G423" s="21">
        <v>12</v>
      </c>
      <c r="H423" s="17">
        <v>21.3</v>
      </c>
      <c r="I423" s="43" t="s">
        <v>3950</v>
      </c>
      <c r="J423" s="26"/>
      <c r="K423" s="17">
        <f t="shared" si="36"/>
        <v>0</v>
      </c>
      <c r="N423" s="31" t="str">
        <f t="shared" si="39"/>
        <v>-</v>
      </c>
      <c r="O423" s="31" t="str">
        <f t="shared" si="41"/>
        <v>-</v>
      </c>
      <c r="P423" s="35" t="str">
        <f t="shared" si="40"/>
        <v>-</v>
      </c>
      <c r="Q423" s="32" t="str">
        <f t="shared" si="37"/>
        <v>-</v>
      </c>
      <c r="S423" s="32" t="str">
        <f t="shared" si="38"/>
        <v>-</v>
      </c>
    </row>
    <row r="424" spans="1:19" x14ac:dyDescent="0.3">
      <c r="A424" s="45" t="s">
        <v>2510</v>
      </c>
      <c r="B424" s="40" t="s">
        <v>527</v>
      </c>
      <c r="C424" s="41" t="s">
        <v>1702</v>
      </c>
      <c r="D424" s="21" t="s">
        <v>2227</v>
      </c>
      <c r="E424" s="21" t="s">
        <v>2238</v>
      </c>
      <c r="F424" s="24">
        <v>9.3955989540875015E-2</v>
      </c>
      <c r="G424" s="21">
        <v>12</v>
      </c>
      <c r="H424" s="17">
        <v>48.59</v>
      </c>
      <c r="I424" s="43" t="s">
        <v>3950</v>
      </c>
      <c r="J424" s="26"/>
      <c r="K424" s="17">
        <f t="shared" si="36"/>
        <v>0</v>
      </c>
      <c r="N424" s="31" t="str">
        <f t="shared" si="39"/>
        <v>-</v>
      </c>
      <c r="O424" s="31" t="str">
        <f t="shared" si="41"/>
        <v>-</v>
      </c>
      <c r="P424" s="35" t="str">
        <f t="shared" si="40"/>
        <v>-</v>
      </c>
      <c r="Q424" s="32" t="str">
        <f t="shared" si="37"/>
        <v>-</v>
      </c>
      <c r="S424" s="32" t="str">
        <f t="shared" si="38"/>
        <v>-</v>
      </c>
    </row>
    <row r="425" spans="1:19" x14ac:dyDescent="0.3">
      <c r="A425" s="45" t="s">
        <v>2511</v>
      </c>
      <c r="B425" s="40" t="s">
        <v>141</v>
      </c>
      <c r="C425" s="41" t="s">
        <v>1703</v>
      </c>
      <c r="D425" s="21" t="s">
        <v>2227</v>
      </c>
      <c r="E425" s="21" t="s">
        <v>2238</v>
      </c>
      <c r="F425" s="24">
        <v>8.7520647791500011E-2</v>
      </c>
      <c r="G425" s="21">
        <v>12</v>
      </c>
      <c r="H425" s="17">
        <v>13.35</v>
      </c>
      <c r="I425" s="43" t="s">
        <v>3950</v>
      </c>
      <c r="J425" s="26"/>
      <c r="K425" s="17">
        <f t="shared" si="36"/>
        <v>0</v>
      </c>
      <c r="N425" s="31" t="str">
        <f t="shared" si="39"/>
        <v>-</v>
      </c>
      <c r="O425" s="31" t="str">
        <f t="shared" si="41"/>
        <v>-</v>
      </c>
      <c r="P425" s="35" t="str">
        <f t="shared" si="40"/>
        <v>-</v>
      </c>
      <c r="Q425" s="32" t="str">
        <f t="shared" si="37"/>
        <v>-</v>
      </c>
      <c r="S425" s="32" t="str">
        <f t="shared" si="38"/>
        <v>-</v>
      </c>
    </row>
    <row r="426" spans="1:19" x14ac:dyDescent="0.3">
      <c r="A426" s="45" t="s">
        <v>2513</v>
      </c>
      <c r="B426" s="40" t="s">
        <v>68</v>
      </c>
      <c r="C426" s="41" t="s">
        <v>1704</v>
      </c>
      <c r="D426" s="21" t="s">
        <v>2227</v>
      </c>
      <c r="E426" s="21" t="s">
        <v>2238</v>
      </c>
      <c r="F426" s="24">
        <v>0.14844188301891667</v>
      </c>
      <c r="G426" s="21">
        <v>12</v>
      </c>
      <c r="H426" s="17">
        <v>16.5</v>
      </c>
      <c r="I426" s="43" t="s">
        <v>3950</v>
      </c>
      <c r="J426" s="26"/>
      <c r="K426" s="17">
        <f t="shared" si="36"/>
        <v>0</v>
      </c>
      <c r="N426" s="31" t="str">
        <f t="shared" si="39"/>
        <v>-</v>
      </c>
      <c r="O426" s="31" t="str">
        <f t="shared" si="41"/>
        <v>-</v>
      </c>
      <c r="P426" s="35" t="str">
        <f t="shared" si="40"/>
        <v>-</v>
      </c>
      <c r="Q426" s="32" t="str">
        <f t="shared" si="37"/>
        <v>-</v>
      </c>
      <c r="S426" s="32" t="str">
        <f t="shared" si="38"/>
        <v>-</v>
      </c>
    </row>
    <row r="427" spans="1:19" x14ac:dyDescent="0.3">
      <c r="A427" s="45" t="s">
        <v>2514</v>
      </c>
      <c r="B427" s="40" t="s">
        <v>1462</v>
      </c>
      <c r="C427" s="41" t="s">
        <v>1691</v>
      </c>
      <c r="D427" s="21" t="s">
        <v>2227</v>
      </c>
      <c r="E427" s="21" t="s">
        <v>2238</v>
      </c>
      <c r="F427" s="24">
        <v>0.15359015641841667</v>
      </c>
      <c r="G427" s="21">
        <v>12</v>
      </c>
      <c r="H427" s="17">
        <v>16.5</v>
      </c>
      <c r="I427" s="43" t="s">
        <v>3950</v>
      </c>
      <c r="J427" s="26"/>
      <c r="K427" s="17">
        <f t="shared" si="36"/>
        <v>0</v>
      </c>
      <c r="N427" s="31" t="str">
        <f t="shared" si="39"/>
        <v>-</v>
      </c>
      <c r="O427" s="31" t="str">
        <f t="shared" si="41"/>
        <v>-</v>
      </c>
      <c r="P427" s="35" t="str">
        <f t="shared" si="40"/>
        <v>-</v>
      </c>
      <c r="Q427" s="32" t="str">
        <f t="shared" si="37"/>
        <v>-</v>
      </c>
      <c r="S427" s="32" t="str">
        <f t="shared" si="38"/>
        <v>-</v>
      </c>
    </row>
    <row r="428" spans="1:19" x14ac:dyDescent="0.3">
      <c r="A428" s="45" t="s">
        <v>2515</v>
      </c>
      <c r="B428" s="40" t="s">
        <v>77</v>
      </c>
      <c r="C428" s="41" t="s">
        <v>1705</v>
      </c>
      <c r="D428" s="21" t="s">
        <v>2224</v>
      </c>
      <c r="E428" s="21" t="s">
        <v>2238</v>
      </c>
      <c r="F428" s="24">
        <v>5.0624688428416671E-2</v>
      </c>
      <c r="G428" s="21">
        <v>12</v>
      </c>
      <c r="H428" s="17">
        <v>5.7</v>
      </c>
      <c r="I428" s="43" t="s">
        <v>3950</v>
      </c>
      <c r="J428" s="26"/>
      <c r="K428" s="17">
        <f t="shared" si="36"/>
        <v>0</v>
      </c>
      <c r="N428" s="31" t="str">
        <f t="shared" si="39"/>
        <v>-</v>
      </c>
      <c r="O428" s="31" t="str">
        <f t="shared" si="41"/>
        <v>-</v>
      </c>
      <c r="P428" s="35" t="str">
        <f t="shared" si="40"/>
        <v>-</v>
      </c>
      <c r="Q428" s="32" t="str">
        <f t="shared" si="37"/>
        <v>-</v>
      </c>
      <c r="S428" s="32" t="str">
        <f t="shared" si="38"/>
        <v>-</v>
      </c>
    </row>
    <row r="429" spans="1:19" x14ac:dyDescent="0.3">
      <c r="A429" s="45" t="s">
        <v>2516</v>
      </c>
      <c r="B429" s="40" t="s">
        <v>199</v>
      </c>
      <c r="C429" s="41" t="s">
        <v>1705</v>
      </c>
      <c r="D429" s="21" t="s">
        <v>2227</v>
      </c>
      <c r="E429" s="21" t="s">
        <v>2238</v>
      </c>
      <c r="F429" s="24">
        <v>6.6927554193500008E-2</v>
      </c>
      <c r="G429" s="21">
        <v>12</v>
      </c>
      <c r="H429" s="17">
        <v>10.5</v>
      </c>
      <c r="I429" s="43" t="s">
        <v>3950</v>
      </c>
      <c r="J429" s="26"/>
      <c r="K429" s="17">
        <f t="shared" si="36"/>
        <v>0</v>
      </c>
      <c r="N429" s="31" t="str">
        <f t="shared" si="39"/>
        <v>-</v>
      </c>
      <c r="O429" s="31" t="str">
        <f t="shared" si="41"/>
        <v>-</v>
      </c>
      <c r="P429" s="35" t="str">
        <f t="shared" si="40"/>
        <v>-</v>
      </c>
      <c r="Q429" s="32" t="str">
        <f t="shared" si="37"/>
        <v>-</v>
      </c>
      <c r="S429" s="32" t="str">
        <f t="shared" si="38"/>
        <v>-</v>
      </c>
    </row>
    <row r="430" spans="1:19" x14ac:dyDescent="0.3">
      <c r="A430" s="45" t="s">
        <v>2517</v>
      </c>
      <c r="B430" s="40" t="s">
        <v>482</v>
      </c>
      <c r="C430" s="41" t="s">
        <v>1706</v>
      </c>
      <c r="D430" s="21" t="s">
        <v>2223</v>
      </c>
      <c r="E430" s="21" t="s">
        <v>2238</v>
      </c>
      <c r="F430" s="24">
        <v>5.6631007394500006E-2</v>
      </c>
      <c r="G430" s="21">
        <v>12</v>
      </c>
      <c r="H430" s="17">
        <v>9.9</v>
      </c>
      <c r="I430" s="43" t="s">
        <v>3950</v>
      </c>
      <c r="J430" s="26"/>
      <c r="K430" s="17">
        <f t="shared" si="36"/>
        <v>0</v>
      </c>
      <c r="N430" s="31" t="str">
        <f t="shared" si="39"/>
        <v>-</v>
      </c>
      <c r="O430" s="31" t="str">
        <f t="shared" si="41"/>
        <v>-</v>
      </c>
      <c r="P430" s="35" t="str">
        <f t="shared" si="40"/>
        <v>-</v>
      </c>
      <c r="Q430" s="32" t="str">
        <f t="shared" si="37"/>
        <v>-</v>
      </c>
      <c r="S430" s="32" t="str">
        <f t="shared" si="38"/>
        <v>-</v>
      </c>
    </row>
    <row r="431" spans="1:19" x14ac:dyDescent="0.3">
      <c r="A431" s="45" t="s">
        <v>2518</v>
      </c>
      <c r="B431" s="40" t="s">
        <v>1463</v>
      </c>
      <c r="C431" s="41" t="s">
        <v>1706</v>
      </c>
      <c r="D431" s="21" t="s">
        <v>2224</v>
      </c>
      <c r="E431" s="21" t="s">
        <v>2238</v>
      </c>
      <c r="F431" s="24">
        <v>7.8511169342374995E-2</v>
      </c>
      <c r="G431" s="21">
        <v>12</v>
      </c>
      <c r="H431" s="17">
        <v>18.899999999999999</v>
      </c>
      <c r="I431" s="43" t="s">
        <v>3950</v>
      </c>
      <c r="J431" s="26"/>
      <c r="K431" s="17">
        <f t="shared" si="36"/>
        <v>0</v>
      </c>
      <c r="N431" s="31" t="str">
        <f t="shared" si="39"/>
        <v>-</v>
      </c>
      <c r="O431" s="31" t="str">
        <f t="shared" si="41"/>
        <v>-</v>
      </c>
      <c r="P431" s="35" t="str">
        <f t="shared" si="40"/>
        <v>-</v>
      </c>
      <c r="Q431" s="32" t="str">
        <f t="shared" si="37"/>
        <v>-</v>
      </c>
      <c r="S431" s="32" t="str">
        <f t="shared" si="38"/>
        <v>-</v>
      </c>
    </row>
    <row r="432" spans="1:19" x14ac:dyDescent="0.3">
      <c r="A432" s="45" t="s">
        <v>2519</v>
      </c>
      <c r="B432" s="40" t="s">
        <v>843</v>
      </c>
      <c r="C432" s="41" t="s">
        <v>1706</v>
      </c>
      <c r="D432" s="21" t="s">
        <v>2227</v>
      </c>
      <c r="E432" s="21" t="s">
        <v>2238</v>
      </c>
      <c r="F432" s="24">
        <v>0.12484562993787501</v>
      </c>
      <c r="G432" s="21">
        <v>12</v>
      </c>
      <c r="H432" s="17">
        <v>35.99</v>
      </c>
      <c r="I432" s="43" t="s">
        <v>3950</v>
      </c>
      <c r="J432" s="26"/>
      <c r="K432" s="17">
        <f t="shared" si="36"/>
        <v>0</v>
      </c>
      <c r="N432" s="31" t="str">
        <f t="shared" si="39"/>
        <v>-</v>
      </c>
      <c r="O432" s="31" t="str">
        <f t="shared" si="41"/>
        <v>-</v>
      </c>
      <c r="P432" s="35" t="str">
        <f t="shared" si="40"/>
        <v>-</v>
      </c>
      <c r="Q432" s="32" t="str">
        <f t="shared" si="37"/>
        <v>-</v>
      </c>
      <c r="S432" s="32" t="str">
        <f t="shared" si="38"/>
        <v>-</v>
      </c>
    </row>
    <row r="433" spans="1:19" x14ac:dyDescent="0.3">
      <c r="A433" s="45" t="s">
        <v>2520</v>
      </c>
      <c r="B433" s="40" t="s">
        <v>574</v>
      </c>
      <c r="C433" s="41" t="s">
        <v>1707</v>
      </c>
      <c r="D433" s="21" t="s">
        <v>2221</v>
      </c>
      <c r="E433" s="21" t="s">
        <v>2222</v>
      </c>
      <c r="F433" s="24">
        <v>0.16731888548375001</v>
      </c>
      <c r="G433" s="21">
        <v>12</v>
      </c>
      <c r="H433" s="17">
        <v>11.39</v>
      </c>
      <c r="I433" s="43" t="s">
        <v>3950</v>
      </c>
      <c r="J433" s="26"/>
      <c r="K433" s="17">
        <f t="shared" si="36"/>
        <v>0</v>
      </c>
      <c r="N433" s="31" t="str">
        <f t="shared" si="39"/>
        <v>-</v>
      </c>
      <c r="O433" s="31" t="str">
        <f t="shared" si="41"/>
        <v>-</v>
      </c>
      <c r="P433" s="35" t="str">
        <f t="shared" si="40"/>
        <v>-</v>
      </c>
      <c r="Q433" s="32" t="str">
        <f t="shared" si="37"/>
        <v>-</v>
      </c>
      <c r="S433" s="32" t="str">
        <f t="shared" si="38"/>
        <v>-</v>
      </c>
    </row>
    <row r="434" spans="1:19" x14ac:dyDescent="0.3">
      <c r="A434" s="45" t="s">
        <v>2521</v>
      </c>
      <c r="B434" s="40" t="s">
        <v>111</v>
      </c>
      <c r="C434" s="41" t="s">
        <v>1707</v>
      </c>
      <c r="D434" s="21" t="s">
        <v>2242</v>
      </c>
      <c r="E434" s="21" t="s">
        <v>2222</v>
      </c>
      <c r="F434" s="24">
        <v>0.30589324448695837</v>
      </c>
      <c r="G434" s="21">
        <v>12</v>
      </c>
      <c r="H434" s="17">
        <v>21.75</v>
      </c>
      <c r="I434" s="43" t="s">
        <v>3950</v>
      </c>
      <c r="J434" s="26"/>
      <c r="K434" s="17">
        <f t="shared" si="36"/>
        <v>0</v>
      </c>
      <c r="N434" s="31" t="str">
        <f t="shared" si="39"/>
        <v>-</v>
      </c>
      <c r="O434" s="31" t="str">
        <f t="shared" si="41"/>
        <v>-</v>
      </c>
      <c r="P434" s="35" t="str">
        <f t="shared" si="40"/>
        <v>-</v>
      </c>
      <c r="Q434" s="32" t="str">
        <f t="shared" si="37"/>
        <v>-</v>
      </c>
      <c r="S434" s="32" t="str">
        <f t="shared" si="38"/>
        <v>-</v>
      </c>
    </row>
    <row r="435" spans="1:19" x14ac:dyDescent="0.3">
      <c r="A435" s="45" t="s">
        <v>2522</v>
      </c>
      <c r="B435" s="40" t="s">
        <v>750</v>
      </c>
      <c r="C435" s="41" t="s">
        <v>1705</v>
      </c>
      <c r="D435" s="21" t="s">
        <v>2233</v>
      </c>
      <c r="E435" s="21" t="s">
        <v>2238</v>
      </c>
      <c r="F435" s="24">
        <v>0.12484562993787501</v>
      </c>
      <c r="G435" s="21">
        <v>12</v>
      </c>
      <c r="H435" s="17">
        <v>19.5</v>
      </c>
      <c r="I435" s="43" t="s">
        <v>3950</v>
      </c>
      <c r="J435" s="26"/>
      <c r="K435" s="17">
        <f t="shared" si="36"/>
        <v>0</v>
      </c>
      <c r="N435" s="31" t="str">
        <f t="shared" si="39"/>
        <v>-</v>
      </c>
      <c r="O435" s="31" t="str">
        <f t="shared" si="41"/>
        <v>-</v>
      </c>
      <c r="P435" s="35" t="str">
        <f t="shared" si="40"/>
        <v>-</v>
      </c>
      <c r="Q435" s="32" t="str">
        <f t="shared" si="37"/>
        <v>-</v>
      </c>
      <c r="S435" s="32" t="str">
        <f t="shared" si="38"/>
        <v>-</v>
      </c>
    </row>
    <row r="436" spans="1:19" x14ac:dyDescent="0.3">
      <c r="A436" s="45" t="s">
        <v>2523</v>
      </c>
      <c r="B436" s="40" t="s">
        <v>719</v>
      </c>
      <c r="C436" s="41" t="s">
        <v>1708</v>
      </c>
      <c r="D436" s="21" t="s">
        <v>2227</v>
      </c>
      <c r="E436" s="21" t="s">
        <v>2222</v>
      </c>
      <c r="F436" s="24">
        <v>0.19820852588075002</v>
      </c>
      <c r="G436" s="21">
        <v>12</v>
      </c>
      <c r="H436" s="17">
        <v>42.9</v>
      </c>
      <c r="I436" s="43" t="s">
        <v>3950</v>
      </c>
      <c r="J436" s="26"/>
      <c r="K436" s="17">
        <f t="shared" si="36"/>
        <v>0</v>
      </c>
      <c r="N436" s="31" t="str">
        <f t="shared" si="39"/>
        <v>-</v>
      </c>
      <c r="O436" s="31" t="str">
        <f t="shared" si="41"/>
        <v>-</v>
      </c>
      <c r="P436" s="35" t="str">
        <f t="shared" si="40"/>
        <v>-</v>
      </c>
      <c r="Q436" s="32" t="str">
        <f t="shared" si="37"/>
        <v>-</v>
      </c>
      <c r="S436" s="32" t="str">
        <f t="shared" si="38"/>
        <v>-</v>
      </c>
    </row>
    <row r="437" spans="1:19" x14ac:dyDescent="0.3">
      <c r="A437" s="45" t="s">
        <v>2524</v>
      </c>
      <c r="B437" s="40" t="s">
        <v>235</v>
      </c>
      <c r="C437" s="41" t="s">
        <v>1709</v>
      </c>
      <c r="D437" s="21" t="s">
        <v>2230</v>
      </c>
      <c r="E437" s="21" t="s">
        <v>2240</v>
      </c>
      <c r="F437" s="24">
        <v>0.13128097168725003</v>
      </c>
      <c r="G437" s="21">
        <v>12</v>
      </c>
      <c r="H437" s="17">
        <v>15.59</v>
      </c>
      <c r="I437" s="43" t="s">
        <v>3950</v>
      </c>
      <c r="J437" s="26"/>
      <c r="K437" s="17">
        <f t="shared" si="36"/>
        <v>0</v>
      </c>
      <c r="N437" s="31" t="str">
        <f t="shared" si="39"/>
        <v>-</v>
      </c>
      <c r="O437" s="31" t="str">
        <f t="shared" si="41"/>
        <v>-</v>
      </c>
      <c r="P437" s="35" t="str">
        <f t="shared" si="40"/>
        <v>-</v>
      </c>
      <c r="Q437" s="32" t="str">
        <f t="shared" si="37"/>
        <v>-</v>
      </c>
      <c r="S437" s="32" t="str">
        <f t="shared" si="38"/>
        <v>-</v>
      </c>
    </row>
    <row r="438" spans="1:19" x14ac:dyDescent="0.3">
      <c r="A438" s="45" t="s">
        <v>2525</v>
      </c>
      <c r="B438" s="40" t="s">
        <v>848</v>
      </c>
      <c r="C438" s="41" t="s">
        <v>1709</v>
      </c>
      <c r="D438" s="21" t="s">
        <v>2235</v>
      </c>
      <c r="E438" s="21" t="s">
        <v>2240</v>
      </c>
      <c r="F438" s="24">
        <v>0.21837259669545833</v>
      </c>
      <c r="G438" s="21">
        <v>12</v>
      </c>
      <c r="H438" s="17">
        <v>30.15</v>
      </c>
      <c r="I438" s="43" t="s">
        <v>3950</v>
      </c>
      <c r="J438" s="26"/>
      <c r="K438" s="17">
        <f t="shared" si="36"/>
        <v>0</v>
      </c>
      <c r="N438" s="31" t="str">
        <f t="shared" si="39"/>
        <v>-</v>
      </c>
      <c r="O438" s="31" t="str">
        <f t="shared" si="41"/>
        <v>-</v>
      </c>
      <c r="P438" s="35" t="str">
        <f t="shared" si="40"/>
        <v>-</v>
      </c>
      <c r="Q438" s="32" t="str">
        <f t="shared" si="37"/>
        <v>-</v>
      </c>
      <c r="S438" s="32" t="str">
        <f t="shared" si="38"/>
        <v>-</v>
      </c>
    </row>
    <row r="439" spans="1:19" x14ac:dyDescent="0.3">
      <c r="A439" s="45" t="s">
        <v>2530</v>
      </c>
      <c r="B439" s="40" t="s">
        <v>530</v>
      </c>
      <c r="C439" s="41" t="s">
        <v>1713</v>
      </c>
      <c r="D439" s="21" t="s">
        <v>2227</v>
      </c>
      <c r="E439" s="21" t="s">
        <v>2222</v>
      </c>
      <c r="F439" s="24">
        <v>6.1779280794000004E-2</v>
      </c>
      <c r="G439" s="21">
        <v>12</v>
      </c>
      <c r="H439" s="17">
        <v>68.989999999999995</v>
      </c>
      <c r="I439" s="43" t="s">
        <v>3950</v>
      </c>
      <c r="J439" s="26"/>
      <c r="K439" s="17">
        <f t="shared" si="36"/>
        <v>0</v>
      </c>
      <c r="N439" s="31" t="str">
        <f t="shared" si="39"/>
        <v>-</v>
      </c>
      <c r="O439" s="31" t="str">
        <f t="shared" si="41"/>
        <v>-</v>
      </c>
      <c r="P439" s="35" t="str">
        <f t="shared" si="40"/>
        <v>-</v>
      </c>
      <c r="Q439" s="32" t="str">
        <f t="shared" si="37"/>
        <v>-</v>
      </c>
      <c r="S439" s="32" t="str">
        <f t="shared" si="38"/>
        <v>-</v>
      </c>
    </row>
    <row r="440" spans="1:19" x14ac:dyDescent="0.3">
      <c r="A440" s="45" t="s">
        <v>2531</v>
      </c>
      <c r="B440" s="40" t="s">
        <v>1348</v>
      </c>
      <c r="C440" s="41" t="s">
        <v>1714</v>
      </c>
      <c r="D440" s="21" t="s">
        <v>2231</v>
      </c>
      <c r="E440" s="21" t="s">
        <v>2222</v>
      </c>
      <c r="F440" s="24">
        <v>9.3955989540875015E-2</v>
      </c>
      <c r="G440" s="21">
        <v>12</v>
      </c>
      <c r="H440" s="17">
        <v>11.7</v>
      </c>
      <c r="I440" s="43" t="s">
        <v>3950</v>
      </c>
      <c r="J440" s="26"/>
      <c r="K440" s="17">
        <f t="shared" si="36"/>
        <v>0</v>
      </c>
      <c r="N440" s="31" t="str">
        <f t="shared" si="39"/>
        <v>-</v>
      </c>
      <c r="O440" s="31" t="str">
        <f t="shared" si="41"/>
        <v>-</v>
      </c>
      <c r="P440" s="35" t="str">
        <f t="shared" si="40"/>
        <v>-</v>
      </c>
      <c r="Q440" s="32" t="str">
        <f t="shared" si="37"/>
        <v>-</v>
      </c>
      <c r="S440" s="32" t="str">
        <f t="shared" si="38"/>
        <v>-</v>
      </c>
    </row>
    <row r="441" spans="1:19" x14ac:dyDescent="0.3">
      <c r="A441" s="45" t="s">
        <v>2532</v>
      </c>
      <c r="B441" s="40" t="s">
        <v>712</v>
      </c>
      <c r="C441" s="41" t="s">
        <v>1714</v>
      </c>
      <c r="D441" s="21" t="s">
        <v>2225</v>
      </c>
      <c r="E441" s="21" t="s">
        <v>2222</v>
      </c>
      <c r="F441" s="24">
        <v>0.19735048031416669</v>
      </c>
      <c r="G441" s="21">
        <v>12</v>
      </c>
      <c r="H441" s="17">
        <v>22.19</v>
      </c>
      <c r="I441" s="43" t="s">
        <v>3950</v>
      </c>
      <c r="J441" s="26"/>
      <c r="K441" s="17">
        <f t="shared" si="36"/>
        <v>0</v>
      </c>
      <c r="N441" s="31" t="str">
        <f t="shared" si="39"/>
        <v>-</v>
      </c>
      <c r="O441" s="31" t="str">
        <f t="shared" si="41"/>
        <v>-</v>
      </c>
      <c r="P441" s="35" t="str">
        <f t="shared" si="40"/>
        <v>-</v>
      </c>
      <c r="Q441" s="32" t="str">
        <f t="shared" si="37"/>
        <v>-</v>
      </c>
      <c r="S441" s="32" t="str">
        <f t="shared" si="38"/>
        <v>-</v>
      </c>
    </row>
    <row r="442" spans="1:19" x14ac:dyDescent="0.3">
      <c r="A442" s="45" t="s">
        <v>2533</v>
      </c>
      <c r="B442" s="40" t="s">
        <v>1310</v>
      </c>
      <c r="C442" s="41" t="s">
        <v>1715</v>
      </c>
      <c r="D442" s="21" t="s">
        <v>2221</v>
      </c>
      <c r="E442" s="21" t="s">
        <v>2222</v>
      </c>
      <c r="F442" s="24">
        <v>7.2075827592999991E-2</v>
      </c>
      <c r="G442" s="21">
        <v>12</v>
      </c>
      <c r="H442" s="17">
        <v>4.79</v>
      </c>
      <c r="I442" s="43" t="s">
        <v>3950</v>
      </c>
      <c r="J442" s="26"/>
      <c r="K442" s="17">
        <f t="shared" si="36"/>
        <v>0</v>
      </c>
      <c r="N442" s="31" t="str">
        <f t="shared" si="39"/>
        <v>-</v>
      </c>
      <c r="O442" s="31" t="str">
        <f t="shared" si="41"/>
        <v>-</v>
      </c>
      <c r="P442" s="35" t="str">
        <f t="shared" si="40"/>
        <v>-</v>
      </c>
      <c r="Q442" s="32" t="str">
        <f t="shared" si="37"/>
        <v>-</v>
      </c>
      <c r="S442" s="32" t="str">
        <f t="shared" si="38"/>
        <v>-</v>
      </c>
    </row>
    <row r="443" spans="1:19" x14ac:dyDescent="0.3">
      <c r="A443" s="45" t="s">
        <v>2534</v>
      </c>
      <c r="B443" s="40" t="s">
        <v>724</v>
      </c>
      <c r="C443" s="41" t="s">
        <v>1715</v>
      </c>
      <c r="D443" s="21" t="s">
        <v>2245</v>
      </c>
      <c r="E443" s="21" t="s">
        <v>2222</v>
      </c>
      <c r="F443" s="24">
        <v>0.15101601971866668</v>
      </c>
      <c r="G443" s="21">
        <v>12</v>
      </c>
      <c r="H443" s="17">
        <v>11.1</v>
      </c>
      <c r="I443" s="43" t="s">
        <v>3950</v>
      </c>
      <c r="J443" s="26"/>
      <c r="K443" s="17">
        <f t="shared" si="36"/>
        <v>0</v>
      </c>
      <c r="N443" s="31" t="str">
        <f t="shared" si="39"/>
        <v>-</v>
      </c>
      <c r="O443" s="31" t="str">
        <f t="shared" si="41"/>
        <v>-</v>
      </c>
      <c r="P443" s="35" t="str">
        <f t="shared" si="40"/>
        <v>-</v>
      </c>
      <c r="Q443" s="32" t="str">
        <f t="shared" si="37"/>
        <v>-</v>
      </c>
      <c r="S443" s="32" t="str">
        <f t="shared" si="38"/>
        <v>-</v>
      </c>
    </row>
    <row r="444" spans="1:19" x14ac:dyDescent="0.3">
      <c r="A444" s="45" t="s">
        <v>2535</v>
      </c>
      <c r="B444" s="40" t="s">
        <v>1496</v>
      </c>
      <c r="C444" s="41" t="s">
        <v>1612</v>
      </c>
      <c r="D444" s="21" t="s">
        <v>2225</v>
      </c>
      <c r="E444" s="21" t="s">
        <v>2222</v>
      </c>
      <c r="F444" s="24">
        <v>0.23596253081041668</v>
      </c>
      <c r="G444" s="21">
        <v>12</v>
      </c>
      <c r="H444" s="17">
        <v>23.85</v>
      </c>
      <c r="I444" s="43" t="s">
        <v>3950</v>
      </c>
      <c r="J444" s="26"/>
      <c r="K444" s="17">
        <f t="shared" si="36"/>
        <v>0</v>
      </c>
      <c r="N444" s="31" t="str">
        <f t="shared" si="39"/>
        <v>-</v>
      </c>
      <c r="O444" s="31" t="str">
        <f t="shared" si="41"/>
        <v>-</v>
      </c>
      <c r="P444" s="35" t="str">
        <f t="shared" si="40"/>
        <v>-</v>
      </c>
      <c r="Q444" s="32" t="str">
        <f t="shared" si="37"/>
        <v>-</v>
      </c>
      <c r="S444" s="32" t="str">
        <f t="shared" si="38"/>
        <v>-</v>
      </c>
    </row>
    <row r="445" spans="1:19" x14ac:dyDescent="0.3">
      <c r="A445" s="45" t="s">
        <v>2538</v>
      </c>
      <c r="B445" s="40" t="s">
        <v>265</v>
      </c>
      <c r="C445" s="41" t="s">
        <v>1687</v>
      </c>
      <c r="D445" s="21" t="s">
        <v>2236</v>
      </c>
      <c r="E445" s="21" t="s">
        <v>2229</v>
      </c>
      <c r="F445" s="24">
        <v>0.51482733995000007</v>
      </c>
      <c r="G445" s="21">
        <v>12</v>
      </c>
      <c r="H445" s="17">
        <v>35.39</v>
      </c>
      <c r="I445" s="43" t="s">
        <v>3950</v>
      </c>
      <c r="J445" s="26"/>
      <c r="K445" s="17">
        <f t="shared" si="36"/>
        <v>0</v>
      </c>
      <c r="N445" s="31" t="str">
        <f t="shared" si="39"/>
        <v>-</v>
      </c>
      <c r="O445" s="31" t="str">
        <f t="shared" si="41"/>
        <v>-</v>
      </c>
      <c r="P445" s="35" t="str">
        <f t="shared" si="40"/>
        <v>-</v>
      </c>
      <c r="Q445" s="32" t="str">
        <f t="shared" si="37"/>
        <v>-</v>
      </c>
      <c r="S445" s="32" t="str">
        <f t="shared" si="38"/>
        <v>-</v>
      </c>
    </row>
    <row r="446" spans="1:19" x14ac:dyDescent="0.3">
      <c r="A446" s="45" t="s">
        <v>2539</v>
      </c>
      <c r="B446" s="40" t="s">
        <v>1415</v>
      </c>
      <c r="C446" s="41" t="s">
        <v>1717</v>
      </c>
      <c r="D446" s="21" t="s">
        <v>2223</v>
      </c>
      <c r="E446" s="21" t="s">
        <v>2222</v>
      </c>
      <c r="F446" s="24">
        <v>4.0328141629416663E-2</v>
      </c>
      <c r="G446" s="21">
        <v>12</v>
      </c>
      <c r="H446" s="17">
        <v>19.5</v>
      </c>
      <c r="I446" s="43" t="s">
        <v>3950</v>
      </c>
      <c r="J446" s="26"/>
      <c r="K446" s="17">
        <f t="shared" ref="K446:K504" si="42">J446*H446</f>
        <v>0</v>
      </c>
      <c r="N446" s="31" t="str">
        <f t="shared" si="39"/>
        <v>-</v>
      </c>
      <c r="O446" s="31" t="str">
        <f t="shared" si="41"/>
        <v>-</v>
      </c>
      <c r="P446" s="35" t="str">
        <f t="shared" si="40"/>
        <v>-</v>
      </c>
      <c r="Q446" s="32" t="str">
        <f t="shared" si="37"/>
        <v>-</v>
      </c>
      <c r="S446" s="32" t="str">
        <f t="shared" si="38"/>
        <v>-</v>
      </c>
    </row>
    <row r="447" spans="1:19" x14ac:dyDescent="0.3">
      <c r="A447" s="45" t="s">
        <v>2540</v>
      </c>
      <c r="B447" s="40" t="s">
        <v>763</v>
      </c>
      <c r="C447" s="41" t="s">
        <v>1717</v>
      </c>
      <c r="D447" s="21" t="s">
        <v>2224</v>
      </c>
      <c r="E447" s="21" t="s">
        <v>2222</v>
      </c>
      <c r="F447" s="24">
        <v>5.0624688428416671E-2</v>
      </c>
      <c r="G447" s="21">
        <v>12</v>
      </c>
      <c r="H447" s="17">
        <v>36.590000000000003</v>
      </c>
      <c r="I447" s="43" t="s">
        <v>3950</v>
      </c>
      <c r="J447" s="26"/>
      <c r="K447" s="17">
        <f t="shared" si="42"/>
        <v>0</v>
      </c>
      <c r="N447" s="31" t="str">
        <f t="shared" si="39"/>
        <v>-</v>
      </c>
      <c r="O447" s="31" t="str">
        <f t="shared" si="41"/>
        <v>-</v>
      </c>
      <c r="P447" s="35" t="str">
        <f t="shared" si="40"/>
        <v>-</v>
      </c>
      <c r="Q447" s="32" t="str">
        <f t="shared" ref="Q447:Q505" si="43">IFERROR(IF($N$2&gt;0, $N$2*P447, "-"), "-")</f>
        <v>-</v>
      </c>
      <c r="S447" s="32" t="str">
        <f t="shared" ref="S447:S505" si="44">IFERROR(IF(Q447+K447=0, "-", IF(Q447&gt;0, Q447+K447, "-")), "-")</f>
        <v>-</v>
      </c>
    </row>
    <row r="448" spans="1:19" x14ac:dyDescent="0.3">
      <c r="A448" s="45" t="s">
        <v>2543</v>
      </c>
      <c r="B448" s="40" t="s">
        <v>1127</v>
      </c>
      <c r="C448" s="41" t="s">
        <v>1719</v>
      </c>
      <c r="D448" s="21" t="s">
        <v>2245</v>
      </c>
      <c r="E448" s="21" t="s">
        <v>2222</v>
      </c>
      <c r="F448" s="24">
        <v>5.5772961827916676E-2</v>
      </c>
      <c r="G448" s="21">
        <v>12</v>
      </c>
      <c r="H448" s="17">
        <v>14.1</v>
      </c>
      <c r="I448" s="43" t="s">
        <v>3950</v>
      </c>
      <c r="J448" s="26"/>
      <c r="K448" s="17">
        <f t="shared" si="42"/>
        <v>0</v>
      </c>
      <c r="N448" s="31" t="str">
        <f t="shared" si="39"/>
        <v>-</v>
      </c>
      <c r="O448" s="31" t="str">
        <f t="shared" si="41"/>
        <v>-</v>
      </c>
      <c r="P448" s="35" t="str">
        <f t="shared" si="40"/>
        <v>-</v>
      </c>
      <c r="Q448" s="32" t="str">
        <f t="shared" si="43"/>
        <v>-</v>
      </c>
      <c r="S448" s="32" t="str">
        <f t="shared" si="44"/>
        <v>-</v>
      </c>
    </row>
    <row r="449" spans="1:19" x14ac:dyDescent="0.3">
      <c r="A449" s="45" t="s">
        <v>2544</v>
      </c>
      <c r="B449" s="40" t="s">
        <v>764</v>
      </c>
      <c r="C449" s="41" t="s">
        <v>1720</v>
      </c>
      <c r="D449" s="21" t="s">
        <v>2227</v>
      </c>
      <c r="E449" s="21" t="s">
        <v>2222</v>
      </c>
      <c r="F449" s="24">
        <v>0.16646083991716668</v>
      </c>
      <c r="G449" s="21">
        <v>12</v>
      </c>
      <c r="H449" s="17">
        <v>21.3</v>
      </c>
      <c r="I449" s="43" t="s">
        <v>3950</v>
      </c>
      <c r="J449" s="26"/>
      <c r="K449" s="17">
        <f t="shared" si="42"/>
        <v>0</v>
      </c>
      <c r="N449" s="31" t="str">
        <f t="shared" ref="N449:N509" si="45">IFERROR(IF($N$2*F449=0, "-", $N$2*F449), "-")</f>
        <v>-</v>
      </c>
      <c r="O449" s="31" t="str">
        <f t="shared" si="41"/>
        <v>-</v>
      </c>
      <c r="P449" s="35" t="str">
        <f t="shared" ref="P449:P509" si="46">IF(J449&gt;0,J449*F449, "-")</f>
        <v>-</v>
      </c>
      <c r="Q449" s="32" t="str">
        <f t="shared" si="43"/>
        <v>-</v>
      </c>
      <c r="S449" s="32" t="str">
        <f t="shared" si="44"/>
        <v>-</v>
      </c>
    </row>
    <row r="450" spans="1:19" x14ac:dyDescent="0.3">
      <c r="A450" s="45" t="s">
        <v>2545</v>
      </c>
      <c r="B450" s="40" t="s">
        <v>650</v>
      </c>
      <c r="C450" s="41" t="s">
        <v>1721</v>
      </c>
      <c r="D450" s="21" t="s">
        <v>2223</v>
      </c>
      <c r="E450" s="21" t="s">
        <v>2222</v>
      </c>
      <c r="F450" s="24">
        <v>4.0328141629416663E-2</v>
      </c>
      <c r="G450" s="21">
        <v>12</v>
      </c>
      <c r="H450" s="17">
        <v>31.19</v>
      </c>
      <c r="I450" s="43" t="s">
        <v>3950</v>
      </c>
      <c r="J450" s="26"/>
      <c r="K450" s="17">
        <f t="shared" si="42"/>
        <v>0</v>
      </c>
      <c r="N450" s="31" t="str">
        <f t="shared" si="45"/>
        <v>-</v>
      </c>
      <c r="O450" s="31" t="str">
        <f t="shared" ref="O450:O510" si="47">IFERROR(IF(N450&gt;0,H450+N450,"-"),"-")</f>
        <v>-</v>
      </c>
      <c r="P450" s="35" t="str">
        <f t="shared" si="46"/>
        <v>-</v>
      </c>
      <c r="Q450" s="32" t="str">
        <f t="shared" si="43"/>
        <v>-</v>
      </c>
      <c r="S450" s="32" t="str">
        <f t="shared" si="44"/>
        <v>-</v>
      </c>
    </row>
    <row r="451" spans="1:19" x14ac:dyDescent="0.3">
      <c r="A451" s="45" t="s">
        <v>2546</v>
      </c>
      <c r="B451" s="40" t="s">
        <v>34</v>
      </c>
      <c r="C451" s="41" t="s">
        <v>1721</v>
      </c>
      <c r="D451" s="21" t="s">
        <v>2224</v>
      </c>
      <c r="E451" s="21" t="s">
        <v>2222</v>
      </c>
      <c r="F451" s="24">
        <v>0.30803835840341665</v>
      </c>
      <c r="G451" s="21">
        <v>12</v>
      </c>
      <c r="H451" s="17">
        <v>62.39</v>
      </c>
      <c r="I451" s="43" t="s">
        <v>3950</v>
      </c>
      <c r="J451" s="26"/>
      <c r="K451" s="17">
        <f t="shared" si="42"/>
        <v>0</v>
      </c>
      <c r="N451" s="31" t="str">
        <f t="shared" si="45"/>
        <v>-</v>
      </c>
      <c r="O451" s="31" t="str">
        <f t="shared" si="47"/>
        <v>-</v>
      </c>
      <c r="P451" s="35" t="str">
        <f t="shared" si="46"/>
        <v>-</v>
      </c>
      <c r="Q451" s="32" t="str">
        <f t="shared" si="43"/>
        <v>-</v>
      </c>
      <c r="S451" s="32" t="str">
        <f t="shared" si="44"/>
        <v>-</v>
      </c>
    </row>
    <row r="452" spans="1:19" x14ac:dyDescent="0.3">
      <c r="A452" s="45" t="s">
        <v>2547</v>
      </c>
      <c r="B452" s="40" t="s">
        <v>997</v>
      </c>
      <c r="C452" s="41" t="s">
        <v>1722</v>
      </c>
      <c r="D452" s="21" t="s">
        <v>2227</v>
      </c>
      <c r="E452" s="21" t="s">
        <v>2222</v>
      </c>
      <c r="F452" s="24">
        <v>9.7817194590499992E-2</v>
      </c>
      <c r="G452" s="21">
        <v>12</v>
      </c>
      <c r="H452" s="17">
        <v>15.59</v>
      </c>
      <c r="I452" s="43" t="s">
        <v>3950</v>
      </c>
      <c r="J452" s="26"/>
      <c r="K452" s="17">
        <f t="shared" si="42"/>
        <v>0</v>
      </c>
      <c r="N452" s="31" t="str">
        <f t="shared" si="45"/>
        <v>-</v>
      </c>
      <c r="O452" s="31" t="str">
        <f t="shared" si="47"/>
        <v>-</v>
      </c>
      <c r="P452" s="35" t="str">
        <f t="shared" si="46"/>
        <v>-</v>
      </c>
      <c r="Q452" s="32" t="str">
        <f t="shared" si="43"/>
        <v>-</v>
      </c>
      <c r="S452" s="32" t="str">
        <f t="shared" si="44"/>
        <v>-</v>
      </c>
    </row>
    <row r="453" spans="1:19" x14ac:dyDescent="0.3">
      <c r="A453" s="45" t="s">
        <v>2548</v>
      </c>
      <c r="B453" s="40" t="s">
        <v>224</v>
      </c>
      <c r="C453" s="41" t="s">
        <v>1639</v>
      </c>
      <c r="D453" s="21" t="s">
        <v>2224</v>
      </c>
      <c r="E453" s="21" t="s">
        <v>2222</v>
      </c>
      <c r="F453" s="24">
        <v>5.0624688428416671E-2</v>
      </c>
      <c r="G453" s="21">
        <v>12</v>
      </c>
      <c r="H453" s="17">
        <v>3.9</v>
      </c>
      <c r="I453" s="43" t="s">
        <v>3950</v>
      </c>
      <c r="J453" s="26"/>
      <c r="K453" s="17">
        <f t="shared" si="42"/>
        <v>0</v>
      </c>
      <c r="N453" s="31" t="str">
        <f t="shared" si="45"/>
        <v>-</v>
      </c>
      <c r="O453" s="31" t="str">
        <f t="shared" si="47"/>
        <v>-</v>
      </c>
      <c r="P453" s="35" t="str">
        <f t="shared" si="46"/>
        <v>-</v>
      </c>
      <c r="Q453" s="32" t="str">
        <f t="shared" si="43"/>
        <v>-</v>
      </c>
      <c r="S453" s="32" t="str">
        <f t="shared" si="44"/>
        <v>-</v>
      </c>
    </row>
    <row r="454" spans="1:19" x14ac:dyDescent="0.3">
      <c r="A454" s="45" t="s">
        <v>2550</v>
      </c>
      <c r="B454" s="40" t="s">
        <v>267</v>
      </c>
      <c r="C454" s="41" t="s">
        <v>1723</v>
      </c>
      <c r="D454" s="21" t="s">
        <v>2227</v>
      </c>
      <c r="E454" s="21" t="s">
        <v>2222</v>
      </c>
      <c r="F454" s="24">
        <v>0.2900194015051667</v>
      </c>
      <c r="G454" s="21">
        <v>12</v>
      </c>
      <c r="H454" s="17">
        <v>41.7</v>
      </c>
      <c r="I454" s="43" t="s">
        <v>3950</v>
      </c>
      <c r="J454" s="26"/>
      <c r="K454" s="17">
        <f t="shared" si="42"/>
        <v>0</v>
      </c>
      <c r="N454" s="31" t="str">
        <f t="shared" si="45"/>
        <v>-</v>
      </c>
      <c r="O454" s="31" t="str">
        <f t="shared" si="47"/>
        <v>-</v>
      </c>
      <c r="P454" s="35" t="str">
        <f t="shared" si="46"/>
        <v>-</v>
      </c>
      <c r="Q454" s="32" t="str">
        <f t="shared" si="43"/>
        <v>-</v>
      </c>
      <c r="S454" s="32" t="str">
        <f t="shared" si="44"/>
        <v>-</v>
      </c>
    </row>
    <row r="455" spans="1:19" x14ac:dyDescent="0.3">
      <c r="A455" s="45" t="s">
        <v>2554</v>
      </c>
      <c r="B455" s="40" t="s">
        <v>268</v>
      </c>
      <c r="C455" s="41" t="s">
        <v>1725</v>
      </c>
      <c r="D455" s="21" t="s">
        <v>2225</v>
      </c>
      <c r="E455" s="21" t="s">
        <v>2222</v>
      </c>
      <c r="F455" s="24">
        <v>0.19735048031416669</v>
      </c>
      <c r="G455" s="21">
        <v>12</v>
      </c>
      <c r="H455" s="17">
        <v>15.59</v>
      </c>
      <c r="I455" s="43" t="s">
        <v>3950</v>
      </c>
      <c r="J455" s="26"/>
      <c r="K455" s="17">
        <f t="shared" si="42"/>
        <v>0</v>
      </c>
      <c r="N455" s="31" t="str">
        <f t="shared" si="45"/>
        <v>-</v>
      </c>
      <c r="O455" s="31" t="str">
        <f t="shared" si="47"/>
        <v>-</v>
      </c>
      <c r="P455" s="35" t="str">
        <f t="shared" si="46"/>
        <v>-</v>
      </c>
      <c r="Q455" s="32" t="str">
        <f t="shared" si="43"/>
        <v>-</v>
      </c>
      <c r="S455" s="32" t="str">
        <f t="shared" si="44"/>
        <v>-</v>
      </c>
    </row>
    <row r="456" spans="1:19" x14ac:dyDescent="0.3">
      <c r="A456" s="45" t="s">
        <v>2557</v>
      </c>
      <c r="B456" s="40" t="s">
        <v>217</v>
      </c>
      <c r="C456" s="41" t="s">
        <v>1727</v>
      </c>
      <c r="D456" s="21" t="s">
        <v>2224</v>
      </c>
      <c r="E456" s="21" t="s">
        <v>2222</v>
      </c>
      <c r="F456" s="24">
        <v>4.5476415028916667E-2</v>
      </c>
      <c r="G456" s="21">
        <v>12</v>
      </c>
      <c r="H456" s="17">
        <v>4.1900000000000004</v>
      </c>
      <c r="I456" s="43" t="s">
        <v>3950</v>
      </c>
      <c r="J456" s="26"/>
      <c r="K456" s="17">
        <f t="shared" si="42"/>
        <v>0</v>
      </c>
      <c r="N456" s="31" t="str">
        <f t="shared" si="45"/>
        <v>-</v>
      </c>
      <c r="O456" s="31" t="str">
        <f t="shared" si="47"/>
        <v>-</v>
      </c>
      <c r="P456" s="35" t="str">
        <f t="shared" si="46"/>
        <v>-</v>
      </c>
      <c r="Q456" s="32" t="str">
        <f t="shared" si="43"/>
        <v>-</v>
      </c>
      <c r="S456" s="32" t="str">
        <f t="shared" si="44"/>
        <v>-</v>
      </c>
    </row>
    <row r="457" spans="1:19" x14ac:dyDescent="0.3">
      <c r="A457" s="45" t="s">
        <v>2558</v>
      </c>
      <c r="B457" s="40" t="s">
        <v>39</v>
      </c>
      <c r="C457" s="41" t="s">
        <v>1727</v>
      </c>
      <c r="D457" s="21" t="s">
        <v>2227</v>
      </c>
      <c r="E457" s="21" t="s">
        <v>2222</v>
      </c>
      <c r="F457" s="24">
        <v>6.0921235227416673E-2</v>
      </c>
      <c r="G457" s="21">
        <v>12</v>
      </c>
      <c r="H457" s="17">
        <v>8.1</v>
      </c>
      <c r="I457" s="43" t="s">
        <v>3950</v>
      </c>
      <c r="J457" s="26"/>
      <c r="K457" s="17">
        <f t="shared" si="42"/>
        <v>0</v>
      </c>
      <c r="N457" s="31" t="str">
        <f t="shared" si="45"/>
        <v>-</v>
      </c>
      <c r="O457" s="31" t="str">
        <f t="shared" si="47"/>
        <v>-</v>
      </c>
      <c r="P457" s="35" t="str">
        <f t="shared" si="46"/>
        <v>-</v>
      </c>
      <c r="Q457" s="32" t="str">
        <f t="shared" si="43"/>
        <v>-</v>
      </c>
      <c r="S457" s="32" t="str">
        <f t="shared" si="44"/>
        <v>-</v>
      </c>
    </row>
    <row r="458" spans="1:19" x14ac:dyDescent="0.3">
      <c r="A458" s="45" t="s">
        <v>2559</v>
      </c>
      <c r="B458" s="40" t="s">
        <v>228</v>
      </c>
      <c r="C458" s="41" t="s">
        <v>1728</v>
      </c>
      <c r="D458" s="21" t="s">
        <v>2224</v>
      </c>
      <c r="E458" s="21" t="s">
        <v>2222</v>
      </c>
      <c r="F458" s="24">
        <v>4.5476415028916667E-2</v>
      </c>
      <c r="G458" s="21">
        <v>12</v>
      </c>
      <c r="H458" s="17">
        <v>4.95</v>
      </c>
      <c r="I458" s="43" t="s">
        <v>3950</v>
      </c>
      <c r="J458" s="26"/>
      <c r="K458" s="17">
        <f t="shared" si="42"/>
        <v>0</v>
      </c>
      <c r="N458" s="31" t="str">
        <f t="shared" si="45"/>
        <v>-</v>
      </c>
      <c r="O458" s="31" t="str">
        <f t="shared" si="47"/>
        <v>-</v>
      </c>
      <c r="P458" s="35" t="str">
        <f t="shared" si="46"/>
        <v>-</v>
      </c>
      <c r="Q458" s="32" t="str">
        <f t="shared" si="43"/>
        <v>-</v>
      </c>
      <c r="S458" s="32" t="str">
        <f t="shared" si="44"/>
        <v>-</v>
      </c>
    </row>
    <row r="459" spans="1:19" x14ac:dyDescent="0.3">
      <c r="A459" s="45" t="s">
        <v>2560</v>
      </c>
      <c r="B459" s="40" t="s">
        <v>775</v>
      </c>
      <c r="C459" s="41" t="s">
        <v>1728</v>
      </c>
      <c r="D459" s="21" t="s">
        <v>2227</v>
      </c>
      <c r="E459" s="21" t="s">
        <v>2222</v>
      </c>
      <c r="F459" s="24">
        <v>6.0921235227416673E-2</v>
      </c>
      <c r="G459" s="21">
        <v>12</v>
      </c>
      <c r="H459" s="17">
        <v>8.99</v>
      </c>
      <c r="I459" s="43" t="s">
        <v>3950</v>
      </c>
      <c r="J459" s="26"/>
      <c r="K459" s="17">
        <f t="shared" si="42"/>
        <v>0</v>
      </c>
      <c r="N459" s="31" t="str">
        <f t="shared" si="45"/>
        <v>-</v>
      </c>
      <c r="O459" s="31" t="str">
        <f t="shared" si="47"/>
        <v>-</v>
      </c>
      <c r="P459" s="35" t="str">
        <f t="shared" si="46"/>
        <v>-</v>
      </c>
      <c r="Q459" s="32" t="str">
        <f t="shared" si="43"/>
        <v>-</v>
      </c>
      <c r="S459" s="32" t="str">
        <f t="shared" si="44"/>
        <v>-</v>
      </c>
    </row>
    <row r="460" spans="1:19" x14ac:dyDescent="0.3">
      <c r="A460" s="45" t="s">
        <v>2561</v>
      </c>
      <c r="B460" s="40" t="s">
        <v>289</v>
      </c>
      <c r="C460" s="41" t="s">
        <v>1708</v>
      </c>
      <c r="D460" s="21" t="s">
        <v>2223</v>
      </c>
      <c r="E460" s="21" t="s">
        <v>2222</v>
      </c>
      <c r="F460" s="24">
        <v>7.2075827592999991E-2</v>
      </c>
      <c r="G460" s="21">
        <v>12</v>
      </c>
      <c r="H460" s="17">
        <v>12.59</v>
      </c>
      <c r="I460" s="43" t="s">
        <v>3950</v>
      </c>
      <c r="J460" s="26"/>
      <c r="K460" s="17">
        <f t="shared" si="42"/>
        <v>0</v>
      </c>
      <c r="N460" s="31" t="str">
        <f t="shared" si="45"/>
        <v>-</v>
      </c>
      <c r="O460" s="31" t="str">
        <f t="shared" si="47"/>
        <v>-</v>
      </c>
      <c r="P460" s="35" t="str">
        <f t="shared" si="46"/>
        <v>-</v>
      </c>
      <c r="Q460" s="32" t="str">
        <f t="shared" si="43"/>
        <v>-</v>
      </c>
      <c r="S460" s="32" t="str">
        <f t="shared" si="44"/>
        <v>-</v>
      </c>
    </row>
    <row r="461" spans="1:19" x14ac:dyDescent="0.3">
      <c r="A461" s="45" t="s">
        <v>2562</v>
      </c>
      <c r="B461" s="40" t="s">
        <v>908</v>
      </c>
      <c r="C461" s="41" t="s">
        <v>1708</v>
      </c>
      <c r="D461" s="21" t="s">
        <v>2224</v>
      </c>
      <c r="E461" s="21" t="s">
        <v>2222</v>
      </c>
      <c r="F461" s="24">
        <v>0.1124039692224167</v>
      </c>
      <c r="G461" s="21">
        <v>12</v>
      </c>
      <c r="H461" s="17">
        <v>23.99</v>
      </c>
      <c r="I461" s="43" t="s">
        <v>3950</v>
      </c>
      <c r="J461" s="26"/>
      <c r="K461" s="17">
        <f t="shared" si="42"/>
        <v>0</v>
      </c>
      <c r="N461" s="31" t="str">
        <f t="shared" si="45"/>
        <v>-</v>
      </c>
      <c r="O461" s="31" t="str">
        <f t="shared" si="47"/>
        <v>-</v>
      </c>
      <c r="P461" s="35" t="str">
        <f t="shared" si="46"/>
        <v>-</v>
      </c>
      <c r="Q461" s="32" t="str">
        <f t="shared" si="43"/>
        <v>-</v>
      </c>
      <c r="S461" s="32" t="str">
        <f t="shared" si="44"/>
        <v>-</v>
      </c>
    </row>
    <row r="462" spans="1:19" x14ac:dyDescent="0.3">
      <c r="A462" s="45" t="s">
        <v>2563</v>
      </c>
      <c r="B462" s="40" t="s">
        <v>301</v>
      </c>
      <c r="C462" s="41" t="s">
        <v>1663</v>
      </c>
      <c r="D462" s="21" t="s">
        <v>2223</v>
      </c>
      <c r="E462" s="21" t="s">
        <v>2222</v>
      </c>
      <c r="F462" s="24">
        <v>4.0328141629416663E-2</v>
      </c>
      <c r="G462" s="21">
        <v>12</v>
      </c>
      <c r="H462" s="17">
        <v>11.1</v>
      </c>
      <c r="I462" s="43" t="s">
        <v>3950</v>
      </c>
      <c r="J462" s="26"/>
      <c r="K462" s="17">
        <f t="shared" si="42"/>
        <v>0</v>
      </c>
      <c r="N462" s="31" t="str">
        <f t="shared" si="45"/>
        <v>-</v>
      </c>
      <c r="O462" s="31" t="str">
        <f t="shared" si="47"/>
        <v>-</v>
      </c>
      <c r="P462" s="35" t="str">
        <f t="shared" si="46"/>
        <v>-</v>
      </c>
      <c r="Q462" s="32" t="str">
        <f t="shared" si="43"/>
        <v>-</v>
      </c>
      <c r="S462" s="32" t="str">
        <f t="shared" si="44"/>
        <v>-</v>
      </c>
    </row>
    <row r="463" spans="1:19" x14ac:dyDescent="0.3">
      <c r="A463" s="45" t="s">
        <v>2564</v>
      </c>
      <c r="B463" s="40" t="s">
        <v>236</v>
      </c>
      <c r="C463" s="41" t="s">
        <v>1663</v>
      </c>
      <c r="D463" s="21" t="s">
        <v>2224</v>
      </c>
      <c r="E463" s="21" t="s">
        <v>2222</v>
      </c>
      <c r="F463" s="24">
        <v>5.0624688428416671E-2</v>
      </c>
      <c r="G463" s="21">
        <v>12</v>
      </c>
      <c r="H463" s="17">
        <v>20.55</v>
      </c>
      <c r="I463" s="43" t="s">
        <v>3950</v>
      </c>
      <c r="J463" s="26"/>
      <c r="K463" s="17">
        <f t="shared" si="42"/>
        <v>0</v>
      </c>
      <c r="N463" s="31" t="str">
        <f t="shared" si="45"/>
        <v>-</v>
      </c>
      <c r="O463" s="31" t="str">
        <f t="shared" si="47"/>
        <v>-</v>
      </c>
      <c r="P463" s="35" t="str">
        <f t="shared" si="46"/>
        <v>-</v>
      </c>
      <c r="Q463" s="32" t="str">
        <f t="shared" si="43"/>
        <v>-</v>
      </c>
      <c r="S463" s="32" t="str">
        <f t="shared" si="44"/>
        <v>-</v>
      </c>
    </row>
    <row r="464" spans="1:19" x14ac:dyDescent="0.3">
      <c r="A464" s="45" t="s">
        <v>2565</v>
      </c>
      <c r="B464" s="40" t="s">
        <v>1499</v>
      </c>
      <c r="C464" s="41" t="s">
        <v>1613</v>
      </c>
      <c r="D464" s="21" t="s">
        <v>2225</v>
      </c>
      <c r="E464" s="21" t="s">
        <v>2222</v>
      </c>
      <c r="F464" s="24">
        <v>0.23081425741091663</v>
      </c>
      <c r="G464" s="21">
        <v>12</v>
      </c>
      <c r="H464" s="17">
        <v>23.85</v>
      </c>
      <c r="I464" s="43" t="s">
        <v>3950</v>
      </c>
      <c r="J464" s="26"/>
      <c r="K464" s="17">
        <f t="shared" si="42"/>
        <v>0</v>
      </c>
      <c r="N464" s="31" t="str">
        <f t="shared" si="45"/>
        <v>-</v>
      </c>
      <c r="O464" s="31" t="str">
        <f t="shared" si="47"/>
        <v>-</v>
      </c>
      <c r="P464" s="35" t="str">
        <f t="shared" si="46"/>
        <v>-</v>
      </c>
      <c r="Q464" s="32" t="str">
        <f t="shared" si="43"/>
        <v>-</v>
      </c>
      <c r="S464" s="32" t="str">
        <f t="shared" si="44"/>
        <v>-</v>
      </c>
    </row>
    <row r="465" spans="1:19" x14ac:dyDescent="0.3">
      <c r="A465" s="45" t="s">
        <v>2566</v>
      </c>
      <c r="B465" s="40" t="s">
        <v>1500</v>
      </c>
      <c r="C465" s="41" t="s">
        <v>1635</v>
      </c>
      <c r="D465" s="21" t="s">
        <v>2223</v>
      </c>
      <c r="E465" s="21" t="s">
        <v>2222</v>
      </c>
      <c r="F465" s="24">
        <v>8.2372374392000014E-2</v>
      </c>
      <c r="G465" s="21">
        <v>12</v>
      </c>
      <c r="H465" s="17">
        <v>11.55</v>
      </c>
      <c r="I465" s="43" t="s">
        <v>3950</v>
      </c>
      <c r="J465" s="26"/>
      <c r="K465" s="17">
        <f t="shared" si="42"/>
        <v>0</v>
      </c>
      <c r="N465" s="31" t="str">
        <f t="shared" si="45"/>
        <v>-</v>
      </c>
      <c r="O465" s="31" t="str">
        <f t="shared" si="47"/>
        <v>-</v>
      </c>
      <c r="P465" s="35" t="str">
        <f t="shared" si="46"/>
        <v>-</v>
      </c>
      <c r="Q465" s="32" t="str">
        <f t="shared" si="43"/>
        <v>-</v>
      </c>
      <c r="S465" s="32" t="str">
        <f t="shared" si="44"/>
        <v>-</v>
      </c>
    </row>
    <row r="466" spans="1:19" x14ac:dyDescent="0.3">
      <c r="A466" s="45" t="s">
        <v>2567</v>
      </c>
      <c r="B466" s="40" t="s">
        <v>1501</v>
      </c>
      <c r="C466" s="41" t="s">
        <v>1635</v>
      </c>
      <c r="D466" s="21" t="s">
        <v>2224</v>
      </c>
      <c r="E466" s="21" t="s">
        <v>2222</v>
      </c>
      <c r="F466" s="24">
        <v>0.13642924508675</v>
      </c>
      <c r="G466" s="21">
        <v>12</v>
      </c>
      <c r="H466" s="17">
        <v>22.19</v>
      </c>
      <c r="I466" s="43" t="s">
        <v>3950</v>
      </c>
      <c r="J466" s="26"/>
      <c r="K466" s="17">
        <f t="shared" si="42"/>
        <v>0</v>
      </c>
      <c r="N466" s="31" t="str">
        <f t="shared" si="45"/>
        <v>-</v>
      </c>
      <c r="O466" s="31" t="str">
        <f t="shared" si="47"/>
        <v>-</v>
      </c>
      <c r="P466" s="35" t="str">
        <f t="shared" si="46"/>
        <v>-</v>
      </c>
      <c r="Q466" s="32" t="str">
        <f t="shared" si="43"/>
        <v>-</v>
      </c>
      <c r="S466" s="32" t="str">
        <f t="shared" si="44"/>
        <v>-</v>
      </c>
    </row>
    <row r="467" spans="1:19" x14ac:dyDescent="0.3">
      <c r="A467" s="45" t="s">
        <v>2568</v>
      </c>
      <c r="B467" s="40" t="s">
        <v>1502</v>
      </c>
      <c r="C467" s="41" t="s">
        <v>1635</v>
      </c>
      <c r="D467" s="21" t="s">
        <v>2225</v>
      </c>
      <c r="E467" s="21" t="s">
        <v>2222</v>
      </c>
      <c r="F467" s="24">
        <v>0.19220220691466666</v>
      </c>
      <c r="G467" s="21">
        <v>12</v>
      </c>
      <c r="H467" s="17">
        <v>32.85</v>
      </c>
      <c r="I467" s="43" t="s">
        <v>3950</v>
      </c>
      <c r="J467" s="26"/>
      <c r="K467" s="17">
        <f t="shared" si="42"/>
        <v>0</v>
      </c>
      <c r="N467" s="31" t="str">
        <f t="shared" si="45"/>
        <v>-</v>
      </c>
      <c r="O467" s="31" t="str">
        <f t="shared" si="47"/>
        <v>-</v>
      </c>
      <c r="P467" s="35" t="str">
        <f t="shared" si="46"/>
        <v>-</v>
      </c>
      <c r="Q467" s="32" t="str">
        <f t="shared" si="43"/>
        <v>-</v>
      </c>
      <c r="S467" s="32" t="str">
        <f t="shared" si="44"/>
        <v>-</v>
      </c>
    </row>
    <row r="468" spans="1:19" x14ac:dyDescent="0.3">
      <c r="A468" s="45" t="s">
        <v>2569</v>
      </c>
      <c r="B468" s="40" t="s">
        <v>1503</v>
      </c>
      <c r="C468" s="41" t="s">
        <v>1729</v>
      </c>
      <c r="D468" s="21" t="s">
        <v>2224</v>
      </c>
      <c r="E468" s="21" t="s">
        <v>2222</v>
      </c>
      <c r="F468" s="24">
        <v>0.13128097168725003</v>
      </c>
      <c r="G468" s="21">
        <v>12</v>
      </c>
      <c r="H468" s="17">
        <v>7.05</v>
      </c>
      <c r="I468" s="43" t="s">
        <v>3950</v>
      </c>
      <c r="J468" s="26"/>
      <c r="K468" s="17">
        <f t="shared" si="42"/>
        <v>0</v>
      </c>
      <c r="N468" s="31" t="str">
        <f t="shared" si="45"/>
        <v>-</v>
      </c>
      <c r="O468" s="31" t="str">
        <f t="shared" si="47"/>
        <v>-</v>
      </c>
      <c r="P468" s="35" t="str">
        <f t="shared" si="46"/>
        <v>-</v>
      </c>
      <c r="Q468" s="32" t="str">
        <f t="shared" si="43"/>
        <v>-</v>
      </c>
      <c r="S468" s="32" t="str">
        <f t="shared" si="44"/>
        <v>-</v>
      </c>
    </row>
    <row r="469" spans="1:19" x14ac:dyDescent="0.3">
      <c r="A469" s="45" t="s">
        <v>2570</v>
      </c>
      <c r="B469" s="40" t="s">
        <v>1504</v>
      </c>
      <c r="C469" s="41" t="s">
        <v>1729</v>
      </c>
      <c r="D469" s="21" t="s">
        <v>2227</v>
      </c>
      <c r="E469" s="21" t="s">
        <v>2222</v>
      </c>
      <c r="F469" s="24">
        <v>0.23939471307675006</v>
      </c>
      <c r="G469" s="21">
        <v>12</v>
      </c>
      <c r="H469" s="17">
        <v>13.05</v>
      </c>
      <c r="I469" s="43" t="s">
        <v>3950</v>
      </c>
      <c r="J469" s="26"/>
      <c r="K469" s="17">
        <f t="shared" si="42"/>
        <v>0</v>
      </c>
      <c r="N469" s="31" t="str">
        <f t="shared" si="45"/>
        <v>-</v>
      </c>
      <c r="O469" s="31" t="str">
        <f t="shared" si="47"/>
        <v>-</v>
      </c>
      <c r="P469" s="35" t="str">
        <f t="shared" si="46"/>
        <v>-</v>
      </c>
      <c r="Q469" s="32" t="str">
        <f t="shared" si="43"/>
        <v>-</v>
      </c>
      <c r="S469" s="32" t="str">
        <f t="shared" si="44"/>
        <v>-</v>
      </c>
    </row>
    <row r="470" spans="1:19" x14ac:dyDescent="0.3">
      <c r="A470" s="45" t="s">
        <v>2571</v>
      </c>
      <c r="B470" s="40" t="s">
        <v>2</v>
      </c>
      <c r="C470" s="41" t="s">
        <v>1730</v>
      </c>
      <c r="D470" s="21" t="s">
        <v>2225</v>
      </c>
      <c r="E470" s="21" t="s">
        <v>2234</v>
      </c>
      <c r="F470" s="24">
        <v>6.3066349143875003E-2</v>
      </c>
      <c r="G470" s="21">
        <v>12</v>
      </c>
      <c r="H470" s="17">
        <v>10.65</v>
      </c>
      <c r="I470" s="43" t="s">
        <v>3950</v>
      </c>
      <c r="J470" s="26"/>
      <c r="K470" s="17">
        <f t="shared" si="42"/>
        <v>0</v>
      </c>
      <c r="N470" s="31" t="str">
        <f t="shared" si="45"/>
        <v>-</v>
      </c>
      <c r="O470" s="31" t="str">
        <f t="shared" si="47"/>
        <v>-</v>
      </c>
      <c r="P470" s="35" t="str">
        <f t="shared" si="46"/>
        <v>-</v>
      </c>
      <c r="Q470" s="32" t="str">
        <f t="shared" si="43"/>
        <v>-</v>
      </c>
      <c r="S470" s="32" t="str">
        <f t="shared" si="44"/>
        <v>-</v>
      </c>
    </row>
    <row r="471" spans="1:19" x14ac:dyDescent="0.3">
      <c r="A471" s="45" t="s">
        <v>2573</v>
      </c>
      <c r="B471" s="40" t="s">
        <v>868</v>
      </c>
      <c r="C471" s="41" t="s">
        <v>1731</v>
      </c>
      <c r="D471" s="21" t="s">
        <v>2224</v>
      </c>
      <c r="E471" s="21" t="s">
        <v>2222</v>
      </c>
      <c r="F471" s="24">
        <v>8.7520647791500011E-2</v>
      </c>
      <c r="G471" s="21">
        <v>12</v>
      </c>
      <c r="H471" s="17">
        <v>8.39</v>
      </c>
      <c r="I471" s="43" t="s">
        <v>3950</v>
      </c>
      <c r="J471" s="26"/>
      <c r="K471" s="17">
        <f t="shared" si="42"/>
        <v>0</v>
      </c>
      <c r="N471" s="31" t="str">
        <f t="shared" si="45"/>
        <v>-</v>
      </c>
      <c r="O471" s="31" t="str">
        <f t="shared" si="47"/>
        <v>-</v>
      </c>
      <c r="P471" s="35" t="str">
        <f t="shared" si="46"/>
        <v>-</v>
      </c>
      <c r="Q471" s="32" t="str">
        <f t="shared" si="43"/>
        <v>-</v>
      </c>
      <c r="S471" s="32" t="str">
        <f t="shared" si="44"/>
        <v>-</v>
      </c>
    </row>
    <row r="472" spans="1:19" x14ac:dyDescent="0.3">
      <c r="A472" s="45" t="s">
        <v>2574</v>
      </c>
      <c r="B472" s="40" t="s">
        <v>299</v>
      </c>
      <c r="C472" s="41" t="s">
        <v>1731</v>
      </c>
      <c r="D472" s="21" t="s">
        <v>2227</v>
      </c>
      <c r="E472" s="21" t="s">
        <v>2222</v>
      </c>
      <c r="F472" s="24">
        <v>0.15359015641841667</v>
      </c>
      <c r="G472" s="21">
        <v>12</v>
      </c>
      <c r="H472" s="17">
        <v>15.59</v>
      </c>
      <c r="I472" s="43" t="s">
        <v>3950</v>
      </c>
      <c r="J472" s="26"/>
      <c r="K472" s="17">
        <f t="shared" si="42"/>
        <v>0</v>
      </c>
      <c r="N472" s="31" t="str">
        <f t="shared" si="45"/>
        <v>-</v>
      </c>
      <c r="O472" s="31" t="str">
        <f t="shared" si="47"/>
        <v>-</v>
      </c>
      <c r="P472" s="35" t="str">
        <f t="shared" si="46"/>
        <v>-</v>
      </c>
      <c r="Q472" s="32" t="str">
        <f t="shared" si="43"/>
        <v>-</v>
      </c>
      <c r="S472" s="32" t="str">
        <f t="shared" si="44"/>
        <v>-</v>
      </c>
    </row>
    <row r="473" spans="1:19" x14ac:dyDescent="0.3">
      <c r="A473" s="45" t="s">
        <v>2575</v>
      </c>
      <c r="B473" s="40" t="s">
        <v>694</v>
      </c>
      <c r="C473" s="41" t="s">
        <v>1723</v>
      </c>
      <c r="D473" s="21" t="s">
        <v>2224</v>
      </c>
      <c r="E473" s="21" t="s">
        <v>2222</v>
      </c>
      <c r="F473" s="24">
        <v>0.15101601971866668</v>
      </c>
      <c r="G473" s="21">
        <v>12</v>
      </c>
      <c r="H473" s="17">
        <v>21.3</v>
      </c>
      <c r="I473" s="43" t="s">
        <v>3950</v>
      </c>
      <c r="J473" s="26"/>
      <c r="K473" s="17">
        <f t="shared" si="42"/>
        <v>0</v>
      </c>
      <c r="N473" s="31" t="str">
        <f t="shared" si="45"/>
        <v>-</v>
      </c>
      <c r="O473" s="31" t="str">
        <f t="shared" si="47"/>
        <v>-</v>
      </c>
      <c r="P473" s="35" t="str">
        <f t="shared" si="46"/>
        <v>-</v>
      </c>
      <c r="Q473" s="32" t="str">
        <f t="shared" si="43"/>
        <v>-</v>
      </c>
      <c r="S473" s="32" t="str">
        <f t="shared" si="44"/>
        <v>-</v>
      </c>
    </row>
    <row r="474" spans="1:19" x14ac:dyDescent="0.3">
      <c r="A474" s="45" t="s">
        <v>2576</v>
      </c>
      <c r="B474" s="40" t="s">
        <v>1043</v>
      </c>
      <c r="C474" s="41" t="s">
        <v>1723</v>
      </c>
      <c r="D474" s="21" t="s">
        <v>2225</v>
      </c>
      <c r="E474" s="21" t="s">
        <v>2222</v>
      </c>
      <c r="F474" s="24">
        <v>0.22394989287825001</v>
      </c>
      <c r="G474" s="21">
        <v>12</v>
      </c>
      <c r="H474" s="17">
        <v>31.5</v>
      </c>
      <c r="I474" s="43" t="s">
        <v>3950</v>
      </c>
      <c r="J474" s="26"/>
      <c r="K474" s="17">
        <f t="shared" si="42"/>
        <v>0</v>
      </c>
      <c r="N474" s="31" t="str">
        <f t="shared" si="45"/>
        <v>-</v>
      </c>
      <c r="O474" s="31" t="str">
        <f t="shared" si="47"/>
        <v>-</v>
      </c>
      <c r="P474" s="35" t="str">
        <f t="shared" si="46"/>
        <v>-</v>
      </c>
      <c r="Q474" s="32" t="str">
        <f t="shared" si="43"/>
        <v>-</v>
      </c>
      <c r="S474" s="32" t="str">
        <f t="shared" si="44"/>
        <v>-</v>
      </c>
    </row>
    <row r="475" spans="1:19" x14ac:dyDescent="0.3">
      <c r="A475" s="45" t="s">
        <v>2577</v>
      </c>
      <c r="B475" s="40" t="s">
        <v>1056</v>
      </c>
      <c r="C475" s="41" t="s">
        <v>1732</v>
      </c>
      <c r="D475" s="21" t="s">
        <v>2221</v>
      </c>
      <c r="E475" s="21" t="s">
        <v>2232</v>
      </c>
      <c r="F475" s="24">
        <v>6.606950862691667E-2</v>
      </c>
      <c r="G475" s="21">
        <v>12</v>
      </c>
      <c r="H475" s="17">
        <v>8.6999999999999993</v>
      </c>
      <c r="I475" s="43" t="s">
        <v>3950</v>
      </c>
      <c r="J475" s="26"/>
      <c r="K475" s="17">
        <f t="shared" si="42"/>
        <v>0</v>
      </c>
      <c r="N475" s="31" t="str">
        <f t="shared" si="45"/>
        <v>-</v>
      </c>
      <c r="O475" s="31" t="str">
        <f t="shared" si="47"/>
        <v>-</v>
      </c>
      <c r="P475" s="35" t="str">
        <f t="shared" si="46"/>
        <v>-</v>
      </c>
      <c r="Q475" s="32" t="str">
        <f t="shared" si="43"/>
        <v>-</v>
      </c>
      <c r="S475" s="32" t="str">
        <f t="shared" si="44"/>
        <v>-</v>
      </c>
    </row>
    <row r="476" spans="1:19" x14ac:dyDescent="0.3">
      <c r="A476" s="45" t="s">
        <v>2578</v>
      </c>
      <c r="B476" s="40" t="s">
        <v>488</v>
      </c>
      <c r="C476" s="41" t="s">
        <v>1732</v>
      </c>
      <c r="D476" s="21" t="s">
        <v>2245</v>
      </c>
      <c r="E476" s="21" t="s">
        <v>2232</v>
      </c>
      <c r="F476" s="24">
        <v>0.14844188301891667</v>
      </c>
      <c r="G476" s="21">
        <v>12</v>
      </c>
      <c r="H476" s="17">
        <v>20.100000000000001</v>
      </c>
      <c r="I476" s="43" t="s">
        <v>3950</v>
      </c>
      <c r="J476" s="26"/>
      <c r="K476" s="17">
        <f t="shared" si="42"/>
        <v>0</v>
      </c>
      <c r="N476" s="31" t="str">
        <f t="shared" si="45"/>
        <v>-</v>
      </c>
      <c r="O476" s="31" t="str">
        <f t="shared" si="47"/>
        <v>-</v>
      </c>
      <c r="P476" s="35" t="str">
        <f t="shared" si="46"/>
        <v>-</v>
      </c>
      <c r="Q476" s="32" t="str">
        <f t="shared" si="43"/>
        <v>-</v>
      </c>
      <c r="S476" s="32" t="str">
        <f t="shared" si="44"/>
        <v>-</v>
      </c>
    </row>
    <row r="477" spans="1:19" x14ac:dyDescent="0.3">
      <c r="A477" s="45" t="s">
        <v>2579</v>
      </c>
      <c r="B477" s="40" t="s">
        <v>310</v>
      </c>
      <c r="C477" s="41" t="s">
        <v>1733</v>
      </c>
      <c r="D477" s="21" t="s">
        <v>2221</v>
      </c>
      <c r="E477" s="21" t="s">
        <v>2222</v>
      </c>
      <c r="F477" s="24">
        <v>6.0921235227416673E-2</v>
      </c>
      <c r="G477" s="21">
        <v>12</v>
      </c>
      <c r="H477" s="17">
        <v>5.7</v>
      </c>
      <c r="I477" s="43" t="s">
        <v>3950</v>
      </c>
      <c r="J477" s="26"/>
      <c r="K477" s="17">
        <f t="shared" si="42"/>
        <v>0</v>
      </c>
      <c r="N477" s="31" t="str">
        <f t="shared" si="45"/>
        <v>-</v>
      </c>
      <c r="O477" s="31" t="str">
        <f t="shared" si="47"/>
        <v>-</v>
      </c>
      <c r="P477" s="35" t="str">
        <f t="shared" si="46"/>
        <v>-</v>
      </c>
      <c r="Q477" s="32" t="str">
        <f t="shared" si="43"/>
        <v>-</v>
      </c>
      <c r="S477" s="32" t="str">
        <f t="shared" si="44"/>
        <v>-</v>
      </c>
    </row>
    <row r="478" spans="1:19" x14ac:dyDescent="0.3">
      <c r="A478" s="45" t="s">
        <v>2580</v>
      </c>
      <c r="B478" s="40" t="s">
        <v>949</v>
      </c>
      <c r="C478" s="41" t="s">
        <v>1733</v>
      </c>
      <c r="D478" s="21" t="s">
        <v>2245</v>
      </c>
      <c r="E478" s="21" t="s">
        <v>2222</v>
      </c>
      <c r="F478" s="24">
        <v>0.11969735653837503</v>
      </c>
      <c r="G478" s="21">
        <v>12</v>
      </c>
      <c r="H478" s="17">
        <v>13.19</v>
      </c>
      <c r="I478" s="43" t="s">
        <v>3950</v>
      </c>
      <c r="J478" s="26"/>
      <c r="K478" s="17">
        <f t="shared" si="42"/>
        <v>0</v>
      </c>
      <c r="N478" s="31" t="str">
        <f t="shared" si="45"/>
        <v>-</v>
      </c>
      <c r="O478" s="31" t="str">
        <f t="shared" si="47"/>
        <v>-</v>
      </c>
      <c r="P478" s="35" t="str">
        <f t="shared" si="46"/>
        <v>-</v>
      </c>
      <c r="Q478" s="32" t="str">
        <f t="shared" si="43"/>
        <v>-</v>
      </c>
      <c r="S478" s="32" t="str">
        <f t="shared" si="44"/>
        <v>-</v>
      </c>
    </row>
    <row r="479" spans="1:19" x14ac:dyDescent="0.3">
      <c r="A479" s="45" t="s">
        <v>2582</v>
      </c>
      <c r="B479" s="40" t="s">
        <v>487</v>
      </c>
      <c r="C479" s="41" t="s">
        <v>1734</v>
      </c>
      <c r="D479" s="21" t="s">
        <v>2245</v>
      </c>
      <c r="E479" s="21" t="s">
        <v>2222</v>
      </c>
      <c r="F479" s="24">
        <v>0.19477634361441667</v>
      </c>
      <c r="G479" s="21">
        <v>12</v>
      </c>
      <c r="H479" s="17">
        <v>13.5</v>
      </c>
      <c r="I479" s="43" t="s">
        <v>3950</v>
      </c>
      <c r="J479" s="26"/>
      <c r="K479" s="17">
        <f t="shared" si="42"/>
        <v>0</v>
      </c>
      <c r="N479" s="31" t="str">
        <f t="shared" si="45"/>
        <v>-</v>
      </c>
      <c r="O479" s="31" t="str">
        <f t="shared" si="47"/>
        <v>-</v>
      </c>
      <c r="P479" s="35" t="str">
        <f t="shared" si="46"/>
        <v>-</v>
      </c>
      <c r="Q479" s="32" t="str">
        <f t="shared" si="43"/>
        <v>-</v>
      </c>
      <c r="S479" s="32" t="str">
        <f t="shared" si="44"/>
        <v>-</v>
      </c>
    </row>
    <row r="480" spans="1:19" x14ac:dyDescent="0.3">
      <c r="A480" s="45" t="s">
        <v>2583</v>
      </c>
      <c r="B480" s="40" t="s">
        <v>1361</v>
      </c>
      <c r="C480" s="41" t="s">
        <v>1735</v>
      </c>
      <c r="D480" s="21" t="s">
        <v>2245</v>
      </c>
      <c r="E480" s="21" t="s">
        <v>2222</v>
      </c>
      <c r="F480" s="24">
        <v>0.11326201478900001</v>
      </c>
      <c r="G480" s="21">
        <v>12</v>
      </c>
      <c r="H480" s="17">
        <v>8.99</v>
      </c>
      <c r="I480" s="43" t="s">
        <v>3950</v>
      </c>
      <c r="J480" s="26"/>
      <c r="K480" s="17">
        <f t="shared" si="42"/>
        <v>0</v>
      </c>
      <c r="N480" s="31" t="str">
        <f t="shared" si="45"/>
        <v>-</v>
      </c>
      <c r="O480" s="31" t="str">
        <f t="shared" si="47"/>
        <v>-</v>
      </c>
      <c r="P480" s="35" t="str">
        <f t="shared" si="46"/>
        <v>-</v>
      </c>
      <c r="Q480" s="32" t="str">
        <f t="shared" si="43"/>
        <v>-</v>
      </c>
      <c r="S480" s="32" t="str">
        <f t="shared" si="44"/>
        <v>-</v>
      </c>
    </row>
    <row r="481" spans="1:19" x14ac:dyDescent="0.3">
      <c r="A481" s="45" t="s">
        <v>2585</v>
      </c>
      <c r="B481" s="40" t="s">
        <v>278</v>
      </c>
      <c r="C481" s="41" t="s">
        <v>1736</v>
      </c>
      <c r="D481" s="21" t="s">
        <v>2245</v>
      </c>
      <c r="E481" s="21" t="s">
        <v>2222</v>
      </c>
      <c r="F481" s="24">
        <v>0.12870683498750002</v>
      </c>
      <c r="G481" s="21">
        <v>12</v>
      </c>
      <c r="H481" s="17">
        <v>12.15</v>
      </c>
      <c r="I481" s="43" t="s">
        <v>3950</v>
      </c>
      <c r="J481" s="26"/>
      <c r="K481" s="17">
        <f t="shared" si="42"/>
        <v>0</v>
      </c>
      <c r="N481" s="31" t="str">
        <f t="shared" si="45"/>
        <v>-</v>
      </c>
      <c r="O481" s="31" t="str">
        <f t="shared" si="47"/>
        <v>-</v>
      </c>
      <c r="P481" s="35" t="str">
        <f t="shared" si="46"/>
        <v>-</v>
      </c>
      <c r="Q481" s="32" t="str">
        <f t="shared" si="43"/>
        <v>-</v>
      </c>
      <c r="S481" s="32" t="str">
        <f t="shared" si="44"/>
        <v>-</v>
      </c>
    </row>
    <row r="482" spans="1:19" x14ac:dyDescent="0.3">
      <c r="A482" s="45" t="s">
        <v>2586</v>
      </c>
      <c r="B482" s="40" t="s">
        <v>685</v>
      </c>
      <c r="C482" s="41" t="s">
        <v>1737</v>
      </c>
      <c r="D482" s="21" t="s">
        <v>2239</v>
      </c>
      <c r="E482" s="21" t="s">
        <v>2222</v>
      </c>
      <c r="F482" s="24">
        <v>7.6366055425916665E-2</v>
      </c>
      <c r="G482" s="21">
        <v>12</v>
      </c>
      <c r="H482" s="17">
        <v>6.3</v>
      </c>
      <c r="I482" s="43" t="s">
        <v>3950</v>
      </c>
      <c r="J482" s="26"/>
      <c r="K482" s="17">
        <f t="shared" si="42"/>
        <v>0</v>
      </c>
      <c r="N482" s="31" t="str">
        <f t="shared" si="45"/>
        <v>-</v>
      </c>
      <c r="O482" s="31" t="str">
        <f t="shared" si="47"/>
        <v>-</v>
      </c>
      <c r="P482" s="35" t="str">
        <f t="shared" si="46"/>
        <v>-</v>
      </c>
      <c r="Q482" s="32" t="str">
        <f t="shared" si="43"/>
        <v>-</v>
      </c>
      <c r="S482" s="32" t="str">
        <f t="shared" si="44"/>
        <v>-</v>
      </c>
    </row>
    <row r="483" spans="1:19" x14ac:dyDescent="0.3">
      <c r="A483" s="45" t="s">
        <v>2587</v>
      </c>
      <c r="B483" s="40" t="s">
        <v>490</v>
      </c>
      <c r="C483" s="41" t="s">
        <v>1737</v>
      </c>
      <c r="D483" s="21" t="s">
        <v>2221</v>
      </c>
      <c r="E483" s="21" t="s">
        <v>2222</v>
      </c>
      <c r="F483" s="24">
        <v>0.13128097168725003</v>
      </c>
      <c r="G483" s="21">
        <v>12</v>
      </c>
      <c r="H483" s="17">
        <v>11.55</v>
      </c>
      <c r="I483" s="43" t="s">
        <v>3950</v>
      </c>
      <c r="J483" s="26"/>
      <c r="K483" s="17">
        <f t="shared" si="42"/>
        <v>0</v>
      </c>
      <c r="N483" s="31" t="str">
        <f t="shared" si="45"/>
        <v>-</v>
      </c>
      <c r="O483" s="31" t="str">
        <f t="shared" si="47"/>
        <v>-</v>
      </c>
      <c r="P483" s="35" t="str">
        <f t="shared" si="46"/>
        <v>-</v>
      </c>
      <c r="Q483" s="32" t="str">
        <f t="shared" si="43"/>
        <v>-</v>
      </c>
      <c r="S483" s="32" t="str">
        <f t="shared" si="44"/>
        <v>-</v>
      </c>
    </row>
    <row r="484" spans="1:19" x14ac:dyDescent="0.3">
      <c r="A484" s="45" t="s">
        <v>2588</v>
      </c>
      <c r="B484" s="40" t="s">
        <v>693</v>
      </c>
      <c r="C484" s="41" t="s">
        <v>1738</v>
      </c>
      <c r="D484" s="21" t="s">
        <v>2239</v>
      </c>
      <c r="E484" s="21" t="s">
        <v>2238</v>
      </c>
      <c r="F484" s="24">
        <v>9.1810875624416685E-2</v>
      </c>
      <c r="G484" s="21">
        <v>12</v>
      </c>
      <c r="H484" s="17">
        <v>6.75</v>
      </c>
      <c r="I484" s="43" t="s">
        <v>3950</v>
      </c>
      <c r="J484" s="26"/>
      <c r="K484" s="17">
        <f t="shared" si="42"/>
        <v>0</v>
      </c>
      <c r="N484" s="31" t="str">
        <f t="shared" si="45"/>
        <v>-</v>
      </c>
      <c r="O484" s="31" t="str">
        <f t="shared" si="47"/>
        <v>-</v>
      </c>
      <c r="P484" s="35" t="str">
        <f t="shared" si="46"/>
        <v>-</v>
      </c>
      <c r="Q484" s="32" t="str">
        <f t="shared" si="43"/>
        <v>-</v>
      </c>
      <c r="S484" s="32" t="str">
        <f t="shared" si="44"/>
        <v>-</v>
      </c>
    </row>
    <row r="485" spans="1:19" x14ac:dyDescent="0.3">
      <c r="A485" s="45" t="s">
        <v>2589</v>
      </c>
      <c r="B485" s="40" t="s">
        <v>1153</v>
      </c>
      <c r="C485" s="41" t="s">
        <v>1738</v>
      </c>
      <c r="D485" s="21" t="s">
        <v>2221</v>
      </c>
      <c r="E485" s="21" t="s">
        <v>2238</v>
      </c>
      <c r="F485" s="24">
        <v>0.10296546799</v>
      </c>
      <c r="G485" s="21">
        <v>12</v>
      </c>
      <c r="H485" s="17">
        <v>12.15</v>
      </c>
      <c r="I485" s="43" t="s">
        <v>3950</v>
      </c>
      <c r="J485" s="26"/>
      <c r="K485" s="17">
        <f t="shared" si="42"/>
        <v>0</v>
      </c>
      <c r="N485" s="31" t="str">
        <f t="shared" si="45"/>
        <v>-</v>
      </c>
      <c r="O485" s="31" t="str">
        <f t="shared" si="47"/>
        <v>-</v>
      </c>
      <c r="P485" s="35" t="str">
        <f t="shared" si="46"/>
        <v>-</v>
      </c>
      <c r="Q485" s="32" t="str">
        <f t="shared" si="43"/>
        <v>-</v>
      </c>
      <c r="S485" s="32" t="str">
        <f t="shared" si="44"/>
        <v>-</v>
      </c>
    </row>
    <row r="486" spans="1:19" x14ac:dyDescent="0.3">
      <c r="A486" s="45" t="s">
        <v>2592</v>
      </c>
      <c r="B486" s="40" t="s">
        <v>483</v>
      </c>
      <c r="C486" s="41" t="s">
        <v>1739</v>
      </c>
      <c r="D486" s="21" t="s">
        <v>2245</v>
      </c>
      <c r="E486" s="21" t="s">
        <v>2222</v>
      </c>
      <c r="F486" s="24">
        <v>0.32348317860191667</v>
      </c>
      <c r="G486" s="21">
        <v>12</v>
      </c>
      <c r="H486" s="17">
        <v>23.99</v>
      </c>
      <c r="I486" s="43" t="s">
        <v>3950</v>
      </c>
      <c r="J486" s="26"/>
      <c r="K486" s="17">
        <f t="shared" si="42"/>
        <v>0</v>
      </c>
      <c r="N486" s="31" t="str">
        <f t="shared" si="45"/>
        <v>-</v>
      </c>
      <c r="O486" s="31" t="str">
        <f t="shared" si="47"/>
        <v>-</v>
      </c>
      <c r="P486" s="35" t="str">
        <f t="shared" si="46"/>
        <v>-</v>
      </c>
      <c r="Q486" s="32" t="str">
        <f t="shared" si="43"/>
        <v>-</v>
      </c>
      <c r="S486" s="32" t="str">
        <f t="shared" si="44"/>
        <v>-</v>
      </c>
    </row>
    <row r="487" spans="1:19" x14ac:dyDescent="0.3">
      <c r="A487" s="45" t="s">
        <v>2593</v>
      </c>
      <c r="B487" s="40" t="s">
        <v>222</v>
      </c>
      <c r="C487" s="41" t="s">
        <v>1656</v>
      </c>
      <c r="D487" s="21" t="s">
        <v>2241</v>
      </c>
      <c r="E487" s="21" t="s">
        <v>2240</v>
      </c>
      <c r="F487" s="24">
        <v>0.62680228638912505</v>
      </c>
      <c r="G487" s="21">
        <v>12</v>
      </c>
      <c r="H487" s="17">
        <v>23.1</v>
      </c>
      <c r="I487" s="43" t="s">
        <v>3950</v>
      </c>
      <c r="J487" s="26"/>
      <c r="K487" s="17">
        <f t="shared" si="42"/>
        <v>0</v>
      </c>
      <c r="N487" s="31" t="str">
        <f t="shared" si="45"/>
        <v>-</v>
      </c>
      <c r="O487" s="31" t="str">
        <f t="shared" si="47"/>
        <v>-</v>
      </c>
      <c r="P487" s="35" t="str">
        <f t="shared" si="46"/>
        <v>-</v>
      </c>
      <c r="Q487" s="32" t="str">
        <f t="shared" si="43"/>
        <v>-</v>
      </c>
      <c r="S487" s="32" t="str">
        <f t="shared" si="44"/>
        <v>-</v>
      </c>
    </row>
    <row r="488" spans="1:19" x14ac:dyDescent="0.3">
      <c r="A488" s="45" t="s">
        <v>2594</v>
      </c>
      <c r="B488" s="40" t="s">
        <v>703</v>
      </c>
      <c r="C488" s="41" t="s">
        <v>1740</v>
      </c>
      <c r="D488" s="21" t="s">
        <v>2223</v>
      </c>
      <c r="E488" s="21" t="s">
        <v>2222</v>
      </c>
      <c r="F488" s="24">
        <v>8.3659442741875006E-2</v>
      </c>
      <c r="G488" s="21">
        <v>12</v>
      </c>
      <c r="H488" s="17">
        <v>5.85</v>
      </c>
      <c r="I488" s="43" t="s">
        <v>3950</v>
      </c>
      <c r="J488" s="26"/>
      <c r="K488" s="17">
        <f t="shared" si="42"/>
        <v>0</v>
      </c>
      <c r="N488" s="31" t="str">
        <f t="shared" si="45"/>
        <v>-</v>
      </c>
      <c r="O488" s="31" t="str">
        <f t="shared" si="47"/>
        <v>-</v>
      </c>
      <c r="P488" s="35" t="str">
        <f t="shared" si="46"/>
        <v>-</v>
      </c>
      <c r="Q488" s="32" t="str">
        <f t="shared" si="43"/>
        <v>-</v>
      </c>
      <c r="S488" s="32" t="str">
        <f t="shared" si="44"/>
        <v>-</v>
      </c>
    </row>
    <row r="489" spans="1:19" x14ac:dyDescent="0.3">
      <c r="A489" s="45" t="s">
        <v>2595</v>
      </c>
      <c r="B489" s="40" t="s">
        <v>1384</v>
      </c>
      <c r="C489" s="41" t="s">
        <v>1740</v>
      </c>
      <c r="D489" s="21" t="s">
        <v>2224</v>
      </c>
      <c r="E489" s="21" t="s">
        <v>2222</v>
      </c>
      <c r="F489" s="24">
        <v>0.15101601971866668</v>
      </c>
      <c r="G489" s="21">
        <v>12</v>
      </c>
      <c r="H489" s="17">
        <v>10.79</v>
      </c>
      <c r="I489" s="43" t="s">
        <v>3950</v>
      </c>
      <c r="J489" s="26"/>
      <c r="K489" s="17">
        <f t="shared" si="42"/>
        <v>0</v>
      </c>
      <c r="N489" s="31" t="str">
        <f t="shared" si="45"/>
        <v>-</v>
      </c>
      <c r="O489" s="31" t="str">
        <f t="shared" si="47"/>
        <v>-</v>
      </c>
      <c r="P489" s="35" t="str">
        <f t="shared" si="46"/>
        <v>-</v>
      </c>
      <c r="Q489" s="32" t="str">
        <f t="shared" si="43"/>
        <v>-</v>
      </c>
      <c r="S489" s="32" t="str">
        <f t="shared" si="44"/>
        <v>-</v>
      </c>
    </row>
    <row r="490" spans="1:19" x14ac:dyDescent="0.3">
      <c r="A490" s="45" t="s">
        <v>2596</v>
      </c>
      <c r="B490" s="40" t="s">
        <v>254</v>
      </c>
      <c r="C490" s="41" t="s">
        <v>1740</v>
      </c>
      <c r="D490" s="21" t="s">
        <v>2225</v>
      </c>
      <c r="E490" s="21" t="s">
        <v>2222</v>
      </c>
      <c r="F490" s="24">
        <v>0.22394989287825001</v>
      </c>
      <c r="G490" s="21">
        <v>12</v>
      </c>
      <c r="H490" s="17">
        <v>15.9</v>
      </c>
      <c r="I490" s="43" t="s">
        <v>3950</v>
      </c>
      <c r="J490" s="26"/>
      <c r="K490" s="17">
        <f t="shared" si="42"/>
        <v>0</v>
      </c>
      <c r="N490" s="31" t="str">
        <f t="shared" si="45"/>
        <v>-</v>
      </c>
      <c r="O490" s="31" t="str">
        <f t="shared" si="47"/>
        <v>-</v>
      </c>
      <c r="P490" s="35" t="str">
        <f t="shared" si="46"/>
        <v>-</v>
      </c>
      <c r="Q490" s="32" t="str">
        <f t="shared" si="43"/>
        <v>-</v>
      </c>
      <c r="S490" s="32" t="str">
        <f t="shared" si="44"/>
        <v>-</v>
      </c>
    </row>
    <row r="491" spans="1:19" x14ac:dyDescent="0.3">
      <c r="A491" s="45" t="s">
        <v>2597</v>
      </c>
      <c r="B491" s="40" t="s">
        <v>911</v>
      </c>
      <c r="C491" s="41" t="s">
        <v>1740</v>
      </c>
      <c r="D491" s="21" t="s">
        <v>2226</v>
      </c>
      <c r="E491" s="21" t="s">
        <v>2222</v>
      </c>
      <c r="F491" s="24">
        <v>0.41915525927595837</v>
      </c>
      <c r="G491" s="21">
        <v>12</v>
      </c>
      <c r="H491" s="17">
        <v>30.59</v>
      </c>
      <c r="I491" s="43" t="s">
        <v>3950</v>
      </c>
      <c r="J491" s="26"/>
      <c r="K491" s="17">
        <f t="shared" si="42"/>
        <v>0</v>
      </c>
      <c r="N491" s="31" t="str">
        <f t="shared" si="45"/>
        <v>-</v>
      </c>
      <c r="O491" s="31" t="str">
        <f t="shared" si="47"/>
        <v>-</v>
      </c>
      <c r="P491" s="35" t="str">
        <f t="shared" si="46"/>
        <v>-</v>
      </c>
      <c r="Q491" s="32" t="str">
        <f t="shared" si="43"/>
        <v>-</v>
      </c>
      <c r="S491" s="32" t="str">
        <f t="shared" si="44"/>
        <v>-</v>
      </c>
    </row>
    <row r="492" spans="1:19" x14ac:dyDescent="0.3">
      <c r="A492" s="45" t="s">
        <v>2598</v>
      </c>
      <c r="B492" s="40" t="s">
        <v>1175</v>
      </c>
      <c r="C492" s="41" t="s">
        <v>1741</v>
      </c>
      <c r="D492" s="21" t="s">
        <v>2223</v>
      </c>
      <c r="E492" s="21" t="s">
        <v>2222</v>
      </c>
      <c r="F492" s="24">
        <v>0.31533174571937506</v>
      </c>
      <c r="G492" s="21">
        <v>12</v>
      </c>
      <c r="H492" s="17">
        <v>5.99</v>
      </c>
      <c r="I492" s="43" t="s">
        <v>3950</v>
      </c>
      <c r="J492" s="26"/>
      <c r="K492" s="17">
        <f t="shared" si="42"/>
        <v>0</v>
      </c>
      <c r="N492" s="31" t="str">
        <f t="shared" si="45"/>
        <v>-</v>
      </c>
      <c r="O492" s="31" t="str">
        <f t="shared" si="47"/>
        <v>-</v>
      </c>
      <c r="P492" s="35" t="str">
        <f t="shared" si="46"/>
        <v>-</v>
      </c>
      <c r="Q492" s="32" t="str">
        <f t="shared" si="43"/>
        <v>-</v>
      </c>
      <c r="S492" s="32" t="str">
        <f t="shared" si="44"/>
        <v>-</v>
      </c>
    </row>
    <row r="493" spans="1:19" x14ac:dyDescent="0.3">
      <c r="A493" s="45" t="s">
        <v>2599</v>
      </c>
      <c r="B493" s="40" t="s">
        <v>890</v>
      </c>
      <c r="C493" s="41" t="s">
        <v>1741</v>
      </c>
      <c r="D493" s="21" t="s">
        <v>2224</v>
      </c>
      <c r="E493" s="21" t="s">
        <v>2222</v>
      </c>
      <c r="F493" s="24">
        <v>0.41186187196000001</v>
      </c>
      <c r="G493" s="21">
        <v>12</v>
      </c>
      <c r="H493" s="17">
        <v>10.79</v>
      </c>
      <c r="I493" s="43" t="s">
        <v>3950</v>
      </c>
      <c r="J493" s="26"/>
      <c r="K493" s="17">
        <f t="shared" si="42"/>
        <v>0</v>
      </c>
      <c r="N493" s="31" t="str">
        <f t="shared" si="45"/>
        <v>-</v>
      </c>
      <c r="O493" s="31" t="str">
        <f t="shared" si="47"/>
        <v>-</v>
      </c>
      <c r="P493" s="35" t="str">
        <f t="shared" si="46"/>
        <v>-</v>
      </c>
      <c r="Q493" s="32" t="str">
        <f t="shared" si="43"/>
        <v>-</v>
      </c>
      <c r="S493" s="32" t="str">
        <f t="shared" si="44"/>
        <v>-</v>
      </c>
    </row>
    <row r="494" spans="1:19" x14ac:dyDescent="0.3">
      <c r="A494" s="45" t="s">
        <v>2600</v>
      </c>
      <c r="B494" s="40" t="s">
        <v>1408</v>
      </c>
      <c r="C494" s="41" t="s">
        <v>1742</v>
      </c>
      <c r="D494" s="21" t="s">
        <v>2225</v>
      </c>
      <c r="E494" s="21" t="s">
        <v>2234</v>
      </c>
      <c r="F494" s="24">
        <v>6.9501690893250007E-2</v>
      </c>
      <c r="G494" s="21">
        <v>12</v>
      </c>
      <c r="H494" s="17">
        <v>18.59</v>
      </c>
      <c r="I494" s="43" t="s">
        <v>3950</v>
      </c>
      <c r="J494" s="26"/>
      <c r="K494" s="17">
        <f t="shared" si="42"/>
        <v>0</v>
      </c>
      <c r="N494" s="31" t="str">
        <f t="shared" si="45"/>
        <v>-</v>
      </c>
      <c r="O494" s="31" t="str">
        <f t="shared" si="47"/>
        <v>-</v>
      </c>
      <c r="P494" s="35" t="str">
        <f t="shared" si="46"/>
        <v>-</v>
      </c>
      <c r="Q494" s="32" t="str">
        <f t="shared" si="43"/>
        <v>-</v>
      </c>
      <c r="S494" s="32" t="str">
        <f t="shared" si="44"/>
        <v>-</v>
      </c>
    </row>
    <row r="495" spans="1:19" x14ac:dyDescent="0.3">
      <c r="A495" s="45" t="s">
        <v>2601</v>
      </c>
      <c r="B495" s="40" t="s">
        <v>837</v>
      </c>
      <c r="C495" s="41" t="s">
        <v>1743</v>
      </c>
      <c r="D495" s="21" t="s">
        <v>2236</v>
      </c>
      <c r="E495" s="21" t="s">
        <v>2249</v>
      </c>
      <c r="F495" s="24">
        <v>0.18962807021491668</v>
      </c>
      <c r="G495" s="21">
        <v>12</v>
      </c>
      <c r="H495" s="17">
        <v>10.79</v>
      </c>
      <c r="I495" s="43" t="s">
        <v>3950</v>
      </c>
      <c r="J495" s="26"/>
      <c r="K495" s="17">
        <f t="shared" si="42"/>
        <v>0</v>
      </c>
      <c r="N495" s="31" t="str">
        <f t="shared" si="45"/>
        <v>-</v>
      </c>
      <c r="O495" s="31" t="str">
        <f t="shared" si="47"/>
        <v>-</v>
      </c>
      <c r="P495" s="35" t="str">
        <f t="shared" si="46"/>
        <v>-</v>
      </c>
      <c r="Q495" s="32" t="str">
        <f t="shared" si="43"/>
        <v>-</v>
      </c>
      <c r="S495" s="32" t="str">
        <f t="shared" si="44"/>
        <v>-</v>
      </c>
    </row>
    <row r="496" spans="1:19" x14ac:dyDescent="0.3">
      <c r="A496" s="45" t="s">
        <v>2602</v>
      </c>
      <c r="B496" s="40" t="s">
        <v>229</v>
      </c>
      <c r="C496" s="41" t="s">
        <v>1743</v>
      </c>
      <c r="D496" s="21" t="s">
        <v>2241</v>
      </c>
      <c r="E496" s="21" t="s">
        <v>2249</v>
      </c>
      <c r="F496" s="24">
        <v>0.61478964845695838</v>
      </c>
      <c r="G496" s="21">
        <v>12</v>
      </c>
      <c r="H496" s="17">
        <v>20.55</v>
      </c>
      <c r="I496" s="43" t="s">
        <v>3950</v>
      </c>
      <c r="J496" s="26"/>
      <c r="K496" s="17">
        <f t="shared" si="42"/>
        <v>0</v>
      </c>
      <c r="N496" s="31" t="str">
        <f t="shared" si="45"/>
        <v>-</v>
      </c>
      <c r="O496" s="31" t="str">
        <f t="shared" si="47"/>
        <v>-</v>
      </c>
      <c r="P496" s="35" t="str">
        <f t="shared" si="46"/>
        <v>-</v>
      </c>
      <c r="Q496" s="32" t="str">
        <f t="shared" si="43"/>
        <v>-</v>
      </c>
      <c r="S496" s="32" t="str">
        <f t="shared" si="44"/>
        <v>-</v>
      </c>
    </row>
    <row r="497" spans="1:19" x14ac:dyDescent="0.3">
      <c r="A497" s="45" t="s">
        <v>2605</v>
      </c>
      <c r="B497" s="40" t="s">
        <v>346</v>
      </c>
      <c r="C497" s="41" t="s">
        <v>1744</v>
      </c>
      <c r="D497" s="21" t="s">
        <v>2245</v>
      </c>
      <c r="E497" s="21" t="s">
        <v>2222</v>
      </c>
      <c r="F497" s="24">
        <v>0.28229699140591669</v>
      </c>
      <c r="G497" s="21">
        <v>12</v>
      </c>
      <c r="H497" s="17">
        <v>14.85</v>
      </c>
      <c r="I497" s="43" t="s">
        <v>3950</v>
      </c>
      <c r="J497" s="26"/>
      <c r="K497" s="17">
        <f t="shared" si="42"/>
        <v>0</v>
      </c>
      <c r="N497" s="31" t="str">
        <f t="shared" si="45"/>
        <v>-</v>
      </c>
      <c r="O497" s="31" t="str">
        <f t="shared" si="47"/>
        <v>-</v>
      </c>
      <c r="P497" s="35" t="str">
        <f t="shared" si="46"/>
        <v>-</v>
      </c>
      <c r="Q497" s="32" t="str">
        <f t="shared" si="43"/>
        <v>-</v>
      </c>
      <c r="S497" s="32" t="str">
        <f t="shared" si="44"/>
        <v>-</v>
      </c>
    </row>
    <row r="498" spans="1:19" x14ac:dyDescent="0.3">
      <c r="A498" s="45" t="s">
        <v>2606</v>
      </c>
      <c r="B498" s="40" t="s">
        <v>1120</v>
      </c>
      <c r="C498" s="41" t="s">
        <v>1745</v>
      </c>
      <c r="D498" s="21" t="s">
        <v>2236</v>
      </c>
      <c r="E498" s="21" t="s">
        <v>2249</v>
      </c>
      <c r="F498" s="24">
        <v>0.31661881406925002</v>
      </c>
      <c r="G498" s="21">
        <v>12</v>
      </c>
      <c r="H498" s="17">
        <v>8.99</v>
      </c>
      <c r="I498" s="43" t="s">
        <v>3950</v>
      </c>
      <c r="J498" s="26"/>
      <c r="K498" s="17">
        <f t="shared" si="42"/>
        <v>0</v>
      </c>
      <c r="N498" s="31" t="str">
        <f t="shared" si="45"/>
        <v>-</v>
      </c>
      <c r="O498" s="31" t="str">
        <f t="shared" si="47"/>
        <v>-</v>
      </c>
      <c r="P498" s="35" t="str">
        <f t="shared" si="46"/>
        <v>-</v>
      </c>
      <c r="Q498" s="32" t="str">
        <f t="shared" si="43"/>
        <v>-</v>
      </c>
      <c r="S498" s="32" t="str">
        <f t="shared" si="44"/>
        <v>-</v>
      </c>
    </row>
    <row r="499" spans="1:19" x14ac:dyDescent="0.3">
      <c r="A499" s="45" t="s">
        <v>2607</v>
      </c>
      <c r="B499" s="40" t="s">
        <v>914</v>
      </c>
      <c r="C499" s="41" t="s">
        <v>1745</v>
      </c>
      <c r="D499" s="21" t="s">
        <v>2241</v>
      </c>
      <c r="E499" s="21" t="s">
        <v>2249</v>
      </c>
      <c r="F499" s="24">
        <v>0.60964137505745841</v>
      </c>
      <c r="G499" s="21">
        <v>12</v>
      </c>
      <c r="H499" s="17">
        <v>14.99</v>
      </c>
      <c r="I499" s="43" t="s">
        <v>3950</v>
      </c>
      <c r="J499" s="26"/>
      <c r="K499" s="17">
        <f t="shared" si="42"/>
        <v>0</v>
      </c>
      <c r="N499" s="31" t="str">
        <f t="shared" si="45"/>
        <v>-</v>
      </c>
      <c r="O499" s="31" t="str">
        <f t="shared" si="47"/>
        <v>-</v>
      </c>
      <c r="P499" s="35" t="str">
        <f t="shared" si="46"/>
        <v>-</v>
      </c>
      <c r="Q499" s="32" t="str">
        <f t="shared" si="43"/>
        <v>-</v>
      </c>
      <c r="S499" s="32" t="str">
        <f t="shared" si="44"/>
        <v>-</v>
      </c>
    </row>
    <row r="500" spans="1:19" x14ac:dyDescent="0.3">
      <c r="A500" s="45" t="s">
        <v>2608</v>
      </c>
      <c r="B500" s="40" t="s">
        <v>200</v>
      </c>
      <c r="C500" s="41" t="s">
        <v>1746</v>
      </c>
      <c r="D500" s="21" t="s">
        <v>2239</v>
      </c>
      <c r="E500" s="21" t="s">
        <v>2237</v>
      </c>
      <c r="F500" s="24">
        <v>0.10811374138950001</v>
      </c>
      <c r="G500" s="21">
        <v>12</v>
      </c>
      <c r="H500" s="17">
        <v>5.7</v>
      </c>
      <c r="I500" s="43" t="s">
        <v>3950</v>
      </c>
      <c r="J500" s="26"/>
      <c r="K500" s="17">
        <f t="shared" si="42"/>
        <v>0</v>
      </c>
      <c r="N500" s="31" t="str">
        <f t="shared" si="45"/>
        <v>-</v>
      </c>
      <c r="O500" s="31" t="str">
        <f t="shared" si="47"/>
        <v>-</v>
      </c>
      <c r="P500" s="35" t="str">
        <f t="shared" si="46"/>
        <v>-</v>
      </c>
      <c r="Q500" s="32" t="str">
        <f t="shared" si="43"/>
        <v>-</v>
      </c>
      <c r="S500" s="32" t="str">
        <f t="shared" si="44"/>
        <v>-</v>
      </c>
    </row>
    <row r="501" spans="1:19" x14ac:dyDescent="0.3">
      <c r="A501" s="45" t="s">
        <v>2611</v>
      </c>
      <c r="B501" s="40" t="s">
        <v>839</v>
      </c>
      <c r="C501" s="41" t="s">
        <v>1747</v>
      </c>
      <c r="D501" s="21" t="s">
        <v>2235</v>
      </c>
      <c r="E501" s="21" t="s">
        <v>2249</v>
      </c>
      <c r="F501" s="24">
        <v>0.17246715888324998</v>
      </c>
      <c r="G501" s="21">
        <v>12</v>
      </c>
      <c r="H501" s="17">
        <v>7.05</v>
      </c>
      <c r="I501" s="43" t="s">
        <v>3950</v>
      </c>
      <c r="J501" s="26"/>
      <c r="K501" s="17">
        <f t="shared" si="42"/>
        <v>0</v>
      </c>
      <c r="N501" s="31" t="str">
        <f t="shared" si="45"/>
        <v>-</v>
      </c>
      <c r="O501" s="31" t="str">
        <f t="shared" si="47"/>
        <v>-</v>
      </c>
      <c r="P501" s="35" t="str">
        <f t="shared" si="46"/>
        <v>-</v>
      </c>
      <c r="Q501" s="32" t="str">
        <f t="shared" si="43"/>
        <v>-</v>
      </c>
      <c r="S501" s="32" t="str">
        <f t="shared" si="44"/>
        <v>-</v>
      </c>
    </row>
    <row r="502" spans="1:19" x14ac:dyDescent="0.3">
      <c r="A502" s="45" t="s">
        <v>2612</v>
      </c>
      <c r="B502" s="40" t="s">
        <v>513</v>
      </c>
      <c r="C502" s="41" t="s">
        <v>1747</v>
      </c>
      <c r="D502" s="21" t="s">
        <v>2236</v>
      </c>
      <c r="E502" s="21" t="s">
        <v>2249</v>
      </c>
      <c r="F502" s="24">
        <v>0.32176708746875005</v>
      </c>
      <c r="G502" s="21">
        <v>12</v>
      </c>
      <c r="H502" s="17">
        <v>13.05</v>
      </c>
      <c r="I502" s="43" t="s">
        <v>3950</v>
      </c>
      <c r="J502" s="26"/>
      <c r="K502" s="17">
        <f t="shared" si="42"/>
        <v>0</v>
      </c>
      <c r="N502" s="31" t="str">
        <f t="shared" si="45"/>
        <v>-</v>
      </c>
      <c r="O502" s="31" t="str">
        <f t="shared" si="47"/>
        <v>-</v>
      </c>
      <c r="P502" s="35" t="str">
        <f t="shared" si="46"/>
        <v>-</v>
      </c>
      <c r="Q502" s="32" t="str">
        <f t="shared" si="43"/>
        <v>-</v>
      </c>
      <c r="S502" s="32" t="str">
        <f t="shared" si="44"/>
        <v>-</v>
      </c>
    </row>
    <row r="503" spans="1:19" x14ac:dyDescent="0.3">
      <c r="A503" s="45" t="s">
        <v>2613</v>
      </c>
      <c r="B503" s="40" t="s">
        <v>935</v>
      </c>
      <c r="C503" s="41" t="s">
        <v>1615</v>
      </c>
      <c r="D503" s="21" t="s">
        <v>2233</v>
      </c>
      <c r="E503" s="21" t="s">
        <v>2222</v>
      </c>
      <c r="F503" s="24">
        <v>0.5096790665505001</v>
      </c>
      <c r="G503" s="21">
        <v>12</v>
      </c>
      <c r="H503" s="17">
        <v>32.1</v>
      </c>
      <c r="I503" s="43" t="s">
        <v>3950</v>
      </c>
      <c r="J503" s="26"/>
      <c r="K503" s="17">
        <f t="shared" si="42"/>
        <v>0</v>
      </c>
      <c r="N503" s="31" t="str">
        <f t="shared" si="45"/>
        <v>-</v>
      </c>
      <c r="O503" s="31" t="str">
        <f t="shared" si="47"/>
        <v>-</v>
      </c>
      <c r="P503" s="35" t="str">
        <f t="shared" si="46"/>
        <v>-</v>
      </c>
      <c r="Q503" s="32" t="str">
        <f t="shared" si="43"/>
        <v>-</v>
      </c>
      <c r="S503" s="32" t="str">
        <f t="shared" si="44"/>
        <v>-</v>
      </c>
    </row>
    <row r="504" spans="1:19" x14ac:dyDescent="0.3">
      <c r="A504" s="45" t="s">
        <v>2614</v>
      </c>
      <c r="B504" s="40" t="s">
        <v>1464</v>
      </c>
      <c r="C504" s="41" t="s">
        <v>1748</v>
      </c>
      <c r="D504" s="21" t="s">
        <v>2239</v>
      </c>
      <c r="E504" s="21" t="s">
        <v>2222</v>
      </c>
      <c r="F504" s="24">
        <v>0.15187406528524999</v>
      </c>
      <c r="G504" s="21">
        <v>12</v>
      </c>
      <c r="H504" s="17">
        <v>7.5</v>
      </c>
      <c r="I504" s="43" t="s">
        <v>3950</v>
      </c>
      <c r="J504" s="26"/>
      <c r="K504" s="17">
        <f t="shared" si="42"/>
        <v>0</v>
      </c>
      <c r="N504" s="31" t="str">
        <f t="shared" si="45"/>
        <v>-</v>
      </c>
      <c r="O504" s="31" t="str">
        <f t="shared" si="47"/>
        <v>-</v>
      </c>
      <c r="P504" s="35" t="str">
        <f t="shared" si="46"/>
        <v>-</v>
      </c>
      <c r="Q504" s="32" t="str">
        <f t="shared" si="43"/>
        <v>-</v>
      </c>
      <c r="S504" s="32" t="str">
        <f t="shared" si="44"/>
        <v>-</v>
      </c>
    </row>
    <row r="505" spans="1:19" x14ac:dyDescent="0.3">
      <c r="A505" s="45" t="s">
        <v>2615</v>
      </c>
      <c r="B505" s="40" t="s">
        <v>489</v>
      </c>
      <c r="C505" s="41" t="s">
        <v>1748</v>
      </c>
      <c r="D505" s="21" t="s">
        <v>2221</v>
      </c>
      <c r="E505" s="21" t="s">
        <v>2222</v>
      </c>
      <c r="F505" s="24">
        <v>0.28058090027275007</v>
      </c>
      <c r="G505" s="21">
        <v>12</v>
      </c>
      <c r="H505" s="17">
        <v>14.25</v>
      </c>
      <c r="I505" s="43" t="s">
        <v>3950</v>
      </c>
      <c r="J505" s="26"/>
      <c r="K505" s="17">
        <f t="shared" ref="K505:K568" si="48">J505*H505</f>
        <v>0</v>
      </c>
      <c r="N505" s="31" t="str">
        <f t="shared" si="45"/>
        <v>-</v>
      </c>
      <c r="O505" s="31" t="str">
        <f t="shared" si="47"/>
        <v>-</v>
      </c>
      <c r="P505" s="35" t="str">
        <f t="shared" si="46"/>
        <v>-</v>
      </c>
      <c r="Q505" s="32" t="str">
        <f t="shared" si="43"/>
        <v>-</v>
      </c>
      <c r="S505" s="32" t="str">
        <f t="shared" si="44"/>
        <v>-</v>
      </c>
    </row>
    <row r="506" spans="1:19" x14ac:dyDescent="0.3">
      <c r="A506" s="45" t="s">
        <v>2616</v>
      </c>
      <c r="B506" s="40" t="s">
        <v>484</v>
      </c>
      <c r="C506" s="41" t="s">
        <v>1748</v>
      </c>
      <c r="D506" s="21" t="s">
        <v>2245</v>
      </c>
      <c r="E506" s="21" t="s">
        <v>2222</v>
      </c>
      <c r="F506" s="24">
        <v>0.64353417493750009</v>
      </c>
      <c r="G506" s="21">
        <v>12</v>
      </c>
      <c r="H506" s="17">
        <v>31.19</v>
      </c>
      <c r="I506" s="43" t="s">
        <v>3950</v>
      </c>
      <c r="J506" s="26"/>
      <c r="K506" s="17">
        <f t="shared" si="48"/>
        <v>0</v>
      </c>
      <c r="N506" s="31" t="str">
        <f t="shared" si="45"/>
        <v>-</v>
      </c>
      <c r="O506" s="31" t="str">
        <f t="shared" si="47"/>
        <v>-</v>
      </c>
      <c r="P506" s="35" t="str">
        <f t="shared" si="46"/>
        <v>-</v>
      </c>
      <c r="Q506" s="32" t="str">
        <f t="shared" ref="Q506:Q569" si="49">IFERROR(IF($N$2&gt;0, $N$2*P506, "-"), "-")</f>
        <v>-</v>
      </c>
      <c r="S506" s="32" t="str">
        <f t="shared" ref="S506:S569" si="50">IFERROR(IF(Q506+K506=0, "-", IF(Q506&gt;0, Q506+K506, "-")), "-")</f>
        <v>-</v>
      </c>
    </row>
    <row r="507" spans="1:19" x14ac:dyDescent="0.3">
      <c r="A507" s="45" t="s">
        <v>2617</v>
      </c>
      <c r="B507" s="40" t="s">
        <v>844</v>
      </c>
      <c r="C507" s="41" t="s">
        <v>1749</v>
      </c>
      <c r="D507" s="21" t="s">
        <v>2221</v>
      </c>
      <c r="E507" s="21" t="s">
        <v>2222</v>
      </c>
      <c r="F507" s="24">
        <v>0.20249875371366668</v>
      </c>
      <c r="G507" s="21">
        <v>12</v>
      </c>
      <c r="H507" s="17">
        <v>7.79</v>
      </c>
      <c r="I507" s="43" t="s">
        <v>3950</v>
      </c>
      <c r="J507" s="26"/>
      <c r="K507" s="17">
        <f t="shared" si="48"/>
        <v>0</v>
      </c>
      <c r="N507" s="31" t="str">
        <f t="shared" si="45"/>
        <v>-</v>
      </c>
      <c r="O507" s="31" t="str">
        <f t="shared" si="47"/>
        <v>-</v>
      </c>
      <c r="P507" s="35" t="str">
        <f t="shared" si="46"/>
        <v>-</v>
      </c>
      <c r="Q507" s="32" t="str">
        <f t="shared" si="49"/>
        <v>-</v>
      </c>
      <c r="S507" s="32" t="str">
        <f t="shared" si="50"/>
        <v>-</v>
      </c>
    </row>
    <row r="508" spans="1:19" x14ac:dyDescent="0.3">
      <c r="A508" s="45" t="s">
        <v>2618</v>
      </c>
      <c r="B508" s="40" t="s">
        <v>260</v>
      </c>
      <c r="C508" s="41" t="s">
        <v>1749</v>
      </c>
      <c r="D508" s="21" t="s">
        <v>2245</v>
      </c>
      <c r="E508" s="21" t="s">
        <v>2222</v>
      </c>
      <c r="F508" s="24">
        <v>0.42902278329166671</v>
      </c>
      <c r="G508" s="21">
        <v>12</v>
      </c>
      <c r="H508" s="17">
        <v>17.989999999999998</v>
      </c>
      <c r="I508" s="43" t="s">
        <v>3950</v>
      </c>
      <c r="J508" s="26"/>
      <c r="K508" s="17">
        <f t="shared" si="48"/>
        <v>0</v>
      </c>
      <c r="N508" s="31" t="str">
        <f t="shared" si="45"/>
        <v>-</v>
      </c>
      <c r="O508" s="31" t="str">
        <f t="shared" si="47"/>
        <v>-</v>
      </c>
      <c r="P508" s="35" t="str">
        <f t="shared" si="46"/>
        <v>-</v>
      </c>
      <c r="Q508" s="32" t="str">
        <f t="shared" si="49"/>
        <v>-</v>
      </c>
      <c r="S508" s="32" t="str">
        <f t="shared" si="50"/>
        <v>-</v>
      </c>
    </row>
    <row r="509" spans="1:19" x14ac:dyDescent="0.3">
      <c r="A509" s="45" t="s">
        <v>2619</v>
      </c>
      <c r="B509" s="40" t="s">
        <v>847</v>
      </c>
      <c r="C509" s="41" t="s">
        <v>1749</v>
      </c>
      <c r="D509" s="21" t="s">
        <v>2246</v>
      </c>
      <c r="E509" s="21" t="s">
        <v>2222</v>
      </c>
      <c r="F509" s="24">
        <v>0.83916856411849994</v>
      </c>
      <c r="G509" s="21">
        <v>12</v>
      </c>
      <c r="H509" s="17">
        <v>34.79</v>
      </c>
      <c r="I509" s="43" t="s">
        <v>3950</v>
      </c>
      <c r="J509" s="26"/>
      <c r="K509" s="17">
        <f t="shared" si="48"/>
        <v>0</v>
      </c>
      <c r="N509" s="31" t="str">
        <f t="shared" si="45"/>
        <v>-</v>
      </c>
      <c r="O509" s="31" t="str">
        <f t="shared" si="47"/>
        <v>-</v>
      </c>
      <c r="P509" s="35" t="str">
        <f t="shared" si="46"/>
        <v>-</v>
      </c>
      <c r="Q509" s="32" t="str">
        <f t="shared" si="49"/>
        <v>-</v>
      </c>
      <c r="S509" s="32" t="str">
        <f t="shared" si="50"/>
        <v>-</v>
      </c>
    </row>
    <row r="510" spans="1:19" x14ac:dyDescent="0.3">
      <c r="A510" s="45" t="s">
        <v>2620</v>
      </c>
      <c r="B510" s="40" t="s">
        <v>612</v>
      </c>
      <c r="C510" s="41" t="s">
        <v>1750</v>
      </c>
      <c r="D510" s="21" t="s">
        <v>2245</v>
      </c>
      <c r="E510" s="21" t="s">
        <v>2222</v>
      </c>
      <c r="F510" s="24">
        <v>0.62294108133949999</v>
      </c>
      <c r="G510" s="21">
        <v>12</v>
      </c>
      <c r="H510" s="17">
        <v>25.79</v>
      </c>
      <c r="I510" s="43" t="s">
        <v>3950</v>
      </c>
      <c r="J510" s="26"/>
      <c r="K510" s="17">
        <f t="shared" si="48"/>
        <v>0</v>
      </c>
      <c r="N510" s="31" t="str">
        <f t="shared" ref="N510:N573" si="51">IFERROR(IF($N$2*F510=0, "-", $N$2*F510), "-")</f>
        <v>-</v>
      </c>
      <c r="O510" s="31" t="str">
        <f t="shared" si="47"/>
        <v>-</v>
      </c>
      <c r="P510" s="35" t="str">
        <f t="shared" ref="P510:P573" si="52">IF(J510&gt;0,J510*F510, "-")</f>
        <v>-</v>
      </c>
      <c r="Q510" s="32" t="str">
        <f t="shared" si="49"/>
        <v>-</v>
      </c>
      <c r="S510" s="32" t="str">
        <f t="shared" si="50"/>
        <v>-</v>
      </c>
    </row>
    <row r="511" spans="1:19" x14ac:dyDescent="0.3">
      <c r="A511" s="45" t="s">
        <v>2621</v>
      </c>
      <c r="B511" s="40" t="s">
        <v>1204</v>
      </c>
      <c r="C511" s="41" t="s">
        <v>1751</v>
      </c>
      <c r="D511" s="21" t="s">
        <v>2221</v>
      </c>
      <c r="E511" s="21" t="s">
        <v>2222</v>
      </c>
      <c r="F511" s="24">
        <v>0.14157751848625</v>
      </c>
      <c r="G511" s="21">
        <v>12</v>
      </c>
      <c r="H511" s="17">
        <v>6.15</v>
      </c>
      <c r="I511" s="43" t="s">
        <v>3950</v>
      </c>
      <c r="J511" s="26"/>
      <c r="K511" s="17">
        <f t="shared" si="48"/>
        <v>0</v>
      </c>
      <c r="N511" s="31" t="str">
        <f t="shared" si="51"/>
        <v>-</v>
      </c>
      <c r="O511" s="31" t="str">
        <f t="shared" ref="O511:O574" si="53">IFERROR(IF(N511&gt;0,H511+N511,"-"),"-")</f>
        <v>-</v>
      </c>
      <c r="P511" s="35" t="str">
        <f t="shared" si="52"/>
        <v>-</v>
      </c>
      <c r="Q511" s="32" t="str">
        <f t="shared" si="49"/>
        <v>-</v>
      </c>
      <c r="S511" s="32" t="str">
        <f t="shared" si="50"/>
        <v>-</v>
      </c>
    </row>
    <row r="512" spans="1:19" x14ac:dyDescent="0.3">
      <c r="A512" s="45" t="s">
        <v>2622</v>
      </c>
      <c r="B512" s="40" t="s">
        <v>962</v>
      </c>
      <c r="C512" s="41" t="s">
        <v>1751</v>
      </c>
      <c r="D512" s="21" t="s">
        <v>2245</v>
      </c>
      <c r="E512" s="21" t="s">
        <v>2222</v>
      </c>
      <c r="F512" s="24">
        <v>0.32090904190216674</v>
      </c>
      <c r="G512" s="21">
        <v>12</v>
      </c>
      <c r="H512" s="17">
        <v>14.1</v>
      </c>
      <c r="I512" s="43" t="s">
        <v>3950</v>
      </c>
      <c r="J512" s="26"/>
      <c r="K512" s="17">
        <f t="shared" si="48"/>
        <v>0</v>
      </c>
      <c r="N512" s="31" t="str">
        <f t="shared" si="51"/>
        <v>-</v>
      </c>
      <c r="O512" s="31" t="str">
        <f t="shared" si="53"/>
        <v>-</v>
      </c>
      <c r="P512" s="35" t="str">
        <f t="shared" si="52"/>
        <v>-</v>
      </c>
      <c r="Q512" s="32" t="str">
        <f t="shared" si="49"/>
        <v>-</v>
      </c>
      <c r="S512" s="32" t="str">
        <f t="shared" si="50"/>
        <v>-</v>
      </c>
    </row>
    <row r="513" spans="1:19" x14ac:dyDescent="0.3">
      <c r="A513" s="45" t="s">
        <v>2624</v>
      </c>
      <c r="B513" s="40" t="s">
        <v>1206</v>
      </c>
      <c r="C513" s="41" t="s">
        <v>1752</v>
      </c>
      <c r="D513" s="21" t="s">
        <v>2221</v>
      </c>
      <c r="E513" s="21" t="s">
        <v>2222</v>
      </c>
      <c r="F513" s="24">
        <v>0.29774181160441665</v>
      </c>
      <c r="G513" s="21">
        <v>12</v>
      </c>
      <c r="H513" s="17">
        <v>9.9</v>
      </c>
      <c r="I513" s="43" t="s">
        <v>3950</v>
      </c>
      <c r="J513" s="26"/>
      <c r="K513" s="17">
        <f t="shared" si="48"/>
        <v>0</v>
      </c>
      <c r="N513" s="31" t="str">
        <f t="shared" si="51"/>
        <v>-</v>
      </c>
      <c r="O513" s="31" t="str">
        <f t="shared" si="53"/>
        <v>-</v>
      </c>
      <c r="P513" s="35" t="str">
        <f t="shared" si="52"/>
        <v>-</v>
      </c>
      <c r="Q513" s="32" t="str">
        <f t="shared" si="49"/>
        <v>-</v>
      </c>
      <c r="S513" s="32" t="str">
        <f t="shared" si="50"/>
        <v>-</v>
      </c>
    </row>
    <row r="514" spans="1:19" x14ac:dyDescent="0.3">
      <c r="A514" s="45" t="s">
        <v>2625</v>
      </c>
      <c r="B514" s="40" t="s">
        <v>14</v>
      </c>
      <c r="C514" s="41" t="s">
        <v>1752</v>
      </c>
      <c r="D514" s="21" t="s">
        <v>2245</v>
      </c>
      <c r="E514" s="21" t="s">
        <v>2222</v>
      </c>
      <c r="F514" s="24">
        <v>0.68343329378362505</v>
      </c>
      <c r="G514" s="21">
        <v>12</v>
      </c>
      <c r="H514" s="17">
        <v>22.5</v>
      </c>
      <c r="I514" s="43" t="s">
        <v>3950</v>
      </c>
      <c r="J514" s="26"/>
      <c r="K514" s="17">
        <f t="shared" si="48"/>
        <v>0</v>
      </c>
      <c r="N514" s="31" t="str">
        <f t="shared" si="51"/>
        <v>-</v>
      </c>
      <c r="O514" s="31" t="str">
        <f t="shared" si="53"/>
        <v>-</v>
      </c>
      <c r="P514" s="35" t="str">
        <f t="shared" si="52"/>
        <v>-</v>
      </c>
      <c r="Q514" s="32" t="str">
        <f t="shared" si="49"/>
        <v>-</v>
      </c>
      <c r="S514" s="32" t="str">
        <f t="shared" si="50"/>
        <v>-</v>
      </c>
    </row>
    <row r="515" spans="1:19" x14ac:dyDescent="0.3">
      <c r="A515" s="45" t="s">
        <v>2626</v>
      </c>
      <c r="B515" s="40" t="s">
        <v>550</v>
      </c>
      <c r="C515" s="41" t="s">
        <v>1644</v>
      </c>
      <c r="D515" s="21" t="s">
        <v>2223</v>
      </c>
      <c r="E515" s="21" t="s">
        <v>2222</v>
      </c>
      <c r="F515" s="24">
        <v>0.10039133129024999</v>
      </c>
      <c r="G515" s="21">
        <v>12</v>
      </c>
      <c r="H515" s="17">
        <v>8.39</v>
      </c>
      <c r="I515" s="43" t="s">
        <v>3950</v>
      </c>
      <c r="J515" s="26"/>
      <c r="K515" s="17">
        <f t="shared" si="48"/>
        <v>0</v>
      </c>
      <c r="N515" s="31" t="str">
        <f t="shared" si="51"/>
        <v>-</v>
      </c>
      <c r="O515" s="31" t="str">
        <f t="shared" si="53"/>
        <v>-</v>
      </c>
      <c r="P515" s="35" t="str">
        <f t="shared" si="52"/>
        <v>-</v>
      </c>
      <c r="Q515" s="32" t="str">
        <f t="shared" si="49"/>
        <v>-</v>
      </c>
      <c r="S515" s="32" t="str">
        <f t="shared" si="50"/>
        <v>-</v>
      </c>
    </row>
    <row r="516" spans="1:19" x14ac:dyDescent="0.3">
      <c r="A516" s="45" t="s">
        <v>2627</v>
      </c>
      <c r="B516" s="40" t="s">
        <v>1385</v>
      </c>
      <c r="C516" s="41" t="s">
        <v>1644</v>
      </c>
      <c r="D516" s="21" t="s">
        <v>2224</v>
      </c>
      <c r="E516" s="21" t="s">
        <v>2222</v>
      </c>
      <c r="F516" s="24">
        <v>0.16388670321741669</v>
      </c>
      <c r="G516" s="21">
        <v>12</v>
      </c>
      <c r="H516" s="17">
        <v>15.9</v>
      </c>
      <c r="I516" s="43" t="s">
        <v>3950</v>
      </c>
      <c r="J516" s="26"/>
      <c r="K516" s="17">
        <f t="shared" si="48"/>
        <v>0</v>
      </c>
      <c r="N516" s="31" t="str">
        <f t="shared" si="51"/>
        <v>-</v>
      </c>
      <c r="O516" s="31" t="str">
        <f t="shared" si="53"/>
        <v>-</v>
      </c>
      <c r="P516" s="35" t="str">
        <f t="shared" si="52"/>
        <v>-</v>
      </c>
      <c r="Q516" s="32" t="str">
        <f t="shared" si="49"/>
        <v>-</v>
      </c>
      <c r="S516" s="32" t="str">
        <f t="shared" si="50"/>
        <v>-</v>
      </c>
    </row>
    <row r="517" spans="1:19" x14ac:dyDescent="0.3">
      <c r="A517" s="45" t="s">
        <v>2628</v>
      </c>
      <c r="B517" s="40" t="s">
        <v>506</v>
      </c>
      <c r="C517" s="41" t="s">
        <v>1644</v>
      </c>
      <c r="D517" s="21" t="s">
        <v>2225</v>
      </c>
      <c r="E517" s="21" t="s">
        <v>2222</v>
      </c>
      <c r="F517" s="24">
        <v>0.22824012071116667</v>
      </c>
      <c r="G517" s="21">
        <v>12</v>
      </c>
      <c r="H517" s="17">
        <v>23.39</v>
      </c>
      <c r="I517" s="43" t="s">
        <v>3950</v>
      </c>
      <c r="J517" s="26"/>
      <c r="K517" s="17">
        <f t="shared" si="48"/>
        <v>0</v>
      </c>
      <c r="N517" s="31" t="str">
        <f t="shared" si="51"/>
        <v>-</v>
      </c>
      <c r="O517" s="31" t="str">
        <f t="shared" si="53"/>
        <v>-</v>
      </c>
      <c r="P517" s="35" t="str">
        <f t="shared" si="52"/>
        <v>-</v>
      </c>
      <c r="Q517" s="32" t="str">
        <f t="shared" si="49"/>
        <v>-</v>
      </c>
      <c r="S517" s="32" t="str">
        <f t="shared" si="50"/>
        <v>-</v>
      </c>
    </row>
    <row r="518" spans="1:19" x14ac:dyDescent="0.3">
      <c r="A518" s="45" t="s">
        <v>2631</v>
      </c>
      <c r="B518" s="40" t="s">
        <v>1425</v>
      </c>
      <c r="C518" s="41" t="s">
        <v>1753</v>
      </c>
      <c r="D518" s="21" t="s">
        <v>2245</v>
      </c>
      <c r="E518" s="21" t="s">
        <v>2222</v>
      </c>
      <c r="F518" s="24">
        <v>0.35179868229916661</v>
      </c>
      <c r="G518" s="21">
        <v>12</v>
      </c>
      <c r="H518" s="17">
        <v>28.65</v>
      </c>
      <c r="I518" s="43" t="s">
        <v>3950</v>
      </c>
      <c r="J518" s="26"/>
      <c r="K518" s="17">
        <f t="shared" si="48"/>
        <v>0</v>
      </c>
      <c r="N518" s="31" t="str">
        <f t="shared" si="51"/>
        <v>-</v>
      </c>
      <c r="O518" s="31" t="str">
        <f t="shared" si="53"/>
        <v>-</v>
      </c>
      <c r="P518" s="35" t="str">
        <f t="shared" si="52"/>
        <v>-</v>
      </c>
      <c r="Q518" s="32" t="str">
        <f t="shared" si="49"/>
        <v>-</v>
      </c>
      <c r="S518" s="32" t="str">
        <f t="shared" si="50"/>
        <v>-</v>
      </c>
    </row>
    <row r="519" spans="1:19" x14ac:dyDescent="0.3">
      <c r="A519" s="45" t="s">
        <v>2633</v>
      </c>
      <c r="B519" s="40" t="s">
        <v>205</v>
      </c>
      <c r="C519" s="41" t="s">
        <v>1754</v>
      </c>
      <c r="D519" s="21" t="s">
        <v>2247</v>
      </c>
      <c r="E519" s="21" t="s">
        <v>2222</v>
      </c>
      <c r="F519" s="24">
        <v>0.34665040889966664</v>
      </c>
      <c r="G519" s="21">
        <v>12</v>
      </c>
      <c r="H519" s="17">
        <v>23.99</v>
      </c>
      <c r="I519" s="43" t="s">
        <v>3950</v>
      </c>
      <c r="J519" s="26"/>
      <c r="K519" s="17">
        <f t="shared" si="48"/>
        <v>0</v>
      </c>
      <c r="N519" s="31" t="str">
        <f t="shared" si="51"/>
        <v>-</v>
      </c>
      <c r="O519" s="31" t="str">
        <f t="shared" si="53"/>
        <v>-</v>
      </c>
      <c r="P519" s="35" t="str">
        <f t="shared" si="52"/>
        <v>-</v>
      </c>
      <c r="Q519" s="32" t="str">
        <f t="shared" si="49"/>
        <v>-</v>
      </c>
      <c r="S519" s="32" t="str">
        <f t="shared" si="50"/>
        <v>-</v>
      </c>
    </row>
    <row r="520" spans="1:19" x14ac:dyDescent="0.3">
      <c r="A520" s="45" t="s">
        <v>2634</v>
      </c>
      <c r="B520" s="40" t="s">
        <v>338</v>
      </c>
      <c r="C520" s="41" t="s">
        <v>1755</v>
      </c>
      <c r="D520" s="21" t="s">
        <v>2230</v>
      </c>
      <c r="E520" s="21" t="s">
        <v>2249</v>
      </c>
      <c r="F520" s="24">
        <v>9.7817194590499992E-2</v>
      </c>
      <c r="G520" s="21">
        <v>12</v>
      </c>
      <c r="H520" s="17">
        <v>8.1</v>
      </c>
      <c r="I520" s="43" t="s">
        <v>3950</v>
      </c>
      <c r="J520" s="26"/>
      <c r="K520" s="17">
        <f t="shared" si="48"/>
        <v>0</v>
      </c>
      <c r="N520" s="31" t="str">
        <f t="shared" si="51"/>
        <v>-</v>
      </c>
      <c r="O520" s="31" t="str">
        <f t="shared" si="53"/>
        <v>-</v>
      </c>
      <c r="P520" s="35" t="str">
        <f t="shared" si="52"/>
        <v>-</v>
      </c>
      <c r="Q520" s="32" t="str">
        <f t="shared" si="49"/>
        <v>-</v>
      </c>
      <c r="S520" s="32" t="str">
        <f t="shared" si="50"/>
        <v>-</v>
      </c>
    </row>
    <row r="521" spans="1:19" x14ac:dyDescent="0.3">
      <c r="A521" s="45" t="s">
        <v>2635</v>
      </c>
      <c r="B521" s="40" t="s">
        <v>1371</v>
      </c>
      <c r="C521" s="41" t="s">
        <v>1755</v>
      </c>
      <c r="D521" s="21" t="s">
        <v>2235</v>
      </c>
      <c r="E521" s="21" t="s">
        <v>2249</v>
      </c>
      <c r="F521" s="24">
        <v>0.18705393351516672</v>
      </c>
      <c r="G521" s="21">
        <v>12</v>
      </c>
      <c r="H521" s="17">
        <v>15.45</v>
      </c>
      <c r="I521" s="43" t="s">
        <v>3950</v>
      </c>
      <c r="J521" s="26"/>
      <c r="K521" s="17">
        <f t="shared" si="48"/>
        <v>0</v>
      </c>
      <c r="N521" s="31" t="str">
        <f t="shared" si="51"/>
        <v>-</v>
      </c>
      <c r="O521" s="31" t="str">
        <f t="shared" si="53"/>
        <v>-</v>
      </c>
      <c r="P521" s="35" t="str">
        <f t="shared" si="52"/>
        <v>-</v>
      </c>
      <c r="Q521" s="32" t="str">
        <f t="shared" si="49"/>
        <v>-</v>
      </c>
      <c r="S521" s="32" t="str">
        <f t="shared" si="50"/>
        <v>-</v>
      </c>
    </row>
    <row r="522" spans="1:19" x14ac:dyDescent="0.3">
      <c r="A522" s="45" t="s">
        <v>2636</v>
      </c>
      <c r="B522" s="40" t="s">
        <v>588</v>
      </c>
      <c r="C522" s="41" t="s">
        <v>1755</v>
      </c>
      <c r="D522" s="21" t="s">
        <v>2236</v>
      </c>
      <c r="E522" s="21" t="s">
        <v>2249</v>
      </c>
      <c r="F522" s="24">
        <v>0.33635386210066676</v>
      </c>
      <c r="G522" s="21">
        <v>12</v>
      </c>
      <c r="H522" s="17">
        <v>30.15</v>
      </c>
      <c r="I522" s="43" t="s">
        <v>3950</v>
      </c>
      <c r="J522" s="26"/>
      <c r="K522" s="17">
        <f t="shared" si="48"/>
        <v>0</v>
      </c>
      <c r="N522" s="31" t="str">
        <f t="shared" si="51"/>
        <v>-</v>
      </c>
      <c r="O522" s="31" t="str">
        <f t="shared" si="53"/>
        <v>-</v>
      </c>
      <c r="P522" s="35" t="str">
        <f t="shared" si="52"/>
        <v>-</v>
      </c>
      <c r="Q522" s="32" t="str">
        <f t="shared" si="49"/>
        <v>-</v>
      </c>
      <c r="S522" s="32" t="str">
        <f t="shared" si="50"/>
        <v>-</v>
      </c>
    </row>
    <row r="523" spans="1:19" x14ac:dyDescent="0.3">
      <c r="A523" s="45" t="s">
        <v>2640</v>
      </c>
      <c r="B523" s="40" t="s">
        <v>1350</v>
      </c>
      <c r="C523" s="41" t="s">
        <v>1755</v>
      </c>
      <c r="D523" s="21" t="s">
        <v>2235</v>
      </c>
      <c r="E523" s="21" t="s">
        <v>2240</v>
      </c>
      <c r="F523" s="24">
        <v>0.18705393351516672</v>
      </c>
      <c r="G523" s="21">
        <v>12</v>
      </c>
      <c r="H523" s="17">
        <v>15.45</v>
      </c>
      <c r="I523" s="43" t="s">
        <v>3950</v>
      </c>
      <c r="J523" s="26"/>
      <c r="K523" s="17">
        <f t="shared" si="48"/>
        <v>0</v>
      </c>
      <c r="N523" s="31" t="str">
        <f t="shared" si="51"/>
        <v>-</v>
      </c>
      <c r="O523" s="31" t="str">
        <f t="shared" si="53"/>
        <v>-</v>
      </c>
      <c r="P523" s="35" t="str">
        <f t="shared" si="52"/>
        <v>-</v>
      </c>
      <c r="Q523" s="32" t="str">
        <f t="shared" si="49"/>
        <v>-</v>
      </c>
      <c r="S523" s="32" t="str">
        <f t="shared" si="50"/>
        <v>-</v>
      </c>
    </row>
    <row r="524" spans="1:19" x14ac:dyDescent="0.3">
      <c r="A524" s="45" t="s">
        <v>2641</v>
      </c>
      <c r="B524" s="40" t="s">
        <v>15</v>
      </c>
      <c r="C524" s="41" t="s">
        <v>1755</v>
      </c>
      <c r="D524" s="21" t="s">
        <v>2236</v>
      </c>
      <c r="E524" s="21" t="s">
        <v>2240</v>
      </c>
      <c r="F524" s="24">
        <v>0.33635386210066676</v>
      </c>
      <c r="G524" s="21">
        <v>12</v>
      </c>
      <c r="H524" s="17">
        <v>30.15</v>
      </c>
      <c r="I524" s="43" t="s">
        <v>3950</v>
      </c>
      <c r="J524" s="26"/>
      <c r="K524" s="17">
        <f t="shared" si="48"/>
        <v>0</v>
      </c>
      <c r="N524" s="31" t="str">
        <f t="shared" si="51"/>
        <v>-</v>
      </c>
      <c r="O524" s="31" t="str">
        <f t="shared" si="53"/>
        <v>-</v>
      </c>
      <c r="P524" s="35" t="str">
        <f t="shared" si="52"/>
        <v>-</v>
      </c>
      <c r="Q524" s="32" t="str">
        <f t="shared" si="49"/>
        <v>-</v>
      </c>
      <c r="S524" s="32" t="str">
        <f t="shared" si="50"/>
        <v>-</v>
      </c>
    </row>
    <row r="525" spans="1:19" x14ac:dyDescent="0.3">
      <c r="A525" s="45" t="s">
        <v>2643</v>
      </c>
      <c r="B525" s="40" t="s">
        <v>833</v>
      </c>
      <c r="C525" s="41" t="s">
        <v>1720</v>
      </c>
      <c r="D525" s="21" t="s">
        <v>2224</v>
      </c>
      <c r="E525" s="21" t="s">
        <v>2222</v>
      </c>
      <c r="F525" s="24">
        <v>9.3955989540875015E-2</v>
      </c>
      <c r="G525" s="21">
        <v>12</v>
      </c>
      <c r="H525" s="17">
        <v>11.1</v>
      </c>
      <c r="I525" s="43" t="s">
        <v>3950</v>
      </c>
      <c r="J525" s="26"/>
      <c r="K525" s="17">
        <f t="shared" si="48"/>
        <v>0</v>
      </c>
      <c r="N525" s="31" t="str">
        <f t="shared" si="51"/>
        <v>-</v>
      </c>
      <c r="O525" s="31" t="str">
        <f t="shared" si="53"/>
        <v>-</v>
      </c>
      <c r="P525" s="35" t="str">
        <f t="shared" si="52"/>
        <v>-</v>
      </c>
      <c r="Q525" s="32" t="str">
        <f t="shared" si="49"/>
        <v>-</v>
      </c>
      <c r="S525" s="32" t="str">
        <f t="shared" si="50"/>
        <v>-</v>
      </c>
    </row>
    <row r="526" spans="1:19" x14ac:dyDescent="0.3">
      <c r="A526" s="45" t="s">
        <v>2644</v>
      </c>
      <c r="B526" s="40" t="s">
        <v>1280</v>
      </c>
      <c r="C526" s="41" t="s">
        <v>1757</v>
      </c>
      <c r="D526" s="21" t="s">
        <v>2221</v>
      </c>
      <c r="E526" s="21" t="s">
        <v>2222</v>
      </c>
      <c r="F526" s="24">
        <v>5.5772961827916676E-2</v>
      </c>
      <c r="G526" s="21">
        <v>12</v>
      </c>
      <c r="H526" s="17">
        <v>4.3499999999999996</v>
      </c>
      <c r="I526" s="43" t="s">
        <v>3950</v>
      </c>
      <c r="J526" s="26"/>
      <c r="K526" s="17">
        <f t="shared" si="48"/>
        <v>0</v>
      </c>
      <c r="N526" s="31" t="str">
        <f t="shared" si="51"/>
        <v>-</v>
      </c>
      <c r="O526" s="31" t="str">
        <f t="shared" si="53"/>
        <v>-</v>
      </c>
      <c r="P526" s="35" t="str">
        <f t="shared" si="52"/>
        <v>-</v>
      </c>
      <c r="Q526" s="32" t="str">
        <f t="shared" si="49"/>
        <v>-</v>
      </c>
      <c r="S526" s="32" t="str">
        <f t="shared" si="50"/>
        <v>-</v>
      </c>
    </row>
    <row r="527" spans="1:19" x14ac:dyDescent="0.3">
      <c r="A527" s="45" t="s">
        <v>2645</v>
      </c>
      <c r="B527" s="40" t="s">
        <v>544</v>
      </c>
      <c r="C527" s="41" t="s">
        <v>1757</v>
      </c>
      <c r="D527" s="21" t="s">
        <v>2245</v>
      </c>
      <c r="E527" s="21" t="s">
        <v>2222</v>
      </c>
      <c r="F527" s="24">
        <v>9.7817194590499992E-2</v>
      </c>
      <c r="G527" s="21">
        <v>12</v>
      </c>
      <c r="H527" s="17">
        <v>10.050000000000001</v>
      </c>
      <c r="I527" s="43" t="s">
        <v>3950</v>
      </c>
      <c r="J527" s="26"/>
      <c r="K527" s="17">
        <f t="shared" si="48"/>
        <v>0</v>
      </c>
      <c r="N527" s="31" t="str">
        <f t="shared" si="51"/>
        <v>-</v>
      </c>
      <c r="O527" s="31" t="str">
        <f t="shared" si="53"/>
        <v>-</v>
      </c>
      <c r="P527" s="35" t="str">
        <f t="shared" si="52"/>
        <v>-</v>
      </c>
      <c r="Q527" s="32" t="str">
        <f t="shared" si="49"/>
        <v>-</v>
      </c>
      <c r="S527" s="32" t="str">
        <f t="shared" si="50"/>
        <v>-</v>
      </c>
    </row>
    <row r="528" spans="1:19" x14ac:dyDescent="0.3">
      <c r="A528" s="45" t="s">
        <v>2647</v>
      </c>
      <c r="B528" s="40" t="s">
        <v>616</v>
      </c>
      <c r="C528" s="41" t="s">
        <v>1758</v>
      </c>
      <c r="D528" s="21" t="s">
        <v>2245</v>
      </c>
      <c r="E528" s="21" t="s">
        <v>2222</v>
      </c>
      <c r="F528" s="24">
        <v>0.10296546799</v>
      </c>
      <c r="G528" s="21">
        <v>12</v>
      </c>
      <c r="H528" s="17">
        <v>9.4499999999999993</v>
      </c>
      <c r="I528" s="43" t="s">
        <v>3950</v>
      </c>
      <c r="J528" s="26"/>
      <c r="K528" s="17">
        <f t="shared" si="48"/>
        <v>0</v>
      </c>
      <c r="N528" s="31" t="str">
        <f t="shared" si="51"/>
        <v>-</v>
      </c>
      <c r="O528" s="31" t="str">
        <f t="shared" si="53"/>
        <v>-</v>
      </c>
      <c r="P528" s="35" t="str">
        <f t="shared" si="52"/>
        <v>-</v>
      </c>
      <c r="Q528" s="32" t="str">
        <f t="shared" si="49"/>
        <v>-</v>
      </c>
      <c r="S528" s="32" t="str">
        <f t="shared" si="50"/>
        <v>-</v>
      </c>
    </row>
    <row r="529" spans="1:19" x14ac:dyDescent="0.3">
      <c r="A529" s="45" t="s">
        <v>2650</v>
      </c>
      <c r="B529" s="40" t="s">
        <v>1126</v>
      </c>
      <c r="C529" s="41" t="s">
        <v>1760</v>
      </c>
      <c r="D529" s="21" t="s">
        <v>2221</v>
      </c>
      <c r="E529" s="21" t="s">
        <v>2222</v>
      </c>
      <c r="F529" s="24">
        <v>6.606950862691667E-2</v>
      </c>
      <c r="G529" s="21">
        <v>12</v>
      </c>
      <c r="H529" s="17">
        <v>4.6500000000000004</v>
      </c>
      <c r="I529" s="43" t="s">
        <v>3950</v>
      </c>
      <c r="J529" s="26"/>
      <c r="K529" s="17">
        <f t="shared" si="48"/>
        <v>0</v>
      </c>
      <c r="N529" s="31" t="str">
        <f t="shared" si="51"/>
        <v>-</v>
      </c>
      <c r="O529" s="31" t="str">
        <f t="shared" si="53"/>
        <v>-</v>
      </c>
      <c r="P529" s="35" t="str">
        <f t="shared" si="52"/>
        <v>-</v>
      </c>
      <c r="Q529" s="32" t="str">
        <f t="shared" si="49"/>
        <v>-</v>
      </c>
      <c r="S529" s="32" t="str">
        <f t="shared" si="50"/>
        <v>-</v>
      </c>
    </row>
    <row r="530" spans="1:19" x14ac:dyDescent="0.3">
      <c r="A530" s="45" t="s">
        <v>2651</v>
      </c>
      <c r="B530" s="40" t="s">
        <v>639</v>
      </c>
      <c r="C530" s="41" t="s">
        <v>1760</v>
      </c>
      <c r="D530" s="21" t="s">
        <v>2245</v>
      </c>
      <c r="E530" s="21" t="s">
        <v>2222</v>
      </c>
      <c r="F530" s="24">
        <v>0.14029045013637503</v>
      </c>
      <c r="G530" s="21">
        <v>12</v>
      </c>
      <c r="H530" s="17">
        <v>10.5</v>
      </c>
      <c r="I530" s="43" t="s">
        <v>3950</v>
      </c>
      <c r="J530" s="26"/>
      <c r="K530" s="17">
        <f t="shared" si="48"/>
        <v>0</v>
      </c>
      <c r="N530" s="31" t="str">
        <f t="shared" si="51"/>
        <v>-</v>
      </c>
      <c r="O530" s="31" t="str">
        <f t="shared" si="53"/>
        <v>-</v>
      </c>
      <c r="P530" s="35" t="str">
        <f t="shared" si="52"/>
        <v>-</v>
      </c>
      <c r="Q530" s="32" t="str">
        <f t="shared" si="49"/>
        <v>-</v>
      </c>
      <c r="S530" s="32" t="str">
        <f t="shared" si="50"/>
        <v>-</v>
      </c>
    </row>
    <row r="531" spans="1:19" x14ac:dyDescent="0.3">
      <c r="A531" s="45" t="s">
        <v>2652</v>
      </c>
      <c r="B531" s="40" t="s">
        <v>699</v>
      </c>
      <c r="C531" s="41" t="s">
        <v>1761</v>
      </c>
      <c r="D531" s="21" t="s">
        <v>2221</v>
      </c>
      <c r="E531" s="21" t="s">
        <v>2222</v>
      </c>
      <c r="F531" s="24">
        <v>7.6366055425916665E-2</v>
      </c>
      <c r="G531" s="21">
        <v>12</v>
      </c>
      <c r="H531" s="17">
        <v>5.55</v>
      </c>
      <c r="I531" s="43" t="s">
        <v>3950</v>
      </c>
      <c r="J531" s="26"/>
      <c r="K531" s="17">
        <f t="shared" si="48"/>
        <v>0</v>
      </c>
      <c r="N531" s="31" t="str">
        <f t="shared" si="51"/>
        <v>-</v>
      </c>
      <c r="O531" s="31" t="str">
        <f t="shared" si="53"/>
        <v>-</v>
      </c>
      <c r="P531" s="35" t="str">
        <f t="shared" si="52"/>
        <v>-</v>
      </c>
      <c r="Q531" s="32" t="str">
        <f t="shared" si="49"/>
        <v>-</v>
      </c>
      <c r="S531" s="32" t="str">
        <f t="shared" si="50"/>
        <v>-</v>
      </c>
    </row>
    <row r="532" spans="1:19" x14ac:dyDescent="0.3">
      <c r="A532" s="45" t="s">
        <v>2654</v>
      </c>
      <c r="B532" s="40" t="s">
        <v>780</v>
      </c>
      <c r="C532" s="41" t="s">
        <v>1762</v>
      </c>
      <c r="D532" s="21" t="s">
        <v>2221</v>
      </c>
      <c r="E532" s="21" t="s">
        <v>2222</v>
      </c>
      <c r="F532" s="24">
        <v>0.114549083138875</v>
      </c>
      <c r="G532" s="21">
        <v>12</v>
      </c>
      <c r="H532" s="17">
        <v>7.95</v>
      </c>
      <c r="I532" s="43" t="s">
        <v>3950</v>
      </c>
      <c r="J532" s="26"/>
      <c r="K532" s="17">
        <f t="shared" si="48"/>
        <v>0</v>
      </c>
      <c r="N532" s="31" t="str">
        <f t="shared" si="51"/>
        <v>-</v>
      </c>
      <c r="O532" s="31" t="str">
        <f t="shared" si="53"/>
        <v>-</v>
      </c>
      <c r="P532" s="35" t="str">
        <f t="shared" si="52"/>
        <v>-</v>
      </c>
      <c r="Q532" s="32" t="str">
        <f t="shared" si="49"/>
        <v>-</v>
      </c>
      <c r="S532" s="32" t="str">
        <f t="shared" si="50"/>
        <v>-</v>
      </c>
    </row>
    <row r="533" spans="1:19" x14ac:dyDescent="0.3">
      <c r="A533" s="45" t="s">
        <v>2655</v>
      </c>
      <c r="B533" s="40" t="s">
        <v>682</v>
      </c>
      <c r="C533" s="41" t="s">
        <v>1762</v>
      </c>
      <c r="D533" s="21" t="s">
        <v>2245</v>
      </c>
      <c r="E533" s="21" t="s">
        <v>2222</v>
      </c>
      <c r="F533" s="24">
        <v>0.2617038978079167</v>
      </c>
      <c r="G533" s="21">
        <v>12</v>
      </c>
      <c r="H533" s="17">
        <v>17.989999999999998</v>
      </c>
      <c r="I533" s="43" t="s">
        <v>3950</v>
      </c>
      <c r="J533" s="26"/>
      <c r="K533" s="17">
        <f t="shared" si="48"/>
        <v>0</v>
      </c>
      <c r="N533" s="31" t="str">
        <f t="shared" si="51"/>
        <v>-</v>
      </c>
      <c r="O533" s="31" t="str">
        <f t="shared" si="53"/>
        <v>-</v>
      </c>
      <c r="P533" s="35" t="str">
        <f t="shared" si="52"/>
        <v>-</v>
      </c>
      <c r="Q533" s="32" t="str">
        <f t="shared" si="49"/>
        <v>-</v>
      </c>
      <c r="S533" s="32" t="str">
        <f t="shared" si="50"/>
        <v>-</v>
      </c>
    </row>
    <row r="534" spans="1:19" x14ac:dyDescent="0.3">
      <c r="A534" s="45" t="s">
        <v>2657</v>
      </c>
      <c r="B534" s="40" t="s">
        <v>297</v>
      </c>
      <c r="C534" s="41" t="s">
        <v>1763</v>
      </c>
      <c r="D534" s="21" t="s">
        <v>2227</v>
      </c>
      <c r="E534" s="21" t="s">
        <v>2222</v>
      </c>
      <c r="F534" s="24">
        <v>6.0921235227416673E-2</v>
      </c>
      <c r="G534" s="21">
        <v>12</v>
      </c>
      <c r="H534" s="17">
        <v>12.9</v>
      </c>
      <c r="I534" s="43" t="s">
        <v>3950</v>
      </c>
      <c r="J534" s="26"/>
      <c r="K534" s="17">
        <f t="shared" si="48"/>
        <v>0</v>
      </c>
      <c r="N534" s="31" t="str">
        <f t="shared" si="51"/>
        <v>-</v>
      </c>
      <c r="O534" s="31" t="str">
        <f t="shared" si="53"/>
        <v>-</v>
      </c>
      <c r="P534" s="35" t="str">
        <f t="shared" si="52"/>
        <v>-</v>
      </c>
      <c r="Q534" s="32" t="str">
        <f t="shared" si="49"/>
        <v>-</v>
      </c>
      <c r="S534" s="32" t="str">
        <f t="shared" si="50"/>
        <v>-</v>
      </c>
    </row>
    <row r="535" spans="1:19" x14ac:dyDescent="0.3">
      <c r="A535" s="45" t="s">
        <v>2658</v>
      </c>
      <c r="B535" s="40" t="s">
        <v>765</v>
      </c>
      <c r="C535" s="41" t="s">
        <v>1764</v>
      </c>
      <c r="D535" s="21" t="s">
        <v>2224</v>
      </c>
      <c r="E535" s="21" t="s">
        <v>2222</v>
      </c>
      <c r="F535" s="24">
        <v>4.5476415028916667E-2</v>
      </c>
      <c r="G535" s="21">
        <v>12</v>
      </c>
      <c r="H535" s="17">
        <v>18.59</v>
      </c>
      <c r="I535" s="43" t="s">
        <v>3950</v>
      </c>
      <c r="J535" s="26"/>
      <c r="K535" s="17">
        <f t="shared" si="48"/>
        <v>0</v>
      </c>
      <c r="N535" s="31" t="str">
        <f t="shared" si="51"/>
        <v>-</v>
      </c>
      <c r="O535" s="31" t="str">
        <f t="shared" si="53"/>
        <v>-</v>
      </c>
      <c r="P535" s="35" t="str">
        <f t="shared" si="52"/>
        <v>-</v>
      </c>
      <c r="Q535" s="32" t="str">
        <f t="shared" si="49"/>
        <v>-</v>
      </c>
      <c r="S535" s="32" t="str">
        <f t="shared" si="50"/>
        <v>-</v>
      </c>
    </row>
    <row r="536" spans="1:19" x14ac:dyDescent="0.3">
      <c r="A536" s="45" t="s">
        <v>2659</v>
      </c>
      <c r="B536" s="40" t="s">
        <v>792</v>
      </c>
      <c r="C536" s="41" t="s">
        <v>1765</v>
      </c>
      <c r="D536" s="21" t="s">
        <v>2224</v>
      </c>
      <c r="E536" s="21" t="s">
        <v>2222</v>
      </c>
      <c r="F536" s="24">
        <v>0.15873842981791667</v>
      </c>
      <c r="G536" s="21">
        <v>12</v>
      </c>
      <c r="H536" s="17">
        <v>8.85</v>
      </c>
      <c r="I536" s="43" t="s">
        <v>3950</v>
      </c>
      <c r="J536" s="26"/>
      <c r="K536" s="17">
        <f t="shared" si="48"/>
        <v>0</v>
      </c>
      <c r="N536" s="31" t="str">
        <f t="shared" si="51"/>
        <v>-</v>
      </c>
      <c r="O536" s="31" t="str">
        <f t="shared" si="53"/>
        <v>-</v>
      </c>
      <c r="P536" s="35" t="str">
        <f t="shared" si="52"/>
        <v>-</v>
      </c>
      <c r="Q536" s="32" t="str">
        <f t="shared" si="49"/>
        <v>-</v>
      </c>
      <c r="S536" s="32" t="str">
        <f t="shared" si="50"/>
        <v>-</v>
      </c>
    </row>
    <row r="537" spans="1:19" x14ac:dyDescent="0.3">
      <c r="A537" s="45" t="s">
        <v>2660</v>
      </c>
      <c r="B537" s="40" t="s">
        <v>1297</v>
      </c>
      <c r="C537" s="41" t="s">
        <v>1765</v>
      </c>
      <c r="D537" s="21" t="s">
        <v>2227</v>
      </c>
      <c r="E537" s="21" t="s">
        <v>2222</v>
      </c>
      <c r="F537" s="24">
        <v>0.28572917367225004</v>
      </c>
      <c r="G537" s="21">
        <v>12</v>
      </c>
      <c r="H537" s="17">
        <v>16.79</v>
      </c>
      <c r="I537" s="43" t="s">
        <v>3950</v>
      </c>
      <c r="J537" s="26"/>
      <c r="K537" s="17">
        <f t="shared" si="48"/>
        <v>0</v>
      </c>
      <c r="N537" s="31" t="str">
        <f t="shared" si="51"/>
        <v>-</v>
      </c>
      <c r="O537" s="31" t="str">
        <f t="shared" si="53"/>
        <v>-</v>
      </c>
      <c r="P537" s="35" t="str">
        <f t="shared" si="52"/>
        <v>-</v>
      </c>
      <c r="Q537" s="32" t="str">
        <f t="shared" si="49"/>
        <v>-</v>
      </c>
      <c r="S537" s="32" t="str">
        <f t="shared" si="50"/>
        <v>-</v>
      </c>
    </row>
    <row r="538" spans="1:19" x14ac:dyDescent="0.3">
      <c r="A538" s="45" t="s">
        <v>2661</v>
      </c>
      <c r="B538" s="40" t="s">
        <v>888</v>
      </c>
      <c r="C538" s="41" t="s">
        <v>1766</v>
      </c>
      <c r="D538" s="21" t="s">
        <v>2230</v>
      </c>
      <c r="E538" s="21" t="s">
        <v>2229</v>
      </c>
      <c r="F538" s="24">
        <v>0.13385510838700002</v>
      </c>
      <c r="G538" s="21">
        <v>12</v>
      </c>
      <c r="H538" s="17">
        <v>11.99</v>
      </c>
      <c r="I538" s="43" t="s">
        <v>3950</v>
      </c>
      <c r="J538" s="26"/>
      <c r="K538" s="17">
        <f t="shared" si="48"/>
        <v>0</v>
      </c>
      <c r="N538" s="31" t="str">
        <f t="shared" si="51"/>
        <v>-</v>
      </c>
      <c r="O538" s="31" t="str">
        <f t="shared" si="53"/>
        <v>-</v>
      </c>
      <c r="P538" s="35" t="str">
        <f t="shared" si="52"/>
        <v>-</v>
      </c>
      <c r="Q538" s="32" t="str">
        <f t="shared" si="49"/>
        <v>-</v>
      </c>
      <c r="S538" s="32" t="str">
        <f t="shared" si="50"/>
        <v>-</v>
      </c>
    </row>
    <row r="539" spans="1:19" x14ac:dyDescent="0.3">
      <c r="A539" s="45" t="s">
        <v>2662</v>
      </c>
      <c r="B539" s="40" t="s">
        <v>623</v>
      </c>
      <c r="C539" s="41" t="s">
        <v>1766</v>
      </c>
      <c r="D539" s="21" t="s">
        <v>2235</v>
      </c>
      <c r="E539" s="21" t="s">
        <v>2229</v>
      </c>
      <c r="F539" s="24">
        <v>0.26256194337450006</v>
      </c>
      <c r="G539" s="21">
        <v>12</v>
      </c>
      <c r="H539" s="17">
        <v>22.05</v>
      </c>
      <c r="I539" s="43" t="s">
        <v>3950</v>
      </c>
      <c r="J539" s="26"/>
      <c r="K539" s="17">
        <f t="shared" si="48"/>
        <v>0</v>
      </c>
      <c r="N539" s="31" t="str">
        <f t="shared" si="51"/>
        <v>-</v>
      </c>
      <c r="O539" s="31" t="str">
        <f t="shared" si="53"/>
        <v>-</v>
      </c>
      <c r="P539" s="35" t="str">
        <f t="shared" si="52"/>
        <v>-</v>
      </c>
      <c r="Q539" s="32" t="str">
        <f t="shared" si="49"/>
        <v>-</v>
      </c>
      <c r="S539" s="32" t="str">
        <f t="shared" si="50"/>
        <v>-</v>
      </c>
    </row>
    <row r="540" spans="1:19" x14ac:dyDescent="0.3">
      <c r="A540" s="45" t="s">
        <v>2663</v>
      </c>
      <c r="B540" s="40" t="s">
        <v>689</v>
      </c>
      <c r="C540" s="41" t="s">
        <v>1766</v>
      </c>
      <c r="D540" s="21" t="s">
        <v>2236</v>
      </c>
      <c r="E540" s="21" t="s">
        <v>2229</v>
      </c>
      <c r="F540" s="24">
        <v>0.5096790665505001</v>
      </c>
      <c r="G540" s="21">
        <v>12</v>
      </c>
      <c r="H540" s="17">
        <v>42.59</v>
      </c>
      <c r="I540" s="43" t="s">
        <v>3950</v>
      </c>
      <c r="J540" s="26"/>
      <c r="K540" s="17">
        <f t="shared" si="48"/>
        <v>0</v>
      </c>
      <c r="N540" s="31" t="str">
        <f t="shared" si="51"/>
        <v>-</v>
      </c>
      <c r="O540" s="31" t="str">
        <f t="shared" si="53"/>
        <v>-</v>
      </c>
      <c r="P540" s="35" t="str">
        <f t="shared" si="52"/>
        <v>-</v>
      </c>
      <c r="Q540" s="32" t="str">
        <f t="shared" si="49"/>
        <v>-</v>
      </c>
      <c r="S540" s="32" t="str">
        <f t="shared" si="50"/>
        <v>-</v>
      </c>
    </row>
    <row r="541" spans="1:19" x14ac:dyDescent="0.3">
      <c r="A541" s="45" t="s">
        <v>2664</v>
      </c>
      <c r="B541" s="40" t="s">
        <v>1389</v>
      </c>
      <c r="C541" s="41" t="s">
        <v>1767</v>
      </c>
      <c r="D541" s="21" t="s">
        <v>2223</v>
      </c>
      <c r="E541" s="21" t="s">
        <v>2222</v>
      </c>
      <c r="F541" s="24">
        <v>4.0328141629416663E-2</v>
      </c>
      <c r="G541" s="21">
        <v>12</v>
      </c>
      <c r="H541" s="17">
        <v>18.899999999999999</v>
      </c>
      <c r="I541" s="43" t="s">
        <v>3950</v>
      </c>
      <c r="J541" s="26"/>
      <c r="K541" s="17">
        <f t="shared" si="48"/>
        <v>0</v>
      </c>
      <c r="N541" s="31" t="str">
        <f t="shared" si="51"/>
        <v>-</v>
      </c>
      <c r="O541" s="31" t="str">
        <f t="shared" si="53"/>
        <v>-</v>
      </c>
      <c r="P541" s="35" t="str">
        <f t="shared" si="52"/>
        <v>-</v>
      </c>
      <c r="Q541" s="32" t="str">
        <f t="shared" si="49"/>
        <v>-</v>
      </c>
      <c r="S541" s="32" t="str">
        <f t="shared" si="50"/>
        <v>-</v>
      </c>
    </row>
    <row r="542" spans="1:19" x14ac:dyDescent="0.3">
      <c r="A542" s="45" t="s">
        <v>2665</v>
      </c>
      <c r="B542" s="40" t="s">
        <v>481</v>
      </c>
      <c r="C542" s="41" t="s">
        <v>1767</v>
      </c>
      <c r="D542" s="21" t="s">
        <v>2224</v>
      </c>
      <c r="E542" s="21" t="s">
        <v>2222</v>
      </c>
      <c r="F542" s="24">
        <v>5.0624688428416671E-2</v>
      </c>
      <c r="G542" s="21">
        <v>12</v>
      </c>
      <c r="H542" s="17">
        <v>36.590000000000003</v>
      </c>
      <c r="I542" s="43" t="s">
        <v>3950</v>
      </c>
      <c r="J542" s="26"/>
      <c r="K542" s="17">
        <f t="shared" si="48"/>
        <v>0</v>
      </c>
      <c r="N542" s="31" t="str">
        <f t="shared" si="51"/>
        <v>-</v>
      </c>
      <c r="O542" s="31" t="str">
        <f t="shared" si="53"/>
        <v>-</v>
      </c>
      <c r="P542" s="35" t="str">
        <f t="shared" si="52"/>
        <v>-</v>
      </c>
      <c r="Q542" s="32" t="str">
        <f t="shared" si="49"/>
        <v>-</v>
      </c>
      <c r="S542" s="32" t="str">
        <f t="shared" si="50"/>
        <v>-</v>
      </c>
    </row>
    <row r="543" spans="1:19" x14ac:dyDescent="0.3">
      <c r="A543" s="45" t="s">
        <v>2666</v>
      </c>
      <c r="B543" s="40" t="s">
        <v>507</v>
      </c>
      <c r="C543" s="41" t="s">
        <v>2280</v>
      </c>
      <c r="D543" s="21" t="s">
        <v>2233</v>
      </c>
      <c r="E543" s="21" t="s">
        <v>2222</v>
      </c>
      <c r="F543" s="24">
        <v>0.45519317307245832</v>
      </c>
      <c r="G543" s="21">
        <v>12</v>
      </c>
      <c r="H543" s="17">
        <v>23.99</v>
      </c>
      <c r="I543" s="43" t="s">
        <v>3950</v>
      </c>
      <c r="J543" s="26"/>
      <c r="K543" s="17">
        <f t="shared" si="48"/>
        <v>0</v>
      </c>
      <c r="N543" s="31" t="str">
        <f t="shared" si="51"/>
        <v>-</v>
      </c>
      <c r="O543" s="31" t="str">
        <f t="shared" si="53"/>
        <v>-</v>
      </c>
      <c r="P543" s="35" t="str">
        <f t="shared" si="52"/>
        <v>-</v>
      </c>
      <c r="Q543" s="32" t="str">
        <f t="shared" si="49"/>
        <v>-</v>
      </c>
      <c r="S543" s="32" t="str">
        <f t="shared" si="50"/>
        <v>-</v>
      </c>
    </row>
    <row r="544" spans="1:19" x14ac:dyDescent="0.3">
      <c r="A544" s="45" t="s">
        <v>2668</v>
      </c>
      <c r="B544" s="40" t="s">
        <v>38</v>
      </c>
      <c r="C544" s="41" t="s">
        <v>1768</v>
      </c>
      <c r="D544" s="21" t="s">
        <v>2242</v>
      </c>
      <c r="E544" s="21" t="s">
        <v>2222</v>
      </c>
      <c r="F544" s="24">
        <v>8.1514328825416663E-2</v>
      </c>
      <c r="G544" s="21">
        <v>12</v>
      </c>
      <c r="H544" s="17">
        <v>12.3</v>
      </c>
      <c r="I544" s="43" t="s">
        <v>3950</v>
      </c>
      <c r="J544" s="26"/>
      <c r="K544" s="17">
        <f t="shared" si="48"/>
        <v>0</v>
      </c>
      <c r="N544" s="31" t="str">
        <f t="shared" si="51"/>
        <v>-</v>
      </c>
      <c r="O544" s="31" t="str">
        <f t="shared" si="53"/>
        <v>-</v>
      </c>
      <c r="P544" s="35" t="str">
        <f t="shared" si="52"/>
        <v>-</v>
      </c>
      <c r="Q544" s="32" t="str">
        <f t="shared" si="49"/>
        <v>-</v>
      </c>
      <c r="S544" s="32" t="str">
        <f t="shared" si="50"/>
        <v>-</v>
      </c>
    </row>
    <row r="545" spans="1:19" x14ac:dyDescent="0.3">
      <c r="A545" s="45" t="s">
        <v>2669</v>
      </c>
      <c r="B545" s="40" t="s">
        <v>695</v>
      </c>
      <c r="C545" s="41" t="s">
        <v>1769</v>
      </c>
      <c r="D545" s="21" t="s">
        <v>2223</v>
      </c>
      <c r="E545" s="21" t="s">
        <v>2222</v>
      </c>
      <c r="F545" s="24">
        <v>6.0921235227416673E-2</v>
      </c>
      <c r="G545" s="21">
        <v>12</v>
      </c>
      <c r="H545" s="17">
        <v>3.75</v>
      </c>
      <c r="I545" s="43" t="s">
        <v>3950</v>
      </c>
      <c r="J545" s="26"/>
      <c r="K545" s="17">
        <f t="shared" si="48"/>
        <v>0</v>
      </c>
      <c r="N545" s="31" t="str">
        <f t="shared" si="51"/>
        <v>-</v>
      </c>
      <c r="O545" s="31" t="str">
        <f t="shared" si="53"/>
        <v>-</v>
      </c>
      <c r="P545" s="35" t="str">
        <f t="shared" si="52"/>
        <v>-</v>
      </c>
      <c r="Q545" s="32" t="str">
        <f t="shared" si="49"/>
        <v>-</v>
      </c>
      <c r="S545" s="32" t="str">
        <f t="shared" si="50"/>
        <v>-</v>
      </c>
    </row>
    <row r="546" spans="1:19" x14ac:dyDescent="0.3">
      <c r="A546" s="45" t="s">
        <v>2670</v>
      </c>
      <c r="B546" s="40" t="s">
        <v>862</v>
      </c>
      <c r="C546" s="41" t="s">
        <v>1769</v>
      </c>
      <c r="D546" s="21" t="s">
        <v>2224</v>
      </c>
      <c r="E546" s="21" t="s">
        <v>2222</v>
      </c>
      <c r="F546" s="24">
        <v>8.666260222491666E-2</v>
      </c>
      <c r="G546" s="21">
        <v>12</v>
      </c>
      <c r="H546" s="17">
        <v>6.3</v>
      </c>
      <c r="I546" s="43" t="s">
        <v>3950</v>
      </c>
      <c r="J546" s="26"/>
      <c r="K546" s="17">
        <f t="shared" si="48"/>
        <v>0</v>
      </c>
      <c r="N546" s="31" t="str">
        <f t="shared" si="51"/>
        <v>-</v>
      </c>
      <c r="O546" s="31" t="str">
        <f t="shared" si="53"/>
        <v>-</v>
      </c>
      <c r="P546" s="35" t="str">
        <f t="shared" si="52"/>
        <v>-</v>
      </c>
      <c r="Q546" s="32" t="str">
        <f t="shared" si="49"/>
        <v>-</v>
      </c>
      <c r="S546" s="32" t="str">
        <f t="shared" si="50"/>
        <v>-</v>
      </c>
    </row>
    <row r="547" spans="1:19" x14ac:dyDescent="0.3">
      <c r="A547" s="45" t="s">
        <v>2671</v>
      </c>
      <c r="B547" s="40" t="s">
        <v>739</v>
      </c>
      <c r="C547" s="41" t="s">
        <v>1769</v>
      </c>
      <c r="D547" s="21" t="s">
        <v>2227</v>
      </c>
      <c r="E547" s="21" t="s">
        <v>2222</v>
      </c>
      <c r="F547" s="24">
        <v>0.16731888548375001</v>
      </c>
      <c r="G547" s="21">
        <v>12</v>
      </c>
      <c r="H547" s="17">
        <v>11.39</v>
      </c>
      <c r="I547" s="43" t="s">
        <v>3950</v>
      </c>
      <c r="J547" s="26"/>
      <c r="K547" s="17">
        <f t="shared" si="48"/>
        <v>0</v>
      </c>
      <c r="N547" s="31" t="str">
        <f t="shared" si="51"/>
        <v>-</v>
      </c>
      <c r="O547" s="31" t="str">
        <f t="shared" si="53"/>
        <v>-</v>
      </c>
      <c r="P547" s="35" t="str">
        <f t="shared" si="52"/>
        <v>-</v>
      </c>
      <c r="Q547" s="32" t="str">
        <f t="shared" si="49"/>
        <v>-</v>
      </c>
      <c r="S547" s="32" t="str">
        <f t="shared" si="50"/>
        <v>-</v>
      </c>
    </row>
    <row r="548" spans="1:19" x14ac:dyDescent="0.3">
      <c r="A548" s="45" t="s">
        <v>2672</v>
      </c>
      <c r="B548" s="40" t="s">
        <v>869</v>
      </c>
      <c r="C548" s="41" t="s">
        <v>1770</v>
      </c>
      <c r="D548" s="21" t="s">
        <v>2224</v>
      </c>
      <c r="E548" s="21" t="s">
        <v>2222</v>
      </c>
      <c r="F548" s="24">
        <v>0.13514217673687501</v>
      </c>
      <c r="G548" s="21">
        <v>12</v>
      </c>
      <c r="H548" s="17">
        <v>7.35</v>
      </c>
      <c r="I548" s="43" t="s">
        <v>3950</v>
      </c>
      <c r="J548" s="26"/>
      <c r="K548" s="17">
        <f t="shared" si="48"/>
        <v>0</v>
      </c>
      <c r="N548" s="31" t="str">
        <f t="shared" si="51"/>
        <v>-</v>
      </c>
      <c r="O548" s="31" t="str">
        <f t="shared" si="53"/>
        <v>-</v>
      </c>
      <c r="P548" s="35" t="str">
        <f t="shared" si="52"/>
        <v>-</v>
      </c>
      <c r="Q548" s="32" t="str">
        <f t="shared" si="49"/>
        <v>-</v>
      </c>
      <c r="S548" s="32" t="str">
        <f t="shared" si="50"/>
        <v>-</v>
      </c>
    </row>
    <row r="549" spans="1:19" x14ac:dyDescent="0.3">
      <c r="A549" s="45" t="s">
        <v>2673</v>
      </c>
      <c r="B549" s="40" t="s">
        <v>798</v>
      </c>
      <c r="C549" s="41" t="s">
        <v>1770</v>
      </c>
      <c r="D549" s="21" t="s">
        <v>2227</v>
      </c>
      <c r="E549" s="21" t="s">
        <v>2222</v>
      </c>
      <c r="F549" s="24">
        <v>0.24883321430916666</v>
      </c>
      <c r="G549" s="21">
        <v>12</v>
      </c>
      <c r="H549" s="17">
        <v>12.9</v>
      </c>
      <c r="I549" s="43" t="s">
        <v>3950</v>
      </c>
      <c r="J549" s="26"/>
      <c r="K549" s="17">
        <f t="shared" si="48"/>
        <v>0</v>
      </c>
      <c r="N549" s="31" t="str">
        <f t="shared" si="51"/>
        <v>-</v>
      </c>
      <c r="O549" s="31" t="str">
        <f t="shared" si="53"/>
        <v>-</v>
      </c>
      <c r="P549" s="35" t="str">
        <f t="shared" si="52"/>
        <v>-</v>
      </c>
      <c r="Q549" s="32" t="str">
        <f t="shared" si="49"/>
        <v>-</v>
      </c>
      <c r="S549" s="32" t="str">
        <f t="shared" si="50"/>
        <v>-</v>
      </c>
    </row>
    <row r="550" spans="1:19" x14ac:dyDescent="0.3">
      <c r="A550" s="45" t="s">
        <v>2674</v>
      </c>
      <c r="B550" s="40" t="s">
        <v>1307</v>
      </c>
      <c r="C550" s="41" t="s">
        <v>1623</v>
      </c>
      <c r="D550" s="21" t="s">
        <v>2224</v>
      </c>
      <c r="E550" s="21" t="s">
        <v>2222</v>
      </c>
      <c r="F550" s="24">
        <v>5.0624688428416671E-2</v>
      </c>
      <c r="G550" s="21">
        <v>12</v>
      </c>
      <c r="H550" s="17">
        <v>5.25</v>
      </c>
      <c r="I550" s="43" t="s">
        <v>3950</v>
      </c>
      <c r="J550" s="26"/>
      <c r="K550" s="17">
        <f t="shared" si="48"/>
        <v>0</v>
      </c>
      <c r="N550" s="31" t="str">
        <f t="shared" si="51"/>
        <v>-</v>
      </c>
      <c r="O550" s="31" t="str">
        <f t="shared" si="53"/>
        <v>-</v>
      </c>
      <c r="P550" s="35" t="str">
        <f t="shared" si="52"/>
        <v>-</v>
      </c>
      <c r="Q550" s="32" t="str">
        <f t="shared" si="49"/>
        <v>-</v>
      </c>
      <c r="S550" s="32" t="str">
        <f t="shared" si="50"/>
        <v>-</v>
      </c>
    </row>
    <row r="551" spans="1:19" x14ac:dyDescent="0.3">
      <c r="A551" s="45" t="s">
        <v>2675</v>
      </c>
      <c r="B551" s="40" t="s">
        <v>1199</v>
      </c>
      <c r="C551" s="41" t="s">
        <v>1623</v>
      </c>
      <c r="D551" s="21" t="s">
        <v>2227</v>
      </c>
      <c r="E551" s="21" t="s">
        <v>2222</v>
      </c>
      <c r="F551" s="24">
        <v>7.1217782026416682E-2</v>
      </c>
      <c r="G551" s="21">
        <v>12</v>
      </c>
      <c r="H551" s="17">
        <v>9.9</v>
      </c>
      <c r="I551" s="43" t="s">
        <v>3950</v>
      </c>
      <c r="J551" s="26"/>
      <c r="K551" s="17">
        <f t="shared" si="48"/>
        <v>0</v>
      </c>
      <c r="N551" s="31" t="str">
        <f t="shared" si="51"/>
        <v>-</v>
      </c>
      <c r="O551" s="31" t="str">
        <f t="shared" si="53"/>
        <v>-</v>
      </c>
      <c r="P551" s="35" t="str">
        <f t="shared" si="52"/>
        <v>-</v>
      </c>
      <c r="Q551" s="32" t="str">
        <f t="shared" si="49"/>
        <v>-</v>
      </c>
      <c r="S551" s="32" t="str">
        <f t="shared" si="50"/>
        <v>-</v>
      </c>
    </row>
    <row r="552" spans="1:19" x14ac:dyDescent="0.3">
      <c r="A552" s="45" t="s">
        <v>2676</v>
      </c>
      <c r="B552" s="40" t="s">
        <v>568</v>
      </c>
      <c r="C552" s="41" t="s">
        <v>1623</v>
      </c>
      <c r="D552" s="21" t="s">
        <v>2233</v>
      </c>
      <c r="E552" s="21" t="s">
        <v>2222</v>
      </c>
      <c r="F552" s="24">
        <v>0.11326201478900001</v>
      </c>
      <c r="G552" s="21">
        <v>12</v>
      </c>
      <c r="H552" s="17">
        <v>18.899999999999999</v>
      </c>
      <c r="I552" s="43" t="s">
        <v>3950</v>
      </c>
      <c r="J552" s="26"/>
      <c r="K552" s="17">
        <f t="shared" si="48"/>
        <v>0</v>
      </c>
      <c r="N552" s="31" t="str">
        <f t="shared" si="51"/>
        <v>-</v>
      </c>
      <c r="O552" s="31" t="str">
        <f t="shared" si="53"/>
        <v>-</v>
      </c>
      <c r="P552" s="35" t="str">
        <f t="shared" si="52"/>
        <v>-</v>
      </c>
      <c r="Q552" s="32" t="str">
        <f t="shared" si="49"/>
        <v>-</v>
      </c>
      <c r="S552" s="32" t="str">
        <f t="shared" si="50"/>
        <v>-</v>
      </c>
    </row>
    <row r="553" spans="1:19" x14ac:dyDescent="0.3">
      <c r="A553" s="45" t="s">
        <v>2677</v>
      </c>
      <c r="B553" s="40" t="s">
        <v>875</v>
      </c>
      <c r="C553" s="41" t="s">
        <v>1771</v>
      </c>
      <c r="D553" s="21" t="s">
        <v>2251</v>
      </c>
      <c r="E553" s="21" t="s">
        <v>2222</v>
      </c>
      <c r="F553" s="24">
        <v>9.2668921191000023E-2</v>
      </c>
      <c r="G553" s="21">
        <v>12</v>
      </c>
      <c r="H553" s="17">
        <v>8.39</v>
      </c>
      <c r="I553" s="43" t="s">
        <v>3950</v>
      </c>
      <c r="J553" s="26"/>
      <c r="K553" s="17">
        <f t="shared" si="48"/>
        <v>0</v>
      </c>
      <c r="N553" s="31" t="str">
        <f t="shared" si="51"/>
        <v>-</v>
      </c>
      <c r="O553" s="31" t="str">
        <f t="shared" si="53"/>
        <v>-</v>
      </c>
      <c r="P553" s="35" t="str">
        <f t="shared" si="52"/>
        <v>-</v>
      </c>
      <c r="Q553" s="32" t="str">
        <f t="shared" si="49"/>
        <v>-</v>
      </c>
      <c r="S553" s="32" t="str">
        <f t="shared" si="50"/>
        <v>-</v>
      </c>
    </row>
    <row r="554" spans="1:19" x14ac:dyDescent="0.3">
      <c r="A554" s="45" t="s">
        <v>2678</v>
      </c>
      <c r="B554" s="40" t="s">
        <v>589</v>
      </c>
      <c r="C554" s="41" t="s">
        <v>1771</v>
      </c>
      <c r="D554" s="21" t="s">
        <v>2225</v>
      </c>
      <c r="E554" s="21" t="s">
        <v>2222</v>
      </c>
      <c r="F554" s="24">
        <v>0.17418325001641669</v>
      </c>
      <c r="G554" s="21">
        <v>12</v>
      </c>
      <c r="H554" s="17">
        <v>16.190000000000001</v>
      </c>
      <c r="I554" s="43" t="s">
        <v>3950</v>
      </c>
      <c r="J554" s="26"/>
      <c r="K554" s="17">
        <f t="shared" si="48"/>
        <v>0</v>
      </c>
      <c r="N554" s="31" t="str">
        <f t="shared" si="51"/>
        <v>-</v>
      </c>
      <c r="O554" s="31" t="str">
        <f t="shared" si="53"/>
        <v>-</v>
      </c>
      <c r="P554" s="35" t="str">
        <f t="shared" si="52"/>
        <v>-</v>
      </c>
      <c r="Q554" s="32" t="str">
        <f t="shared" si="49"/>
        <v>-</v>
      </c>
      <c r="S554" s="32" t="str">
        <f t="shared" si="50"/>
        <v>-</v>
      </c>
    </row>
    <row r="555" spans="1:19" x14ac:dyDescent="0.3">
      <c r="A555" s="45" t="s">
        <v>2679</v>
      </c>
      <c r="B555" s="40" t="s">
        <v>605</v>
      </c>
      <c r="C555" s="41" t="s">
        <v>1771</v>
      </c>
      <c r="D555" s="21" t="s">
        <v>2226</v>
      </c>
      <c r="E555" s="21" t="s">
        <v>2222</v>
      </c>
      <c r="F555" s="24">
        <v>0.34150213550016667</v>
      </c>
      <c r="G555" s="21">
        <v>12</v>
      </c>
      <c r="H555" s="17">
        <v>31.19</v>
      </c>
      <c r="I555" s="43" t="s">
        <v>3950</v>
      </c>
      <c r="J555" s="26"/>
      <c r="K555" s="17">
        <f t="shared" si="48"/>
        <v>0</v>
      </c>
      <c r="N555" s="31" t="str">
        <f t="shared" si="51"/>
        <v>-</v>
      </c>
      <c r="O555" s="31" t="str">
        <f t="shared" si="53"/>
        <v>-</v>
      </c>
      <c r="P555" s="35" t="str">
        <f t="shared" si="52"/>
        <v>-</v>
      </c>
      <c r="Q555" s="32" t="str">
        <f t="shared" si="49"/>
        <v>-</v>
      </c>
      <c r="S555" s="32" t="str">
        <f t="shared" si="50"/>
        <v>-</v>
      </c>
    </row>
    <row r="556" spans="1:19" x14ac:dyDescent="0.3">
      <c r="A556" s="45" t="s">
        <v>2680</v>
      </c>
      <c r="B556" s="40" t="s">
        <v>895</v>
      </c>
      <c r="C556" s="41" t="s">
        <v>1772</v>
      </c>
      <c r="D556" s="21" t="s">
        <v>2224</v>
      </c>
      <c r="E556" s="21" t="s">
        <v>2222</v>
      </c>
      <c r="F556" s="24">
        <v>5.0624688428416671E-2</v>
      </c>
      <c r="G556" s="21">
        <v>12</v>
      </c>
      <c r="H556" s="17">
        <v>6.59</v>
      </c>
      <c r="I556" s="43" t="s">
        <v>3950</v>
      </c>
      <c r="J556" s="26"/>
      <c r="K556" s="17">
        <f t="shared" si="48"/>
        <v>0</v>
      </c>
      <c r="N556" s="31" t="str">
        <f t="shared" si="51"/>
        <v>-</v>
      </c>
      <c r="O556" s="31" t="str">
        <f t="shared" si="53"/>
        <v>-</v>
      </c>
      <c r="P556" s="35" t="str">
        <f t="shared" si="52"/>
        <v>-</v>
      </c>
      <c r="Q556" s="32" t="str">
        <f t="shared" si="49"/>
        <v>-</v>
      </c>
      <c r="S556" s="32" t="str">
        <f t="shared" si="50"/>
        <v>-</v>
      </c>
    </row>
    <row r="557" spans="1:19" x14ac:dyDescent="0.3">
      <c r="A557" s="45" t="s">
        <v>2681</v>
      </c>
      <c r="B557" s="40" t="s">
        <v>915</v>
      </c>
      <c r="C557" s="41" t="s">
        <v>1772</v>
      </c>
      <c r="D557" s="21" t="s">
        <v>2227</v>
      </c>
      <c r="E557" s="21" t="s">
        <v>2222</v>
      </c>
      <c r="F557" s="24">
        <v>6.606950862691667E-2</v>
      </c>
      <c r="G557" s="21">
        <v>12</v>
      </c>
      <c r="H557" s="17">
        <v>11.39</v>
      </c>
      <c r="I557" s="43" t="s">
        <v>3950</v>
      </c>
      <c r="J557" s="26"/>
      <c r="K557" s="17">
        <f t="shared" si="48"/>
        <v>0</v>
      </c>
      <c r="N557" s="31" t="str">
        <f t="shared" si="51"/>
        <v>-</v>
      </c>
      <c r="O557" s="31" t="str">
        <f t="shared" si="53"/>
        <v>-</v>
      </c>
      <c r="P557" s="35" t="str">
        <f t="shared" si="52"/>
        <v>-</v>
      </c>
      <c r="Q557" s="32" t="str">
        <f t="shared" si="49"/>
        <v>-</v>
      </c>
      <c r="S557" s="32" t="str">
        <f t="shared" si="50"/>
        <v>-</v>
      </c>
    </row>
    <row r="558" spans="1:19" x14ac:dyDescent="0.3">
      <c r="A558" s="45" t="s">
        <v>2682</v>
      </c>
      <c r="B558" s="40" t="s">
        <v>1200</v>
      </c>
      <c r="C558" s="41" t="s">
        <v>1772</v>
      </c>
      <c r="D558" s="21" t="s">
        <v>2233</v>
      </c>
      <c r="E558" s="21" t="s">
        <v>2222</v>
      </c>
      <c r="F558" s="24">
        <v>0.11326201478900001</v>
      </c>
      <c r="G558" s="21">
        <v>12</v>
      </c>
      <c r="H558" s="17">
        <v>20.99</v>
      </c>
      <c r="I558" s="43" t="s">
        <v>3950</v>
      </c>
      <c r="J558" s="26"/>
      <c r="K558" s="17">
        <f t="shared" si="48"/>
        <v>0</v>
      </c>
      <c r="N558" s="31" t="str">
        <f t="shared" si="51"/>
        <v>-</v>
      </c>
      <c r="O558" s="31" t="str">
        <f t="shared" si="53"/>
        <v>-</v>
      </c>
      <c r="P558" s="35" t="str">
        <f t="shared" si="52"/>
        <v>-</v>
      </c>
      <c r="Q558" s="32" t="str">
        <f t="shared" si="49"/>
        <v>-</v>
      </c>
      <c r="S558" s="32" t="str">
        <f t="shared" si="50"/>
        <v>-</v>
      </c>
    </row>
    <row r="559" spans="1:19" x14ac:dyDescent="0.3">
      <c r="A559" s="45" t="s">
        <v>2683</v>
      </c>
      <c r="B559" s="40" t="s">
        <v>377</v>
      </c>
      <c r="C559" s="41" t="s">
        <v>1773</v>
      </c>
      <c r="D559" s="21" t="s">
        <v>2223</v>
      </c>
      <c r="E559" s="21" t="s">
        <v>2232</v>
      </c>
      <c r="F559" s="24">
        <v>5.5772961827916676E-2</v>
      </c>
      <c r="G559" s="21">
        <v>12</v>
      </c>
      <c r="H559" s="17">
        <v>14.39</v>
      </c>
      <c r="I559" s="43" t="s">
        <v>3950</v>
      </c>
      <c r="J559" s="26"/>
      <c r="K559" s="17">
        <f t="shared" si="48"/>
        <v>0</v>
      </c>
      <c r="N559" s="31" t="str">
        <f t="shared" si="51"/>
        <v>-</v>
      </c>
      <c r="O559" s="31" t="str">
        <f t="shared" si="53"/>
        <v>-</v>
      </c>
      <c r="P559" s="35" t="str">
        <f t="shared" si="52"/>
        <v>-</v>
      </c>
      <c r="Q559" s="32" t="str">
        <f t="shared" si="49"/>
        <v>-</v>
      </c>
      <c r="S559" s="32" t="str">
        <f t="shared" si="50"/>
        <v>-</v>
      </c>
    </row>
    <row r="560" spans="1:19" x14ac:dyDescent="0.3">
      <c r="A560" s="45" t="s">
        <v>2684</v>
      </c>
      <c r="B560" s="40" t="s">
        <v>795</v>
      </c>
      <c r="C560" s="41" t="s">
        <v>1773</v>
      </c>
      <c r="D560" s="21" t="s">
        <v>2224</v>
      </c>
      <c r="E560" s="21" t="s">
        <v>2232</v>
      </c>
      <c r="F560" s="24">
        <v>8.7520647791500011E-2</v>
      </c>
      <c r="G560" s="21">
        <v>12</v>
      </c>
      <c r="H560" s="17">
        <v>27.59</v>
      </c>
      <c r="I560" s="43" t="s">
        <v>3950</v>
      </c>
      <c r="J560" s="26"/>
      <c r="K560" s="17">
        <f t="shared" si="48"/>
        <v>0</v>
      </c>
      <c r="N560" s="31" t="str">
        <f t="shared" si="51"/>
        <v>-</v>
      </c>
      <c r="O560" s="31" t="str">
        <f t="shared" si="53"/>
        <v>-</v>
      </c>
      <c r="P560" s="35" t="str">
        <f t="shared" si="52"/>
        <v>-</v>
      </c>
      <c r="Q560" s="32" t="str">
        <f t="shared" si="49"/>
        <v>-</v>
      </c>
      <c r="S560" s="32" t="str">
        <f t="shared" si="50"/>
        <v>-</v>
      </c>
    </row>
    <row r="561" spans="1:19" x14ac:dyDescent="0.3">
      <c r="A561" s="45" t="s">
        <v>2685</v>
      </c>
      <c r="B561" s="40" t="s">
        <v>1322</v>
      </c>
      <c r="C561" s="41" t="s">
        <v>1774</v>
      </c>
      <c r="D561" s="21" t="s">
        <v>2239</v>
      </c>
      <c r="E561" s="21" t="s">
        <v>2222</v>
      </c>
      <c r="F561" s="24">
        <v>9.7817194590499992E-2</v>
      </c>
      <c r="G561" s="21">
        <v>12</v>
      </c>
      <c r="H561" s="17">
        <v>6.59</v>
      </c>
      <c r="I561" s="43" t="s">
        <v>3950</v>
      </c>
      <c r="J561" s="26"/>
      <c r="K561" s="17">
        <f t="shared" si="48"/>
        <v>0</v>
      </c>
      <c r="N561" s="31" t="str">
        <f t="shared" si="51"/>
        <v>-</v>
      </c>
      <c r="O561" s="31" t="str">
        <f t="shared" si="53"/>
        <v>-</v>
      </c>
      <c r="P561" s="35" t="str">
        <f t="shared" si="52"/>
        <v>-</v>
      </c>
      <c r="Q561" s="32" t="str">
        <f t="shared" si="49"/>
        <v>-</v>
      </c>
      <c r="S561" s="32" t="str">
        <f t="shared" si="50"/>
        <v>-</v>
      </c>
    </row>
    <row r="562" spans="1:19" x14ac:dyDescent="0.3">
      <c r="A562" s="45" t="s">
        <v>2686</v>
      </c>
      <c r="B562" s="40" t="s">
        <v>430</v>
      </c>
      <c r="C562" s="41" t="s">
        <v>1774</v>
      </c>
      <c r="D562" s="21" t="s">
        <v>2221</v>
      </c>
      <c r="E562" s="21" t="s">
        <v>2222</v>
      </c>
      <c r="F562" s="24">
        <v>0.17675738671616667</v>
      </c>
      <c r="G562" s="21">
        <v>12</v>
      </c>
      <c r="H562" s="17">
        <v>12.3</v>
      </c>
      <c r="I562" s="43" t="s">
        <v>3950</v>
      </c>
      <c r="J562" s="26"/>
      <c r="K562" s="17">
        <f t="shared" si="48"/>
        <v>0</v>
      </c>
      <c r="N562" s="31" t="str">
        <f t="shared" si="51"/>
        <v>-</v>
      </c>
      <c r="O562" s="31" t="str">
        <f t="shared" si="53"/>
        <v>-</v>
      </c>
      <c r="P562" s="35" t="str">
        <f t="shared" si="52"/>
        <v>-</v>
      </c>
      <c r="Q562" s="32" t="str">
        <f t="shared" si="49"/>
        <v>-</v>
      </c>
      <c r="S562" s="32" t="str">
        <f t="shared" si="50"/>
        <v>-</v>
      </c>
    </row>
    <row r="563" spans="1:19" x14ac:dyDescent="0.3">
      <c r="A563" s="45" t="s">
        <v>2687</v>
      </c>
      <c r="B563" s="40" t="s">
        <v>1335</v>
      </c>
      <c r="C563" s="41" t="s">
        <v>1774</v>
      </c>
      <c r="D563" s="21" t="s">
        <v>2242</v>
      </c>
      <c r="E563" s="21" t="s">
        <v>2222</v>
      </c>
      <c r="F563" s="24">
        <v>0.33120558870116673</v>
      </c>
      <c r="G563" s="21">
        <v>12</v>
      </c>
      <c r="H563" s="17">
        <v>23.39</v>
      </c>
      <c r="I563" s="43" t="s">
        <v>3950</v>
      </c>
      <c r="J563" s="26"/>
      <c r="K563" s="17">
        <f t="shared" si="48"/>
        <v>0</v>
      </c>
      <c r="N563" s="31" t="str">
        <f t="shared" si="51"/>
        <v>-</v>
      </c>
      <c r="O563" s="31" t="str">
        <f t="shared" si="53"/>
        <v>-</v>
      </c>
      <c r="P563" s="35" t="str">
        <f t="shared" si="52"/>
        <v>-</v>
      </c>
      <c r="Q563" s="32" t="str">
        <f t="shared" si="49"/>
        <v>-</v>
      </c>
      <c r="S563" s="32" t="str">
        <f t="shared" si="50"/>
        <v>-</v>
      </c>
    </row>
    <row r="564" spans="1:19" x14ac:dyDescent="0.3">
      <c r="A564" s="45" t="s">
        <v>2688</v>
      </c>
      <c r="B564" s="40" t="s">
        <v>909</v>
      </c>
      <c r="C564" s="41" t="s">
        <v>1775</v>
      </c>
      <c r="D564" s="21" t="s">
        <v>2221</v>
      </c>
      <c r="E564" s="21" t="s">
        <v>2243</v>
      </c>
      <c r="F564" s="24">
        <v>0.17675738671616667</v>
      </c>
      <c r="G564" s="21">
        <v>12</v>
      </c>
      <c r="H564" s="17">
        <v>8.6999999999999993</v>
      </c>
      <c r="I564" s="43" t="s">
        <v>3950</v>
      </c>
      <c r="J564" s="26"/>
      <c r="K564" s="17">
        <f t="shared" si="48"/>
        <v>0</v>
      </c>
      <c r="N564" s="31" t="str">
        <f t="shared" si="51"/>
        <v>-</v>
      </c>
      <c r="O564" s="31" t="str">
        <f t="shared" si="53"/>
        <v>-</v>
      </c>
      <c r="P564" s="35" t="str">
        <f t="shared" si="52"/>
        <v>-</v>
      </c>
      <c r="Q564" s="32" t="str">
        <f t="shared" si="49"/>
        <v>-</v>
      </c>
      <c r="S564" s="32" t="str">
        <f t="shared" si="50"/>
        <v>-</v>
      </c>
    </row>
    <row r="565" spans="1:19" x14ac:dyDescent="0.3">
      <c r="A565" s="45" t="s">
        <v>2689</v>
      </c>
      <c r="B565" s="40" t="s">
        <v>1063</v>
      </c>
      <c r="C565" s="41" t="s">
        <v>1775</v>
      </c>
      <c r="D565" s="21" t="s">
        <v>2242</v>
      </c>
      <c r="E565" s="21" t="s">
        <v>2243</v>
      </c>
      <c r="F565" s="24">
        <v>0.32133806468545828</v>
      </c>
      <c r="G565" s="21">
        <v>12</v>
      </c>
      <c r="H565" s="17">
        <v>16.5</v>
      </c>
      <c r="I565" s="43" t="s">
        <v>3950</v>
      </c>
      <c r="J565" s="26"/>
      <c r="K565" s="17">
        <f t="shared" si="48"/>
        <v>0</v>
      </c>
      <c r="N565" s="31" t="str">
        <f t="shared" si="51"/>
        <v>-</v>
      </c>
      <c r="O565" s="31" t="str">
        <f t="shared" si="53"/>
        <v>-</v>
      </c>
      <c r="P565" s="35" t="str">
        <f t="shared" si="52"/>
        <v>-</v>
      </c>
      <c r="Q565" s="32" t="str">
        <f t="shared" si="49"/>
        <v>-</v>
      </c>
      <c r="S565" s="32" t="str">
        <f t="shared" si="50"/>
        <v>-</v>
      </c>
    </row>
    <row r="566" spans="1:19" x14ac:dyDescent="0.3">
      <c r="A566" s="45" t="s">
        <v>2690</v>
      </c>
      <c r="B566" s="40" t="s">
        <v>1021</v>
      </c>
      <c r="C566" s="41" t="s">
        <v>1776</v>
      </c>
      <c r="D566" s="21" t="s">
        <v>2239</v>
      </c>
      <c r="E566" s="21" t="s">
        <v>2238</v>
      </c>
      <c r="F566" s="24">
        <v>5.0624688428416671E-2</v>
      </c>
      <c r="G566" s="21">
        <v>12</v>
      </c>
      <c r="H566" s="17">
        <v>8.5500000000000007</v>
      </c>
      <c r="I566" s="43" t="s">
        <v>3950</v>
      </c>
      <c r="J566" s="26"/>
      <c r="K566" s="17">
        <f t="shared" si="48"/>
        <v>0</v>
      </c>
      <c r="N566" s="31" t="str">
        <f t="shared" si="51"/>
        <v>-</v>
      </c>
      <c r="O566" s="31" t="str">
        <f t="shared" si="53"/>
        <v>-</v>
      </c>
      <c r="P566" s="35" t="str">
        <f t="shared" si="52"/>
        <v>-</v>
      </c>
      <c r="Q566" s="32" t="str">
        <f t="shared" si="49"/>
        <v>-</v>
      </c>
      <c r="S566" s="32" t="str">
        <f t="shared" si="50"/>
        <v>-</v>
      </c>
    </row>
    <row r="567" spans="1:19" x14ac:dyDescent="0.3">
      <c r="A567" s="45" t="s">
        <v>2691</v>
      </c>
      <c r="B567" s="40" t="s">
        <v>749</v>
      </c>
      <c r="C567" s="41" t="s">
        <v>1776</v>
      </c>
      <c r="D567" s="21" t="s">
        <v>2221</v>
      </c>
      <c r="E567" s="21" t="s">
        <v>2238</v>
      </c>
      <c r="F567" s="24">
        <v>6.606950862691667E-2</v>
      </c>
      <c r="G567" s="21">
        <v>12</v>
      </c>
      <c r="H567" s="17">
        <v>16.5</v>
      </c>
      <c r="I567" s="43" t="s">
        <v>3950</v>
      </c>
      <c r="J567" s="26"/>
      <c r="K567" s="17">
        <f t="shared" si="48"/>
        <v>0</v>
      </c>
      <c r="N567" s="31" t="str">
        <f t="shared" si="51"/>
        <v>-</v>
      </c>
      <c r="O567" s="31" t="str">
        <f t="shared" si="53"/>
        <v>-</v>
      </c>
      <c r="P567" s="35" t="str">
        <f t="shared" si="52"/>
        <v>-</v>
      </c>
      <c r="Q567" s="32" t="str">
        <f t="shared" si="49"/>
        <v>-</v>
      </c>
      <c r="S567" s="32" t="str">
        <f t="shared" si="50"/>
        <v>-</v>
      </c>
    </row>
    <row r="568" spans="1:19" x14ac:dyDescent="0.3">
      <c r="A568" s="45" t="s">
        <v>2692</v>
      </c>
      <c r="B568" s="40" t="s">
        <v>834</v>
      </c>
      <c r="C568" s="41" t="s">
        <v>1776</v>
      </c>
      <c r="D568" s="21" t="s">
        <v>2242</v>
      </c>
      <c r="E568" s="21" t="s">
        <v>2238</v>
      </c>
      <c r="F568" s="24">
        <v>9.7817194590499992E-2</v>
      </c>
      <c r="G568" s="21">
        <v>12</v>
      </c>
      <c r="H568" s="17">
        <v>31.95</v>
      </c>
      <c r="I568" s="43" t="s">
        <v>3950</v>
      </c>
      <c r="J568" s="26"/>
      <c r="K568" s="17">
        <f t="shared" si="48"/>
        <v>0</v>
      </c>
      <c r="N568" s="31" t="str">
        <f t="shared" si="51"/>
        <v>-</v>
      </c>
      <c r="O568" s="31" t="str">
        <f t="shared" si="53"/>
        <v>-</v>
      </c>
      <c r="P568" s="35" t="str">
        <f t="shared" si="52"/>
        <v>-</v>
      </c>
      <c r="Q568" s="32" t="str">
        <f t="shared" si="49"/>
        <v>-</v>
      </c>
      <c r="S568" s="32" t="str">
        <f t="shared" si="50"/>
        <v>-</v>
      </c>
    </row>
    <row r="569" spans="1:19" x14ac:dyDescent="0.3">
      <c r="A569" s="45" t="s">
        <v>2693</v>
      </c>
      <c r="B569" s="40" t="s">
        <v>12</v>
      </c>
      <c r="C569" s="41" t="s">
        <v>1777</v>
      </c>
      <c r="D569" s="21" t="s">
        <v>2239</v>
      </c>
      <c r="E569" s="21" t="s">
        <v>2238</v>
      </c>
      <c r="F569" s="24">
        <v>4.5476415028916667E-2</v>
      </c>
      <c r="G569" s="21">
        <v>12</v>
      </c>
      <c r="H569" s="17">
        <v>8.6999999999999993</v>
      </c>
      <c r="I569" s="43" t="s">
        <v>3950</v>
      </c>
      <c r="J569" s="26"/>
      <c r="K569" s="17">
        <f t="shared" ref="K569:K631" si="54">J569*H569</f>
        <v>0</v>
      </c>
      <c r="N569" s="31" t="str">
        <f t="shared" si="51"/>
        <v>-</v>
      </c>
      <c r="O569" s="31" t="str">
        <f t="shared" si="53"/>
        <v>-</v>
      </c>
      <c r="P569" s="35" t="str">
        <f t="shared" si="52"/>
        <v>-</v>
      </c>
      <c r="Q569" s="32" t="str">
        <f t="shared" si="49"/>
        <v>-</v>
      </c>
      <c r="S569" s="32" t="str">
        <f t="shared" si="50"/>
        <v>-</v>
      </c>
    </row>
    <row r="570" spans="1:19" x14ac:dyDescent="0.3">
      <c r="A570" s="45" t="s">
        <v>2694</v>
      </c>
      <c r="B570" s="40" t="s">
        <v>195</v>
      </c>
      <c r="C570" s="41" t="s">
        <v>1777</v>
      </c>
      <c r="D570" s="21" t="s">
        <v>2221</v>
      </c>
      <c r="E570" s="21" t="s">
        <v>2238</v>
      </c>
      <c r="F570" s="24">
        <v>6.0921235227416673E-2</v>
      </c>
      <c r="G570" s="21">
        <v>12</v>
      </c>
      <c r="H570" s="17">
        <v>16.5</v>
      </c>
      <c r="I570" s="43" t="s">
        <v>3950</v>
      </c>
      <c r="J570" s="26"/>
      <c r="K570" s="17">
        <f t="shared" si="54"/>
        <v>0</v>
      </c>
      <c r="N570" s="31" t="str">
        <f t="shared" si="51"/>
        <v>-</v>
      </c>
      <c r="O570" s="31" t="str">
        <f t="shared" si="53"/>
        <v>-</v>
      </c>
      <c r="P570" s="35" t="str">
        <f t="shared" si="52"/>
        <v>-</v>
      </c>
      <c r="Q570" s="32" t="str">
        <f t="shared" ref="Q570:Q632" si="55">IFERROR(IF($N$2&gt;0, $N$2*P570, "-"), "-")</f>
        <v>-</v>
      </c>
      <c r="S570" s="32" t="str">
        <f t="shared" ref="S570:S632" si="56">IFERROR(IF(Q570+K570=0, "-", IF(Q570&gt;0, Q570+K570, "-")), "-")</f>
        <v>-</v>
      </c>
    </row>
    <row r="571" spans="1:19" x14ac:dyDescent="0.3">
      <c r="A571" s="45" t="s">
        <v>2695</v>
      </c>
      <c r="B571" s="40" t="s">
        <v>728</v>
      </c>
      <c r="C571" s="41" t="s">
        <v>1777</v>
      </c>
      <c r="D571" s="21" t="s">
        <v>2242</v>
      </c>
      <c r="E571" s="21" t="s">
        <v>2238</v>
      </c>
      <c r="F571" s="24">
        <v>9.2668921191000023E-2</v>
      </c>
      <c r="G571" s="21">
        <v>12</v>
      </c>
      <c r="H571" s="17">
        <v>31.95</v>
      </c>
      <c r="I571" s="43" t="s">
        <v>3950</v>
      </c>
      <c r="J571" s="26"/>
      <c r="K571" s="17">
        <f t="shared" si="54"/>
        <v>0</v>
      </c>
      <c r="N571" s="31" t="str">
        <f t="shared" si="51"/>
        <v>-</v>
      </c>
      <c r="O571" s="31" t="str">
        <f t="shared" si="53"/>
        <v>-</v>
      </c>
      <c r="P571" s="35" t="str">
        <f t="shared" si="52"/>
        <v>-</v>
      </c>
      <c r="Q571" s="32" t="str">
        <f t="shared" si="55"/>
        <v>-</v>
      </c>
      <c r="S571" s="32" t="str">
        <f t="shared" si="56"/>
        <v>-</v>
      </c>
    </row>
    <row r="572" spans="1:19" x14ac:dyDescent="0.3">
      <c r="A572" s="45" t="s">
        <v>2698</v>
      </c>
      <c r="B572" s="40" t="s">
        <v>642</v>
      </c>
      <c r="C572" s="41" t="s">
        <v>1779</v>
      </c>
      <c r="D572" s="21" t="s">
        <v>2239</v>
      </c>
      <c r="E572" s="21" t="s">
        <v>2238</v>
      </c>
      <c r="F572" s="24">
        <v>6.606950862691667E-2</v>
      </c>
      <c r="G572" s="21">
        <v>12</v>
      </c>
      <c r="H572" s="17">
        <v>7.79</v>
      </c>
      <c r="I572" s="43" t="s">
        <v>3950</v>
      </c>
      <c r="J572" s="26"/>
      <c r="K572" s="17">
        <f t="shared" si="54"/>
        <v>0</v>
      </c>
      <c r="N572" s="31" t="str">
        <f t="shared" si="51"/>
        <v>-</v>
      </c>
      <c r="O572" s="31" t="str">
        <f t="shared" si="53"/>
        <v>-</v>
      </c>
      <c r="P572" s="35" t="str">
        <f t="shared" si="52"/>
        <v>-</v>
      </c>
      <c r="Q572" s="32" t="str">
        <f t="shared" si="55"/>
        <v>-</v>
      </c>
      <c r="S572" s="32" t="str">
        <f t="shared" si="56"/>
        <v>-</v>
      </c>
    </row>
    <row r="573" spans="1:19" x14ac:dyDescent="0.3">
      <c r="A573" s="45" t="s">
        <v>2699</v>
      </c>
      <c r="B573" s="40" t="s">
        <v>771</v>
      </c>
      <c r="C573" s="41" t="s">
        <v>1779</v>
      </c>
      <c r="D573" s="21" t="s">
        <v>2221</v>
      </c>
      <c r="E573" s="21" t="s">
        <v>2238</v>
      </c>
      <c r="F573" s="24">
        <v>0.114549083138875</v>
      </c>
      <c r="G573" s="21">
        <v>12</v>
      </c>
      <c r="H573" s="17">
        <v>14.55</v>
      </c>
      <c r="I573" s="43" t="s">
        <v>3950</v>
      </c>
      <c r="J573" s="26"/>
      <c r="K573" s="17">
        <f t="shared" si="54"/>
        <v>0</v>
      </c>
      <c r="N573" s="31" t="str">
        <f t="shared" si="51"/>
        <v>-</v>
      </c>
      <c r="O573" s="31" t="str">
        <f t="shared" si="53"/>
        <v>-</v>
      </c>
      <c r="P573" s="35" t="str">
        <f t="shared" si="52"/>
        <v>-</v>
      </c>
      <c r="Q573" s="32" t="str">
        <f t="shared" si="55"/>
        <v>-</v>
      </c>
      <c r="S573" s="32" t="str">
        <f t="shared" si="56"/>
        <v>-</v>
      </c>
    </row>
    <row r="574" spans="1:19" x14ac:dyDescent="0.3">
      <c r="A574" s="45" t="s">
        <v>2700</v>
      </c>
      <c r="B574" s="40" t="s">
        <v>1219</v>
      </c>
      <c r="C574" s="41" t="s">
        <v>1780</v>
      </c>
      <c r="D574" s="21" t="s">
        <v>2228</v>
      </c>
      <c r="E574" s="21" t="s">
        <v>2229</v>
      </c>
      <c r="F574" s="24">
        <v>0.10725569582291668</v>
      </c>
      <c r="G574" s="21">
        <v>12</v>
      </c>
      <c r="H574" s="17">
        <v>6.3</v>
      </c>
      <c r="I574" s="43" t="s">
        <v>3950</v>
      </c>
      <c r="J574" s="26"/>
      <c r="K574" s="17">
        <f t="shared" si="54"/>
        <v>0</v>
      </c>
      <c r="N574" s="31" t="str">
        <f t="shared" ref="N574:N637" si="57">IFERROR(IF($N$2*F574=0, "-", $N$2*F574), "-")</f>
        <v>-</v>
      </c>
      <c r="O574" s="31" t="str">
        <f t="shared" si="53"/>
        <v>-</v>
      </c>
      <c r="P574" s="35" t="str">
        <f t="shared" ref="P574:P637" si="58">IF(J574&gt;0,J574*F574, "-")</f>
        <v>-</v>
      </c>
      <c r="Q574" s="32" t="str">
        <f t="shared" si="55"/>
        <v>-</v>
      </c>
      <c r="S574" s="32" t="str">
        <f t="shared" si="56"/>
        <v>-</v>
      </c>
    </row>
    <row r="575" spans="1:19" x14ac:dyDescent="0.3">
      <c r="A575" s="45" t="s">
        <v>2701</v>
      </c>
      <c r="B575" s="40" t="s">
        <v>1115</v>
      </c>
      <c r="C575" s="41" t="s">
        <v>1780</v>
      </c>
      <c r="D575" s="21" t="s">
        <v>2230</v>
      </c>
      <c r="E575" s="21" t="s">
        <v>2229</v>
      </c>
      <c r="F575" s="24">
        <v>0.14415165518599998</v>
      </c>
      <c r="G575" s="21">
        <v>12</v>
      </c>
      <c r="H575" s="17">
        <v>11.39</v>
      </c>
      <c r="I575" s="43" t="s">
        <v>3950</v>
      </c>
      <c r="J575" s="26"/>
      <c r="K575" s="17">
        <f t="shared" si="54"/>
        <v>0</v>
      </c>
      <c r="N575" s="31" t="str">
        <f t="shared" si="57"/>
        <v>-</v>
      </c>
      <c r="O575" s="31" t="str">
        <f t="shared" ref="O575:O638" si="59">IFERROR(IF(N575&gt;0,H575+N575,"-"),"-")</f>
        <v>-</v>
      </c>
      <c r="P575" s="35" t="str">
        <f t="shared" si="58"/>
        <v>-</v>
      </c>
      <c r="Q575" s="32" t="str">
        <f t="shared" si="55"/>
        <v>-</v>
      </c>
      <c r="S575" s="32" t="str">
        <f t="shared" si="56"/>
        <v>-</v>
      </c>
    </row>
    <row r="576" spans="1:19" x14ac:dyDescent="0.3">
      <c r="A576" s="45" t="s">
        <v>2702</v>
      </c>
      <c r="B576" s="40" t="s">
        <v>601</v>
      </c>
      <c r="C576" s="41" t="s">
        <v>1781</v>
      </c>
      <c r="D576" s="21" t="s">
        <v>2228</v>
      </c>
      <c r="E576" s="21" t="s">
        <v>2229</v>
      </c>
      <c r="F576" s="24">
        <v>9.2668921191000023E-2</v>
      </c>
      <c r="G576" s="21">
        <v>12</v>
      </c>
      <c r="H576" s="17">
        <v>5.25</v>
      </c>
      <c r="I576" s="43" t="s">
        <v>3950</v>
      </c>
      <c r="J576" s="26"/>
      <c r="K576" s="17">
        <f t="shared" si="54"/>
        <v>0</v>
      </c>
      <c r="N576" s="31" t="str">
        <f t="shared" si="57"/>
        <v>-</v>
      </c>
      <c r="O576" s="31" t="str">
        <f t="shared" si="59"/>
        <v>-</v>
      </c>
      <c r="P576" s="35" t="str">
        <f t="shared" si="58"/>
        <v>-</v>
      </c>
      <c r="Q576" s="32" t="str">
        <f t="shared" si="55"/>
        <v>-</v>
      </c>
      <c r="S576" s="32" t="str">
        <f t="shared" si="56"/>
        <v>-</v>
      </c>
    </row>
    <row r="577" spans="1:19" x14ac:dyDescent="0.3">
      <c r="A577" s="45" t="s">
        <v>2703</v>
      </c>
      <c r="B577" s="40" t="s">
        <v>671</v>
      </c>
      <c r="C577" s="41" t="s">
        <v>1781</v>
      </c>
      <c r="D577" s="21" t="s">
        <v>2230</v>
      </c>
      <c r="E577" s="21" t="s">
        <v>2229</v>
      </c>
      <c r="F577" s="24">
        <v>0.13900338178650001</v>
      </c>
      <c r="G577" s="21">
        <v>12</v>
      </c>
      <c r="H577" s="17">
        <v>10.050000000000001</v>
      </c>
      <c r="I577" s="43" t="s">
        <v>3950</v>
      </c>
      <c r="J577" s="26"/>
      <c r="K577" s="17">
        <f t="shared" si="54"/>
        <v>0</v>
      </c>
      <c r="N577" s="31" t="str">
        <f t="shared" si="57"/>
        <v>-</v>
      </c>
      <c r="O577" s="31" t="str">
        <f t="shared" si="59"/>
        <v>-</v>
      </c>
      <c r="P577" s="35" t="str">
        <f t="shared" si="58"/>
        <v>-</v>
      </c>
      <c r="Q577" s="32" t="str">
        <f t="shared" si="55"/>
        <v>-</v>
      </c>
      <c r="S577" s="32" t="str">
        <f t="shared" si="56"/>
        <v>-</v>
      </c>
    </row>
    <row r="578" spans="1:19" x14ac:dyDescent="0.3">
      <c r="A578" s="45" t="s">
        <v>2704</v>
      </c>
      <c r="B578" s="40" t="s">
        <v>327</v>
      </c>
      <c r="C578" s="41" t="s">
        <v>1781</v>
      </c>
      <c r="D578" s="21" t="s">
        <v>2235</v>
      </c>
      <c r="E578" s="21" t="s">
        <v>2229</v>
      </c>
      <c r="F578" s="24">
        <v>0.25741366997500004</v>
      </c>
      <c r="G578" s="21">
        <v>12</v>
      </c>
      <c r="H578" s="17">
        <v>19.190000000000001</v>
      </c>
      <c r="I578" s="43" t="s">
        <v>3950</v>
      </c>
      <c r="J578" s="26"/>
      <c r="K578" s="17">
        <f t="shared" si="54"/>
        <v>0</v>
      </c>
      <c r="N578" s="31" t="str">
        <f t="shared" si="57"/>
        <v>-</v>
      </c>
      <c r="O578" s="31" t="str">
        <f t="shared" si="59"/>
        <v>-</v>
      </c>
      <c r="P578" s="35" t="str">
        <f t="shared" si="58"/>
        <v>-</v>
      </c>
      <c r="Q578" s="32" t="str">
        <f t="shared" si="55"/>
        <v>-</v>
      </c>
      <c r="S578" s="32" t="str">
        <f t="shared" si="56"/>
        <v>-</v>
      </c>
    </row>
    <row r="579" spans="1:19" x14ac:dyDescent="0.3">
      <c r="A579" s="45" t="s">
        <v>2705</v>
      </c>
      <c r="B579" s="40" t="s">
        <v>25</v>
      </c>
      <c r="C579" s="41" t="s">
        <v>1782</v>
      </c>
      <c r="D579" s="21" t="s">
        <v>2221</v>
      </c>
      <c r="E579" s="21" t="s">
        <v>2222</v>
      </c>
      <c r="F579" s="24">
        <v>9.2668921191000023E-2</v>
      </c>
      <c r="G579" s="21">
        <v>12</v>
      </c>
      <c r="H579" s="17">
        <v>8.99</v>
      </c>
      <c r="I579" s="43" t="s">
        <v>3950</v>
      </c>
      <c r="J579" s="26"/>
      <c r="K579" s="17">
        <f t="shared" si="54"/>
        <v>0</v>
      </c>
      <c r="N579" s="31" t="str">
        <f t="shared" si="57"/>
        <v>-</v>
      </c>
      <c r="O579" s="31" t="str">
        <f t="shared" si="59"/>
        <v>-</v>
      </c>
      <c r="P579" s="35" t="str">
        <f t="shared" si="58"/>
        <v>-</v>
      </c>
      <c r="Q579" s="32" t="str">
        <f t="shared" si="55"/>
        <v>-</v>
      </c>
      <c r="S579" s="32" t="str">
        <f t="shared" si="56"/>
        <v>-</v>
      </c>
    </row>
    <row r="580" spans="1:19" x14ac:dyDescent="0.3">
      <c r="A580" s="45" t="s">
        <v>2706</v>
      </c>
      <c r="B580" s="40" t="s">
        <v>340</v>
      </c>
      <c r="C580" s="41" t="s">
        <v>1782</v>
      </c>
      <c r="D580" s="21" t="s">
        <v>2245</v>
      </c>
      <c r="E580" s="21" t="s">
        <v>2222</v>
      </c>
      <c r="F580" s="24">
        <v>0.19735048031416669</v>
      </c>
      <c r="G580" s="21">
        <v>12</v>
      </c>
      <c r="H580" s="17">
        <v>20.7</v>
      </c>
      <c r="I580" s="43" t="s">
        <v>3950</v>
      </c>
      <c r="J580" s="26"/>
      <c r="K580" s="17">
        <f t="shared" si="54"/>
        <v>0</v>
      </c>
      <c r="N580" s="31" t="str">
        <f t="shared" si="57"/>
        <v>-</v>
      </c>
      <c r="O580" s="31" t="str">
        <f t="shared" si="59"/>
        <v>-</v>
      </c>
      <c r="P580" s="35" t="str">
        <f t="shared" si="58"/>
        <v>-</v>
      </c>
      <c r="Q580" s="32" t="str">
        <f t="shared" si="55"/>
        <v>-</v>
      </c>
      <c r="S580" s="32" t="str">
        <f t="shared" si="56"/>
        <v>-</v>
      </c>
    </row>
    <row r="581" spans="1:19" x14ac:dyDescent="0.3">
      <c r="A581" s="45" t="s">
        <v>2707</v>
      </c>
      <c r="B581" s="40" t="s">
        <v>1121</v>
      </c>
      <c r="C581" s="41" t="s">
        <v>1783</v>
      </c>
      <c r="D581" s="21" t="s">
        <v>2223</v>
      </c>
      <c r="E581" s="21" t="s">
        <v>2234</v>
      </c>
      <c r="F581" s="24">
        <v>5.4056870694750007E-2</v>
      </c>
      <c r="G581" s="21">
        <v>12</v>
      </c>
      <c r="H581" s="17">
        <v>6.59</v>
      </c>
      <c r="I581" s="43" t="s">
        <v>3950</v>
      </c>
      <c r="J581" s="26"/>
      <c r="K581" s="17">
        <f t="shared" si="54"/>
        <v>0</v>
      </c>
      <c r="N581" s="31" t="str">
        <f t="shared" si="57"/>
        <v>-</v>
      </c>
      <c r="O581" s="31" t="str">
        <f t="shared" si="59"/>
        <v>-</v>
      </c>
      <c r="P581" s="35" t="str">
        <f t="shared" si="58"/>
        <v>-</v>
      </c>
      <c r="Q581" s="32" t="str">
        <f t="shared" si="55"/>
        <v>-</v>
      </c>
      <c r="S581" s="32" t="str">
        <f t="shared" si="56"/>
        <v>-</v>
      </c>
    </row>
    <row r="582" spans="1:19" x14ac:dyDescent="0.3">
      <c r="A582" s="45" t="s">
        <v>2708</v>
      </c>
      <c r="B582" s="40" t="s">
        <v>701</v>
      </c>
      <c r="C582" s="41" t="s">
        <v>1783</v>
      </c>
      <c r="D582" s="21" t="s">
        <v>2224</v>
      </c>
      <c r="E582" s="21" t="s">
        <v>2234</v>
      </c>
      <c r="F582" s="24">
        <v>7.2075827592999991E-2</v>
      </c>
      <c r="G582" s="21">
        <v>12</v>
      </c>
      <c r="H582" s="17">
        <v>12.3</v>
      </c>
      <c r="I582" s="43" t="s">
        <v>3950</v>
      </c>
      <c r="J582" s="26"/>
      <c r="K582" s="17">
        <f t="shared" si="54"/>
        <v>0</v>
      </c>
      <c r="N582" s="31" t="str">
        <f t="shared" si="57"/>
        <v>-</v>
      </c>
      <c r="O582" s="31" t="str">
        <f t="shared" si="59"/>
        <v>-</v>
      </c>
      <c r="P582" s="35" t="str">
        <f t="shared" si="58"/>
        <v>-</v>
      </c>
      <c r="Q582" s="32" t="str">
        <f t="shared" si="55"/>
        <v>-</v>
      </c>
      <c r="S582" s="32" t="str">
        <f t="shared" si="56"/>
        <v>-</v>
      </c>
    </row>
    <row r="583" spans="1:19" x14ac:dyDescent="0.3">
      <c r="A583" s="45" t="s">
        <v>2709</v>
      </c>
      <c r="B583" s="40" t="s">
        <v>889</v>
      </c>
      <c r="C583" s="41" t="s">
        <v>1784</v>
      </c>
      <c r="D583" s="21" t="s">
        <v>2228</v>
      </c>
      <c r="E583" s="21" t="s">
        <v>2229</v>
      </c>
      <c r="F583" s="24">
        <v>9.2668921191000023E-2</v>
      </c>
      <c r="G583" s="21">
        <v>12</v>
      </c>
      <c r="H583" s="17">
        <v>8.39</v>
      </c>
      <c r="I583" s="43" t="s">
        <v>3950</v>
      </c>
      <c r="J583" s="26"/>
      <c r="K583" s="17">
        <f t="shared" si="54"/>
        <v>0</v>
      </c>
      <c r="N583" s="31" t="str">
        <f t="shared" si="57"/>
        <v>-</v>
      </c>
      <c r="O583" s="31" t="str">
        <f t="shared" si="59"/>
        <v>-</v>
      </c>
      <c r="P583" s="35" t="str">
        <f t="shared" si="58"/>
        <v>-</v>
      </c>
      <c r="Q583" s="32" t="str">
        <f t="shared" si="55"/>
        <v>-</v>
      </c>
      <c r="S583" s="32" t="str">
        <f t="shared" si="56"/>
        <v>-</v>
      </c>
    </row>
    <row r="584" spans="1:19" x14ac:dyDescent="0.3">
      <c r="A584" s="45" t="s">
        <v>2710</v>
      </c>
      <c r="B584" s="40" t="s">
        <v>1396</v>
      </c>
      <c r="C584" s="41" t="s">
        <v>1785</v>
      </c>
      <c r="D584" s="21" t="s">
        <v>2225</v>
      </c>
      <c r="E584" s="21" t="s">
        <v>2222</v>
      </c>
      <c r="F584" s="24">
        <v>7.1217782026416682E-2</v>
      </c>
      <c r="G584" s="21">
        <v>12</v>
      </c>
      <c r="H584" s="17">
        <v>8.99</v>
      </c>
      <c r="I584" s="43" t="s">
        <v>3950</v>
      </c>
      <c r="J584" s="26"/>
      <c r="K584" s="17">
        <f t="shared" si="54"/>
        <v>0</v>
      </c>
      <c r="N584" s="31" t="str">
        <f t="shared" si="57"/>
        <v>-</v>
      </c>
      <c r="O584" s="31" t="str">
        <f t="shared" si="59"/>
        <v>-</v>
      </c>
      <c r="P584" s="35" t="str">
        <f t="shared" si="58"/>
        <v>-</v>
      </c>
      <c r="Q584" s="32" t="str">
        <f t="shared" si="55"/>
        <v>-</v>
      </c>
      <c r="S584" s="32" t="str">
        <f t="shared" si="56"/>
        <v>-</v>
      </c>
    </row>
    <row r="585" spans="1:19" x14ac:dyDescent="0.3">
      <c r="A585" s="45" t="s">
        <v>2711</v>
      </c>
      <c r="B585" s="40" t="s">
        <v>897</v>
      </c>
      <c r="C585" s="41" t="s">
        <v>1785</v>
      </c>
      <c r="D585" s="21" t="s">
        <v>2226</v>
      </c>
      <c r="E585" s="21" t="s">
        <v>2222</v>
      </c>
      <c r="F585" s="24">
        <v>0.11969735653837503</v>
      </c>
      <c r="G585" s="21">
        <v>12</v>
      </c>
      <c r="H585" s="17">
        <v>16.79</v>
      </c>
      <c r="I585" s="43" t="s">
        <v>3950</v>
      </c>
      <c r="J585" s="26"/>
      <c r="K585" s="17">
        <f t="shared" si="54"/>
        <v>0</v>
      </c>
      <c r="N585" s="31" t="str">
        <f t="shared" si="57"/>
        <v>-</v>
      </c>
      <c r="O585" s="31" t="str">
        <f t="shared" si="59"/>
        <v>-</v>
      </c>
      <c r="P585" s="35" t="str">
        <f t="shared" si="58"/>
        <v>-</v>
      </c>
      <c r="Q585" s="32" t="str">
        <f t="shared" si="55"/>
        <v>-</v>
      </c>
      <c r="S585" s="32" t="str">
        <f t="shared" si="56"/>
        <v>-</v>
      </c>
    </row>
    <row r="586" spans="1:19" x14ac:dyDescent="0.3">
      <c r="A586" s="45" t="s">
        <v>2712</v>
      </c>
      <c r="B586" s="40" t="s">
        <v>216</v>
      </c>
      <c r="C586" s="41" t="s">
        <v>1786</v>
      </c>
      <c r="D586" s="21" t="s">
        <v>2221</v>
      </c>
      <c r="E586" s="21" t="s">
        <v>2232</v>
      </c>
      <c r="F586" s="24">
        <v>0.25655562440841673</v>
      </c>
      <c r="G586" s="21">
        <v>12</v>
      </c>
      <c r="H586" s="17">
        <v>11.1</v>
      </c>
      <c r="I586" s="43" t="s">
        <v>3950</v>
      </c>
      <c r="J586" s="26"/>
      <c r="K586" s="17">
        <f t="shared" si="54"/>
        <v>0</v>
      </c>
      <c r="N586" s="31" t="str">
        <f t="shared" si="57"/>
        <v>-</v>
      </c>
      <c r="O586" s="31" t="str">
        <f t="shared" si="59"/>
        <v>-</v>
      </c>
      <c r="P586" s="35" t="str">
        <f t="shared" si="58"/>
        <v>-</v>
      </c>
      <c r="Q586" s="32" t="str">
        <f t="shared" si="55"/>
        <v>-</v>
      </c>
      <c r="S586" s="32" t="str">
        <f t="shared" si="56"/>
        <v>-</v>
      </c>
    </row>
    <row r="587" spans="1:19" x14ac:dyDescent="0.3">
      <c r="A587" s="45" t="s">
        <v>2713</v>
      </c>
      <c r="B587" s="40" t="s">
        <v>1084</v>
      </c>
      <c r="C587" s="41" t="s">
        <v>1786</v>
      </c>
      <c r="D587" s="21" t="s">
        <v>2242</v>
      </c>
      <c r="E587" s="21" t="s">
        <v>2232</v>
      </c>
      <c r="F587" s="24">
        <v>0.48393769955300003</v>
      </c>
      <c r="G587" s="21">
        <v>12</v>
      </c>
      <c r="H587" s="17">
        <v>21.3</v>
      </c>
      <c r="I587" s="43" t="s">
        <v>3950</v>
      </c>
      <c r="J587" s="26"/>
      <c r="K587" s="17">
        <f t="shared" si="54"/>
        <v>0</v>
      </c>
      <c r="N587" s="31" t="str">
        <f t="shared" si="57"/>
        <v>-</v>
      </c>
      <c r="O587" s="31" t="str">
        <f t="shared" si="59"/>
        <v>-</v>
      </c>
      <c r="P587" s="35" t="str">
        <f t="shared" si="58"/>
        <v>-</v>
      </c>
      <c r="Q587" s="32" t="str">
        <f t="shared" si="55"/>
        <v>-</v>
      </c>
      <c r="S587" s="32" t="str">
        <f t="shared" si="56"/>
        <v>-</v>
      </c>
    </row>
    <row r="588" spans="1:19" x14ac:dyDescent="0.3">
      <c r="A588" s="45" t="s">
        <v>2714</v>
      </c>
      <c r="B588" s="40" t="s">
        <v>1022</v>
      </c>
      <c r="C588" s="41" t="s">
        <v>1786</v>
      </c>
      <c r="D588" s="21" t="s">
        <v>2246</v>
      </c>
      <c r="E588" s="21" t="s">
        <v>2232</v>
      </c>
      <c r="F588" s="24">
        <v>1.0553960468975003</v>
      </c>
      <c r="G588" s="21">
        <v>12</v>
      </c>
      <c r="H588" s="17">
        <v>49.19</v>
      </c>
      <c r="I588" s="43" t="s">
        <v>3950</v>
      </c>
      <c r="J588" s="26"/>
      <c r="K588" s="17">
        <f t="shared" si="54"/>
        <v>0</v>
      </c>
      <c r="N588" s="31" t="str">
        <f t="shared" si="57"/>
        <v>-</v>
      </c>
      <c r="O588" s="31" t="str">
        <f t="shared" si="59"/>
        <v>-</v>
      </c>
      <c r="P588" s="35" t="str">
        <f t="shared" si="58"/>
        <v>-</v>
      </c>
      <c r="Q588" s="32" t="str">
        <f t="shared" si="55"/>
        <v>-</v>
      </c>
      <c r="S588" s="32" t="str">
        <f t="shared" si="56"/>
        <v>-</v>
      </c>
    </row>
    <row r="589" spans="1:19" x14ac:dyDescent="0.3">
      <c r="A589" s="45" t="s">
        <v>2715</v>
      </c>
      <c r="B589" s="40" t="s">
        <v>925</v>
      </c>
      <c r="C589" s="41" t="s">
        <v>1787</v>
      </c>
      <c r="D589" s="21" t="s">
        <v>2225</v>
      </c>
      <c r="E589" s="21" t="s">
        <v>2232</v>
      </c>
      <c r="F589" s="24">
        <v>0.22909816627775001</v>
      </c>
      <c r="G589" s="21">
        <v>12</v>
      </c>
      <c r="H589" s="17">
        <v>14.7</v>
      </c>
      <c r="I589" s="43" t="s">
        <v>3950</v>
      </c>
      <c r="J589" s="26"/>
      <c r="K589" s="17">
        <f t="shared" si="54"/>
        <v>0</v>
      </c>
      <c r="N589" s="31" t="str">
        <f t="shared" si="57"/>
        <v>-</v>
      </c>
      <c r="O589" s="31" t="str">
        <f t="shared" si="59"/>
        <v>-</v>
      </c>
      <c r="P589" s="35" t="str">
        <f t="shared" si="58"/>
        <v>-</v>
      </c>
      <c r="Q589" s="32" t="str">
        <f t="shared" si="55"/>
        <v>-</v>
      </c>
      <c r="S589" s="32" t="str">
        <f t="shared" si="56"/>
        <v>-</v>
      </c>
    </row>
    <row r="590" spans="1:19" x14ac:dyDescent="0.3">
      <c r="A590" s="45" t="s">
        <v>2716</v>
      </c>
      <c r="B590" s="40" t="s">
        <v>560</v>
      </c>
      <c r="C590" s="41" t="s">
        <v>1787</v>
      </c>
      <c r="D590" s="21" t="s">
        <v>2226</v>
      </c>
      <c r="E590" s="21" t="s">
        <v>2232</v>
      </c>
      <c r="F590" s="24">
        <v>0.42945180607495836</v>
      </c>
      <c r="G590" s="21">
        <v>12</v>
      </c>
      <c r="H590" s="17">
        <v>28.19</v>
      </c>
      <c r="I590" s="43" t="s">
        <v>3950</v>
      </c>
      <c r="J590" s="26"/>
      <c r="K590" s="17">
        <f t="shared" si="54"/>
        <v>0</v>
      </c>
      <c r="N590" s="31" t="str">
        <f t="shared" si="57"/>
        <v>-</v>
      </c>
      <c r="O590" s="31" t="str">
        <f t="shared" si="59"/>
        <v>-</v>
      </c>
      <c r="P590" s="35" t="str">
        <f t="shared" si="58"/>
        <v>-</v>
      </c>
      <c r="Q590" s="32" t="str">
        <f t="shared" si="55"/>
        <v>-</v>
      </c>
      <c r="S590" s="32" t="str">
        <f t="shared" si="56"/>
        <v>-</v>
      </c>
    </row>
    <row r="591" spans="1:19" x14ac:dyDescent="0.3">
      <c r="A591" s="45" t="s">
        <v>2721</v>
      </c>
      <c r="B591" s="40" t="s">
        <v>702</v>
      </c>
      <c r="C591" s="41" t="s">
        <v>1789</v>
      </c>
      <c r="D591" s="21" t="s">
        <v>2224</v>
      </c>
      <c r="E591" s="21" t="s">
        <v>2222</v>
      </c>
      <c r="F591" s="24">
        <v>0.14157751848625</v>
      </c>
      <c r="G591" s="21">
        <v>12</v>
      </c>
      <c r="H591" s="17">
        <v>13.05</v>
      </c>
      <c r="I591" s="43" t="s">
        <v>3950</v>
      </c>
      <c r="J591" s="26"/>
      <c r="K591" s="17">
        <f t="shared" si="54"/>
        <v>0</v>
      </c>
      <c r="N591" s="31" t="str">
        <f t="shared" si="57"/>
        <v>-</v>
      </c>
      <c r="O591" s="31" t="str">
        <f t="shared" si="59"/>
        <v>-</v>
      </c>
      <c r="P591" s="35" t="str">
        <f t="shared" si="58"/>
        <v>-</v>
      </c>
      <c r="Q591" s="32" t="str">
        <f t="shared" si="55"/>
        <v>-</v>
      </c>
      <c r="S591" s="32" t="str">
        <f t="shared" si="56"/>
        <v>-</v>
      </c>
    </row>
    <row r="592" spans="1:19" x14ac:dyDescent="0.3">
      <c r="A592" s="45" t="s">
        <v>2722</v>
      </c>
      <c r="B592" s="40" t="s">
        <v>1506</v>
      </c>
      <c r="C592" s="41" t="s">
        <v>1789</v>
      </c>
      <c r="D592" s="21" t="s">
        <v>2227</v>
      </c>
      <c r="E592" s="21" t="s">
        <v>2222</v>
      </c>
      <c r="F592" s="24">
        <v>0.25998780667475002</v>
      </c>
      <c r="G592" s="21">
        <v>12</v>
      </c>
      <c r="H592" s="17">
        <v>25.19</v>
      </c>
      <c r="I592" s="43" t="s">
        <v>3950</v>
      </c>
      <c r="J592" s="26"/>
      <c r="K592" s="17">
        <f t="shared" si="54"/>
        <v>0</v>
      </c>
      <c r="N592" s="31" t="str">
        <f t="shared" si="57"/>
        <v>-</v>
      </c>
      <c r="O592" s="31" t="str">
        <f t="shared" si="59"/>
        <v>-</v>
      </c>
      <c r="P592" s="35" t="str">
        <f t="shared" si="58"/>
        <v>-</v>
      </c>
      <c r="Q592" s="32" t="str">
        <f t="shared" si="55"/>
        <v>-</v>
      </c>
      <c r="S592" s="32" t="str">
        <f t="shared" si="56"/>
        <v>-</v>
      </c>
    </row>
    <row r="593" spans="1:19" x14ac:dyDescent="0.3">
      <c r="A593" s="45" t="s">
        <v>2723</v>
      </c>
      <c r="B593" s="40" t="s">
        <v>1507</v>
      </c>
      <c r="C593" s="41" t="s">
        <v>1790</v>
      </c>
      <c r="D593" s="21" t="s">
        <v>2235</v>
      </c>
      <c r="E593" s="21" t="s">
        <v>2240</v>
      </c>
      <c r="F593" s="24">
        <v>0.18705393351516672</v>
      </c>
      <c r="G593" s="21">
        <v>12</v>
      </c>
      <c r="H593" s="17">
        <v>8.5500000000000007</v>
      </c>
      <c r="I593" s="43" t="s">
        <v>3950</v>
      </c>
      <c r="J593" s="26"/>
      <c r="K593" s="17">
        <f t="shared" si="54"/>
        <v>0</v>
      </c>
      <c r="N593" s="31" t="str">
        <f t="shared" si="57"/>
        <v>-</v>
      </c>
      <c r="O593" s="31" t="str">
        <f t="shared" si="59"/>
        <v>-</v>
      </c>
      <c r="P593" s="35" t="str">
        <f t="shared" si="58"/>
        <v>-</v>
      </c>
      <c r="Q593" s="32" t="str">
        <f t="shared" si="55"/>
        <v>-</v>
      </c>
      <c r="S593" s="32" t="str">
        <f t="shared" si="56"/>
        <v>-</v>
      </c>
    </row>
    <row r="594" spans="1:19" x14ac:dyDescent="0.3">
      <c r="A594" s="45" t="s">
        <v>2724</v>
      </c>
      <c r="B594" s="40" t="s">
        <v>1508</v>
      </c>
      <c r="C594" s="41" t="s">
        <v>1790</v>
      </c>
      <c r="D594" s="21" t="s">
        <v>2236</v>
      </c>
      <c r="E594" s="21" t="s">
        <v>2240</v>
      </c>
      <c r="F594" s="24">
        <v>0.35222770508245843</v>
      </c>
      <c r="G594" s="21">
        <v>12</v>
      </c>
      <c r="H594" s="17">
        <v>16.190000000000001</v>
      </c>
      <c r="I594" s="43" t="s">
        <v>3950</v>
      </c>
      <c r="J594" s="26"/>
      <c r="K594" s="17">
        <f t="shared" si="54"/>
        <v>0</v>
      </c>
      <c r="N594" s="31" t="str">
        <f t="shared" si="57"/>
        <v>-</v>
      </c>
      <c r="O594" s="31" t="str">
        <f t="shared" si="59"/>
        <v>-</v>
      </c>
      <c r="P594" s="35" t="str">
        <f t="shared" si="58"/>
        <v>-</v>
      </c>
      <c r="Q594" s="32" t="str">
        <f t="shared" si="55"/>
        <v>-</v>
      </c>
      <c r="S594" s="32" t="str">
        <f t="shared" si="56"/>
        <v>-</v>
      </c>
    </row>
    <row r="595" spans="1:19" x14ac:dyDescent="0.3">
      <c r="A595" s="45" t="s">
        <v>2728</v>
      </c>
      <c r="B595" s="40" t="s">
        <v>1512</v>
      </c>
      <c r="C595" s="41" t="s">
        <v>1790</v>
      </c>
      <c r="D595" s="21" t="s">
        <v>2241</v>
      </c>
      <c r="E595" s="21" t="s">
        <v>2240</v>
      </c>
      <c r="F595" s="24">
        <v>0.65769192678612498</v>
      </c>
      <c r="G595" s="21">
        <v>12</v>
      </c>
      <c r="H595" s="17">
        <v>28.79</v>
      </c>
      <c r="I595" s="43" t="s">
        <v>3950</v>
      </c>
      <c r="J595" s="26"/>
      <c r="K595" s="17">
        <f t="shared" si="54"/>
        <v>0</v>
      </c>
      <c r="N595" s="31" t="str">
        <f t="shared" si="57"/>
        <v>-</v>
      </c>
      <c r="O595" s="31" t="str">
        <f t="shared" si="59"/>
        <v>-</v>
      </c>
      <c r="P595" s="35" t="str">
        <f t="shared" si="58"/>
        <v>-</v>
      </c>
      <c r="Q595" s="32" t="str">
        <f t="shared" si="55"/>
        <v>-</v>
      </c>
      <c r="S595" s="32" t="str">
        <f t="shared" si="56"/>
        <v>-</v>
      </c>
    </row>
    <row r="596" spans="1:19" x14ac:dyDescent="0.3">
      <c r="A596" s="45" t="s">
        <v>2729</v>
      </c>
      <c r="B596" s="40" t="s">
        <v>1513</v>
      </c>
      <c r="C596" s="41" t="s">
        <v>1792</v>
      </c>
      <c r="D596" s="21" t="s">
        <v>2224</v>
      </c>
      <c r="E596" s="21" t="s">
        <v>2222</v>
      </c>
      <c r="F596" s="24">
        <v>0.15702233868474999</v>
      </c>
      <c r="G596" s="21">
        <v>12</v>
      </c>
      <c r="H596" s="17">
        <v>7.95</v>
      </c>
      <c r="I596" s="43" t="s">
        <v>3950</v>
      </c>
      <c r="J596" s="26"/>
      <c r="K596" s="17">
        <f t="shared" si="54"/>
        <v>0</v>
      </c>
      <c r="N596" s="31" t="str">
        <f t="shared" si="57"/>
        <v>-</v>
      </c>
      <c r="O596" s="31" t="str">
        <f t="shared" si="59"/>
        <v>-</v>
      </c>
      <c r="P596" s="35" t="str">
        <f t="shared" si="58"/>
        <v>-</v>
      </c>
      <c r="Q596" s="32" t="str">
        <f t="shared" si="55"/>
        <v>-</v>
      </c>
      <c r="S596" s="32" t="str">
        <f t="shared" si="56"/>
        <v>-</v>
      </c>
    </row>
    <row r="597" spans="1:19" x14ac:dyDescent="0.3">
      <c r="A597" s="45" t="s">
        <v>2730</v>
      </c>
      <c r="B597" s="40" t="s">
        <v>1514</v>
      </c>
      <c r="C597" s="41" t="s">
        <v>1792</v>
      </c>
      <c r="D597" s="21" t="s">
        <v>2227</v>
      </c>
      <c r="E597" s="21" t="s">
        <v>2222</v>
      </c>
      <c r="F597" s="24">
        <v>0.29087744707175006</v>
      </c>
      <c r="G597" s="21">
        <v>12</v>
      </c>
      <c r="H597" s="17">
        <v>14.99</v>
      </c>
      <c r="I597" s="43" t="s">
        <v>3950</v>
      </c>
      <c r="J597" s="26"/>
      <c r="K597" s="17">
        <f t="shared" si="54"/>
        <v>0</v>
      </c>
      <c r="N597" s="31" t="str">
        <f t="shared" si="57"/>
        <v>-</v>
      </c>
      <c r="O597" s="31" t="str">
        <f t="shared" si="59"/>
        <v>-</v>
      </c>
      <c r="P597" s="35" t="str">
        <f t="shared" si="58"/>
        <v>-</v>
      </c>
      <c r="Q597" s="32" t="str">
        <f t="shared" si="55"/>
        <v>-</v>
      </c>
      <c r="S597" s="32" t="str">
        <f t="shared" si="56"/>
        <v>-</v>
      </c>
    </row>
    <row r="598" spans="1:19" x14ac:dyDescent="0.3">
      <c r="A598" s="45" t="s">
        <v>2731</v>
      </c>
      <c r="B598" s="40" t="s">
        <v>378</v>
      </c>
      <c r="C598" s="41" t="s">
        <v>1793</v>
      </c>
      <c r="D598" s="21" t="s">
        <v>2224</v>
      </c>
      <c r="E598" s="21" t="s">
        <v>2222</v>
      </c>
      <c r="F598" s="24">
        <v>4.5476415028916667E-2</v>
      </c>
      <c r="G598" s="21">
        <v>12</v>
      </c>
      <c r="H598" s="17">
        <v>5.25</v>
      </c>
      <c r="I598" s="43" t="s">
        <v>3950</v>
      </c>
      <c r="J598" s="26"/>
      <c r="K598" s="17">
        <f t="shared" si="54"/>
        <v>0</v>
      </c>
      <c r="N598" s="31" t="str">
        <f t="shared" si="57"/>
        <v>-</v>
      </c>
      <c r="O598" s="31" t="str">
        <f t="shared" si="59"/>
        <v>-</v>
      </c>
      <c r="P598" s="35" t="str">
        <f t="shared" si="58"/>
        <v>-</v>
      </c>
      <c r="Q598" s="32" t="str">
        <f t="shared" si="55"/>
        <v>-</v>
      </c>
      <c r="S598" s="32" t="str">
        <f t="shared" si="56"/>
        <v>-</v>
      </c>
    </row>
    <row r="599" spans="1:19" x14ac:dyDescent="0.3">
      <c r="A599" s="45" t="s">
        <v>2732</v>
      </c>
      <c r="B599" s="40" t="s">
        <v>1087</v>
      </c>
      <c r="C599" s="41" t="s">
        <v>1793</v>
      </c>
      <c r="D599" s="21" t="s">
        <v>2227</v>
      </c>
      <c r="E599" s="21" t="s">
        <v>2222</v>
      </c>
      <c r="F599" s="24">
        <v>6.0921235227416673E-2</v>
      </c>
      <c r="G599" s="21">
        <v>12</v>
      </c>
      <c r="H599" s="17">
        <v>9.59</v>
      </c>
      <c r="I599" s="43" t="s">
        <v>3950</v>
      </c>
      <c r="J599" s="26"/>
      <c r="K599" s="17">
        <f t="shared" si="54"/>
        <v>0</v>
      </c>
      <c r="N599" s="31" t="str">
        <f t="shared" si="57"/>
        <v>-</v>
      </c>
      <c r="O599" s="31" t="str">
        <f t="shared" si="59"/>
        <v>-</v>
      </c>
      <c r="P599" s="35" t="str">
        <f t="shared" si="58"/>
        <v>-</v>
      </c>
      <c r="Q599" s="32" t="str">
        <f t="shared" si="55"/>
        <v>-</v>
      </c>
      <c r="S599" s="32" t="str">
        <f t="shared" si="56"/>
        <v>-</v>
      </c>
    </row>
    <row r="600" spans="1:19" x14ac:dyDescent="0.3">
      <c r="A600" s="45" t="s">
        <v>2733</v>
      </c>
      <c r="B600" s="40" t="s">
        <v>602</v>
      </c>
      <c r="C600" s="41" t="s">
        <v>1794</v>
      </c>
      <c r="D600" s="21" t="s">
        <v>2221</v>
      </c>
      <c r="E600" s="21" t="s">
        <v>2222</v>
      </c>
      <c r="F600" s="24">
        <v>5.5772961827916676E-2</v>
      </c>
      <c r="G600" s="21">
        <v>12</v>
      </c>
      <c r="H600" s="17">
        <v>4.5</v>
      </c>
      <c r="I600" s="43" t="s">
        <v>3950</v>
      </c>
      <c r="J600" s="26"/>
      <c r="K600" s="17">
        <f t="shared" si="54"/>
        <v>0</v>
      </c>
      <c r="N600" s="31" t="str">
        <f t="shared" si="57"/>
        <v>-</v>
      </c>
      <c r="O600" s="31" t="str">
        <f t="shared" si="59"/>
        <v>-</v>
      </c>
      <c r="P600" s="35" t="str">
        <f t="shared" si="58"/>
        <v>-</v>
      </c>
      <c r="Q600" s="32" t="str">
        <f t="shared" si="55"/>
        <v>-</v>
      </c>
      <c r="S600" s="32" t="str">
        <f t="shared" si="56"/>
        <v>-</v>
      </c>
    </row>
    <row r="601" spans="1:19" x14ac:dyDescent="0.3">
      <c r="A601" s="45" t="s">
        <v>2734</v>
      </c>
      <c r="B601" s="40" t="s">
        <v>36</v>
      </c>
      <c r="C601" s="41" t="s">
        <v>1795</v>
      </c>
      <c r="D601" s="21" t="s">
        <v>2224</v>
      </c>
      <c r="E601" s="21" t="s">
        <v>2222</v>
      </c>
      <c r="F601" s="24">
        <v>8.7520647791500011E-2</v>
      </c>
      <c r="G601" s="21">
        <v>12</v>
      </c>
      <c r="H601" s="17">
        <v>9.3000000000000007</v>
      </c>
      <c r="I601" s="43" t="s">
        <v>3950</v>
      </c>
      <c r="J601" s="26"/>
      <c r="K601" s="17">
        <f t="shared" si="54"/>
        <v>0</v>
      </c>
      <c r="N601" s="31" t="str">
        <f t="shared" si="57"/>
        <v>-</v>
      </c>
      <c r="O601" s="31" t="str">
        <f t="shared" si="59"/>
        <v>-</v>
      </c>
      <c r="P601" s="35" t="str">
        <f t="shared" si="58"/>
        <v>-</v>
      </c>
      <c r="Q601" s="32" t="str">
        <f t="shared" si="55"/>
        <v>-</v>
      </c>
      <c r="S601" s="32" t="str">
        <f t="shared" si="56"/>
        <v>-</v>
      </c>
    </row>
    <row r="602" spans="1:19" x14ac:dyDescent="0.3">
      <c r="A602" s="45" t="s">
        <v>2735</v>
      </c>
      <c r="B602" s="40" t="s">
        <v>608</v>
      </c>
      <c r="C602" s="41" t="s">
        <v>1796</v>
      </c>
      <c r="D602" s="21" t="s">
        <v>2227</v>
      </c>
      <c r="E602" s="21" t="s">
        <v>2232</v>
      </c>
      <c r="F602" s="24">
        <v>0.1381453362199167</v>
      </c>
      <c r="G602" s="21">
        <v>12</v>
      </c>
      <c r="H602" s="17">
        <v>55.19</v>
      </c>
      <c r="I602" s="43" t="s">
        <v>3950</v>
      </c>
      <c r="J602" s="26"/>
      <c r="K602" s="17">
        <f t="shared" si="54"/>
        <v>0</v>
      </c>
      <c r="N602" s="31" t="str">
        <f t="shared" si="57"/>
        <v>-</v>
      </c>
      <c r="O602" s="31" t="str">
        <f t="shared" si="59"/>
        <v>-</v>
      </c>
      <c r="P602" s="35" t="str">
        <f t="shared" si="58"/>
        <v>-</v>
      </c>
      <c r="Q602" s="32" t="str">
        <f t="shared" si="55"/>
        <v>-</v>
      </c>
      <c r="S602" s="32" t="str">
        <f t="shared" si="56"/>
        <v>-</v>
      </c>
    </row>
    <row r="603" spans="1:19" x14ac:dyDescent="0.3">
      <c r="A603" s="45" t="s">
        <v>2736</v>
      </c>
      <c r="B603" s="40" t="s">
        <v>1515</v>
      </c>
      <c r="C603" s="41" t="s">
        <v>1797</v>
      </c>
      <c r="D603" s="21" t="s">
        <v>2224</v>
      </c>
      <c r="E603" s="21" t="s">
        <v>2234</v>
      </c>
      <c r="F603" s="24">
        <v>7.7224100992499989E-2</v>
      </c>
      <c r="G603" s="21">
        <v>12</v>
      </c>
      <c r="H603" s="17">
        <v>7.5</v>
      </c>
      <c r="I603" s="43" t="s">
        <v>3950</v>
      </c>
      <c r="J603" s="26"/>
      <c r="K603" s="17">
        <f t="shared" si="54"/>
        <v>0</v>
      </c>
      <c r="N603" s="31" t="str">
        <f t="shared" si="57"/>
        <v>-</v>
      </c>
      <c r="O603" s="31" t="str">
        <f t="shared" si="59"/>
        <v>-</v>
      </c>
      <c r="P603" s="35" t="str">
        <f t="shared" si="58"/>
        <v>-</v>
      </c>
      <c r="Q603" s="32" t="str">
        <f t="shared" si="55"/>
        <v>-</v>
      </c>
      <c r="S603" s="32" t="str">
        <f t="shared" si="56"/>
        <v>-</v>
      </c>
    </row>
    <row r="604" spans="1:19" x14ac:dyDescent="0.3">
      <c r="A604" s="45" t="s">
        <v>2737</v>
      </c>
      <c r="B604" s="40" t="s">
        <v>1516</v>
      </c>
      <c r="C604" s="41" t="s">
        <v>1797</v>
      </c>
      <c r="D604" s="21" t="s">
        <v>2227</v>
      </c>
      <c r="E604" s="21" t="s">
        <v>2234</v>
      </c>
      <c r="F604" s="24">
        <v>0.12784878942091665</v>
      </c>
      <c r="G604" s="21">
        <v>12</v>
      </c>
      <c r="H604" s="17">
        <v>14.1</v>
      </c>
      <c r="I604" s="43" t="s">
        <v>3950</v>
      </c>
      <c r="J604" s="26"/>
      <c r="K604" s="17">
        <f t="shared" si="54"/>
        <v>0</v>
      </c>
      <c r="N604" s="31" t="str">
        <f t="shared" si="57"/>
        <v>-</v>
      </c>
      <c r="O604" s="31" t="str">
        <f t="shared" si="59"/>
        <v>-</v>
      </c>
      <c r="P604" s="35" t="str">
        <f t="shared" si="58"/>
        <v>-</v>
      </c>
      <c r="Q604" s="32" t="str">
        <f t="shared" si="55"/>
        <v>-</v>
      </c>
      <c r="S604" s="32" t="str">
        <f t="shared" si="56"/>
        <v>-</v>
      </c>
    </row>
    <row r="605" spans="1:19" x14ac:dyDescent="0.3">
      <c r="A605" s="45" t="s">
        <v>2738</v>
      </c>
      <c r="B605" s="40" t="s">
        <v>37</v>
      </c>
      <c r="C605" s="41" t="s">
        <v>1795</v>
      </c>
      <c r="D605" s="21" t="s">
        <v>2227</v>
      </c>
      <c r="E605" s="21" t="s">
        <v>2222</v>
      </c>
      <c r="F605" s="24">
        <v>0.15873842981791667</v>
      </c>
      <c r="G605" s="21">
        <v>12</v>
      </c>
      <c r="H605" s="17">
        <v>17.39</v>
      </c>
      <c r="I605" s="43" t="s">
        <v>3950</v>
      </c>
      <c r="J605" s="26"/>
      <c r="K605" s="17">
        <f t="shared" si="54"/>
        <v>0</v>
      </c>
      <c r="N605" s="31" t="str">
        <f t="shared" si="57"/>
        <v>-</v>
      </c>
      <c r="O605" s="31" t="str">
        <f t="shared" si="59"/>
        <v>-</v>
      </c>
      <c r="P605" s="35" t="str">
        <f t="shared" si="58"/>
        <v>-</v>
      </c>
      <c r="Q605" s="32" t="str">
        <f t="shared" si="55"/>
        <v>-</v>
      </c>
      <c r="S605" s="32" t="str">
        <f t="shared" si="56"/>
        <v>-</v>
      </c>
    </row>
    <row r="606" spans="1:19" x14ac:dyDescent="0.3">
      <c r="A606" s="45" t="s">
        <v>2739</v>
      </c>
      <c r="B606" s="40" t="s">
        <v>1370</v>
      </c>
      <c r="C606" s="41" t="s">
        <v>1794</v>
      </c>
      <c r="D606" s="21" t="s">
        <v>2245</v>
      </c>
      <c r="E606" s="21" t="s">
        <v>2222</v>
      </c>
      <c r="F606" s="24">
        <v>0.10425253633987501</v>
      </c>
      <c r="G606" s="21">
        <v>12</v>
      </c>
      <c r="H606" s="17">
        <v>10.5</v>
      </c>
      <c r="I606" s="43" t="s">
        <v>3950</v>
      </c>
      <c r="J606" s="26"/>
      <c r="K606" s="17">
        <f t="shared" si="54"/>
        <v>0</v>
      </c>
      <c r="N606" s="31" t="str">
        <f t="shared" si="57"/>
        <v>-</v>
      </c>
      <c r="O606" s="31" t="str">
        <f t="shared" si="59"/>
        <v>-</v>
      </c>
      <c r="P606" s="35" t="str">
        <f t="shared" si="58"/>
        <v>-</v>
      </c>
      <c r="Q606" s="32" t="str">
        <f t="shared" si="55"/>
        <v>-</v>
      </c>
      <c r="S606" s="32" t="str">
        <f t="shared" si="56"/>
        <v>-</v>
      </c>
    </row>
    <row r="607" spans="1:19" x14ac:dyDescent="0.3">
      <c r="A607" s="45" t="s">
        <v>2740</v>
      </c>
      <c r="B607" s="40" t="s">
        <v>607</v>
      </c>
      <c r="C607" s="41" t="s">
        <v>1798</v>
      </c>
      <c r="D607" s="21" t="s">
        <v>2241</v>
      </c>
      <c r="E607" s="21" t="s">
        <v>2240</v>
      </c>
      <c r="F607" s="24">
        <v>0.62680228638912505</v>
      </c>
      <c r="G607" s="21">
        <v>12</v>
      </c>
      <c r="H607" s="17">
        <v>13.19</v>
      </c>
      <c r="I607" s="43" t="s">
        <v>3950</v>
      </c>
      <c r="J607" s="26"/>
      <c r="K607" s="17">
        <f t="shared" si="54"/>
        <v>0</v>
      </c>
      <c r="N607" s="31" t="str">
        <f t="shared" si="57"/>
        <v>-</v>
      </c>
      <c r="O607" s="31" t="str">
        <f t="shared" si="59"/>
        <v>-</v>
      </c>
      <c r="P607" s="35" t="str">
        <f t="shared" si="58"/>
        <v>-</v>
      </c>
      <c r="Q607" s="32" t="str">
        <f t="shared" si="55"/>
        <v>-</v>
      </c>
      <c r="S607" s="32" t="str">
        <f t="shared" si="56"/>
        <v>-</v>
      </c>
    </row>
    <row r="608" spans="1:19" x14ac:dyDescent="0.3">
      <c r="A608" s="45" t="s">
        <v>2741</v>
      </c>
      <c r="B608" s="40" t="s">
        <v>1445</v>
      </c>
      <c r="C608" s="41" t="s">
        <v>1799</v>
      </c>
      <c r="D608" s="21" t="s">
        <v>2224</v>
      </c>
      <c r="E608" s="21" t="s">
        <v>2238</v>
      </c>
      <c r="F608" s="24">
        <v>6.1779280794000004E-2</v>
      </c>
      <c r="G608" s="21">
        <v>12</v>
      </c>
      <c r="H608" s="17">
        <v>5.0999999999999996</v>
      </c>
      <c r="I608" s="43" t="s">
        <v>3950</v>
      </c>
      <c r="J608" s="26"/>
      <c r="K608" s="17">
        <f t="shared" si="54"/>
        <v>0</v>
      </c>
      <c r="N608" s="31" t="str">
        <f t="shared" si="57"/>
        <v>-</v>
      </c>
      <c r="O608" s="31" t="str">
        <f t="shared" si="59"/>
        <v>-</v>
      </c>
      <c r="P608" s="35" t="str">
        <f t="shared" si="58"/>
        <v>-</v>
      </c>
      <c r="Q608" s="32" t="str">
        <f t="shared" si="55"/>
        <v>-</v>
      </c>
      <c r="S608" s="32" t="str">
        <f t="shared" si="56"/>
        <v>-</v>
      </c>
    </row>
    <row r="609" spans="1:19" x14ac:dyDescent="0.3">
      <c r="A609" s="45" t="s">
        <v>2742</v>
      </c>
      <c r="B609" s="40" t="s">
        <v>9</v>
      </c>
      <c r="C609" s="41" t="s">
        <v>1799</v>
      </c>
      <c r="D609" s="21" t="s">
        <v>2227</v>
      </c>
      <c r="E609" s="21" t="s">
        <v>2238</v>
      </c>
      <c r="F609" s="24">
        <v>7.7224100992499989E-2</v>
      </c>
      <c r="G609" s="21">
        <v>12</v>
      </c>
      <c r="H609" s="17">
        <v>9.59</v>
      </c>
      <c r="I609" s="43" t="s">
        <v>3950</v>
      </c>
      <c r="J609" s="26"/>
      <c r="K609" s="17">
        <f t="shared" si="54"/>
        <v>0</v>
      </c>
      <c r="N609" s="31" t="str">
        <f t="shared" si="57"/>
        <v>-</v>
      </c>
      <c r="O609" s="31" t="str">
        <f t="shared" si="59"/>
        <v>-</v>
      </c>
      <c r="P609" s="35" t="str">
        <f t="shared" si="58"/>
        <v>-</v>
      </c>
      <c r="Q609" s="32" t="str">
        <f t="shared" si="55"/>
        <v>-</v>
      </c>
      <c r="S609" s="32" t="str">
        <f t="shared" si="56"/>
        <v>-</v>
      </c>
    </row>
    <row r="610" spans="1:19" x14ac:dyDescent="0.3">
      <c r="A610" s="45" t="s">
        <v>2743</v>
      </c>
      <c r="B610" s="40" t="s">
        <v>67</v>
      </c>
      <c r="C610" s="41" t="s">
        <v>1800</v>
      </c>
      <c r="D610" s="21" t="s">
        <v>2221</v>
      </c>
      <c r="E610" s="21" t="s">
        <v>2222</v>
      </c>
      <c r="F610" s="24">
        <v>9.9104262940375012E-2</v>
      </c>
      <c r="G610" s="21">
        <v>12</v>
      </c>
      <c r="H610" s="17">
        <v>7.95</v>
      </c>
      <c r="I610" s="43" t="s">
        <v>3950</v>
      </c>
      <c r="J610" s="26"/>
      <c r="K610" s="17">
        <f t="shared" si="54"/>
        <v>0</v>
      </c>
      <c r="N610" s="31" t="str">
        <f t="shared" si="57"/>
        <v>-</v>
      </c>
      <c r="O610" s="31" t="str">
        <f t="shared" si="59"/>
        <v>-</v>
      </c>
      <c r="P610" s="35" t="str">
        <f t="shared" si="58"/>
        <v>-</v>
      </c>
      <c r="Q610" s="32" t="str">
        <f t="shared" si="55"/>
        <v>-</v>
      </c>
      <c r="S610" s="32" t="str">
        <f t="shared" si="56"/>
        <v>-</v>
      </c>
    </row>
    <row r="611" spans="1:19" x14ac:dyDescent="0.3">
      <c r="A611" s="45" t="s">
        <v>2744</v>
      </c>
      <c r="B611" s="40" t="s">
        <v>1399</v>
      </c>
      <c r="C611" s="41" t="s">
        <v>1800</v>
      </c>
      <c r="D611" s="21" t="s">
        <v>2242</v>
      </c>
      <c r="E611" s="21" t="s">
        <v>2222</v>
      </c>
      <c r="F611" s="24">
        <v>0.17675738671616667</v>
      </c>
      <c r="G611" s="21">
        <v>12</v>
      </c>
      <c r="H611" s="17">
        <v>14.85</v>
      </c>
      <c r="I611" s="43" t="s">
        <v>3950</v>
      </c>
      <c r="J611" s="26"/>
      <c r="K611" s="17">
        <f t="shared" si="54"/>
        <v>0</v>
      </c>
      <c r="N611" s="31" t="str">
        <f t="shared" si="57"/>
        <v>-</v>
      </c>
      <c r="O611" s="31" t="str">
        <f t="shared" si="59"/>
        <v>-</v>
      </c>
      <c r="P611" s="35" t="str">
        <f t="shared" si="58"/>
        <v>-</v>
      </c>
      <c r="Q611" s="32" t="str">
        <f t="shared" si="55"/>
        <v>-</v>
      </c>
      <c r="S611" s="32" t="str">
        <f t="shared" si="56"/>
        <v>-</v>
      </c>
    </row>
    <row r="612" spans="1:19" x14ac:dyDescent="0.3">
      <c r="A612" s="45" t="s">
        <v>2745</v>
      </c>
      <c r="B612" s="40" t="s">
        <v>1517</v>
      </c>
      <c r="C612" s="41" t="s">
        <v>1801</v>
      </c>
      <c r="D612" s="21" t="s">
        <v>2224</v>
      </c>
      <c r="E612" s="21" t="s">
        <v>2222</v>
      </c>
      <c r="F612" s="24">
        <v>5.1482733995000002E-2</v>
      </c>
      <c r="G612" s="21">
        <v>12</v>
      </c>
      <c r="H612" s="17">
        <v>7.35</v>
      </c>
      <c r="I612" s="43" t="s">
        <v>3950</v>
      </c>
      <c r="J612" s="26"/>
      <c r="K612" s="17">
        <f t="shared" si="54"/>
        <v>0</v>
      </c>
      <c r="N612" s="31" t="str">
        <f t="shared" si="57"/>
        <v>-</v>
      </c>
      <c r="O612" s="31" t="str">
        <f t="shared" si="59"/>
        <v>-</v>
      </c>
      <c r="P612" s="35" t="str">
        <f t="shared" si="58"/>
        <v>-</v>
      </c>
      <c r="Q612" s="32" t="str">
        <f t="shared" si="55"/>
        <v>-</v>
      </c>
      <c r="S612" s="32" t="str">
        <f t="shared" si="56"/>
        <v>-</v>
      </c>
    </row>
    <row r="613" spans="1:19" x14ac:dyDescent="0.3">
      <c r="A613" s="45" t="s">
        <v>2748</v>
      </c>
      <c r="B613" s="40" t="s">
        <v>1096</v>
      </c>
      <c r="C613" s="41" t="s">
        <v>1653</v>
      </c>
      <c r="D613" s="21" t="s">
        <v>2221</v>
      </c>
      <c r="E613" s="21" t="s">
        <v>2244</v>
      </c>
      <c r="F613" s="24">
        <v>8.666260222491666E-2</v>
      </c>
      <c r="G613" s="21">
        <v>12</v>
      </c>
      <c r="H613" s="17">
        <v>8.99</v>
      </c>
      <c r="I613" s="43" t="s">
        <v>3950</v>
      </c>
      <c r="J613" s="26"/>
      <c r="K613" s="17">
        <f t="shared" si="54"/>
        <v>0</v>
      </c>
      <c r="N613" s="31" t="str">
        <f t="shared" si="57"/>
        <v>-</v>
      </c>
      <c r="O613" s="31" t="str">
        <f t="shared" si="59"/>
        <v>-</v>
      </c>
      <c r="P613" s="35" t="str">
        <f t="shared" si="58"/>
        <v>-</v>
      </c>
      <c r="Q613" s="32" t="str">
        <f t="shared" si="55"/>
        <v>-</v>
      </c>
      <c r="S613" s="32" t="str">
        <f t="shared" si="56"/>
        <v>-</v>
      </c>
    </row>
    <row r="614" spans="1:19" x14ac:dyDescent="0.3">
      <c r="A614" s="45" t="s">
        <v>2749</v>
      </c>
      <c r="B614" s="40" t="s">
        <v>117</v>
      </c>
      <c r="C614" s="41" t="s">
        <v>1802</v>
      </c>
      <c r="D614" s="21" t="s">
        <v>2223</v>
      </c>
      <c r="E614" s="21" t="s">
        <v>2222</v>
      </c>
      <c r="F614" s="24">
        <v>8.666260222491666E-2</v>
      </c>
      <c r="G614" s="21">
        <v>12</v>
      </c>
      <c r="H614" s="17">
        <v>4.95</v>
      </c>
      <c r="I614" s="43" t="s">
        <v>3950</v>
      </c>
      <c r="J614" s="26"/>
      <c r="K614" s="17">
        <f t="shared" si="54"/>
        <v>0</v>
      </c>
      <c r="N614" s="31" t="str">
        <f t="shared" si="57"/>
        <v>-</v>
      </c>
      <c r="O614" s="31" t="str">
        <f t="shared" si="59"/>
        <v>-</v>
      </c>
      <c r="P614" s="35" t="str">
        <f t="shared" si="58"/>
        <v>-</v>
      </c>
      <c r="Q614" s="32" t="str">
        <f t="shared" si="55"/>
        <v>-</v>
      </c>
      <c r="S614" s="32" t="str">
        <f t="shared" si="56"/>
        <v>-</v>
      </c>
    </row>
    <row r="615" spans="1:19" x14ac:dyDescent="0.3">
      <c r="A615" s="45" t="s">
        <v>2750</v>
      </c>
      <c r="B615" s="40" t="s">
        <v>1028</v>
      </c>
      <c r="C615" s="41" t="s">
        <v>1802</v>
      </c>
      <c r="D615" s="21" t="s">
        <v>2224</v>
      </c>
      <c r="E615" s="21" t="s">
        <v>2222</v>
      </c>
      <c r="F615" s="24">
        <v>9.2668921191000023E-2</v>
      </c>
      <c r="G615" s="21">
        <v>12</v>
      </c>
      <c r="H615" s="17">
        <v>9.59</v>
      </c>
      <c r="I615" s="43" t="s">
        <v>3950</v>
      </c>
      <c r="J615" s="26"/>
      <c r="K615" s="17">
        <f t="shared" si="54"/>
        <v>0</v>
      </c>
      <c r="N615" s="31" t="str">
        <f t="shared" si="57"/>
        <v>-</v>
      </c>
      <c r="O615" s="31" t="str">
        <f t="shared" si="59"/>
        <v>-</v>
      </c>
      <c r="P615" s="35" t="str">
        <f t="shared" si="58"/>
        <v>-</v>
      </c>
      <c r="Q615" s="32" t="str">
        <f t="shared" si="55"/>
        <v>-</v>
      </c>
      <c r="S615" s="32" t="str">
        <f t="shared" si="56"/>
        <v>-</v>
      </c>
    </row>
    <row r="616" spans="1:19" x14ac:dyDescent="0.3">
      <c r="A616" s="45" t="s">
        <v>2751</v>
      </c>
      <c r="B616" s="40" t="s">
        <v>799</v>
      </c>
      <c r="C616" s="41" t="s">
        <v>1802</v>
      </c>
      <c r="D616" s="21" t="s">
        <v>2227</v>
      </c>
      <c r="E616" s="21" t="s">
        <v>2222</v>
      </c>
      <c r="F616" s="24">
        <v>0.16388670321741669</v>
      </c>
      <c r="G616" s="21">
        <v>12</v>
      </c>
      <c r="H616" s="17">
        <v>17.989999999999998</v>
      </c>
      <c r="I616" s="43" t="s">
        <v>3950</v>
      </c>
      <c r="J616" s="26"/>
      <c r="K616" s="17">
        <f t="shared" si="54"/>
        <v>0</v>
      </c>
      <c r="N616" s="31" t="str">
        <f t="shared" si="57"/>
        <v>-</v>
      </c>
      <c r="O616" s="31" t="str">
        <f t="shared" si="59"/>
        <v>-</v>
      </c>
      <c r="P616" s="35" t="str">
        <f t="shared" si="58"/>
        <v>-</v>
      </c>
      <c r="Q616" s="32" t="str">
        <f t="shared" si="55"/>
        <v>-</v>
      </c>
      <c r="S616" s="32" t="str">
        <f t="shared" si="56"/>
        <v>-</v>
      </c>
    </row>
    <row r="617" spans="1:19" x14ac:dyDescent="0.3">
      <c r="A617" s="45" t="s">
        <v>2752</v>
      </c>
      <c r="B617" s="40" t="s">
        <v>445</v>
      </c>
      <c r="C617" s="41" t="s">
        <v>1803</v>
      </c>
      <c r="D617" s="21" t="s">
        <v>2221</v>
      </c>
      <c r="E617" s="21" t="s">
        <v>2243</v>
      </c>
      <c r="F617" s="24">
        <v>0.17933152341591668</v>
      </c>
      <c r="G617" s="21">
        <v>12</v>
      </c>
      <c r="H617" s="17">
        <v>22.5</v>
      </c>
      <c r="I617" s="43" t="s">
        <v>3950</v>
      </c>
      <c r="J617" s="26"/>
      <c r="K617" s="17">
        <f t="shared" si="54"/>
        <v>0</v>
      </c>
      <c r="N617" s="31" t="str">
        <f t="shared" si="57"/>
        <v>-</v>
      </c>
      <c r="O617" s="31" t="str">
        <f t="shared" si="59"/>
        <v>-</v>
      </c>
      <c r="P617" s="35" t="str">
        <f t="shared" si="58"/>
        <v>-</v>
      </c>
      <c r="Q617" s="32" t="str">
        <f t="shared" si="55"/>
        <v>-</v>
      </c>
      <c r="S617" s="32" t="str">
        <f t="shared" si="56"/>
        <v>-</v>
      </c>
    </row>
    <row r="618" spans="1:19" x14ac:dyDescent="0.3">
      <c r="A618" s="45" t="s">
        <v>2753</v>
      </c>
      <c r="B618" s="40" t="s">
        <v>497</v>
      </c>
      <c r="C618" s="41" t="s">
        <v>1803</v>
      </c>
      <c r="D618" s="21" t="s">
        <v>2242</v>
      </c>
      <c r="E618" s="21" t="s">
        <v>2243</v>
      </c>
      <c r="F618" s="24">
        <v>0.31618979128595837</v>
      </c>
      <c r="G618" s="21">
        <v>12</v>
      </c>
      <c r="H618" s="17">
        <v>41.99</v>
      </c>
      <c r="I618" s="43" t="s">
        <v>3950</v>
      </c>
      <c r="J618" s="26"/>
      <c r="K618" s="17">
        <f t="shared" si="54"/>
        <v>0</v>
      </c>
      <c r="N618" s="31" t="str">
        <f t="shared" si="57"/>
        <v>-</v>
      </c>
      <c r="O618" s="31" t="str">
        <f t="shared" si="59"/>
        <v>-</v>
      </c>
      <c r="P618" s="35" t="str">
        <f t="shared" si="58"/>
        <v>-</v>
      </c>
      <c r="Q618" s="32" t="str">
        <f t="shared" si="55"/>
        <v>-</v>
      </c>
      <c r="S618" s="32" t="str">
        <f t="shared" si="56"/>
        <v>-</v>
      </c>
    </row>
    <row r="619" spans="1:19" x14ac:dyDescent="0.3">
      <c r="A619" s="45" t="s">
        <v>2754</v>
      </c>
      <c r="B619" s="40" t="s">
        <v>328</v>
      </c>
      <c r="C619" s="41" t="s">
        <v>1803</v>
      </c>
      <c r="D619" s="21" t="s">
        <v>2252</v>
      </c>
      <c r="E619" s="21" t="s">
        <v>2243</v>
      </c>
      <c r="F619" s="24">
        <v>0.59076437259262504</v>
      </c>
      <c r="G619" s="21">
        <v>12</v>
      </c>
      <c r="H619" s="17">
        <v>79.19</v>
      </c>
      <c r="I619" s="43" t="s">
        <v>3950</v>
      </c>
      <c r="J619" s="26"/>
      <c r="K619" s="17">
        <f t="shared" si="54"/>
        <v>0</v>
      </c>
      <c r="N619" s="31" t="str">
        <f t="shared" si="57"/>
        <v>-</v>
      </c>
      <c r="O619" s="31" t="str">
        <f t="shared" si="59"/>
        <v>-</v>
      </c>
      <c r="P619" s="35" t="str">
        <f t="shared" si="58"/>
        <v>-</v>
      </c>
      <c r="Q619" s="32" t="str">
        <f t="shared" si="55"/>
        <v>-</v>
      </c>
      <c r="S619" s="32" t="str">
        <f t="shared" si="56"/>
        <v>-</v>
      </c>
    </row>
    <row r="620" spans="1:19" x14ac:dyDescent="0.3">
      <c r="A620" s="45" t="s">
        <v>2755</v>
      </c>
      <c r="B620" s="40" t="s">
        <v>975</v>
      </c>
      <c r="C620" s="41" t="s">
        <v>1804</v>
      </c>
      <c r="D620" s="21" t="s">
        <v>2225</v>
      </c>
      <c r="E620" s="21" t="s">
        <v>2222</v>
      </c>
      <c r="F620" s="24">
        <v>8.2372374392000014E-2</v>
      </c>
      <c r="G620" s="21">
        <v>12</v>
      </c>
      <c r="H620" s="17">
        <v>6.15</v>
      </c>
      <c r="I620" s="43" t="s">
        <v>3950</v>
      </c>
      <c r="J620" s="26"/>
      <c r="K620" s="17">
        <f t="shared" si="54"/>
        <v>0</v>
      </c>
      <c r="N620" s="31" t="str">
        <f t="shared" si="57"/>
        <v>-</v>
      </c>
      <c r="O620" s="31" t="str">
        <f t="shared" si="59"/>
        <v>-</v>
      </c>
      <c r="P620" s="35" t="str">
        <f t="shared" si="58"/>
        <v>-</v>
      </c>
      <c r="Q620" s="32" t="str">
        <f t="shared" si="55"/>
        <v>-</v>
      </c>
      <c r="S620" s="32" t="str">
        <f t="shared" si="56"/>
        <v>-</v>
      </c>
    </row>
    <row r="621" spans="1:19" x14ac:dyDescent="0.3">
      <c r="A621" s="45" t="s">
        <v>2756</v>
      </c>
      <c r="B621" s="40" t="s">
        <v>1519</v>
      </c>
      <c r="C621" s="41" t="s">
        <v>1804</v>
      </c>
      <c r="D621" s="21" t="s">
        <v>2226</v>
      </c>
      <c r="E621" s="21" t="s">
        <v>2222</v>
      </c>
      <c r="F621" s="24">
        <v>0.15616429311816668</v>
      </c>
      <c r="G621" s="21">
        <v>12</v>
      </c>
      <c r="H621" s="17">
        <v>11.39</v>
      </c>
      <c r="I621" s="43" t="s">
        <v>3950</v>
      </c>
      <c r="J621" s="26"/>
      <c r="K621" s="17">
        <f t="shared" si="54"/>
        <v>0</v>
      </c>
      <c r="N621" s="31" t="str">
        <f t="shared" si="57"/>
        <v>-</v>
      </c>
      <c r="O621" s="31" t="str">
        <f t="shared" si="59"/>
        <v>-</v>
      </c>
      <c r="P621" s="35" t="str">
        <f t="shared" si="58"/>
        <v>-</v>
      </c>
      <c r="Q621" s="32" t="str">
        <f t="shared" si="55"/>
        <v>-</v>
      </c>
      <c r="S621" s="32" t="str">
        <f t="shared" si="56"/>
        <v>-</v>
      </c>
    </row>
    <row r="622" spans="1:19" x14ac:dyDescent="0.3">
      <c r="A622" s="45" t="s">
        <v>2757</v>
      </c>
      <c r="B622" s="40" t="s">
        <v>337</v>
      </c>
      <c r="C622" s="41" t="s">
        <v>1805</v>
      </c>
      <c r="D622" s="21" t="s">
        <v>2221</v>
      </c>
      <c r="E622" s="21" t="s">
        <v>2238</v>
      </c>
      <c r="F622" s="24">
        <v>6.606950862691667E-2</v>
      </c>
      <c r="G622" s="21">
        <v>12</v>
      </c>
      <c r="H622" s="17">
        <v>5.7</v>
      </c>
      <c r="I622" s="43" t="s">
        <v>3950</v>
      </c>
      <c r="J622" s="26"/>
      <c r="K622" s="17">
        <f t="shared" si="54"/>
        <v>0</v>
      </c>
      <c r="N622" s="31" t="str">
        <f t="shared" si="57"/>
        <v>-</v>
      </c>
      <c r="O622" s="31" t="str">
        <f t="shared" si="59"/>
        <v>-</v>
      </c>
      <c r="P622" s="35" t="str">
        <f t="shared" si="58"/>
        <v>-</v>
      </c>
      <c r="Q622" s="32" t="str">
        <f t="shared" si="55"/>
        <v>-</v>
      </c>
      <c r="S622" s="32" t="str">
        <f t="shared" si="56"/>
        <v>-</v>
      </c>
    </row>
    <row r="623" spans="1:19" x14ac:dyDescent="0.3">
      <c r="A623" s="45" t="s">
        <v>2758</v>
      </c>
      <c r="B623" s="40" t="s">
        <v>978</v>
      </c>
      <c r="C623" s="41" t="s">
        <v>1805</v>
      </c>
      <c r="D623" s="21" t="s">
        <v>2242</v>
      </c>
      <c r="E623" s="21" t="s">
        <v>2238</v>
      </c>
      <c r="F623" s="24">
        <v>0.10940080973937501</v>
      </c>
      <c r="G623" s="21">
        <v>12</v>
      </c>
      <c r="H623" s="17">
        <v>10.5</v>
      </c>
      <c r="I623" s="43" t="s">
        <v>3950</v>
      </c>
      <c r="J623" s="26"/>
      <c r="K623" s="17">
        <f t="shared" si="54"/>
        <v>0</v>
      </c>
      <c r="N623" s="31" t="str">
        <f t="shared" si="57"/>
        <v>-</v>
      </c>
      <c r="O623" s="31" t="str">
        <f t="shared" si="59"/>
        <v>-</v>
      </c>
      <c r="P623" s="35" t="str">
        <f t="shared" si="58"/>
        <v>-</v>
      </c>
      <c r="Q623" s="32" t="str">
        <f t="shared" si="55"/>
        <v>-</v>
      </c>
      <c r="S623" s="32" t="str">
        <f t="shared" si="56"/>
        <v>-</v>
      </c>
    </row>
    <row r="624" spans="1:19" x14ac:dyDescent="0.3">
      <c r="A624" s="45" t="s">
        <v>2759</v>
      </c>
      <c r="B624" s="40" t="s">
        <v>1168</v>
      </c>
      <c r="C624" s="41" t="s">
        <v>1805</v>
      </c>
      <c r="D624" s="21" t="s">
        <v>2253</v>
      </c>
      <c r="E624" s="21" t="s">
        <v>2238</v>
      </c>
      <c r="F624" s="24">
        <v>0.14844188301891667</v>
      </c>
      <c r="G624" s="21">
        <v>12</v>
      </c>
      <c r="H624" s="17">
        <v>15.3</v>
      </c>
      <c r="I624" s="43" t="s">
        <v>3950</v>
      </c>
      <c r="J624" s="26"/>
      <c r="K624" s="17">
        <f t="shared" si="54"/>
        <v>0</v>
      </c>
      <c r="N624" s="31" t="str">
        <f t="shared" si="57"/>
        <v>-</v>
      </c>
      <c r="O624" s="31" t="str">
        <f t="shared" si="59"/>
        <v>-</v>
      </c>
      <c r="P624" s="35" t="str">
        <f t="shared" si="58"/>
        <v>-</v>
      </c>
      <c r="Q624" s="32" t="str">
        <f t="shared" si="55"/>
        <v>-</v>
      </c>
      <c r="S624" s="32" t="str">
        <f t="shared" si="56"/>
        <v>-</v>
      </c>
    </row>
    <row r="625" spans="1:19" x14ac:dyDescent="0.3">
      <c r="A625" s="45" t="s">
        <v>2761</v>
      </c>
      <c r="B625" s="40" t="s">
        <v>526</v>
      </c>
      <c r="C625" s="41" t="s">
        <v>1806</v>
      </c>
      <c r="D625" s="21" t="s">
        <v>2242</v>
      </c>
      <c r="E625" s="21" t="s">
        <v>2238</v>
      </c>
      <c r="F625" s="24">
        <v>9.9104262940375012E-2</v>
      </c>
      <c r="G625" s="21">
        <v>12</v>
      </c>
      <c r="H625" s="17">
        <v>10.5</v>
      </c>
      <c r="I625" s="43" t="s">
        <v>3950</v>
      </c>
      <c r="J625" s="26"/>
      <c r="K625" s="17">
        <f t="shared" si="54"/>
        <v>0</v>
      </c>
      <c r="N625" s="31" t="str">
        <f t="shared" si="57"/>
        <v>-</v>
      </c>
      <c r="O625" s="31" t="str">
        <f t="shared" si="59"/>
        <v>-</v>
      </c>
      <c r="P625" s="35" t="str">
        <f t="shared" si="58"/>
        <v>-</v>
      </c>
      <c r="Q625" s="32" t="str">
        <f t="shared" si="55"/>
        <v>-</v>
      </c>
      <c r="S625" s="32" t="str">
        <f t="shared" si="56"/>
        <v>-</v>
      </c>
    </row>
    <row r="626" spans="1:19" x14ac:dyDescent="0.3">
      <c r="A626" s="45" t="s">
        <v>2762</v>
      </c>
      <c r="B626" s="40" t="s">
        <v>1296</v>
      </c>
      <c r="C626" s="41" t="s">
        <v>1806</v>
      </c>
      <c r="D626" s="21" t="s">
        <v>2253</v>
      </c>
      <c r="E626" s="21" t="s">
        <v>2238</v>
      </c>
      <c r="F626" s="24">
        <v>0.13128097168725003</v>
      </c>
      <c r="G626" s="21">
        <v>12</v>
      </c>
      <c r="H626" s="17">
        <v>15.3</v>
      </c>
      <c r="I626" s="43" t="s">
        <v>3950</v>
      </c>
      <c r="J626" s="26"/>
      <c r="K626" s="17">
        <f t="shared" si="54"/>
        <v>0</v>
      </c>
      <c r="N626" s="31" t="str">
        <f t="shared" si="57"/>
        <v>-</v>
      </c>
      <c r="O626" s="31" t="str">
        <f t="shared" si="59"/>
        <v>-</v>
      </c>
      <c r="P626" s="35" t="str">
        <f t="shared" si="58"/>
        <v>-</v>
      </c>
      <c r="Q626" s="32" t="str">
        <f t="shared" si="55"/>
        <v>-</v>
      </c>
      <c r="S626" s="32" t="str">
        <f t="shared" si="56"/>
        <v>-</v>
      </c>
    </row>
    <row r="627" spans="1:19" x14ac:dyDescent="0.3">
      <c r="A627" s="45" t="s">
        <v>2763</v>
      </c>
      <c r="B627" s="40" t="s">
        <v>1091</v>
      </c>
      <c r="C627" s="41" t="s">
        <v>1637</v>
      </c>
      <c r="D627" s="21" t="s">
        <v>2239</v>
      </c>
      <c r="E627" s="21" t="s">
        <v>2222</v>
      </c>
      <c r="F627" s="24">
        <v>8.7520647791500011E-2</v>
      </c>
      <c r="G627" s="21">
        <v>12</v>
      </c>
      <c r="H627" s="17">
        <v>12.45</v>
      </c>
      <c r="I627" s="43" t="s">
        <v>3950</v>
      </c>
      <c r="J627" s="26"/>
      <c r="K627" s="17">
        <f t="shared" si="54"/>
        <v>0</v>
      </c>
      <c r="N627" s="31" t="str">
        <f t="shared" si="57"/>
        <v>-</v>
      </c>
      <c r="O627" s="31" t="str">
        <f t="shared" si="59"/>
        <v>-</v>
      </c>
      <c r="P627" s="35" t="str">
        <f t="shared" si="58"/>
        <v>-</v>
      </c>
      <c r="Q627" s="32" t="str">
        <f t="shared" si="55"/>
        <v>-</v>
      </c>
      <c r="S627" s="32" t="str">
        <f t="shared" si="56"/>
        <v>-</v>
      </c>
    </row>
    <row r="628" spans="1:19" x14ac:dyDescent="0.3">
      <c r="A628" s="45" t="s">
        <v>2764</v>
      </c>
      <c r="B628" s="40" t="s">
        <v>721</v>
      </c>
      <c r="C628" s="41" t="s">
        <v>1807</v>
      </c>
      <c r="D628" s="21" t="s">
        <v>2224</v>
      </c>
      <c r="E628" s="21" t="s">
        <v>2222</v>
      </c>
      <c r="F628" s="24">
        <v>5.6631007394500006E-2</v>
      </c>
      <c r="G628" s="21">
        <v>12</v>
      </c>
      <c r="H628" s="17">
        <v>4.95</v>
      </c>
      <c r="I628" s="43" t="s">
        <v>3950</v>
      </c>
      <c r="J628" s="26"/>
      <c r="K628" s="17">
        <f t="shared" si="54"/>
        <v>0</v>
      </c>
      <c r="N628" s="31" t="str">
        <f t="shared" si="57"/>
        <v>-</v>
      </c>
      <c r="O628" s="31" t="str">
        <f t="shared" si="59"/>
        <v>-</v>
      </c>
      <c r="P628" s="35" t="str">
        <f t="shared" si="58"/>
        <v>-</v>
      </c>
      <c r="Q628" s="32" t="str">
        <f t="shared" si="55"/>
        <v>-</v>
      </c>
      <c r="S628" s="32" t="str">
        <f t="shared" si="56"/>
        <v>-</v>
      </c>
    </row>
    <row r="629" spans="1:19" x14ac:dyDescent="0.3">
      <c r="A629" s="45" t="s">
        <v>2765</v>
      </c>
      <c r="B629" s="40" t="s">
        <v>333</v>
      </c>
      <c r="C629" s="41" t="s">
        <v>1807</v>
      </c>
      <c r="D629" s="21" t="s">
        <v>2227</v>
      </c>
      <c r="E629" s="21" t="s">
        <v>2222</v>
      </c>
      <c r="F629" s="24">
        <v>7.2075827592999991E-2</v>
      </c>
      <c r="G629" s="21">
        <v>12</v>
      </c>
      <c r="H629" s="17">
        <v>8.99</v>
      </c>
      <c r="I629" s="43" t="s">
        <v>3950</v>
      </c>
      <c r="J629" s="26"/>
      <c r="K629" s="17">
        <f t="shared" si="54"/>
        <v>0</v>
      </c>
      <c r="N629" s="31" t="str">
        <f t="shared" si="57"/>
        <v>-</v>
      </c>
      <c r="O629" s="31" t="str">
        <f t="shared" si="59"/>
        <v>-</v>
      </c>
      <c r="P629" s="35" t="str">
        <f t="shared" si="58"/>
        <v>-</v>
      </c>
      <c r="Q629" s="32" t="str">
        <f t="shared" si="55"/>
        <v>-</v>
      </c>
      <c r="S629" s="32" t="str">
        <f t="shared" si="56"/>
        <v>-</v>
      </c>
    </row>
    <row r="630" spans="1:19" x14ac:dyDescent="0.3">
      <c r="A630" s="45" t="s">
        <v>2766</v>
      </c>
      <c r="B630" s="40" t="s">
        <v>783</v>
      </c>
      <c r="C630" s="41" t="s">
        <v>1808</v>
      </c>
      <c r="D630" s="21" t="s">
        <v>2228</v>
      </c>
      <c r="E630" s="21" t="s">
        <v>2229</v>
      </c>
      <c r="F630" s="24">
        <v>8.7520647791500011E-2</v>
      </c>
      <c r="G630" s="21">
        <v>12</v>
      </c>
      <c r="H630" s="17">
        <v>5.85</v>
      </c>
      <c r="I630" s="43" t="s">
        <v>3950</v>
      </c>
      <c r="J630" s="26"/>
      <c r="K630" s="17">
        <f t="shared" si="54"/>
        <v>0</v>
      </c>
      <c r="N630" s="31" t="str">
        <f t="shared" si="57"/>
        <v>-</v>
      </c>
      <c r="O630" s="31" t="str">
        <f t="shared" si="59"/>
        <v>-</v>
      </c>
      <c r="P630" s="35" t="str">
        <f t="shared" si="58"/>
        <v>-</v>
      </c>
      <c r="Q630" s="32" t="str">
        <f t="shared" si="55"/>
        <v>-</v>
      </c>
      <c r="S630" s="32" t="str">
        <f t="shared" si="56"/>
        <v>-</v>
      </c>
    </row>
    <row r="631" spans="1:19" x14ac:dyDescent="0.3">
      <c r="A631" s="45" t="s">
        <v>2767</v>
      </c>
      <c r="B631" s="40" t="s">
        <v>498</v>
      </c>
      <c r="C631" s="41" t="s">
        <v>1809</v>
      </c>
      <c r="D631" s="21" t="s">
        <v>2221</v>
      </c>
      <c r="E631" s="21" t="s">
        <v>2222</v>
      </c>
      <c r="F631" s="24">
        <v>6.0921235227416673E-2</v>
      </c>
      <c r="G631" s="21">
        <v>12</v>
      </c>
      <c r="H631" s="17">
        <v>5.39</v>
      </c>
      <c r="I631" s="43" t="s">
        <v>3950</v>
      </c>
      <c r="J631" s="26"/>
      <c r="K631" s="17">
        <f t="shared" si="54"/>
        <v>0</v>
      </c>
      <c r="N631" s="31" t="str">
        <f t="shared" si="57"/>
        <v>-</v>
      </c>
      <c r="O631" s="31" t="str">
        <f t="shared" si="59"/>
        <v>-</v>
      </c>
      <c r="P631" s="35" t="str">
        <f t="shared" si="58"/>
        <v>-</v>
      </c>
      <c r="Q631" s="32" t="str">
        <f t="shared" si="55"/>
        <v>-</v>
      </c>
      <c r="S631" s="32" t="str">
        <f t="shared" si="56"/>
        <v>-</v>
      </c>
    </row>
    <row r="632" spans="1:19" x14ac:dyDescent="0.3">
      <c r="A632" s="45" t="s">
        <v>2768</v>
      </c>
      <c r="B632" s="40" t="s">
        <v>996</v>
      </c>
      <c r="C632" s="41" t="s">
        <v>1809</v>
      </c>
      <c r="D632" s="21" t="s">
        <v>2242</v>
      </c>
      <c r="E632" s="21" t="s">
        <v>2222</v>
      </c>
      <c r="F632" s="24">
        <v>9.7817194590499992E-2</v>
      </c>
      <c r="G632" s="21">
        <v>12</v>
      </c>
      <c r="H632" s="17">
        <v>9.9</v>
      </c>
      <c r="I632" s="43" t="s">
        <v>3950</v>
      </c>
      <c r="J632" s="26"/>
      <c r="K632" s="17">
        <f t="shared" ref="K632:K695" si="60">J632*H632</f>
        <v>0</v>
      </c>
      <c r="N632" s="31" t="str">
        <f t="shared" si="57"/>
        <v>-</v>
      </c>
      <c r="O632" s="31" t="str">
        <f t="shared" si="59"/>
        <v>-</v>
      </c>
      <c r="P632" s="35" t="str">
        <f t="shared" si="58"/>
        <v>-</v>
      </c>
      <c r="Q632" s="32" t="str">
        <f t="shared" si="55"/>
        <v>-</v>
      </c>
      <c r="S632" s="32" t="str">
        <f t="shared" si="56"/>
        <v>-</v>
      </c>
    </row>
    <row r="633" spans="1:19" x14ac:dyDescent="0.3">
      <c r="A633" s="45" t="s">
        <v>2769</v>
      </c>
      <c r="B633" s="40" t="s">
        <v>13</v>
      </c>
      <c r="C633" s="41" t="s">
        <v>1809</v>
      </c>
      <c r="D633" s="21" t="s">
        <v>2253</v>
      </c>
      <c r="E633" s="21" t="s">
        <v>2222</v>
      </c>
      <c r="F633" s="24">
        <v>0.13514217673687501</v>
      </c>
      <c r="G633" s="21">
        <v>12</v>
      </c>
      <c r="H633" s="17">
        <v>14.39</v>
      </c>
      <c r="I633" s="43" t="s">
        <v>3950</v>
      </c>
      <c r="J633" s="26"/>
      <c r="K633" s="17">
        <f t="shared" si="60"/>
        <v>0</v>
      </c>
      <c r="N633" s="31" t="str">
        <f t="shared" si="57"/>
        <v>-</v>
      </c>
      <c r="O633" s="31" t="str">
        <f t="shared" si="59"/>
        <v>-</v>
      </c>
      <c r="P633" s="35" t="str">
        <f t="shared" si="58"/>
        <v>-</v>
      </c>
      <c r="Q633" s="32" t="str">
        <f t="shared" ref="Q633:Q696" si="61">IFERROR(IF($N$2&gt;0, $N$2*P633, "-"), "-")</f>
        <v>-</v>
      </c>
      <c r="S633" s="32" t="str">
        <f t="shared" ref="S633:S696" si="62">IFERROR(IF(Q633+K633=0, "-", IF(Q633&gt;0, Q633+K633, "-")), "-")</f>
        <v>-</v>
      </c>
    </row>
    <row r="634" spans="1:19" x14ac:dyDescent="0.3">
      <c r="A634" s="45" t="s">
        <v>2770</v>
      </c>
      <c r="B634" s="40" t="s">
        <v>1019</v>
      </c>
      <c r="C634" s="41" t="s">
        <v>1681</v>
      </c>
      <c r="D634" s="21" t="s">
        <v>2227</v>
      </c>
      <c r="E634" s="21" t="s">
        <v>2234</v>
      </c>
      <c r="F634" s="24">
        <v>5.2769802344874994E-2</v>
      </c>
      <c r="G634" s="21">
        <v>12</v>
      </c>
      <c r="H634" s="17">
        <v>11.85</v>
      </c>
      <c r="I634" s="43" t="s">
        <v>3950</v>
      </c>
      <c r="J634" s="26"/>
      <c r="K634" s="17">
        <f t="shared" si="60"/>
        <v>0</v>
      </c>
      <c r="N634" s="31" t="str">
        <f t="shared" si="57"/>
        <v>-</v>
      </c>
      <c r="O634" s="31" t="str">
        <f t="shared" si="59"/>
        <v>-</v>
      </c>
      <c r="P634" s="35" t="str">
        <f t="shared" si="58"/>
        <v>-</v>
      </c>
      <c r="Q634" s="32" t="str">
        <f t="shared" si="61"/>
        <v>-</v>
      </c>
      <c r="S634" s="32" t="str">
        <f t="shared" si="62"/>
        <v>-</v>
      </c>
    </row>
    <row r="635" spans="1:19" x14ac:dyDescent="0.3">
      <c r="A635" s="45" t="s">
        <v>2771</v>
      </c>
      <c r="B635" s="40" t="s">
        <v>237</v>
      </c>
      <c r="C635" s="41" t="s">
        <v>1625</v>
      </c>
      <c r="D635" s="21" t="s">
        <v>2224</v>
      </c>
      <c r="E635" s="21" t="s">
        <v>2222</v>
      </c>
      <c r="F635" s="24">
        <v>4.5476415028916667E-2</v>
      </c>
      <c r="G635" s="21">
        <v>12</v>
      </c>
      <c r="H635" s="17">
        <v>6.3</v>
      </c>
      <c r="I635" s="43" t="s">
        <v>3950</v>
      </c>
      <c r="J635" s="26"/>
      <c r="K635" s="17">
        <f t="shared" si="60"/>
        <v>0</v>
      </c>
      <c r="N635" s="31" t="str">
        <f t="shared" si="57"/>
        <v>-</v>
      </c>
      <c r="O635" s="31" t="str">
        <f t="shared" si="59"/>
        <v>-</v>
      </c>
      <c r="P635" s="35" t="str">
        <f t="shared" si="58"/>
        <v>-</v>
      </c>
      <c r="Q635" s="32" t="str">
        <f t="shared" si="61"/>
        <v>-</v>
      </c>
      <c r="S635" s="32" t="str">
        <f t="shared" si="62"/>
        <v>-</v>
      </c>
    </row>
    <row r="636" spans="1:19" x14ac:dyDescent="0.3">
      <c r="A636" s="45" t="s">
        <v>2772</v>
      </c>
      <c r="B636" s="40" t="s">
        <v>976</v>
      </c>
      <c r="C636" s="41" t="s">
        <v>1808</v>
      </c>
      <c r="D636" s="21" t="s">
        <v>2230</v>
      </c>
      <c r="E636" s="21" t="s">
        <v>2229</v>
      </c>
      <c r="F636" s="24">
        <v>0.13900338178650001</v>
      </c>
      <c r="G636" s="21">
        <v>12</v>
      </c>
      <c r="H636" s="17">
        <v>10.95</v>
      </c>
      <c r="I636" s="43" t="s">
        <v>3950</v>
      </c>
      <c r="J636" s="26"/>
      <c r="K636" s="17">
        <f t="shared" si="60"/>
        <v>0</v>
      </c>
      <c r="N636" s="31" t="str">
        <f t="shared" si="57"/>
        <v>-</v>
      </c>
      <c r="O636" s="31" t="str">
        <f t="shared" si="59"/>
        <v>-</v>
      </c>
      <c r="P636" s="35" t="str">
        <f t="shared" si="58"/>
        <v>-</v>
      </c>
      <c r="Q636" s="32" t="str">
        <f t="shared" si="61"/>
        <v>-</v>
      </c>
      <c r="S636" s="32" t="str">
        <f t="shared" si="62"/>
        <v>-</v>
      </c>
    </row>
    <row r="637" spans="1:19" x14ac:dyDescent="0.3">
      <c r="A637" s="45" t="s">
        <v>2773</v>
      </c>
      <c r="B637" s="40" t="s">
        <v>552</v>
      </c>
      <c r="C637" s="41" t="s">
        <v>1626</v>
      </c>
      <c r="D637" s="21" t="s">
        <v>2223</v>
      </c>
      <c r="E637" s="21" t="s">
        <v>2222</v>
      </c>
      <c r="F637" s="24">
        <v>3.5179868229916665E-2</v>
      </c>
      <c r="G637" s="21">
        <v>12</v>
      </c>
      <c r="H637" s="17">
        <v>4.79</v>
      </c>
      <c r="I637" s="43" t="s">
        <v>3950</v>
      </c>
      <c r="J637" s="26"/>
      <c r="K637" s="17">
        <f t="shared" si="60"/>
        <v>0</v>
      </c>
      <c r="N637" s="31" t="str">
        <f t="shared" si="57"/>
        <v>-</v>
      </c>
      <c r="O637" s="31" t="str">
        <f t="shared" si="59"/>
        <v>-</v>
      </c>
      <c r="P637" s="35" t="str">
        <f t="shared" si="58"/>
        <v>-</v>
      </c>
      <c r="Q637" s="32" t="str">
        <f t="shared" si="61"/>
        <v>-</v>
      </c>
      <c r="S637" s="32" t="str">
        <f t="shared" si="62"/>
        <v>-</v>
      </c>
    </row>
    <row r="638" spans="1:19" x14ac:dyDescent="0.3">
      <c r="A638" s="45" t="s">
        <v>2774</v>
      </c>
      <c r="B638" s="40" t="s">
        <v>503</v>
      </c>
      <c r="C638" s="41" t="s">
        <v>1626</v>
      </c>
      <c r="D638" s="21" t="s">
        <v>2224</v>
      </c>
      <c r="E638" s="21" t="s">
        <v>2222</v>
      </c>
      <c r="F638" s="24">
        <v>4.5476415028916667E-2</v>
      </c>
      <c r="G638" s="21">
        <v>12</v>
      </c>
      <c r="H638" s="17">
        <v>6.59</v>
      </c>
      <c r="I638" s="43" t="s">
        <v>3950</v>
      </c>
      <c r="J638" s="26"/>
      <c r="K638" s="17">
        <f t="shared" si="60"/>
        <v>0</v>
      </c>
      <c r="N638" s="31" t="str">
        <f t="shared" ref="N638:N701" si="63">IFERROR(IF($N$2*F638=0, "-", $N$2*F638), "-")</f>
        <v>-</v>
      </c>
      <c r="O638" s="31" t="str">
        <f t="shared" si="59"/>
        <v>-</v>
      </c>
      <c r="P638" s="35" t="str">
        <f t="shared" ref="P638:P701" si="64">IF(J638&gt;0,J638*F638, "-")</f>
        <v>-</v>
      </c>
      <c r="Q638" s="32" t="str">
        <f t="shared" si="61"/>
        <v>-</v>
      </c>
      <c r="S638" s="32" t="str">
        <f t="shared" si="62"/>
        <v>-</v>
      </c>
    </row>
    <row r="639" spans="1:19" x14ac:dyDescent="0.3">
      <c r="A639" s="45" t="s">
        <v>2775</v>
      </c>
      <c r="B639" s="40" t="s">
        <v>206</v>
      </c>
      <c r="C639" s="41" t="s">
        <v>1637</v>
      </c>
      <c r="D639" s="21" t="s">
        <v>2221</v>
      </c>
      <c r="E639" s="21" t="s">
        <v>2222</v>
      </c>
      <c r="F639" s="24">
        <v>0.15359015641841667</v>
      </c>
      <c r="G639" s="21">
        <v>12</v>
      </c>
      <c r="H639" s="17">
        <v>23.7</v>
      </c>
      <c r="I639" s="43" t="s">
        <v>3950</v>
      </c>
      <c r="J639" s="26"/>
      <c r="K639" s="17">
        <f t="shared" si="60"/>
        <v>0</v>
      </c>
      <c r="N639" s="31" t="str">
        <f t="shared" si="63"/>
        <v>-</v>
      </c>
      <c r="O639" s="31" t="str">
        <f t="shared" ref="O639:O702" si="65">IFERROR(IF(N639&gt;0,H639+N639,"-"),"-")</f>
        <v>-</v>
      </c>
      <c r="P639" s="35" t="str">
        <f t="shared" si="64"/>
        <v>-</v>
      </c>
      <c r="Q639" s="32" t="str">
        <f t="shared" si="61"/>
        <v>-</v>
      </c>
      <c r="S639" s="32" t="str">
        <f t="shared" si="62"/>
        <v>-</v>
      </c>
    </row>
    <row r="640" spans="1:19" x14ac:dyDescent="0.3">
      <c r="A640" s="45" t="s">
        <v>2777</v>
      </c>
      <c r="B640" s="40" t="s">
        <v>732</v>
      </c>
      <c r="C640" s="41" t="s">
        <v>1645</v>
      </c>
      <c r="D640" s="21" t="s">
        <v>2221</v>
      </c>
      <c r="E640" s="21" t="s">
        <v>2222</v>
      </c>
      <c r="F640" s="24">
        <v>0.22824012071116667</v>
      </c>
      <c r="G640" s="21">
        <v>12</v>
      </c>
      <c r="H640" s="17">
        <v>15.59</v>
      </c>
      <c r="I640" s="43" t="s">
        <v>3950</v>
      </c>
      <c r="J640" s="26"/>
      <c r="K640" s="17">
        <f t="shared" si="60"/>
        <v>0</v>
      </c>
      <c r="N640" s="31" t="str">
        <f t="shared" si="63"/>
        <v>-</v>
      </c>
      <c r="O640" s="31" t="str">
        <f t="shared" si="65"/>
        <v>-</v>
      </c>
      <c r="P640" s="35" t="str">
        <f t="shared" si="64"/>
        <v>-</v>
      </c>
      <c r="Q640" s="32" t="str">
        <f t="shared" si="61"/>
        <v>-</v>
      </c>
      <c r="S640" s="32" t="str">
        <f t="shared" si="62"/>
        <v>-</v>
      </c>
    </row>
    <row r="641" spans="1:19" x14ac:dyDescent="0.3">
      <c r="A641" s="45" t="s">
        <v>2778</v>
      </c>
      <c r="B641" s="40" t="s">
        <v>818</v>
      </c>
      <c r="C641" s="41" t="s">
        <v>1810</v>
      </c>
      <c r="D641" s="21" t="s">
        <v>2224</v>
      </c>
      <c r="E641" s="21" t="s">
        <v>2238</v>
      </c>
      <c r="F641" s="24">
        <v>5.6631007394500006E-2</v>
      </c>
      <c r="G641" s="21">
        <v>12</v>
      </c>
      <c r="H641" s="17">
        <v>7.65</v>
      </c>
      <c r="I641" s="43" t="s">
        <v>3950</v>
      </c>
      <c r="J641" s="26"/>
      <c r="K641" s="17">
        <f t="shared" si="60"/>
        <v>0</v>
      </c>
      <c r="N641" s="31" t="str">
        <f t="shared" si="63"/>
        <v>-</v>
      </c>
      <c r="O641" s="31" t="str">
        <f t="shared" si="65"/>
        <v>-</v>
      </c>
      <c r="P641" s="35" t="str">
        <f t="shared" si="64"/>
        <v>-</v>
      </c>
      <c r="Q641" s="32" t="str">
        <f t="shared" si="61"/>
        <v>-</v>
      </c>
      <c r="S641" s="32" t="str">
        <f t="shared" si="62"/>
        <v>-</v>
      </c>
    </row>
    <row r="642" spans="1:19" x14ac:dyDescent="0.3">
      <c r="A642" s="45" t="s">
        <v>2779</v>
      </c>
      <c r="B642" s="40" t="s">
        <v>1400</v>
      </c>
      <c r="C642" s="41" t="s">
        <v>1810</v>
      </c>
      <c r="D642" s="21" t="s">
        <v>2227</v>
      </c>
      <c r="E642" s="21" t="s">
        <v>2238</v>
      </c>
      <c r="F642" s="24">
        <v>7.2075827592999991E-2</v>
      </c>
      <c r="G642" s="21">
        <v>12</v>
      </c>
      <c r="H642" s="17">
        <v>14.39</v>
      </c>
      <c r="I642" s="43" t="s">
        <v>3950</v>
      </c>
      <c r="J642" s="26"/>
      <c r="K642" s="17">
        <f t="shared" si="60"/>
        <v>0</v>
      </c>
      <c r="N642" s="31" t="str">
        <f t="shared" si="63"/>
        <v>-</v>
      </c>
      <c r="O642" s="31" t="str">
        <f t="shared" si="65"/>
        <v>-</v>
      </c>
      <c r="P642" s="35" t="str">
        <f t="shared" si="64"/>
        <v>-</v>
      </c>
      <c r="Q642" s="32" t="str">
        <f t="shared" si="61"/>
        <v>-</v>
      </c>
      <c r="S642" s="32" t="str">
        <f t="shared" si="62"/>
        <v>-</v>
      </c>
    </row>
    <row r="643" spans="1:19" x14ac:dyDescent="0.3">
      <c r="A643" s="45" t="s">
        <v>2782</v>
      </c>
      <c r="B643" s="40" t="s">
        <v>1520</v>
      </c>
      <c r="C643" s="41" t="s">
        <v>1612</v>
      </c>
      <c r="D643" s="21" t="s">
        <v>2223</v>
      </c>
      <c r="E643" s="21" t="s">
        <v>2222</v>
      </c>
      <c r="F643" s="24">
        <v>0.10210742242341668</v>
      </c>
      <c r="G643" s="21">
        <v>12</v>
      </c>
      <c r="H643" s="17">
        <v>9.59</v>
      </c>
      <c r="I643" s="43" t="s">
        <v>3950</v>
      </c>
      <c r="J643" s="26"/>
      <c r="K643" s="17">
        <f t="shared" si="60"/>
        <v>0</v>
      </c>
      <c r="N643" s="31" t="str">
        <f t="shared" si="63"/>
        <v>-</v>
      </c>
      <c r="O643" s="31" t="str">
        <f t="shared" si="65"/>
        <v>-</v>
      </c>
      <c r="P643" s="35" t="str">
        <f t="shared" si="64"/>
        <v>-</v>
      </c>
      <c r="Q643" s="32" t="str">
        <f t="shared" si="61"/>
        <v>-</v>
      </c>
      <c r="S643" s="32" t="str">
        <f t="shared" si="62"/>
        <v>-</v>
      </c>
    </row>
    <row r="644" spans="1:19" x14ac:dyDescent="0.3">
      <c r="A644" s="45" t="s">
        <v>2783</v>
      </c>
      <c r="B644" s="40" t="s">
        <v>1521</v>
      </c>
      <c r="C644" s="41" t="s">
        <v>1612</v>
      </c>
      <c r="D644" s="21" t="s">
        <v>2224</v>
      </c>
      <c r="E644" s="21" t="s">
        <v>2222</v>
      </c>
      <c r="F644" s="24">
        <v>0.16131256651766665</v>
      </c>
      <c r="G644" s="21">
        <v>12</v>
      </c>
      <c r="H644" s="17">
        <v>16.79</v>
      </c>
      <c r="I644" s="43" t="s">
        <v>3950</v>
      </c>
      <c r="J644" s="26"/>
      <c r="K644" s="17">
        <f t="shared" si="60"/>
        <v>0</v>
      </c>
      <c r="N644" s="31" t="str">
        <f t="shared" si="63"/>
        <v>-</v>
      </c>
      <c r="O644" s="31" t="str">
        <f t="shared" si="65"/>
        <v>-</v>
      </c>
      <c r="P644" s="35" t="str">
        <f t="shared" si="64"/>
        <v>-</v>
      </c>
      <c r="Q644" s="32" t="str">
        <f t="shared" si="61"/>
        <v>-</v>
      </c>
      <c r="S644" s="32" t="str">
        <f t="shared" si="62"/>
        <v>-</v>
      </c>
    </row>
    <row r="645" spans="1:19" x14ac:dyDescent="0.3">
      <c r="A645" s="45" t="s">
        <v>2784</v>
      </c>
      <c r="B645" s="40" t="s">
        <v>1027</v>
      </c>
      <c r="C645" s="41" t="s">
        <v>1730</v>
      </c>
      <c r="D645" s="21" t="s">
        <v>2224</v>
      </c>
      <c r="E645" s="21" t="s">
        <v>2234</v>
      </c>
      <c r="F645" s="24">
        <v>6.1779280794000004E-2</v>
      </c>
      <c r="G645" s="21">
        <v>12</v>
      </c>
      <c r="H645" s="17">
        <v>7.19</v>
      </c>
      <c r="I645" s="43" t="s">
        <v>3950</v>
      </c>
      <c r="J645" s="26"/>
      <c r="K645" s="17">
        <f t="shared" si="60"/>
        <v>0</v>
      </c>
      <c r="N645" s="31" t="str">
        <f t="shared" si="63"/>
        <v>-</v>
      </c>
      <c r="O645" s="31" t="str">
        <f t="shared" si="65"/>
        <v>-</v>
      </c>
      <c r="P645" s="35" t="str">
        <f t="shared" si="64"/>
        <v>-</v>
      </c>
      <c r="Q645" s="32" t="str">
        <f t="shared" si="61"/>
        <v>-</v>
      </c>
      <c r="S645" s="32" t="str">
        <f t="shared" si="62"/>
        <v>-</v>
      </c>
    </row>
    <row r="646" spans="1:19" x14ac:dyDescent="0.3">
      <c r="A646" s="45" t="s">
        <v>2785</v>
      </c>
      <c r="B646" s="40" t="s">
        <v>40</v>
      </c>
      <c r="C646" s="41" t="s">
        <v>1702</v>
      </c>
      <c r="D646" s="21" t="s">
        <v>2223</v>
      </c>
      <c r="E646" s="21" t="s">
        <v>2238</v>
      </c>
      <c r="F646" s="24">
        <v>4.0328141629416663E-2</v>
      </c>
      <c r="G646" s="21">
        <v>12</v>
      </c>
      <c r="H646" s="17">
        <v>12.9</v>
      </c>
      <c r="I646" s="43" t="s">
        <v>3950</v>
      </c>
      <c r="J646" s="26"/>
      <c r="K646" s="17">
        <f t="shared" si="60"/>
        <v>0</v>
      </c>
      <c r="N646" s="31" t="str">
        <f t="shared" si="63"/>
        <v>-</v>
      </c>
      <c r="O646" s="31" t="str">
        <f t="shared" si="65"/>
        <v>-</v>
      </c>
      <c r="P646" s="35" t="str">
        <f t="shared" si="64"/>
        <v>-</v>
      </c>
      <c r="Q646" s="32" t="str">
        <f t="shared" si="61"/>
        <v>-</v>
      </c>
      <c r="S646" s="32" t="str">
        <f t="shared" si="62"/>
        <v>-</v>
      </c>
    </row>
    <row r="647" spans="1:19" x14ac:dyDescent="0.3">
      <c r="A647" s="45" t="s">
        <v>2786</v>
      </c>
      <c r="B647" s="40" t="s">
        <v>1394</v>
      </c>
      <c r="C647" s="41" t="s">
        <v>1702</v>
      </c>
      <c r="D647" s="21" t="s">
        <v>2224</v>
      </c>
      <c r="E647" s="21" t="s">
        <v>2238</v>
      </c>
      <c r="F647" s="24">
        <v>5.5772961827916676E-2</v>
      </c>
      <c r="G647" s="21">
        <v>12</v>
      </c>
      <c r="H647" s="17">
        <v>24.9</v>
      </c>
      <c r="I647" s="43" t="s">
        <v>3950</v>
      </c>
      <c r="J647" s="26"/>
      <c r="K647" s="17">
        <f t="shared" si="60"/>
        <v>0</v>
      </c>
      <c r="N647" s="31" t="str">
        <f t="shared" si="63"/>
        <v>-</v>
      </c>
      <c r="O647" s="31" t="str">
        <f t="shared" si="65"/>
        <v>-</v>
      </c>
      <c r="P647" s="35" t="str">
        <f t="shared" si="64"/>
        <v>-</v>
      </c>
      <c r="Q647" s="32" t="str">
        <f t="shared" si="61"/>
        <v>-</v>
      </c>
      <c r="S647" s="32" t="str">
        <f t="shared" si="62"/>
        <v>-</v>
      </c>
    </row>
    <row r="648" spans="1:19" x14ac:dyDescent="0.3">
      <c r="A648" s="45" t="s">
        <v>2789</v>
      </c>
      <c r="B648" s="40" t="s">
        <v>361</v>
      </c>
      <c r="C648" s="41" t="s">
        <v>2280</v>
      </c>
      <c r="D648" s="21" t="s">
        <v>2224</v>
      </c>
      <c r="E648" s="21" t="s">
        <v>2222</v>
      </c>
      <c r="F648" s="24">
        <v>0.13128097168725003</v>
      </c>
      <c r="G648" s="21">
        <v>12</v>
      </c>
      <c r="H648" s="17">
        <v>6.75</v>
      </c>
      <c r="I648" s="43" t="s">
        <v>3950</v>
      </c>
      <c r="J648" s="26"/>
      <c r="K648" s="17">
        <f t="shared" si="60"/>
        <v>0</v>
      </c>
      <c r="N648" s="31" t="str">
        <f t="shared" si="63"/>
        <v>-</v>
      </c>
      <c r="O648" s="31" t="str">
        <f t="shared" si="65"/>
        <v>-</v>
      </c>
      <c r="P648" s="35" t="str">
        <f t="shared" si="64"/>
        <v>-</v>
      </c>
      <c r="Q648" s="32" t="str">
        <f t="shared" si="61"/>
        <v>-</v>
      </c>
      <c r="S648" s="32" t="str">
        <f t="shared" si="62"/>
        <v>-</v>
      </c>
    </row>
    <row r="649" spans="1:19" x14ac:dyDescent="0.3">
      <c r="A649" s="45" t="s">
        <v>2790</v>
      </c>
      <c r="B649" s="40" t="s">
        <v>1165</v>
      </c>
      <c r="C649" s="41" t="s">
        <v>2280</v>
      </c>
      <c r="D649" s="21" t="s">
        <v>2227</v>
      </c>
      <c r="E649" s="21" t="s">
        <v>2222</v>
      </c>
      <c r="F649" s="24">
        <v>0.23939471307675006</v>
      </c>
      <c r="G649" s="21">
        <v>12</v>
      </c>
      <c r="H649" s="17">
        <v>12.59</v>
      </c>
      <c r="I649" s="43" t="s">
        <v>3950</v>
      </c>
      <c r="J649" s="26"/>
      <c r="K649" s="17">
        <f t="shared" si="60"/>
        <v>0</v>
      </c>
      <c r="N649" s="31" t="str">
        <f t="shared" si="63"/>
        <v>-</v>
      </c>
      <c r="O649" s="31" t="str">
        <f t="shared" si="65"/>
        <v>-</v>
      </c>
      <c r="P649" s="35" t="str">
        <f t="shared" si="64"/>
        <v>-</v>
      </c>
      <c r="Q649" s="32" t="str">
        <f t="shared" si="61"/>
        <v>-</v>
      </c>
      <c r="S649" s="32" t="str">
        <f t="shared" si="62"/>
        <v>-</v>
      </c>
    </row>
    <row r="650" spans="1:19" x14ac:dyDescent="0.3">
      <c r="A650" s="45" t="s">
        <v>2792</v>
      </c>
      <c r="B650" s="40" t="s">
        <v>1336</v>
      </c>
      <c r="C650" s="41" t="s">
        <v>1813</v>
      </c>
      <c r="D650" s="21" t="s">
        <v>2224</v>
      </c>
      <c r="E650" s="21" t="s">
        <v>2222</v>
      </c>
      <c r="F650" s="24">
        <v>0.13514217673687501</v>
      </c>
      <c r="G650" s="21">
        <v>12</v>
      </c>
      <c r="H650" s="17">
        <v>5.7</v>
      </c>
      <c r="I650" s="43" t="s">
        <v>3950</v>
      </c>
      <c r="J650" s="26"/>
      <c r="K650" s="17">
        <f t="shared" si="60"/>
        <v>0</v>
      </c>
      <c r="N650" s="31" t="str">
        <f t="shared" si="63"/>
        <v>-</v>
      </c>
      <c r="O650" s="31" t="str">
        <f t="shared" si="65"/>
        <v>-</v>
      </c>
      <c r="P650" s="35" t="str">
        <f t="shared" si="64"/>
        <v>-</v>
      </c>
      <c r="Q650" s="32" t="str">
        <f t="shared" si="61"/>
        <v>-</v>
      </c>
      <c r="S650" s="32" t="str">
        <f t="shared" si="62"/>
        <v>-</v>
      </c>
    </row>
    <row r="651" spans="1:19" x14ac:dyDescent="0.3">
      <c r="A651" s="45" t="s">
        <v>2793</v>
      </c>
      <c r="B651" s="40" t="s">
        <v>963</v>
      </c>
      <c r="C651" s="41" t="s">
        <v>1813</v>
      </c>
      <c r="D651" s="21" t="s">
        <v>2227</v>
      </c>
      <c r="E651" s="21" t="s">
        <v>2222</v>
      </c>
      <c r="F651" s="24">
        <v>0.24883321430916666</v>
      </c>
      <c r="G651" s="21">
        <v>12</v>
      </c>
      <c r="H651" s="17">
        <v>10.5</v>
      </c>
      <c r="I651" s="43" t="s">
        <v>3950</v>
      </c>
      <c r="J651" s="26"/>
      <c r="K651" s="17">
        <f t="shared" si="60"/>
        <v>0</v>
      </c>
      <c r="N651" s="31" t="str">
        <f t="shared" si="63"/>
        <v>-</v>
      </c>
      <c r="O651" s="31" t="str">
        <f t="shared" si="65"/>
        <v>-</v>
      </c>
      <c r="P651" s="35" t="str">
        <f t="shared" si="64"/>
        <v>-</v>
      </c>
      <c r="Q651" s="32" t="str">
        <f t="shared" si="61"/>
        <v>-</v>
      </c>
      <c r="S651" s="32" t="str">
        <f t="shared" si="62"/>
        <v>-</v>
      </c>
    </row>
    <row r="652" spans="1:19" x14ac:dyDescent="0.3">
      <c r="A652" s="45" t="s">
        <v>2794</v>
      </c>
      <c r="B652" s="40" t="s">
        <v>766</v>
      </c>
      <c r="C652" s="41" t="s">
        <v>1814</v>
      </c>
      <c r="D652" s="21" t="s">
        <v>2223</v>
      </c>
      <c r="E652" s="21" t="s">
        <v>2222</v>
      </c>
      <c r="F652" s="24">
        <v>6.0921235227416673E-2</v>
      </c>
      <c r="G652" s="21">
        <v>12</v>
      </c>
      <c r="H652" s="17">
        <v>6.75</v>
      </c>
      <c r="I652" s="43" t="s">
        <v>3950</v>
      </c>
      <c r="J652" s="26"/>
      <c r="K652" s="17">
        <f t="shared" si="60"/>
        <v>0</v>
      </c>
      <c r="N652" s="31" t="str">
        <f t="shared" si="63"/>
        <v>-</v>
      </c>
      <c r="O652" s="31" t="str">
        <f t="shared" si="65"/>
        <v>-</v>
      </c>
      <c r="P652" s="35" t="str">
        <f t="shared" si="64"/>
        <v>-</v>
      </c>
      <c r="Q652" s="32" t="str">
        <f t="shared" si="61"/>
        <v>-</v>
      </c>
      <c r="S652" s="32" t="str">
        <f t="shared" si="62"/>
        <v>-</v>
      </c>
    </row>
    <row r="653" spans="1:19" x14ac:dyDescent="0.3">
      <c r="A653" s="45" t="s">
        <v>2795</v>
      </c>
      <c r="B653" s="40" t="s">
        <v>214</v>
      </c>
      <c r="C653" s="41" t="s">
        <v>1814</v>
      </c>
      <c r="D653" s="21" t="s">
        <v>2256</v>
      </c>
      <c r="E653" s="21" t="s">
        <v>2222</v>
      </c>
      <c r="F653" s="24">
        <v>0.114549083138875</v>
      </c>
      <c r="G653" s="21">
        <v>12</v>
      </c>
      <c r="H653" s="17">
        <v>15.15</v>
      </c>
      <c r="I653" s="43" t="s">
        <v>3950</v>
      </c>
      <c r="J653" s="26"/>
      <c r="K653" s="17">
        <f t="shared" si="60"/>
        <v>0</v>
      </c>
      <c r="N653" s="31" t="str">
        <f t="shared" si="63"/>
        <v>-</v>
      </c>
      <c r="O653" s="31" t="str">
        <f t="shared" si="65"/>
        <v>-</v>
      </c>
      <c r="P653" s="35" t="str">
        <f t="shared" si="64"/>
        <v>-</v>
      </c>
      <c r="Q653" s="32" t="str">
        <f t="shared" si="61"/>
        <v>-</v>
      </c>
      <c r="S653" s="32" t="str">
        <f t="shared" si="62"/>
        <v>-</v>
      </c>
    </row>
    <row r="654" spans="1:19" x14ac:dyDescent="0.3">
      <c r="A654" s="45" t="s">
        <v>2796</v>
      </c>
      <c r="B654" s="40" t="s">
        <v>423</v>
      </c>
      <c r="C654" s="41" t="s">
        <v>1620</v>
      </c>
      <c r="D654" s="21" t="s">
        <v>2223</v>
      </c>
      <c r="E654" s="21" t="s">
        <v>2222</v>
      </c>
      <c r="F654" s="24">
        <v>9.5243057890750007E-2</v>
      </c>
      <c r="G654" s="21">
        <v>12</v>
      </c>
      <c r="H654" s="17">
        <v>7.35</v>
      </c>
      <c r="I654" s="43" t="s">
        <v>3950</v>
      </c>
      <c r="J654" s="26"/>
      <c r="K654" s="17">
        <f t="shared" si="60"/>
        <v>0</v>
      </c>
      <c r="N654" s="31" t="str">
        <f t="shared" si="63"/>
        <v>-</v>
      </c>
      <c r="O654" s="31" t="str">
        <f t="shared" si="65"/>
        <v>-</v>
      </c>
      <c r="P654" s="35" t="str">
        <f t="shared" si="64"/>
        <v>-</v>
      </c>
      <c r="Q654" s="32" t="str">
        <f t="shared" si="61"/>
        <v>-</v>
      </c>
      <c r="S654" s="32" t="str">
        <f t="shared" si="62"/>
        <v>-</v>
      </c>
    </row>
    <row r="655" spans="1:19" x14ac:dyDescent="0.3">
      <c r="A655" s="45" t="s">
        <v>2797</v>
      </c>
      <c r="B655" s="40" t="s">
        <v>296</v>
      </c>
      <c r="C655" s="41" t="s">
        <v>1620</v>
      </c>
      <c r="D655" s="21" t="s">
        <v>2224</v>
      </c>
      <c r="E655" s="21" t="s">
        <v>2222</v>
      </c>
      <c r="F655" s="24">
        <v>0.16131256651766665</v>
      </c>
      <c r="G655" s="21">
        <v>12</v>
      </c>
      <c r="H655" s="17">
        <v>13.79</v>
      </c>
      <c r="I655" s="43" t="s">
        <v>3950</v>
      </c>
      <c r="J655" s="26"/>
      <c r="K655" s="17">
        <f t="shared" si="60"/>
        <v>0</v>
      </c>
      <c r="N655" s="31" t="str">
        <f t="shared" si="63"/>
        <v>-</v>
      </c>
      <c r="O655" s="31" t="str">
        <f t="shared" si="65"/>
        <v>-</v>
      </c>
      <c r="P655" s="35" t="str">
        <f t="shared" si="64"/>
        <v>-</v>
      </c>
      <c r="Q655" s="32" t="str">
        <f t="shared" si="61"/>
        <v>-</v>
      </c>
      <c r="S655" s="32" t="str">
        <f t="shared" si="62"/>
        <v>-</v>
      </c>
    </row>
    <row r="656" spans="1:19" x14ac:dyDescent="0.3">
      <c r="A656" s="45" t="s">
        <v>2798</v>
      </c>
      <c r="B656" s="40" t="s">
        <v>20</v>
      </c>
      <c r="C656" s="41" t="s">
        <v>1612</v>
      </c>
      <c r="D656" s="21" t="s">
        <v>2227</v>
      </c>
      <c r="E656" s="21" t="s">
        <v>2222</v>
      </c>
      <c r="F656" s="24">
        <v>0.30031594830416669</v>
      </c>
      <c r="G656" s="21">
        <v>12</v>
      </c>
      <c r="H656" s="17">
        <v>31.95</v>
      </c>
      <c r="I656" s="43" t="s">
        <v>3950</v>
      </c>
      <c r="J656" s="26"/>
      <c r="K656" s="17">
        <f t="shared" si="60"/>
        <v>0</v>
      </c>
      <c r="N656" s="31" t="str">
        <f t="shared" si="63"/>
        <v>-</v>
      </c>
      <c r="O656" s="31" t="str">
        <f t="shared" si="65"/>
        <v>-</v>
      </c>
      <c r="P656" s="35" t="str">
        <f t="shared" si="64"/>
        <v>-</v>
      </c>
      <c r="Q656" s="32" t="str">
        <f t="shared" si="61"/>
        <v>-</v>
      </c>
      <c r="S656" s="32" t="str">
        <f t="shared" si="62"/>
        <v>-</v>
      </c>
    </row>
    <row r="657" spans="1:19" x14ac:dyDescent="0.3">
      <c r="A657" s="45" t="s">
        <v>2802</v>
      </c>
      <c r="B657" s="40" t="s">
        <v>1070</v>
      </c>
      <c r="C657" s="41" t="s">
        <v>1815</v>
      </c>
      <c r="D657" s="21" t="s">
        <v>2224</v>
      </c>
      <c r="E657" s="21" t="s">
        <v>2222</v>
      </c>
      <c r="F657" s="24">
        <v>5.0624688428416671E-2</v>
      </c>
      <c r="G657" s="21">
        <v>12</v>
      </c>
      <c r="H657" s="17">
        <v>14.99</v>
      </c>
      <c r="I657" s="43" t="s">
        <v>3950</v>
      </c>
      <c r="J657" s="26"/>
      <c r="K657" s="17">
        <f t="shared" si="60"/>
        <v>0</v>
      </c>
      <c r="N657" s="31" t="str">
        <f t="shared" si="63"/>
        <v>-</v>
      </c>
      <c r="O657" s="31" t="str">
        <f t="shared" si="65"/>
        <v>-</v>
      </c>
      <c r="P657" s="35" t="str">
        <f t="shared" si="64"/>
        <v>-</v>
      </c>
      <c r="Q657" s="32" t="str">
        <f t="shared" si="61"/>
        <v>-</v>
      </c>
      <c r="S657" s="32" t="str">
        <f t="shared" si="62"/>
        <v>-</v>
      </c>
    </row>
    <row r="658" spans="1:19" x14ac:dyDescent="0.3">
      <c r="A658" s="45" t="s">
        <v>2803</v>
      </c>
      <c r="B658" s="40" t="s">
        <v>759</v>
      </c>
      <c r="C658" s="41" t="s">
        <v>1816</v>
      </c>
      <c r="D658" s="21" t="s">
        <v>2224</v>
      </c>
      <c r="E658" s="21" t="s">
        <v>2222</v>
      </c>
      <c r="F658" s="24">
        <v>5.0624688428416671E-2</v>
      </c>
      <c r="G658" s="21">
        <v>12</v>
      </c>
      <c r="H658" s="17">
        <v>5.55</v>
      </c>
      <c r="I658" s="43" t="s">
        <v>3950</v>
      </c>
      <c r="J658" s="26"/>
      <c r="K658" s="17">
        <f t="shared" si="60"/>
        <v>0</v>
      </c>
      <c r="N658" s="31" t="str">
        <f t="shared" si="63"/>
        <v>-</v>
      </c>
      <c r="O658" s="31" t="str">
        <f t="shared" si="65"/>
        <v>-</v>
      </c>
      <c r="P658" s="35" t="str">
        <f t="shared" si="64"/>
        <v>-</v>
      </c>
      <c r="Q658" s="32" t="str">
        <f t="shared" si="61"/>
        <v>-</v>
      </c>
      <c r="S658" s="32" t="str">
        <f t="shared" si="62"/>
        <v>-</v>
      </c>
    </row>
    <row r="659" spans="1:19" x14ac:dyDescent="0.3">
      <c r="A659" s="45" t="s">
        <v>2804</v>
      </c>
      <c r="B659" s="40" t="s">
        <v>1088</v>
      </c>
      <c r="C659" s="41" t="s">
        <v>1816</v>
      </c>
      <c r="D659" s="21" t="s">
        <v>2227</v>
      </c>
      <c r="E659" s="21" t="s">
        <v>2222</v>
      </c>
      <c r="F659" s="24">
        <v>7.1217782026416682E-2</v>
      </c>
      <c r="G659" s="21">
        <v>12</v>
      </c>
      <c r="H659" s="17">
        <v>10.19</v>
      </c>
      <c r="I659" s="43" t="s">
        <v>3950</v>
      </c>
      <c r="J659" s="26"/>
      <c r="K659" s="17">
        <f t="shared" si="60"/>
        <v>0</v>
      </c>
      <c r="N659" s="31" t="str">
        <f t="shared" si="63"/>
        <v>-</v>
      </c>
      <c r="O659" s="31" t="str">
        <f t="shared" si="65"/>
        <v>-</v>
      </c>
      <c r="P659" s="35" t="str">
        <f t="shared" si="64"/>
        <v>-</v>
      </c>
      <c r="Q659" s="32" t="str">
        <f t="shared" si="61"/>
        <v>-</v>
      </c>
      <c r="S659" s="32" t="str">
        <f t="shared" si="62"/>
        <v>-</v>
      </c>
    </row>
    <row r="660" spans="1:19" x14ac:dyDescent="0.3">
      <c r="A660" s="45" t="s">
        <v>2807</v>
      </c>
      <c r="B660" s="40" t="s">
        <v>515</v>
      </c>
      <c r="C660" s="41" t="s">
        <v>1710</v>
      </c>
      <c r="D660" s="21" t="s">
        <v>2248</v>
      </c>
      <c r="E660" s="21" t="s">
        <v>2222</v>
      </c>
      <c r="F660" s="24">
        <v>3.5179868229916665E-2</v>
      </c>
      <c r="G660" s="21">
        <v>12</v>
      </c>
      <c r="H660" s="17">
        <v>8.1</v>
      </c>
      <c r="I660" s="43" t="s">
        <v>3950</v>
      </c>
      <c r="J660" s="26"/>
      <c r="K660" s="17">
        <f t="shared" si="60"/>
        <v>0</v>
      </c>
      <c r="N660" s="31" t="str">
        <f t="shared" si="63"/>
        <v>-</v>
      </c>
      <c r="O660" s="31" t="str">
        <f t="shared" si="65"/>
        <v>-</v>
      </c>
      <c r="P660" s="35" t="str">
        <f t="shared" si="64"/>
        <v>-</v>
      </c>
      <c r="Q660" s="32" t="str">
        <f t="shared" si="61"/>
        <v>-</v>
      </c>
      <c r="S660" s="32" t="str">
        <f t="shared" si="62"/>
        <v>-</v>
      </c>
    </row>
    <row r="661" spans="1:19" x14ac:dyDescent="0.3">
      <c r="A661" s="45" t="s">
        <v>2808</v>
      </c>
      <c r="B661" s="40" t="s">
        <v>1122</v>
      </c>
      <c r="C661" s="41" t="s">
        <v>1710</v>
      </c>
      <c r="D661" s="21" t="s">
        <v>2224</v>
      </c>
      <c r="E661" s="21" t="s">
        <v>2222</v>
      </c>
      <c r="F661" s="24">
        <v>4.5476415028916667E-2</v>
      </c>
      <c r="G661" s="21">
        <v>12</v>
      </c>
      <c r="H661" s="17">
        <v>17.989999999999998</v>
      </c>
      <c r="I661" s="43" t="s">
        <v>3950</v>
      </c>
      <c r="J661" s="26"/>
      <c r="K661" s="17">
        <f t="shared" si="60"/>
        <v>0</v>
      </c>
      <c r="N661" s="31" t="str">
        <f t="shared" si="63"/>
        <v>-</v>
      </c>
      <c r="O661" s="31" t="str">
        <f t="shared" si="65"/>
        <v>-</v>
      </c>
      <c r="P661" s="35" t="str">
        <f t="shared" si="64"/>
        <v>-</v>
      </c>
      <c r="Q661" s="32" t="str">
        <f t="shared" si="61"/>
        <v>-</v>
      </c>
      <c r="S661" s="32" t="str">
        <f t="shared" si="62"/>
        <v>-</v>
      </c>
    </row>
    <row r="662" spans="1:19" x14ac:dyDescent="0.3">
      <c r="A662" s="45" t="s">
        <v>2810</v>
      </c>
      <c r="B662" s="40" t="s">
        <v>1074</v>
      </c>
      <c r="C662" s="41" t="s">
        <v>1818</v>
      </c>
      <c r="D662" s="21" t="s">
        <v>2239</v>
      </c>
      <c r="E662" s="21" t="s">
        <v>2222</v>
      </c>
      <c r="F662" s="24">
        <v>0.14029045013637503</v>
      </c>
      <c r="G662" s="21">
        <v>12</v>
      </c>
      <c r="H662" s="17">
        <v>7.19</v>
      </c>
      <c r="I662" s="43" t="s">
        <v>3950</v>
      </c>
      <c r="J662" s="26"/>
      <c r="K662" s="17">
        <f t="shared" si="60"/>
        <v>0</v>
      </c>
      <c r="N662" s="31" t="str">
        <f t="shared" si="63"/>
        <v>-</v>
      </c>
      <c r="O662" s="31" t="str">
        <f t="shared" si="65"/>
        <v>-</v>
      </c>
      <c r="P662" s="35" t="str">
        <f t="shared" si="64"/>
        <v>-</v>
      </c>
      <c r="Q662" s="32" t="str">
        <f t="shared" si="61"/>
        <v>-</v>
      </c>
      <c r="S662" s="32" t="str">
        <f t="shared" si="62"/>
        <v>-</v>
      </c>
    </row>
    <row r="663" spans="1:19" x14ac:dyDescent="0.3">
      <c r="A663" s="45" t="s">
        <v>2812</v>
      </c>
      <c r="B663" s="40" t="s">
        <v>854</v>
      </c>
      <c r="C663" s="41" t="s">
        <v>1819</v>
      </c>
      <c r="D663" s="21" t="s">
        <v>2235</v>
      </c>
      <c r="E663" s="21" t="s">
        <v>2249</v>
      </c>
      <c r="F663" s="24">
        <v>0.17418325001641669</v>
      </c>
      <c r="G663" s="21">
        <v>12</v>
      </c>
      <c r="H663" s="17">
        <v>8.39</v>
      </c>
      <c r="I663" s="43" t="s">
        <v>3950</v>
      </c>
      <c r="J663" s="26"/>
      <c r="K663" s="17">
        <f t="shared" si="60"/>
        <v>0</v>
      </c>
      <c r="N663" s="31" t="str">
        <f t="shared" si="63"/>
        <v>-</v>
      </c>
      <c r="O663" s="31" t="str">
        <f t="shared" si="65"/>
        <v>-</v>
      </c>
      <c r="P663" s="35" t="str">
        <f t="shared" si="64"/>
        <v>-</v>
      </c>
      <c r="Q663" s="32" t="str">
        <f t="shared" si="61"/>
        <v>-</v>
      </c>
      <c r="S663" s="32" t="str">
        <f t="shared" si="62"/>
        <v>-</v>
      </c>
    </row>
    <row r="664" spans="1:19" x14ac:dyDescent="0.3">
      <c r="A664" s="45" t="s">
        <v>2813</v>
      </c>
      <c r="B664" s="40" t="s">
        <v>772</v>
      </c>
      <c r="C664" s="41" t="s">
        <v>1819</v>
      </c>
      <c r="D664" s="21" t="s">
        <v>2236</v>
      </c>
      <c r="E664" s="21" t="s">
        <v>2249</v>
      </c>
      <c r="F664" s="24">
        <v>0.32348317860191667</v>
      </c>
      <c r="G664" s="21">
        <v>12</v>
      </c>
      <c r="H664" s="17">
        <v>15.9</v>
      </c>
      <c r="I664" s="43" t="s">
        <v>3950</v>
      </c>
      <c r="J664" s="26"/>
      <c r="K664" s="17">
        <f t="shared" si="60"/>
        <v>0</v>
      </c>
      <c r="N664" s="31" t="str">
        <f t="shared" si="63"/>
        <v>-</v>
      </c>
      <c r="O664" s="31" t="str">
        <f t="shared" si="65"/>
        <v>-</v>
      </c>
      <c r="P664" s="35" t="str">
        <f t="shared" si="64"/>
        <v>-</v>
      </c>
      <c r="Q664" s="32" t="str">
        <f t="shared" si="61"/>
        <v>-</v>
      </c>
      <c r="S664" s="32" t="str">
        <f t="shared" si="62"/>
        <v>-</v>
      </c>
    </row>
    <row r="665" spans="1:19" x14ac:dyDescent="0.3">
      <c r="A665" s="45" t="s">
        <v>2818</v>
      </c>
      <c r="B665" s="40" t="s">
        <v>212</v>
      </c>
      <c r="C665" s="41" t="s">
        <v>1713</v>
      </c>
      <c r="D665" s="21" t="s">
        <v>2223</v>
      </c>
      <c r="E665" s="21" t="s">
        <v>2222</v>
      </c>
      <c r="F665" s="24">
        <v>3.5179868229916665E-2</v>
      </c>
      <c r="G665" s="21">
        <v>12</v>
      </c>
      <c r="H665" s="17">
        <v>17.989999999999998</v>
      </c>
      <c r="I665" s="43" t="s">
        <v>3950</v>
      </c>
      <c r="J665" s="26"/>
      <c r="K665" s="17">
        <f t="shared" si="60"/>
        <v>0</v>
      </c>
      <c r="N665" s="31" t="str">
        <f t="shared" si="63"/>
        <v>-</v>
      </c>
      <c r="O665" s="31" t="str">
        <f t="shared" si="65"/>
        <v>-</v>
      </c>
      <c r="P665" s="35" t="str">
        <f t="shared" si="64"/>
        <v>-</v>
      </c>
      <c r="Q665" s="32" t="str">
        <f t="shared" si="61"/>
        <v>-</v>
      </c>
      <c r="S665" s="32" t="str">
        <f t="shared" si="62"/>
        <v>-</v>
      </c>
    </row>
    <row r="666" spans="1:19" x14ac:dyDescent="0.3">
      <c r="A666" s="45" t="s">
        <v>2819</v>
      </c>
      <c r="B666" s="40" t="s">
        <v>1314</v>
      </c>
      <c r="C666" s="41" t="s">
        <v>1713</v>
      </c>
      <c r="D666" s="21" t="s">
        <v>2224</v>
      </c>
      <c r="E666" s="21" t="s">
        <v>2222</v>
      </c>
      <c r="F666" s="24">
        <v>4.5476415028916667E-2</v>
      </c>
      <c r="G666" s="21">
        <v>12</v>
      </c>
      <c r="H666" s="17">
        <v>35.1</v>
      </c>
      <c r="I666" s="43" t="s">
        <v>3950</v>
      </c>
      <c r="J666" s="26"/>
      <c r="K666" s="17">
        <f t="shared" si="60"/>
        <v>0</v>
      </c>
      <c r="N666" s="31" t="str">
        <f t="shared" si="63"/>
        <v>-</v>
      </c>
      <c r="O666" s="31" t="str">
        <f t="shared" si="65"/>
        <v>-</v>
      </c>
      <c r="P666" s="35" t="str">
        <f t="shared" si="64"/>
        <v>-</v>
      </c>
      <c r="Q666" s="32" t="str">
        <f t="shared" si="61"/>
        <v>-</v>
      </c>
      <c r="S666" s="32" t="str">
        <f t="shared" si="62"/>
        <v>-</v>
      </c>
    </row>
    <row r="667" spans="1:19" x14ac:dyDescent="0.3">
      <c r="A667" s="45" t="s">
        <v>2820</v>
      </c>
      <c r="B667" s="40" t="s">
        <v>1524</v>
      </c>
      <c r="C667" s="41" t="s">
        <v>1821</v>
      </c>
      <c r="D667" s="21" t="s">
        <v>2224</v>
      </c>
      <c r="E667" s="21" t="s">
        <v>2222</v>
      </c>
      <c r="F667" s="24">
        <v>0.15702233868474999</v>
      </c>
      <c r="G667" s="21">
        <v>12</v>
      </c>
      <c r="H667" s="17">
        <v>7.79</v>
      </c>
      <c r="I667" s="43" t="s">
        <v>3950</v>
      </c>
      <c r="J667" s="26"/>
      <c r="K667" s="17">
        <f t="shared" si="60"/>
        <v>0</v>
      </c>
      <c r="N667" s="31" t="str">
        <f t="shared" si="63"/>
        <v>-</v>
      </c>
      <c r="O667" s="31" t="str">
        <f t="shared" si="65"/>
        <v>-</v>
      </c>
      <c r="P667" s="35" t="str">
        <f t="shared" si="64"/>
        <v>-</v>
      </c>
      <c r="Q667" s="32" t="str">
        <f t="shared" si="61"/>
        <v>-</v>
      </c>
      <c r="S667" s="32" t="str">
        <f t="shared" si="62"/>
        <v>-</v>
      </c>
    </row>
    <row r="668" spans="1:19" x14ac:dyDescent="0.3">
      <c r="A668" s="45" t="s">
        <v>2821</v>
      </c>
      <c r="B668" s="40" t="s">
        <v>1525</v>
      </c>
      <c r="C668" s="41" t="s">
        <v>1821</v>
      </c>
      <c r="D668" s="21" t="s">
        <v>2227</v>
      </c>
      <c r="E668" s="21" t="s">
        <v>2222</v>
      </c>
      <c r="F668" s="24">
        <v>0.30117399387075</v>
      </c>
      <c r="G668" s="21">
        <v>12</v>
      </c>
      <c r="H668" s="17">
        <v>14.7</v>
      </c>
      <c r="I668" s="43" t="s">
        <v>3950</v>
      </c>
      <c r="J668" s="26"/>
      <c r="K668" s="17">
        <f t="shared" si="60"/>
        <v>0</v>
      </c>
      <c r="N668" s="31" t="str">
        <f t="shared" si="63"/>
        <v>-</v>
      </c>
      <c r="O668" s="31" t="str">
        <f t="shared" si="65"/>
        <v>-</v>
      </c>
      <c r="P668" s="35" t="str">
        <f t="shared" si="64"/>
        <v>-</v>
      </c>
      <c r="Q668" s="32" t="str">
        <f t="shared" si="61"/>
        <v>-</v>
      </c>
      <c r="S668" s="32" t="str">
        <f t="shared" si="62"/>
        <v>-</v>
      </c>
    </row>
    <row r="669" spans="1:19" x14ac:dyDescent="0.3">
      <c r="A669" s="45" t="s">
        <v>2822</v>
      </c>
      <c r="B669" s="40" t="s">
        <v>707</v>
      </c>
      <c r="C669" s="41" t="s">
        <v>1822</v>
      </c>
      <c r="D669" s="21" t="s">
        <v>2221</v>
      </c>
      <c r="E669" s="21" t="s">
        <v>2222</v>
      </c>
      <c r="F669" s="24">
        <v>7.7224100992499989E-2</v>
      </c>
      <c r="G669" s="21">
        <v>12</v>
      </c>
      <c r="H669" s="17">
        <v>4.79</v>
      </c>
      <c r="I669" s="43" t="s">
        <v>3950</v>
      </c>
      <c r="J669" s="26"/>
      <c r="K669" s="17">
        <f t="shared" si="60"/>
        <v>0</v>
      </c>
      <c r="N669" s="31" t="str">
        <f t="shared" si="63"/>
        <v>-</v>
      </c>
      <c r="O669" s="31" t="str">
        <f t="shared" si="65"/>
        <v>-</v>
      </c>
      <c r="P669" s="35" t="str">
        <f t="shared" si="64"/>
        <v>-</v>
      </c>
      <c r="Q669" s="32" t="str">
        <f t="shared" si="61"/>
        <v>-</v>
      </c>
      <c r="S669" s="32" t="str">
        <f t="shared" si="62"/>
        <v>-</v>
      </c>
    </row>
    <row r="670" spans="1:19" x14ac:dyDescent="0.3">
      <c r="A670" s="45" t="s">
        <v>2823</v>
      </c>
      <c r="B670" s="40" t="s">
        <v>790</v>
      </c>
      <c r="C670" s="41" t="s">
        <v>1822</v>
      </c>
      <c r="D670" s="21" t="s">
        <v>2245</v>
      </c>
      <c r="E670" s="21" t="s">
        <v>2222</v>
      </c>
      <c r="F670" s="24">
        <v>0.16903497661691669</v>
      </c>
      <c r="G670" s="21">
        <v>12</v>
      </c>
      <c r="H670" s="17">
        <v>11.1</v>
      </c>
      <c r="I670" s="43" t="s">
        <v>3950</v>
      </c>
      <c r="J670" s="26"/>
      <c r="K670" s="17">
        <f t="shared" si="60"/>
        <v>0</v>
      </c>
      <c r="N670" s="31" t="str">
        <f t="shared" si="63"/>
        <v>-</v>
      </c>
      <c r="O670" s="31" t="str">
        <f t="shared" si="65"/>
        <v>-</v>
      </c>
      <c r="P670" s="35" t="str">
        <f t="shared" si="64"/>
        <v>-</v>
      </c>
      <c r="Q670" s="32" t="str">
        <f t="shared" si="61"/>
        <v>-</v>
      </c>
      <c r="S670" s="32" t="str">
        <f t="shared" si="62"/>
        <v>-</v>
      </c>
    </row>
    <row r="671" spans="1:19" x14ac:dyDescent="0.3">
      <c r="A671" s="45" t="s">
        <v>2824</v>
      </c>
      <c r="B671" s="40" t="s">
        <v>57</v>
      </c>
      <c r="C671" s="41" t="s">
        <v>1682</v>
      </c>
      <c r="D671" s="21" t="s">
        <v>2223</v>
      </c>
      <c r="E671" s="21" t="s">
        <v>2222</v>
      </c>
      <c r="F671" s="24">
        <v>6.606950862691667E-2</v>
      </c>
      <c r="G671" s="21">
        <v>12</v>
      </c>
      <c r="H671" s="17">
        <v>5.55</v>
      </c>
      <c r="I671" s="43" t="s">
        <v>3950</v>
      </c>
      <c r="J671" s="26"/>
      <c r="K671" s="17">
        <f t="shared" si="60"/>
        <v>0</v>
      </c>
      <c r="N671" s="31" t="str">
        <f t="shared" si="63"/>
        <v>-</v>
      </c>
      <c r="O671" s="31" t="str">
        <f t="shared" si="65"/>
        <v>-</v>
      </c>
      <c r="P671" s="35" t="str">
        <f t="shared" si="64"/>
        <v>-</v>
      </c>
      <c r="Q671" s="32" t="str">
        <f t="shared" si="61"/>
        <v>-</v>
      </c>
      <c r="S671" s="32" t="str">
        <f t="shared" si="62"/>
        <v>-</v>
      </c>
    </row>
    <row r="672" spans="1:19" x14ac:dyDescent="0.3">
      <c r="A672" s="45" t="s">
        <v>2825</v>
      </c>
      <c r="B672" s="40" t="s">
        <v>521</v>
      </c>
      <c r="C672" s="41" t="s">
        <v>1682</v>
      </c>
      <c r="D672" s="21" t="s">
        <v>2224</v>
      </c>
      <c r="E672" s="21" t="s">
        <v>2222</v>
      </c>
      <c r="F672" s="24">
        <v>0.10811374138950001</v>
      </c>
      <c r="G672" s="21">
        <v>12</v>
      </c>
      <c r="H672" s="17">
        <v>10.5</v>
      </c>
      <c r="I672" s="43" t="s">
        <v>3950</v>
      </c>
      <c r="J672" s="26"/>
      <c r="K672" s="17">
        <f t="shared" si="60"/>
        <v>0</v>
      </c>
      <c r="N672" s="31" t="str">
        <f t="shared" si="63"/>
        <v>-</v>
      </c>
      <c r="O672" s="31" t="str">
        <f t="shared" si="65"/>
        <v>-</v>
      </c>
      <c r="P672" s="35" t="str">
        <f t="shared" si="64"/>
        <v>-</v>
      </c>
      <c r="Q672" s="32" t="str">
        <f t="shared" si="61"/>
        <v>-</v>
      </c>
      <c r="S672" s="32" t="str">
        <f t="shared" si="62"/>
        <v>-</v>
      </c>
    </row>
    <row r="673" spans="1:19" x14ac:dyDescent="0.3">
      <c r="A673" s="45" t="s">
        <v>2826</v>
      </c>
      <c r="B673" s="40" t="s">
        <v>1526</v>
      </c>
      <c r="C673" s="41" t="s">
        <v>1823</v>
      </c>
      <c r="D673" s="21" t="s">
        <v>2223</v>
      </c>
      <c r="E673" s="21" t="s">
        <v>2222</v>
      </c>
      <c r="F673" s="24">
        <v>6.0921235227416673E-2</v>
      </c>
      <c r="G673" s="21">
        <v>12</v>
      </c>
      <c r="H673" s="17">
        <v>8.99</v>
      </c>
      <c r="I673" s="43" t="s">
        <v>3950</v>
      </c>
      <c r="J673" s="26"/>
      <c r="K673" s="17">
        <f t="shared" si="60"/>
        <v>0</v>
      </c>
      <c r="N673" s="31" t="str">
        <f t="shared" si="63"/>
        <v>-</v>
      </c>
      <c r="O673" s="31" t="str">
        <f t="shared" si="65"/>
        <v>-</v>
      </c>
      <c r="P673" s="35" t="str">
        <f t="shared" si="64"/>
        <v>-</v>
      </c>
      <c r="Q673" s="32" t="str">
        <f t="shared" si="61"/>
        <v>-</v>
      </c>
      <c r="S673" s="32" t="str">
        <f t="shared" si="62"/>
        <v>-</v>
      </c>
    </row>
    <row r="674" spans="1:19" x14ac:dyDescent="0.3">
      <c r="A674" s="45" t="s">
        <v>2827</v>
      </c>
      <c r="B674" s="40" t="s">
        <v>1527</v>
      </c>
      <c r="C674" s="41" t="s">
        <v>1823</v>
      </c>
      <c r="D674" s="21" t="s">
        <v>2224</v>
      </c>
      <c r="E674" s="21" t="s">
        <v>2222</v>
      </c>
      <c r="F674" s="24">
        <v>9.7817194590499992E-2</v>
      </c>
      <c r="G674" s="21">
        <v>12</v>
      </c>
      <c r="H674" s="17">
        <v>16.95</v>
      </c>
      <c r="I674" s="43" t="s">
        <v>3950</v>
      </c>
      <c r="J674" s="26"/>
      <c r="K674" s="17">
        <f t="shared" si="60"/>
        <v>0</v>
      </c>
      <c r="N674" s="31" t="str">
        <f t="shared" si="63"/>
        <v>-</v>
      </c>
      <c r="O674" s="31" t="str">
        <f t="shared" si="65"/>
        <v>-</v>
      </c>
      <c r="P674" s="35" t="str">
        <f t="shared" si="64"/>
        <v>-</v>
      </c>
      <c r="Q674" s="32" t="str">
        <f t="shared" si="61"/>
        <v>-</v>
      </c>
      <c r="S674" s="32" t="str">
        <f t="shared" si="62"/>
        <v>-</v>
      </c>
    </row>
    <row r="675" spans="1:19" x14ac:dyDescent="0.3">
      <c r="A675" s="45" t="s">
        <v>2828</v>
      </c>
      <c r="B675" s="40" t="s">
        <v>1528</v>
      </c>
      <c r="C675" s="41" t="s">
        <v>1823</v>
      </c>
      <c r="D675" s="21" t="s">
        <v>2227</v>
      </c>
      <c r="E675" s="21" t="s">
        <v>2222</v>
      </c>
      <c r="F675" s="24">
        <v>0.18447979681541668</v>
      </c>
      <c r="G675" s="21">
        <v>12</v>
      </c>
      <c r="H675" s="17">
        <v>32.1</v>
      </c>
      <c r="I675" s="43" t="s">
        <v>3950</v>
      </c>
      <c r="J675" s="26"/>
      <c r="K675" s="17">
        <f t="shared" si="60"/>
        <v>0</v>
      </c>
      <c r="N675" s="31" t="str">
        <f t="shared" si="63"/>
        <v>-</v>
      </c>
      <c r="O675" s="31" t="str">
        <f t="shared" si="65"/>
        <v>-</v>
      </c>
      <c r="P675" s="35" t="str">
        <f t="shared" si="64"/>
        <v>-</v>
      </c>
      <c r="Q675" s="32" t="str">
        <f t="shared" si="61"/>
        <v>-</v>
      </c>
      <c r="S675" s="32" t="str">
        <f t="shared" si="62"/>
        <v>-</v>
      </c>
    </row>
    <row r="676" spans="1:19" x14ac:dyDescent="0.3">
      <c r="A676" s="45" t="s">
        <v>2830</v>
      </c>
      <c r="B676" s="40" t="s">
        <v>218</v>
      </c>
      <c r="C676" s="41" t="s">
        <v>1742</v>
      </c>
      <c r="D676" s="21" t="s">
        <v>2224</v>
      </c>
      <c r="E676" s="21" t="s">
        <v>2234</v>
      </c>
      <c r="F676" s="24">
        <v>5.5772961827916676E-2</v>
      </c>
      <c r="G676" s="21">
        <v>12</v>
      </c>
      <c r="H676" s="17">
        <v>12.75</v>
      </c>
      <c r="I676" s="43" t="s">
        <v>3950</v>
      </c>
      <c r="J676" s="26"/>
      <c r="K676" s="17">
        <f t="shared" si="60"/>
        <v>0</v>
      </c>
      <c r="N676" s="31" t="str">
        <f t="shared" si="63"/>
        <v>-</v>
      </c>
      <c r="O676" s="31" t="str">
        <f t="shared" si="65"/>
        <v>-</v>
      </c>
      <c r="P676" s="35" t="str">
        <f t="shared" si="64"/>
        <v>-</v>
      </c>
      <c r="Q676" s="32" t="str">
        <f t="shared" si="61"/>
        <v>-</v>
      </c>
      <c r="S676" s="32" t="str">
        <f t="shared" si="62"/>
        <v>-</v>
      </c>
    </row>
    <row r="677" spans="1:19" x14ac:dyDescent="0.3">
      <c r="A677" s="45" t="s">
        <v>2832</v>
      </c>
      <c r="B677" s="40" t="s">
        <v>232</v>
      </c>
      <c r="C677" s="41" t="s">
        <v>1824</v>
      </c>
      <c r="D677" s="21" t="s">
        <v>2227</v>
      </c>
      <c r="E677" s="21" t="s">
        <v>2222</v>
      </c>
      <c r="F677" s="24">
        <v>0.21794357391216668</v>
      </c>
      <c r="G677" s="21">
        <v>12</v>
      </c>
      <c r="H677" s="17">
        <v>13.19</v>
      </c>
      <c r="I677" s="43" t="s">
        <v>3950</v>
      </c>
      <c r="J677" s="26"/>
      <c r="K677" s="17">
        <f t="shared" si="60"/>
        <v>0</v>
      </c>
      <c r="N677" s="31" t="str">
        <f t="shared" si="63"/>
        <v>-</v>
      </c>
      <c r="O677" s="31" t="str">
        <f t="shared" si="65"/>
        <v>-</v>
      </c>
      <c r="P677" s="35" t="str">
        <f t="shared" si="64"/>
        <v>-</v>
      </c>
      <c r="Q677" s="32" t="str">
        <f t="shared" si="61"/>
        <v>-</v>
      </c>
      <c r="S677" s="32" t="str">
        <f t="shared" si="62"/>
        <v>-</v>
      </c>
    </row>
    <row r="678" spans="1:19" x14ac:dyDescent="0.3">
      <c r="A678" s="45" t="s">
        <v>2833</v>
      </c>
      <c r="B678" s="40" t="s">
        <v>86</v>
      </c>
      <c r="C678" s="41" t="s">
        <v>1824</v>
      </c>
      <c r="D678" s="21" t="s">
        <v>2233</v>
      </c>
      <c r="E678" s="21" t="s">
        <v>2222</v>
      </c>
      <c r="F678" s="24">
        <v>0.40842968969366672</v>
      </c>
      <c r="G678" s="21">
        <v>12</v>
      </c>
      <c r="H678" s="17">
        <v>25.19</v>
      </c>
      <c r="I678" s="43" t="s">
        <v>3950</v>
      </c>
      <c r="J678" s="26"/>
      <c r="K678" s="17">
        <f t="shared" si="60"/>
        <v>0</v>
      </c>
      <c r="N678" s="31" t="str">
        <f t="shared" si="63"/>
        <v>-</v>
      </c>
      <c r="O678" s="31" t="str">
        <f t="shared" si="65"/>
        <v>-</v>
      </c>
      <c r="P678" s="35" t="str">
        <f t="shared" si="64"/>
        <v>-</v>
      </c>
      <c r="Q678" s="32" t="str">
        <f t="shared" si="61"/>
        <v>-</v>
      </c>
      <c r="S678" s="32" t="str">
        <f t="shared" si="62"/>
        <v>-</v>
      </c>
    </row>
    <row r="679" spans="1:19" x14ac:dyDescent="0.3">
      <c r="A679" s="45" t="s">
        <v>2834</v>
      </c>
      <c r="B679" s="40" t="s">
        <v>22</v>
      </c>
      <c r="C679" s="41" t="s">
        <v>1825</v>
      </c>
      <c r="D679" s="21" t="s">
        <v>2224</v>
      </c>
      <c r="E679" s="21" t="s">
        <v>2222</v>
      </c>
      <c r="F679" s="24">
        <v>4.5476415028916667E-2</v>
      </c>
      <c r="G679" s="21">
        <v>12</v>
      </c>
      <c r="H679" s="17">
        <v>4.79</v>
      </c>
      <c r="I679" s="43" t="s">
        <v>3950</v>
      </c>
      <c r="J679" s="26"/>
      <c r="K679" s="17">
        <f t="shared" si="60"/>
        <v>0</v>
      </c>
      <c r="N679" s="31" t="str">
        <f t="shared" si="63"/>
        <v>-</v>
      </c>
      <c r="O679" s="31" t="str">
        <f t="shared" si="65"/>
        <v>-</v>
      </c>
      <c r="P679" s="35" t="str">
        <f t="shared" si="64"/>
        <v>-</v>
      </c>
      <c r="Q679" s="32" t="str">
        <f t="shared" si="61"/>
        <v>-</v>
      </c>
      <c r="S679" s="32" t="str">
        <f t="shared" si="62"/>
        <v>-</v>
      </c>
    </row>
    <row r="680" spans="1:19" x14ac:dyDescent="0.3">
      <c r="A680" s="45" t="s">
        <v>2835</v>
      </c>
      <c r="B680" s="40" t="s">
        <v>961</v>
      </c>
      <c r="C680" s="41" t="s">
        <v>1826</v>
      </c>
      <c r="D680" s="21" t="s">
        <v>2239</v>
      </c>
      <c r="E680" s="21" t="s">
        <v>2222</v>
      </c>
      <c r="F680" s="24">
        <v>0.10425253633987501</v>
      </c>
      <c r="G680" s="21">
        <v>12</v>
      </c>
      <c r="H680" s="17">
        <v>7.79</v>
      </c>
      <c r="I680" s="43" t="s">
        <v>3950</v>
      </c>
      <c r="J680" s="26"/>
      <c r="K680" s="17">
        <f t="shared" si="60"/>
        <v>0</v>
      </c>
      <c r="N680" s="31" t="str">
        <f t="shared" si="63"/>
        <v>-</v>
      </c>
      <c r="O680" s="31" t="str">
        <f t="shared" si="65"/>
        <v>-</v>
      </c>
      <c r="P680" s="35" t="str">
        <f t="shared" si="64"/>
        <v>-</v>
      </c>
      <c r="Q680" s="32" t="str">
        <f t="shared" si="61"/>
        <v>-</v>
      </c>
      <c r="S680" s="32" t="str">
        <f t="shared" si="62"/>
        <v>-</v>
      </c>
    </row>
    <row r="681" spans="1:19" x14ac:dyDescent="0.3">
      <c r="A681" s="45" t="s">
        <v>2836</v>
      </c>
      <c r="B681" s="40" t="s">
        <v>511</v>
      </c>
      <c r="C681" s="41" t="s">
        <v>1826</v>
      </c>
      <c r="D681" s="21" t="s">
        <v>2221</v>
      </c>
      <c r="E681" s="21" t="s">
        <v>2222</v>
      </c>
      <c r="F681" s="24">
        <v>0.19220220691466666</v>
      </c>
      <c r="G681" s="21">
        <v>12</v>
      </c>
      <c r="H681" s="17">
        <v>14.7</v>
      </c>
      <c r="I681" s="43" t="s">
        <v>3950</v>
      </c>
      <c r="J681" s="26"/>
      <c r="K681" s="17">
        <f t="shared" si="60"/>
        <v>0</v>
      </c>
      <c r="N681" s="31" t="str">
        <f t="shared" si="63"/>
        <v>-</v>
      </c>
      <c r="O681" s="31" t="str">
        <f t="shared" si="65"/>
        <v>-</v>
      </c>
      <c r="P681" s="35" t="str">
        <f t="shared" si="64"/>
        <v>-</v>
      </c>
      <c r="Q681" s="32" t="str">
        <f t="shared" si="61"/>
        <v>-</v>
      </c>
      <c r="S681" s="32" t="str">
        <f t="shared" si="62"/>
        <v>-</v>
      </c>
    </row>
    <row r="682" spans="1:19" x14ac:dyDescent="0.3">
      <c r="A682" s="45" t="s">
        <v>2837</v>
      </c>
      <c r="B682" s="40" t="s">
        <v>1529</v>
      </c>
      <c r="C682" s="41" t="s">
        <v>1604</v>
      </c>
      <c r="D682" s="21" t="s">
        <v>2233</v>
      </c>
      <c r="E682" s="21" t="s">
        <v>2222</v>
      </c>
      <c r="F682" s="24">
        <v>0.56116180054550013</v>
      </c>
      <c r="G682" s="21">
        <v>12</v>
      </c>
      <c r="H682" s="17">
        <v>32.39</v>
      </c>
      <c r="I682" s="43" t="s">
        <v>3950</v>
      </c>
      <c r="J682" s="26"/>
      <c r="K682" s="17">
        <f t="shared" si="60"/>
        <v>0</v>
      </c>
      <c r="N682" s="31" t="str">
        <f t="shared" si="63"/>
        <v>-</v>
      </c>
      <c r="O682" s="31" t="str">
        <f t="shared" si="65"/>
        <v>-</v>
      </c>
      <c r="P682" s="35" t="str">
        <f t="shared" si="64"/>
        <v>-</v>
      </c>
      <c r="Q682" s="32" t="str">
        <f t="shared" si="61"/>
        <v>-</v>
      </c>
      <c r="S682" s="32" t="str">
        <f t="shared" si="62"/>
        <v>-</v>
      </c>
    </row>
    <row r="683" spans="1:19" x14ac:dyDescent="0.3">
      <c r="A683" s="45" t="s">
        <v>2838</v>
      </c>
      <c r="B683" s="40" t="s">
        <v>415</v>
      </c>
      <c r="C683" s="41" t="s">
        <v>1827</v>
      </c>
      <c r="D683" s="21" t="s">
        <v>2224</v>
      </c>
      <c r="E683" s="21" t="s">
        <v>2222</v>
      </c>
      <c r="F683" s="24">
        <v>6.0921235227416673E-2</v>
      </c>
      <c r="G683" s="21">
        <v>12</v>
      </c>
      <c r="H683" s="17">
        <v>6.75</v>
      </c>
      <c r="I683" s="43" t="s">
        <v>3950</v>
      </c>
      <c r="J683" s="26"/>
      <c r="K683" s="17">
        <f t="shared" si="60"/>
        <v>0</v>
      </c>
      <c r="N683" s="31" t="str">
        <f t="shared" si="63"/>
        <v>-</v>
      </c>
      <c r="O683" s="31" t="str">
        <f t="shared" si="65"/>
        <v>-</v>
      </c>
      <c r="P683" s="35" t="str">
        <f t="shared" si="64"/>
        <v>-</v>
      </c>
      <c r="Q683" s="32" t="str">
        <f t="shared" si="61"/>
        <v>-</v>
      </c>
      <c r="S683" s="32" t="str">
        <f t="shared" si="62"/>
        <v>-</v>
      </c>
    </row>
    <row r="684" spans="1:19" x14ac:dyDescent="0.3">
      <c r="A684" s="45" t="s">
        <v>2839</v>
      </c>
      <c r="B684" s="40" t="s">
        <v>416</v>
      </c>
      <c r="C684" s="41" t="s">
        <v>1827</v>
      </c>
      <c r="D684" s="21" t="s">
        <v>2227</v>
      </c>
      <c r="E684" s="21" t="s">
        <v>2222</v>
      </c>
      <c r="F684" s="24">
        <v>0.10425253633987501</v>
      </c>
      <c r="G684" s="21">
        <v>12</v>
      </c>
      <c r="H684" s="17">
        <v>12.3</v>
      </c>
      <c r="I684" s="43" t="s">
        <v>3950</v>
      </c>
      <c r="J684" s="26"/>
      <c r="K684" s="17">
        <f t="shared" si="60"/>
        <v>0</v>
      </c>
      <c r="N684" s="31" t="str">
        <f t="shared" si="63"/>
        <v>-</v>
      </c>
      <c r="O684" s="31" t="str">
        <f t="shared" si="65"/>
        <v>-</v>
      </c>
      <c r="P684" s="35" t="str">
        <f t="shared" si="64"/>
        <v>-</v>
      </c>
      <c r="Q684" s="32" t="str">
        <f t="shared" si="61"/>
        <v>-</v>
      </c>
      <c r="S684" s="32" t="str">
        <f t="shared" si="62"/>
        <v>-</v>
      </c>
    </row>
    <row r="685" spans="1:19" x14ac:dyDescent="0.3">
      <c r="A685" s="45" t="s">
        <v>2840</v>
      </c>
      <c r="B685" s="40" t="s">
        <v>247</v>
      </c>
      <c r="C685" s="41" t="s">
        <v>1827</v>
      </c>
      <c r="D685" s="21" t="s">
        <v>2233</v>
      </c>
      <c r="E685" s="21" t="s">
        <v>2222</v>
      </c>
      <c r="F685" s="24">
        <v>0.18190566011566667</v>
      </c>
      <c r="G685" s="21">
        <v>12</v>
      </c>
      <c r="H685" s="17">
        <v>22.79</v>
      </c>
      <c r="I685" s="43" t="s">
        <v>3950</v>
      </c>
      <c r="J685" s="26"/>
      <c r="K685" s="17">
        <f t="shared" si="60"/>
        <v>0</v>
      </c>
      <c r="N685" s="31" t="str">
        <f t="shared" si="63"/>
        <v>-</v>
      </c>
      <c r="O685" s="31" t="str">
        <f t="shared" si="65"/>
        <v>-</v>
      </c>
      <c r="P685" s="35" t="str">
        <f t="shared" si="64"/>
        <v>-</v>
      </c>
      <c r="Q685" s="32" t="str">
        <f t="shared" si="61"/>
        <v>-</v>
      </c>
      <c r="S685" s="32" t="str">
        <f t="shared" si="62"/>
        <v>-</v>
      </c>
    </row>
    <row r="686" spans="1:19" x14ac:dyDescent="0.3">
      <c r="A686" s="45" t="s">
        <v>2841</v>
      </c>
      <c r="B686" s="40" t="s">
        <v>1411</v>
      </c>
      <c r="C686" s="41" t="s">
        <v>1827</v>
      </c>
      <c r="D686" s="21" t="s">
        <v>2227</v>
      </c>
      <c r="E686" s="21" t="s">
        <v>2234</v>
      </c>
      <c r="F686" s="24">
        <v>9.3955989540875015E-2</v>
      </c>
      <c r="G686" s="21">
        <v>12</v>
      </c>
      <c r="H686" s="17">
        <v>11.99</v>
      </c>
      <c r="I686" s="43" t="s">
        <v>3950</v>
      </c>
      <c r="J686" s="26"/>
      <c r="K686" s="17">
        <f t="shared" si="60"/>
        <v>0</v>
      </c>
      <c r="N686" s="31" t="str">
        <f t="shared" si="63"/>
        <v>-</v>
      </c>
      <c r="O686" s="31" t="str">
        <f t="shared" si="65"/>
        <v>-</v>
      </c>
      <c r="P686" s="35" t="str">
        <f t="shared" si="64"/>
        <v>-</v>
      </c>
      <c r="Q686" s="32" t="str">
        <f t="shared" si="61"/>
        <v>-</v>
      </c>
      <c r="S686" s="32" t="str">
        <f t="shared" si="62"/>
        <v>-</v>
      </c>
    </row>
    <row r="687" spans="1:19" x14ac:dyDescent="0.3">
      <c r="A687" s="45" t="s">
        <v>2842</v>
      </c>
      <c r="B687" s="40" t="s">
        <v>207</v>
      </c>
      <c r="C687" s="41" t="s">
        <v>1827</v>
      </c>
      <c r="D687" s="21" t="s">
        <v>2233</v>
      </c>
      <c r="E687" s="21" t="s">
        <v>2234</v>
      </c>
      <c r="F687" s="24">
        <v>0.17761543228274998</v>
      </c>
      <c r="G687" s="21">
        <v>12</v>
      </c>
      <c r="H687" s="17">
        <v>22.19</v>
      </c>
      <c r="I687" s="43" t="s">
        <v>3950</v>
      </c>
      <c r="J687" s="26"/>
      <c r="K687" s="17">
        <f t="shared" si="60"/>
        <v>0</v>
      </c>
      <c r="N687" s="31" t="str">
        <f t="shared" si="63"/>
        <v>-</v>
      </c>
      <c r="O687" s="31" t="str">
        <f t="shared" si="65"/>
        <v>-</v>
      </c>
      <c r="P687" s="35" t="str">
        <f t="shared" si="64"/>
        <v>-</v>
      </c>
      <c r="Q687" s="32" t="str">
        <f t="shared" si="61"/>
        <v>-</v>
      </c>
      <c r="S687" s="32" t="str">
        <f t="shared" si="62"/>
        <v>-</v>
      </c>
    </row>
    <row r="688" spans="1:19" x14ac:dyDescent="0.3">
      <c r="A688" s="45" t="s">
        <v>2844</v>
      </c>
      <c r="B688" s="40" t="s">
        <v>368</v>
      </c>
      <c r="C688" s="41" t="s">
        <v>1828</v>
      </c>
      <c r="D688" s="21" t="s">
        <v>2227</v>
      </c>
      <c r="E688" s="21" t="s">
        <v>2222</v>
      </c>
      <c r="F688" s="24">
        <v>0.13514217673687501</v>
      </c>
      <c r="G688" s="21">
        <v>12</v>
      </c>
      <c r="H688" s="17">
        <v>10.79</v>
      </c>
      <c r="I688" s="43" t="s">
        <v>3950</v>
      </c>
      <c r="J688" s="26"/>
      <c r="K688" s="17">
        <f t="shared" si="60"/>
        <v>0</v>
      </c>
      <c r="N688" s="31" t="str">
        <f t="shared" si="63"/>
        <v>-</v>
      </c>
      <c r="O688" s="31" t="str">
        <f t="shared" si="65"/>
        <v>-</v>
      </c>
      <c r="P688" s="35" t="str">
        <f t="shared" si="64"/>
        <v>-</v>
      </c>
      <c r="Q688" s="32" t="str">
        <f t="shared" si="61"/>
        <v>-</v>
      </c>
      <c r="S688" s="32" t="str">
        <f t="shared" si="62"/>
        <v>-</v>
      </c>
    </row>
    <row r="689" spans="1:19" x14ac:dyDescent="0.3">
      <c r="A689" s="45" t="s">
        <v>2845</v>
      </c>
      <c r="B689" s="40" t="s">
        <v>578</v>
      </c>
      <c r="C689" s="41" t="s">
        <v>1690</v>
      </c>
      <c r="D689" s="21" t="s">
        <v>2226</v>
      </c>
      <c r="E689" s="21" t="s">
        <v>2232</v>
      </c>
      <c r="F689" s="24">
        <v>0.19735048031416669</v>
      </c>
      <c r="G689" s="21">
        <v>12</v>
      </c>
      <c r="H689" s="17">
        <v>19.79</v>
      </c>
      <c r="I689" s="43" t="s">
        <v>3950</v>
      </c>
      <c r="J689" s="26"/>
      <c r="K689" s="17">
        <f t="shared" si="60"/>
        <v>0</v>
      </c>
      <c r="N689" s="31" t="str">
        <f t="shared" si="63"/>
        <v>-</v>
      </c>
      <c r="O689" s="31" t="str">
        <f t="shared" si="65"/>
        <v>-</v>
      </c>
      <c r="P689" s="35" t="str">
        <f t="shared" si="64"/>
        <v>-</v>
      </c>
      <c r="Q689" s="32" t="str">
        <f t="shared" si="61"/>
        <v>-</v>
      </c>
      <c r="S689" s="32" t="str">
        <f t="shared" si="62"/>
        <v>-</v>
      </c>
    </row>
    <row r="690" spans="1:19" x14ac:dyDescent="0.3">
      <c r="A690" s="45" t="s">
        <v>2846</v>
      </c>
      <c r="B690" s="40" t="s">
        <v>234</v>
      </c>
      <c r="C690" s="41" t="s">
        <v>1629</v>
      </c>
      <c r="D690" s="21" t="s">
        <v>2223</v>
      </c>
      <c r="E690" s="21" t="s">
        <v>2232</v>
      </c>
      <c r="F690" s="24">
        <v>9.2668921191000023E-2</v>
      </c>
      <c r="G690" s="21">
        <v>12</v>
      </c>
      <c r="H690" s="17">
        <v>10.79</v>
      </c>
      <c r="I690" s="43" t="s">
        <v>3950</v>
      </c>
      <c r="J690" s="26"/>
      <c r="K690" s="17">
        <f t="shared" si="60"/>
        <v>0</v>
      </c>
      <c r="N690" s="31" t="str">
        <f t="shared" si="63"/>
        <v>-</v>
      </c>
      <c r="O690" s="31" t="str">
        <f t="shared" si="65"/>
        <v>-</v>
      </c>
      <c r="P690" s="35" t="str">
        <f t="shared" si="64"/>
        <v>-</v>
      </c>
      <c r="Q690" s="32" t="str">
        <f t="shared" si="61"/>
        <v>-</v>
      </c>
      <c r="S690" s="32" t="str">
        <f t="shared" si="62"/>
        <v>-</v>
      </c>
    </row>
    <row r="691" spans="1:19" x14ac:dyDescent="0.3">
      <c r="A691" s="45" t="s">
        <v>2847</v>
      </c>
      <c r="B691" s="40" t="s">
        <v>851</v>
      </c>
      <c r="C691" s="41" t="s">
        <v>1629</v>
      </c>
      <c r="D691" s="21" t="s">
        <v>2224</v>
      </c>
      <c r="E691" s="21" t="s">
        <v>2232</v>
      </c>
      <c r="F691" s="24">
        <v>0.17675738671616667</v>
      </c>
      <c r="G691" s="21">
        <v>12</v>
      </c>
      <c r="H691" s="17">
        <v>20.39</v>
      </c>
      <c r="I691" s="43" t="s">
        <v>3950</v>
      </c>
      <c r="J691" s="26"/>
      <c r="K691" s="17">
        <f t="shared" si="60"/>
        <v>0</v>
      </c>
      <c r="N691" s="31" t="str">
        <f t="shared" si="63"/>
        <v>-</v>
      </c>
      <c r="O691" s="31" t="str">
        <f t="shared" si="65"/>
        <v>-</v>
      </c>
      <c r="P691" s="35" t="str">
        <f t="shared" si="64"/>
        <v>-</v>
      </c>
      <c r="Q691" s="32" t="str">
        <f t="shared" si="61"/>
        <v>-</v>
      </c>
      <c r="S691" s="32" t="str">
        <f t="shared" si="62"/>
        <v>-</v>
      </c>
    </row>
    <row r="692" spans="1:19" x14ac:dyDescent="0.3">
      <c r="A692" s="45" t="s">
        <v>2848</v>
      </c>
      <c r="B692" s="40" t="s">
        <v>17</v>
      </c>
      <c r="C692" s="41" t="s">
        <v>1829</v>
      </c>
      <c r="D692" s="21" t="s">
        <v>2231</v>
      </c>
      <c r="E692" s="21" t="s">
        <v>2222</v>
      </c>
      <c r="F692" s="24">
        <v>0.11583615148875001</v>
      </c>
      <c r="G692" s="21">
        <v>12</v>
      </c>
      <c r="H692" s="17">
        <v>9.4499999999999993</v>
      </c>
      <c r="I692" s="43" t="s">
        <v>3950</v>
      </c>
      <c r="J692" s="26"/>
      <c r="K692" s="17">
        <f t="shared" si="60"/>
        <v>0</v>
      </c>
      <c r="N692" s="31" t="str">
        <f t="shared" si="63"/>
        <v>-</v>
      </c>
      <c r="O692" s="31" t="str">
        <f t="shared" si="65"/>
        <v>-</v>
      </c>
      <c r="P692" s="35" t="str">
        <f t="shared" si="64"/>
        <v>-</v>
      </c>
      <c r="Q692" s="32" t="str">
        <f t="shared" si="61"/>
        <v>-</v>
      </c>
      <c r="S692" s="32" t="str">
        <f t="shared" si="62"/>
        <v>-</v>
      </c>
    </row>
    <row r="693" spans="1:19" x14ac:dyDescent="0.3">
      <c r="A693" s="45" t="s">
        <v>2849</v>
      </c>
      <c r="B693" s="40" t="s">
        <v>1218</v>
      </c>
      <c r="C693" s="41" t="s">
        <v>1829</v>
      </c>
      <c r="D693" s="21" t="s">
        <v>2225</v>
      </c>
      <c r="E693" s="21" t="s">
        <v>2222</v>
      </c>
      <c r="F693" s="24">
        <v>0.19220220691466666</v>
      </c>
      <c r="G693" s="21">
        <v>12</v>
      </c>
      <c r="H693" s="17">
        <v>17.7</v>
      </c>
      <c r="I693" s="43" t="s">
        <v>3950</v>
      </c>
      <c r="J693" s="26"/>
      <c r="K693" s="17">
        <f t="shared" si="60"/>
        <v>0</v>
      </c>
      <c r="N693" s="31" t="str">
        <f t="shared" si="63"/>
        <v>-</v>
      </c>
      <c r="O693" s="31" t="str">
        <f t="shared" si="65"/>
        <v>-</v>
      </c>
      <c r="P693" s="35" t="str">
        <f t="shared" si="64"/>
        <v>-</v>
      </c>
      <c r="Q693" s="32" t="str">
        <f t="shared" si="61"/>
        <v>-</v>
      </c>
      <c r="S693" s="32" t="str">
        <f t="shared" si="62"/>
        <v>-</v>
      </c>
    </row>
    <row r="694" spans="1:19" x14ac:dyDescent="0.3">
      <c r="A694" s="45" t="s">
        <v>2850</v>
      </c>
      <c r="B694" s="40" t="s">
        <v>657</v>
      </c>
      <c r="C694" s="41" t="s">
        <v>2281</v>
      </c>
      <c r="D694" s="21" t="s">
        <v>2224</v>
      </c>
      <c r="E694" s="21" t="s">
        <v>2238</v>
      </c>
      <c r="F694" s="24">
        <v>0.21794357391216668</v>
      </c>
      <c r="G694" s="21">
        <v>12</v>
      </c>
      <c r="H694" s="17">
        <v>8.1</v>
      </c>
      <c r="I694" s="43" t="s">
        <v>3950</v>
      </c>
      <c r="J694" s="26"/>
      <c r="K694" s="17">
        <f t="shared" si="60"/>
        <v>0</v>
      </c>
      <c r="N694" s="31" t="str">
        <f t="shared" si="63"/>
        <v>-</v>
      </c>
      <c r="O694" s="31" t="str">
        <f t="shared" si="65"/>
        <v>-</v>
      </c>
      <c r="P694" s="35" t="str">
        <f t="shared" si="64"/>
        <v>-</v>
      </c>
      <c r="Q694" s="32" t="str">
        <f t="shared" si="61"/>
        <v>-</v>
      </c>
      <c r="S694" s="32" t="str">
        <f t="shared" si="62"/>
        <v>-</v>
      </c>
    </row>
    <row r="695" spans="1:19" x14ac:dyDescent="0.3">
      <c r="A695" s="45" t="s">
        <v>2851</v>
      </c>
      <c r="B695" s="40" t="s">
        <v>797</v>
      </c>
      <c r="C695" s="41" t="s">
        <v>2281</v>
      </c>
      <c r="D695" s="21" t="s">
        <v>2227</v>
      </c>
      <c r="E695" s="21" t="s">
        <v>2238</v>
      </c>
      <c r="F695" s="24">
        <v>9.996230850695835E-2</v>
      </c>
      <c r="G695" s="21">
        <v>12</v>
      </c>
      <c r="H695" s="17">
        <v>15.3</v>
      </c>
      <c r="I695" s="43" t="s">
        <v>3950</v>
      </c>
      <c r="J695" s="26"/>
      <c r="K695" s="17">
        <f t="shared" si="60"/>
        <v>0</v>
      </c>
      <c r="N695" s="31" t="str">
        <f t="shared" si="63"/>
        <v>-</v>
      </c>
      <c r="O695" s="31" t="str">
        <f t="shared" si="65"/>
        <v>-</v>
      </c>
      <c r="P695" s="35" t="str">
        <f t="shared" si="64"/>
        <v>-</v>
      </c>
      <c r="Q695" s="32" t="str">
        <f t="shared" si="61"/>
        <v>-</v>
      </c>
      <c r="S695" s="32" t="str">
        <f t="shared" si="62"/>
        <v>-</v>
      </c>
    </row>
    <row r="696" spans="1:19" x14ac:dyDescent="0.3">
      <c r="A696" s="45" t="s">
        <v>2852</v>
      </c>
      <c r="B696" s="40" t="s">
        <v>243</v>
      </c>
      <c r="C696" s="41" t="s">
        <v>1608</v>
      </c>
      <c r="D696" s="21" t="s">
        <v>2224</v>
      </c>
      <c r="E696" s="21" t="s">
        <v>2222</v>
      </c>
      <c r="F696" s="24">
        <v>4.5476415028916667E-2</v>
      </c>
      <c r="G696" s="21">
        <v>12</v>
      </c>
      <c r="H696" s="17">
        <v>9.59</v>
      </c>
      <c r="I696" s="43" t="s">
        <v>3950</v>
      </c>
      <c r="J696" s="26"/>
      <c r="K696" s="17">
        <f t="shared" ref="K696:K758" si="66">J696*H696</f>
        <v>0</v>
      </c>
      <c r="N696" s="31" t="str">
        <f t="shared" si="63"/>
        <v>-</v>
      </c>
      <c r="O696" s="31" t="str">
        <f t="shared" si="65"/>
        <v>-</v>
      </c>
      <c r="P696" s="35" t="str">
        <f t="shared" si="64"/>
        <v>-</v>
      </c>
      <c r="Q696" s="32" t="str">
        <f t="shared" si="61"/>
        <v>-</v>
      </c>
      <c r="S696" s="32" t="str">
        <f t="shared" si="62"/>
        <v>-</v>
      </c>
    </row>
    <row r="697" spans="1:19" x14ac:dyDescent="0.3">
      <c r="A697" s="45" t="s">
        <v>2853</v>
      </c>
      <c r="B697" s="40" t="s">
        <v>880</v>
      </c>
      <c r="C697" s="41" t="s">
        <v>1830</v>
      </c>
      <c r="D697" s="21" t="s">
        <v>2223</v>
      </c>
      <c r="E697" s="21" t="s">
        <v>2222</v>
      </c>
      <c r="F697" s="24">
        <v>6.0921235227416673E-2</v>
      </c>
      <c r="G697" s="21">
        <v>12</v>
      </c>
      <c r="H697" s="17">
        <v>5.39</v>
      </c>
      <c r="I697" s="43" t="s">
        <v>3950</v>
      </c>
      <c r="J697" s="26"/>
      <c r="K697" s="17">
        <f t="shared" si="66"/>
        <v>0</v>
      </c>
      <c r="N697" s="31" t="str">
        <f t="shared" si="63"/>
        <v>-</v>
      </c>
      <c r="O697" s="31" t="str">
        <f t="shared" si="65"/>
        <v>-</v>
      </c>
      <c r="P697" s="35" t="str">
        <f t="shared" si="64"/>
        <v>-</v>
      </c>
      <c r="Q697" s="32" t="str">
        <f t="shared" ref="Q697:Q759" si="67">IFERROR(IF($N$2&gt;0, $N$2*P697, "-"), "-")</f>
        <v>-</v>
      </c>
      <c r="S697" s="32" t="str">
        <f t="shared" ref="S697:S759" si="68">IFERROR(IF(Q697+K697=0, "-", IF(Q697&gt;0, Q697+K697, "-")), "-")</f>
        <v>-</v>
      </c>
    </row>
    <row r="698" spans="1:19" x14ac:dyDescent="0.3">
      <c r="A698" s="45" t="s">
        <v>2854</v>
      </c>
      <c r="B698" s="40" t="s">
        <v>842</v>
      </c>
      <c r="C698" s="41" t="s">
        <v>1830</v>
      </c>
      <c r="D698" s="21" t="s">
        <v>2224</v>
      </c>
      <c r="E698" s="21" t="s">
        <v>2222</v>
      </c>
      <c r="F698" s="24">
        <v>9.7817194590499992E-2</v>
      </c>
      <c r="G698" s="21">
        <v>12</v>
      </c>
      <c r="H698" s="17">
        <v>9.9</v>
      </c>
      <c r="I698" s="43" t="s">
        <v>3950</v>
      </c>
      <c r="J698" s="26"/>
      <c r="K698" s="17">
        <f t="shared" si="66"/>
        <v>0</v>
      </c>
      <c r="N698" s="31" t="str">
        <f t="shared" si="63"/>
        <v>-</v>
      </c>
      <c r="O698" s="31" t="str">
        <f t="shared" si="65"/>
        <v>-</v>
      </c>
      <c r="P698" s="35" t="str">
        <f t="shared" si="64"/>
        <v>-</v>
      </c>
      <c r="Q698" s="32" t="str">
        <f t="shared" si="67"/>
        <v>-</v>
      </c>
      <c r="S698" s="32" t="str">
        <f t="shared" si="68"/>
        <v>-</v>
      </c>
    </row>
    <row r="699" spans="1:19" x14ac:dyDescent="0.3">
      <c r="A699" s="45" t="s">
        <v>2855</v>
      </c>
      <c r="B699" s="40" t="s">
        <v>793</v>
      </c>
      <c r="C699" s="41" t="s">
        <v>1831</v>
      </c>
      <c r="D699" s="21" t="s">
        <v>2224</v>
      </c>
      <c r="E699" s="21" t="s">
        <v>2222</v>
      </c>
      <c r="F699" s="24">
        <v>5.0624688428416671E-2</v>
      </c>
      <c r="G699" s="21">
        <v>12</v>
      </c>
      <c r="H699" s="17">
        <v>4.79</v>
      </c>
      <c r="I699" s="43" t="s">
        <v>3950</v>
      </c>
      <c r="J699" s="26"/>
      <c r="K699" s="17">
        <f t="shared" si="66"/>
        <v>0</v>
      </c>
      <c r="N699" s="31" t="str">
        <f t="shared" si="63"/>
        <v>-</v>
      </c>
      <c r="O699" s="31" t="str">
        <f t="shared" si="65"/>
        <v>-</v>
      </c>
      <c r="P699" s="35" t="str">
        <f t="shared" si="64"/>
        <v>-</v>
      </c>
      <c r="Q699" s="32" t="str">
        <f t="shared" si="67"/>
        <v>-</v>
      </c>
      <c r="S699" s="32" t="str">
        <f t="shared" si="68"/>
        <v>-</v>
      </c>
    </row>
    <row r="700" spans="1:19" x14ac:dyDescent="0.3">
      <c r="A700" s="45" t="s">
        <v>2856</v>
      </c>
      <c r="B700" s="40" t="s">
        <v>11</v>
      </c>
      <c r="C700" s="41" t="s">
        <v>1831</v>
      </c>
      <c r="D700" s="21" t="s">
        <v>2227</v>
      </c>
      <c r="E700" s="21" t="s">
        <v>2222</v>
      </c>
      <c r="F700" s="24">
        <v>6.606950862691667E-2</v>
      </c>
      <c r="G700" s="21">
        <v>12</v>
      </c>
      <c r="H700" s="17">
        <v>8.99</v>
      </c>
      <c r="I700" s="43" t="s">
        <v>3950</v>
      </c>
      <c r="J700" s="26"/>
      <c r="K700" s="17">
        <f t="shared" si="66"/>
        <v>0</v>
      </c>
      <c r="N700" s="31" t="str">
        <f t="shared" si="63"/>
        <v>-</v>
      </c>
      <c r="O700" s="31" t="str">
        <f t="shared" si="65"/>
        <v>-</v>
      </c>
      <c r="P700" s="35" t="str">
        <f t="shared" si="64"/>
        <v>-</v>
      </c>
      <c r="Q700" s="32" t="str">
        <f t="shared" si="67"/>
        <v>-</v>
      </c>
      <c r="S700" s="32" t="str">
        <f t="shared" si="68"/>
        <v>-</v>
      </c>
    </row>
    <row r="701" spans="1:19" x14ac:dyDescent="0.3">
      <c r="A701" s="45" t="s">
        <v>2857</v>
      </c>
      <c r="B701" s="40" t="s">
        <v>1391</v>
      </c>
      <c r="C701" s="41" t="s">
        <v>1832</v>
      </c>
      <c r="D701" s="21" t="s">
        <v>2224</v>
      </c>
      <c r="E701" s="21" t="s">
        <v>2222</v>
      </c>
      <c r="F701" s="24">
        <v>5.6631007394500006E-2</v>
      </c>
      <c r="G701" s="21">
        <v>12</v>
      </c>
      <c r="H701" s="17">
        <v>9.9</v>
      </c>
      <c r="I701" s="43" t="s">
        <v>3950</v>
      </c>
      <c r="J701" s="26"/>
      <c r="K701" s="17">
        <f t="shared" si="66"/>
        <v>0</v>
      </c>
      <c r="N701" s="31" t="str">
        <f t="shared" si="63"/>
        <v>-</v>
      </c>
      <c r="O701" s="31" t="str">
        <f t="shared" si="65"/>
        <v>-</v>
      </c>
      <c r="P701" s="35" t="str">
        <f t="shared" si="64"/>
        <v>-</v>
      </c>
      <c r="Q701" s="32" t="str">
        <f t="shared" si="67"/>
        <v>-</v>
      </c>
      <c r="S701" s="32" t="str">
        <f t="shared" si="68"/>
        <v>-</v>
      </c>
    </row>
    <row r="702" spans="1:19" x14ac:dyDescent="0.3">
      <c r="A702" s="45" t="s">
        <v>2858</v>
      </c>
      <c r="B702" s="40" t="s">
        <v>249</v>
      </c>
      <c r="C702" s="41" t="s">
        <v>1832</v>
      </c>
      <c r="D702" s="21" t="s">
        <v>2227</v>
      </c>
      <c r="E702" s="21" t="s">
        <v>2222</v>
      </c>
      <c r="F702" s="24">
        <v>8.2372374392000014E-2</v>
      </c>
      <c r="G702" s="21">
        <v>12</v>
      </c>
      <c r="H702" s="17">
        <v>18.899999999999999</v>
      </c>
      <c r="I702" s="43" t="s">
        <v>3950</v>
      </c>
      <c r="J702" s="26"/>
      <c r="K702" s="17">
        <f t="shared" si="66"/>
        <v>0</v>
      </c>
      <c r="N702" s="31" t="str">
        <f t="shared" ref="N702:N765" si="69">IFERROR(IF($N$2*F702=0, "-", $N$2*F702), "-")</f>
        <v>-</v>
      </c>
      <c r="O702" s="31" t="str">
        <f t="shared" si="65"/>
        <v>-</v>
      </c>
      <c r="P702" s="35" t="str">
        <f t="shared" ref="P702:P765" si="70">IF(J702&gt;0,J702*F702, "-")</f>
        <v>-</v>
      </c>
      <c r="Q702" s="32" t="str">
        <f t="shared" si="67"/>
        <v>-</v>
      </c>
      <c r="S702" s="32" t="str">
        <f t="shared" si="68"/>
        <v>-</v>
      </c>
    </row>
    <row r="703" spans="1:19" x14ac:dyDescent="0.3">
      <c r="A703" s="45" t="s">
        <v>2859</v>
      </c>
      <c r="B703" s="40" t="s">
        <v>1461</v>
      </c>
      <c r="C703" s="41" t="s">
        <v>1722</v>
      </c>
      <c r="D703" s="21" t="s">
        <v>2223</v>
      </c>
      <c r="E703" s="21" t="s">
        <v>2222</v>
      </c>
      <c r="F703" s="24">
        <v>4.5476415028916667E-2</v>
      </c>
      <c r="G703" s="21">
        <v>12</v>
      </c>
      <c r="H703" s="17">
        <v>4.95</v>
      </c>
      <c r="I703" s="43" t="s">
        <v>3950</v>
      </c>
      <c r="J703" s="26"/>
      <c r="K703" s="17">
        <f t="shared" si="66"/>
        <v>0</v>
      </c>
      <c r="N703" s="31" t="str">
        <f t="shared" si="69"/>
        <v>-</v>
      </c>
      <c r="O703" s="31" t="str">
        <f t="shared" ref="O703:O766" si="71">IFERROR(IF(N703&gt;0,H703+N703,"-"),"-")</f>
        <v>-</v>
      </c>
      <c r="P703" s="35" t="str">
        <f t="shared" si="70"/>
        <v>-</v>
      </c>
      <c r="Q703" s="32" t="str">
        <f t="shared" si="67"/>
        <v>-</v>
      </c>
      <c r="S703" s="32" t="str">
        <f t="shared" si="68"/>
        <v>-</v>
      </c>
    </row>
    <row r="704" spans="1:19" x14ac:dyDescent="0.3">
      <c r="A704" s="45" t="s">
        <v>2860</v>
      </c>
      <c r="B704" s="40" t="s">
        <v>1426</v>
      </c>
      <c r="C704" s="41" t="s">
        <v>1722</v>
      </c>
      <c r="D704" s="21" t="s">
        <v>2224</v>
      </c>
      <c r="E704" s="21" t="s">
        <v>2222</v>
      </c>
      <c r="F704" s="24">
        <v>6.606950862691667E-2</v>
      </c>
      <c r="G704" s="21">
        <v>12</v>
      </c>
      <c r="H704" s="17">
        <v>8.6999999999999993</v>
      </c>
      <c r="I704" s="43" t="s">
        <v>3950</v>
      </c>
      <c r="J704" s="26"/>
      <c r="K704" s="17">
        <f t="shared" si="66"/>
        <v>0</v>
      </c>
      <c r="N704" s="31" t="str">
        <f t="shared" si="69"/>
        <v>-</v>
      </c>
      <c r="O704" s="31" t="str">
        <f t="shared" si="71"/>
        <v>-</v>
      </c>
      <c r="P704" s="35" t="str">
        <f t="shared" si="70"/>
        <v>-</v>
      </c>
      <c r="Q704" s="32" t="str">
        <f t="shared" si="67"/>
        <v>-</v>
      </c>
      <c r="S704" s="32" t="str">
        <f t="shared" si="68"/>
        <v>-</v>
      </c>
    </row>
    <row r="705" spans="1:19" x14ac:dyDescent="0.3">
      <c r="A705" s="45" t="s">
        <v>2861</v>
      </c>
      <c r="B705" s="40" t="s">
        <v>21</v>
      </c>
      <c r="C705" s="41" t="s">
        <v>1686</v>
      </c>
      <c r="D705" s="21" t="s">
        <v>2224</v>
      </c>
      <c r="E705" s="21" t="s">
        <v>2222</v>
      </c>
      <c r="F705" s="24">
        <v>6.1779280794000004E-2</v>
      </c>
      <c r="G705" s="21">
        <v>12</v>
      </c>
      <c r="H705" s="17">
        <v>10.19</v>
      </c>
      <c r="I705" s="43" t="s">
        <v>3950</v>
      </c>
      <c r="J705" s="26"/>
      <c r="K705" s="17">
        <f t="shared" si="66"/>
        <v>0</v>
      </c>
      <c r="N705" s="31" t="str">
        <f t="shared" si="69"/>
        <v>-</v>
      </c>
      <c r="O705" s="31" t="str">
        <f t="shared" si="71"/>
        <v>-</v>
      </c>
      <c r="P705" s="35" t="str">
        <f t="shared" si="70"/>
        <v>-</v>
      </c>
      <c r="Q705" s="32" t="str">
        <f t="shared" si="67"/>
        <v>-</v>
      </c>
      <c r="S705" s="32" t="str">
        <f t="shared" si="68"/>
        <v>-</v>
      </c>
    </row>
    <row r="706" spans="1:19" x14ac:dyDescent="0.3">
      <c r="A706" s="45" t="s">
        <v>2862</v>
      </c>
      <c r="B706" s="40" t="s">
        <v>883</v>
      </c>
      <c r="C706" s="41" t="s">
        <v>1833</v>
      </c>
      <c r="D706" s="21" t="s">
        <v>2223</v>
      </c>
      <c r="E706" s="21" t="s">
        <v>2238</v>
      </c>
      <c r="F706" s="24">
        <v>4.5476415028916667E-2</v>
      </c>
      <c r="G706" s="21">
        <v>12</v>
      </c>
      <c r="H706" s="17">
        <v>12.9</v>
      </c>
      <c r="I706" s="43" t="s">
        <v>3950</v>
      </c>
      <c r="J706" s="26"/>
      <c r="K706" s="17">
        <f t="shared" si="66"/>
        <v>0</v>
      </c>
      <c r="N706" s="31" t="str">
        <f t="shared" si="69"/>
        <v>-</v>
      </c>
      <c r="O706" s="31" t="str">
        <f t="shared" si="71"/>
        <v>-</v>
      </c>
      <c r="P706" s="35" t="str">
        <f t="shared" si="70"/>
        <v>-</v>
      </c>
      <c r="Q706" s="32" t="str">
        <f t="shared" si="67"/>
        <v>-</v>
      </c>
      <c r="S706" s="32" t="str">
        <f t="shared" si="68"/>
        <v>-</v>
      </c>
    </row>
    <row r="707" spans="1:19" x14ac:dyDescent="0.3">
      <c r="A707" s="45" t="s">
        <v>2863</v>
      </c>
      <c r="B707" s="40" t="s">
        <v>431</v>
      </c>
      <c r="C707" s="41" t="s">
        <v>1833</v>
      </c>
      <c r="D707" s="21" t="s">
        <v>2224</v>
      </c>
      <c r="E707" s="21" t="s">
        <v>2238</v>
      </c>
      <c r="F707" s="24">
        <v>5.5772961827916676E-2</v>
      </c>
      <c r="G707" s="21">
        <v>12</v>
      </c>
      <c r="H707" s="17">
        <v>24.59</v>
      </c>
      <c r="I707" s="43" t="s">
        <v>3950</v>
      </c>
      <c r="J707" s="26"/>
      <c r="K707" s="17">
        <f t="shared" si="66"/>
        <v>0</v>
      </c>
      <c r="N707" s="31" t="str">
        <f t="shared" si="69"/>
        <v>-</v>
      </c>
      <c r="O707" s="31" t="str">
        <f t="shared" si="71"/>
        <v>-</v>
      </c>
      <c r="P707" s="35" t="str">
        <f t="shared" si="70"/>
        <v>-</v>
      </c>
      <c r="Q707" s="32" t="str">
        <f t="shared" si="67"/>
        <v>-</v>
      </c>
      <c r="S707" s="32" t="str">
        <f t="shared" si="68"/>
        <v>-</v>
      </c>
    </row>
    <row r="708" spans="1:19" x14ac:dyDescent="0.3">
      <c r="A708" s="45" t="s">
        <v>2864</v>
      </c>
      <c r="B708" s="40" t="s">
        <v>1083</v>
      </c>
      <c r="C708" s="41" t="s">
        <v>1834</v>
      </c>
      <c r="D708" s="21" t="s">
        <v>2223</v>
      </c>
      <c r="E708" s="21" t="s">
        <v>2238</v>
      </c>
      <c r="F708" s="24">
        <v>4.5476415028916667E-2</v>
      </c>
      <c r="G708" s="21">
        <v>12</v>
      </c>
      <c r="H708" s="17">
        <v>5.85</v>
      </c>
      <c r="I708" s="43" t="s">
        <v>3950</v>
      </c>
      <c r="J708" s="26"/>
      <c r="K708" s="17">
        <f t="shared" si="66"/>
        <v>0</v>
      </c>
      <c r="N708" s="31" t="str">
        <f t="shared" si="69"/>
        <v>-</v>
      </c>
      <c r="O708" s="31" t="str">
        <f t="shared" si="71"/>
        <v>-</v>
      </c>
      <c r="P708" s="35" t="str">
        <f t="shared" si="70"/>
        <v>-</v>
      </c>
      <c r="Q708" s="32" t="str">
        <f t="shared" si="67"/>
        <v>-</v>
      </c>
      <c r="S708" s="32" t="str">
        <f t="shared" si="68"/>
        <v>-</v>
      </c>
    </row>
    <row r="709" spans="1:19" x14ac:dyDescent="0.3">
      <c r="A709" s="45" t="s">
        <v>2868</v>
      </c>
      <c r="B709" s="40" t="s">
        <v>1201</v>
      </c>
      <c r="C709" s="41" t="s">
        <v>1835</v>
      </c>
      <c r="D709" s="21" t="s">
        <v>2223</v>
      </c>
      <c r="E709" s="21" t="s">
        <v>2238</v>
      </c>
      <c r="F709" s="24">
        <v>4.5476415028916667E-2</v>
      </c>
      <c r="G709" s="21">
        <v>12</v>
      </c>
      <c r="H709" s="17">
        <v>6.3</v>
      </c>
      <c r="I709" s="43" t="s">
        <v>3950</v>
      </c>
      <c r="J709" s="26"/>
      <c r="K709" s="17">
        <f t="shared" si="66"/>
        <v>0</v>
      </c>
      <c r="N709" s="31" t="str">
        <f t="shared" si="69"/>
        <v>-</v>
      </c>
      <c r="O709" s="31" t="str">
        <f t="shared" si="71"/>
        <v>-</v>
      </c>
      <c r="P709" s="35" t="str">
        <f t="shared" si="70"/>
        <v>-</v>
      </c>
      <c r="Q709" s="32" t="str">
        <f t="shared" si="67"/>
        <v>-</v>
      </c>
      <c r="S709" s="32" t="str">
        <f t="shared" si="68"/>
        <v>-</v>
      </c>
    </row>
    <row r="710" spans="1:19" x14ac:dyDescent="0.3">
      <c r="A710" s="45" t="s">
        <v>2869</v>
      </c>
      <c r="B710" s="40" t="s">
        <v>19</v>
      </c>
      <c r="C710" s="41" t="s">
        <v>1835</v>
      </c>
      <c r="D710" s="21" t="s">
        <v>2224</v>
      </c>
      <c r="E710" s="21" t="s">
        <v>2238</v>
      </c>
      <c r="F710" s="24">
        <v>6.0921235227416673E-2</v>
      </c>
      <c r="G710" s="21">
        <v>12</v>
      </c>
      <c r="H710" s="17">
        <v>11.85</v>
      </c>
      <c r="I710" s="43" t="s">
        <v>3950</v>
      </c>
      <c r="J710" s="26"/>
      <c r="K710" s="17">
        <f t="shared" si="66"/>
        <v>0</v>
      </c>
      <c r="N710" s="31" t="str">
        <f t="shared" si="69"/>
        <v>-</v>
      </c>
      <c r="O710" s="31" t="str">
        <f t="shared" si="71"/>
        <v>-</v>
      </c>
      <c r="P710" s="35" t="str">
        <f t="shared" si="70"/>
        <v>-</v>
      </c>
      <c r="Q710" s="32" t="str">
        <f t="shared" si="67"/>
        <v>-</v>
      </c>
      <c r="S710" s="32" t="str">
        <f t="shared" si="68"/>
        <v>-</v>
      </c>
    </row>
    <row r="711" spans="1:19" x14ac:dyDescent="0.3">
      <c r="A711" s="45" t="s">
        <v>2870</v>
      </c>
      <c r="B711" s="40" t="s">
        <v>729</v>
      </c>
      <c r="C711" s="41" t="s">
        <v>1703</v>
      </c>
      <c r="D711" s="21" t="s">
        <v>2223</v>
      </c>
      <c r="E711" s="21" t="s">
        <v>2238</v>
      </c>
      <c r="F711" s="24">
        <v>4.0328141629416663E-2</v>
      </c>
      <c r="G711" s="21">
        <v>12</v>
      </c>
      <c r="H711" s="17">
        <v>3.9</v>
      </c>
      <c r="I711" s="43" t="s">
        <v>3950</v>
      </c>
      <c r="J711" s="26"/>
      <c r="K711" s="17">
        <f t="shared" si="66"/>
        <v>0</v>
      </c>
      <c r="N711" s="31" t="str">
        <f t="shared" si="69"/>
        <v>-</v>
      </c>
      <c r="O711" s="31" t="str">
        <f t="shared" si="71"/>
        <v>-</v>
      </c>
      <c r="P711" s="35" t="str">
        <f t="shared" si="70"/>
        <v>-</v>
      </c>
      <c r="Q711" s="32" t="str">
        <f t="shared" si="67"/>
        <v>-</v>
      </c>
      <c r="S711" s="32" t="str">
        <f t="shared" si="68"/>
        <v>-</v>
      </c>
    </row>
    <row r="712" spans="1:19" x14ac:dyDescent="0.3">
      <c r="A712" s="45" t="s">
        <v>2872</v>
      </c>
      <c r="B712" s="40" t="s">
        <v>774</v>
      </c>
      <c r="C712" s="41" t="s">
        <v>1636</v>
      </c>
      <c r="D712" s="21" t="s">
        <v>2223</v>
      </c>
      <c r="E712" s="21" t="s">
        <v>2238</v>
      </c>
      <c r="F712" s="24">
        <v>5.6631007394500006E-2</v>
      </c>
      <c r="G712" s="21">
        <v>12</v>
      </c>
      <c r="H712" s="17">
        <v>9.9</v>
      </c>
      <c r="I712" s="43" t="s">
        <v>3950</v>
      </c>
      <c r="J712" s="26"/>
      <c r="K712" s="17">
        <f t="shared" si="66"/>
        <v>0</v>
      </c>
      <c r="N712" s="31" t="str">
        <f t="shared" si="69"/>
        <v>-</v>
      </c>
      <c r="O712" s="31" t="str">
        <f t="shared" si="71"/>
        <v>-</v>
      </c>
      <c r="P712" s="35" t="str">
        <f t="shared" si="70"/>
        <v>-</v>
      </c>
      <c r="Q712" s="32" t="str">
        <f t="shared" si="67"/>
        <v>-</v>
      </c>
      <c r="S712" s="32" t="str">
        <f t="shared" si="68"/>
        <v>-</v>
      </c>
    </row>
    <row r="713" spans="1:19" x14ac:dyDescent="0.3">
      <c r="A713" s="45" t="s">
        <v>2873</v>
      </c>
      <c r="B713" s="40" t="s">
        <v>358</v>
      </c>
      <c r="C713" s="41" t="s">
        <v>1636</v>
      </c>
      <c r="D713" s="21" t="s">
        <v>2224</v>
      </c>
      <c r="E713" s="21" t="s">
        <v>2238</v>
      </c>
      <c r="F713" s="24">
        <v>7.7224100992499989E-2</v>
      </c>
      <c r="G713" s="21">
        <v>12</v>
      </c>
      <c r="H713" s="17">
        <v>18.899999999999999</v>
      </c>
      <c r="I713" s="43" t="s">
        <v>3950</v>
      </c>
      <c r="J713" s="26"/>
      <c r="K713" s="17">
        <f t="shared" si="66"/>
        <v>0</v>
      </c>
      <c r="N713" s="31" t="str">
        <f t="shared" si="69"/>
        <v>-</v>
      </c>
      <c r="O713" s="31" t="str">
        <f t="shared" si="71"/>
        <v>-</v>
      </c>
      <c r="P713" s="35" t="str">
        <f t="shared" si="70"/>
        <v>-</v>
      </c>
      <c r="Q713" s="32" t="str">
        <f t="shared" si="67"/>
        <v>-</v>
      </c>
      <c r="S713" s="32" t="str">
        <f t="shared" si="68"/>
        <v>-</v>
      </c>
    </row>
    <row r="714" spans="1:19" x14ac:dyDescent="0.3">
      <c r="A714" s="45" t="s">
        <v>2874</v>
      </c>
      <c r="B714" s="40" t="s">
        <v>907</v>
      </c>
      <c r="C714" s="41" t="s">
        <v>1836</v>
      </c>
      <c r="D714" s="21" t="s">
        <v>2224</v>
      </c>
      <c r="E714" s="21" t="s">
        <v>2222</v>
      </c>
      <c r="F714" s="24">
        <v>0.14029045013637503</v>
      </c>
      <c r="G714" s="21">
        <v>12</v>
      </c>
      <c r="H714" s="17">
        <v>6.3</v>
      </c>
      <c r="I714" s="43" t="s">
        <v>3950</v>
      </c>
      <c r="J714" s="26"/>
      <c r="K714" s="17">
        <f t="shared" si="66"/>
        <v>0</v>
      </c>
      <c r="N714" s="31" t="str">
        <f t="shared" si="69"/>
        <v>-</v>
      </c>
      <c r="O714" s="31" t="str">
        <f t="shared" si="71"/>
        <v>-</v>
      </c>
      <c r="P714" s="35" t="str">
        <f t="shared" si="70"/>
        <v>-</v>
      </c>
      <c r="Q714" s="32" t="str">
        <f t="shared" si="67"/>
        <v>-</v>
      </c>
      <c r="S714" s="32" t="str">
        <f t="shared" si="68"/>
        <v>-</v>
      </c>
    </row>
    <row r="715" spans="1:19" x14ac:dyDescent="0.3">
      <c r="A715" s="45" t="s">
        <v>2875</v>
      </c>
      <c r="B715" s="40" t="s">
        <v>850</v>
      </c>
      <c r="C715" s="41" t="s">
        <v>1836</v>
      </c>
      <c r="D715" s="21" t="s">
        <v>2227</v>
      </c>
      <c r="E715" s="21" t="s">
        <v>2222</v>
      </c>
      <c r="F715" s="24">
        <v>0.25912976110816666</v>
      </c>
      <c r="G715" s="21">
        <v>12</v>
      </c>
      <c r="H715" s="17">
        <v>11.39</v>
      </c>
      <c r="I715" s="43" t="s">
        <v>3950</v>
      </c>
      <c r="J715" s="26"/>
      <c r="K715" s="17">
        <f t="shared" si="66"/>
        <v>0</v>
      </c>
      <c r="N715" s="31" t="str">
        <f t="shared" si="69"/>
        <v>-</v>
      </c>
      <c r="O715" s="31" t="str">
        <f t="shared" si="71"/>
        <v>-</v>
      </c>
      <c r="P715" s="35" t="str">
        <f t="shared" si="70"/>
        <v>-</v>
      </c>
      <c r="Q715" s="32" t="str">
        <f t="shared" si="67"/>
        <v>-</v>
      </c>
      <c r="S715" s="32" t="str">
        <f t="shared" si="68"/>
        <v>-</v>
      </c>
    </row>
    <row r="716" spans="1:19" x14ac:dyDescent="0.3">
      <c r="A716" s="45" t="s">
        <v>2876</v>
      </c>
      <c r="B716" s="40" t="s">
        <v>290</v>
      </c>
      <c r="C716" s="41" t="s">
        <v>1837</v>
      </c>
      <c r="D716" s="21" t="s">
        <v>2257</v>
      </c>
      <c r="E716" s="21" t="s">
        <v>2240</v>
      </c>
      <c r="F716" s="24">
        <v>0.42258744154229166</v>
      </c>
      <c r="G716" s="21">
        <v>12</v>
      </c>
      <c r="H716" s="17">
        <v>35.99</v>
      </c>
      <c r="I716" s="43" t="s">
        <v>3950</v>
      </c>
      <c r="J716" s="26"/>
      <c r="K716" s="17">
        <f t="shared" si="66"/>
        <v>0</v>
      </c>
      <c r="N716" s="31" t="str">
        <f t="shared" si="69"/>
        <v>-</v>
      </c>
      <c r="O716" s="31" t="str">
        <f t="shared" si="71"/>
        <v>-</v>
      </c>
      <c r="P716" s="35" t="str">
        <f t="shared" si="70"/>
        <v>-</v>
      </c>
      <c r="Q716" s="32" t="str">
        <f t="shared" si="67"/>
        <v>-</v>
      </c>
      <c r="S716" s="32" t="str">
        <f t="shared" si="68"/>
        <v>-</v>
      </c>
    </row>
    <row r="717" spans="1:19" x14ac:dyDescent="0.3">
      <c r="A717" s="45" t="s">
        <v>2877</v>
      </c>
      <c r="B717" s="40" t="s">
        <v>1530</v>
      </c>
      <c r="C717" s="41" t="s">
        <v>1613</v>
      </c>
      <c r="D717" s="21" t="s">
        <v>2223</v>
      </c>
      <c r="E717" s="21" t="s">
        <v>2222</v>
      </c>
      <c r="F717" s="24">
        <v>0.10210742242341668</v>
      </c>
      <c r="G717" s="21">
        <v>12</v>
      </c>
      <c r="H717" s="17">
        <v>9.75</v>
      </c>
      <c r="I717" s="43" t="s">
        <v>3950</v>
      </c>
      <c r="J717" s="26"/>
      <c r="K717" s="17">
        <f t="shared" si="66"/>
        <v>0</v>
      </c>
      <c r="N717" s="31" t="str">
        <f t="shared" si="69"/>
        <v>-</v>
      </c>
      <c r="O717" s="31" t="str">
        <f t="shared" si="71"/>
        <v>-</v>
      </c>
      <c r="P717" s="35" t="str">
        <f t="shared" si="70"/>
        <v>-</v>
      </c>
      <c r="Q717" s="32" t="str">
        <f t="shared" si="67"/>
        <v>-</v>
      </c>
      <c r="S717" s="32" t="str">
        <f t="shared" si="68"/>
        <v>-</v>
      </c>
    </row>
    <row r="718" spans="1:19" x14ac:dyDescent="0.3">
      <c r="A718" s="45" t="s">
        <v>2878</v>
      </c>
      <c r="B718" s="40" t="s">
        <v>1531</v>
      </c>
      <c r="C718" s="41" t="s">
        <v>1613</v>
      </c>
      <c r="D718" s="21" t="s">
        <v>2224</v>
      </c>
      <c r="E718" s="21" t="s">
        <v>2222</v>
      </c>
      <c r="F718" s="24">
        <v>0.16646083991716668</v>
      </c>
      <c r="G718" s="21">
        <v>12</v>
      </c>
      <c r="H718" s="17">
        <v>16.79</v>
      </c>
      <c r="I718" s="43" t="s">
        <v>3950</v>
      </c>
      <c r="J718" s="26"/>
      <c r="K718" s="17">
        <f t="shared" si="66"/>
        <v>0</v>
      </c>
      <c r="N718" s="31" t="str">
        <f t="shared" si="69"/>
        <v>-</v>
      </c>
      <c r="O718" s="31" t="str">
        <f t="shared" si="71"/>
        <v>-</v>
      </c>
      <c r="P718" s="35" t="str">
        <f t="shared" si="70"/>
        <v>-</v>
      </c>
      <c r="Q718" s="32" t="str">
        <f t="shared" si="67"/>
        <v>-</v>
      </c>
      <c r="S718" s="32" t="str">
        <f t="shared" si="68"/>
        <v>-</v>
      </c>
    </row>
    <row r="719" spans="1:19" x14ac:dyDescent="0.3">
      <c r="A719" s="45" t="s">
        <v>2879</v>
      </c>
      <c r="B719" s="40" t="s">
        <v>1532</v>
      </c>
      <c r="C719" s="41" t="s">
        <v>1613</v>
      </c>
      <c r="D719" s="21" t="s">
        <v>2227</v>
      </c>
      <c r="E719" s="21" t="s">
        <v>2222</v>
      </c>
      <c r="F719" s="24">
        <v>0.29516767490466672</v>
      </c>
      <c r="G719" s="21">
        <v>12</v>
      </c>
      <c r="H719" s="17">
        <v>32.39</v>
      </c>
      <c r="I719" s="43" t="s">
        <v>3950</v>
      </c>
      <c r="J719" s="26"/>
      <c r="K719" s="17">
        <f t="shared" si="66"/>
        <v>0</v>
      </c>
      <c r="N719" s="31" t="str">
        <f t="shared" si="69"/>
        <v>-</v>
      </c>
      <c r="O719" s="31" t="str">
        <f t="shared" si="71"/>
        <v>-</v>
      </c>
      <c r="P719" s="35" t="str">
        <f t="shared" si="70"/>
        <v>-</v>
      </c>
      <c r="Q719" s="32" t="str">
        <f t="shared" si="67"/>
        <v>-</v>
      </c>
      <c r="S719" s="32" t="str">
        <f t="shared" si="68"/>
        <v>-</v>
      </c>
    </row>
    <row r="720" spans="1:19" x14ac:dyDescent="0.3">
      <c r="A720" s="45" t="s">
        <v>2882</v>
      </c>
      <c r="B720" s="40" t="s">
        <v>1533</v>
      </c>
      <c r="C720" s="41" t="s">
        <v>1797</v>
      </c>
      <c r="D720" s="21" t="s">
        <v>2233</v>
      </c>
      <c r="E720" s="21" t="s">
        <v>2234</v>
      </c>
      <c r="F720" s="24">
        <v>0.25398148770866669</v>
      </c>
      <c r="G720" s="21">
        <v>12</v>
      </c>
      <c r="H720" s="17">
        <v>26.99</v>
      </c>
      <c r="I720" s="43" t="s">
        <v>3950</v>
      </c>
      <c r="J720" s="26"/>
      <c r="K720" s="17">
        <f t="shared" si="66"/>
        <v>0</v>
      </c>
      <c r="N720" s="31" t="str">
        <f t="shared" si="69"/>
        <v>-</v>
      </c>
      <c r="O720" s="31" t="str">
        <f t="shared" si="71"/>
        <v>-</v>
      </c>
      <c r="P720" s="35" t="str">
        <f t="shared" si="70"/>
        <v>-</v>
      </c>
      <c r="Q720" s="32" t="str">
        <f t="shared" si="67"/>
        <v>-</v>
      </c>
      <c r="S720" s="32" t="str">
        <f t="shared" si="68"/>
        <v>-</v>
      </c>
    </row>
    <row r="721" spans="1:19" x14ac:dyDescent="0.3">
      <c r="A721" s="45" t="s">
        <v>2883</v>
      </c>
      <c r="B721" s="40" t="s">
        <v>244</v>
      </c>
      <c r="C721" s="41" t="s">
        <v>1628</v>
      </c>
      <c r="D721" s="21" t="s">
        <v>2224</v>
      </c>
      <c r="E721" s="21" t="s">
        <v>2222</v>
      </c>
      <c r="F721" s="24">
        <v>5.5772961827916676E-2</v>
      </c>
      <c r="G721" s="21">
        <v>12</v>
      </c>
      <c r="H721" s="17">
        <v>7.05</v>
      </c>
      <c r="I721" s="43" t="s">
        <v>3950</v>
      </c>
      <c r="J721" s="26"/>
      <c r="K721" s="17">
        <f t="shared" si="66"/>
        <v>0</v>
      </c>
      <c r="N721" s="31" t="str">
        <f t="shared" si="69"/>
        <v>-</v>
      </c>
      <c r="O721" s="31" t="str">
        <f t="shared" si="71"/>
        <v>-</v>
      </c>
      <c r="P721" s="35" t="str">
        <f t="shared" si="70"/>
        <v>-</v>
      </c>
      <c r="Q721" s="32" t="str">
        <f t="shared" si="67"/>
        <v>-</v>
      </c>
      <c r="S721" s="32" t="str">
        <f t="shared" si="68"/>
        <v>-</v>
      </c>
    </row>
    <row r="722" spans="1:19" x14ac:dyDescent="0.3">
      <c r="A722" s="45" t="s">
        <v>2884</v>
      </c>
      <c r="B722" s="40" t="s">
        <v>43</v>
      </c>
      <c r="C722" s="41" t="s">
        <v>1838</v>
      </c>
      <c r="D722" s="21" t="s">
        <v>2223</v>
      </c>
      <c r="E722" s="21" t="s">
        <v>2234</v>
      </c>
      <c r="F722" s="24">
        <v>4.5476415028916667E-2</v>
      </c>
      <c r="G722" s="21">
        <v>12</v>
      </c>
      <c r="H722" s="17">
        <v>8.6999999999999993</v>
      </c>
      <c r="I722" s="43" t="s">
        <v>3950</v>
      </c>
      <c r="J722" s="26"/>
      <c r="K722" s="17">
        <f t="shared" si="66"/>
        <v>0</v>
      </c>
      <c r="N722" s="31" t="str">
        <f t="shared" si="69"/>
        <v>-</v>
      </c>
      <c r="O722" s="31" t="str">
        <f t="shared" si="71"/>
        <v>-</v>
      </c>
      <c r="P722" s="35" t="str">
        <f t="shared" si="70"/>
        <v>-</v>
      </c>
      <c r="Q722" s="32" t="str">
        <f t="shared" si="67"/>
        <v>-</v>
      </c>
      <c r="S722" s="32" t="str">
        <f t="shared" si="68"/>
        <v>-</v>
      </c>
    </row>
    <row r="723" spans="1:19" x14ac:dyDescent="0.3">
      <c r="A723" s="45" t="s">
        <v>2885</v>
      </c>
      <c r="B723" s="40" t="s">
        <v>47</v>
      </c>
      <c r="C723" s="41" t="s">
        <v>1838</v>
      </c>
      <c r="D723" s="21" t="s">
        <v>2224</v>
      </c>
      <c r="E723" s="21" t="s">
        <v>2234</v>
      </c>
      <c r="F723" s="24">
        <v>7.2075827592999991E-2</v>
      </c>
      <c r="G723" s="21">
        <v>12</v>
      </c>
      <c r="H723" s="17">
        <v>16.5</v>
      </c>
      <c r="I723" s="43" t="s">
        <v>3950</v>
      </c>
      <c r="J723" s="26"/>
      <c r="K723" s="17">
        <f t="shared" si="66"/>
        <v>0</v>
      </c>
      <c r="N723" s="31" t="str">
        <f t="shared" si="69"/>
        <v>-</v>
      </c>
      <c r="O723" s="31" t="str">
        <f t="shared" si="71"/>
        <v>-</v>
      </c>
      <c r="P723" s="35" t="str">
        <f t="shared" si="70"/>
        <v>-</v>
      </c>
      <c r="Q723" s="32" t="str">
        <f t="shared" si="67"/>
        <v>-</v>
      </c>
      <c r="S723" s="32" t="str">
        <f t="shared" si="68"/>
        <v>-</v>
      </c>
    </row>
    <row r="724" spans="1:19" x14ac:dyDescent="0.3">
      <c r="A724" s="45" t="s">
        <v>2886</v>
      </c>
      <c r="B724" s="40" t="s">
        <v>1382</v>
      </c>
      <c r="C724" s="41" t="s">
        <v>1647</v>
      </c>
      <c r="D724" s="21" t="s">
        <v>2223</v>
      </c>
      <c r="E724" s="21" t="s">
        <v>2222</v>
      </c>
      <c r="F724" s="24">
        <v>9.5243057890750007E-2</v>
      </c>
      <c r="G724" s="21">
        <v>12</v>
      </c>
      <c r="H724" s="17">
        <v>7.79</v>
      </c>
      <c r="I724" s="43" t="s">
        <v>3950</v>
      </c>
      <c r="J724" s="26"/>
      <c r="K724" s="17">
        <f t="shared" si="66"/>
        <v>0</v>
      </c>
      <c r="N724" s="31" t="str">
        <f t="shared" si="69"/>
        <v>-</v>
      </c>
      <c r="O724" s="31" t="str">
        <f t="shared" si="71"/>
        <v>-</v>
      </c>
      <c r="P724" s="35" t="str">
        <f t="shared" si="70"/>
        <v>-</v>
      </c>
      <c r="Q724" s="32" t="str">
        <f t="shared" si="67"/>
        <v>-</v>
      </c>
      <c r="S724" s="32" t="str">
        <f t="shared" si="68"/>
        <v>-</v>
      </c>
    </row>
    <row r="725" spans="1:19" x14ac:dyDescent="0.3">
      <c r="A725" s="45" t="s">
        <v>2887</v>
      </c>
      <c r="B725" s="40" t="s">
        <v>464</v>
      </c>
      <c r="C725" s="41" t="s">
        <v>1647</v>
      </c>
      <c r="D725" s="21" t="s">
        <v>2224</v>
      </c>
      <c r="E725" s="21" t="s">
        <v>2222</v>
      </c>
      <c r="F725" s="24">
        <v>0.14844188301891667</v>
      </c>
      <c r="G725" s="21">
        <v>12</v>
      </c>
      <c r="H725" s="17">
        <v>14.55</v>
      </c>
      <c r="I725" s="43" t="s">
        <v>3950</v>
      </c>
      <c r="J725" s="26"/>
      <c r="K725" s="17">
        <f t="shared" si="66"/>
        <v>0</v>
      </c>
      <c r="N725" s="31" t="str">
        <f t="shared" si="69"/>
        <v>-</v>
      </c>
      <c r="O725" s="31" t="str">
        <f t="shared" si="71"/>
        <v>-</v>
      </c>
      <c r="P725" s="35" t="str">
        <f t="shared" si="70"/>
        <v>-</v>
      </c>
      <c r="Q725" s="32" t="str">
        <f t="shared" si="67"/>
        <v>-</v>
      </c>
      <c r="S725" s="32" t="str">
        <f t="shared" si="68"/>
        <v>-</v>
      </c>
    </row>
    <row r="726" spans="1:19" x14ac:dyDescent="0.3">
      <c r="A726" s="45" t="s">
        <v>2888</v>
      </c>
      <c r="B726" s="40" t="s">
        <v>1355</v>
      </c>
      <c r="C726" s="41" t="s">
        <v>1704</v>
      </c>
      <c r="D726" s="21" t="s">
        <v>2223</v>
      </c>
      <c r="E726" s="21" t="s">
        <v>2238</v>
      </c>
      <c r="F726" s="24">
        <v>5.5772961827916676E-2</v>
      </c>
      <c r="G726" s="21">
        <v>12</v>
      </c>
      <c r="H726" s="17">
        <v>4.5</v>
      </c>
      <c r="I726" s="43" t="s">
        <v>3950</v>
      </c>
      <c r="J726" s="26"/>
      <c r="K726" s="17">
        <f t="shared" si="66"/>
        <v>0</v>
      </c>
      <c r="N726" s="31" t="str">
        <f t="shared" si="69"/>
        <v>-</v>
      </c>
      <c r="O726" s="31" t="str">
        <f t="shared" si="71"/>
        <v>-</v>
      </c>
      <c r="P726" s="35" t="str">
        <f t="shared" si="70"/>
        <v>-</v>
      </c>
      <c r="Q726" s="32" t="str">
        <f t="shared" si="67"/>
        <v>-</v>
      </c>
      <c r="S726" s="32" t="str">
        <f t="shared" si="68"/>
        <v>-</v>
      </c>
    </row>
    <row r="727" spans="1:19" x14ac:dyDescent="0.3">
      <c r="A727" s="45" t="s">
        <v>2889</v>
      </c>
      <c r="B727" s="40" t="s">
        <v>1169</v>
      </c>
      <c r="C727" s="41" t="s">
        <v>1704</v>
      </c>
      <c r="D727" s="21" t="s">
        <v>2224</v>
      </c>
      <c r="E727" s="21" t="s">
        <v>2238</v>
      </c>
      <c r="F727" s="24">
        <v>8.2372374392000014E-2</v>
      </c>
      <c r="G727" s="21">
        <v>12</v>
      </c>
      <c r="H727" s="17">
        <v>8.6999999999999993</v>
      </c>
      <c r="I727" s="43" t="s">
        <v>3950</v>
      </c>
      <c r="J727" s="26"/>
      <c r="K727" s="17">
        <f t="shared" si="66"/>
        <v>0</v>
      </c>
      <c r="N727" s="31" t="str">
        <f t="shared" si="69"/>
        <v>-</v>
      </c>
      <c r="O727" s="31" t="str">
        <f t="shared" si="71"/>
        <v>-</v>
      </c>
      <c r="P727" s="35" t="str">
        <f t="shared" si="70"/>
        <v>-</v>
      </c>
      <c r="Q727" s="32" t="str">
        <f t="shared" si="67"/>
        <v>-</v>
      </c>
      <c r="S727" s="32" t="str">
        <f t="shared" si="68"/>
        <v>-</v>
      </c>
    </row>
    <row r="728" spans="1:19" x14ac:dyDescent="0.3">
      <c r="A728" s="45" t="s">
        <v>2890</v>
      </c>
      <c r="B728" s="40" t="s">
        <v>1075</v>
      </c>
      <c r="C728" s="41" t="s">
        <v>1839</v>
      </c>
      <c r="D728" s="21" t="s">
        <v>2223</v>
      </c>
      <c r="E728" s="21" t="s">
        <v>2222</v>
      </c>
      <c r="F728" s="24">
        <v>0.31833490520241664</v>
      </c>
      <c r="G728" s="21">
        <v>12</v>
      </c>
      <c r="H728" s="17">
        <v>4.6500000000000004</v>
      </c>
      <c r="I728" s="43" t="s">
        <v>3950</v>
      </c>
      <c r="J728" s="26"/>
      <c r="K728" s="17">
        <f t="shared" si="66"/>
        <v>0</v>
      </c>
      <c r="N728" s="31" t="str">
        <f t="shared" si="69"/>
        <v>-</v>
      </c>
      <c r="O728" s="31" t="str">
        <f t="shared" si="71"/>
        <v>-</v>
      </c>
      <c r="P728" s="35" t="str">
        <f t="shared" si="70"/>
        <v>-</v>
      </c>
      <c r="Q728" s="32" t="str">
        <f t="shared" si="67"/>
        <v>-</v>
      </c>
      <c r="S728" s="32" t="str">
        <f t="shared" si="68"/>
        <v>-</v>
      </c>
    </row>
    <row r="729" spans="1:19" x14ac:dyDescent="0.3">
      <c r="A729" s="45" t="s">
        <v>2891</v>
      </c>
      <c r="B729" s="40" t="s">
        <v>493</v>
      </c>
      <c r="C729" s="41" t="s">
        <v>1839</v>
      </c>
      <c r="D729" s="21" t="s">
        <v>2224</v>
      </c>
      <c r="E729" s="21" t="s">
        <v>2222</v>
      </c>
      <c r="F729" s="24">
        <v>4.5476415028916667E-2</v>
      </c>
      <c r="G729" s="21">
        <v>12</v>
      </c>
      <c r="H729" s="17">
        <v>8.6999999999999993</v>
      </c>
      <c r="I729" s="43" t="s">
        <v>3950</v>
      </c>
      <c r="J729" s="26"/>
      <c r="K729" s="17">
        <f t="shared" si="66"/>
        <v>0</v>
      </c>
      <c r="N729" s="31" t="str">
        <f t="shared" si="69"/>
        <v>-</v>
      </c>
      <c r="O729" s="31" t="str">
        <f t="shared" si="71"/>
        <v>-</v>
      </c>
      <c r="P729" s="35" t="str">
        <f t="shared" si="70"/>
        <v>-</v>
      </c>
      <c r="Q729" s="32" t="str">
        <f t="shared" si="67"/>
        <v>-</v>
      </c>
      <c r="S729" s="32" t="str">
        <f t="shared" si="68"/>
        <v>-</v>
      </c>
    </row>
    <row r="730" spans="1:19" x14ac:dyDescent="0.3">
      <c r="A730" s="45" t="s">
        <v>2892</v>
      </c>
      <c r="B730" s="40" t="s">
        <v>26</v>
      </c>
      <c r="C730" s="41" t="s">
        <v>1839</v>
      </c>
      <c r="D730" s="21" t="s">
        <v>2227</v>
      </c>
      <c r="E730" s="21" t="s">
        <v>2222</v>
      </c>
      <c r="F730" s="24">
        <v>6.6927554193500008E-2</v>
      </c>
      <c r="G730" s="21">
        <v>12</v>
      </c>
      <c r="H730" s="17">
        <v>16.5</v>
      </c>
      <c r="I730" s="43" t="s">
        <v>3950</v>
      </c>
      <c r="J730" s="26"/>
      <c r="K730" s="17">
        <f t="shared" si="66"/>
        <v>0</v>
      </c>
      <c r="N730" s="31" t="str">
        <f t="shared" si="69"/>
        <v>-</v>
      </c>
      <c r="O730" s="31" t="str">
        <f t="shared" si="71"/>
        <v>-</v>
      </c>
      <c r="P730" s="35" t="str">
        <f t="shared" si="70"/>
        <v>-</v>
      </c>
      <c r="Q730" s="32" t="str">
        <f t="shared" si="67"/>
        <v>-</v>
      </c>
      <c r="S730" s="32" t="str">
        <f t="shared" si="68"/>
        <v>-</v>
      </c>
    </row>
    <row r="731" spans="1:19" x14ac:dyDescent="0.3">
      <c r="A731" s="45" t="s">
        <v>2893</v>
      </c>
      <c r="B731" s="40" t="s">
        <v>781</v>
      </c>
      <c r="C731" s="41" t="s">
        <v>1840</v>
      </c>
      <c r="D731" s="21" t="s">
        <v>2231</v>
      </c>
      <c r="E731" s="21" t="s">
        <v>2222</v>
      </c>
      <c r="F731" s="24">
        <v>0.1175522426219167</v>
      </c>
      <c r="G731" s="21">
        <v>12</v>
      </c>
      <c r="H731" s="17">
        <v>8.25</v>
      </c>
      <c r="I731" s="43" t="s">
        <v>3950</v>
      </c>
      <c r="J731" s="26"/>
      <c r="K731" s="17">
        <f t="shared" si="66"/>
        <v>0</v>
      </c>
      <c r="N731" s="31" t="str">
        <f t="shared" si="69"/>
        <v>-</v>
      </c>
      <c r="O731" s="31" t="str">
        <f t="shared" si="71"/>
        <v>-</v>
      </c>
      <c r="P731" s="35" t="str">
        <f t="shared" si="70"/>
        <v>-</v>
      </c>
      <c r="Q731" s="32" t="str">
        <f t="shared" si="67"/>
        <v>-</v>
      </c>
      <c r="S731" s="32" t="str">
        <f t="shared" si="68"/>
        <v>-</v>
      </c>
    </row>
    <row r="732" spans="1:19" x14ac:dyDescent="0.3">
      <c r="A732" s="45" t="s">
        <v>2894</v>
      </c>
      <c r="B732" s="40" t="s">
        <v>1363</v>
      </c>
      <c r="C732" s="41" t="s">
        <v>1840</v>
      </c>
      <c r="D732" s="21" t="s">
        <v>2225</v>
      </c>
      <c r="E732" s="21" t="s">
        <v>2222</v>
      </c>
      <c r="F732" s="24">
        <v>0.20249875371366668</v>
      </c>
      <c r="G732" s="21">
        <v>12</v>
      </c>
      <c r="H732" s="17">
        <v>15.59</v>
      </c>
      <c r="I732" s="43" t="s">
        <v>3950</v>
      </c>
      <c r="J732" s="26"/>
      <c r="K732" s="17">
        <f t="shared" si="66"/>
        <v>0</v>
      </c>
      <c r="N732" s="31" t="str">
        <f t="shared" si="69"/>
        <v>-</v>
      </c>
      <c r="O732" s="31" t="str">
        <f t="shared" si="71"/>
        <v>-</v>
      </c>
      <c r="P732" s="35" t="str">
        <f t="shared" si="70"/>
        <v>-</v>
      </c>
      <c r="Q732" s="32" t="str">
        <f t="shared" si="67"/>
        <v>-</v>
      </c>
      <c r="S732" s="32" t="str">
        <f t="shared" si="68"/>
        <v>-</v>
      </c>
    </row>
    <row r="733" spans="1:19" x14ac:dyDescent="0.3">
      <c r="A733" s="45" t="s">
        <v>2895</v>
      </c>
      <c r="B733" s="40" t="s">
        <v>535</v>
      </c>
      <c r="C733" s="41" t="s">
        <v>1841</v>
      </c>
      <c r="D733" s="21" t="s">
        <v>2224</v>
      </c>
      <c r="E733" s="21" t="s">
        <v>2232</v>
      </c>
      <c r="F733" s="24">
        <v>0.18190566011566667</v>
      </c>
      <c r="G733" s="21">
        <v>12</v>
      </c>
      <c r="H733" s="17">
        <v>14.7</v>
      </c>
      <c r="I733" s="43" t="s">
        <v>3950</v>
      </c>
      <c r="J733" s="26"/>
      <c r="K733" s="17">
        <f t="shared" si="66"/>
        <v>0</v>
      </c>
      <c r="N733" s="31" t="str">
        <f t="shared" si="69"/>
        <v>-</v>
      </c>
      <c r="O733" s="31" t="str">
        <f t="shared" si="71"/>
        <v>-</v>
      </c>
      <c r="P733" s="35" t="str">
        <f t="shared" si="70"/>
        <v>-</v>
      </c>
      <c r="Q733" s="32" t="str">
        <f t="shared" si="67"/>
        <v>-</v>
      </c>
      <c r="S733" s="32" t="str">
        <f t="shared" si="68"/>
        <v>-</v>
      </c>
    </row>
    <row r="734" spans="1:19" x14ac:dyDescent="0.3">
      <c r="A734" s="45" t="s">
        <v>2896</v>
      </c>
      <c r="B734" s="40" t="s">
        <v>1534</v>
      </c>
      <c r="C734" s="41" t="s">
        <v>1842</v>
      </c>
      <c r="D734" s="21" t="s">
        <v>2231</v>
      </c>
      <c r="E734" s="21" t="s">
        <v>2222</v>
      </c>
      <c r="F734" s="24">
        <v>0.14415165518599998</v>
      </c>
      <c r="G734" s="21">
        <v>12</v>
      </c>
      <c r="H734" s="17">
        <v>9.9</v>
      </c>
      <c r="I734" s="43" t="s">
        <v>3950</v>
      </c>
      <c r="J734" s="26"/>
      <c r="K734" s="17">
        <f t="shared" si="66"/>
        <v>0</v>
      </c>
      <c r="N734" s="31" t="str">
        <f t="shared" si="69"/>
        <v>-</v>
      </c>
      <c r="O734" s="31" t="str">
        <f t="shared" si="71"/>
        <v>-</v>
      </c>
      <c r="P734" s="35" t="str">
        <f t="shared" si="70"/>
        <v>-</v>
      </c>
      <c r="Q734" s="32" t="str">
        <f t="shared" si="67"/>
        <v>-</v>
      </c>
      <c r="S734" s="32" t="str">
        <f t="shared" si="68"/>
        <v>-</v>
      </c>
    </row>
    <row r="735" spans="1:19" x14ac:dyDescent="0.3">
      <c r="A735" s="45" t="s">
        <v>2897</v>
      </c>
      <c r="B735" s="40" t="s">
        <v>1176</v>
      </c>
      <c r="C735" s="41" t="s">
        <v>1842</v>
      </c>
      <c r="D735" s="21" t="s">
        <v>2225</v>
      </c>
      <c r="E735" s="21" t="s">
        <v>2222</v>
      </c>
      <c r="F735" s="24">
        <v>0.14844188301891667</v>
      </c>
      <c r="G735" s="21">
        <v>12</v>
      </c>
      <c r="H735" s="17">
        <v>18.899999999999999</v>
      </c>
      <c r="I735" s="43" t="s">
        <v>3950</v>
      </c>
      <c r="J735" s="26"/>
      <c r="K735" s="17">
        <f t="shared" si="66"/>
        <v>0</v>
      </c>
      <c r="N735" s="31" t="str">
        <f t="shared" si="69"/>
        <v>-</v>
      </c>
      <c r="O735" s="31" t="str">
        <f t="shared" si="71"/>
        <v>-</v>
      </c>
      <c r="P735" s="35" t="str">
        <f t="shared" si="70"/>
        <v>-</v>
      </c>
      <c r="Q735" s="32" t="str">
        <f t="shared" si="67"/>
        <v>-</v>
      </c>
      <c r="S735" s="32" t="str">
        <f t="shared" si="68"/>
        <v>-</v>
      </c>
    </row>
    <row r="736" spans="1:19" x14ac:dyDescent="0.3">
      <c r="A736" s="45" t="s">
        <v>2898</v>
      </c>
      <c r="B736" s="40" t="s">
        <v>1535</v>
      </c>
      <c r="C736" s="41" t="s">
        <v>1842</v>
      </c>
      <c r="D736" s="21" t="s">
        <v>2226</v>
      </c>
      <c r="E736" s="21" t="s">
        <v>2222</v>
      </c>
      <c r="F736" s="24">
        <v>0.27200044460691669</v>
      </c>
      <c r="G736" s="21">
        <v>12</v>
      </c>
      <c r="H736" s="17">
        <v>36.9</v>
      </c>
      <c r="I736" s="43" t="s">
        <v>3950</v>
      </c>
      <c r="J736" s="26"/>
      <c r="K736" s="17">
        <f t="shared" si="66"/>
        <v>0</v>
      </c>
      <c r="N736" s="31" t="str">
        <f t="shared" si="69"/>
        <v>-</v>
      </c>
      <c r="O736" s="31" t="str">
        <f t="shared" si="71"/>
        <v>-</v>
      </c>
      <c r="P736" s="35" t="str">
        <f t="shared" si="70"/>
        <v>-</v>
      </c>
      <c r="Q736" s="32" t="str">
        <f t="shared" si="67"/>
        <v>-</v>
      </c>
      <c r="S736" s="32" t="str">
        <f t="shared" si="68"/>
        <v>-</v>
      </c>
    </row>
    <row r="737" spans="1:19" x14ac:dyDescent="0.3">
      <c r="A737" s="45" t="s">
        <v>2902</v>
      </c>
      <c r="B737" s="40" t="s">
        <v>441</v>
      </c>
      <c r="C737" s="41" t="s">
        <v>1844</v>
      </c>
      <c r="D737" s="21" t="s">
        <v>2228</v>
      </c>
      <c r="E737" s="21" t="s">
        <v>2229</v>
      </c>
      <c r="F737" s="24">
        <v>0.10210742242341668</v>
      </c>
      <c r="G737" s="21">
        <v>12</v>
      </c>
      <c r="H737" s="17">
        <v>7.19</v>
      </c>
      <c r="I737" s="43" t="s">
        <v>3950</v>
      </c>
      <c r="J737" s="26"/>
      <c r="K737" s="17">
        <f t="shared" si="66"/>
        <v>0</v>
      </c>
      <c r="N737" s="31" t="str">
        <f t="shared" si="69"/>
        <v>-</v>
      </c>
      <c r="O737" s="31" t="str">
        <f t="shared" si="71"/>
        <v>-</v>
      </c>
      <c r="P737" s="35" t="str">
        <f t="shared" si="70"/>
        <v>-</v>
      </c>
      <c r="Q737" s="32" t="str">
        <f t="shared" si="67"/>
        <v>-</v>
      </c>
      <c r="S737" s="32" t="str">
        <f t="shared" si="68"/>
        <v>-</v>
      </c>
    </row>
    <row r="738" spans="1:19" x14ac:dyDescent="0.3">
      <c r="A738" s="45" t="s">
        <v>2903</v>
      </c>
      <c r="B738" s="40" t="s">
        <v>325</v>
      </c>
      <c r="C738" s="41" t="s">
        <v>1844</v>
      </c>
      <c r="D738" s="21" t="s">
        <v>2230</v>
      </c>
      <c r="E738" s="21" t="s">
        <v>2229</v>
      </c>
      <c r="F738" s="24">
        <v>9.7302367250549984E-2</v>
      </c>
      <c r="G738" s="21">
        <v>12</v>
      </c>
      <c r="H738" s="17">
        <v>13.35</v>
      </c>
      <c r="I738" s="43" t="s">
        <v>3950</v>
      </c>
      <c r="J738" s="26"/>
      <c r="K738" s="17">
        <f t="shared" si="66"/>
        <v>0</v>
      </c>
      <c r="N738" s="31" t="str">
        <f t="shared" si="69"/>
        <v>-</v>
      </c>
      <c r="O738" s="31" t="str">
        <f t="shared" si="71"/>
        <v>-</v>
      </c>
      <c r="P738" s="35" t="str">
        <f t="shared" si="70"/>
        <v>-</v>
      </c>
      <c r="Q738" s="32" t="str">
        <f t="shared" si="67"/>
        <v>-</v>
      </c>
      <c r="S738" s="32" t="str">
        <f t="shared" si="68"/>
        <v>-</v>
      </c>
    </row>
    <row r="739" spans="1:19" x14ac:dyDescent="0.3">
      <c r="A739" s="45" t="s">
        <v>2904</v>
      </c>
      <c r="B739" s="40" t="s">
        <v>1203</v>
      </c>
      <c r="C739" s="41" t="s">
        <v>1845</v>
      </c>
      <c r="D739" s="21" t="s">
        <v>2228</v>
      </c>
      <c r="E739" s="21" t="s">
        <v>2229</v>
      </c>
      <c r="F739" s="24">
        <v>0.10564686038557292</v>
      </c>
      <c r="G739" s="21">
        <v>48</v>
      </c>
      <c r="H739" s="17">
        <v>7.19</v>
      </c>
      <c r="I739" s="43" t="s">
        <v>3950</v>
      </c>
      <c r="J739" s="26"/>
      <c r="K739" s="17">
        <f t="shared" si="66"/>
        <v>0</v>
      </c>
      <c r="N739" s="31" t="str">
        <f t="shared" si="69"/>
        <v>-</v>
      </c>
      <c r="O739" s="31" t="str">
        <f t="shared" si="71"/>
        <v>-</v>
      </c>
      <c r="P739" s="35" t="str">
        <f t="shared" si="70"/>
        <v>-</v>
      </c>
      <c r="Q739" s="32" t="str">
        <f t="shared" si="67"/>
        <v>-</v>
      </c>
      <c r="S739" s="32" t="str">
        <f t="shared" si="68"/>
        <v>-</v>
      </c>
    </row>
    <row r="740" spans="1:19" x14ac:dyDescent="0.3">
      <c r="A740" s="45" t="s">
        <v>2905</v>
      </c>
      <c r="B740" s="40" t="s">
        <v>1342</v>
      </c>
      <c r="C740" s="41" t="s">
        <v>1845</v>
      </c>
      <c r="D740" s="21" t="s">
        <v>2230</v>
      </c>
      <c r="E740" s="21" t="s">
        <v>2229</v>
      </c>
      <c r="F740" s="24">
        <v>0.15945346779006947</v>
      </c>
      <c r="G740" s="21">
        <v>36</v>
      </c>
      <c r="H740" s="17">
        <v>13.5</v>
      </c>
      <c r="I740" s="43" t="s">
        <v>3950</v>
      </c>
      <c r="J740" s="26"/>
      <c r="K740" s="17">
        <f t="shared" si="66"/>
        <v>0</v>
      </c>
      <c r="N740" s="31" t="str">
        <f t="shared" si="69"/>
        <v>-</v>
      </c>
      <c r="O740" s="31" t="str">
        <f t="shared" si="71"/>
        <v>-</v>
      </c>
      <c r="P740" s="35" t="str">
        <f t="shared" si="70"/>
        <v>-</v>
      </c>
      <c r="Q740" s="32" t="str">
        <f t="shared" si="67"/>
        <v>-</v>
      </c>
      <c r="S740" s="32" t="str">
        <f t="shared" si="68"/>
        <v>-</v>
      </c>
    </row>
    <row r="741" spans="1:19" x14ac:dyDescent="0.3">
      <c r="A741" s="45" t="s">
        <v>2906</v>
      </c>
      <c r="B741" s="40" t="s">
        <v>882</v>
      </c>
      <c r="C741" s="41" t="s">
        <v>1846</v>
      </c>
      <c r="D741" s="21" t="s">
        <v>2239</v>
      </c>
      <c r="E741" s="21" t="s">
        <v>2222</v>
      </c>
      <c r="F741" s="24">
        <v>0.12484562993787501</v>
      </c>
      <c r="G741" s="21">
        <v>12</v>
      </c>
      <c r="H741" s="17">
        <v>7.19</v>
      </c>
      <c r="I741" s="43" t="s">
        <v>3950</v>
      </c>
      <c r="J741" s="26"/>
      <c r="K741" s="17">
        <f t="shared" si="66"/>
        <v>0</v>
      </c>
      <c r="N741" s="31" t="str">
        <f t="shared" si="69"/>
        <v>-</v>
      </c>
      <c r="O741" s="31" t="str">
        <f t="shared" si="71"/>
        <v>-</v>
      </c>
      <c r="P741" s="35" t="str">
        <f t="shared" si="70"/>
        <v>-</v>
      </c>
      <c r="Q741" s="32" t="str">
        <f t="shared" si="67"/>
        <v>-</v>
      </c>
      <c r="S741" s="32" t="str">
        <f t="shared" si="68"/>
        <v>-</v>
      </c>
    </row>
    <row r="742" spans="1:19" x14ac:dyDescent="0.3">
      <c r="A742" s="45" t="s">
        <v>2907</v>
      </c>
      <c r="B742" s="40" t="s">
        <v>558</v>
      </c>
      <c r="C742" s="41" t="s">
        <v>1846</v>
      </c>
      <c r="D742" s="21" t="s">
        <v>2221</v>
      </c>
      <c r="E742" s="21" t="s">
        <v>2222</v>
      </c>
      <c r="F742" s="24">
        <v>0.2333883941106667</v>
      </c>
      <c r="G742" s="21">
        <v>12</v>
      </c>
      <c r="H742" s="17">
        <v>13.35</v>
      </c>
      <c r="I742" s="43" t="s">
        <v>3950</v>
      </c>
      <c r="J742" s="26"/>
      <c r="K742" s="17">
        <f t="shared" si="66"/>
        <v>0</v>
      </c>
      <c r="N742" s="31" t="str">
        <f t="shared" si="69"/>
        <v>-</v>
      </c>
      <c r="O742" s="31" t="str">
        <f t="shared" si="71"/>
        <v>-</v>
      </c>
      <c r="P742" s="35" t="str">
        <f t="shared" si="70"/>
        <v>-</v>
      </c>
      <c r="Q742" s="32" t="str">
        <f t="shared" si="67"/>
        <v>-</v>
      </c>
      <c r="S742" s="32" t="str">
        <f t="shared" si="68"/>
        <v>-</v>
      </c>
    </row>
    <row r="743" spans="1:19" x14ac:dyDescent="0.3">
      <c r="A743" s="45" t="s">
        <v>2908</v>
      </c>
      <c r="B743" s="40" t="s">
        <v>921</v>
      </c>
      <c r="C743" s="41" t="s">
        <v>1846</v>
      </c>
      <c r="D743" s="21" t="s">
        <v>2242</v>
      </c>
      <c r="E743" s="21" t="s">
        <v>2222</v>
      </c>
      <c r="F743" s="24">
        <v>0.42387450989216674</v>
      </c>
      <c r="G743" s="21">
        <v>12</v>
      </c>
      <c r="H743" s="17">
        <v>25.5</v>
      </c>
      <c r="I743" s="43" t="s">
        <v>3950</v>
      </c>
      <c r="J743" s="26"/>
      <c r="K743" s="17">
        <f t="shared" si="66"/>
        <v>0</v>
      </c>
      <c r="N743" s="31" t="str">
        <f t="shared" si="69"/>
        <v>-</v>
      </c>
      <c r="O743" s="31" t="str">
        <f t="shared" si="71"/>
        <v>-</v>
      </c>
      <c r="P743" s="35" t="str">
        <f t="shared" si="70"/>
        <v>-</v>
      </c>
      <c r="Q743" s="32" t="str">
        <f t="shared" si="67"/>
        <v>-</v>
      </c>
      <c r="S743" s="32" t="str">
        <f t="shared" si="68"/>
        <v>-</v>
      </c>
    </row>
    <row r="744" spans="1:19" x14ac:dyDescent="0.3">
      <c r="A744" s="45" t="s">
        <v>2909</v>
      </c>
      <c r="B744" s="40" t="s">
        <v>791</v>
      </c>
      <c r="C744" s="41" t="s">
        <v>1847</v>
      </c>
      <c r="D744" s="21" t="s">
        <v>2224</v>
      </c>
      <c r="E744" s="21" t="s">
        <v>2222</v>
      </c>
      <c r="F744" s="24">
        <v>9.7817194590499992E-2</v>
      </c>
      <c r="G744" s="21">
        <v>12</v>
      </c>
      <c r="H744" s="17">
        <v>6.75</v>
      </c>
      <c r="I744" s="43" t="s">
        <v>3950</v>
      </c>
      <c r="J744" s="26"/>
      <c r="K744" s="17">
        <f t="shared" si="66"/>
        <v>0</v>
      </c>
      <c r="N744" s="31" t="str">
        <f t="shared" si="69"/>
        <v>-</v>
      </c>
      <c r="O744" s="31" t="str">
        <f t="shared" si="71"/>
        <v>-</v>
      </c>
      <c r="P744" s="35" t="str">
        <f t="shared" si="70"/>
        <v>-</v>
      </c>
      <c r="Q744" s="32" t="str">
        <f t="shared" si="67"/>
        <v>-</v>
      </c>
      <c r="S744" s="32" t="str">
        <f t="shared" si="68"/>
        <v>-</v>
      </c>
    </row>
    <row r="745" spans="1:19" x14ac:dyDescent="0.3">
      <c r="A745" s="45" t="s">
        <v>2910</v>
      </c>
      <c r="B745" s="40" t="s">
        <v>815</v>
      </c>
      <c r="C745" s="41" t="s">
        <v>1847</v>
      </c>
      <c r="D745" s="21" t="s">
        <v>2227</v>
      </c>
      <c r="E745" s="21" t="s">
        <v>2222</v>
      </c>
      <c r="F745" s="24">
        <v>0.16903497661691669</v>
      </c>
      <c r="G745" s="21">
        <v>12</v>
      </c>
      <c r="H745" s="17">
        <v>12.45</v>
      </c>
      <c r="I745" s="43" t="s">
        <v>3950</v>
      </c>
      <c r="J745" s="26"/>
      <c r="K745" s="17">
        <f t="shared" si="66"/>
        <v>0</v>
      </c>
      <c r="N745" s="31" t="str">
        <f t="shared" si="69"/>
        <v>-</v>
      </c>
      <c r="O745" s="31" t="str">
        <f t="shared" si="71"/>
        <v>-</v>
      </c>
      <c r="P745" s="35" t="str">
        <f t="shared" si="70"/>
        <v>-</v>
      </c>
      <c r="Q745" s="32" t="str">
        <f t="shared" si="67"/>
        <v>-</v>
      </c>
      <c r="S745" s="32" t="str">
        <f t="shared" si="68"/>
        <v>-</v>
      </c>
    </row>
    <row r="746" spans="1:19" x14ac:dyDescent="0.3">
      <c r="A746" s="45" t="s">
        <v>2911</v>
      </c>
      <c r="B746" s="40" t="s">
        <v>522</v>
      </c>
      <c r="C746" s="41" t="s">
        <v>1848</v>
      </c>
      <c r="D746" s="21" t="s">
        <v>2228</v>
      </c>
      <c r="E746" s="21" t="s">
        <v>2229</v>
      </c>
      <c r="F746" s="24">
        <v>8.7520647791500011E-2</v>
      </c>
      <c r="G746" s="21">
        <v>12</v>
      </c>
      <c r="H746" s="17">
        <v>21.59</v>
      </c>
      <c r="I746" s="43" t="s">
        <v>3950</v>
      </c>
      <c r="J746" s="26"/>
      <c r="K746" s="17">
        <f t="shared" si="66"/>
        <v>0</v>
      </c>
      <c r="N746" s="31" t="str">
        <f t="shared" si="69"/>
        <v>-</v>
      </c>
      <c r="O746" s="31" t="str">
        <f t="shared" si="71"/>
        <v>-</v>
      </c>
      <c r="P746" s="35" t="str">
        <f t="shared" si="70"/>
        <v>-</v>
      </c>
      <c r="Q746" s="32" t="str">
        <f t="shared" si="67"/>
        <v>-</v>
      </c>
      <c r="S746" s="32" t="str">
        <f t="shared" si="68"/>
        <v>-</v>
      </c>
    </row>
    <row r="747" spans="1:19" x14ac:dyDescent="0.3">
      <c r="A747" s="45" t="s">
        <v>2912</v>
      </c>
      <c r="B747" s="40" t="s">
        <v>871</v>
      </c>
      <c r="C747" s="41" t="s">
        <v>1849</v>
      </c>
      <c r="D747" s="21" t="s">
        <v>2230</v>
      </c>
      <c r="E747" s="21" t="s">
        <v>2229</v>
      </c>
      <c r="F747" s="24">
        <v>0.14415165518599998</v>
      </c>
      <c r="G747" s="21">
        <v>12</v>
      </c>
      <c r="H747" s="17">
        <v>8.85</v>
      </c>
      <c r="I747" s="43" t="s">
        <v>3950</v>
      </c>
      <c r="J747" s="26"/>
      <c r="K747" s="17">
        <f t="shared" si="66"/>
        <v>0</v>
      </c>
      <c r="N747" s="31" t="str">
        <f t="shared" si="69"/>
        <v>-</v>
      </c>
      <c r="O747" s="31" t="str">
        <f t="shared" si="71"/>
        <v>-</v>
      </c>
      <c r="P747" s="35" t="str">
        <f t="shared" si="70"/>
        <v>-</v>
      </c>
      <c r="Q747" s="32" t="str">
        <f t="shared" si="67"/>
        <v>-</v>
      </c>
      <c r="S747" s="32" t="str">
        <f t="shared" si="68"/>
        <v>-</v>
      </c>
    </row>
    <row r="748" spans="1:19" x14ac:dyDescent="0.3">
      <c r="A748" s="45" t="s">
        <v>2913</v>
      </c>
      <c r="B748" s="40" t="s">
        <v>1338</v>
      </c>
      <c r="C748" s="41" t="s">
        <v>1849</v>
      </c>
      <c r="D748" s="21" t="s">
        <v>2235</v>
      </c>
      <c r="E748" s="21" t="s">
        <v>2229</v>
      </c>
      <c r="F748" s="24">
        <v>0.27800676357300003</v>
      </c>
      <c r="G748" s="21">
        <v>12</v>
      </c>
      <c r="H748" s="17">
        <v>16.5</v>
      </c>
      <c r="I748" s="43" t="s">
        <v>3950</v>
      </c>
      <c r="J748" s="26"/>
      <c r="K748" s="17">
        <f t="shared" si="66"/>
        <v>0</v>
      </c>
      <c r="N748" s="31" t="str">
        <f t="shared" si="69"/>
        <v>-</v>
      </c>
      <c r="O748" s="31" t="str">
        <f t="shared" si="71"/>
        <v>-</v>
      </c>
      <c r="P748" s="35" t="str">
        <f t="shared" si="70"/>
        <v>-</v>
      </c>
      <c r="Q748" s="32" t="str">
        <f t="shared" si="67"/>
        <v>-</v>
      </c>
      <c r="S748" s="32" t="str">
        <f t="shared" si="68"/>
        <v>-</v>
      </c>
    </row>
    <row r="749" spans="1:19" x14ac:dyDescent="0.3">
      <c r="A749" s="45" t="s">
        <v>2914</v>
      </c>
      <c r="B749" s="40" t="s">
        <v>215</v>
      </c>
      <c r="C749" s="41" t="s">
        <v>1849</v>
      </c>
      <c r="D749" s="21" t="s">
        <v>2236</v>
      </c>
      <c r="E749" s="21" t="s">
        <v>2229</v>
      </c>
      <c r="F749" s="24">
        <v>0.1184102881885</v>
      </c>
      <c r="G749" s="21">
        <v>12</v>
      </c>
      <c r="H749" s="17">
        <v>31.79</v>
      </c>
      <c r="I749" s="43" t="s">
        <v>3950</v>
      </c>
      <c r="J749" s="26"/>
      <c r="K749" s="17">
        <f t="shared" si="66"/>
        <v>0</v>
      </c>
      <c r="N749" s="31" t="str">
        <f t="shared" si="69"/>
        <v>-</v>
      </c>
      <c r="O749" s="31" t="str">
        <f t="shared" si="71"/>
        <v>-</v>
      </c>
      <c r="P749" s="35" t="str">
        <f t="shared" si="70"/>
        <v>-</v>
      </c>
      <c r="Q749" s="32" t="str">
        <f t="shared" si="67"/>
        <v>-</v>
      </c>
      <c r="S749" s="32" t="str">
        <f t="shared" si="68"/>
        <v>-</v>
      </c>
    </row>
    <row r="750" spans="1:19" x14ac:dyDescent="0.3">
      <c r="A750" s="45" t="s">
        <v>2915</v>
      </c>
      <c r="B750" s="40" t="s">
        <v>1006</v>
      </c>
      <c r="C750" s="41" t="s">
        <v>1850</v>
      </c>
      <c r="D750" s="21" t="s">
        <v>2223</v>
      </c>
      <c r="E750" s="21" t="s">
        <v>2222</v>
      </c>
      <c r="F750" s="24">
        <v>9.6959149023916669E-2</v>
      </c>
      <c r="G750" s="21">
        <v>12</v>
      </c>
      <c r="H750" s="17">
        <v>8.5500000000000007</v>
      </c>
      <c r="I750" s="43" t="s">
        <v>3950</v>
      </c>
      <c r="J750" s="26"/>
      <c r="K750" s="17">
        <f t="shared" si="66"/>
        <v>0</v>
      </c>
      <c r="N750" s="31" t="str">
        <f t="shared" si="69"/>
        <v>-</v>
      </c>
      <c r="O750" s="31" t="str">
        <f t="shared" si="71"/>
        <v>-</v>
      </c>
      <c r="P750" s="35" t="str">
        <f t="shared" si="70"/>
        <v>-</v>
      </c>
      <c r="Q750" s="32" t="str">
        <f t="shared" si="67"/>
        <v>-</v>
      </c>
      <c r="S750" s="32" t="str">
        <f t="shared" si="68"/>
        <v>-</v>
      </c>
    </row>
    <row r="751" spans="1:19" x14ac:dyDescent="0.3">
      <c r="A751" s="45" t="s">
        <v>2916</v>
      </c>
      <c r="B751" s="40" t="s">
        <v>553</v>
      </c>
      <c r="C751" s="41" t="s">
        <v>1851</v>
      </c>
      <c r="D751" s="21" t="s">
        <v>2224</v>
      </c>
      <c r="E751" s="21" t="s">
        <v>2222</v>
      </c>
      <c r="F751" s="24">
        <v>0.15187406528524999</v>
      </c>
      <c r="G751" s="21">
        <v>12</v>
      </c>
      <c r="H751" s="17">
        <v>6.15</v>
      </c>
      <c r="I751" s="43" t="s">
        <v>3950</v>
      </c>
      <c r="J751" s="26"/>
      <c r="K751" s="17">
        <f t="shared" si="66"/>
        <v>0</v>
      </c>
      <c r="N751" s="31" t="str">
        <f t="shared" si="69"/>
        <v>-</v>
      </c>
      <c r="O751" s="31" t="str">
        <f t="shared" si="71"/>
        <v>-</v>
      </c>
      <c r="P751" s="35" t="str">
        <f t="shared" si="70"/>
        <v>-</v>
      </c>
      <c r="Q751" s="32" t="str">
        <f t="shared" si="67"/>
        <v>-</v>
      </c>
      <c r="S751" s="32" t="str">
        <f t="shared" si="68"/>
        <v>-</v>
      </c>
    </row>
    <row r="752" spans="1:19" x14ac:dyDescent="0.3">
      <c r="A752" s="45" t="s">
        <v>2917</v>
      </c>
      <c r="B752" s="40" t="s">
        <v>1444</v>
      </c>
      <c r="C752" s="41" t="s">
        <v>1851</v>
      </c>
      <c r="D752" s="21" t="s">
        <v>2227</v>
      </c>
      <c r="E752" s="21" t="s">
        <v>2222</v>
      </c>
      <c r="F752" s="24">
        <v>0.29087744707175006</v>
      </c>
      <c r="G752" s="21">
        <v>12</v>
      </c>
      <c r="H752" s="17">
        <v>11.39</v>
      </c>
      <c r="I752" s="43" t="s">
        <v>3950</v>
      </c>
      <c r="J752" s="26"/>
      <c r="K752" s="17">
        <f t="shared" si="66"/>
        <v>0</v>
      </c>
      <c r="N752" s="31" t="str">
        <f t="shared" si="69"/>
        <v>-</v>
      </c>
      <c r="O752" s="31" t="str">
        <f t="shared" si="71"/>
        <v>-</v>
      </c>
      <c r="P752" s="35" t="str">
        <f t="shared" si="70"/>
        <v>-</v>
      </c>
      <c r="Q752" s="32" t="str">
        <f t="shared" si="67"/>
        <v>-</v>
      </c>
      <c r="S752" s="32" t="str">
        <f t="shared" si="68"/>
        <v>-</v>
      </c>
    </row>
    <row r="753" spans="1:19" x14ac:dyDescent="0.3">
      <c r="A753" s="45" t="s">
        <v>2918</v>
      </c>
      <c r="B753" s="40" t="s">
        <v>1145</v>
      </c>
      <c r="C753" s="41" t="s">
        <v>1851</v>
      </c>
      <c r="D753" s="21" t="s">
        <v>2233</v>
      </c>
      <c r="E753" s="21" t="s">
        <v>2222</v>
      </c>
      <c r="F753" s="24">
        <v>0.54786209426345844</v>
      </c>
      <c r="G753" s="21">
        <v>12</v>
      </c>
      <c r="H753" s="17">
        <v>21.9</v>
      </c>
      <c r="I753" s="43" t="s">
        <v>3950</v>
      </c>
      <c r="J753" s="26"/>
      <c r="K753" s="17">
        <f t="shared" si="66"/>
        <v>0</v>
      </c>
      <c r="N753" s="31" t="str">
        <f t="shared" si="69"/>
        <v>-</v>
      </c>
      <c r="O753" s="31" t="str">
        <f t="shared" si="71"/>
        <v>-</v>
      </c>
      <c r="P753" s="35" t="str">
        <f t="shared" si="70"/>
        <v>-</v>
      </c>
      <c r="Q753" s="32" t="str">
        <f t="shared" si="67"/>
        <v>-</v>
      </c>
      <c r="S753" s="32" t="str">
        <f t="shared" si="68"/>
        <v>-</v>
      </c>
    </row>
    <row r="754" spans="1:19" x14ac:dyDescent="0.3">
      <c r="A754" s="45" t="s">
        <v>2919</v>
      </c>
      <c r="B754" s="40" t="s">
        <v>1536</v>
      </c>
      <c r="C754" s="41" t="s">
        <v>1852</v>
      </c>
      <c r="D754" s="21" t="s">
        <v>2227</v>
      </c>
      <c r="E754" s="21" t="s">
        <v>2222</v>
      </c>
      <c r="F754" s="24">
        <v>0.29087744707175006</v>
      </c>
      <c r="G754" s="21">
        <v>12</v>
      </c>
      <c r="H754" s="17">
        <v>12.59</v>
      </c>
      <c r="I754" s="43" t="s">
        <v>3950</v>
      </c>
      <c r="J754" s="26"/>
      <c r="K754" s="17">
        <f t="shared" si="66"/>
        <v>0</v>
      </c>
      <c r="N754" s="31" t="str">
        <f t="shared" si="69"/>
        <v>-</v>
      </c>
      <c r="O754" s="31" t="str">
        <f t="shared" si="71"/>
        <v>-</v>
      </c>
      <c r="P754" s="35" t="str">
        <f t="shared" si="70"/>
        <v>-</v>
      </c>
      <c r="Q754" s="32" t="str">
        <f t="shared" si="67"/>
        <v>-</v>
      </c>
      <c r="S754" s="32" t="str">
        <f t="shared" si="68"/>
        <v>-</v>
      </c>
    </row>
    <row r="755" spans="1:19" x14ac:dyDescent="0.3">
      <c r="A755" s="45" t="s">
        <v>2920</v>
      </c>
      <c r="B755" s="40" t="s">
        <v>1537</v>
      </c>
      <c r="C755" s="41" t="s">
        <v>1852</v>
      </c>
      <c r="D755" s="21" t="s">
        <v>2233</v>
      </c>
      <c r="E755" s="21" t="s">
        <v>2222</v>
      </c>
      <c r="F755" s="24">
        <v>0.55815864106245838</v>
      </c>
      <c r="G755" s="21">
        <v>12</v>
      </c>
      <c r="H755" s="17">
        <v>24.3</v>
      </c>
      <c r="I755" s="43" t="s">
        <v>3950</v>
      </c>
      <c r="J755" s="26"/>
      <c r="K755" s="17">
        <f t="shared" si="66"/>
        <v>0</v>
      </c>
      <c r="N755" s="31" t="str">
        <f t="shared" si="69"/>
        <v>-</v>
      </c>
      <c r="O755" s="31" t="str">
        <f t="shared" si="71"/>
        <v>-</v>
      </c>
      <c r="P755" s="35" t="str">
        <f t="shared" si="70"/>
        <v>-</v>
      </c>
      <c r="Q755" s="32" t="str">
        <f t="shared" si="67"/>
        <v>-</v>
      </c>
      <c r="S755" s="32" t="str">
        <f t="shared" si="68"/>
        <v>-</v>
      </c>
    </row>
    <row r="756" spans="1:19" x14ac:dyDescent="0.3">
      <c r="A756" s="45" t="s">
        <v>2921</v>
      </c>
      <c r="B756" s="40" t="s">
        <v>66</v>
      </c>
      <c r="C756" s="41" t="s">
        <v>1853</v>
      </c>
      <c r="D756" s="21" t="s">
        <v>2227</v>
      </c>
      <c r="E756" s="21" t="s">
        <v>2238</v>
      </c>
      <c r="F756" s="24">
        <v>9.9104262940375012E-2</v>
      </c>
      <c r="G756" s="21">
        <v>12</v>
      </c>
      <c r="H756" s="17">
        <v>13.05</v>
      </c>
      <c r="I756" s="43" t="s">
        <v>3950</v>
      </c>
      <c r="J756" s="26"/>
      <c r="K756" s="17">
        <f t="shared" si="66"/>
        <v>0</v>
      </c>
      <c r="N756" s="31" t="str">
        <f t="shared" si="69"/>
        <v>-</v>
      </c>
      <c r="O756" s="31" t="str">
        <f t="shared" si="71"/>
        <v>-</v>
      </c>
      <c r="P756" s="35" t="str">
        <f t="shared" si="70"/>
        <v>-</v>
      </c>
      <c r="Q756" s="32" t="str">
        <f t="shared" si="67"/>
        <v>-</v>
      </c>
      <c r="S756" s="32" t="str">
        <f t="shared" si="68"/>
        <v>-</v>
      </c>
    </row>
    <row r="757" spans="1:19" x14ac:dyDescent="0.3">
      <c r="A757" s="45" t="s">
        <v>2922</v>
      </c>
      <c r="B757" s="40" t="s">
        <v>1427</v>
      </c>
      <c r="C757" s="41" t="s">
        <v>1854</v>
      </c>
      <c r="D757" s="21" t="s">
        <v>2224</v>
      </c>
      <c r="E757" s="21" t="s">
        <v>2234</v>
      </c>
      <c r="F757" s="24">
        <v>0.10039133129024999</v>
      </c>
      <c r="G757" s="21">
        <v>12</v>
      </c>
      <c r="H757" s="17">
        <v>8.39</v>
      </c>
      <c r="I757" s="43" t="s">
        <v>3950</v>
      </c>
      <c r="J757" s="26"/>
      <c r="K757" s="17">
        <f t="shared" si="66"/>
        <v>0</v>
      </c>
      <c r="N757" s="31" t="str">
        <f t="shared" si="69"/>
        <v>-</v>
      </c>
      <c r="O757" s="31" t="str">
        <f t="shared" si="71"/>
        <v>-</v>
      </c>
      <c r="P757" s="35" t="str">
        <f t="shared" si="70"/>
        <v>-</v>
      </c>
      <c r="Q757" s="32" t="str">
        <f t="shared" si="67"/>
        <v>-</v>
      </c>
      <c r="S757" s="32" t="str">
        <f t="shared" si="68"/>
        <v>-</v>
      </c>
    </row>
    <row r="758" spans="1:19" x14ac:dyDescent="0.3">
      <c r="A758" s="45" t="s">
        <v>2923</v>
      </c>
      <c r="B758" s="40" t="s">
        <v>1089</v>
      </c>
      <c r="C758" s="41" t="s">
        <v>1854</v>
      </c>
      <c r="D758" s="21" t="s">
        <v>2225</v>
      </c>
      <c r="E758" s="21" t="s">
        <v>2234</v>
      </c>
      <c r="F758" s="24">
        <v>0.14586774631916669</v>
      </c>
      <c r="G758" s="21">
        <v>12</v>
      </c>
      <c r="H758" s="17">
        <v>12.15</v>
      </c>
      <c r="I758" s="43" t="s">
        <v>3950</v>
      </c>
      <c r="J758" s="26"/>
      <c r="K758" s="17">
        <f t="shared" si="66"/>
        <v>0</v>
      </c>
      <c r="N758" s="31" t="str">
        <f t="shared" si="69"/>
        <v>-</v>
      </c>
      <c r="O758" s="31" t="str">
        <f t="shared" si="71"/>
        <v>-</v>
      </c>
      <c r="P758" s="35" t="str">
        <f t="shared" si="70"/>
        <v>-</v>
      </c>
      <c r="Q758" s="32" t="str">
        <f t="shared" si="67"/>
        <v>-</v>
      </c>
      <c r="S758" s="32" t="str">
        <f t="shared" si="68"/>
        <v>-</v>
      </c>
    </row>
    <row r="759" spans="1:19" x14ac:dyDescent="0.3">
      <c r="A759" s="45" t="s">
        <v>2924</v>
      </c>
      <c r="B759" s="40" t="s">
        <v>1025</v>
      </c>
      <c r="C759" s="41" t="s">
        <v>1855</v>
      </c>
      <c r="D759" s="21" t="s">
        <v>2224</v>
      </c>
      <c r="E759" s="21" t="s">
        <v>2222</v>
      </c>
      <c r="F759" s="24">
        <v>0.10940080973937501</v>
      </c>
      <c r="G759" s="21">
        <v>12</v>
      </c>
      <c r="H759" s="17">
        <v>5.39</v>
      </c>
      <c r="I759" s="43" t="s">
        <v>3950</v>
      </c>
      <c r="J759" s="26"/>
      <c r="K759" s="17">
        <f t="shared" ref="K759:K822" si="72">J759*H759</f>
        <v>0</v>
      </c>
      <c r="N759" s="31" t="str">
        <f t="shared" si="69"/>
        <v>-</v>
      </c>
      <c r="O759" s="31" t="str">
        <f t="shared" si="71"/>
        <v>-</v>
      </c>
      <c r="P759" s="35" t="str">
        <f t="shared" si="70"/>
        <v>-</v>
      </c>
      <c r="Q759" s="32" t="str">
        <f t="shared" si="67"/>
        <v>-</v>
      </c>
      <c r="S759" s="32" t="str">
        <f t="shared" si="68"/>
        <v>-</v>
      </c>
    </row>
    <row r="760" spans="1:19" x14ac:dyDescent="0.3">
      <c r="A760" s="45" t="s">
        <v>2925</v>
      </c>
      <c r="B760" s="40" t="s">
        <v>1356</v>
      </c>
      <c r="C760" s="41" t="s">
        <v>1855</v>
      </c>
      <c r="D760" s="21" t="s">
        <v>2227</v>
      </c>
      <c r="E760" s="21" t="s">
        <v>2222</v>
      </c>
      <c r="F760" s="24">
        <v>0.19735048031416669</v>
      </c>
      <c r="G760" s="21">
        <v>12</v>
      </c>
      <c r="H760" s="17">
        <v>9.9</v>
      </c>
      <c r="I760" s="43" t="s">
        <v>3950</v>
      </c>
      <c r="J760" s="26"/>
      <c r="K760" s="17">
        <f t="shared" si="72"/>
        <v>0</v>
      </c>
      <c r="N760" s="31" t="str">
        <f t="shared" si="69"/>
        <v>-</v>
      </c>
      <c r="O760" s="31" t="str">
        <f t="shared" si="71"/>
        <v>-</v>
      </c>
      <c r="P760" s="35" t="str">
        <f t="shared" si="70"/>
        <v>-</v>
      </c>
      <c r="Q760" s="32" t="str">
        <f t="shared" ref="Q760:Q823" si="73">IFERROR(IF($N$2&gt;0, $N$2*P760, "-"), "-")</f>
        <v>-</v>
      </c>
      <c r="S760" s="32" t="str">
        <f t="shared" ref="S760:S823" si="74">IFERROR(IF(Q760+K760=0, "-", IF(Q760&gt;0, Q760+K760, "-")), "-")</f>
        <v>-</v>
      </c>
    </row>
    <row r="761" spans="1:19" x14ac:dyDescent="0.3">
      <c r="A761" s="45" t="s">
        <v>2926</v>
      </c>
      <c r="B761" s="40" t="s">
        <v>227</v>
      </c>
      <c r="C761" s="41" t="s">
        <v>1855</v>
      </c>
      <c r="D761" s="21" t="s">
        <v>2233</v>
      </c>
      <c r="E761" s="21" t="s">
        <v>2222</v>
      </c>
      <c r="F761" s="24">
        <v>0.35694695569866675</v>
      </c>
      <c r="G761" s="21">
        <v>12</v>
      </c>
      <c r="H761" s="17">
        <v>18.59</v>
      </c>
      <c r="I761" s="43" t="s">
        <v>3950</v>
      </c>
      <c r="J761" s="26"/>
      <c r="K761" s="17">
        <f t="shared" si="72"/>
        <v>0</v>
      </c>
      <c r="N761" s="31" t="str">
        <f t="shared" si="69"/>
        <v>-</v>
      </c>
      <c r="O761" s="31" t="str">
        <f t="shared" si="71"/>
        <v>-</v>
      </c>
      <c r="P761" s="35" t="str">
        <f t="shared" si="70"/>
        <v>-</v>
      </c>
      <c r="Q761" s="32" t="str">
        <f t="shared" si="73"/>
        <v>-</v>
      </c>
      <c r="S761" s="32" t="str">
        <f t="shared" si="74"/>
        <v>-</v>
      </c>
    </row>
    <row r="762" spans="1:19" x14ac:dyDescent="0.3">
      <c r="A762" s="45" t="s">
        <v>2927</v>
      </c>
      <c r="B762" s="40" t="s">
        <v>142</v>
      </c>
      <c r="C762" s="41" t="s">
        <v>1856</v>
      </c>
      <c r="D762" s="21" t="s">
        <v>2235</v>
      </c>
      <c r="E762" s="21" t="s">
        <v>2240</v>
      </c>
      <c r="F762" s="24">
        <v>0.17933152341591668</v>
      </c>
      <c r="G762" s="21">
        <v>12</v>
      </c>
      <c r="H762" s="17">
        <v>7.95</v>
      </c>
      <c r="I762" s="43" t="s">
        <v>3950</v>
      </c>
      <c r="J762" s="26"/>
      <c r="K762" s="17">
        <f t="shared" si="72"/>
        <v>0</v>
      </c>
      <c r="N762" s="31" t="str">
        <f t="shared" si="69"/>
        <v>-</v>
      </c>
      <c r="O762" s="31" t="str">
        <f t="shared" si="71"/>
        <v>-</v>
      </c>
      <c r="P762" s="35" t="str">
        <f t="shared" si="70"/>
        <v>-</v>
      </c>
      <c r="Q762" s="32" t="str">
        <f t="shared" si="73"/>
        <v>-</v>
      </c>
      <c r="S762" s="32" t="str">
        <f t="shared" si="74"/>
        <v>-</v>
      </c>
    </row>
    <row r="763" spans="1:19" x14ac:dyDescent="0.3">
      <c r="A763" s="45" t="s">
        <v>2928</v>
      </c>
      <c r="B763" s="40" t="s">
        <v>30</v>
      </c>
      <c r="C763" s="41" t="s">
        <v>1856</v>
      </c>
      <c r="D763" s="21" t="s">
        <v>2236</v>
      </c>
      <c r="E763" s="21" t="s">
        <v>2240</v>
      </c>
      <c r="F763" s="24">
        <v>0.32863145200141669</v>
      </c>
      <c r="G763" s="21">
        <v>12</v>
      </c>
      <c r="H763" s="17">
        <v>14.99</v>
      </c>
      <c r="I763" s="43" t="s">
        <v>3950</v>
      </c>
      <c r="J763" s="26"/>
      <c r="K763" s="17">
        <f t="shared" si="72"/>
        <v>0</v>
      </c>
      <c r="N763" s="31" t="str">
        <f t="shared" si="69"/>
        <v>-</v>
      </c>
      <c r="O763" s="31" t="str">
        <f t="shared" si="71"/>
        <v>-</v>
      </c>
      <c r="P763" s="35" t="str">
        <f t="shared" si="70"/>
        <v>-</v>
      </c>
      <c r="Q763" s="32" t="str">
        <f t="shared" si="73"/>
        <v>-</v>
      </c>
      <c r="S763" s="32" t="str">
        <f t="shared" si="74"/>
        <v>-</v>
      </c>
    </row>
    <row r="764" spans="1:19" x14ac:dyDescent="0.3">
      <c r="A764" s="45" t="s">
        <v>2929</v>
      </c>
      <c r="B764" s="40" t="s">
        <v>1170</v>
      </c>
      <c r="C764" s="41" t="s">
        <v>1857</v>
      </c>
      <c r="D764" s="21" t="s">
        <v>2223</v>
      </c>
      <c r="E764" s="21" t="s">
        <v>2222</v>
      </c>
      <c r="F764" s="24">
        <v>6.1779280794000004E-2</v>
      </c>
      <c r="G764" s="21">
        <v>12</v>
      </c>
      <c r="H764" s="17">
        <v>4.79</v>
      </c>
      <c r="I764" s="43" t="s">
        <v>3950</v>
      </c>
      <c r="J764" s="26"/>
      <c r="K764" s="17">
        <f t="shared" si="72"/>
        <v>0</v>
      </c>
      <c r="N764" s="31" t="str">
        <f t="shared" si="69"/>
        <v>-</v>
      </c>
      <c r="O764" s="31" t="str">
        <f t="shared" si="71"/>
        <v>-</v>
      </c>
      <c r="P764" s="35" t="str">
        <f t="shared" si="70"/>
        <v>-</v>
      </c>
      <c r="Q764" s="32" t="str">
        <f t="shared" si="73"/>
        <v>-</v>
      </c>
      <c r="S764" s="32" t="str">
        <f t="shared" si="74"/>
        <v>-</v>
      </c>
    </row>
    <row r="765" spans="1:19" x14ac:dyDescent="0.3">
      <c r="A765" s="45" t="s">
        <v>2930</v>
      </c>
      <c r="B765" s="40" t="s">
        <v>1053</v>
      </c>
      <c r="C765" s="41" t="s">
        <v>1857</v>
      </c>
      <c r="D765" s="21" t="s">
        <v>2224</v>
      </c>
      <c r="E765" s="21" t="s">
        <v>2222</v>
      </c>
      <c r="F765" s="24">
        <v>8.7520647791500011E-2</v>
      </c>
      <c r="G765" s="21">
        <v>12</v>
      </c>
      <c r="H765" s="17">
        <v>8.39</v>
      </c>
      <c r="I765" s="43" t="s">
        <v>3950</v>
      </c>
      <c r="J765" s="26"/>
      <c r="K765" s="17">
        <f t="shared" si="72"/>
        <v>0</v>
      </c>
      <c r="N765" s="31" t="str">
        <f t="shared" si="69"/>
        <v>-</v>
      </c>
      <c r="O765" s="31" t="str">
        <f t="shared" si="71"/>
        <v>-</v>
      </c>
      <c r="P765" s="35" t="str">
        <f t="shared" si="70"/>
        <v>-</v>
      </c>
      <c r="Q765" s="32" t="str">
        <f t="shared" si="73"/>
        <v>-</v>
      </c>
      <c r="S765" s="32" t="str">
        <f t="shared" si="74"/>
        <v>-</v>
      </c>
    </row>
    <row r="766" spans="1:19" x14ac:dyDescent="0.3">
      <c r="A766" s="45" t="s">
        <v>2931</v>
      </c>
      <c r="B766" s="40" t="s">
        <v>345</v>
      </c>
      <c r="C766" s="41" t="s">
        <v>1857</v>
      </c>
      <c r="D766" s="21" t="s">
        <v>2227</v>
      </c>
      <c r="E766" s="21" t="s">
        <v>2222</v>
      </c>
      <c r="F766" s="24">
        <v>0.14844188301891667</v>
      </c>
      <c r="G766" s="21">
        <v>12</v>
      </c>
      <c r="H766" s="17">
        <v>15.9</v>
      </c>
      <c r="I766" s="43" t="s">
        <v>3950</v>
      </c>
      <c r="J766" s="26"/>
      <c r="K766" s="17">
        <f t="shared" si="72"/>
        <v>0</v>
      </c>
      <c r="N766" s="31" t="str">
        <f t="shared" ref="N766:N829" si="75">IFERROR(IF($N$2*F766=0, "-", $N$2*F766), "-")</f>
        <v>-</v>
      </c>
      <c r="O766" s="31" t="str">
        <f t="shared" si="71"/>
        <v>-</v>
      </c>
      <c r="P766" s="35" t="str">
        <f t="shared" ref="P766:P829" si="76">IF(J766&gt;0,J766*F766, "-")</f>
        <v>-</v>
      </c>
      <c r="Q766" s="32" t="str">
        <f t="shared" si="73"/>
        <v>-</v>
      </c>
      <c r="S766" s="32" t="str">
        <f t="shared" si="74"/>
        <v>-</v>
      </c>
    </row>
    <row r="767" spans="1:19" x14ac:dyDescent="0.3">
      <c r="A767" s="45" t="s">
        <v>2932</v>
      </c>
      <c r="B767" s="40" t="s">
        <v>266</v>
      </c>
      <c r="C767" s="41" t="s">
        <v>1858</v>
      </c>
      <c r="D767" s="21" t="s">
        <v>2231</v>
      </c>
      <c r="E767" s="21" t="s">
        <v>2222</v>
      </c>
      <c r="F767" s="24">
        <v>0.11068787808925001</v>
      </c>
      <c r="G767" s="21">
        <v>12</v>
      </c>
      <c r="H767" s="17">
        <v>14.7</v>
      </c>
      <c r="I767" s="43" t="s">
        <v>3950</v>
      </c>
      <c r="J767" s="26"/>
      <c r="K767" s="17">
        <f t="shared" si="72"/>
        <v>0</v>
      </c>
      <c r="N767" s="31" t="str">
        <f t="shared" si="75"/>
        <v>-</v>
      </c>
      <c r="O767" s="31" t="str">
        <f t="shared" ref="O767:O830" si="77">IFERROR(IF(N767&gt;0,H767+N767,"-"),"-")</f>
        <v>-</v>
      </c>
      <c r="P767" s="35" t="str">
        <f t="shared" si="76"/>
        <v>-</v>
      </c>
      <c r="Q767" s="32" t="str">
        <f t="shared" si="73"/>
        <v>-</v>
      </c>
      <c r="S767" s="32" t="str">
        <f t="shared" si="74"/>
        <v>-</v>
      </c>
    </row>
    <row r="768" spans="1:19" x14ac:dyDescent="0.3">
      <c r="A768" s="45" t="s">
        <v>2933</v>
      </c>
      <c r="B768" s="40" t="s">
        <v>745</v>
      </c>
      <c r="C768" s="41" t="s">
        <v>1858</v>
      </c>
      <c r="D768" s="21" t="s">
        <v>2225</v>
      </c>
      <c r="E768" s="21" t="s">
        <v>2222</v>
      </c>
      <c r="F768" s="24">
        <v>0.18705393351516672</v>
      </c>
      <c r="G768" s="21">
        <v>12</v>
      </c>
      <c r="H768" s="17">
        <v>28.5</v>
      </c>
      <c r="I768" s="43" t="s">
        <v>3950</v>
      </c>
      <c r="J768" s="26"/>
      <c r="K768" s="17">
        <f t="shared" si="72"/>
        <v>0</v>
      </c>
      <c r="N768" s="31" t="str">
        <f t="shared" si="75"/>
        <v>-</v>
      </c>
      <c r="O768" s="31" t="str">
        <f t="shared" si="77"/>
        <v>-</v>
      </c>
      <c r="P768" s="35" t="str">
        <f t="shared" si="76"/>
        <v>-</v>
      </c>
      <c r="Q768" s="32" t="str">
        <f t="shared" si="73"/>
        <v>-</v>
      </c>
      <c r="S768" s="32" t="str">
        <f t="shared" si="74"/>
        <v>-</v>
      </c>
    </row>
    <row r="769" spans="1:19" x14ac:dyDescent="0.3">
      <c r="A769" s="45" t="s">
        <v>2934</v>
      </c>
      <c r="B769" s="40" t="s">
        <v>326</v>
      </c>
      <c r="C769" s="41" t="s">
        <v>1859</v>
      </c>
      <c r="D769" s="21" t="s">
        <v>2224</v>
      </c>
      <c r="E769" s="21" t="s">
        <v>2222</v>
      </c>
      <c r="F769" s="24">
        <v>0.14844188301891667</v>
      </c>
      <c r="G769" s="21">
        <v>12</v>
      </c>
      <c r="H769" s="17">
        <v>8.6999999999999993</v>
      </c>
      <c r="I769" s="43" t="s">
        <v>3950</v>
      </c>
      <c r="J769" s="26"/>
      <c r="K769" s="17">
        <f t="shared" si="72"/>
        <v>0</v>
      </c>
      <c r="N769" s="31" t="str">
        <f t="shared" si="75"/>
        <v>-</v>
      </c>
      <c r="O769" s="31" t="str">
        <f t="shared" si="77"/>
        <v>-</v>
      </c>
      <c r="P769" s="35" t="str">
        <f t="shared" si="76"/>
        <v>-</v>
      </c>
      <c r="Q769" s="32" t="str">
        <f t="shared" si="73"/>
        <v>-</v>
      </c>
      <c r="S769" s="32" t="str">
        <f t="shared" si="74"/>
        <v>-</v>
      </c>
    </row>
    <row r="770" spans="1:19" x14ac:dyDescent="0.3">
      <c r="A770" s="45" t="s">
        <v>2935</v>
      </c>
      <c r="B770" s="40" t="s">
        <v>90</v>
      </c>
      <c r="C770" s="41" t="s">
        <v>1859</v>
      </c>
      <c r="D770" s="21" t="s">
        <v>2227</v>
      </c>
      <c r="E770" s="21" t="s">
        <v>2222</v>
      </c>
      <c r="F770" s="24">
        <v>0.27200044460691669</v>
      </c>
      <c r="G770" s="21">
        <v>12</v>
      </c>
      <c r="H770" s="17">
        <v>16.5</v>
      </c>
      <c r="I770" s="43" t="s">
        <v>3950</v>
      </c>
      <c r="J770" s="26"/>
      <c r="K770" s="17">
        <f t="shared" si="72"/>
        <v>0</v>
      </c>
      <c r="N770" s="31" t="str">
        <f t="shared" si="75"/>
        <v>-</v>
      </c>
      <c r="O770" s="31" t="str">
        <f t="shared" si="77"/>
        <v>-</v>
      </c>
      <c r="P770" s="35" t="str">
        <f t="shared" si="76"/>
        <v>-</v>
      </c>
      <c r="Q770" s="32" t="str">
        <f t="shared" si="73"/>
        <v>-</v>
      </c>
      <c r="S770" s="32" t="str">
        <f t="shared" si="74"/>
        <v>-</v>
      </c>
    </row>
    <row r="771" spans="1:19" x14ac:dyDescent="0.3">
      <c r="A771" s="45" t="s">
        <v>2938</v>
      </c>
      <c r="B771" s="40" t="s">
        <v>1024</v>
      </c>
      <c r="C771" s="41" t="s">
        <v>1860</v>
      </c>
      <c r="D771" s="21" t="s">
        <v>2227</v>
      </c>
      <c r="E771" s="21" t="s">
        <v>2222</v>
      </c>
      <c r="F771" s="24">
        <v>0.25067801227732084</v>
      </c>
      <c r="G771" s="21">
        <v>12</v>
      </c>
      <c r="H771" s="17">
        <v>23.1</v>
      </c>
      <c r="I771" s="43" t="s">
        <v>3950</v>
      </c>
      <c r="J771" s="26"/>
      <c r="K771" s="17">
        <f t="shared" si="72"/>
        <v>0</v>
      </c>
      <c r="N771" s="31" t="str">
        <f t="shared" si="75"/>
        <v>-</v>
      </c>
      <c r="O771" s="31" t="str">
        <f t="shared" si="77"/>
        <v>-</v>
      </c>
      <c r="P771" s="35" t="str">
        <f t="shared" si="76"/>
        <v>-</v>
      </c>
      <c r="Q771" s="32" t="str">
        <f t="shared" si="73"/>
        <v>-</v>
      </c>
      <c r="S771" s="32" t="str">
        <f t="shared" si="74"/>
        <v>-</v>
      </c>
    </row>
    <row r="772" spans="1:19" x14ac:dyDescent="0.3">
      <c r="A772" s="45" t="s">
        <v>2939</v>
      </c>
      <c r="B772" s="40" t="s">
        <v>832</v>
      </c>
      <c r="C772" s="41" t="s">
        <v>1861</v>
      </c>
      <c r="D772" s="21" t="s">
        <v>2225</v>
      </c>
      <c r="E772" s="21" t="s">
        <v>2222</v>
      </c>
      <c r="F772" s="24">
        <v>0.14071947291966666</v>
      </c>
      <c r="G772" s="21">
        <v>12</v>
      </c>
      <c r="H772" s="17">
        <v>12.9</v>
      </c>
      <c r="I772" s="43" t="s">
        <v>3950</v>
      </c>
      <c r="J772" s="26"/>
      <c r="K772" s="17">
        <f t="shared" si="72"/>
        <v>0</v>
      </c>
      <c r="N772" s="31" t="str">
        <f t="shared" si="75"/>
        <v>-</v>
      </c>
      <c r="O772" s="31" t="str">
        <f t="shared" si="77"/>
        <v>-</v>
      </c>
      <c r="P772" s="35" t="str">
        <f t="shared" si="76"/>
        <v>-</v>
      </c>
      <c r="Q772" s="32" t="str">
        <f t="shared" si="73"/>
        <v>-</v>
      </c>
      <c r="S772" s="32" t="str">
        <f t="shared" si="74"/>
        <v>-</v>
      </c>
    </row>
    <row r="773" spans="1:19" x14ac:dyDescent="0.3">
      <c r="A773" s="45" t="s">
        <v>2940</v>
      </c>
      <c r="B773" s="40" t="s">
        <v>349</v>
      </c>
      <c r="C773" s="41" t="s">
        <v>1861</v>
      </c>
      <c r="D773" s="21" t="s">
        <v>2226</v>
      </c>
      <c r="E773" s="21" t="s">
        <v>2222</v>
      </c>
      <c r="F773" s="24">
        <v>0.24883321430916666</v>
      </c>
      <c r="G773" s="21">
        <v>12</v>
      </c>
      <c r="H773" s="17">
        <v>24.59</v>
      </c>
      <c r="I773" s="43" t="s">
        <v>3950</v>
      </c>
      <c r="J773" s="26"/>
      <c r="K773" s="17">
        <f t="shared" si="72"/>
        <v>0</v>
      </c>
      <c r="N773" s="31" t="str">
        <f t="shared" si="75"/>
        <v>-</v>
      </c>
      <c r="O773" s="31" t="str">
        <f t="shared" si="77"/>
        <v>-</v>
      </c>
      <c r="P773" s="35" t="str">
        <f t="shared" si="76"/>
        <v>-</v>
      </c>
      <c r="Q773" s="32" t="str">
        <f t="shared" si="73"/>
        <v>-</v>
      </c>
      <c r="S773" s="32" t="str">
        <f t="shared" si="74"/>
        <v>-</v>
      </c>
    </row>
    <row r="774" spans="1:19" x14ac:dyDescent="0.3">
      <c r="A774" s="45" t="s">
        <v>2941</v>
      </c>
      <c r="B774" s="40" t="s">
        <v>1538</v>
      </c>
      <c r="C774" s="41" t="s">
        <v>1862</v>
      </c>
      <c r="D774" s="21" t="s">
        <v>2231</v>
      </c>
      <c r="E774" s="21" t="s">
        <v>2222</v>
      </c>
      <c r="F774" s="24">
        <v>0.11583615148875001</v>
      </c>
      <c r="G774" s="21">
        <v>12</v>
      </c>
      <c r="H774" s="17">
        <v>8.25</v>
      </c>
      <c r="I774" s="43" t="s">
        <v>3950</v>
      </c>
      <c r="J774" s="26"/>
      <c r="K774" s="17">
        <f t="shared" si="72"/>
        <v>0</v>
      </c>
      <c r="N774" s="31" t="str">
        <f t="shared" si="75"/>
        <v>-</v>
      </c>
      <c r="O774" s="31" t="str">
        <f t="shared" si="77"/>
        <v>-</v>
      </c>
      <c r="P774" s="35" t="str">
        <f t="shared" si="76"/>
        <v>-</v>
      </c>
      <c r="Q774" s="32" t="str">
        <f t="shared" si="73"/>
        <v>-</v>
      </c>
      <c r="S774" s="32" t="str">
        <f t="shared" si="74"/>
        <v>-</v>
      </c>
    </row>
    <row r="775" spans="1:19" x14ac:dyDescent="0.3">
      <c r="A775" s="45" t="s">
        <v>2942</v>
      </c>
      <c r="B775" s="40" t="s">
        <v>1539</v>
      </c>
      <c r="C775" s="41" t="s">
        <v>1862</v>
      </c>
      <c r="D775" s="21" t="s">
        <v>2225</v>
      </c>
      <c r="E775" s="21" t="s">
        <v>2222</v>
      </c>
      <c r="F775" s="24">
        <v>0.20764702711316668</v>
      </c>
      <c r="G775" s="21">
        <v>12</v>
      </c>
      <c r="H775" s="17">
        <v>15.59</v>
      </c>
      <c r="I775" s="43" t="s">
        <v>3950</v>
      </c>
      <c r="J775" s="26"/>
      <c r="K775" s="17">
        <f t="shared" si="72"/>
        <v>0</v>
      </c>
      <c r="N775" s="31" t="str">
        <f t="shared" si="75"/>
        <v>-</v>
      </c>
      <c r="O775" s="31" t="str">
        <f t="shared" si="77"/>
        <v>-</v>
      </c>
      <c r="P775" s="35" t="str">
        <f t="shared" si="76"/>
        <v>-</v>
      </c>
      <c r="Q775" s="32" t="str">
        <f t="shared" si="73"/>
        <v>-</v>
      </c>
      <c r="S775" s="32" t="str">
        <f t="shared" si="74"/>
        <v>-</v>
      </c>
    </row>
    <row r="776" spans="1:19" x14ac:dyDescent="0.3">
      <c r="A776" s="45" t="s">
        <v>2943</v>
      </c>
      <c r="B776" s="40" t="s">
        <v>102</v>
      </c>
      <c r="C776" s="41" t="s">
        <v>1863</v>
      </c>
      <c r="D776" s="21" t="s">
        <v>2231</v>
      </c>
      <c r="E776" s="21" t="s">
        <v>2232</v>
      </c>
      <c r="F776" s="24">
        <v>0.12784878942091665</v>
      </c>
      <c r="G776" s="21">
        <v>12</v>
      </c>
      <c r="H776" s="17">
        <v>8.6999999999999993</v>
      </c>
      <c r="I776" s="43" t="s">
        <v>3950</v>
      </c>
      <c r="J776" s="26"/>
      <c r="K776" s="17">
        <f t="shared" si="72"/>
        <v>0</v>
      </c>
      <c r="N776" s="31" t="str">
        <f t="shared" si="75"/>
        <v>-</v>
      </c>
      <c r="O776" s="31" t="str">
        <f t="shared" si="77"/>
        <v>-</v>
      </c>
      <c r="P776" s="35" t="str">
        <f t="shared" si="76"/>
        <v>-</v>
      </c>
      <c r="Q776" s="32" t="str">
        <f t="shared" si="73"/>
        <v>-</v>
      </c>
      <c r="S776" s="32" t="str">
        <f t="shared" si="74"/>
        <v>-</v>
      </c>
    </row>
    <row r="777" spans="1:19" x14ac:dyDescent="0.3">
      <c r="A777" s="45" t="s">
        <v>2944</v>
      </c>
      <c r="B777" s="40" t="s">
        <v>1367</v>
      </c>
      <c r="C777" s="41" t="s">
        <v>1863</v>
      </c>
      <c r="D777" s="21" t="s">
        <v>2225</v>
      </c>
      <c r="E777" s="21" t="s">
        <v>2232</v>
      </c>
      <c r="F777" s="24">
        <v>0.24111080420991668</v>
      </c>
      <c r="G777" s="21">
        <v>12</v>
      </c>
      <c r="H777" s="17">
        <v>16.5</v>
      </c>
      <c r="I777" s="43" t="s">
        <v>3950</v>
      </c>
      <c r="J777" s="26"/>
      <c r="K777" s="17">
        <f t="shared" si="72"/>
        <v>0</v>
      </c>
      <c r="N777" s="31" t="str">
        <f t="shared" si="75"/>
        <v>-</v>
      </c>
      <c r="O777" s="31" t="str">
        <f t="shared" si="77"/>
        <v>-</v>
      </c>
      <c r="P777" s="35" t="str">
        <f t="shared" si="76"/>
        <v>-</v>
      </c>
      <c r="Q777" s="32" t="str">
        <f t="shared" si="73"/>
        <v>-</v>
      </c>
      <c r="S777" s="32" t="str">
        <f t="shared" si="74"/>
        <v>-</v>
      </c>
    </row>
    <row r="778" spans="1:19" x14ac:dyDescent="0.3">
      <c r="A778" s="45" t="s">
        <v>2945</v>
      </c>
      <c r="B778" s="40" t="s">
        <v>112</v>
      </c>
      <c r="C778" s="41" t="s">
        <v>1863</v>
      </c>
      <c r="D778" s="21" t="s">
        <v>2226</v>
      </c>
      <c r="E778" s="21" t="s">
        <v>2232</v>
      </c>
      <c r="F778" s="24">
        <v>0.44789978575650002</v>
      </c>
      <c r="G778" s="21">
        <v>12</v>
      </c>
      <c r="H778" s="17">
        <v>31.5</v>
      </c>
      <c r="I778" s="43" t="s">
        <v>3950</v>
      </c>
      <c r="J778" s="26"/>
      <c r="K778" s="17">
        <f t="shared" si="72"/>
        <v>0</v>
      </c>
      <c r="N778" s="31" t="str">
        <f t="shared" si="75"/>
        <v>-</v>
      </c>
      <c r="O778" s="31" t="str">
        <f t="shared" si="77"/>
        <v>-</v>
      </c>
      <c r="P778" s="35" t="str">
        <f t="shared" si="76"/>
        <v>-</v>
      </c>
      <c r="Q778" s="32" t="str">
        <f t="shared" si="73"/>
        <v>-</v>
      </c>
      <c r="S778" s="32" t="str">
        <f t="shared" si="74"/>
        <v>-</v>
      </c>
    </row>
    <row r="779" spans="1:19" x14ac:dyDescent="0.3">
      <c r="A779" s="45" t="s">
        <v>2946</v>
      </c>
      <c r="B779" s="40" t="s">
        <v>295</v>
      </c>
      <c r="C779" s="41" t="s">
        <v>1864</v>
      </c>
      <c r="D779" s="21" t="s">
        <v>2223</v>
      </c>
      <c r="E779" s="21" t="s">
        <v>2244</v>
      </c>
      <c r="F779" s="24">
        <v>6.606950862691667E-2</v>
      </c>
      <c r="G779" s="21">
        <v>12</v>
      </c>
      <c r="H779" s="17">
        <v>13.5</v>
      </c>
      <c r="I779" s="43" t="s">
        <v>3950</v>
      </c>
      <c r="J779" s="26"/>
      <c r="K779" s="17">
        <f t="shared" si="72"/>
        <v>0</v>
      </c>
      <c r="N779" s="31" t="str">
        <f t="shared" si="75"/>
        <v>-</v>
      </c>
      <c r="O779" s="31" t="str">
        <f t="shared" si="77"/>
        <v>-</v>
      </c>
      <c r="P779" s="35" t="str">
        <f t="shared" si="76"/>
        <v>-</v>
      </c>
      <c r="Q779" s="32" t="str">
        <f t="shared" si="73"/>
        <v>-</v>
      </c>
      <c r="S779" s="32" t="str">
        <f t="shared" si="74"/>
        <v>-</v>
      </c>
    </row>
    <row r="780" spans="1:19" x14ac:dyDescent="0.3">
      <c r="A780" s="45" t="s">
        <v>2947</v>
      </c>
      <c r="B780" s="40" t="s">
        <v>1030</v>
      </c>
      <c r="C780" s="41" t="s">
        <v>1864</v>
      </c>
      <c r="D780" s="21" t="s">
        <v>2224</v>
      </c>
      <c r="E780" s="21" t="s">
        <v>2244</v>
      </c>
      <c r="F780" s="24">
        <v>0.10811374138950001</v>
      </c>
      <c r="G780" s="21">
        <v>12</v>
      </c>
      <c r="H780" s="17">
        <v>25.79</v>
      </c>
      <c r="I780" s="43" t="s">
        <v>3950</v>
      </c>
      <c r="J780" s="26"/>
      <c r="K780" s="17">
        <f t="shared" si="72"/>
        <v>0</v>
      </c>
      <c r="N780" s="31" t="str">
        <f t="shared" si="75"/>
        <v>-</v>
      </c>
      <c r="O780" s="31" t="str">
        <f t="shared" si="77"/>
        <v>-</v>
      </c>
      <c r="P780" s="35" t="str">
        <f t="shared" si="76"/>
        <v>-</v>
      </c>
      <c r="Q780" s="32" t="str">
        <f t="shared" si="73"/>
        <v>-</v>
      </c>
      <c r="S780" s="32" t="str">
        <f t="shared" si="74"/>
        <v>-</v>
      </c>
    </row>
    <row r="781" spans="1:19" x14ac:dyDescent="0.3">
      <c r="A781" s="45" t="s">
        <v>2948</v>
      </c>
      <c r="B781" s="40" t="s">
        <v>1183</v>
      </c>
      <c r="C781" s="41" t="s">
        <v>1865</v>
      </c>
      <c r="D781" s="21" t="s">
        <v>2223</v>
      </c>
      <c r="E781" s="21" t="s">
        <v>2244</v>
      </c>
      <c r="F781" s="24">
        <v>5.1482733995000002E-2</v>
      </c>
      <c r="G781" s="21">
        <v>12</v>
      </c>
      <c r="H781" s="17">
        <v>17.989999999999998</v>
      </c>
      <c r="I781" s="43" t="s">
        <v>3950</v>
      </c>
      <c r="J781" s="26"/>
      <c r="K781" s="17">
        <f t="shared" si="72"/>
        <v>0</v>
      </c>
      <c r="N781" s="31" t="str">
        <f t="shared" si="75"/>
        <v>-</v>
      </c>
      <c r="O781" s="31" t="str">
        <f t="shared" si="77"/>
        <v>-</v>
      </c>
      <c r="P781" s="35" t="str">
        <f t="shared" si="76"/>
        <v>-</v>
      </c>
      <c r="Q781" s="32" t="str">
        <f t="shared" si="73"/>
        <v>-</v>
      </c>
      <c r="S781" s="32" t="str">
        <f t="shared" si="74"/>
        <v>-</v>
      </c>
    </row>
    <row r="782" spans="1:19" x14ac:dyDescent="0.3">
      <c r="A782" s="45" t="s">
        <v>2949</v>
      </c>
      <c r="B782" s="40" t="s">
        <v>1111</v>
      </c>
      <c r="C782" s="41" t="s">
        <v>1866</v>
      </c>
      <c r="D782" s="21" t="s">
        <v>2224</v>
      </c>
      <c r="E782" s="21" t="s">
        <v>2244</v>
      </c>
      <c r="F782" s="24">
        <v>8.4946511091750013E-2</v>
      </c>
      <c r="G782" s="21">
        <v>12</v>
      </c>
      <c r="H782" s="17">
        <v>35.1</v>
      </c>
      <c r="I782" s="43" t="s">
        <v>3950</v>
      </c>
      <c r="J782" s="26"/>
      <c r="K782" s="17">
        <f t="shared" si="72"/>
        <v>0</v>
      </c>
      <c r="N782" s="31" t="str">
        <f t="shared" si="75"/>
        <v>-</v>
      </c>
      <c r="O782" s="31" t="str">
        <f t="shared" si="77"/>
        <v>-</v>
      </c>
      <c r="P782" s="35" t="str">
        <f t="shared" si="76"/>
        <v>-</v>
      </c>
      <c r="Q782" s="32" t="str">
        <f t="shared" si="73"/>
        <v>-</v>
      </c>
      <c r="S782" s="32" t="str">
        <f t="shared" si="74"/>
        <v>-</v>
      </c>
    </row>
    <row r="783" spans="1:19" x14ac:dyDescent="0.3">
      <c r="A783" s="45" t="s">
        <v>2950</v>
      </c>
      <c r="B783" s="40" t="s">
        <v>238</v>
      </c>
      <c r="C783" s="41" t="s">
        <v>1867</v>
      </c>
      <c r="D783" s="21" t="s">
        <v>2230</v>
      </c>
      <c r="E783" s="21" t="s">
        <v>2258</v>
      </c>
      <c r="F783" s="24">
        <v>0.10296546799</v>
      </c>
      <c r="G783" s="21">
        <v>12</v>
      </c>
      <c r="H783" s="17">
        <v>6.3</v>
      </c>
      <c r="I783" s="43" t="s">
        <v>3950</v>
      </c>
      <c r="J783" s="26"/>
      <c r="K783" s="17">
        <f t="shared" si="72"/>
        <v>0</v>
      </c>
      <c r="N783" s="31" t="str">
        <f t="shared" si="75"/>
        <v>-</v>
      </c>
      <c r="O783" s="31" t="str">
        <f t="shared" si="77"/>
        <v>-</v>
      </c>
      <c r="P783" s="35" t="str">
        <f t="shared" si="76"/>
        <v>-</v>
      </c>
      <c r="Q783" s="32" t="str">
        <f t="shared" si="73"/>
        <v>-</v>
      </c>
      <c r="S783" s="32" t="str">
        <f t="shared" si="74"/>
        <v>-</v>
      </c>
    </row>
    <row r="784" spans="1:19" x14ac:dyDescent="0.3">
      <c r="A784" s="45" t="s">
        <v>2951</v>
      </c>
      <c r="B784" s="40" t="s">
        <v>1387</v>
      </c>
      <c r="C784" s="41" t="s">
        <v>1867</v>
      </c>
      <c r="D784" s="21" t="s">
        <v>2235</v>
      </c>
      <c r="E784" s="21" t="s">
        <v>2258</v>
      </c>
      <c r="F784" s="24">
        <v>0.19048611578150001</v>
      </c>
      <c r="G784" s="21">
        <v>12</v>
      </c>
      <c r="H784" s="17">
        <v>11.7</v>
      </c>
      <c r="I784" s="43" t="s">
        <v>3950</v>
      </c>
      <c r="J784" s="26"/>
      <c r="K784" s="17">
        <f t="shared" si="72"/>
        <v>0</v>
      </c>
      <c r="N784" s="31" t="str">
        <f t="shared" si="75"/>
        <v>-</v>
      </c>
      <c r="O784" s="31" t="str">
        <f t="shared" si="77"/>
        <v>-</v>
      </c>
      <c r="P784" s="35" t="str">
        <f t="shared" si="76"/>
        <v>-</v>
      </c>
      <c r="Q784" s="32" t="str">
        <f t="shared" si="73"/>
        <v>-</v>
      </c>
      <c r="S784" s="32" t="str">
        <f t="shared" si="74"/>
        <v>-</v>
      </c>
    </row>
    <row r="785" spans="1:19" x14ac:dyDescent="0.3">
      <c r="A785" s="45" t="s">
        <v>2952</v>
      </c>
      <c r="B785" s="40" t="s">
        <v>1540</v>
      </c>
      <c r="C785" s="41" t="s">
        <v>1868</v>
      </c>
      <c r="D785" s="21" t="s">
        <v>2231</v>
      </c>
      <c r="E785" s="21" t="s">
        <v>2222</v>
      </c>
      <c r="F785" s="24">
        <v>0.10210742242341668</v>
      </c>
      <c r="G785" s="21">
        <v>12</v>
      </c>
      <c r="H785" s="17">
        <v>10.65</v>
      </c>
      <c r="I785" s="43" t="s">
        <v>3950</v>
      </c>
      <c r="J785" s="26"/>
      <c r="K785" s="17">
        <f t="shared" si="72"/>
        <v>0</v>
      </c>
      <c r="N785" s="31" t="str">
        <f t="shared" si="75"/>
        <v>-</v>
      </c>
      <c r="O785" s="31" t="str">
        <f t="shared" si="77"/>
        <v>-</v>
      </c>
      <c r="P785" s="35" t="str">
        <f t="shared" si="76"/>
        <v>-</v>
      </c>
      <c r="Q785" s="32" t="str">
        <f t="shared" si="73"/>
        <v>-</v>
      </c>
      <c r="S785" s="32" t="str">
        <f t="shared" si="74"/>
        <v>-</v>
      </c>
    </row>
    <row r="786" spans="1:19" x14ac:dyDescent="0.3">
      <c r="A786" s="45" t="s">
        <v>2953</v>
      </c>
      <c r="B786" s="40" t="s">
        <v>1541</v>
      </c>
      <c r="C786" s="41" t="s">
        <v>1868</v>
      </c>
      <c r="D786" s="21" t="s">
        <v>2225</v>
      </c>
      <c r="E786" s="21" t="s">
        <v>2222</v>
      </c>
      <c r="F786" s="24">
        <v>0.22394989287825001</v>
      </c>
      <c r="G786" s="21">
        <v>12</v>
      </c>
      <c r="H786" s="17">
        <v>20.39</v>
      </c>
      <c r="I786" s="43" t="s">
        <v>3950</v>
      </c>
      <c r="J786" s="26"/>
      <c r="K786" s="17">
        <f t="shared" si="72"/>
        <v>0</v>
      </c>
      <c r="N786" s="31" t="str">
        <f t="shared" si="75"/>
        <v>-</v>
      </c>
      <c r="O786" s="31" t="str">
        <f t="shared" si="77"/>
        <v>-</v>
      </c>
      <c r="P786" s="35" t="str">
        <f t="shared" si="76"/>
        <v>-</v>
      </c>
      <c r="Q786" s="32" t="str">
        <f t="shared" si="73"/>
        <v>-</v>
      </c>
      <c r="S786" s="32" t="str">
        <f t="shared" si="74"/>
        <v>-</v>
      </c>
    </row>
    <row r="787" spans="1:19" x14ac:dyDescent="0.3">
      <c r="A787" s="45" t="s">
        <v>2954</v>
      </c>
      <c r="B787" s="40" t="s">
        <v>529</v>
      </c>
      <c r="C787" s="41" t="s">
        <v>1869</v>
      </c>
      <c r="D787" s="21" t="s">
        <v>2230</v>
      </c>
      <c r="E787" s="21" t="s">
        <v>2229</v>
      </c>
      <c r="F787" s="24">
        <v>0.15444820198499998</v>
      </c>
      <c r="G787" s="21">
        <v>12</v>
      </c>
      <c r="H787" s="17">
        <v>8.85</v>
      </c>
      <c r="I787" s="43" t="s">
        <v>3950</v>
      </c>
      <c r="J787" s="26"/>
      <c r="K787" s="17">
        <f t="shared" si="72"/>
        <v>0</v>
      </c>
      <c r="N787" s="31" t="str">
        <f t="shared" si="75"/>
        <v>-</v>
      </c>
      <c r="O787" s="31" t="str">
        <f t="shared" si="77"/>
        <v>-</v>
      </c>
      <c r="P787" s="35" t="str">
        <f t="shared" si="76"/>
        <v>-</v>
      </c>
      <c r="Q787" s="32" t="str">
        <f t="shared" si="73"/>
        <v>-</v>
      </c>
      <c r="S787" s="32" t="str">
        <f t="shared" si="74"/>
        <v>-</v>
      </c>
    </row>
    <row r="788" spans="1:19" x14ac:dyDescent="0.3">
      <c r="A788" s="45" t="s">
        <v>2955</v>
      </c>
      <c r="B788" s="40" t="s">
        <v>28</v>
      </c>
      <c r="C788" s="41" t="s">
        <v>1869</v>
      </c>
      <c r="D788" s="21" t="s">
        <v>2235</v>
      </c>
      <c r="E788" s="21" t="s">
        <v>2229</v>
      </c>
      <c r="F788" s="24">
        <v>0.29345158377150005</v>
      </c>
      <c r="G788" s="21">
        <v>12</v>
      </c>
      <c r="H788" s="17">
        <v>16.5</v>
      </c>
      <c r="I788" s="43" t="s">
        <v>3950</v>
      </c>
      <c r="J788" s="26"/>
      <c r="K788" s="17">
        <f t="shared" si="72"/>
        <v>0</v>
      </c>
      <c r="N788" s="31" t="str">
        <f t="shared" si="75"/>
        <v>-</v>
      </c>
      <c r="O788" s="31" t="str">
        <f t="shared" si="77"/>
        <v>-</v>
      </c>
      <c r="P788" s="35" t="str">
        <f t="shared" si="76"/>
        <v>-</v>
      </c>
      <c r="Q788" s="32" t="str">
        <f t="shared" si="73"/>
        <v>-</v>
      </c>
      <c r="S788" s="32" t="str">
        <f t="shared" si="74"/>
        <v>-</v>
      </c>
    </row>
    <row r="789" spans="1:19" x14ac:dyDescent="0.3">
      <c r="A789" s="45" t="s">
        <v>2956</v>
      </c>
      <c r="B789" s="40" t="s">
        <v>355</v>
      </c>
      <c r="C789" s="41" t="s">
        <v>1869</v>
      </c>
      <c r="D789" s="21" t="s">
        <v>2236</v>
      </c>
      <c r="E789" s="21" t="s">
        <v>2229</v>
      </c>
      <c r="F789" s="24">
        <v>0.57145834734450007</v>
      </c>
      <c r="G789" s="21">
        <v>12</v>
      </c>
      <c r="H789" s="17">
        <v>31.79</v>
      </c>
      <c r="I789" s="43" t="s">
        <v>3950</v>
      </c>
      <c r="J789" s="26"/>
      <c r="K789" s="17">
        <f t="shared" si="72"/>
        <v>0</v>
      </c>
      <c r="N789" s="31" t="str">
        <f t="shared" si="75"/>
        <v>-</v>
      </c>
      <c r="O789" s="31" t="str">
        <f t="shared" si="77"/>
        <v>-</v>
      </c>
      <c r="P789" s="35" t="str">
        <f t="shared" si="76"/>
        <v>-</v>
      </c>
      <c r="Q789" s="32" t="str">
        <f t="shared" si="73"/>
        <v>-</v>
      </c>
      <c r="S789" s="32" t="str">
        <f t="shared" si="74"/>
        <v>-</v>
      </c>
    </row>
    <row r="790" spans="1:19" x14ac:dyDescent="0.3">
      <c r="A790" s="45" t="s">
        <v>2957</v>
      </c>
      <c r="B790" s="40" t="s">
        <v>686</v>
      </c>
      <c r="C790" s="41" t="s">
        <v>1870</v>
      </c>
      <c r="D790" s="21" t="s">
        <v>2259</v>
      </c>
      <c r="E790" s="21" t="s">
        <v>2222</v>
      </c>
      <c r="F790" s="24">
        <v>4.325979731524305E-2</v>
      </c>
      <c r="G790" s="21">
        <v>144</v>
      </c>
      <c r="H790" s="17">
        <v>7.19</v>
      </c>
      <c r="I790" s="43" t="s">
        <v>3950</v>
      </c>
      <c r="J790" s="26"/>
      <c r="K790" s="17">
        <f t="shared" si="72"/>
        <v>0</v>
      </c>
      <c r="N790" s="31" t="str">
        <f t="shared" si="75"/>
        <v>-</v>
      </c>
      <c r="O790" s="31" t="str">
        <f t="shared" si="77"/>
        <v>-</v>
      </c>
      <c r="P790" s="35" t="str">
        <f t="shared" si="76"/>
        <v>-</v>
      </c>
      <c r="Q790" s="32" t="str">
        <f t="shared" si="73"/>
        <v>-</v>
      </c>
      <c r="S790" s="32" t="str">
        <f t="shared" si="74"/>
        <v>-</v>
      </c>
    </row>
    <row r="791" spans="1:19" x14ac:dyDescent="0.3">
      <c r="A791" s="45" t="s">
        <v>2958</v>
      </c>
      <c r="B791" s="40" t="s">
        <v>1542</v>
      </c>
      <c r="C791" s="41" t="s">
        <v>1871</v>
      </c>
      <c r="D791" s="21" t="s">
        <v>2230</v>
      </c>
      <c r="E791" s="21" t="s">
        <v>2258</v>
      </c>
      <c r="F791" s="24">
        <v>0.10296546799</v>
      </c>
      <c r="G791" s="21">
        <v>12</v>
      </c>
      <c r="H791" s="17">
        <v>11.99</v>
      </c>
      <c r="I791" s="43" t="s">
        <v>3950</v>
      </c>
      <c r="J791" s="26"/>
      <c r="K791" s="17">
        <f t="shared" si="72"/>
        <v>0</v>
      </c>
      <c r="N791" s="31" t="str">
        <f t="shared" si="75"/>
        <v>-</v>
      </c>
      <c r="O791" s="31" t="str">
        <f t="shared" si="77"/>
        <v>-</v>
      </c>
      <c r="P791" s="35" t="str">
        <f t="shared" si="76"/>
        <v>-</v>
      </c>
      <c r="Q791" s="32" t="str">
        <f t="shared" si="73"/>
        <v>-</v>
      </c>
      <c r="S791" s="32" t="str">
        <f t="shared" si="74"/>
        <v>-</v>
      </c>
    </row>
    <row r="792" spans="1:19" x14ac:dyDescent="0.3">
      <c r="A792" s="45" t="s">
        <v>2959</v>
      </c>
      <c r="B792" s="40" t="s">
        <v>1543</v>
      </c>
      <c r="C792" s="41" t="s">
        <v>1871</v>
      </c>
      <c r="D792" s="21" t="s">
        <v>2235</v>
      </c>
      <c r="E792" s="21" t="s">
        <v>2258</v>
      </c>
      <c r="F792" s="24">
        <v>0.18533784238200005</v>
      </c>
      <c r="G792" s="21">
        <v>12</v>
      </c>
      <c r="H792" s="17">
        <v>22.79</v>
      </c>
      <c r="I792" s="43" t="s">
        <v>3950</v>
      </c>
      <c r="J792" s="26"/>
      <c r="K792" s="17">
        <f t="shared" si="72"/>
        <v>0</v>
      </c>
      <c r="N792" s="31" t="str">
        <f t="shared" si="75"/>
        <v>-</v>
      </c>
      <c r="O792" s="31" t="str">
        <f t="shared" si="77"/>
        <v>-</v>
      </c>
      <c r="P792" s="35" t="str">
        <f t="shared" si="76"/>
        <v>-</v>
      </c>
      <c r="Q792" s="32" t="str">
        <f t="shared" si="73"/>
        <v>-</v>
      </c>
      <c r="S792" s="32" t="str">
        <f t="shared" si="74"/>
        <v>-</v>
      </c>
    </row>
    <row r="793" spans="1:19" x14ac:dyDescent="0.3">
      <c r="A793" s="45" t="s">
        <v>2961</v>
      </c>
      <c r="B793" s="40" t="s">
        <v>29</v>
      </c>
      <c r="C793" s="41" t="s">
        <v>1872</v>
      </c>
      <c r="D793" s="21" t="s">
        <v>2224</v>
      </c>
      <c r="E793" s="21" t="s">
        <v>2222</v>
      </c>
      <c r="F793" s="24">
        <v>0.13642924508675</v>
      </c>
      <c r="G793" s="21">
        <v>12</v>
      </c>
      <c r="H793" s="17">
        <v>12.59</v>
      </c>
      <c r="I793" s="43" t="s">
        <v>3950</v>
      </c>
      <c r="J793" s="26"/>
      <c r="K793" s="17">
        <f t="shared" si="72"/>
        <v>0</v>
      </c>
      <c r="N793" s="31" t="str">
        <f t="shared" si="75"/>
        <v>-</v>
      </c>
      <c r="O793" s="31" t="str">
        <f t="shared" si="77"/>
        <v>-</v>
      </c>
      <c r="P793" s="35" t="str">
        <f t="shared" si="76"/>
        <v>-</v>
      </c>
      <c r="Q793" s="32" t="str">
        <f t="shared" si="73"/>
        <v>-</v>
      </c>
      <c r="S793" s="32" t="str">
        <f t="shared" si="74"/>
        <v>-</v>
      </c>
    </row>
    <row r="794" spans="1:19" x14ac:dyDescent="0.3">
      <c r="A794" s="45" t="s">
        <v>2962</v>
      </c>
      <c r="B794" s="40" t="s">
        <v>748</v>
      </c>
      <c r="C794" s="41" t="s">
        <v>1873</v>
      </c>
      <c r="D794" s="21" t="s">
        <v>2231</v>
      </c>
      <c r="E794" s="21" t="s">
        <v>2222</v>
      </c>
      <c r="F794" s="24">
        <v>6.6927554193500008E-2</v>
      </c>
      <c r="G794" s="21">
        <v>12</v>
      </c>
      <c r="H794" s="17">
        <v>6.3</v>
      </c>
      <c r="I794" s="43" t="s">
        <v>3950</v>
      </c>
      <c r="J794" s="26"/>
      <c r="K794" s="17">
        <f t="shared" si="72"/>
        <v>0</v>
      </c>
      <c r="N794" s="31" t="str">
        <f t="shared" si="75"/>
        <v>-</v>
      </c>
      <c r="O794" s="31" t="str">
        <f t="shared" si="77"/>
        <v>-</v>
      </c>
      <c r="P794" s="35" t="str">
        <f t="shared" si="76"/>
        <v>-</v>
      </c>
      <c r="Q794" s="32" t="str">
        <f t="shared" si="73"/>
        <v>-</v>
      </c>
      <c r="S794" s="32" t="str">
        <f t="shared" si="74"/>
        <v>-</v>
      </c>
    </row>
    <row r="795" spans="1:19" x14ac:dyDescent="0.3">
      <c r="A795" s="45" t="s">
        <v>2963</v>
      </c>
      <c r="B795" s="40" t="s">
        <v>1154</v>
      </c>
      <c r="C795" s="41" t="s">
        <v>1873</v>
      </c>
      <c r="D795" s="21" t="s">
        <v>2225</v>
      </c>
      <c r="E795" s="21" t="s">
        <v>2222</v>
      </c>
      <c r="F795" s="24">
        <v>9.9104262940375012E-2</v>
      </c>
      <c r="G795" s="21">
        <v>12</v>
      </c>
      <c r="H795" s="17">
        <v>11.39</v>
      </c>
      <c r="I795" s="43" t="s">
        <v>3950</v>
      </c>
      <c r="J795" s="26"/>
      <c r="K795" s="17">
        <f t="shared" si="72"/>
        <v>0</v>
      </c>
      <c r="N795" s="31" t="str">
        <f t="shared" si="75"/>
        <v>-</v>
      </c>
      <c r="O795" s="31" t="str">
        <f t="shared" si="77"/>
        <v>-</v>
      </c>
      <c r="P795" s="35" t="str">
        <f t="shared" si="76"/>
        <v>-</v>
      </c>
      <c r="Q795" s="32" t="str">
        <f t="shared" si="73"/>
        <v>-</v>
      </c>
      <c r="S795" s="32" t="str">
        <f t="shared" si="74"/>
        <v>-</v>
      </c>
    </row>
    <row r="796" spans="1:19" x14ac:dyDescent="0.3">
      <c r="A796" s="45" t="s">
        <v>2964</v>
      </c>
      <c r="B796" s="40" t="s">
        <v>27</v>
      </c>
      <c r="C796" s="41" t="s">
        <v>1873</v>
      </c>
      <c r="D796" s="21" t="s">
        <v>2226</v>
      </c>
      <c r="E796" s="21" t="s">
        <v>2222</v>
      </c>
      <c r="F796" s="24">
        <v>0.17160911331666664</v>
      </c>
      <c r="G796" s="21">
        <v>12</v>
      </c>
      <c r="H796" s="17">
        <v>20.99</v>
      </c>
      <c r="I796" s="43" t="s">
        <v>3950</v>
      </c>
      <c r="J796" s="26"/>
      <c r="K796" s="17">
        <f t="shared" si="72"/>
        <v>0</v>
      </c>
      <c r="N796" s="31" t="str">
        <f t="shared" si="75"/>
        <v>-</v>
      </c>
      <c r="O796" s="31" t="str">
        <f t="shared" si="77"/>
        <v>-</v>
      </c>
      <c r="P796" s="35" t="str">
        <f t="shared" si="76"/>
        <v>-</v>
      </c>
      <c r="Q796" s="32" t="str">
        <f t="shared" si="73"/>
        <v>-</v>
      </c>
      <c r="S796" s="32" t="str">
        <f t="shared" si="74"/>
        <v>-</v>
      </c>
    </row>
    <row r="797" spans="1:19" x14ac:dyDescent="0.3">
      <c r="A797" s="45" t="s">
        <v>2965</v>
      </c>
      <c r="B797" s="40" t="s">
        <v>1109</v>
      </c>
      <c r="C797" s="41" t="s">
        <v>1874</v>
      </c>
      <c r="D797" s="21" t="s">
        <v>2230</v>
      </c>
      <c r="E797" s="21" t="s">
        <v>2258</v>
      </c>
      <c r="F797" s="24">
        <v>9.7817194590499992E-2</v>
      </c>
      <c r="G797" s="21">
        <v>12</v>
      </c>
      <c r="H797" s="17">
        <v>9.15</v>
      </c>
      <c r="I797" s="43" t="s">
        <v>3950</v>
      </c>
      <c r="J797" s="26"/>
      <c r="K797" s="17">
        <f t="shared" si="72"/>
        <v>0</v>
      </c>
      <c r="N797" s="31" t="str">
        <f t="shared" si="75"/>
        <v>-</v>
      </c>
      <c r="O797" s="31" t="str">
        <f t="shared" si="77"/>
        <v>-</v>
      </c>
      <c r="P797" s="35" t="str">
        <f t="shared" si="76"/>
        <v>-</v>
      </c>
      <c r="Q797" s="32" t="str">
        <f t="shared" si="73"/>
        <v>-</v>
      </c>
      <c r="S797" s="32" t="str">
        <f t="shared" si="74"/>
        <v>-</v>
      </c>
    </row>
    <row r="798" spans="1:19" x14ac:dyDescent="0.3">
      <c r="A798" s="45" t="s">
        <v>2966</v>
      </c>
      <c r="B798" s="40" t="s">
        <v>379</v>
      </c>
      <c r="C798" s="41" t="s">
        <v>2283</v>
      </c>
      <c r="D798" s="21" t="s">
        <v>2235</v>
      </c>
      <c r="E798" s="21" t="s">
        <v>2258</v>
      </c>
      <c r="F798" s="24">
        <v>0.18533784238200005</v>
      </c>
      <c r="G798" s="21">
        <v>12</v>
      </c>
      <c r="H798" s="17">
        <v>17.100000000000001</v>
      </c>
      <c r="I798" s="43" t="s">
        <v>3950</v>
      </c>
      <c r="J798" s="26"/>
      <c r="K798" s="17">
        <f t="shared" si="72"/>
        <v>0</v>
      </c>
      <c r="N798" s="31" t="str">
        <f t="shared" si="75"/>
        <v>-</v>
      </c>
      <c r="O798" s="31" t="str">
        <f t="shared" si="77"/>
        <v>-</v>
      </c>
      <c r="P798" s="35" t="str">
        <f t="shared" si="76"/>
        <v>-</v>
      </c>
      <c r="Q798" s="32" t="str">
        <f t="shared" si="73"/>
        <v>-</v>
      </c>
      <c r="S798" s="32" t="str">
        <f t="shared" si="74"/>
        <v>-</v>
      </c>
    </row>
    <row r="799" spans="1:19" x14ac:dyDescent="0.3">
      <c r="A799" s="45" t="s">
        <v>2967</v>
      </c>
      <c r="B799" s="40" t="s">
        <v>2284</v>
      </c>
      <c r="C799" s="41" t="s">
        <v>2285</v>
      </c>
      <c r="D799" s="21" t="s">
        <v>2224</v>
      </c>
      <c r="E799" s="21" t="s">
        <v>2222</v>
      </c>
      <c r="F799" s="24">
        <v>6.6927554193500008E-2</v>
      </c>
      <c r="G799" s="21">
        <v>12</v>
      </c>
      <c r="H799" s="17">
        <v>17.100000000000001</v>
      </c>
      <c r="I799" s="43" t="s">
        <v>3950</v>
      </c>
      <c r="J799" s="26"/>
      <c r="K799" s="17">
        <f t="shared" si="72"/>
        <v>0</v>
      </c>
      <c r="N799" s="31" t="str">
        <f t="shared" si="75"/>
        <v>-</v>
      </c>
      <c r="O799" s="31" t="str">
        <f t="shared" si="77"/>
        <v>-</v>
      </c>
      <c r="P799" s="35" t="str">
        <f t="shared" si="76"/>
        <v>-</v>
      </c>
      <c r="Q799" s="32" t="str">
        <f t="shared" si="73"/>
        <v>-</v>
      </c>
      <c r="S799" s="32" t="str">
        <f t="shared" si="74"/>
        <v>-</v>
      </c>
    </row>
    <row r="800" spans="1:19" x14ac:dyDescent="0.3">
      <c r="A800" s="45" t="s">
        <v>2968</v>
      </c>
      <c r="B800" s="40" t="s">
        <v>504</v>
      </c>
      <c r="C800" s="41" t="s">
        <v>1829</v>
      </c>
      <c r="D800" s="21" t="s">
        <v>2226</v>
      </c>
      <c r="E800" s="21" t="s">
        <v>2222</v>
      </c>
      <c r="F800" s="24">
        <v>0.35179868229916661</v>
      </c>
      <c r="G800" s="21">
        <v>12</v>
      </c>
      <c r="H800" s="17">
        <v>34.19</v>
      </c>
      <c r="I800" s="43" t="s">
        <v>3950</v>
      </c>
      <c r="J800" s="26"/>
      <c r="K800" s="17">
        <f t="shared" si="72"/>
        <v>0</v>
      </c>
      <c r="N800" s="31" t="str">
        <f t="shared" si="75"/>
        <v>-</v>
      </c>
      <c r="O800" s="31" t="str">
        <f t="shared" si="77"/>
        <v>-</v>
      </c>
      <c r="P800" s="35" t="str">
        <f t="shared" si="76"/>
        <v>-</v>
      </c>
      <c r="Q800" s="32" t="str">
        <f t="shared" si="73"/>
        <v>-</v>
      </c>
      <c r="S800" s="32" t="str">
        <f t="shared" si="74"/>
        <v>-</v>
      </c>
    </row>
    <row r="801" spans="1:19" x14ac:dyDescent="0.3">
      <c r="A801" s="45" t="s">
        <v>2969</v>
      </c>
      <c r="B801" s="40" t="s">
        <v>943</v>
      </c>
      <c r="C801" s="41" t="s">
        <v>1875</v>
      </c>
      <c r="D801" s="21" t="s">
        <v>2233</v>
      </c>
      <c r="E801" s="21" t="s">
        <v>2222</v>
      </c>
      <c r="F801" s="24">
        <v>0.45991242368866669</v>
      </c>
      <c r="G801" s="21">
        <v>12</v>
      </c>
      <c r="H801" s="17">
        <v>23.85</v>
      </c>
      <c r="I801" s="43" t="s">
        <v>3950</v>
      </c>
      <c r="J801" s="26"/>
      <c r="K801" s="17">
        <f t="shared" si="72"/>
        <v>0</v>
      </c>
      <c r="N801" s="31" t="str">
        <f t="shared" si="75"/>
        <v>-</v>
      </c>
      <c r="O801" s="31" t="str">
        <f t="shared" si="77"/>
        <v>-</v>
      </c>
      <c r="P801" s="35" t="str">
        <f t="shared" si="76"/>
        <v>-</v>
      </c>
      <c r="Q801" s="32" t="str">
        <f t="shared" si="73"/>
        <v>-</v>
      </c>
      <c r="S801" s="32" t="str">
        <f t="shared" si="74"/>
        <v>-</v>
      </c>
    </row>
    <row r="802" spans="1:19" x14ac:dyDescent="0.3">
      <c r="A802" s="45" t="s">
        <v>2971</v>
      </c>
      <c r="B802" s="40" t="s">
        <v>615</v>
      </c>
      <c r="C802" s="41" t="s">
        <v>1877</v>
      </c>
      <c r="D802" s="21" t="s">
        <v>2224</v>
      </c>
      <c r="E802" s="21" t="s">
        <v>2222</v>
      </c>
      <c r="F802" s="24">
        <v>0.15873842981791667</v>
      </c>
      <c r="G802" s="21">
        <v>12</v>
      </c>
      <c r="H802" s="17">
        <v>13.19</v>
      </c>
      <c r="I802" s="43" t="s">
        <v>3950</v>
      </c>
      <c r="J802" s="26"/>
      <c r="K802" s="17">
        <f t="shared" si="72"/>
        <v>0</v>
      </c>
      <c r="N802" s="31" t="str">
        <f t="shared" si="75"/>
        <v>-</v>
      </c>
      <c r="O802" s="31" t="str">
        <f t="shared" si="77"/>
        <v>-</v>
      </c>
      <c r="P802" s="35" t="str">
        <f t="shared" si="76"/>
        <v>-</v>
      </c>
      <c r="Q802" s="32" t="str">
        <f t="shared" si="73"/>
        <v>-</v>
      </c>
      <c r="S802" s="32" t="str">
        <f t="shared" si="74"/>
        <v>-</v>
      </c>
    </row>
    <row r="803" spans="1:19" x14ac:dyDescent="0.3">
      <c r="A803" s="45" t="s">
        <v>2972</v>
      </c>
      <c r="B803" s="40" t="s">
        <v>1032</v>
      </c>
      <c r="C803" s="41" t="s">
        <v>1877</v>
      </c>
      <c r="D803" s="21" t="s">
        <v>2227</v>
      </c>
      <c r="E803" s="21" t="s">
        <v>2222</v>
      </c>
      <c r="F803" s="24">
        <v>0.29259353820491674</v>
      </c>
      <c r="G803" s="21">
        <v>12</v>
      </c>
      <c r="H803" s="17">
        <v>25.19</v>
      </c>
      <c r="I803" s="43" t="s">
        <v>3950</v>
      </c>
      <c r="J803" s="26"/>
      <c r="K803" s="17">
        <f t="shared" si="72"/>
        <v>0</v>
      </c>
      <c r="N803" s="31" t="str">
        <f t="shared" si="75"/>
        <v>-</v>
      </c>
      <c r="O803" s="31" t="str">
        <f t="shared" si="77"/>
        <v>-</v>
      </c>
      <c r="P803" s="35" t="str">
        <f t="shared" si="76"/>
        <v>-</v>
      </c>
      <c r="Q803" s="32" t="str">
        <f t="shared" si="73"/>
        <v>-</v>
      </c>
      <c r="S803" s="32" t="str">
        <f t="shared" si="74"/>
        <v>-</v>
      </c>
    </row>
    <row r="804" spans="1:19" x14ac:dyDescent="0.3">
      <c r="A804" s="45" t="s">
        <v>2975</v>
      </c>
      <c r="B804" s="40" t="s">
        <v>804</v>
      </c>
      <c r="C804" s="41" t="s">
        <v>1879</v>
      </c>
      <c r="D804" s="21" t="s">
        <v>2231</v>
      </c>
      <c r="E804" s="21" t="s">
        <v>2222</v>
      </c>
      <c r="F804" s="24">
        <v>0.13299706282041668</v>
      </c>
      <c r="G804" s="21">
        <v>12</v>
      </c>
      <c r="H804" s="17">
        <v>8.6999999999999993</v>
      </c>
      <c r="I804" s="43" t="s">
        <v>3950</v>
      </c>
      <c r="J804" s="26"/>
      <c r="K804" s="17">
        <f t="shared" si="72"/>
        <v>0</v>
      </c>
      <c r="N804" s="31" t="str">
        <f t="shared" si="75"/>
        <v>-</v>
      </c>
      <c r="O804" s="31" t="str">
        <f t="shared" si="77"/>
        <v>-</v>
      </c>
      <c r="P804" s="35" t="str">
        <f t="shared" si="76"/>
        <v>-</v>
      </c>
      <c r="Q804" s="32" t="str">
        <f t="shared" si="73"/>
        <v>-</v>
      </c>
      <c r="S804" s="32" t="str">
        <f t="shared" si="74"/>
        <v>-</v>
      </c>
    </row>
    <row r="805" spans="1:19" x14ac:dyDescent="0.3">
      <c r="A805" s="45" t="s">
        <v>2976</v>
      </c>
      <c r="B805" s="40" t="s">
        <v>849</v>
      </c>
      <c r="C805" s="41" t="s">
        <v>1879</v>
      </c>
      <c r="D805" s="21" t="s">
        <v>2225</v>
      </c>
      <c r="E805" s="21" t="s">
        <v>2222</v>
      </c>
      <c r="F805" s="24">
        <v>0.2230918473116667</v>
      </c>
      <c r="G805" s="21">
        <v>12</v>
      </c>
      <c r="H805" s="17">
        <v>16.5</v>
      </c>
      <c r="I805" s="43" t="s">
        <v>3950</v>
      </c>
      <c r="J805" s="26"/>
      <c r="K805" s="17">
        <f t="shared" si="72"/>
        <v>0</v>
      </c>
      <c r="N805" s="31" t="str">
        <f t="shared" si="75"/>
        <v>-</v>
      </c>
      <c r="O805" s="31" t="str">
        <f t="shared" si="77"/>
        <v>-</v>
      </c>
      <c r="P805" s="35" t="str">
        <f t="shared" si="76"/>
        <v>-</v>
      </c>
      <c r="Q805" s="32" t="str">
        <f t="shared" si="73"/>
        <v>-</v>
      </c>
      <c r="S805" s="32" t="str">
        <f t="shared" si="74"/>
        <v>-</v>
      </c>
    </row>
    <row r="806" spans="1:19" x14ac:dyDescent="0.3">
      <c r="A806" s="45" t="s">
        <v>2977</v>
      </c>
      <c r="B806" s="40" t="s">
        <v>276</v>
      </c>
      <c r="C806" s="41" t="s">
        <v>1879</v>
      </c>
      <c r="D806" s="21" t="s">
        <v>2226</v>
      </c>
      <c r="E806" s="21" t="s">
        <v>2222</v>
      </c>
      <c r="F806" s="24">
        <v>0.41915525927595837</v>
      </c>
      <c r="G806" s="21">
        <v>12</v>
      </c>
      <c r="H806" s="17">
        <v>31.79</v>
      </c>
      <c r="I806" s="43" t="s">
        <v>3950</v>
      </c>
      <c r="J806" s="26"/>
      <c r="K806" s="17">
        <f t="shared" si="72"/>
        <v>0</v>
      </c>
      <c r="N806" s="31" t="str">
        <f t="shared" si="75"/>
        <v>-</v>
      </c>
      <c r="O806" s="31" t="str">
        <f t="shared" si="77"/>
        <v>-</v>
      </c>
      <c r="P806" s="35" t="str">
        <f t="shared" si="76"/>
        <v>-</v>
      </c>
      <c r="Q806" s="32" t="str">
        <f t="shared" si="73"/>
        <v>-</v>
      </c>
      <c r="S806" s="32" t="str">
        <f t="shared" si="74"/>
        <v>-</v>
      </c>
    </row>
    <row r="807" spans="1:19" x14ac:dyDescent="0.3">
      <c r="A807" s="45" t="s">
        <v>2978</v>
      </c>
      <c r="B807" s="40" t="s">
        <v>1545</v>
      </c>
      <c r="C807" s="41" t="s">
        <v>1880</v>
      </c>
      <c r="D807" s="21" t="s">
        <v>2231</v>
      </c>
      <c r="E807" s="21" t="s">
        <v>2222</v>
      </c>
      <c r="F807" s="24">
        <v>0.11583615148875001</v>
      </c>
      <c r="G807" s="21">
        <v>12</v>
      </c>
      <c r="H807" s="17">
        <v>6.75</v>
      </c>
      <c r="I807" s="43" t="s">
        <v>3950</v>
      </c>
      <c r="J807" s="26"/>
      <c r="K807" s="17">
        <f t="shared" si="72"/>
        <v>0</v>
      </c>
      <c r="N807" s="31" t="str">
        <f t="shared" si="75"/>
        <v>-</v>
      </c>
      <c r="O807" s="31" t="str">
        <f t="shared" si="77"/>
        <v>-</v>
      </c>
      <c r="P807" s="35" t="str">
        <f t="shared" si="76"/>
        <v>-</v>
      </c>
      <c r="Q807" s="32" t="str">
        <f t="shared" si="73"/>
        <v>-</v>
      </c>
      <c r="S807" s="32" t="str">
        <f t="shared" si="74"/>
        <v>-</v>
      </c>
    </row>
    <row r="808" spans="1:19" x14ac:dyDescent="0.3">
      <c r="A808" s="45" t="s">
        <v>2979</v>
      </c>
      <c r="B808" s="40" t="s">
        <v>1546</v>
      </c>
      <c r="C808" s="41" t="s">
        <v>1880</v>
      </c>
      <c r="D808" s="21" t="s">
        <v>2225</v>
      </c>
      <c r="E808" s="21" t="s">
        <v>2222</v>
      </c>
      <c r="F808" s="24">
        <v>0.20249875371366668</v>
      </c>
      <c r="G808" s="21">
        <v>12</v>
      </c>
      <c r="H808" s="17">
        <v>12.59</v>
      </c>
      <c r="I808" s="43" t="s">
        <v>3950</v>
      </c>
      <c r="J808" s="26"/>
      <c r="K808" s="17">
        <f t="shared" si="72"/>
        <v>0</v>
      </c>
      <c r="N808" s="31" t="str">
        <f t="shared" si="75"/>
        <v>-</v>
      </c>
      <c r="O808" s="31" t="str">
        <f t="shared" si="77"/>
        <v>-</v>
      </c>
      <c r="P808" s="35" t="str">
        <f t="shared" si="76"/>
        <v>-</v>
      </c>
      <c r="Q808" s="32" t="str">
        <f t="shared" si="73"/>
        <v>-</v>
      </c>
      <c r="S808" s="32" t="str">
        <f t="shared" si="74"/>
        <v>-</v>
      </c>
    </row>
    <row r="809" spans="1:19" x14ac:dyDescent="0.3">
      <c r="A809" s="45" t="s">
        <v>2980</v>
      </c>
      <c r="B809" s="40" t="s">
        <v>1547</v>
      </c>
      <c r="C809" s="41" t="s">
        <v>1880</v>
      </c>
      <c r="D809" s="21" t="s">
        <v>2226</v>
      </c>
      <c r="E809" s="21" t="s">
        <v>2222</v>
      </c>
      <c r="F809" s="24">
        <v>0.36724350249766674</v>
      </c>
      <c r="G809" s="21">
        <v>12</v>
      </c>
      <c r="H809" s="17">
        <v>24.3</v>
      </c>
      <c r="I809" s="43" t="s">
        <v>3950</v>
      </c>
      <c r="J809" s="26"/>
      <c r="K809" s="17">
        <f t="shared" si="72"/>
        <v>0</v>
      </c>
      <c r="N809" s="31" t="str">
        <f t="shared" si="75"/>
        <v>-</v>
      </c>
      <c r="O809" s="31" t="str">
        <f t="shared" si="77"/>
        <v>-</v>
      </c>
      <c r="P809" s="35" t="str">
        <f t="shared" si="76"/>
        <v>-</v>
      </c>
      <c r="Q809" s="32" t="str">
        <f t="shared" si="73"/>
        <v>-</v>
      </c>
      <c r="S809" s="32" t="str">
        <f t="shared" si="74"/>
        <v>-</v>
      </c>
    </row>
    <row r="810" spans="1:19" x14ac:dyDescent="0.3">
      <c r="A810" s="45" t="s">
        <v>2982</v>
      </c>
      <c r="B810" s="40" t="s">
        <v>347</v>
      </c>
      <c r="C810" s="41" t="s">
        <v>1742</v>
      </c>
      <c r="D810" s="21" t="s">
        <v>2224</v>
      </c>
      <c r="E810" s="21" t="s">
        <v>2232</v>
      </c>
      <c r="F810" s="24">
        <v>8.2372374392000014E-2</v>
      </c>
      <c r="G810" s="21">
        <v>12</v>
      </c>
      <c r="H810" s="17">
        <v>11.85</v>
      </c>
      <c r="I810" s="43" t="s">
        <v>3950</v>
      </c>
      <c r="J810" s="26"/>
      <c r="K810" s="17">
        <f t="shared" si="72"/>
        <v>0</v>
      </c>
      <c r="N810" s="31" t="str">
        <f t="shared" si="75"/>
        <v>-</v>
      </c>
      <c r="O810" s="31" t="str">
        <f t="shared" si="77"/>
        <v>-</v>
      </c>
      <c r="P810" s="35" t="str">
        <f t="shared" si="76"/>
        <v>-</v>
      </c>
      <c r="Q810" s="32" t="str">
        <f t="shared" si="73"/>
        <v>-</v>
      </c>
      <c r="S810" s="32" t="str">
        <f t="shared" si="74"/>
        <v>-</v>
      </c>
    </row>
    <row r="811" spans="1:19" x14ac:dyDescent="0.3">
      <c r="A811" s="45" t="s">
        <v>2983</v>
      </c>
      <c r="B811" s="40" t="s">
        <v>884</v>
      </c>
      <c r="C811" s="41" t="s">
        <v>1742</v>
      </c>
      <c r="D811" s="21" t="s">
        <v>2225</v>
      </c>
      <c r="E811" s="21" t="s">
        <v>2232</v>
      </c>
      <c r="F811" s="24">
        <v>0.10940080973937501</v>
      </c>
      <c r="G811" s="21">
        <v>12</v>
      </c>
      <c r="H811" s="17">
        <v>17.39</v>
      </c>
      <c r="I811" s="43" t="s">
        <v>3950</v>
      </c>
      <c r="J811" s="26"/>
      <c r="K811" s="17">
        <f t="shared" si="72"/>
        <v>0</v>
      </c>
      <c r="N811" s="31" t="str">
        <f t="shared" si="75"/>
        <v>-</v>
      </c>
      <c r="O811" s="31" t="str">
        <f t="shared" si="77"/>
        <v>-</v>
      </c>
      <c r="P811" s="35" t="str">
        <f t="shared" si="76"/>
        <v>-</v>
      </c>
      <c r="Q811" s="32" t="str">
        <f t="shared" si="73"/>
        <v>-</v>
      </c>
      <c r="S811" s="32" t="str">
        <f t="shared" si="74"/>
        <v>-</v>
      </c>
    </row>
    <row r="812" spans="1:19" x14ac:dyDescent="0.3">
      <c r="A812" s="45" t="s">
        <v>2985</v>
      </c>
      <c r="B812" s="40" t="s">
        <v>406</v>
      </c>
      <c r="C812" s="41" t="s">
        <v>1882</v>
      </c>
      <c r="D812" s="21" t="s">
        <v>2223</v>
      </c>
      <c r="E812" s="21" t="s">
        <v>2222</v>
      </c>
      <c r="F812" s="24">
        <v>4.5476415028916667E-2</v>
      </c>
      <c r="G812" s="21">
        <v>12</v>
      </c>
      <c r="H812" s="17">
        <v>4.6500000000000004</v>
      </c>
      <c r="I812" s="43" t="s">
        <v>3950</v>
      </c>
      <c r="J812" s="26"/>
      <c r="K812" s="17">
        <f t="shared" si="72"/>
        <v>0</v>
      </c>
      <c r="N812" s="31" t="str">
        <f t="shared" si="75"/>
        <v>-</v>
      </c>
      <c r="O812" s="31" t="str">
        <f t="shared" si="77"/>
        <v>-</v>
      </c>
      <c r="P812" s="35" t="str">
        <f t="shared" si="76"/>
        <v>-</v>
      </c>
      <c r="Q812" s="32" t="str">
        <f t="shared" si="73"/>
        <v>-</v>
      </c>
      <c r="S812" s="32" t="str">
        <f t="shared" si="74"/>
        <v>-</v>
      </c>
    </row>
    <row r="813" spans="1:19" x14ac:dyDescent="0.3">
      <c r="A813" s="45" t="s">
        <v>2987</v>
      </c>
      <c r="B813" s="40" t="s">
        <v>575</v>
      </c>
      <c r="C813" s="41" t="s">
        <v>1883</v>
      </c>
      <c r="D813" s="21" t="s">
        <v>2223</v>
      </c>
      <c r="E813" s="21" t="s">
        <v>2222</v>
      </c>
      <c r="F813" s="24">
        <v>9.9104262940375012E-2</v>
      </c>
      <c r="G813" s="21">
        <v>12</v>
      </c>
      <c r="H813" s="17">
        <v>6.59</v>
      </c>
      <c r="I813" s="43" t="s">
        <v>3950</v>
      </c>
      <c r="J813" s="26"/>
      <c r="K813" s="17">
        <f t="shared" si="72"/>
        <v>0</v>
      </c>
      <c r="N813" s="31" t="str">
        <f t="shared" si="75"/>
        <v>-</v>
      </c>
      <c r="O813" s="31" t="str">
        <f t="shared" si="77"/>
        <v>-</v>
      </c>
      <c r="P813" s="35" t="str">
        <f t="shared" si="76"/>
        <v>-</v>
      </c>
      <c r="Q813" s="32" t="str">
        <f t="shared" si="73"/>
        <v>-</v>
      </c>
      <c r="S813" s="32" t="str">
        <f t="shared" si="74"/>
        <v>-</v>
      </c>
    </row>
    <row r="814" spans="1:19" x14ac:dyDescent="0.3">
      <c r="A814" s="45" t="s">
        <v>2990</v>
      </c>
      <c r="B814" s="40" t="s">
        <v>293</v>
      </c>
      <c r="C814" s="41" t="s">
        <v>1884</v>
      </c>
      <c r="D814" s="21" t="s">
        <v>2231</v>
      </c>
      <c r="E814" s="21" t="s">
        <v>2222</v>
      </c>
      <c r="F814" s="24">
        <v>0.12527465272116667</v>
      </c>
      <c r="G814" s="21">
        <v>12</v>
      </c>
      <c r="H814" s="17">
        <v>9.59</v>
      </c>
      <c r="I814" s="43" t="s">
        <v>3950</v>
      </c>
      <c r="J814" s="26"/>
      <c r="K814" s="17">
        <f t="shared" si="72"/>
        <v>0</v>
      </c>
      <c r="N814" s="31" t="str">
        <f t="shared" si="75"/>
        <v>-</v>
      </c>
      <c r="O814" s="31" t="str">
        <f t="shared" si="77"/>
        <v>-</v>
      </c>
      <c r="P814" s="35" t="str">
        <f t="shared" si="76"/>
        <v>-</v>
      </c>
      <c r="Q814" s="32" t="str">
        <f t="shared" si="73"/>
        <v>-</v>
      </c>
      <c r="S814" s="32" t="str">
        <f t="shared" si="74"/>
        <v>-</v>
      </c>
    </row>
    <row r="815" spans="1:19" x14ac:dyDescent="0.3">
      <c r="A815" s="45" t="s">
        <v>2991</v>
      </c>
      <c r="B815" s="40" t="s">
        <v>508</v>
      </c>
      <c r="C815" s="41" t="s">
        <v>1884</v>
      </c>
      <c r="D815" s="21" t="s">
        <v>2225</v>
      </c>
      <c r="E815" s="21" t="s">
        <v>2222</v>
      </c>
      <c r="F815" s="24">
        <v>0.21536943721241664</v>
      </c>
      <c r="G815" s="21">
        <v>12</v>
      </c>
      <c r="H815" s="17">
        <v>18.59</v>
      </c>
      <c r="I815" s="43" t="s">
        <v>3950</v>
      </c>
      <c r="J815" s="26"/>
      <c r="K815" s="17">
        <f t="shared" si="72"/>
        <v>0</v>
      </c>
      <c r="N815" s="31" t="str">
        <f t="shared" si="75"/>
        <v>-</v>
      </c>
      <c r="O815" s="31" t="str">
        <f t="shared" si="77"/>
        <v>-</v>
      </c>
      <c r="P815" s="35" t="str">
        <f t="shared" si="76"/>
        <v>-</v>
      </c>
      <c r="Q815" s="32" t="str">
        <f t="shared" si="73"/>
        <v>-</v>
      </c>
      <c r="S815" s="32" t="str">
        <f t="shared" si="74"/>
        <v>-</v>
      </c>
    </row>
    <row r="816" spans="1:19" x14ac:dyDescent="0.3">
      <c r="A816" s="45" t="s">
        <v>2996</v>
      </c>
      <c r="B816" s="40" t="s">
        <v>814</v>
      </c>
      <c r="C816" s="41" t="s">
        <v>1887</v>
      </c>
      <c r="D816" s="21" t="s">
        <v>2223</v>
      </c>
      <c r="E816" s="21" t="s">
        <v>2222</v>
      </c>
      <c r="F816" s="24">
        <v>5.5772961827916676E-2</v>
      </c>
      <c r="G816" s="21">
        <v>12</v>
      </c>
      <c r="H816" s="17">
        <v>9.59</v>
      </c>
      <c r="I816" s="43" t="s">
        <v>3950</v>
      </c>
      <c r="J816" s="26"/>
      <c r="K816" s="17">
        <f t="shared" si="72"/>
        <v>0</v>
      </c>
      <c r="N816" s="31" t="str">
        <f t="shared" si="75"/>
        <v>-</v>
      </c>
      <c r="O816" s="31" t="str">
        <f t="shared" si="77"/>
        <v>-</v>
      </c>
      <c r="P816" s="35" t="str">
        <f t="shared" si="76"/>
        <v>-</v>
      </c>
      <c r="Q816" s="32" t="str">
        <f t="shared" si="73"/>
        <v>-</v>
      </c>
      <c r="S816" s="32" t="str">
        <f t="shared" si="74"/>
        <v>-</v>
      </c>
    </row>
    <row r="817" spans="1:19" x14ac:dyDescent="0.3">
      <c r="A817" s="45" t="s">
        <v>2997</v>
      </c>
      <c r="B817" s="40" t="s">
        <v>994</v>
      </c>
      <c r="C817" s="41" t="s">
        <v>1887</v>
      </c>
      <c r="D817" s="21" t="s">
        <v>2224</v>
      </c>
      <c r="E817" s="21" t="s">
        <v>2222</v>
      </c>
      <c r="F817" s="24">
        <v>7.6366055425916665E-2</v>
      </c>
      <c r="G817" s="21">
        <v>12</v>
      </c>
      <c r="H817" s="17">
        <v>17.989999999999998</v>
      </c>
      <c r="I817" s="43" t="s">
        <v>3950</v>
      </c>
      <c r="J817" s="26"/>
      <c r="K817" s="17">
        <f t="shared" si="72"/>
        <v>0</v>
      </c>
      <c r="N817" s="31" t="str">
        <f t="shared" si="75"/>
        <v>-</v>
      </c>
      <c r="O817" s="31" t="str">
        <f t="shared" si="77"/>
        <v>-</v>
      </c>
      <c r="P817" s="35" t="str">
        <f t="shared" si="76"/>
        <v>-</v>
      </c>
      <c r="Q817" s="32" t="str">
        <f t="shared" si="73"/>
        <v>-</v>
      </c>
      <c r="S817" s="32" t="str">
        <f t="shared" si="74"/>
        <v>-</v>
      </c>
    </row>
    <row r="818" spans="1:19" x14ac:dyDescent="0.3">
      <c r="A818" s="45" t="s">
        <v>2998</v>
      </c>
      <c r="B818" s="40" t="s">
        <v>742</v>
      </c>
      <c r="C818" s="41" t="s">
        <v>1888</v>
      </c>
      <c r="D818" s="21" t="s">
        <v>2224</v>
      </c>
      <c r="E818" s="21" t="s">
        <v>2222</v>
      </c>
      <c r="F818" s="24">
        <v>0.12999390333737501</v>
      </c>
      <c r="G818" s="21">
        <v>12</v>
      </c>
      <c r="H818" s="17">
        <v>5.85</v>
      </c>
      <c r="I818" s="43" t="s">
        <v>3950</v>
      </c>
      <c r="J818" s="26"/>
      <c r="K818" s="17">
        <f t="shared" si="72"/>
        <v>0</v>
      </c>
      <c r="N818" s="31" t="str">
        <f t="shared" si="75"/>
        <v>-</v>
      </c>
      <c r="O818" s="31" t="str">
        <f t="shared" si="77"/>
        <v>-</v>
      </c>
      <c r="P818" s="35" t="str">
        <f t="shared" si="76"/>
        <v>-</v>
      </c>
      <c r="Q818" s="32" t="str">
        <f t="shared" si="73"/>
        <v>-</v>
      </c>
      <c r="S818" s="32" t="str">
        <f t="shared" si="74"/>
        <v>-</v>
      </c>
    </row>
    <row r="819" spans="1:19" x14ac:dyDescent="0.3">
      <c r="A819" s="45" t="s">
        <v>2999</v>
      </c>
      <c r="B819" s="40" t="s">
        <v>309</v>
      </c>
      <c r="C819" s="41" t="s">
        <v>1888</v>
      </c>
      <c r="D819" s="21" t="s">
        <v>2227</v>
      </c>
      <c r="E819" s="21" t="s">
        <v>2222</v>
      </c>
      <c r="F819" s="24">
        <v>0.2333883941106667</v>
      </c>
      <c r="G819" s="21">
        <v>12</v>
      </c>
      <c r="H819" s="17">
        <v>10.79</v>
      </c>
      <c r="I819" s="43" t="s">
        <v>3950</v>
      </c>
      <c r="J819" s="26"/>
      <c r="K819" s="17">
        <f t="shared" si="72"/>
        <v>0</v>
      </c>
      <c r="N819" s="31" t="str">
        <f t="shared" si="75"/>
        <v>-</v>
      </c>
      <c r="O819" s="31" t="str">
        <f t="shared" si="77"/>
        <v>-</v>
      </c>
      <c r="P819" s="35" t="str">
        <f t="shared" si="76"/>
        <v>-</v>
      </c>
      <c r="Q819" s="32" t="str">
        <f t="shared" si="73"/>
        <v>-</v>
      </c>
      <c r="S819" s="32" t="str">
        <f t="shared" si="74"/>
        <v>-</v>
      </c>
    </row>
    <row r="820" spans="1:19" x14ac:dyDescent="0.3">
      <c r="A820" s="45" t="s">
        <v>3000</v>
      </c>
      <c r="B820" s="40" t="s">
        <v>1331</v>
      </c>
      <c r="C820" s="41" t="s">
        <v>1889</v>
      </c>
      <c r="D820" s="21" t="s">
        <v>2224</v>
      </c>
      <c r="E820" s="21" t="s">
        <v>2238</v>
      </c>
      <c r="F820" s="24">
        <v>4.5476415028916667E-2</v>
      </c>
      <c r="G820" s="21">
        <v>12</v>
      </c>
      <c r="H820" s="17">
        <v>7.05</v>
      </c>
      <c r="I820" s="43" t="s">
        <v>3950</v>
      </c>
      <c r="J820" s="26"/>
      <c r="K820" s="17">
        <f t="shared" si="72"/>
        <v>0</v>
      </c>
      <c r="N820" s="31" t="str">
        <f t="shared" si="75"/>
        <v>-</v>
      </c>
      <c r="O820" s="31" t="str">
        <f t="shared" si="77"/>
        <v>-</v>
      </c>
      <c r="P820" s="35" t="str">
        <f t="shared" si="76"/>
        <v>-</v>
      </c>
      <c r="Q820" s="32" t="str">
        <f t="shared" si="73"/>
        <v>-</v>
      </c>
      <c r="S820" s="32" t="str">
        <f t="shared" si="74"/>
        <v>-</v>
      </c>
    </row>
    <row r="821" spans="1:19" x14ac:dyDescent="0.3">
      <c r="A821" s="45" t="s">
        <v>3002</v>
      </c>
      <c r="B821" s="40" t="s">
        <v>1548</v>
      </c>
      <c r="C821" s="41" t="s">
        <v>1890</v>
      </c>
      <c r="D821" s="21" t="s">
        <v>2231</v>
      </c>
      <c r="E821" s="21" t="s">
        <v>2222</v>
      </c>
      <c r="F821" s="24">
        <v>0.12270051602141667</v>
      </c>
      <c r="G821" s="21">
        <v>12</v>
      </c>
      <c r="H821" s="17">
        <v>12.59</v>
      </c>
      <c r="I821" s="43" t="s">
        <v>3950</v>
      </c>
      <c r="J821" s="26"/>
      <c r="K821" s="17">
        <f t="shared" si="72"/>
        <v>0</v>
      </c>
      <c r="N821" s="31" t="str">
        <f t="shared" si="75"/>
        <v>-</v>
      </c>
      <c r="O821" s="31" t="str">
        <f t="shared" si="77"/>
        <v>-</v>
      </c>
      <c r="P821" s="35" t="str">
        <f t="shared" si="76"/>
        <v>-</v>
      </c>
      <c r="Q821" s="32" t="str">
        <f t="shared" si="73"/>
        <v>-</v>
      </c>
      <c r="S821" s="32" t="str">
        <f t="shared" si="74"/>
        <v>-</v>
      </c>
    </row>
    <row r="822" spans="1:19" x14ac:dyDescent="0.3">
      <c r="A822" s="45" t="s">
        <v>3003</v>
      </c>
      <c r="B822" s="40" t="s">
        <v>1549</v>
      </c>
      <c r="C822" s="41" t="s">
        <v>1890</v>
      </c>
      <c r="D822" s="21" t="s">
        <v>2225</v>
      </c>
      <c r="E822" s="21" t="s">
        <v>2222</v>
      </c>
      <c r="F822" s="24">
        <v>0.20850507267975002</v>
      </c>
      <c r="G822" s="21">
        <v>12</v>
      </c>
      <c r="H822" s="17">
        <v>23.99</v>
      </c>
      <c r="I822" s="43" t="s">
        <v>3950</v>
      </c>
      <c r="J822" s="26"/>
      <c r="K822" s="17">
        <f t="shared" si="72"/>
        <v>0</v>
      </c>
      <c r="N822" s="31" t="str">
        <f t="shared" si="75"/>
        <v>-</v>
      </c>
      <c r="O822" s="31" t="str">
        <f t="shared" si="77"/>
        <v>-</v>
      </c>
      <c r="P822" s="35" t="str">
        <f t="shared" si="76"/>
        <v>-</v>
      </c>
      <c r="Q822" s="32" t="str">
        <f t="shared" si="73"/>
        <v>-</v>
      </c>
      <c r="S822" s="32" t="str">
        <f t="shared" si="74"/>
        <v>-</v>
      </c>
    </row>
    <row r="823" spans="1:19" x14ac:dyDescent="0.3">
      <c r="A823" s="45" t="s">
        <v>3004</v>
      </c>
      <c r="B823" s="40" t="s">
        <v>956</v>
      </c>
      <c r="C823" s="41" t="s">
        <v>1891</v>
      </c>
      <c r="D823" s="21" t="s">
        <v>2231</v>
      </c>
      <c r="E823" s="21" t="s">
        <v>2222</v>
      </c>
      <c r="F823" s="24">
        <v>5.0624688428416671E-2</v>
      </c>
      <c r="G823" s="21">
        <v>12</v>
      </c>
      <c r="H823" s="17">
        <v>7.79</v>
      </c>
      <c r="I823" s="43" t="s">
        <v>3950</v>
      </c>
      <c r="J823" s="26"/>
      <c r="K823" s="17">
        <f t="shared" ref="K823:K886" si="78">J823*H823</f>
        <v>0</v>
      </c>
      <c r="N823" s="31" t="str">
        <f t="shared" si="75"/>
        <v>-</v>
      </c>
      <c r="O823" s="31" t="str">
        <f t="shared" si="77"/>
        <v>-</v>
      </c>
      <c r="P823" s="35" t="str">
        <f t="shared" si="76"/>
        <v>-</v>
      </c>
      <c r="Q823" s="32" t="str">
        <f t="shared" si="73"/>
        <v>-</v>
      </c>
      <c r="S823" s="32" t="str">
        <f t="shared" si="74"/>
        <v>-</v>
      </c>
    </row>
    <row r="824" spans="1:19" x14ac:dyDescent="0.3">
      <c r="A824" s="45" t="s">
        <v>3005</v>
      </c>
      <c r="B824" s="40" t="s">
        <v>61</v>
      </c>
      <c r="C824" s="41" t="s">
        <v>1891</v>
      </c>
      <c r="D824" s="21" t="s">
        <v>2225</v>
      </c>
      <c r="E824" s="21" t="s">
        <v>2222</v>
      </c>
      <c r="F824" s="24">
        <v>7.1217782026416682E-2</v>
      </c>
      <c r="G824" s="21">
        <v>12</v>
      </c>
      <c r="H824" s="17">
        <v>14.7</v>
      </c>
      <c r="I824" s="43" t="s">
        <v>3950</v>
      </c>
      <c r="J824" s="26"/>
      <c r="K824" s="17">
        <f t="shared" si="78"/>
        <v>0</v>
      </c>
      <c r="N824" s="31" t="str">
        <f t="shared" si="75"/>
        <v>-</v>
      </c>
      <c r="O824" s="31" t="str">
        <f t="shared" si="77"/>
        <v>-</v>
      </c>
      <c r="P824" s="35" t="str">
        <f t="shared" si="76"/>
        <v>-</v>
      </c>
      <c r="Q824" s="32" t="str">
        <f t="shared" ref="Q824:Q887" si="79">IFERROR(IF($N$2&gt;0, $N$2*P824, "-"), "-")</f>
        <v>-</v>
      </c>
      <c r="S824" s="32" t="str">
        <f t="shared" ref="S824:S887" si="80">IFERROR(IF(Q824+K824=0, "-", IF(Q824&gt;0, Q824+K824, "-")), "-")</f>
        <v>-</v>
      </c>
    </row>
    <row r="825" spans="1:19" x14ac:dyDescent="0.3">
      <c r="A825" s="45" t="s">
        <v>3006</v>
      </c>
      <c r="B825" s="40" t="s">
        <v>514</v>
      </c>
      <c r="C825" s="41" t="s">
        <v>1892</v>
      </c>
      <c r="D825" s="21" t="s">
        <v>2223</v>
      </c>
      <c r="E825" s="21" t="s">
        <v>2234</v>
      </c>
      <c r="F825" s="24">
        <v>4.6334460595500011E-2</v>
      </c>
      <c r="G825" s="21">
        <v>12</v>
      </c>
      <c r="H825" s="17">
        <v>6.3</v>
      </c>
      <c r="I825" s="43" t="s">
        <v>3950</v>
      </c>
      <c r="J825" s="26"/>
      <c r="K825" s="17">
        <f t="shared" si="78"/>
        <v>0</v>
      </c>
      <c r="N825" s="31" t="str">
        <f t="shared" si="75"/>
        <v>-</v>
      </c>
      <c r="O825" s="31" t="str">
        <f t="shared" si="77"/>
        <v>-</v>
      </c>
      <c r="P825" s="35" t="str">
        <f t="shared" si="76"/>
        <v>-</v>
      </c>
      <c r="Q825" s="32" t="str">
        <f t="shared" si="79"/>
        <v>-</v>
      </c>
      <c r="S825" s="32" t="str">
        <f t="shared" si="80"/>
        <v>-</v>
      </c>
    </row>
    <row r="826" spans="1:19" x14ac:dyDescent="0.3">
      <c r="A826" s="45" t="s">
        <v>3007</v>
      </c>
      <c r="B826" s="40" t="s">
        <v>855</v>
      </c>
      <c r="C826" s="41" t="s">
        <v>1892</v>
      </c>
      <c r="D826" s="21" t="s">
        <v>2224</v>
      </c>
      <c r="E826" s="21" t="s">
        <v>2234</v>
      </c>
      <c r="F826" s="24">
        <v>7.9798237692250015E-2</v>
      </c>
      <c r="G826" s="21">
        <v>12</v>
      </c>
      <c r="H826" s="17">
        <v>11.55</v>
      </c>
      <c r="I826" s="43" t="s">
        <v>3950</v>
      </c>
      <c r="J826" s="26"/>
      <c r="K826" s="17">
        <f t="shared" si="78"/>
        <v>0</v>
      </c>
      <c r="N826" s="31" t="str">
        <f t="shared" si="75"/>
        <v>-</v>
      </c>
      <c r="O826" s="31" t="str">
        <f t="shared" si="77"/>
        <v>-</v>
      </c>
      <c r="P826" s="35" t="str">
        <f t="shared" si="76"/>
        <v>-</v>
      </c>
      <c r="Q826" s="32" t="str">
        <f t="shared" si="79"/>
        <v>-</v>
      </c>
      <c r="S826" s="32" t="str">
        <f t="shared" si="80"/>
        <v>-</v>
      </c>
    </row>
    <row r="827" spans="1:19" x14ac:dyDescent="0.3">
      <c r="A827" s="45" t="s">
        <v>3008</v>
      </c>
      <c r="B827" s="40" t="s">
        <v>1023</v>
      </c>
      <c r="C827" s="41" t="s">
        <v>1797</v>
      </c>
      <c r="D827" s="21" t="s">
        <v>2224</v>
      </c>
      <c r="E827" s="21" t="s">
        <v>2244</v>
      </c>
      <c r="F827" s="24">
        <v>0.12355856158800001</v>
      </c>
      <c r="G827" s="21">
        <v>12</v>
      </c>
      <c r="H827" s="17">
        <v>8.25</v>
      </c>
      <c r="I827" s="43" t="s">
        <v>3950</v>
      </c>
      <c r="J827" s="26"/>
      <c r="K827" s="17">
        <f t="shared" si="78"/>
        <v>0</v>
      </c>
      <c r="N827" s="31" t="str">
        <f t="shared" si="75"/>
        <v>-</v>
      </c>
      <c r="O827" s="31" t="str">
        <f t="shared" si="77"/>
        <v>-</v>
      </c>
      <c r="P827" s="35" t="str">
        <f t="shared" si="76"/>
        <v>-</v>
      </c>
      <c r="Q827" s="32" t="str">
        <f t="shared" si="79"/>
        <v>-</v>
      </c>
      <c r="S827" s="32" t="str">
        <f t="shared" si="80"/>
        <v>-</v>
      </c>
    </row>
    <row r="828" spans="1:19" x14ac:dyDescent="0.3">
      <c r="A828" s="45" t="s">
        <v>3009</v>
      </c>
      <c r="B828" s="40" t="s">
        <v>414</v>
      </c>
      <c r="C828" s="41" t="s">
        <v>1797</v>
      </c>
      <c r="D828" s="21" t="s">
        <v>2227</v>
      </c>
      <c r="E828" s="21" t="s">
        <v>2244</v>
      </c>
      <c r="F828" s="24">
        <v>0.12784878942091665</v>
      </c>
      <c r="G828" s="21">
        <v>12</v>
      </c>
      <c r="H828" s="17">
        <v>15.59</v>
      </c>
      <c r="I828" s="43" t="s">
        <v>3950</v>
      </c>
      <c r="J828" s="26"/>
      <c r="K828" s="17">
        <f t="shared" si="78"/>
        <v>0</v>
      </c>
      <c r="N828" s="31" t="str">
        <f t="shared" si="75"/>
        <v>-</v>
      </c>
      <c r="O828" s="31" t="str">
        <f t="shared" si="77"/>
        <v>-</v>
      </c>
      <c r="P828" s="35" t="str">
        <f t="shared" si="76"/>
        <v>-</v>
      </c>
      <c r="Q828" s="32" t="str">
        <f t="shared" si="79"/>
        <v>-</v>
      </c>
      <c r="S828" s="32" t="str">
        <f t="shared" si="80"/>
        <v>-</v>
      </c>
    </row>
    <row r="829" spans="1:19" x14ac:dyDescent="0.3">
      <c r="A829" s="45" t="s">
        <v>3010</v>
      </c>
      <c r="B829" s="40" t="s">
        <v>524</v>
      </c>
      <c r="C829" s="41" t="s">
        <v>1797</v>
      </c>
      <c r="D829" s="21" t="s">
        <v>2233</v>
      </c>
      <c r="E829" s="21" t="s">
        <v>2244</v>
      </c>
      <c r="F829" s="24">
        <v>0.2333883941106667</v>
      </c>
      <c r="G829" s="21">
        <v>12</v>
      </c>
      <c r="H829" s="17">
        <v>29.99</v>
      </c>
      <c r="I829" s="43" t="s">
        <v>3950</v>
      </c>
      <c r="J829" s="26"/>
      <c r="K829" s="17">
        <f t="shared" si="78"/>
        <v>0</v>
      </c>
      <c r="N829" s="31" t="str">
        <f t="shared" si="75"/>
        <v>-</v>
      </c>
      <c r="O829" s="31" t="str">
        <f t="shared" si="77"/>
        <v>-</v>
      </c>
      <c r="P829" s="35" t="str">
        <f t="shared" si="76"/>
        <v>-</v>
      </c>
      <c r="Q829" s="32" t="str">
        <f t="shared" si="79"/>
        <v>-</v>
      </c>
      <c r="S829" s="32" t="str">
        <f t="shared" si="80"/>
        <v>-</v>
      </c>
    </row>
    <row r="830" spans="1:19" x14ac:dyDescent="0.3">
      <c r="A830" s="45" t="s">
        <v>3011</v>
      </c>
      <c r="B830" s="40" t="s">
        <v>796</v>
      </c>
      <c r="C830" s="41" t="s">
        <v>1893</v>
      </c>
      <c r="D830" s="21" t="s">
        <v>2239</v>
      </c>
      <c r="E830" s="21" t="s">
        <v>2238</v>
      </c>
      <c r="F830" s="24">
        <v>6.0921235227416673E-2</v>
      </c>
      <c r="G830" s="21">
        <v>12</v>
      </c>
      <c r="H830" s="17">
        <v>7.05</v>
      </c>
      <c r="I830" s="43" t="s">
        <v>3950</v>
      </c>
      <c r="J830" s="26"/>
      <c r="K830" s="17">
        <f t="shared" si="78"/>
        <v>0</v>
      </c>
      <c r="N830" s="31" t="str">
        <f t="shared" ref="N830:N893" si="81">IFERROR(IF($N$2*F830=0, "-", $N$2*F830), "-")</f>
        <v>-</v>
      </c>
      <c r="O830" s="31" t="str">
        <f t="shared" si="77"/>
        <v>-</v>
      </c>
      <c r="P830" s="35" t="str">
        <f t="shared" ref="P830:P893" si="82">IF(J830&gt;0,J830*F830, "-")</f>
        <v>-</v>
      </c>
      <c r="Q830" s="32" t="str">
        <f t="shared" si="79"/>
        <v>-</v>
      </c>
      <c r="S830" s="32" t="str">
        <f t="shared" si="80"/>
        <v>-</v>
      </c>
    </row>
    <row r="831" spans="1:19" x14ac:dyDescent="0.3">
      <c r="A831" s="45" t="s">
        <v>3013</v>
      </c>
      <c r="B831" s="40" t="s">
        <v>1136</v>
      </c>
      <c r="C831" s="41" t="s">
        <v>2286</v>
      </c>
      <c r="D831" s="21" t="s">
        <v>2235</v>
      </c>
      <c r="E831" s="21" t="s">
        <v>2240</v>
      </c>
      <c r="F831" s="24">
        <v>0.20249875371366668</v>
      </c>
      <c r="G831" s="21">
        <v>12</v>
      </c>
      <c r="H831" s="17">
        <v>8.39</v>
      </c>
      <c r="I831" s="43" t="s">
        <v>3950</v>
      </c>
      <c r="J831" s="26"/>
      <c r="K831" s="17">
        <f t="shared" si="78"/>
        <v>0</v>
      </c>
      <c r="N831" s="31" t="str">
        <f t="shared" si="81"/>
        <v>-</v>
      </c>
      <c r="O831" s="31" t="str">
        <f t="shared" ref="O831:O894" si="83">IFERROR(IF(N831&gt;0,H831+N831,"-"),"-")</f>
        <v>-</v>
      </c>
      <c r="P831" s="35" t="str">
        <f t="shared" si="82"/>
        <v>-</v>
      </c>
      <c r="Q831" s="32" t="str">
        <f t="shared" si="79"/>
        <v>-</v>
      </c>
      <c r="S831" s="32" t="str">
        <f t="shared" si="80"/>
        <v>-</v>
      </c>
    </row>
    <row r="832" spans="1:19" x14ac:dyDescent="0.3">
      <c r="A832" s="45" t="s">
        <v>3014</v>
      </c>
      <c r="B832" s="40" t="s">
        <v>1295</v>
      </c>
      <c r="C832" s="41" t="s">
        <v>2286</v>
      </c>
      <c r="D832" s="21" t="s">
        <v>2236</v>
      </c>
      <c r="E832" s="21" t="s">
        <v>2240</v>
      </c>
      <c r="F832" s="24">
        <v>0.35523086456549996</v>
      </c>
      <c r="G832" s="21">
        <v>12</v>
      </c>
      <c r="H832" s="17">
        <v>15.9</v>
      </c>
      <c r="I832" s="43" t="s">
        <v>3950</v>
      </c>
      <c r="J832" s="26"/>
      <c r="K832" s="17">
        <f t="shared" si="78"/>
        <v>0</v>
      </c>
      <c r="N832" s="31" t="str">
        <f t="shared" si="81"/>
        <v>-</v>
      </c>
      <c r="O832" s="31" t="str">
        <f t="shared" si="83"/>
        <v>-</v>
      </c>
      <c r="P832" s="35" t="str">
        <f t="shared" si="82"/>
        <v>-</v>
      </c>
      <c r="Q832" s="32" t="str">
        <f t="shared" si="79"/>
        <v>-</v>
      </c>
      <c r="S832" s="32" t="str">
        <f t="shared" si="80"/>
        <v>-</v>
      </c>
    </row>
    <row r="833" spans="1:19" x14ac:dyDescent="0.3">
      <c r="A833" s="45" t="s">
        <v>3015</v>
      </c>
      <c r="B833" s="40" t="s">
        <v>556</v>
      </c>
      <c r="C833" s="41" t="s">
        <v>2286</v>
      </c>
      <c r="D833" s="21" t="s">
        <v>2241</v>
      </c>
      <c r="E833" s="21" t="s">
        <v>2240</v>
      </c>
      <c r="F833" s="24">
        <v>0.64224710658762518</v>
      </c>
      <c r="G833" s="21">
        <v>12</v>
      </c>
      <c r="H833" s="17">
        <v>30.59</v>
      </c>
      <c r="I833" s="43" t="s">
        <v>3950</v>
      </c>
      <c r="J833" s="26"/>
      <c r="K833" s="17">
        <f t="shared" si="78"/>
        <v>0</v>
      </c>
      <c r="N833" s="31" t="str">
        <f t="shared" si="81"/>
        <v>-</v>
      </c>
      <c r="O833" s="31" t="str">
        <f t="shared" si="83"/>
        <v>-</v>
      </c>
      <c r="P833" s="35" t="str">
        <f t="shared" si="82"/>
        <v>-</v>
      </c>
      <c r="Q833" s="32" t="str">
        <f t="shared" si="79"/>
        <v>-</v>
      </c>
      <c r="S833" s="32" t="str">
        <f t="shared" si="80"/>
        <v>-</v>
      </c>
    </row>
    <row r="834" spans="1:19" x14ac:dyDescent="0.3">
      <c r="A834" s="45" t="s">
        <v>3016</v>
      </c>
      <c r="B834" s="40" t="s">
        <v>1550</v>
      </c>
      <c r="C834" s="41" t="s">
        <v>1894</v>
      </c>
      <c r="D834" s="21" t="s">
        <v>2223</v>
      </c>
      <c r="E834" s="21" t="s">
        <v>2222</v>
      </c>
      <c r="F834" s="24">
        <v>8.2372374392000014E-2</v>
      </c>
      <c r="G834" s="21">
        <v>12</v>
      </c>
      <c r="H834" s="17">
        <v>7.35</v>
      </c>
      <c r="I834" s="43" t="s">
        <v>3950</v>
      </c>
      <c r="J834" s="26"/>
      <c r="K834" s="17">
        <f t="shared" si="78"/>
        <v>0</v>
      </c>
      <c r="N834" s="31" t="str">
        <f t="shared" si="81"/>
        <v>-</v>
      </c>
      <c r="O834" s="31" t="str">
        <f t="shared" si="83"/>
        <v>-</v>
      </c>
      <c r="P834" s="35" t="str">
        <f t="shared" si="82"/>
        <v>-</v>
      </c>
      <c r="Q834" s="32" t="str">
        <f t="shared" si="79"/>
        <v>-</v>
      </c>
      <c r="S834" s="32" t="str">
        <f t="shared" si="80"/>
        <v>-</v>
      </c>
    </row>
    <row r="835" spans="1:19" x14ac:dyDescent="0.3">
      <c r="A835" s="45" t="s">
        <v>3017</v>
      </c>
      <c r="B835" s="40" t="s">
        <v>1551</v>
      </c>
      <c r="C835" s="41" t="s">
        <v>1894</v>
      </c>
      <c r="D835" s="21" t="s">
        <v>2224</v>
      </c>
      <c r="E835" s="21" t="s">
        <v>2222</v>
      </c>
      <c r="F835" s="24">
        <v>0.13642924508675</v>
      </c>
      <c r="G835" s="21">
        <v>12</v>
      </c>
      <c r="H835" s="17">
        <v>13.65</v>
      </c>
      <c r="I835" s="43" t="s">
        <v>3950</v>
      </c>
      <c r="J835" s="26"/>
      <c r="K835" s="17">
        <f t="shared" si="78"/>
        <v>0</v>
      </c>
      <c r="N835" s="31" t="str">
        <f t="shared" si="81"/>
        <v>-</v>
      </c>
      <c r="O835" s="31" t="str">
        <f t="shared" si="83"/>
        <v>-</v>
      </c>
      <c r="P835" s="35" t="str">
        <f t="shared" si="82"/>
        <v>-</v>
      </c>
      <c r="Q835" s="32" t="str">
        <f t="shared" si="79"/>
        <v>-</v>
      </c>
      <c r="S835" s="32" t="str">
        <f t="shared" si="80"/>
        <v>-</v>
      </c>
    </row>
    <row r="836" spans="1:19" x14ac:dyDescent="0.3">
      <c r="A836" s="45" t="s">
        <v>3018</v>
      </c>
      <c r="B836" s="40" t="s">
        <v>1552</v>
      </c>
      <c r="C836" s="41" t="s">
        <v>1894</v>
      </c>
      <c r="D836" s="21" t="s">
        <v>2225</v>
      </c>
      <c r="E836" s="21" t="s">
        <v>2222</v>
      </c>
      <c r="F836" s="24">
        <v>0.19220220691466666</v>
      </c>
      <c r="G836" s="21">
        <v>12</v>
      </c>
      <c r="H836" s="17">
        <v>19.95</v>
      </c>
      <c r="I836" s="43" t="s">
        <v>3950</v>
      </c>
      <c r="J836" s="26"/>
      <c r="K836" s="17">
        <f t="shared" si="78"/>
        <v>0</v>
      </c>
      <c r="N836" s="31" t="str">
        <f t="shared" si="81"/>
        <v>-</v>
      </c>
      <c r="O836" s="31" t="str">
        <f t="shared" si="83"/>
        <v>-</v>
      </c>
      <c r="P836" s="35" t="str">
        <f t="shared" si="82"/>
        <v>-</v>
      </c>
      <c r="Q836" s="32" t="str">
        <f t="shared" si="79"/>
        <v>-</v>
      </c>
      <c r="S836" s="32" t="str">
        <f t="shared" si="80"/>
        <v>-</v>
      </c>
    </row>
    <row r="837" spans="1:19" x14ac:dyDescent="0.3">
      <c r="A837" s="45" t="s">
        <v>3019</v>
      </c>
      <c r="B837" s="40" t="s">
        <v>939</v>
      </c>
      <c r="C837" s="41" t="s">
        <v>1895</v>
      </c>
      <c r="D837" s="21" t="s">
        <v>2223</v>
      </c>
      <c r="E837" s="21" t="s">
        <v>2260</v>
      </c>
      <c r="F837" s="24">
        <v>9.3955989540875015E-2</v>
      </c>
      <c r="G837" s="21">
        <v>12</v>
      </c>
      <c r="H837" s="17">
        <v>9.15</v>
      </c>
      <c r="I837" s="43" t="s">
        <v>3950</v>
      </c>
      <c r="J837" s="26"/>
      <c r="K837" s="17">
        <f t="shared" si="78"/>
        <v>0</v>
      </c>
      <c r="N837" s="31" t="str">
        <f t="shared" si="81"/>
        <v>-</v>
      </c>
      <c r="O837" s="31" t="str">
        <f t="shared" si="83"/>
        <v>-</v>
      </c>
      <c r="P837" s="35" t="str">
        <f t="shared" si="82"/>
        <v>-</v>
      </c>
      <c r="Q837" s="32" t="str">
        <f t="shared" si="79"/>
        <v>-</v>
      </c>
      <c r="S837" s="32" t="str">
        <f t="shared" si="80"/>
        <v>-</v>
      </c>
    </row>
    <row r="838" spans="1:19" x14ac:dyDescent="0.3">
      <c r="A838" s="45" t="s">
        <v>3020</v>
      </c>
      <c r="B838" s="40" t="s">
        <v>32</v>
      </c>
      <c r="C838" s="41" t="s">
        <v>1895</v>
      </c>
      <c r="D838" s="21" t="s">
        <v>2224</v>
      </c>
      <c r="E838" s="21" t="s">
        <v>2260</v>
      </c>
      <c r="F838" s="24">
        <v>0.16131256651766665</v>
      </c>
      <c r="G838" s="21">
        <v>12</v>
      </c>
      <c r="H838" s="17">
        <v>17.39</v>
      </c>
      <c r="I838" s="43" t="s">
        <v>3950</v>
      </c>
      <c r="J838" s="26"/>
      <c r="K838" s="17">
        <f t="shared" si="78"/>
        <v>0</v>
      </c>
      <c r="N838" s="31" t="str">
        <f t="shared" si="81"/>
        <v>-</v>
      </c>
      <c r="O838" s="31" t="str">
        <f t="shared" si="83"/>
        <v>-</v>
      </c>
      <c r="P838" s="35" t="str">
        <f t="shared" si="82"/>
        <v>-</v>
      </c>
      <c r="Q838" s="32" t="str">
        <f t="shared" si="79"/>
        <v>-</v>
      </c>
      <c r="S838" s="32" t="str">
        <f t="shared" si="80"/>
        <v>-</v>
      </c>
    </row>
    <row r="839" spans="1:19" x14ac:dyDescent="0.3">
      <c r="A839" s="45" t="s">
        <v>3021</v>
      </c>
      <c r="B839" s="40" t="s">
        <v>1179</v>
      </c>
      <c r="C839" s="41" t="s">
        <v>1896</v>
      </c>
      <c r="D839" s="21" t="s">
        <v>2223</v>
      </c>
      <c r="E839" s="21" t="s">
        <v>2234</v>
      </c>
      <c r="F839" s="24">
        <v>4.5476415028916667E-2</v>
      </c>
      <c r="G839" s="21">
        <v>12</v>
      </c>
      <c r="H839" s="17">
        <v>12.9</v>
      </c>
      <c r="I839" s="43" t="s">
        <v>3950</v>
      </c>
      <c r="J839" s="26"/>
      <c r="K839" s="17">
        <f t="shared" si="78"/>
        <v>0</v>
      </c>
      <c r="N839" s="31" t="str">
        <f t="shared" si="81"/>
        <v>-</v>
      </c>
      <c r="O839" s="31" t="str">
        <f t="shared" si="83"/>
        <v>-</v>
      </c>
      <c r="P839" s="35" t="str">
        <f t="shared" si="82"/>
        <v>-</v>
      </c>
      <c r="Q839" s="32" t="str">
        <f t="shared" si="79"/>
        <v>-</v>
      </c>
      <c r="S839" s="32" t="str">
        <f t="shared" si="80"/>
        <v>-</v>
      </c>
    </row>
    <row r="840" spans="1:19" x14ac:dyDescent="0.3">
      <c r="A840" s="45" t="s">
        <v>3022</v>
      </c>
      <c r="B840" s="40" t="s">
        <v>951</v>
      </c>
      <c r="C840" s="41" t="s">
        <v>1896</v>
      </c>
      <c r="D840" s="21" t="s">
        <v>2224</v>
      </c>
      <c r="E840" s="21" t="s">
        <v>2234</v>
      </c>
      <c r="F840" s="24">
        <v>6.6927554193500008E-2</v>
      </c>
      <c r="G840" s="21">
        <v>12</v>
      </c>
      <c r="H840" s="17">
        <v>24.59</v>
      </c>
      <c r="I840" s="43" t="s">
        <v>3950</v>
      </c>
      <c r="J840" s="26"/>
      <c r="K840" s="17">
        <f t="shared" si="78"/>
        <v>0</v>
      </c>
      <c r="N840" s="31" t="str">
        <f t="shared" si="81"/>
        <v>-</v>
      </c>
      <c r="O840" s="31" t="str">
        <f t="shared" si="83"/>
        <v>-</v>
      </c>
      <c r="P840" s="35" t="str">
        <f t="shared" si="82"/>
        <v>-</v>
      </c>
      <c r="Q840" s="32" t="str">
        <f t="shared" si="79"/>
        <v>-</v>
      </c>
      <c r="S840" s="32" t="str">
        <f t="shared" si="80"/>
        <v>-</v>
      </c>
    </row>
    <row r="841" spans="1:19" x14ac:dyDescent="0.3">
      <c r="A841" s="45" t="s">
        <v>3023</v>
      </c>
      <c r="B841" s="40" t="s">
        <v>93</v>
      </c>
      <c r="C841" s="41" t="s">
        <v>1897</v>
      </c>
      <c r="D841" s="21" t="s">
        <v>2223</v>
      </c>
      <c r="E841" s="21" t="s">
        <v>2222</v>
      </c>
      <c r="F841" s="24">
        <v>7.7224100992499989E-2</v>
      </c>
      <c r="G841" s="21">
        <v>12</v>
      </c>
      <c r="H841" s="17">
        <v>8.5500000000000007</v>
      </c>
      <c r="I841" s="43" t="s">
        <v>3950</v>
      </c>
      <c r="J841" s="26"/>
      <c r="K841" s="17">
        <f t="shared" si="78"/>
        <v>0</v>
      </c>
      <c r="N841" s="31" t="str">
        <f t="shared" si="81"/>
        <v>-</v>
      </c>
      <c r="O841" s="31" t="str">
        <f t="shared" si="83"/>
        <v>-</v>
      </c>
      <c r="P841" s="35" t="str">
        <f t="shared" si="82"/>
        <v>-</v>
      </c>
      <c r="Q841" s="32" t="str">
        <f t="shared" si="79"/>
        <v>-</v>
      </c>
      <c r="S841" s="32" t="str">
        <f t="shared" si="80"/>
        <v>-</v>
      </c>
    </row>
    <row r="842" spans="1:19" x14ac:dyDescent="0.3">
      <c r="A842" s="45" t="s">
        <v>3024</v>
      </c>
      <c r="B842" s="40" t="s">
        <v>64</v>
      </c>
      <c r="C842" s="41" t="s">
        <v>1897</v>
      </c>
      <c r="D842" s="21" t="s">
        <v>2224</v>
      </c>
      <c r="E842" s="21" t="s">
        <v>2222</v>
      </c>
      <c r="F842" s="24">
        <v>0.13128097168725003</v>
      </c>
      <c r="G842" s="21">
        <v>12</v>
      </c>
      <c r="H842" s="17">
        <v>16.5</v>
      </c>
      <c r="I842" s="43" t="s">
        <v>3950</v>
      </c>
      <c r="J842" s="26"/>
      <c r="K842" s="17">
        <f t="shared" si="78"/>
        <v>0</v>
      </c>
      <c r="N842" s="31" t="str">
        <f t="shared" si="81"/>
        <v>-</v>
      </c>
      <c r="O842" s="31" t="str">
        <f t="shared" si="83"/>
        <v>-</v>
      </c>
      <c r="P842" s="35" t="str">
        <f t="shared" si="82"/>
        <v>-</v>
      </c>
      <c r="Q842" s="32" t="str">
        <f t="shared" si="79"/>
        <v>-</v>
      </c>
      <c r="S842" s="32" t="str">
        <f t="shared" si="80"/>
        <v>-</v>
      </c>
    </row>
    <row r="843" spans="1:19" x14ac:dyDescent="0.3">
      <c r="A843" s="45" t="s">
        <v>3025</v>
      </c>
      <c r="B843" s="40" t="s">
        <v>1429</v>
      </c>
      <c r="C843" s="41" t="s">
        <v>1898</v>
      </c>
      <c r="D843" s="21" t="s">
        <v>2223</v>
      </c>
      <c r="E843" s="21" t="s">
        <v>2222</v>
      </c>
      <c r="F843" s="24">
        <v>7.6366055425916665E-2</v>
      </c>
      <c r="G843" s="21">
        <v>12</v>
      </c>
      <c r="H843" s="17">
        <v>8.85</v>
      </c>
      <c r="I843" s="43" t="s">
        <v>3950</v>
      </c>
      <c r="J843" s="26"/>
      <c r="K843" s="17">
        <f t="shared" si="78"/>
        <v>0</v>
      </c>
      <c r="N843" s="31" t="str">
        <f t="shared" si="81"/>
        <v>-</v>
      </c>
      <c r="O843" s="31" t="str">
        <f t="shared" si="83"/>
        <v>-</v>
      </c>
      <c r="P843" s="35" t="str">
        <f t="shared" si="82"/>
        <v>-</v>
      </c>
      <c r="Q843" s="32" t="str">
        <f t="shared" si="79"/>
        <v>-</v>
      </c>
      <c r="S843" s="32" t="str">
        <f t="shared" si="80"/>
        <v>-</v>
      </c>
    </row>
    <row r="844" spans="1:19" x14ac:dyDescent="0.3">
      <c r="A844" s="45" t="s">
        <v>3026</v>
      </c>
      <c r="B844" s="40" t="s">
        <v>941</v>
      </c>
      <c r="C844" s="41" t="s">
        <v>1898</v>
      </c>
      <c r="D844" s="21" t="s">
        <v>2224</v>
      </c>
      <c r="E844" s="21" t="s">
        <v>2222</v>
      </c>
      <c r="F844" s="24">
        <v>0.12999390333737501</v>
      </c>
      <c r="G844" s="21">
        <v>12</v>
      </c>
      <c r="H844" s="17">
        <v>16.79</v>
      </c>
      <c r="I844" s="43" t="s">
        <v>3950</v>
      </c>
      <c r="J844" s="26"/>
      <c r="K844" s="17">
        <f t="shared" si="78"/>
        <v>0</v>
      </c>
      <c r="N844" s="31" t="str">
        <f t="shared" si="81"/>
        <v>-</v>
      </c>
      <c r="O844" s="31" t="str">
        <f t="shared" si="83"/>
        <v>-</v>
      </c>
      <c r="P844" s="35" t="str">
        <f t="shared" si="82"/>
        <v>-</v>
      </c>
      <c r="Q844" s="32" t="str">
        <f t="shared" si="79"/>
        <v>-</v>
      </c>
      <c r="S844" s="32" t="str">
        <f t="shared" si="80"/>
        <v>-</v>
      </c>
    </row>
    <row r="845" spans="1:19" x14ac:dyDescent="0.3">
      <c r="A845" s="45" t="s">
        <v>3028</v>
      </c>
      <c r="B845" s="40" t="s">
        <v>1337</v>
      </c>
      <c r="C845" s="41" t="s">
        <v>1899</v>
      </c>
      <c r="D845" s="21" t="s">
        <v>2223</v>
      </c>
      <c r="E845" s="21" t="s">
        <v>2238</v>
      </c>
      <c r="F845" s="24">
        <v>4.0328141629416663E-2</v>
      </c>
      <c r="G845" s="21">
        <v>12</v>
      </c>
      <c r="H845" s="17">
        <v>8.99</v>
      </c>
      <c r="I845" s="43" t="s">
        <v>3950</v>
      </c>
      <c r="J845" s="26"/>
      <c r="K845" s="17">
        <f t="shared" si="78"/>
        <v>0</v>
      </c>
      <c r="N845" s="31" t="str">
        <f t="shared" si="81"/>
        <v>-</v>
      </c>
      <c r="O845" s="31" t="str">
        <f t="shared" si="83"/>
        <v>-</v>
      </c>
      <c r="P845" s="35" t="str">
        <f t="shared" si="82"/>
        <v>-</v>
      </c>
      <c r="Q845" s="32" t="str">
        <f t="shared" si="79"/>
        <v>-</v>
      </c>
      <c r="S845" s="32" t="str">
        <f t="shared" si="80"/>
        <v>-</v>
      </c>
    </row>
    <row r="846" spans="1:19" x14ac:dyDescent="0.3">
      <c r="A846" s="45" t="s">
        <v>3030</v>
      </c>
      <c r="B846" s="40" t="s">
        <v>1073</v>
      </c>
      <c r="C846" s="41" t="s">
        <v>1892</v>
      </c>
      <c r="D846" s="21" t="s">
        <v>2227</v>
      </c>
      <c r="E846" s="21" t="s">
        <v>2234</v>
      </c>
      <c r="F846" s="24">
        <v>0.14672579188575002</v>
      </c>
      <c r="G846" s="21">
        <v>12</v>
      </c>
      <c r="H846" s="17">
        <v>21.3</v>
      </c>
      <c r="I846" s="43" t="s">
        <v>3950</v>
      </c>
      <c r="J846" s="26"/>
      <c r="K846" s="17">
        <f t="shared" si="78"/>
        <v>0</v>
      </c>
      <c r="N846" s="31" t="str">
        <f t="shared" si="81"/>
        <v>-</v>
      </c>
      <c r="O846" s="31" t="str">
        <f t="shared" si="83"/>
        <v>-</v>
      </c>
      <c r="P846" s="35" t="str">
        <f t="shared" si="82"/>
        <v>-</v>
      </c>
      <c r="Q846" s="32" t="str">
        <f t="shared" si="79"/>
        <v>-</v>
      </c>
      <c r="S846" s="32" t="str">
        <f t="shared" si="80"/>
        <v>-</v>
      </c>
    </row>
    <row r="847" spans="1:19" x14ac:dyDescent="0.3">
      <c r="A847" s="45" t="s">
        <v>3031</v>
      </c>
      <c r="B847" s="40" t="s">
        <v>429</v>
      </c>
      <c r="C847" s="41" t="s">
        <v>1901</v>
      </c>
      <c r="D847" s="21" t="s">
        <v>2224</v>
      </c>
      <c r="E847" s="21" t="s">
        <v>2222</v>
      </c>
      <c r="F847" s="24">
        <v>0.12999390333737501</v>
      </c>
      <c r="G847" s="21">
        <v>12</v>
      </c>
      <c r="H847" s="17">
        <v>16.79</v>
      </c>
      <c r="I847" s="43" t="s">
        <v>3950</v>
      </c>
      <c r="J847" s="26"/>
      <c r="K847" s="17">
        <f t="shared" si="78"/>
        <v>0</v>
      </c>
      <c r="N847" s="31" t="str">
        <f t="shared" si="81"/>
        <v>-</v>
      </c>
      <c r="O847" s="31" t="str">
        <f t="shared" si="83"/>
        <v>-</v>
      </c>
      <c r="P847" s="35" t="str">
        <f t="shared" si="82"/>
        <v>-</v>
      </c>
      <c r="Q847" s="32" t="str">
        <f t="shared" si="79"/>
        <v>-</v>
      </c>
      <c r="S847" s="32" t="str">
        <f t="shared" si="80"/>
        <v>-</v>
      </c>
    </row>
    <row r="848" spans="1:19" x14ac:dyDescent="0.3">
      <c r="A848" s="45" t="s">
        <v>3032</v>
      </c>
      <c r="B848" s="40" t="s">
        <v>1417</v>
      </c>
      <c r="C848" s="41" t="s">
        <v>1881</v>
      </c>
      <c r="D848" s="21" t="s">
        <v>2224</v>
      </c>
      <c r="E848" s="21" t="s">
        <v>2222</v>
      </c>
      <c r="F848" s="24">
        <v>8.2372374392000014E-2</v>
      </c>
      <c r="G848" s="21">
        <v>12</v>
      </c>
      <c r="H848" s="17">
        <v>40.19</v>
      </c>
      <c r="I848" s="43" t="s">
        <v>3950</v>
      </c>
      <c r="J848" s="26"/>
      <c r="K848" s="17">
        <f t="shared" si="78"/>
        <v>0</v>
      </c>
      <c r="N848" s="31" t="str">
        <f t="shared" si="81"/>
        <v>-</v>
      </c>
      <c r="O848" s="31" t="str">
        <f t="shared" si="83"/>
        <v>-</v>
      </c>
      <c r="P848" s="35" t="str">
        <f t="shared" si="82"/>
        <v>-</v>
      </c>
      <c r="Q848" s="32" t="str">
        <f t="shared" si="79"/>
        <v>-</v>
      </c>
      <c r="S848" s="32" t="str">
        <f t="shared" si="80"/>
        <v>-</v>
      </c>
    </row>
    <row r="849" spans="1:19" x14ac:dyDescent="0.3">
      <c r="A849" s="45" t="s">
        <v>3033</v>
      </c>
      <c r="B849" s="40" t="s">
        <v>426</v>
      </c>
      <c r="C849" s="41" t="s">
        <v>1900</v>
      </c>
      <c r="D849" s="21" t="s">
        <v>2236</v>
      </c>
      <c r="E849" s="21" t="s">
        <v>2262</v>
      </c>
      <c r="F849" s="24">
        <v>0.18126212594072916</v>
      </c>
      <c r="G849" s="21">
        <v>24</v>
      </c>
      <c r="H849" s="17">
        <v>14.1</v>
      </c>
      <c r="I849" s="43" t="s">
        <v>3950</v>
      </c>
      <c r="J849" s="26"/>
      <c r="K849" s="17">
        <f t="shared" si="78"/>
        <v>0</v>
      </c>
      <c r="N849" s="31" t="str">
        <f t="shared" si="81"/>
        <v>-</v>
      </c>
      <c r="O849" s="31" t="str">
        <f t="shared" si="83"/>
        <v>-</v>
      </c>
      <c r="P849" s="35" t="str">
        <f t="shared" si="82"/>
        <v>-</v>
      </c>
      <c r="Q849" s="32" t="str">
        <f t="shared" si="79"/>
        <v>-</v>
      </c>
      <c r="S849" s="32" t="str">
        <f t="shared" si="80"/>
        <v>-</v>
      </c>
    </row>
    <row r="850" spans="1:19" x14ac:dyDescent="0.3">
      <c r="A850" s="45" t="s">
        <v>3034</v>
      </c>
      <c r="B850" s="40" t="s">
        <v>1221</v>
      </c>
      <c r="C850" s="41" t="s">
        <v>1902</v>
      </c>
      <c r="D850" s="21" t="s">
        <v>2223</v>
      </c>
      <c r="E850" s="21" t="s">
        <v>2222</v>
      </c>
      <c r="F850" s="24">
        <v>5.5772961827916676E-2</v>
      </c>
      <c r="G850" s="21">
        <v>12</v>
      </c>
      <c r="H850" s="17">
        <v>5.99</v>
      </c>
      <c r="I850" s="43" t="s">
        <v>3950</v>
      </c>
      <c r="J850" s="26"/>
      <c r="K850" s="17">
        <f t="shared" si="78"/>
        <v>0</v>
      </c>
      <c r="N850" s="31" t="str">
        <f t="shared" si="81"/>
        <v>-</v>
      </c>
      <c r="O850" s="31" t="str">
        <f t="shared" si="83"/>
        <v>-</v>
      </c>
      <c r="P850" s="35" t="str">
        <f t="shared" si="82"/>
        <v>-</v>
      </c>
      <c r="Q850" s="32" t="str">
        <f t="shared" si="79"/>
        <v>-</v>
      </c>
      <c r="S850" s="32" t="str">
        <f t="shared" si="80"/>
        <v>-</v>
      </c>
    </row>
    <row r="851" spans="1:19" x14ac:dyDescent="0.3">
      <c r="A851" s="45" t="s">
        <v>3035</v>
      </c>
      <c r="B851" s="40" t="s">
        <v>1397</v>
      </c>
      <c r="C851" s="41" t="s">
        <v>1902</v>
      </c>
      <c r="D851" s="21" t="s">
        <v>2224</v>
      </c>
      <c r="E851" s="21" t="s">
        <v>2222</v>
      </c>
      <c r="F851" s="24">
        <v>8.7520647791500011E-2</v>
      </c>
      <c r="G851" s="21">
        <v>12</v>
      </c>
      <c r="H851" s="17">
        <v>11.1</v>
      </c>
      <c r="I851" s="43" t="s">
        <v>3950</v>
      </c>
      <c r="J851" s="26"/>
      <c r="K851" s="17">
        <f t="shared" si="78"/>
        <v>0</v>
      </c>
      <c r="N851" s="31" t="str">
        <f t="shared" si="81"/>
        <v>-</v>
      </c>
      <c r="O851" s="31" t="str">
        <f t="shared" si="83"/>
        <v>-</v>
      </c>
      <c r="P851" s="35" t="str">
        <f t="shared" si="82"/>
        <v>-</v>
      </c>
      <c r="Q851" s="32" t="str">
        <f t="shared" si="79"/>
        <v>-</v>
      </c>
      <c r="S851" s="32" t="str">
        <f t="shared" si="80"/>
        <v>-</v>
      </c>
    </row>
    <row r="852" spans="1:19" x14ac:dyDescent="0.3">
      <c r="A852" s="45" t="s">
        <v>3036</v>
      </c>
      <c r="B852" s="40" t="s">
        <v>113</v>
      </c>
      <c r="C852" s="41" t="s">
        <v>1903</v>
      </c>
      <c r="D852" s="21" t="s">
        <v>2225</v>
      </c>
      <c r="E852" s="21" t="s">
        <v>2222</v>
      </c>
      <c r="F852" s="24">
        <v>0.12613269828775001</v>
      </c>
      <c r="G852" s="21">
        <v>12</v>
      </c>
      <c r="H852" s="17">
        <v>7.5</v>
      </c>
      <c r="I852" s="43" t="s">
        <v>3950</v>
      </c>
      <c r="J852" s="26"/>
      <c r="K852" s="17">
        <f t="shared" si="78"/>
        <v>0</v>
      </c>
      <c r="N852" s="31" t="str">
        <f t="shared" si="81"/>
        <v>-</v>
      </c>
      <c r="O852" s="31" t="str">
        <f t="shared" si="83"/>
        <v>-</v>
      </c>
      <c r="P852" s="35" t="str">
        <f t="shared" si="82"/>
        <v>-</v>
      </c>
      <c r="Q852" s="32" t="str">
        <f t="shared" si="79"/>
        <v>-</v>
      </c>
      <c r="S852" s="32" t="str">
        <f t="shared" si="80"/>
        <v>-</v>
      </c>
    </row>
    <row r="853" spans="1:19" x14ac:dyDescent="0.3">
      <c r="A853" s="45" t="s">
        <v>3038</v>
      </c>
      <c r="B853" s="40" t="s">
        <v>1430</v>
      </c>
      <c r="C853" s="41" t="s">
        <v>1904</v>
      </c>
      <c r="D853" s="21" t="s">
        <v>2225</v>
      </c>
      <c r="E853" s="21" t="s">
        <v>2222</v>
      </c>
      <c r="F853" s="24">
        <v>3.0031594830416668E-2</v>
      </c>
      <c r="G853" s="21">
        <v>12</v>
      </c>
      <c r="H853" s="17">
        <v>17.989999999999998</v>
      </c>
      <c r="I853" s="43" t="s">
        <v>3950</v>
      </c>
      <c r="J853" s="26"/>
      <c r="K853" s="17">
        <f t="shared" si="78"/>
        <v>0</v>
      </c>
      <c r="N853" s="31" t="str">
        <f t="shared" si="81"/>
        <v>-</v>
      </c>
      <c r="O853" s="31" t="str">
        <f t="shared" si="83"/>
        <v>-</v>
      </c>
      <c r="P853" s="35" t="str">
        <f t="shared" si="82"/>
        <v>-</v>
      </c>
      <c r="Q853" s="32" t="str">
        <f t="shared" si="79"/>
        <v>-</v>
      </c>
      <c r="S853" s="32" t="str">
        <f t="shared" si="80"/>
        <v>-</v>
      </c>
    </row>
    <row r="854" spans="1:19" x14ac:dyDescent="0.3">
      <c r="A854" s="45" t="s">
        <v>3039</v>
      </c>
      <c r="B854" s="40" t="s">
        <v>239</v>
      </c>
      <c r="C854" s="41" t="s">
        <v>1904</v>
      </c>
      <c r="D854" s="21" t="s">
        <v>2226</v>
      </c>
      <c r="E854" s="21" t="s">
        <v>2222</v>
      </c>
      <c r="F854" s="24">
        <v>0.28229699140591669</v>
      </c>
      <c r="G854" s="21">
        <v>12</v>
      </c>
      <c r="H854" s="17">
        <v>34.79</v>
      </c>
      <c r="I854" s="43" t="s">
        <v>3950</v>
      </c>
      <c r="J854" s="26"/>
      <c r="K854" s="17">
        <f t="shared" si="78"/>
        <v>0</v>
      </c>
      <c r="N854" s="31" t="str">
        <f t="shared" si="81"/>
        <v>-</v>
      </c>
      <c r="O854" s="31" t="str">
        <f t="shared" si="83"/>
        <v>-</v>
      </c>
      <c r="P854" s="35" t="str">
        <f t="shared" si="82"/>
        <v>-</v>
      </c>
      <c r="Q854" s="32" t="str">
        <f t="shared" si="79"/>
        <v>-</v>
      </c>
      <c r="S854" s="32" t="str">
        <f t="shared" si="80"/>
        <v>-</v>
      </c>
    </row>
    <row r="855" spans="1:19" x14ac:dyDescent="0.3">
      <c r="A855" s="45" t="s">
        <v>3040</v>
      </c>
      <c r="B855" s="40" t="s">
        <v>248</v>
      </c>
      <c r="C855" s="41" t="s">
        <v>1905</v>
      </c>
      <c r="D855" s="21" t="s">
        <v>2236</v>
      </c>
      <c r="E855" s="21" t="s">
        <v>2240</v>
      </c>
      <c r="F855" s="24">
        <v>0.28572917367225004</v>
      </c>
      <c r="G855" s="21">
        <v>12</v>
      </c>
      <c r="H855" s="17">
        <v>10.79</v>
      </c>
      <c r="I855" s="43" t="s">
        <v>3950</v>
      </c>
      <c r="J855" s="26"/>
      <c r="K855" s="17">
        <f t="shared" si="78"/>
        <v>0</v>
      </c>
      <c r="N855" s="31" t="str">
        <f t="shared" si="81"/>
        <v>-</v>
      </c>
      <c r="O855" s="31" t="str">
        <f t="shared" si="83"/>
        <v>-</v>
      </c>
      <c r="P855" s="35" t="str">
        <f t="shared" si="82"/>
        <v>-</v>
      </c>
      <c r="Q855" s="32" t="str">
        <f t="shared" si="79"/>
        <v>-</v>
      </c>
      <c r="S855" s="32" t="str">
        <f t="shared" si="80"/>
        <v>-</v>
      </c>
    </row>
    <row r="856" spans="1:19" x14ac:dyDescent="0.3">
      <c r="A856" s="45" t="s">
        <v>3041</v>
      </c>
      <c r="B856" s="40" t="s">
        <v>178</v>
      </c>
      <c r="C856" s="41" t="s">
        <v>1905</v>
      </c>
      <c r="D856" s="21" t="s">
        <v>2241</v>
      </c>
      <c r="E856" s="21" t="s">
        <v>2240</v>
      </c>
      <c r="F856" s="24">
        <v>0.62294108133949999</v>
      </c>
      <c r="G856" s="21">
        <v>12</v>
      </c>
      <c r="H856" s="17">
        <v>19.649999999999999</v>
      </c>
      <c r="I856" s="43" t="s">
        <v>3950</v>
      </c>
      <c r="J856" s="26"/>
      <c r="K856" s="17">
        <f t="shared" si="78"/>
        <v>0</v>
      </c>
      <c r="N856" s="31" t="str">
        <f t="shared" si="81"/>
        <v>-</v>
      </c>
      <c r="O856" s="31" t="str">
        <f t="shared" si="83"/>
        <v>-</v>
      </c>
      <c r="P856" s="35" t="str">
        <f t="shared" si="82"/>
        <v>-</v>
      </c>
      <c r="Q856" s="32" t="str">
        <f t="shared" si="79"/>
        <v>-</v>
      </c>
      <c r="S856" s="32" t="str">
        <f t="shared" si="80"/>
        <v>-</v>
      </c>
    </row>
    <row r="857" spans="1:19" x14ac:dyDescent="0.3">
      <c r="A857" s="45" t="s">
        <v>3042</v>
      </c>
      <c r="B857" s="40" t="s">
        <v>984</v>
      </c>
      <c r="C857" s="41" t="s">
        <v>1906</v>
      </c>
      <c r="D857" s="21" t="s">
        <v>2221</v>
      </c>
      <c r="E857" s="21" t="s">
        <v>2243</v>
      </c>
      <c r="F857" s="24">
        <v>0.16646083991716668</v>
      </c>
      <c r="G857" s="21">
        <v>12</v>
      </c>
      <c r="H857" s="17">
        <v>12.59</v>
      </c>
      <c r="I857" s="43" t="s">
        <v>3950</v>
      </c>
      <c r="J857" s="26"/>
      <c r="K857" s="17">
        <f t="shared" si="78"/>
        <v>0</v>
      </c>
      <c r="N857" s="31" t="str">
        <f t="shared" si="81"/>
        <v>-</v>
      </c>
      <c r="O857" s="31" t="str">
        <f t="shared" si="83"/>
        <v>-</v>
      </c>
      <c r="P857" s="35" t="str">
        <f t="shared" si="82"/>
        <v>-</v>
      </c>
      <c r="Q857" s="32" t="str">
        <f t="shared" si="79"/>
        <v>-</v>
      </c>
      <c r="S857" s="32" t="str">
        <f t="shared" si="80"/>
        <v>-</v>
      </c>
    </row>
    <row r="858" spans="1:19" x14ac:dyDescent="0.3">
      <c r="A858" s="45" t="s">
        <v>3043</v>
      </c>
      <c r="B858" s="40" t="s">
        <v>147</v>
      </c>
      <c r="C858" s="41" t="s">
        <v>1906</v>
      </c>
      <c r="D858" s="21" t="s">
        <v>2242</v>
      </c>
      <c r="E858" s="21" t="s">
        <v>2243</v>
      </c>
      <c r="F858" s="24">
        <v>0.30031594830416669</v>
      </c>
      <c r="G858" s="21">
        <v>12</v>
      </c>
      <c r="H858" s="17">
        <v>24.3</v>
      </c>
      <c r="I858" s="43" t="s">
        <v>3950</v>
      </c>
      <c r="J858" s="26"/>
      <c r="K858" s="17">
        <f t="shared" si="78"/>
        <v>0</v>
      </c>
      <c r="N858" s="31" t="str">
        <f t="shared" si="81"/>
        <v>-</v>
      </c>
      <c r="O858" s="31" t="str">
        <f t="shared" si="83"/>
        <v>-</v>
      </c>
      <c r="P858" s="35" t="str">
        <f t="shared" si="82"/>
        <v>-</v>
      </c>
      <c r="Q858" s="32" t="str">
        <f t="shared" si="79"/>
        <v>-</v>
      </c>
      <c r="S858" s="32" t="str">
        <f t="shared" si="80"/>
        <v>-</v>
      </c>
    </row>
    <row r="859" spans="1:19" x14ac:dyDescent="0.3">
      <c r="A859" s="45" t="s">
        <v>3044</v>
      </c>
      <c r="B859" s="40" t="s">
        <v>1438</v>
      </c>
      <c r="C859" s="41" t="s">
        <v>1906</v>
      </c>
      <c r="D859" s="21" t="s">
        <v>2252</v>
      </c>
      <c r="E859" s="21" t="s">
        <v>2243</v>
      </c>
      <c r="F859" s="24">
        <v>0.53027216014850009</v>
      </c>
      <c r="G859" s="21">
        <v>12</v>
      </c>
      <c r="H859" s="17">
        <v>47.39</v>
      </c>
      <c r="I859" s="43" t="s">
        <v>3950</v>
      </c>
      <c r="J859" s="26"/>
      <c r="K859" s="17">
        <f t="shared" si="78"/>
        <v>0</v>
      </c>
      <c r="N859" s="31" t="str">
        <f t="shared" si="81"/>
        <v>-</v>
      </c>
      <c r="O859" s="31" t="str">
        <f t="shared" si="83"/>
        <v>-</v>
      </c>
      <c r="P859" s="35" t="str">
        <f t="shared" si="82"/>
        <v>-</v>
      </c>
      <c r="Q859" s="32" t="str">
        <f t="shared" si="79"/>
        <v>-</v>
      </c>
      <c r="S859" s="32" t="str">
        <f t="shared" si="80"/>
        <v>-</v>
      </c>
    </row>
    <row r="860" spans="1:19" x14ac:dyDescent="0.3">
      <c r="A860" s="45" t="s">
        <v>3045</v>
      </c>
      <c r="B860" s="40" t="s">
        <v>722</v>
      </c>
      <c r="C860" s="41" t="s">
        <v>1907</v>
      </c>
      <c r="D860" s="21" t="s">
        <v>2231</v>
      </c>
      <c r="E860" s="21" t="s">
        <v>2222</v>
      </c>
      <c r="F860" s="24">
        <v>0.11969735653837503</v>
      </c>
      <c r="G860" s="21">
        <v>12</v>
      </c>
      <c r="H860" s="17">
        <v>8.1</v>
      </c>
      <c r="I860" s="43" t="s">
        <v>3950</v>
      </c>
      <c r="J860" s="26"/>
      <c r="K860" s="17">
        <f t="shared" si="78"/>
        <v>0</v>
      </c>
      <c r="N860" s="31" t="str">
        <f t="shared" si="81"/>
        <v>-</v>
      </c>
      <c r="O860" s="31" t="str">
        <f t="shared" si="83"/>
        <v>-</v>
      </c>
      <c r="P860" s="35" t="str">
        <f t="shared" si="82"/>
        <v>-</v>
      </c>
      <c r="Q860" s="32" t="str">
        <f t="shared" si="79"/>
        <v>-</v>
      </c>
      <c r="S860" s="32" t="str">
        <f t="shared" si="80"/>
        <v>-</v>
      </c>
    </row>
    <row r="861" spans="1:19" x14ac:dyDescent="0.3">
      <c r="A861" s="45" t="s">
        <v>3047</v>
      </c>
      <c r="B861" s="40" t="s">
        <v>582</v>
      </c>
      <c r="C861" s="41" t="s">
        <v>1907</v>
      </c>
      <c r="D861" s="21" t="s">
        <v>2226</v>
      </c>
      <c r="E861" s="21" t="s">
        <v>2222</v>
      </c>
      <c r="F861" s="24">
        <v>0.40842968969366672</v>
      </c>
      <c r="G861" s="21">
        <v>12</v>
      </c>
      <c r="H861" s="17">
        <v>29.39</v>
      </c>
      <c r="I861" s="43" t="s">
        <v>3950</v>
      </c>
      <c r="J861" s="26"/>
      <c r="K861" s="17">
        <f t="shared" si="78"/>
        <v>0</v>
      </c>
      <c r="N861" s="31" t="str">
        <f t="shared" si="81"/>
        <v>-</v>
      </c>
      <c r="O861" s="31" t="str">
        <f t="shared" si="83"/>
        <v>-</v>
      </c>
      <c r="P861" s="35" t="str">
        <f t="shared" si="82"/>
        <v>-</v>
      </c>
      <c r="Q861" s="32" t="str">
        <f t="shared" si="79"/>
        <v>-</v>
      </c>
      <c r="S861" s="32" t="str">
        <f t="shared" si="80"/>
        <v>-</v>
      </c>
    </row>
    <row r="862" spans="1:19" x14ac:dyDescent="0.3">
      <c r="A862" s="45" t="s">
        <v>3050</v>
      </c>
      <c r="B862" s="40" t="s">
        <v>717</v>
      </c>
      <c r="C862" s="41" t="s">
        <v>1909</v>
      </c>
      <c r="D862" s="21" t="s">
        <v>2231</v>
      </c>
      <c r="E862" s="21" t="s">
        <v>2222</v>
      </c>
      <c r="F862" s="24">
        <v>0.114549083138875</v>
      </c>
      <c r="G862" s="21">
        <v>12</v>
      </c>
      <c r="H862" s="17">
        <v>6.45</v>
      </c>
      <c r="I862" s="43" t="s">
        <v>3950</v>
      </c>
      <c r="J862" s="26"/>
      <c r="K862" s="17">
        <f t="shared" si="78"/>
        <v>0</v>
      </c>
      <c r="N862" s="31" t="str">
        <f t="shared" si="81"/>
        <v>-</v>
      </c>
      <c r="O862" s="31" t="str">
        <f t="shared" si="83"/>
        <v>-</v>
      </c>
      <c r="P862" s="35" t="str">
        <f t="shared" si="82"/>
        <v>-</v>
      </c>
      <c r="Q862" s="32" t="str">
        <f t="shared" si="79"/>
        <v>-</v>
      </c>
      <c r="S862" s="32" t="str">
        <f t="shared" si="80"/>
        <v>-</v>
      </c>
    </row>
    <row r="863" spans="1:19" x14ac:dyDescent="0.3">
      <c r="A863" s="45" t="s">
        <v>3052</v>
      </c>
      <c r="B863" s="40" t="s">
        <v>84</v>
      </c>
      <c r="C863" s="41" t="s">
        <v>1910</v>
      </c>
      <c r="D863" s="21" t="s">
        <v>2223</v>
      </c>
      <c r="E863" s="21" t="s">
        <v>2222</v>
      </c>
      <c r="F863" s="24">
        <v>3.6037913796499996E-2</v>
      </c>
      <c r="G863" s="21">
        <v>12</v>
      </c>
      <c r="H863" s="17">
        <v>13.19</v>
      </c>
      <c r="I863" s="43" t="s">
        <v>3950</v>
      </c>
      <c r="J863" s="26"/>
      <c r="K863" s="17">
        <f t="shared" si="78"/>
        <v>0</v>
      </c>
      <c r="N863" s="31" t="str">
        <f t="shared" si="81"/>
        <v>-</v>
      </c>
      <c r="O863" s="31" t="str">
        <f t="shared" si="83"/>
        <v>-</v>
      </c>
      <c r="P863" s="35" t="str">
        <f t="shared" si="82"/>
        <v>-</v>
      </c>
      <c r="Q863" s="32" t="str">
        <f t="shared" si="79"/>
        <v>-</v>
      </c>
      <c r="S863" s="32" t="str">
        <f t="shared" si="80"/>
        <v>-</v>
      </c>
    </row>
    <row r="864" spans="1:19" x14ac:dyDescent="0.3">
      <c r="A864" s="45" t="s">
        <v>3056</v>
      </c>
      <c r="B864" s="40" t="s">
        <v>1159</v>
      </c>
      <c r="C864" s="41" t="s">
        <v>1912</v>
      </c>
      <c r="D864" s="21" t="s">
        <v>2223</v>
      </c>
      <c r="E864" s="21" t="s">
        <v>2232</v>
      </c>
      <c r="F864" s="24">
        <v>8.880771614137499E-2</v>
      </c>
      <c r="G864" s="21">
        <v>12</v>
      </c>
      <c r="H864" s="17">
        <v>7.35</v>
      </c>
      <c r="I864" s="43" t="s">
        <v>3950</v>
      </c>
      <c r="J864" s="26"/>
      <c r="K864" s="17">
        <f t="shared" si="78"/>
        <v>0</v>
      </c>
      <c r="N864" s="31" t="str">
        <f t="shared" si="81"/>
        <v>-</v>
      </c>
      <c r="O864" s="31" t="str">
        <f t="shared" si="83"/>
        <v>-</v>
      </c>
      <c r="P864" s="35" t="str">
        <f t="shared" si="82"/>
        <v>-</v>
      </c>
      <c r="Q864" s="32" t="str">
        <f t="shared" si="79"/>
        <v>-</v>
      </c>
      <c r="S864" s="32" t="str">
        <f t="shared" si="80"/>
        <v>-</v>
      </c>
    </row>
    <row r="865" spans="1:19" x14ac:dyDescent="0.3">
      <c r="A865" s="45" t="s">
        <v>3057</v>
      </c>
      <c r="B865" s="40" t="s">
        <v>1045</v>
      </c>
      <c r="C865" s="41" t="s">
        <v>1912</v>
      </c>
      <c r="D865" s="21" t="s">
        <v>2224</v>
      </c>
      <c r="E865" s="21" t="s">
        <v>2232</v>
      </c>
      <c r="F865" s="24">
        <v>0.15873842981791667</v>
      </c>
      <c r="G865" s="21">
        <v>12</v>
      </c>
      <c r="H865" s="17">
        <v>13.79</v>
      </c>
      <c r="I865" s="43" t="s">
        <v>3950</v>
      </c>
      <c r="J865" s="26"/>
      <c r="K865" s="17">
        <f t="shared" si="78"/>
        <v>0</v>
      </c>
      <c r="N865" s="31" t="str">
        <f t="shared" si="81"/>
        <v>-</v>
      </c>
      <c r="O865" s="31" t="str">
        <f t="shared" si="83"/>
        <v>-</v>
      </c>
      <c r="P865" s="35" t="str">
        <f t="shared" si="82"/>
        <v>-</v>
      </c>
      <c r="Q865" s="32" t="str">
        <f t="shared" si="79"/>
        <v>-</v>
      </c>
      <c r="S865" s="32" t="str">
        <f t="shared" si="80"/>
        <v>-</v>
      </c>
    </row>
    <row r="866" spans="1:19" x14ac:dyDescent="0.3">
      <c r="A866" s="45" t="s">
        <v>3058</v>
      </c>
      <c r="B866" s="40" t="s">
        <v>1352</v>
      </c>
      <c r="C866" s="41" t="s">
        <v>1912</v>
      </c>
      <c r="D866" s="21" t="s">
        <v>2227</v>
      </c>
      <c r="E866" s="21" t="s">
        <v>2232</v>
      </c>
      <c r="F866" s="24">
        <v>0.2900194015051667</v>
      </c>
      <c r="G866" s="21">
        <v>12</v>
      </c>
      <c r="H866" s="17">
        <v>26.39</v>
      </c>
      <c r="I866" s="43" t="s">
        <v>3950</v>
      </c>
      <c r="J866" s="26"/>
      <c r="K866" s="17">
        <f t="shared" si="78"/>
        <v>0</v>
      </c>
      <c r="N866" s="31" t="str">
        <f t="shared" si="81"/>
        <v>-</v>
      </c>
      <c r="O866" s="31" t="str">
        <f t="shared" si="83"/>
        <v>-</v>
      </c>
      <c r="P866" s="35" t="str">
        <f t="shared" si="82"/>
        <v>-</v>
      </c>
      <c r="Q866" s="32" t="str">
        <f t="shared" si="79"/>
        <v>-</v>
      </c>
      <c r="S866" s="32" t="str">
        <f t="shared" si="80"/>
        <v>-</v>
      </c>
    </row>
    <row r="867" spans="1:19" x14ac:dyDescent="0.3">
      <c r="A867" s="45" t="s">
        <v>3059</v>
      </c>
      <c r="B867" s="40" t="s">
        <v>149</v>
      </c>
      <c r="C867" s="41" t="s">
        <v>1770</v>
      </c>
      <c r="D867" s="21" t="s">
        <v>2233</v>
      </c>
      <c r="E867" s="21" t="s">
        <v>2222</v>
      </c>
      <c r="F867" s="24">
        <v>0.49938251975150005</v>
      </c>
      <c r="G867" s="21">
        <v>12</v>
      </c>
      <c r="H867" s="17">
        <v>23.39</v>
      </c>
      <c r="I867" s="43" t="s">
        <v>3950</v>
      </c>
      <c r="J867" s="26"/>
      <c r="K867" s="17">
        <f t="shared" si="78"/>
        <v>0</v>
      </c>
      <c r="N867" s="31" t="str">
        <f t="shared" si="81"/>
        <v>-</v>
      </c>
      <c r="O867" s="31" t="str">
        <f t="shared" si="83"/>
        <v>-</v>
      </c>
      <c r="P867" s="35" t="str">
        <f t="shared" si="82"/>
        <v>-</v>
      </c>
      <c r="Q867" s="32" t="str">
        <f t="shared" si="79"/>
        <v>-</v>
      </c>
      <c r="S867" s="32" t="str">
        <f t="shared" si="80"/>
        <v>-</v>
      </c>
    </row>
    <row r="868" spans="1:19" x14ac:dyDescent="0.3">
      <c r="A868" s="45" t="s">
        <v>3060</v>
      </c>
      <c r="B868" s="40" t="s">
        <v>1554</v>
      </c>
      <c r="C868" s="41" t="s">
        <v>1726</v>
      </c>
      <c r="D868" s="21" t="s">
        <v>2242</v>
      </c>
      <c r="E868" s="21" t="s">
        <v>2222</v>
      </c>
      <c r="F868" s="24">
        <v>0.45004489967295835</v>
      </c>
      <c r="G868" s="21">
        <v>12</v>
      </c>
      <c r="H868" s="17">
        <v>22.19</v>
      </c>
      <c r="I868" s="43" t="s">
        <v>3950</v>
      </c>
      <c r="J868" s="26"/>
      <c r="K868" s="17">
        <f t="shared" si="78"/>
        <v>0</v>
      </c>
      <c r="N868" s="31" t="str">
        <f t="shared" si="81"/>
        <v>-</v>
      </c>
      <c r="O868" s="31" t="str">
        <f t="shared" si="83"/>
        <v>-</v>
      </c>
      <c r="P868" s="35" t="str">
        <f t="shared" si="82"/>
        <v>-</v>
      </c>
      <c r="Q868" s="32" t="str">
        <f t="shared" si="79"/>
        <v>-</v>
      </c>
      <c r="S868" s="32" t="str">
        <f t="shared" si="80"/>
        <v>-</v>
      </c>
    </row>
    <row r="869" spans="1:19" x14ac:dyDescent="0.3">
      <c r="A869" s="45" t="s">
        <v>3061</v>
      </c>
      <c r="B869" s="40" t="s">
        <v>1189</v>
      </c>
      <c r="C869" s="41" t="s">
        <v>1913</v>
      </c>
      <c r="D869" s="21" t="s">
        <v>2224</v>
      </c>
      <c r="E869" s="21" t="s">
        <v>2222</v>
      </c>
      <c r="F869" s="24">
        <v>4.5476415028916667E-2</v>
      </c>
      <c r="G869" s="21">
        <v>12</v>
      </c>
      <c r="H869" s="17">
        <v>7.05</v>
      </c>
      <c r="I869" s="43" t="s">
        <v>3950</v>
      </c>
      <c r="J869" s="26"/>
      <c r="K869" s="17">
        <f t="shared" si="78"/>
        <v>0</v>
      </c>
      <c r="N869" s="31" t="str">
        <f t="shared" si="81"/>
        <v>-</v>
      </c>
      <c r="O869" s="31" t="str">
        <f t="shared" si="83"/>
        <v>-</v>
      </c>
      <c r="P869" s="35" t="str">
        <f t="shared" si="82"/>
        <v>-</v>
      </c>
      <c r="Q869" s="32" t="str">
        <f t="shared" si="79"/>
        <v>-</v>
      </c>
      <c r="S869" s="32" t="str">
        <f t="shared" si="80"/>
        <v>-</v>
      </c>
    </row>
    <row r="870" spans="1:19" x14ac:dyDescent="0.3">
      <c r="A870" s="45" t="s">
        <v>3063</v>
      </c>
      <c r="B870" s="40" t="s">
        <v>159</v>
      </c>
      <c r="C870" s="41" t="s">
        <v>1914</v>
      </c>
      <c r="D870" s="21" t="s">
        <v>2223</v>
      </c>
      <c r="E870" s="21" t="s">
        <v>2222</v>
      </c>
      <c r="F870" s="24">
        <v>7.8125048837412503E-2</v>
      </c>
      <c r="G870" s="21">
        <v>12</v>
      </c>
      <c r="H870" s="17">
        <v>31.79</v>
      </c>
      <c r="I870" s="43" t="s">
        <v>3950</v>
      </c>
      <c r="J870" s="26"/>
      <c r="K870" s="17">
        <f t="shared" si="78"/>
        <v>0</v>
      </c>
      <c r="N870" s="31" t="str">
        <f t="shared" si="81"/>
        <v>-</v>
      </c>
      <c r="O870" s="31" t="str">
        <f t="shared" si="83"/>
        <v>-</v>
      </c>
      <c r="P870" s="35" t="str">
        <f t="shared" si="82"/>
        <v>-</v>
      </c>
      <c r="Q870" s="32" t="str">
        <f t="shared" si="79"/>
        <v>-</v>
      </c>
      <c r="S870" s="32" t="str">
        <f t="shared" si="80"/>
        <v>-</v>
      </c>
    </row>
    <row r="871" spans="1:19" x14ac:dyDescent="0.3">
      <c r="A871" s="45" t="s">
        <v>3064</v>
      </c>
      <c r="B871" s="40" t="s">
        <v>1555</v>
      </c>
      <c r="C871" s="41" t="s">
        <v>1915</v>
      </c>
      <c r="D871" s="21" t="s">
        <v>2225</v>
      </c>
      <c r="E871" s="21" t="s">
        <v>2222</v>
      </c>
      <c r="F871" s="24">
        <v>0.23853666751016667</v>
      </c>
      <c r="G871" s="21">
        <v>12</v>
      </c>
      <c r="H871" s="17">
        <v>6.9</v>
      </c>
      <c r="I871" s="43" t="s">
        <v>3950</v>
      </c>
      <c r="J871" s="26"/>
      <c r="K871" s="17">
        <f t="shared" si="78"/>
        <v>0</v>
      </c>
      <c r="N871" s="31" t="str">
        <f t="shared" si="81"/>
        <v>-</v>
      </c>
      <c r="O871" s="31" t="str">
        <f t="shared" si="83"/>
        <v>-</v>
      </c>
      <c r="P871" s="35" t="str">
        <f t="shared" si="82"/>
        <v>-</v>
      </c>
      <c r="Q871" s="32" t="str">
        <f t="shared" si="79"/>
        <v>-</v>
      </c>
      <c r="S871" s="32" t="str">
        <f t="shared" si="80"/>
        <v>-</v>
      </c>
    </row>
    <row r="872" spans="1:19" x14ac:dyDescent="0.3">
      <c r="A872" s="45" t="s">
        <v>3065</v>
      </c>
      <c r="B872" s="40" t="s">
        <v>410</v>
      </c>
      <c r="C872" s="41" t="s">
        <v>1915</v>
      </c>
      <c r="D872" s="21" t="s">
        <v>2226</v>
      </c>
      <c r="E872" s="21" t="s">
        <v>2222</v>
      </c>
      <c r="F872" s="24">
        <v>0.44446760349016667</v>
      </c>
      <c r="G872" s="21">
        <v>12</v>
      </c>
      <c r="H872" s="17">
        <v>12.75</v>
      </c>
      <c r="I872" s="43" t="s">
        <v>3950</v>
      </c>
      <c r="J872" s="26"/>
      <c r="K872" s="17">
        <f t="shared" si="78"/>
        <v>0</v>
      </c>
      <c r="N872" s="31" t="str">
        <f t="shared" si="81"/>
        <v>-</v>
      </c>
      <c r="O872" s="31" t="str">
        <f t="shared" si="83"/>
        <v>-</v>
      </c>
      <c r="P872" s="35" t="str">
        <f t="shared" si="82"/>
        <v>-</v>
      </c>
      <c r="Q872" s="32" t="str">
        <f t="shared" si="79"/>
        <v>-</v>
      </c>
      <c r="S872" s="32" t="str">
        <f t="shared" si="80"/>
        <v>-</v>
      </c>
    </row>
    <row r="873" spans="1:19" x14ac:dyDescent="0.3">
      <c r="A873" s="45" t="s">
        <v>3066</v>
      </c>
      <c r="B873" s="40" t="s">
        <v>434</v>
      </c>
      <c r="C873" s="41" t="s">
        <v>1916</v>
      </c>
      <c r="D873" s="21" t="s">
        <v>2223</v>
      </c>
      <c r="E873" s="21" t="s">
        <v>2244</v>
      </c>
      <c r="F873" s="24">
        <v>3.5179868229916665E-2</v>
      </c>
      <c r="G873" s="21">
        <v>12</v>
      </c>
      <c r="H873" s="17">
        <v>10.79</v>
      </c>
      <c r="I873" s="43" t="s">
        <v>3950</v>
      </c>
      <c r="J873" s="26"/>
      <c r="K873" s="17">
        <f t="shared" si="78"/>
        <v>0</v>
      </c>
      <c r="N873" s="31" t="str">
        <f t="shared" si="81"/>
        <v>-</v>
      </c>
      <c r="O873" s="31" t="str">
        <f t="shared" si="83"/>
        <v>-</v>
      </c>
      <c r="P873" s="35" t="str">
        <f t="shared" si="82"/>
        <v>-</v>
      </c>
      <c r="Q873" s="32" t="str">
        <f t="shared" si="79"/>
        <v>-</v>
      </c>
      <c r="S873" s="32" t="str">
        <f t="shared" si="80"/>
        <v>-</v>
      </c>
    </row>
    <row r="874" spans="1:19" x14ac:dyDescent="0.3">
      <c r="A874" s="45" t="s">
        <v>3067</v>
      </c>
      <c r="B874" s="40" t="s">
        <v>1409</v>
      </c>
      <c r="C874" s="41" t="s">
        <v>1916</v>
      </c>
      <c r="D874" s="21" t="s">
        <v>2224</v>
      </c>
      <c r="E874" s="21" t="s">
        <v>2244</v>
      </c>
      <c r="F874" s="24">
        <v>4.7621528945375004E-2</v>
      </c>
      <c r="G874" s="21">
        <v>12</v>
      </c>
      <c r="H874" s="17">
        <v>20.7</v>
      </c>
      <c r="I874" s="43" t="s">
        <v>3950</v>
      </c>
      <c r="J874" s="26"/>
      <c r="K874" s="17">
        <f t="shared" si="78"/>
        <v>0</v>
      </c>
      <c r="N874" s="31" t="str">
        <f t="shared" si="81"/>
        <v>-</v>
      </c>
      <c r="O874" s="31" t="str">
        <f t="shared" si="83"/>
        <v>-</v>
      </c>
      <c r="P874" s="35" t="str">
        <f t="shared" si="82"/>
        <v>-</v>
      </c>
      <c r="Q874" s="32" t="str">
        <f t="shared" si="79"/>
        <v>-</v>
      </c>
      <c r="S874" s="32" t="str">
        <f t="shared" si="80"/>
        <v>-</v>
      </c>
    </row>
    <row r="875" spans="1:19" x14ac:dyDescent="0.3">
      <c r="A875" s="45" t="s">
        <v>3068</v>
      </c>
      <c r="B875" s="40" t="s">
        <v>1325</v>
      </c>
      <c r="C875" s="41" t="s">
        <v>1917</v>
      </c>
      <c r="D875" s="21" t="s">
        <v>2223</v>
      </c>
      <c r="E875" s="21" t="s">
        <v>2260</v>
      </c>
      <c r="F875" s="24">
        <v>0.1381453362199167</v>
      </c>
      <c r="G875" s="21">
        <v>12</v>
      </c>
      <c r="H875" s="17">
        <v>9.3000000000000007</v>
      </c>
      <c r="I875" s="43" t="s">
        <v>3950</v>
      </c>
      <c r="J875" s="26"/>
      <c r="K875" s="17">
        <f t="shared" si="78"/>
        <v>0</v>
      </c>
      <c r="N875" s="31" t="str">
        <f t="shared" si="81"/>
        <v>-</v>
      </c>
      <c r="O875" s="31" t="str">
        <f t="shared" si="83"/>
        <v>-</v>
      </c>
      <c r="P875" s="35" t="str">
        <f t="shared" si="82"/>
        <v>-</v>
      </c>
      <c r="Q875" s="32" t="str">
        <f t="shared" si="79"/>
        <v>-</v>
      </c>
      <c r="S875" s="32" t="str">
        <f t="shared" si="80"/>
        <v>-</v>
      </c>
    </row>
    <row r="876" spans="1:19" x14ac:dyDescent="0.3">
      <c r="A876" s="45" t="s">
        <v>3069</v>
      </c>
      <c r="B876" s="40" t="s">
        <v>435</v>
      </c>
      <c r="C876" s="41" t="s">
        <v>1917</v>
      </c>
      <c r="D876" s="21" t="s">
        <v>2224</v>
      </c>
      <c r="E876" s="21" t="s">
        <v>2260</v>
      </c>
      <c r="F876" s="24">
        <v>0.25655562440841673</v>
      </c>
      <c r="G876" s="21">
        <v>12</v>
      </c>
      <c r="H876" s="17">
        <v>17.39</v>
      </c>
      <c r="I876" s="43" t="s">
        <v>3950</v>
      </c>
      <c r="J876" s="26"/>
      <c r="K876" s="17">
        <f t="shared" si="78"/>
        <v>0</v>
      </c>
      <c r="N876" s="31" t="str">
        <f t="shared" si="81"/>
        <v>-</v>
      </c>
      <c r="O876" s="31" t="str">
        <f t="shared" si="83"/>
        <v>-</v>
      </c>
      <c r="P876" s="35" t="str">
        <f t="shared" si="82"/>
        <v>-</v>
      </c>
      <c r="Q876" s="32" t="str">
        <f t="shared" si="79"/>
        <v>-</v>
      </c>
      <c r="S876" s="32" t="str">
        <f t="shared" si="80"/>
        <v>-</v>
      </c>
    </row>
    <row r="877" spans="1:19" x14ac:dyDescent="0.3">
      <c r="A877" s="45" t="s">
        <v>3070</v>
      </c>
      <c r="B877" s="40" t="s">
        <v>737</v>
      </c>
      <c r="C877" s="41" t="s">
        <v>1917</v>
      </c>
      <c r="D877" s="21" t="s">
        <v>2227</v>
      </c>
      <c r="E877" s="21" t="s">
        <v>2260</v>
      </c>
      <c r="F877" s="24">
        <v>0.47878942615350012</v>
      </c>
      <c r="G877" s="21">
        <v>12</v>
      </c>
      <c r="H877" s="17">
        <v>33.590000000000003</v>
      </c>
      <c r="I877" s="43" t="s">
        <v>3950</v>
      </c>
      <c r="J877" s="26"/>
      <c r="K877" s="17">
        <f t="shared" si="78"/>
        <v>0</v>
      </c>
      <c r="N877" s="31" t="str">
        <f t="shared" si="81"/>
        <v>-</v>
      </c>
      <c r="O877" s="31" t="str">
        <f t="shared" si="83"/>
        <v>-</v>
      </c>
      <c r="P877" s="35" t="str">
        <f t="shared" si="82"/>
        <v>-</v>
      </c>
      <c r="Q877" s="32" t="str">
        <f t="shared" si="79"/>
        <v>-</v>
      </c>
      <c r="S877" s="32" t="str">
        <f t="shared" si="80"/>
        <v>-</v>
      </c>
    </row>
    <row r="878" spans="1:19" x14ac:dyDescent="0.3">
      <c r="A878" s="45" t="s">
        <v>3072</v>
      </c>
      <c r="B878" s="40" t="s">
        <v>170</v>
      </c>
      <c r="C878" s="41" t="s">
        <v>1918</v>
      </c>
      <c r="D878" s="21" t="s">
        <v>2227</v>
      </c>
      <c r="E878" s="21" t="s">
        <v>2222</v>
      </c>
      <c r="F878" s="24">
        <v>0.2230918473116667</v>
      </c>
      <c r="G878" s="21">
        <v>12</v>
      </c>
      <c r="H878" s="17">
        <v>13.65</v>
      </c>
      <c r="I878" s="43" t="s">
        <v>3950</v>
      </c>
      <c r="J878" s="26"/>
      <c r="K878" s="17">
        <f t="shared" si="78"/>
        <v>0</v>
      </c>
      <c r="N878" s="31" t="str">
        <f t="shared" si="81"/>
        <v>-</v>
      </c>
      <c r="O878" s="31" t="str">
        <f t="shared" si="83"/>
        <v>-</v>
      </c>
      <c r="P878" s="35" t="str">
        <f t="shared" si="82"/>
        <v>-</v>
      </c>
      <c r="Q878" s="32" t="str">
        <f t="shared" si="79"/>
        <v>-</v>
      </c>
      <c r="S878" s="32" t="str">
        <f t="shared" si="80"/>
        <v>-</v>
      </c>
    </row>
    <row r="879" spans="1:19" x14ac:dyDescent="0.3">
      <c r="A879" s="45" t="s">
        <v>3073</v>
      </c>
      <c r="B879" s="40" t="s">
        <v>1300</v>
      </c>
      <c r="C879" s="41" t="s">
        <v>1919</v>
      </c>
      <c r="D879" s="21" t="s">
        <v>2223</v>
      </c>
      <c r="E879" s="21" t="s">
        <v>2234</v>
      </c>
      <c r="F879" s="24">
        <v>5.6631007394500006E-2</v>
      </c>
      <c r="G879" s="21">
        <v>12</v>
      </c>
      <c r="H879" s="17">
        <v>18.59</v>
      </c>
      <c r="I879" s="43" t="s">
        <v>3950</v>
      </c>
      <c r="J879" s="26"/>
      <c r="K879" s="17">
        <f t="shared" si="78"/>
        <v>0</v>
      </c>
      <c r="N879" s="31" t="str">
        <f t="shared" si="81"/>
        <v>-</v>
      </c>
      <c r="O879" s="31" t="str">
        <f t="shared" si="83"/>
        <v>-</v>
      </c>
      <c r="P879" s="35" t="str">
        <f t="shared" si="82"/>
        <v>-</v>
      </c>
      <c r="Q879" s="32" t="str">
        <f t="shared" si="79"/>
        <v>-</v>
      </c>
      <c r="S879" s="32" t="str">
        <f t="shared" si="80"/>
        <v>-</v>
      </c>
    </row>
    <row r="880" spans="1:19" x14ac:dyDescent="0.3">
      <c r="A880" s="45" t="s">
        <v>3074</v>
      </c>
      <c r="B880" s="40" t="s">
        <v>1064</v>
      </c>
      <c r="C880" s="41" t="s">
        <v>1919</v>
      </c>
      <c r="D880" s="21" t="s">
        <v>2224</v>
      </c>
      <c r="E880" s="21" t="s">
        <v>2234</v>
      </c>
      <c r="F880" s="24">
        <v>9.5243057890750007E-2</v>
      </c>
      <c r="G880" s="21">
        <v>12</v>
      </c>
      <c r="H880" s="17">
        <v>36.299999999999997</v>
      </c>
      <c r="I880" s="43" t="s">
        <v>3950</v>
      </c>
      <c r="J880" s="26"/>
      <c r="K880" s="17">
        <f t="shared" si="78"/>
        <v>0</v>
      </c>
      <c r="N880" s="31" t="str">
        <f t="shared" si="81"/>
        <v>-</v>
      </c>
      <c r="O880" s="31" t="str">
        <f t="shared" si="83"/>
        <v>-</v>
      </c>
      <c r="P880" s="35" t="str">
        <f t="shared" si="82"/>
        <v>-</v>
      </c>
      <c r="Q880" s="32" t="str">
        <f t="shared" si="79"/>
        <v>-</v>
      </c>
      <c r="S880" s="32" t="str">
        <f t="shared" si="80"/>
        <v>-</v>
      </c>
    </row>
    <row r="881" spans="1:19" x14ac:dyDescent="0.3">
      <c r="A881" s="45" t="s">
        <v>3075</v>
      </c>
      <c r="B881" s="40" t="s">
        <v>1556</v>
      </c>
      <c r="C881" s="41" t="s">
        <v>1612</v>
      </c>
      <c r="D881" s="21" t="s">
        <v>2224</v>
      </c>
      <c r="E881" s="21" t="s">
        <v>2234</v>
      </c>
      <c r="F881" s="24">
        <v>0.10210742242341668</v>
      </c>
      <c r="G881" s="21">
        <v>12</v>
      </c>
      <c r="H881" s="17">
        <v>10.35</v>
      </c>
      <c r="I881" s="43" t="s">
        <v>3950</v>
      </c>
      <c r="J881" s="26"/>
      <c r="K881" s="17">
        <f t="shared" si="78"/>
        <v>0</v>
      </c>
      <c r="N881" s="31" t="str">
        <f t="shared" si="81"/>
        <v>-</v>
      </c>
      <c r="O881" s="31" t="str">
        <f t="shared" si="83"/>
        <v>-</v>
      </c>
      <c r="P881" s="35" t="str">
        <f t="shared" si="82"/>
        <v>-</v>
      </c>
      <c r="Q881" s="32" t="str">
        <f t="shared" si="79"/>
        <v>-</v>
      </c>
      <c r="S881" s="32" t="str">
        <f t="shared" si="80"/>
        <v>-</v>
      </c>
    </row>
    <row r="882" spans="1:19" x14ac:dyDescent="0.3">
      <c r="A882" s="45" t="s">
        <v>3076</v>
      </c>
      <c r="B882" s="40" t="s">
        <v>1557</v>
      </c>
      <c r="C882" s="41" t="s">
        <v>1612</v>
      </c>
      <c r="D882" s="21" t="s">
        <v>2227</v>
      </c>
      <c r="E882" s="21" t="s">
        <v>2234</v>
      </c>
      <c r="F882" s="24">
        <v>0.17761543228274998</v>
      </c>
      <c r="G882" s="21">
        <v>12</v>
      </c>
      <c r="H882" s="17">
        <v>19.79</v>
      </c>
      <c r="I882" s="43" t="s">
        <v>3950</v>
      </c>
      <c r="J882" s="26"/>
      <c r="K882" s="17">
        <f t="shared" si="78"/>
        <v>0</v>
      </c>
      <c r="N882" s="31" t="str">
        <f t="shared" si="81"/>
        <v>-</v>
      </c>
      <c r="O882" s="31" t="str">
        <f t="shared" si="83"/>
        <v>-</v>
      </c>
      <c r="P882" s="35" t="str">
        <f t="shared" si="82"/>
        <v>-</v>
      </c>
      <c r="Q882" s="32" t="str">
        <f t="shared" si="79"/>
        <v>-</v>
      </c>
      <c r="S882" s="32" t="str">
        <f t="shared" si="80"/>
        <v>-</v>
      </c>
    </row>
    <row r="883" spans="1:19" x14ac:dyDescent="0.3">
      <c r="A883" s="45" t="s">
        <v>3077</v>
      </c>
      <c r="B883" s="40" t="s">
        <v>1558</v>
      </c>
      <c r="C883" s="41" t="s">
        <v>1612</v>
      </c>
      <c r="D883" s="21" t="s">
        <v>2226</v>
      </c>
      <c r="E883" s="21" t="s">
        <v>2234</v>
      </c>
      <c r="F883" s="24">
        <v>0.26427803450766668</v>
      </c>
      <c r="G883" s="21">
        <v>12</v>
      </c>
      <c r="H883" s="17">
        <v>29.39</v>
      </c>
      <c r="I883" s="43" t="s">
        <v>3950</v>
      </c>
      <c r="J883" s="26"/>
      <c r="K883" s="17">
        <f t="shared" si="78"/>
        <v>0</v>
      </c>
      <c r="N883" s="31" t="str">
        <f t="shared" si="81"/>
        <v>-</v>
      </c>
      <c r="O883" s="31" t="str">
        <f t="shared" si="83"/>
        <v>-</v>
      </c>
      <c r="P883" s="35" t="str">
        <f t="shared" si="82"/>
        <v>-</v>
      </c>
      <c r="Q883" s="32" t="str">
        <f t="shared" si="79"/>
        <v>-</v>
      </c>
      <c r="S883" s="32" t="str">
        <f t="shared" si="80"/>
        <v>-</v>
      </c>
    </row>
    <row r="884" spans="1:19" x14ac:dyDescent="0.3">
      <c r="A884" s="45" t="s">
        <v>3079</v>
      </c>
      <c r="B884" s="40" t="s">
        <v>1560</v>
      </c>
      <c r="C884" s="41" t="s">
        <v>1607</v>
      </c>
      <c r="D884" s="21" t="s">
        <v>2227</v>
      </c>
      <c r="E884" s="21" t="s">
        <v>2234</v>
      </c>
      <c r="F884" s="24">
        <v>0.17761543228274998</v>
      </c>
      <c r="G884" s="21">
        <v>12</v>
      </c>
      <c r="H884" s="17">
        <v>15.75</v>
      </c>
      <c r="I884" s="43" t="s">
        <v>3950</v>
      </c>
      <c r="J884" s="26"/>
      <c r="K884" s="17">
        <f t="shared" si="78"/>
        <v>0</v>
      </c>
      <c r="N884" s="31" t="str">
        <f t="shared" si="81"/>
        <v>-</v>
      </c>
      <c r="O884" s="31" t="str">
        <f t="shared" si="83"/>
        <v>-</v>
      </c>
      <c r="P884" s="35" t="str">
        <f t="shared" si="82"/>
        <v>-</v>
      </c>
      <c r="Q884" s="32" t="str">
        <f t="shared" si="79"/>
        <v>-</v>
      </c>
      <c r="S884" s="32" t="str">
        <f t="shared" si="80"/>
        <v>-</v>
      </c>
    </row>
    <row r="885" spans="1:19" x14ac:dyDescent="0.3">
      <c r="A885" s="45" t="s">
        <v>3080</v>
      </c>
      <c r="B885" s="40" t="s">
        <v>1561</v>
      </c>
      <c r="C885" s="41" t="s">
        <v>1607</v>
      </c>
      <c r="D885" s="21" t="s">
        <v>2233</v>
      </c>
      <c r="E885" s="21" t="s">
        <v>2234</v>
      </c>
      <c r="F885" s="24">
        <v>0.31618979128595837</v>
      </c>
      <c r="G885" s="21">
        <v>12</v>
      </c>
      <c r="H885" s="17">
        <v>30.59</v>
      </c>
      <c r="I885" s="43" t="s">
        <v>3950</v>
      </c>
      <c r="J885" s="26"/>
      <c r="K885" s="17">
        <f t="shared" si="78"/>
        <v>0</v>
      </c>
      <c r="N885" s="31" t="str">
        <f t="shared" si="81"/>
        <v>-</v>
      </c>
      <c r="O885" s="31" t="str">
        <f t="shared" si="83"/>
        <v>-</v>
      </c>
      <c r="P885" s="35" t="str">
        <f t="shared" si="82"/>
        <v>-</v>
      </c>
      <c r="Q885" s="32" t="str">
        <f t="shared" si="79"/>
        <v>-</v>
      </c>
      <c r="S885" s="32" t="str">
        <f t="shared" si="80"/>
        <v>-</v>
      </c>
    </row>
    <row r="886" spans="1:19" x14ac:dyDescent="0.3">
      <c r="A886" s="45" t="s">
        <v>3081</v>
      </c>
      <c r="B886" s="40" t="s">
        <v>923</v>
      </c>
      <c r="C886" s="41" t="s">
        <v>1920</v>
      </c>
      <c r="D886" s="21" t="s">
        <v>2223</v>
      </c>
      <c r="E886" s="21" t="s">
        <v>2222</v>
      </c>
      <c r="F886" s="24">
        <v>8.2372374392000014E-2</v>
      </c>
      <c r="G886" s="21">
        <v>12</v>
      </c>
      <c r="H886" s="17">
        <v>7.79</v>
      </c>
      <c r="I886" s="43" t="s">
        <v>3950</v>
      </c>
      <c r="J886" s="26"/>
      <c r="K886" s="17">
        <f t="shared" si="78"/>
        <v>0</v>
      </c>
      <c r="N886" s="31" t="str">
        <f t="shared" si="81"/>
        <v>-</v>
      </c>
      <c r="O886" s="31" t="str">
        <f t="shared" si="83"/>
        <v>-</v>
      </c>
      <c r="P886" s="35" t="str">
        <f t="shared" si="82"/>
        <v>-</v>
      </c>
      <c r="Q886" s="32" t="str">
        <f t="shared" si="79"/>
        <v>-</v>
      </c>
      <c r="S886" s="32" t="str">
        <f t="shared" si="80"/>
        <v>-</v>
      </c>
    </row>
    <row r="887" spans="1:19" x14ac:dyDescent="0.3">
      <c r="A887" s="45" t="s">
        <v>3082</v>
      </c>
      <c r="B887" s="40" t="s">
        <v>836</v>
      </c>
      <c r="C887" s="41" t="s">
        <v>1920</v>
      </c>
      <c r="D887" s="21" t="s">
        <v>2224</v>
      </c>
      <c r="E887" s="21" t="s">
        <v>2222</v>
      </c>
      <c r="F887" s="24">
        <v>0.14157751848625</v>
      </c>
      <c r="G887" s="21">
        <v>12</v>
      </c>
      <c r="H887" s="17">
        <v>14.39</v>
      </c>
      <c r="I887" s="43" t="s">
        <v>3950</v>
      </c>
      <c r="J887" s="26"/>
      <c r="K887" s="17">
        <f t="shared" ref="K887:K950" si="84">J887*H887</f>
        <v>0</v>
      </c>
      <c r="N887" s="31" t="str">
        <f t="shared" si="81"/>
        <v>-</v>
      </c>
      <c r="O887" s="31" t="str">
        <f t="shared" si="83"/>
        <v>-</v>
      </c>
      <c r="P887" s="35" t="str">
        <f t="shared" si="82"/>
        <v>-</v>
      </c>
      <c r="Q887" s="32" t="str">
        <f t="shared" si="79"/>
        <v>-</v>
      </c>
      <c r="S887" s="32" t="str">
        <f t="shared" si="80"/>
        <v>-</v>
      </c>
    </row>
    <row r="888" spans="1:19" x14ac:dyDescent="0.3">
      <c r="A888" s="45" t="s">
        <v>3083</v>
      </c>
      <c r="B888" s="40" t="s">
        <v>1432</v>
      </c>
      <c r="C888" s="41" t="s">
        <v>1921</v>
      </c>
      <c r="D888" s="21" t="s">
        <v>2223</v>
      </c>
      <c r="E888" s="21" t="s">
        <v>2237</v>
      </c>
      <c r="F888" s="24">
        <v>6.606950862691667E-2</v>
      </c>
      <c r="G888" s="21">
        <v>12</v>
      </c>
      <c r="H888" s="17">
        <v>5.85</v>
      </c>
      <c r="I888" s="43" t="s">
        <v>3950</v>
      </c>
      <c r="J888" s="26"/>
      <c r="K888" s="17">
        <f t="shared" si="84"/>
        <v>0</v>
      </c>
      <c r="N888" s="31" t="str">
        <f t="shared" si="81"/>
        <v>-</v>
      </c>
      <c r="O888" s="31" t="str">
        <f t="shared" si="83"/>
        <v>-</v>
      </c>
      <c r="P888" s="35" t="str">
        <f t="shared" si="82"/>
        <v>-</v>
      </c>
      <c r="Q888" s="32" t="str">
        <f t="shared" ref="Q888:Q951" si="85">IFERROR(IF($N$2&gt;0, $N$2*P888, "-"), "-")</f>
        <v>-</v>
      </c>
      <c r="S888" s="32" t="str">
        <f t="shared" ref="S888:S951" si="86">IFERROR(IF(Q888+K888=0, "-", IF(Q888&gt;0, Q888+K888, "-")), "-")</f>
        <v>-</v>
      </c>
    </row>
    <row r="889" spans="1:19" x14ac:dyDescent="0.3">
      <c r="A889" s="45" t="s">
        <v>3085</v>
      </c>
      <c r="B889" s="40" t="s">
        <v>242</v>
      </c>
      <c r="C889" s="41" t="s">
        <v>1921</v>
      </c>
      <c r="D889" s="21" t="s">
        <v>2227</v>
      </c>
      <c r="E889" s="21" t="s">
        <v>2237</v>
      </c>
      <c r="F889" s="24">
        <v>0.18705393351516672</v>
      </c>
      <c r="G889" s="21">
        <v>12</v>
      </c>
      <c r="H889" s="17">
        <v>19.79</v>
      </c>
      <c r="I889" s="43" t="s">
        <v>3950</v>
      </c>
      <c r="J889" s="26"/>
      <c r="K889" s="17">
        <f t="shared" si="84"/>
        <v>0</v>
      </c>
      <c r="N889" s="31" t="str">
        <f t="shared" si="81"/>
        <v>-</v>
      </c>
      <c r="O889" s="31" t="str">
        <f t="shared" si="83"/>
        <v>-</v>
      </c>
      <c r="P889" s="35" t="str">
        <f t="shared" si="82"/>
        <v>-</v>
      </c>
      <c r="Q889" s="32" t="str">
        <f t="shared" si="85"/>
        <v>-</v>
      </c>
      <c r="S889" s="32" t="str">
        <f t="shared" si="86"/>
        <v>-</v>
      </c>
    </row>
    <row r="890" spans="1:19" x14ac:dyDescent="0.3">
      <c r="A890" s="45" t="s">
        <v>3086</v>
      </c>
      <c r="B890" s="40" t="s">
        <v>172</v>
      </c>
      <c r="C890" s="41" t="s">
        <v>1911</v>
      </c>
      <c r="D890" s="21" t="s">
        <v>2233</v>
      </c>
      <c r="E890" s="21" t="s">
        <v>2222</v>
      </c>
      <c r="F890" s="24">
        <v>0.58175489414350012</v>
      </c>
      <c r="G890" s="21">
        <v>12</v>
      </c>
      <c r="H890" s="17">
        <v>46.5</v>
      </c>
      <c r="I890" s="43" t="s">
        <v>3950</v>
      </c>
      <c r="J890" s="26"/>
      <c r="K890" s="17">
        <f t="shared" si="84"/>
        <v>0</v>
      </c>
      <c r="N890" s="31" t="str">
        <f t="shared" si="81"/>
        <v>-</v>
      </c>
      <c r="O890" s="31" t="str">
        <f t="shared" si="83"/>
        <v>-</v>
      </c>
      <c r="P890" s="35" t="str">
        <f t="shared" si="82"/>
        <v>-</v>
      </c>
      <c r="Q890" s="32" t="str">
        <f t="shared" si="85"/>
        <v>-</v>
      </c>
      <c r="S890" s="32" t="str">
        <f t="shared" si="86"/>
        <v>-</v>
      </c>
    </row>
    <row r="891" spans="1:19" x14ac:dyDescent="0.3">
      <c r="A891" s="45" t="s">
        <v>3087</v>
      </c>
      <c r="B891" s="40" t="s">
        <v>1301</v>
      </c>
      <c r="C891" s="41" t="s">
        <v>1922</v>
      </c>
      <c r="D891" s="21" t="s">
        <v>2223</v>
      </c>
      <c r="E891" s="21" t="s">
        <v>2222</v>
      </c>
      <c r="F891" s="24">
        <v>0.10039133129024999</v>
      </c>
      <c r="G891" s="21">
        <v>12</v>
      </c>
      <c r="H891" s="17">
        <v>7.35</v>
      </c>
      <c r="I891" s="43" t="s">
        <v>3950</v>
      </c>
      <c r="J891" s="26"/>
      <c r="K891" s="17">
        <f t="shared" si="84"/>
        <v>0</v>
      </c>
      <c r="N891" s="31" t="str">
        <f t="shared" si="81"/>
        <v>-</v>
      </c>
      <c r="O891" s="31" t="str">
        <f t="shared" si="83"/>
        <v>-</v>
      </c>
      <c r="P891" s="35" t="str">
        <f t="shared" si="82"/>
        <v>-</v>
      </c>
      <c r="Q891" s="32" t="str">
        <f t="shared" si="85"/>
        <v>-</v>
      </c>
      <c r="S891" s="32" t="str">
        <f t="shared" si="86"/>
        <v>-</v>
      </c>
    </row>
    <row r="892" spans="1:19" x14ac:dyDescent="0.3">
      <c r="A892" s="45" t="s">
        <v>3088</v>
      </c>
      <c r="B892" s="40" t="s">
        <v>881</v>
      </c>
      <c r="C892" s="41" t="s">
        <v>1922</v>
      </c>
      <c r="D892" s="21" t="s">
        <v>2224</v>
      </c>
      <c r="E892" s="21" t="s">
        <v>2222</v>
      </c>
      <c r="F892" s="24">
        <v>0.16388670321741669</v>
      </c>
      <c r="G892" s="21">
        <v>12</v>
      </c>
      <c r="H892" s="17">
        <v>13.5</v>
      </c>
      <c r="I892" s="43" t="s">
        <v>3950</v>
      </c>
      <c r="J892" s="26"/>
      <c r="K892" s="17">
        <f t="shared" si="84"/>
        <v>0</v>
      </c>
      <c r="N892" s="31" t="str">
        <f t="shared" si="81"/>
        <v>-</v>
      </c>
      <c r="O892" s="31" t="str">
        <f t="shared" si="83"/>
        <v>-</v>
      </c>
      <c r="P892" s="35" t="str">
        <f t="shared" si="82"/>
        <v>-</v>
      </c>
      <c r="Q892" s="32" t="str">
        <f t="shared" si="85"/>
        <v>-</v>
      </c>
      <c r="S892" s="32" t="str">
        <f t="shared" si="86"/>
        <v>-</v>
      </c>
    </row>
    <row r="893" spans="1:19" x14ac:dyDescent="0.3">
      <c r="A893" s="45" t="s">
        <v>3089</v>
      </c>
      <c r="B893" s="40" t="s">
        <v>1103</v>
      </c>
      <c r="C893" s="41" t="s">
        <v>1922</v>
      </c>
      <c r="D893" s="21" t="s">
        <v>2225</v>
      </c>
      <c r="E893" s="21" t="s">
        <v>2222</v>
      </c>
      <c r="F893" s="24">
        <v>0.2333883941106667</v>
      </c>
      <c r="G893" s="21">
        <v>12</v>
      </c>
      <c r="H893" s="17">
        <v>19.79</v>
      </c>
      <c r="I893" s="43" t="s">
        <v>3950</v>
      </c>
      <c r="J893" s="26"/>
      <c r="K893" s="17">
        <f t="shared" si="84"/>
        <v>0</v>
      </c>
      <c r="N893" s="31" t="str">
        <f t="shared" si="81"/>
        <v>-</v>
      </c>
      <c r="O893" s="31" t="str">
        <f t="shared" si="83"/>
        <v>-</v>
      </c>
      <c r="P893" s="35" t="str">
        <f t="shared" si="82"/>
        <v>-</v>
      </c>
      <c r="Q893" s="32" t="str">
        <f t="shared" si="85"/>
        <v>-</v>
      </c>
      <c r="S893" s="32" t="str">
        <f t="shared" si="86"/>
        <v>-</v>
      </c>
    </row>
    <row r="894" spans="1:19" x14ac:dyDescent="0.3">
      <c r="A894" s="45" t="s">
        <v>3090</v>
      </c>
      <c r="B894" s="40" t="s">
        <v>1202</v>
      </c>
      <c r="C894" s="41" t="s">
        <v>1922</v>
      </c>
      <c r="D894" s="21" t="s">
        <v>2226</v>
      </c>
      <c r="E894" s="21" t="s">
        <v>2222</v>
      </c>
      <c r="F894" s="24">
        <v>0.43417105669116668</v>
      </c>
      <c r="G894" s="21">
        <v>12</v>
      </c>
      <c r="H894" s="17">
        <v>38.25</v>
      </c>
      <c r="I894" s="43" t="s">
        <v>3950</v>
      </c>
      <c r="J894" s="26"/>
      <c r="K894" s="17">
        <f t="shared" si="84"/>
        <v>0</v>
      </c>
      <c r="N894" s="31" t="str">
        <f t="shared" ref="N894:N957" si="87">IFERROR(IF($N$2*F894=0, "-", $N$2*F894), "-")</f>
        <v>-</v>
      </c>
      <c r="O894" s="31" t="str">
        <f t="shared" si="83"/>
        <v>-</v>
      </c>
      <c r="P894" s="35" t="str">
        <f t="shared" ref="P894:P957" si="88">IF(J894&gt;0,J894*F894, "-")</f>
        <v>-</v>
      </c>
      <c r="Q894" s="32" t="str">
        <f t="shared" si="85"/>
        <v>-</v>
      </c>
      <c r="S894" s="32" t="str">
        <f t="shared" si="86"/>
        <v>-</v>
      </c>
    </row>
    <row r="895" spans="1:19" x14ac:dyDescent="0.3">
      <c r="A895" s="45" t="s">
        <v>3091</v>
      </c>
      <c r="B895" s="40" t="s">
        <v>1078</v>
      </c>
      <c r="C895" s="41" t="s">
        <v>1923</v>
      </c>
      <c r="D895" s="21" t="s">
        <v>2224</v>
      </c>
      <c r="E895" s="21" t="s">
        <v>2222</v>
      </c>
      <c r="F895" s="24">
        <v>0.16646083991716668</v>
      </c>
      <c r="G895" s="21">
        <v>12</v>
      </c>
      <c r="H895" s="17">
        <v>17.989999999999998</v>
      </c>
      <c r="I895" s="43" t="s">
        <v>3950</v>
      </c>
      <c r="J895" s="26"/>
      <c r="K895" s="17">
        <f t="shared" si="84"/>
        <v>0</v>
      </c>
      <c r="N895" s="31" t="str">
        <f t="shared" si="87"/>
        <v>-</v>
      </c>
      <c r="O895" s="31" t="str">
        <f t="shared" ref="O895:O958" si="89">IFERROR(IF(N895&gt;0,H895+N895,"-"),"-")</f>
        <v>-</v>
      </c>
      <c r="P895" s="35" t="str">
        <f t="shared" si="88"/>
        <v>-</v>
      </c>
      <c r="Q895" s="32" t="str">
        <f t="shared" si="85"/>
        <v>-</v>
      </c>
      <c r="S895" s="32" t="str">
        <f t="shared" si="86"/>
        <v>-</v>
      </c>
    </row>
    <row r="896" spans="1:19" x14ac:dyDescent="0.3">
      <c r="A896" s="45" t="s">
        <v>3092</v>
      </c>
      <c r="B896" s="40" t="s">
        <v>171</v>
      </c>
      <c r="C896" s="41" t="s">
        <v>1923</v>
      </c>
      <c r="D896" s="21" t="s">
        <v>2225</v>
      </c>
      <c r="E896" s="21" t="s">
        <v>2222</v>
      </c>
      <c r="F896" s="24">
        <v>0.21880161947875001</v>
      </c>
      <c r="G896" s="21">
        <v>12</v>
      </c>
      <c r="H896" s="17">
        <v>26.55</v>
      </c>
      <c r="I896" s="43" t="s">
        <v>3950</v>
      </c>
      <c r="J896" s="26"/>
      <c r="K896" s="17">
        <f t="shared" si="84"/>
        <v>0</v>
      </c>
      <c r="N896" s="31" t="str">
        <f t="shared" si="87"/>
        <v>-</v>
      </c>
      <c r="O896" s="31" t="str">
        <f t="shared" si="89"/>
        <v>-</v>
      </c>
      <c r="P896" s="35" t="str">
        <f t="shared" si="88"/>
        <v>-</v>
      </c>
      <c r="Q896" s="32" t="str">
        <f t="shared" si="85"/>
        <v>-</v>
      </c>
      <c r="S896" s="32" t="str">
        <f t="shared" si="86"/>
        <v>-</v>
      </c>
    </row>
    <row r="897" spans="1:19" x14ac:dyDescent="0.3">
      <c r="A897" s="45" t="s">
        <v>3093</v>
      </c>
      <c r="B897" s="40" t="s">
        <v>1093</v>
      </c>
      <c r="C897" s="41" t="s">
        <v>1923</v>
      </c>
      <c r="D897" s="21" t="s">
        <v>2226</v>
      </c>
      <c r="E897" s="21" t="s">
        <v>2222</v>
      </c>
      <c r="F897" s="24">
        <v>0.38783659609566667</v>
      </c>
      <c r="G897" s="21">
        <v>12</v>
      </c>
      <c r="H897" s="17">
        <v>52.19</v>
      </c>
      <c r="I897" s="43" t="s">
        <v>3950</v>
      </c>
      <c r="J897" s="26"/>
      <c r="K897" s="17">
        <f t="shared" si="84"/>
        <v>0</v>
      </c>
      <c r="N897" s="31" t="str">
        <f t="shared" si="87"/>
        <v>-</v>
      </c>
      <c r="O897" s="31" t="str">
        <f t="shared" si="89"/>
        <v>-</v>
      </c>
      <c r="P897" s="35" t="str">
        <f t="shared" si="88"/>
        <v>-</v>
      </c>
      <c r="Q897" s="32" t="str">
        <f t="shared" si="85"/>
        <v>-</v>
      </c>
      <c r="S897" s="32" t="str">
        <f t="shared" si="86"/>
        <v>-</v>
      </c>
    </row>
    <row r="898" spans="1:19" x14ac:dyDescent="0.3">
      <c r="A898" s="45" t="s">
        <v>3094</v>
      </c>
      <c r="B898" s="40" t="s">
        <v>189</v>
      </c>
      <c r="C898" s="41" t="s">
        <v>1924</v>
      </c>
      <c r="D898" s="21" t="s">
        <v>2223</v>
      </c>
      <c r="E898" s="21" t="s">
        <v>2222</v>
      </c>
      <c r="F898" s="24">
        <v>4.0328141629416663E-2</v>
      </c>
      <c r="G898" s="21">
        <v>12</v>
      </c>
      <c r="H898" s="17">
        <v>4.5</v>
      </c>
      <c r="I898" s="43" t="s">
        <v>3950</v>
      </c>
      <c r="J898" s="26"/>
      <c r="K898" s="17">
        <f t="shared" si="84"/>
        <v>0</v>
      </c>
      <c r="N898" s="31" t="str">
        <f t="shared" si="87"/>
        <v>-</v>
      </c>
      <c r="O898" s="31" t="str">
        <f t="shared" si="89"/>
        <v>-</v>
      </c>
      <c r="P898" s="35" t="str">
        <f t="shared" si="88"/>
        <v>-</v>
      </c>
      <c r="Q898" s="32" t="str">
        <f t="shared" si="85"/>
        <v>-</v>
      </c>
      <c r="S898" s="32" t="str">
        <f t="shared" si="86"/>
        <v>-</v>
      </c>
    </row>
    <row r="899" spans="1:19" x14ac:dyDescent="0.3">
      <c r="A899" s="45" t="s">
        <v>3095</v>
      </c>
      <c r="B899" s="40" t="s">
        <v>583</v>
      </c>
      <c r="C899" s="41" t="s">
        <v>1924</v>
      </c>
      <c r="D899" s="21" t="s">
        <v>2224</v>
      </c>
      <c r="E899" s="21" t="s">
        <v>2222</v>
      </c>
      <c r="F899" s="24">
        <v>5.0624688428416671E-2</v>
      </c>
      <c r="G899" s="21">
        <v>12</v>
      </c>
      <c r="H899" s="17">
        <v>7.5</v>
      </c>
      <c r="I899" s="43" t="s">
        <v>3950</v>
      </c>
      <c r="J899" s="26"/>
      <c r="K899" s="17">
        <f t="shared" si="84"/>
        <v>0</v>
      </c>
      <c r="N899" s="31" t="str">
        <f t="shared" si="87"/>
        <v>-</v>
      </c>
      <c r="O899" s="31" t="str">
        <f t="shared" si="89"/>
        <v>-</v>
      </c>
      <c r="P899" s="35" t="str">
        <f t="shared" si="88"/>
        <v>-</v>
      </c>
      <c r="Q899" s="32" t="str">
        <f t="shared" si="85"/>
        <v>-</v>
      </c>
      <c r="S899" s="32" t="str">
        <f t="shared" si="86"/>
        <v>-</v>
      </c>
    </row>
    <row r="900" spans="1:19" x14ac:dyDescent="0.3">
      <c r="A900" s="45" t="s">
        <v>3097</v>
      </c>
      <c r="B900" s="40" t="s">
        <v>1012</v>
      </c>
      <c r="C900" s="41" t="s">
        <v>1925</v>
      </c>
      <c r="D900" s="21" t="s">
        <v>2242</v>
      </c>
      <c r="E900" s="21" t="s">
        <v>2222</v>
      </c>
      <c r="F900" s="24">
        <v>0.114549083138875</v>
      </c>
      <c r="G900" s="21">
        <v>12</v>
      </c>
      <c r="H900" s="17">
        <v>8.5500000000000007</v>
      </c>
      <c r="I900" s="43" t="s">
        <v>3950</v>
      </c>
      <c r="J900" s="26"/>
      <c r="K900" s="17">
        <f t="shared" si="84"/>
        <v>0</v>
      </c>
      <c r="N900" s="31" t="str">
        <f t="shared" si="87"/>
        <v>-</v>
      </c>
      <c r="O900" s="31" t="str">
        <f t="shared" si="89"/>
        <v>-</v>
      </c>
      <c r="P900" s="35" t="str">
        <f t="shared" si="88"/>
        <v>-</v>
      </c>
      <c r="Q900" s="32" t="str">
        <f t="shared" si="85"/>
        <v>-</v>
      </c>
      <c r="S900" s="32" t="str">
        <f t="shared" si="86"/>
        <v>-</v>
      </c>
    </row>
    <row r="901" spans="1:19" x14ac:dyDescent="0.3">
      <c r="A901" s="45" t="s">
        <v>3098</v>
      </c>
      <c r="B901" s="40" t="s">
        <v>1086</v>
      </c>
      <c r="C901" s="41" t="s">
        <v>1926</v>
      </c>
      <c r="D901" s="21" t="s">
        <v>2223</v>
      </c>
      <c r="E901" s="21" t="s">
        <v>2222</v>
      </c>
      <c r="F901" s="24">
        <v>4.0328141629416663E-2</v>
      </c>
      <c r="G901" s="21">
        <v>12</v>
      </c>
      <c r="H901" s="17">
        <v>5.25</v>
      </c>
      <c r="I901" s="43" t="s">
        <v>3950</v>
      </c>
      <c r="J901" s="26"/>
      <c r="K901" s="17">
        <f t="shared" si="84"/>
        <v>0</v>
      </c>
      <c r="N901" s="31" t="str">
        <f t="shared" si="87"/>
        <v>-</v>
      </c>
      <c r="O901" s="31" t="str">
        <f t="shared" si="89"/>
        <v>-</v>
      </c>
      <c r="P901" s="35" t="str">
        <f t="shared" si="88"/>
        <v>-</v>
      </c>
      <c r="Q901" s="32" t="str">
        <f t="shared" si="85"/>
        <v>-</v>
      </c>
      <c r="S901" s="32" t="str">
        <f t="shared" si="86"/>
        <v>-</v>
      </c>
    </row>
    <row r="902" spans="1:19" x14ac:dyDescent="0.3">
      <c r="A902" s="45" t="s">
        <v>3099</v>
      </c>
      <c r="B902" s="40" t="s">
        <v>718</v>
      </c>
      <c r="C902" s="41" t="s">
        <v>1926</v>
      </c>
      <c r="D902" s="21" t="s">
        <v>2224</v>
      </c>
      <c r="E902" s="21" t="s">
        <v>2222</v>
      </c>
      <c r="F902" s="24">
        <v>5.0624688428416671E-2</v>
      </c>
      <c r="G902" s="21">
        <v>12</v>
      </c>
      <c r="H902" s="17">
        <v>9.3000000000000007</v>
      </c>
      <c r="I902" s="43" t="s">
        <v>3950</v>
      </c>
      <c r="J902" s="26"/>
      <c r="K902" s="17">
        <f t="shared" si="84"/>
        <v>0</v>
      </c>
      <c r="N902" s="31" t="str">
        <f t="shared" si="87"/>
        <v>-</v>
      </c>
      <c r="O902" s="31" t="str">
        <f t="shared" si="89"/>
        <v>-</v>
      </c>
      <c r="P902" s="35" t="str">
        <f t="shared" si="88"/>
        <v>-</v>
      </c>
      <c r="Q902" s="32" t="str">
        <f t="shared" si="85"/>
        <v>-</v>
      </c>
      <c r="S902" s="32" t="str">
        <f t="shared" si="86"/>
        <v>-</v>
      </c>
    </row>
    <row r="903" spans="1:19" x14ac:dyDescent="0.3">
      <c r="A903" s="45" t="s">
        <v>3100</v>
      </c>
      <c r="B903" s="40" t="s">
        <v>1066</v>
      </c>
      <c r="C903" s="41" t="s">
        <v>1927</v>
      </c>
      <c r="D903" s="21" t="s">
        <v>2253</v>
      </c>
      <c r="E903" s="21" t="s">
        <v>2222</v>
      </c>
      <c r="F903" s="24">
        <v>0.10425253633987501</v>
      </c>
      <c r="G903" s="21">
        <v>12</v>
      </c>
      <c r="H903" s="17">
        <v>9.4499999999999993</v>
      </c>
      <c r="I903" s="43" t="s">
        <v>3950</v>
      </c>
      <c r="J903" s="26"/>
      <c r="K903" s="17">
        <f t="shared" si="84"/>
        <v>0</v>
      </c>
      <c r="N903" s="31" t="str">
        <f t="shared" si="87"/>
        <v>-</v>
      </c>
      <c r="O903" s="31" t="str">
        <f t="shared" si="89"/>
        <v>-</v>
      </c>
      <c r="P903" s="35" t="str">
        <f t="shared" si="88"/>
        <v>-</v>
      </c>
      <c r="Q903" s="32" t="str">
        <f t="shared" si="85"/>
        <v>-</v>
      </c>
      <c r="S903" s="32" t="str">
        <f t="shared" si="86"/>
        <v>-</v>
      </c>
    </row>
    <row r="904" spans="1:19" x14ac:dyDescent="0.3">
      <c r="A904" s="45" t="s">
        <v>3101</v>
      </c>
      <c r="B904" s="40" t="s">
        <v>1223</v>
      </c>
      <c r="C904" s="41" t="s">
        <v>1927</v>
      </c>
      <c r="D904" s="21" t="s">
        <v>2263</v>
      </c>
      <c r="E904" s="21" t="s">
        <v>2222</v>
      </c>
      <c r="F904" s="24">
        <v>0.19220220691466666</v>
      </c>
      <c r="G904" s="21">
        <v>12</v>
      </c>
      <c r="H904" s="17">
        <v>17.989999999999998</v>
      </c>
      <c r="I904" s="43" t="s">
        <v>3950</v>
      </c>
      <c r="J904" s="26"/>
      <c r="K904" s="17">
        <f t="shared" si="84"/>
        <v>0</v>
      </c>
      <c r="N904" s="31" t="str">
        <f t="shared" si="87"/>
        <v>-</v>
      </c>
      <c r="O904" s="31" t="str">
        <f t="shared" si="89"/>
        <v>-</v>
      </c>
      <c r="P904" s="35" t="str">
        <f t="shared" si="88"/>
        <v>-</v>
      </c>
      <c r="Q904" s="32" t="str">
        <f t="shared" si="85"/>
        <v>-</v>
      </c>
      <c r="S904" s="32" t="str">
        <f t="shared" si="86"/>
        <v>-</v>
      </c>
    </row>
    <row r="905" spans="1:19" x14ac:dyDescent="0.3">
      <c r="A905" s="45" t="s">
        <v>3104</v>
      </c>
      <c r="B905" s="40" t="s">
        <v>251</v>
      </c>
      <c r="C905" s="41" t="s">
        <v>1924</v>
      </c>
      <c r="D905" s="21" t="s">
        <v>2227</v>
      </c>
      <c r="E905" s="21" t="s">
        <v>2222</v>
      </c>
      <c r="F905" s="24">
        <v>7.2075827592999991E-2</v>
      </c>
      <c r="G905" s="21">
        <v>12</v>
      </c>
      <c r="H905" s="17">
        <v>13.19</v>
      </c>
      <c r="I905" s="43" t="s">
        <v>3950</v>
      </c>
      <c r="J905" s="26"/>
      <c r="K905" s="17">
        <f t="shared" si="84"/>
        <v>0</v>
      </c>
      <c r="N905" s="31" t="str">
        <f t="shared" si="87"/>
        <v>-</v>
      </c>
      <c r="O905" s="31" t="str">
        <f t="shared" si="89"/>
        <v>-</v>
      </c>
      <c r="P905" s="35" t="str">
        <f t="shared" si="88"/>
        <v>-</v>
      </c>
      <c r="Q905" s="32" t="str">
        <f t="shared" si="85"/>
        <v>-</v>
      </c>
      <c r="S905" s="32" t="str">
        <f t="shared" si="86"/>
        <v>-</v>
      </c>
    </row>
    <row r="906" spans="1:19" x14ac:dyDescent="0.3">
      <c r="A906" s="45" t="s">
        <v>3105</v>
      </c>
      <c r="B906" s="40" t="s">
        <v>1421</v>
      </c>
      <c r="C906" s="41" t="s">
        <v>1926</v>
      </c>
      <c r="D906" s="21" t="s">
        <v>2227</v>
      </c>
      <c r="E906" s="21" t="s">
        <v>2222</v>
      </c>
      <c r="F906" s="24">
        <v>7.2075827592999991E-2</v>
      </c>
      <c r="G906" s="21">
        <v>12</v>
      </c>
      <c r="H906" s="17">
        <v>17.39</v>
      </c>
      <c r="I906" s="43" t="s">
        <v>3950</v>
      </c>
      <c r="J906" s="26"/>
      <c r="K906" s="17">
        <f t="shared" si="84"/>
        <v>0</v>
      </c>
      <c r="N906" s="31" t="str">
        <f t="shared" si="87"/>
        <v>-</v>
      </c>
      <c r="O906" s="31" t="str">
        <f t="shared" si="89"/>
        <v>-</v>
      </c>
      <c r="P906" s="35" t="str">
        <f t="shared" si="88"/>
        <v>-</v>
      </c>
      <c r="Q906" s="32" t="str">
        <f t="shared" si="85"/>
        <v>-</v>
      </c>
      <c r="S906" s="32" t="str">
        <f t="shared" si="86"/>
        <v>-</v>
      </c>
    </row>
    <row r="907" spans="1:19" x14ac:dyDescent="0.3">
      <c r="A907" s="45" t="s">
        <v>3106</v>
      </c>
      <c r="B907" s="40" t="s">
        <v>744</v>
      </c>
      <c r="C907" s="41" t="s">
        <v>1929</v>
      </c>
      <c r="D907" s="21" t="s">
        <v>2223</v>
      </c>
      <c r="E907" s="21" t="s">
        <v>2222</v>
      </c>
      <c r="F907" s="24">
        <v>6.0921235227416673E-2</v>
      </c>
      <c r="G907" s="21">
        <v>12</v>
      </c>
      <c r="H907" s="17">
        <v>5.25</v>
      </c>
      <c r="I907" s="43" t="s">
        <v>3950</v>
      </c>
      <c r="J907" s="26"/>
      <c r="K907" s="17">
        <f t="shared" si="84"/>
        <v>0</v>
      </c>
      <c r="N907" s="31" t="str">
        <f t="shared" si="87"/>
        <v>-</v>
      </c>
      <c r="O907" s="31" t="str">
        <f t="shared" si="89"/>
        <v>-</v>
      </c>
      <c r="P907" s="35" t="str">
        <f t="shared" si="88"/>
        <v>-</v>
      </c>
      <c r="Q907" s="32" t="str">
        <f t="shared" si="85"/>
        <v>-</v>
      </c>
      <c r="S907" s="32" t="str">
        <f t="shared" si="86"/>
        <v>-</v>
      </c>
    </row>
    <row r="908" spans="1:19" x14ac:dyDescent="0.3">
      <c r="A908" s="45" t="s">
        <v>3108</v>
      </c>
      <c r="B908" s="40" t="s">
        <v>413</v>
      </c>
      <c r="C908" s="41" t="s">
        <v>1930</v>
      </c>
      <c r="D908" s="21" t="s">
        <v>2223</v>
      </c>
      <c r="E908" s="21" t="s">
        <v>2234</v>
      </c>
      <c r="F908" s="24">
        <v>5.6631007394500006E-2</v>
      </c>
      <c r="G908" s="21">
        <v>12</v>
      </c>
      <c r="H908" s="17">
        <v>7.19</v>
      </c>
      <c r="I908" s="43" t="s">
        <v>3950</v>
      </c>
      <c r="J908" s="26"/>
      <c r="K908" s="17">
        <f t="shared" si="84"/>
        <v>0</v>
      </c>
      <c r="N908" s="31" t="str">
        <f t="shared" si="87"/>
        <v>-</v>
      </c>
      <c r="O908" s="31" t="str">
        <f t="shared" si="89"/>
        <v>-</v>
      </c>
      <c r="P908" s="35" t="str">
        <f t="shared" si="88"/>
        <v>-</v>
      </c>
      <c r="Q908" s="32" t="str">
        <f t="shared" si="85"/>
        <v>-</v>
      </c>
      <c r="S908" s="32" t="str">
        <f t="shared" si="86"/>
        <v>-</v>
      </c>
    </row>
    <row r="909" spans="1:19" x14ac:dyDescent="0.3">
      <c r="A909" s="45" t="s">
        <v>3109</v>
      </c>
      <c r="B909" s="40" t="s">
        <v>641</v>
      </c>
      <c r="C909" s="41" t="s">
        <v>1930</v>
      </c>
      <c r="D909" s="21" t="s">
        <v>2224</v>
      </c>
      <c r="E909" s="21" t="s">
        <v>2234</v>
      </c>
      <c r="F909" s="24">
        <v>9.6959149023916669E-2</v>
      </c>
      <c r="G909" s="21">
        <v>12</v>
      </c>
      <c r="H909" s="17">
        <v>13.19</v>
      </c>
      <c r="I909" s="43" t="s">
        <v>3950</v>
      </c>
      <c r="J909" s="26"/>
      <c r="K909" s="17">
        <f t="shared" si="84"/>
        <v>0</v>
      </c>
      <c r="N909" s="31" t="str">
        <f t="shared" si="87"/>
        <v>-</v>
      </c>
      <c r="O909" s="31" t="str">
        <f t="shared" si="89"/>
        <v>-</v>
      </c>
      <c r="P909" s="35" t="str">
        <f t="shared" si="88"/>
        <v>-</v>
      </c>
      <c r="Q909" s="32" t="str">
        <f t="shared" si="85"/>
        <v>-</v>
      </c>
      <c r="S909" s="32" t="str">
        <f t="shared" si="86"/>
        <v>-</v>
      </c>
    </row>
    <row r="910" spans="1:19" x14ac:dyDescent="0.3">
      <c r="A910" s="45" t="s">
        <v>3110</v>
      </c>
      <c r="B910" s="40" t="s">
        <v>1447</v>
      </c>
      <c r="C910" s="41" t="s">
        <v>1931</v>
      </c>
      <c r="D910" s="21" t="s">
        <v>2230</v>
      </c>
      <c r="E910" s="21" t="s">
        <v>2240</v>
      </c>
      <c r="F910" s="24">
        <v>0.12012637932166667</v>
      </c>
      <c r="G910" s="21">
        <v>12</v>
      </c>
      <c r="H910" s="17">
        <v>8.99</v>
      </c>
      <c r="I910" s="43" t="s">
        <v>3950</v>
      </c>
      <c r="J910" s="26"/>
      <c r="K910" s="17">
        <f t="shared" si="84"/>
        <v>0</v>
      </c>
      <c r="N910" s="31" t="str">
        <f t="shared" si="87"/>
        <v>-</v>
      </c>
      <c r="O910" s="31" t="str">
        <f t="shared" si="89"/>
        <v>-</v>
      </c>
      <c r="P910" s="35" t="str">
        <f t="shared" si="88"/>
        <v>-</v>
      </c>
      <c r="Q910" s="32" t="str">
        <f t="shared" si="85"/>
        <v>-</v>
      </c>
      <c r="S910" s="32" t="str">
        <f t="shared" si="86"/>
        <v>-</v>
      </c>
    </row>
    <row r="911" spans="1:19" x14ac:dyDescent="0.3">
      <c r="A911" s="45" t="s">
        <v>3111</v>
      </c>
      <c r="B911" s="40" t="s">
        <v>1332</v>
      </c>
      <c r="C911" s="41" t="s">
        <v>1931</v>
      </c>
      <c r="D911" s="21" t="s">
        <v>2235</v>
      </c>
      <c r="E911" s="21" t="s">
        <v>2240</v>
      </c>
      <c r="F911" s="24">
        <v>0.18748295629845832</v>
      </c>
      <c r="G911" s="21">
        <v>12</v>
      </c>
      <c r="H911" s="17">
        <v>16.79</v>
      </c>
      <c r="I911" s="43" t="s">
        <v>3950</v>
      </c>
      <c r="J911" s="26"/>
      <c r="K911" s="17">
        <f t="shared" si="84"/>
        <v>0</v>
      </c>
      <c r="N911" s="31" t="str">
        <f t="shared" si="87"/>
        <v>-</v>
      </c>
      <c r="O911" s="31" t="str">
        <f t="shared" si="89"/>
        <v>-</v>
      </c>
      <c r="P911" s="35" t="str">
        <f t="shared" si="88"/>
        <v>-</v>
      </c>
      <c r="Q911" s="32" t="str">
        <f t="shared" si="85"/>
        <v>-</v>
      </c>
      <c r="S911" s="32" t="str">
        <f t="shared" si="86"/>
        <v>-</v>
      </c>
    </row>
    <row r="912" spans="1:19" x14ac:dyDescent="0.3">
      <c r="A912" s="45" t="s">
        <v>3112</v>
      </c>
      <c r="B912" s="40" t="s">
        <v>1152</v>
      </c>
      <c r="C912" s="41" t="s">
        <v>1932</v>
      </c>
      <c r="D912" s="21" t="s">
        <v>2223</v>
      </c>
      <c r="E912" s="21" t="s">
        <v>2238</v>
      </c>
      <c r="F912" s="24">
        <v>4.0328141629416663E-2</v>
      </c>
      <c r="G912" s="21">
        <v>12</v>
      </c>
      <c r="H912" s="17">
        <v>8.6999999999999993</v>
      </c>
      <c r="I912" s="43" t="s">
        <v>3950</v>
      </c>
      <c r="J912" s="26"/>
      <c r="K912" s="17">
        <f t="shared" si="84"/>
        <v>0</v>
      </c>
      <c r="N912" s="31" t="str">
        <f t="shared" si="87"/>
        <v>-</v>
      </c>
      <c r="O912" s="31" t="str">
        <f t="shared" si="89"/>
        <v>-</v>
      </c>
      <c r="P912" s="35" t="str">
        <f t="shared" si="88"/>
        <v>-</v>
      </c>
      <c r="Q912" s="32" t="str">
        <f t="shared" si="85"/>
        <v>-</v>
      </c>
      <c r="S912" s="32" t="str">
        <f t="shared" si="86"/>
        <v>-</v>
      </c>
    </row>
    <row r="913" spans="1:19" x14ac:dyDescent="0.3">
      <c r="A913" s="45" t="s">
        <v>3113</v>
      </c>
      <c r="B913" s="40" t="s">
        <v>1380</v>
      </c>
      <c r="C913" s="41" t="s">
        <v>1932</v>
      </c>
      <c r="D913" s="21" t="s">
        <v>2224</v>
      </c>
      <c r="E913" s="21" t="s">
        <v>2238</v>
      </c>
      <c r="F913" s="24">
        <v>4.5476415028916667E-2</v>
      </c>
      <c r="G913" s="21">
        <v>12</v>
      </c>
      <c r="H913" s="17">
        <v>16.190000000000001</v>
      </c>
      <c r="I913" s="43" t="s">
        <v>3950</v>
      </c>
      <c r="J913" s="26"/>
      <c r="K913" s="17">
        <f t="shared" si="84"/>
        <v>0</v>
      </c>
      <c r="N913" s="31" t="str">
        <f t="shared" si="87"/>
        <v>-</v>
      </c>
      <c r="O913" s="31" t="str">
        <f t="shared" si="89"/>
        <v>-</v>
      </c>
      <c r="P913" s="35" t="str">
        <f t="shared" si="88"/>
        <v>-</v>
      </c>
      <c r="Q913" s="32" t="str">
        <f t="shared" si="85"/>
        <v>-</v>
      </c>
      <c r="S913" s="32" t="str">
        <f t="shared" si="86"/>
        <v>-</v>
      </c>
    </row>
    <row r="914" spans="1:19" x14ac:dyDescent="0.3">
      <c r="A914" s="45" t="s">
        <v>3114</v>
      </c>
      <c r="B914" s="40" t="s">
        <v>76</v>
      </c>
      <c r="C914" s="41" t="s">
        <v>1933</v>
      </c>
      <c r="D914" s="21" t="s">
        <v>2224</v>
      </c>
      <c r="E914" s="21" t="s">
        <v>2222</v>
      </c>
      <c r="F914" s="24">
        <v>9.3955989540875015E-2</v>
      </c>
      <c r="G914" s="21">
        <v>12</v>
      </c>
      <c r="H914" s="17">
        <v>9.4499999999999993</v>
      </c>
      <c r="I914" s="43" t="s">
        <v>3950</v>
      </c>
      <c r="J914" s="26"/>
      <c r="K914" s="17">
        <f t="shared" si="84"/>
        <v>0</v>
      </c>
      <c r="N914" s="31" t="str">
        <f t="shared" si="87"/>
        <v>-</v>
      </c>
      <c r="O914" s="31" t="str">
        <f t="shared" si="89"/>
        <v>-</v>
      </c>
      <c r="P914" s="35" t="str">
        <f t="shared" si="88"/>
        <v>-</v>
      </c>
      <c r="Q914" s="32" t="str">
        <f t="shared" si="85"/>
        <v>-</v>
      </c>
      <c r="S914" s="32" t="str">
        <f t="shared" si="86"/>
        <v>-</v>
      </c>
    </row>
    <row r="915" spans="1:19" x14ac:dyDescent="0.3">
      <c r="A915" s="45" t="s">
        <v>3115</v>
      </c>
      <c r="B915" s="40" t="s">
        <v>80</v>
      </c>
      <c r="C915" s="41" t="s">
        <v>1933</v>
      </c>
      <c r="D915" s="21" t="s">
        <v>2227</v>
      </c>
      <c r="E915" s="21" t="s">
        <v>2222</v>
      </c>
      <c r="F915" s="24">
        <v>0.16131256651766665</v>
      </c>
      <c r="G915" s="21">
        <v>12</v>
      </c>
      <c r="H915" s="17">
        <v>17.989999999999998</v>
      </c>
      <c r="I915" s="43" t="s">
        <v>3950</v>
      </c>
      <c r="J915" s="26"/>
      <c r="K915" s="17">
        <f t="shared" si="84"/>
        <v>0</v>
      </c>
      <c r="N915" s="31" t="str">
        <f t="shared" si="87"/>
        <v>-</v>
      </c>
      <c r="O915" s="31" t="str">
        <f t="shared" si="89"/>
        <v>-</v>
      </c>
      <c r="P915" s="35" t="str">
        <f t="shared" si="88"/>
        <v>-</v>
      </c>
      <c r="Q915" s="32" t="str">
        <f t="shared" si="85"/>
        <v>-</v>
      </c>
      <c r="S915" s="32" t="str">
        <f t="shared" si="86"/>
        <v>-</v>
      </c>
    </row>
    <row r="916" spans="1:19" x14ac:dyDescent="0.3">
      <c r="A916" s="45" t="s">
        <v>3116</v>
      </c>
      <c r="B916" s="40" t="s">
        <v>752</v>
      </c>
      <c r="C916" s="41" t="s">
        <v>1934</v>
      </c>
      <c r="D916" s="21" t="s">
        <v>2223</v>
      </c>
      <c r="E916" s="21" t="s">
        <v>2222</v>
      </c>
      <c r="F916" s="24">
        <v>0.1124039692224167</v>
      </c>
      <c r="G916" s="21">
        <v>12</v>
      </c>
      <c r="H916" s="17">
        <v>11.39</v>
      </c>
      <c r="I916" s="43" t="s">
        <v>3950</v>
      </c>
      <c r="J916" s="26"/>
      <c r="K916" s="17">
        <f t="shared" si="84"/>
        <v>0</v>
      </c>
      <c r="N916" s="31" t="str">
        <f t="shared" si="87"/>
        <v>-</v>
      </c>
      <c r="O916" s="31" t="str">
        <f t="shared" si="89"/>
        <v>-</v>
      </c>
      <c r="P916" s="35" t="str">
        <f t="shared" si="88"/>
        <v>-</v>
      </c>
      <c r="Q916" s="32" t="str">
        <f t="shared" si="85"/>
        <v>-</v>
      </c>
      <c r="S916" s="32" t="str">
        <f t="shared" si="86"/>
        <v>-</v>
      </c>
    </row>
    <row r="917" spans="1:19" x14ac:dyDescent="0.3">
      <c r="A917" s="45" t="s">
        <v>3117</v>
      </c>
      <c r="B917" s="40" t="s">
        <v>957</v>
      </c>
      <c r="C917" s="41" t="s">
        <v>1934</v>
      </c>
      <c r="D917" s="21" t="s">
        <v>2224</v>
      </c>
      <c r="E917" s="21" t="s">
        <v>2222</v>
      </c>
      <c r="F917" s="24">
        <v>0.18190566011566667</v>
      </c>
      <c r="G917" s="21">
        <v>12</v>
      </c>
      <c r="H917" s="17">
        <v>21.9</v>
      </c>
      <c r="I917" s="43" t="s">
        <v>3950</v>
      </c>
      <c r="J917" s="26"/>
      <c r="K917" s="17">
        <f t="shared" si="84"/>
        <v>0</v>
      </c>
      <c r="N917" s="31" t="str">
        <f t="shared" si="87"/>
        <v>-</v>
      </c>
      <c r="O917" s="31" t="str">
        <f t="shared" si="89"/>
        <v>-</v>
      </c>
      <c r="P917" s="35" t="str">
        <f t="shared" si="88"/>
        <v>-</v>
      </c>
      <c r="Q917" s="32" t="str">
        <f t="shared" si="85"/>
        <v>-</v>
      </c>
      <c r="S917" s="32" t="str">
        <f t="shared" si="86"/>
        <v>-</v>
      </c>
    </row>
    <row r="918" spans="1:19" x14ac:dyDescent="0.3">
      <c r="A918" s="45" t="s">
        <v>3118</v>
      </c>
      <c r="B918" s="40" t="s">
        <v>1366</v>
      </c>
      <c r="C918" s="41" t="s">
        <v>1934</v>
      </c>
      <c r="D918" s="21" t="s">
        <v>2225</v>
      </c>
      <c r="E918" s="21" t="s">
        <v>2222</v>
      </c>
      <c r="F918" s="24">
        <v>0.25483953327525005</v>
      </c>
      <c r="G918" s="21">
        <v>12</v>
      </c>
      <c r="H918" s="17">
        <v>32.39</v>
      </c>
      <c r="I918" s="43" t="s">
        <v>3950</v>
      </c>
      <c r="J918" s="26"/>
      <c r="K918" s="17">
        <f t="shared" si="84"/>
        <v>0</v>
      </c>
      <c r="N918" s="31" t="str">
        <f t="shared" si="87"/>
        <v>-</v>
      </c>
      <c r="O918" s="31" t="str">
        <f t="shared" si="89"/>
        <v>-</v>
      </c>
      <c r="P918" s="35" t="str">
        <f t="shared" si="88"/>
        <v>-</v>
      </c>
      <c r="Q918" s="32" t="str">
        <f t="shared" si="85"/>
        <v>-</v>
      </c>
      <c r="S918" s="32" t="str">
        <f t="shared" si="86"/>
        <v>-</v>
      </c>
    </row>
    <row r="919" spans="1:19" x14ac:dyDescent="0.3">
      <c r="A919" s="45" t="s">
        <v>3119</v>
      </c>
      <c r="B919" s="40" t="s">
        <v>1299</v>
      </c>
      <c r="C919" s="41" t="s">
        <v>1935</v>
      </c>
      <c r="D919" s="21" t="s">
        <v>2223</v>
      </c>
      <c r="E919" s="21" t="s">
        <v>2222</v>
      </c>
      <c r="F919" s="24">
        <v>0.10553960468974999</v>
      </c>
      <c r="G919" s="21">
        <v>12</v>
      </c>
      <c r="H919" s="17">
        <v>11.39</v>
      </c>
      <c r="I919" s="43" t="s">
        <v>3950</v>
      </c>
      <c r="J919" s="26"/>
      <c r="K919" s="17">
        <f t="shared" si="84"/>
        <v>0</v>
      </c>
      <c r="N919" s="31" t="str">
        <f t="shared" si="87"/>
        <v>-</v>
      </c>
      <c r="O919" s="31" t="str">
        <f t="shared" si="89"/>
        <v>-</v>
      </c>
      <c r="P919" s="35" t="str">
        <f t="shared" si="88"/>
        <v>-</v>
      </c>
      <c r="Q919" s="32" t="str">
        <f t="shared" si="85"/>
        <v>-</v>
      </c>
      <c r="S919" s="32" t="str">
        <f t="shared" si="86"/>
        <v>-</v>
      </c>
    </row>
    <row r="920" spans="1:19" x14ac:dyDescent="0.3">
      <c r="A920" s="45" t="s">
        <v>3120</v>
      </c>
      <c r="B920" s="40" t="s">
        <v>1381</v>
      </c>
      <c r="C920" s="41" t="s">
        <v>1935</v>
      </c>
      <c r="D920" s="21" t="s">
        <v>2224</v>
      </c>
      <c r="E920" s="21" t="s">
        <v>2222</v>
      </c>
      <c r="F920" s="24">
        <v>0.17675738671616667</v>
      </c>
      <c r="G920" s="21">
        <v>12</v>
      </c>
      <c r="H920" s="17">
        <v>21.9</v>
      </c>
      <c r="I920" s="43" t="s">
        <v>3950</v>
      </c>
      <c r="J920" s="26"/>
      <c r="K920" s="17">
        <f t="shared" si="84"/>
        <v>0</v>
      </c>
      <c r="N920" s="31" t="str">
        <f t="shared" si="87"/>
        <v>-</v>
      </c>
      <c r="O920" s="31" t="str">
        <f t="shared" si="89"/>
        <v>-</v>
      </c>
      <c r="P920" s="35" t="str">
        <f t="shared" si="88"/>
        <v>-</v>
      </c>
      <c r="Q920" s="32" t="str">
        <f t="shared" si="85"/>
        <v>-</v>
      </c>
      <c r="S920" s="32" t="str">
        <f t="shared" si="86"/>
        <v>-</v>
      </c>
    </row>
    <row r="921" spans="1:19" x14ac:dyDescent="0.3">
      <c r="A921" s="45" t="s">
        <v>3121</v>
      </c>
      <c r="B921" s="40" t="s">
        <v>1187</v>
      </c>
      <c r="C921" s="41" t="s">
        <v>1935</v>
      </c>
      <c r="D921" s="21" t="s">
        <v>2225</v>
      </c>
      <c r="E921" s="21" t="s">
        <v>2222</v>
      </c>
      <c r="F921" s="24">
        <v>0.24969125987575003</v>
      </c>
      <c r="G921" s="21">
        <v>12</v>
      </c>
      <c r="H921" s="17">
        <v>32.39</v>
      </c>
      <c r="I921" s="43" t="s">
        <v>3950</v>
      </c>
      <c r="J921" s="26"/>
      <c r="K921" s="17">
        <f t="shared" si="84"/>
        <v>0</v>
      </c>
      <c r="N921" s="31" t="str">
        <f t="shared" si="87"/>
        <v>-</v>
      </c>
      <c r="O921" s="31" t="str">
        <f t="shared" si="89"/>
        <v>-</v>
      </c>
      <c r="P921" s="35" t="str">
        <f t="shared" si="88"/>
        <v>-</v>
      </c>
      <c r="Q921" s="32" t="str">
        <f t="shared" si="85"/>
        <v>-</v>
      </c>
      <c r="S921" s="32" t="str">
        <f t="shared" si="86"/>
        <v>-</v>
      </c>
    </row>
    <row r="922" spans="1:19" x14ac:dyDescent="0.3">
      <c r="A922" s="45" t="s">
        <v>3122</v>
      </c>
      <c r="B922" s="40" t="s">
        <v>1562</v>
      </c>
      <c r="C922" s="41" t="s">
        <v>1613</v>
      </c>
      <c r="D922" s="21" t="s">
        <v>2224</v>
      </c>
      <c r="E922" s="21" t="s">
        <v>2234</v>
      </c>
      <c r="F922" s="24">
        <v>0.11583615148875001</v>
      </c>
      <c r="G922" s="21">
        <v>12</v>
      </c>
      <c r="H922" s="17">
        <v>10.5</v>
      </c>
      <c r="I922" s="43" t="s">
        <v>3950</v>
      </c>
      <c r="J922" s="26"/>
      <c r="K922" s="17">
        <f t="shared" si="84"/>
        <v>0</v>
      </c>
      <c r="N922" s="31" t="str">
        <f t="shared" si="87"/>
        <v>-</v>
      </c>
      <c r="O922" s="31" t="str">
        <f t="shared" si="89"/>
        <v>-</v>
      </c>
      <c r="P922" s="35" t="str">
        <f t="shared" si="88"/>
        <v>-</v>
      </c>
      <c r="Q922" s="32" t="str">
        <f t="shared" si="85"/>
        <v>-</v>
      </c>
      <c r="S922" s="32" t="str">
        <f t="shared" si="86"/>
        <v>-</v>
      </c>
    </row>
    <row r="923" spans="1:19" x14ac:dyDescent="0.3">
      <c r="A923" s="45" t="s">
        <v>3123</v>
      </c>
      <c r="B923" s="40" t="s">
        <v>1563</v>
      </c>
      <c r="C923" s="41" t="s">
        <v>1613</v>
      </c>
      <c r="D923" s="21" t="s">
        <v>2227</v>
      </c>
      <c r="E923" s="21" t="s">
        <v>2234</v>
      </c>
      <c r="F923" s="24">
        <v>0.18533784238200005</v>
      </c>
      <c r="G923" s="21">
        <v>12</v>
      </c>
      <c r="H923" s="17">
        <v>20.100000000000001</v>
      </c>
      <c r="I923" s="43" t="s">
        <v>3950</v>
      </c>
      <c r="J923" s="26"/>
      <c r="K923" s="17">
        <f t="shared" si="84"/>
        <v>0</v>
      </c>
      <c r="N923" s="31" t="str">
        <f t="shared" si="87"/>
        <v>-</v>
      </c>
      <c r="O923" s="31" t="str">
        <f t="shared" si="89"/>
        <v>-</v>
      </c>
      <c r="P923" s="35" t="str">
        <f t="shared" si="88"/>
        <v>-</v>
      </c>
      <c r="Q923" s="32" t="str">
        <f t="shared" si="85"/>
        <v>-</v>
      </c>
      <c r="S923" s="32" t="str">
        <f t="shared" si="86"/>
        <v>-</v>
      </c>
    </row>
    <row r="924" spans="1:19" x14ac:dyDescent="0.3">
      <c r="A924" s="45" t="s">
        <v>3124</v>
      </c>
      <c r="B924" s="40" t="s">
        <v>1564</v>
      </c>
      <c r="C924" s="41" t="s">
        <v>1613</v>
      </c>
      <c r="D924" s="21" t="s">
        <v>2226</v>
      </c>
      <c r="E924" s="21" t="s">
        <v>2234</v>
      </c>
      <c r="F924" s="24">
        <v>0.26771021677400003</v>
      </c>
      <c r="G924" s="21">
        <v>12</v>
      </c>
      <c r="H924" s="17">
        <v>29.7</v>
      </c>
      <c r="I924" s="43" t="s">
        <v>3950</v>
      </c>
      <c r="J924" s="26"/>
      <c r="K924" s="17">
        <f t="shared" si="84"/>
        <v>0</v>
      </c>
      <c r="N924" s="31" t="str">
        <f t="shared" si="87"/>
        <v>-</v>
      </c>
      <c r="O924" s="31" t="str">
        <f t="shared" si="89"/>
        <v>-</v>
      </c>
      <c r="P924" s="35" t="str">
        <f t="shared" si="88"/>
        <v>-</v>
      </c>
      <c r="Q924" s="32" t="str">
        <f t="shared" si="85"/>
        <v>-</v>
      </c>
      <c r="S924" s="32" t="str">
        <f t="shared" si="86"/>
        <v>-</v>
      </c>
    </row>
    <row r="925" spans="1:19" x14ac:dyDescent="0.3">
      <c r="A925" s="45" t="s">
        <v>3125</v>
      </c>
      <c r="B925" s="40" t="s">
        <v>1398</v>
      </c>
      <c r="C925" s="41" t="s">
        <v>1936</v>
      </c>
      <c r="D925" s="21" t="s">
        <v>2264</v>
      </c>
      <c r="E925" s="21" t="s">
        <v>2240</v>
      </c>
      <c r="F925" s="24">
        <v>1.2767718030760002</v>
      </c>
      <c r="G925" s="21">
        <v>6</v>
      </c>
      <c r="H925" s="17">
        <v>26.7</v>
      </c>
      <c r="I925" s="43" t="s">
        <v>3950</v>
      </c>
      <c r="J925" s="26"/>
      <c r="K925" s="17">
        <f t="shared" si="84"/>
        <v>0</v>
      </c>
      <c r="N925" s="31" t="str">
        <f t="shared" si="87"/>
        <v>-</v>
      </c>
      <c r="O925" s="31" t="str">
        <f t="shared" si="89"/>
        <v>-</v>
      </c>
      <c r="P925" s="35" t="str">
        <f t="shared" si="88"/>
        <v>-</v>
      </c>
      <c r="Q925" s="32" t="str">
        <f t="shared" si="85"/>
        <v>-</v>
      </c>
      <c r="S925" s="32" t="str">
        <f t="shared" si="86"/>
        <v>-</v>
      </c>
    </row>
    <row r="926" spans="1:19" x14ac:dyDescent="0.3">
      <c r="A926" s="45" t="s">
        <v>3127</v>
      </c>
      <c r="B926" s="40" t="s">
        <v>262</v>
      </c>
      <c r="C926" s="41" t="s">
        <v>1937</v>
      </c>
      <c r="D926" s="21" t="s">
        <v>2224</v>
      </c>
      <c r="E926" s="21" t="s">
        <v>2222</v>
      </c>
      <c r="F926" s="24">
        <v>6.1779280794000004E-2</v>
      </c>
      <c r="G926" s="21">
        <v>12</v>
      </c>
      <c r="H926" s="17">
        <v>21.59</v>
      </c>
      <c r="I926" s="43" t="s">
        <v>3950</v>
      </c>
      <c r="J926" s="26"/>
      <c r="K926" s="17">
        <f t="shared" si="84"/>
        <v>0</v>
      </c>
      <c r="N926" s="31" t="str">
        <f t="shared" si="87"/>
        <v>-</v>
      </c>
      <c r="O926" s="31" t="str">
        <f t="shared" si="89"/>
        <v>-</v>
      </c>
      <c r="P926" s="35" t="str">
        <f t="shared" si="88"/>
        <v>-</v>
      </c>
      <c r="Q926" s="32" t="str">
        <f t="shared" si="85"/>
        <v>-</v>
      </c>
      <c r="S926" s="32" t="str">
        <f t="shared" si="86"/>
        <v>-</v>
      </c>
    </row>
    <row r="927" spans="1:19" x14ac:dyDescent="0.3">
      <c r="A927" s="45" t="s">
        <v>3128</v>
      </c>
      <c r="B927" s="40" t="s">
        <v>1177</v>
      </c>
      <c r="C927" s="41" t="s">
        <v>1938</v>
      </c>
      <c r="D927" s="21" t="s">
        <v>2224</v>
      </c>
      <c r="E927" s="21" t="s">
        <v>2222</v>
      </c>
      <c r="F927" s="24">
        <v>0.10725569582291668</v>
      </c>
      <c r="G927" s="21">
        <v>12</v>
      </c>
      <c r="H927" s="17">
        <v>13.19</v>
      </c>
      <c r="I927" s="43" t="s">
        <v>3950</v>
      </c>
      <c r="J927" s="26"/>
      <c r="K927" s="17">
        <f t="shared" si="84"/>
        <v>0</v>
      </c>
      <c r="N927" s="31" t="str">
        <f t="shared" si="87"/>
        <v>-</v>
      </c>
      <c r="O927" s="31" t="str">
        <f t="shared" si="89"/>
        <v>-</v>
      </c>
      <c r="P927" s="35" t="str">
        <f t="shared" si="88"/>
        <v>-</v>
      </c>
      <c r="Q927" s="32" t="str">
        <f t="shared" si="85"/>
        <v>-</v>
      </c>
      <c r="S927" s="32" t="str">
        <f t="shared" si="86"/>
        <v>-</v>
      </c>
    </row>
    <row r="928" spans="1:19" x14ac:dyDescent="0.3">
      <c r="A928" s="45" t="s">
        <v>3129</v>
      </c>
      <c r="B928" s="40" t="s">
        <v>351</v>
      </c>
      <c r="C928" s="41" t="s">
        <v>1938</v>
      </c>
      <c r="D928" s="21" t="s">
        <v>2227</v>
      </c>
      <c r="E928" s="21" t="s">
        <v>2222</v>
      </c>
      <c r="F928" s="24">
        <v>0.18533784238200005</v>
      </c>
      <c r="G928" s="21">
        <v>12</v>
      </c>
      <c r="H928" s="17">
        <v>25.5</v>
      </c>
      <c r="I928" s="43" t="s">
        <v>3950</v>
      </c>
      <c r="J928" s="26"/>
      <c r="K928" s="17">
        <f t="shared" si="84"/>
        <v>0</v>
      </c>
      <c r="N928" s="31" t="str">
        <f t="shared" si="87"/>
        <v>-</v>
      </c>
      <c r="O928" s="31" t="str">
        <f t="shared" si="89"/>
        <v>-</v>
      </c>
      <c r="P928" s="35" t="str">
        <f t="shared" si="88"/>
        <v>-</v>
      </c>
      <c r="Q928" s="32" t="str">
        <f t="shared" si="85"/>
        <v>-</v>
      </c>
      <c r="S928" s="32" t="str">
        <f t="shared" si="86"/>
        <v>-</v>
      </c>
    </row>
    <row r="929" spans="1:19" x14ac:dyDescent="0.3">
      <c r="A929" s="45" t="s">
        <v>3130</v>
      </c>
      <c r="B929" s="40" t="s">
        <v>74</v>
      </c>
      <c r="C929" s="41" t="s">
        <v>1939</v>
      </c>
      <c r="D929" s="21" t="s">
        <v>2228</v>
      </c>
      <c r="E929" s="21" t="s">
        <v>2229</v>
      </c>
      <c r="F929" s="24">
        <v>0.11326201478900001</v>
      </c>
      <c r="G929" s="21">
        <v>12</v>
      </c>
      <c r="H929" s="17">
        <v>11.7</v>
      </c>
      <c r="I929" s="43" t="s">
        <v>3950</v>
      </c>
      <c r="J929" s="26"/>
      <c r="K929" s="17">
        <f t="shared" si="84"/>
        <v>0</v>
      </c>
      <c r="N929" s="31" t="str">
        <f t="shared" si="87"/>
        <v>-</v>
      </c>
      <c r="O929" s="31" t="str">
        <f t="shared" si="89"/>
        <v>-</v>
      </c>
      <c r="P929" s="35" t="str">
        <f t="shared" si="88"/>
        <v>-</v>
      </c>
      <c r="Q929" s="32" t="str">
        <f t="shared" si="85"/>
        <v>-</v>
      </c>
      <c r="S929" s="32" t="str">
        <f t="shared" si="86"/>
        <v>-</v>
      </c>
    </row>
    <row r="930" spans="1:19" x14ac:dyDescent="0.3">
      <c r="A930" s="45" t="s">
        <v>3131</v>
      </c>
      <c r="B930" s="40" t="s">
        <v>94</v>
      </c>
      <c r="C930" s="41" t="s">
        <v>1939</v>
      </c>
      <c r="D930" s="21" t="s">
        <v>2265</v>
      </c>
      <c r="E930" s="21" t="s">
        <v>2229</v>
      </c>
      <c r="F930" s="24">
        <v>0.16088354373437502</v>
      </c>
      <c r="G930" s="21">
        <v>12</v>
      </c>
      <c r="H930" s="17">
        <v>19.05</v>
      </c>
      <c r="I930" s="43" t="s">
        <v>3950</v>
      </c>
      <c r="J930" s="26"/>
      <c r="K930" s="17">
        <f t="shared" si="84"/>
        <v>0</v>
      </c>
      <c r="N930" s="31" t="str">
        <f t="shared" si="87"/>
        <v>-</v>
      </c>
      <c r="O930" s="31" t="str">
        <f t="shared" si="89"/>
        <v>-</v>
      </c>
      <c r="P930" s="35" t="str">
        <f t="shared" si="88"/>
        <v>-</v>
      </c>
      <c r="Q930" s="32" t="str">
        <f t="shared" si="85"/>
        <v>-</v>
      </c>
      <c r="S930" s="32" t="str">
        <f t="shared" si="86"/>
        <v>-</v>
      </c>
    </row>
    <row r="931" spans="1:19" x14ac:dyDescent="0.3">
      <c r="A931" s="45" t="s">
        <v>3132</v>
      </c>
      <c r="B931" s="40" t="s">
        <v>934</v>
      </c>
      <c r="C931" s="41" t="s">
        <v>1940</v>
      </c>
      <c r="D931" s="21" t="s">
        <v>2223</v>
      </c>
      <c r="E931" s="21" t="s">
        <v>2222</v>
      </c>
      <c r="F931" s="24">
        <v>0.12527465272116667</v>
      </c>
      <c r="G931" s="21">
        <v>12</v>
      </c>
      <c r="H931" s="17">
        <v>8.99</v>
      </c>
      <c r="I931" s="43" t="s">
        <v>3950</v>
      </c>
      <c r="J931" s="26"/>
      <c r="K931" s="17">
        <f t="shared" si="84"/>
        <v>0</v>
      </c>
      <c r="N931" s="31" t="str">
        <f t="shared" si="87"/>
        <v>-</v>
      </c>
      <c r="O931" s="31" t="str">
        <f t="shared" si="89"/>
        <v>-</v>
      </c>
      <c r="P931" s="35" t="str">
        <f t="shared" si="88"/>
        <v>-</v>
      </c>
      <c r="Q931" s="32" t="str">
        <f t="shared" si="85"/>
        <v>-</v>
      </c>
      <c r="S931" s="32" t="str">
        <f t="shared" si="86"/>
        <v>-</v>
      </c>
    </row>
    <row r="932" spans="1:19" x14ac:dyDescent="0.3">
      <c r="A932" s="45" t="s">
        <v>3133</v>
      </c>
      <c r="B932" s="40" t="s">
        <v>1094</v>
      </c>
      <c r="C932" s="41" t="s">
        <v>1940</v>
      </c>
      <c r="D932" s="21" t="s">
        <v>2224</v>
      </c>
      <c r="E932" s="21" t="s">
        <v>2222</v>
      </c>
      <c r="F932" s="24">
        <v>0.18190566011566667</v>
      </c>
      <c r="G932" s="21">
        <v>12</v>
      </c>
      <c r="H932" s="17">
        <v>17.100000000000001</v>
      </c>
      <c r="I932" s="43" t="s">
        <v>3950</v>
      </c>
      <c r="J932" s="26"/>
      <c r="K932" s="17">
        <f t="shared" si="84"/>
        <v>0</v>
      </c>
      <c r="N932" s="31" t="str">
        <f t="shared" si="87"/>
        <v>-</v>
      </c>
      <c r="O932" s="31" t="str">
        <f t="shared" si="89"/>
        <v>-</v>
      </c>
      <c r="P932" s="35" t="str">
        <f t="shared" si="88"/>
        <v>-</v>
      </c>
      <c r="Q932" s="32" t="str">
        <f t="shared" si="85"/>
        <v>-</v>
      </c>
      <c r="S932" s="32" t="str">
        <f t="shared" si="86"/>
        <v>-</v>
      </c>
    </row>
    <row r="933" spans="1:19" x14ac:dyDescent="0.3">
      <c r="A933" s="45" t="s">
        <v>3134</v>
      </c>
      <c r="B933" s="40" t="s">
        <v>858</v>
      </c>
      <c r="C933" s="41" t="s">
        <v>1940</v>
      </c>
      <c r="D933" s="21" t="s">
        <v>2227</v>
      </c>
      <c r="E933" s="21" t="s">
        <v>2222</v>
      </c>
      <c r="F933" s="24">
        <v>9.9533285723666667E-2</v>
      </c>
      <c r="G933" s="21">
        <v>12</v>
      </c>
      <c r="H933" s="17">
        <v>32.99</v>
      </c>
      <c r="I933" s="43" t="s">
        <v>3950</v>
      </c>
      <c r="J933" s="26"/>
      <c r="K933" s="17">
        <f t="shared" si="84"/>
        <v>0</v>
      </c>
      <c r="N933" s="31" t="str">
        <f t="shared" si="87"/>
        <v>-</v>
      </c>
      <c r="O933" s="31" t="str">
        <f t="shared" si="89"/>
        <v>-</v>
      </c>
      <c r="P933" s="35" t="str">
        <f t="shared" si="88"/>
        <v>-</v>
      </c>
      <c r="Q933" s="32" t="str">
        <f t="shared" si="85"/>
        <v>-</v>
      </c>
      <c r="S933" s="32" t="str">
        <f t="shared" si="86"/>
        <v>-</v>
      </c>
    </row>
    <row r="934" spans="1:19" x14ac:dyDescent="0.3">
      <c r="A934" s="45" t="s">
        <v>3135</v>
      </c>
      <c r="B934" s="40" t="s">
        <v>92</v>
      </c>
      <c r="C934" s="41" t="s">
        <v>1909</v>
      </c>
      <c r="D934" s="21" t="s">
        <v>2226</v>
      </c>
      <c r="E934" s="21" t="s">
        <v>2222</v>
      </c>
      <c r="F934" s="24">
        <v>0.37754004929666674</v>
      </c>
      <c r="G934" s="21">
        <v>12</v>
      </c>
      <c r="H934" s="17">
        <v>23.1</v>
      </c>
      <c r="I934" s="43" t="s">
        <v>3950</v>
      </c>
      <c r="J934" s="26"/>
      <c r="K934" s="17">
        <f t="shared" si="84"/>
        <v>0</v>
      </c>
      <c r="N934" s="31" t="str">
        <f t="shared" si="87"/>
        <v>-</v>
      </c>
      <c r="O934" s="31" t="str">
        <f t="shared" si="89"/>
        <v>-</v>
      </c>
      <c r="P934" s="35" t="str">
        <f t="shared" si="88"/>
        <v>-</v>
      </c>
      <c r="Q934" s="32" t="str">
        <f t="shared" si="85"/>
        <v>-</v>
      </c>
      <c r="S934" s="32" t="str">
        <f t="shared" si="86"/>
        <v>-</v>
      </c>
    </row>
    <row r="935" spans="1:19" x14ac:dyDescent="0.3">
      <c r="A935" s="45" t="s">
        <v>3136</v>
      </c>
      <c r="B935" s="40" t="s">
        <v>1105</v>
      </c>
      <c r="C935" s="41" t="s">
        <v>1931</v>
      </c>
      <c r="D935" s="21" t="s">
        <v>2236</v>
      </c>
      <c r="E935" s="21" t="s">
        <v>2240</v>
      </c>
      <c r="F935" s="24">
        <v>0.38483343661262509</v>
      </c>
      <c r="G935" s="21">
        <v>12</v>
      </c>
      <c r="H935" s="17">
        <v>41.99</v>
      </c>
      <c r="I935" s="43" t="s">
        <v>3950</v>
      </c>
      <c r="J935" s="26"/>
      <c r="K935" s="17">
        <f t="shared" si="84"/>
        <v>0</v>
      </c>
      <c r="N935" s="31" t="str">
        <f t="shared" si="87"/>
        <v>-</v>
      </c>
      <c r="O935" s="31" t="str">
        <f t="shared" si="89"/>
        <v>-</v>
      </c>
      <c r="P935" s="35" t="str">
        <f t="shared" si="88"/>
        <v>-</v>
      </c>
      <c r="Q935" s="32" t="str">
        <f t="shared" si="85"/>
        <v>-</v>
      </c>
      <c r="S935" s="32" t="str">
        <f t="shared" si="86"/>
        <v>-</v>
      </c>
    </row>
    <row r="936" spans="1:19" x14ac:dyDescent="0.3">
      <c r="A936" s="45" t="s">
        <v>3137</v>
      </c>
      <c r="B936" s="40" t="s">
        <v>428</v>
      </c>
      <c r="C936" s="41" t="s">
        <v>1933</v>
      </c>
      <c r="D936" s="21" t="s">
        <v>2233</v>
      </c>
      <c r="E936" s="21" t="s">
        <v>2222</v>
      </c>
      <c r="F936" s="24">
        <v>0.12012637932166667</v>
      </c>
      <c r="G936" s="21">
        <v>12</v>
      </c>
      <c r="H936" s="17">
        <v>35.1</v>
      </c>
      <c r="I936" s="43" t="s">
        <v>3950</v>
      </c>
      <c r="J936" s="26"/>
      <c r="K936" s="17">
        <f t="shared" si="84"/>
        <v>0</v>
      </c>
      <c r="N936" s="31" t="str">
        <f t="shared" si="87"/>
        <v>-</v>
      </c>
      <c r="O936" s="31" t="str">
        <f t="shared" si="89"/>
        <v>-</v>
      </c>
      <c r="P936" s="35" t="str">
        <f t="shared" si="88"/>
        <v>-</v>
      </c>
      <c r="Q936" s="32" t="str">
        <f t="shared" si="85"/>
        <v>-</v>
      </c>
      <c r="S936" s="32" t="str">
        <f t="shared" si="86"/>
        <v>-</v>
      </c>
    </row>
    <row r="937" spans="1:19" x14ac:dyDescent="0.3">
      <c r="A937" s="45" t="s">
        <v>3138</v>
      </c>
      <c r="B937" s="40" t="s">
        <v>450</v>
      </c>
      <c r="C937" s="41" t="s">
        <v>1941</v>
      </c>
      <c r="D937" s="21" t="s">
        <v>2224</v>
      </c>
      <c r="E937" s="21" t="s">
        <v>2222</v>
      </c>
      <c r="F937" s="24">
        <v>7.6366055425916665E-2</v>
      </c>
      <c r="G937" s="21">
        <v>12</v>
      </c>
      <c r="H937" s="17">
        <v>10.5</v>
      </c>
      <c r="I937" s="43" t="s">
        <v>3950</v>
      </c>
      <c r="J937" s="26"/>
      <c r="K937" s="17">
        <f t="shared" si="84"/>
        <v>0</v>
      </c>
      <c r="N937" s="31" t="str">
        <f t="shared" si="87"/>
        <v>-</v>
      </c>
      <c r="O937" s="31" t="str">
        <f t="shared" si="89"/>
        <v>-</v>
      </c>
      <c r="P937" s="35" t="str">
        <f t="shared" si="88"/>
        <v>-</v>
      </c>
      <c r="Q937" s="32" t="str">
        <f t="shared" si="85"/>
        <v>-</v>
      </c>
      <c r="S937" s="32" t="str">
        <f t="shared" si="86"/>
        <v>-</v>
      </c>
    </row>
    <row r="938" spans="1:19" x14ac:dyDescent="0.3">
      <c r="A938" s="45" t="s">
        <v>3141</v>
      </c>
      <c r="B938" s="40" t="s">
        <v>138</v>
      </c>
      <c r="C938" s="41" t="s">
        <v>1943</v>
      </c>
      <c r="D938" s="21" t="s">
        <v>2230</v>
      </c>
      <c r="E938" s="21" t="s">
        <v>2229</v>
      </c>
      <c r="F938" s="24">
        <v>0.15444820198499998</v>
      </c>
      <c r="G938" s="21">
        <v>12</v>
      </c>
      <c r="H938" s="17">
        <v>9.4499999999999993</v>
      </c>
      <c r="I938" s="43" t="s">
        <v>3950</v>
      </c>
      <c r="J938" s="26"/>
      <c r="K938" s="17">
        <f t="shared" si="84"/>
        <v>0</v>
      </c>
      <c r="N938" s="31" t="str">
        <f t="shared" si="87"/>
        <v>-</v>
      </c>
      <c r="O938" s="31" t="str">
        <f t="shared" si="89"/>
        <v>-</v>
      </c>
      <c r="P938" s="35" t="str">
        <f t="shared" si="88"/>
        <v>-</v>
      </c>
      <c r="Q938" s="32" t="str">
        <f t="shared" si="85"/>
        <v>-</v>
      </c>
      <c r="S938" s="32" t="str">
        <f t="shared" si="86"/>
        <v>-</v>
      </c>
    </row>
    <row r="939" spans="1:19" x14ac:dyDescent="0.3">
      <c r="A939" s="45" t="s">
        <v>3142</v>
      </c>
      <c r="B939" s="40" t="s">
        <v>918</v>
      </c>
      <c r="C939" s="41" t="s">
        <v>1943</v>
      </c>
      <c r="D939" s="21" t="s">
        <v>2235</v>
      </c>
      <c r="E939" s="21" t="s">
        <v>2229</v>
      </c>
      <c r="F939" s="24">
        <v>0.29859985717100002</v>
      </c>
      <c r="G939" s="21">
        <v>12</v>
      </c>
      <c r="H939" s="17">
        <v>17.989999999999998</v>
      </c>
      <c r="I939" s="43" t="s">
        <v>3950</v>
      </c>
      <c r="J939" s="26"/>
      <c r="K939" s="17">
        <f t="shared" si="84"/>
        <v>0</v>
      </c>
      <c r="N939" s="31" t="str">
        <f t="shared" si="87"/>
        <v>-</v>
      </c>
      <c r="O939" s="31" t="str">
        <f t="shared" si="89"/>
        <v>-</v>
      </c>
      <c r="P939" s="35" t="str">
        <f t="shared" si="88"/>
        <v>-</v>
      </c>
      <c r="Q939" s="32" t="str">
        <f t="shared" si="85"/>
        <v>-</v>
      </c>
      <c r="S939" s="32" t="str">
        <f t="shared" si="86"/>
        <v>-</v>
      </c>
    </row>
    <row r="940" spans="1:19" x14ac:dyDescent="0.3">
      <c r="A940" s="45" t="s">
        <v>3143</v>
      </c>
      <c r="B940" s="40" t="s">
        <v>768</v>
      </c>
      <c r="C940" s="41" t="s">
        <v>1944</v>
      </c>
      <c r="D940" s="21" t="s">
        <v>2235</v>
      </c>
      <c r="E940" s="21" t="s">
        <v>2240</v>
      </c>
      <c r="F940" s="24">
        <v>0.20078266258049998</v>
      </c>
      <c r="G940" s="21">
        <v>6</v>
      </c>
      <c r="H940" s="17">
        <v>11.55</v>
      </c>
      <c r="I940" s="43" t="s">
        <v>3950</v>
      </c>
      <c r="J940" s="26"/>
      <c r="K940" s="17">
        <f t="shared" si="84"/>
        <v>0</v>
      </c>
      <c r="N940" s="31" t="str">
        <f t="shared" si="87"/>
        <v>-</v>
      </c>
      <c r="O940" s="31" t="str">
        <f t="shared" si="89"/>
        <v>-</v>
      </c>
      <c r="P940" s="35" t="str">
        <f t="shared" si="88"/>
        <v>-</v>
      </c>
      <c r="Q940" s="32" t="str">
        <f t="shared" si="85"/>
        <v>-</v>
      </c>
      <c r="S940" s="32" t="str">
        <f t="shared" si="86"/>
        <v>-</v>
      </c>
    </row>
    <row r="941" spans="1:19" x14ac:dyDescent="0.3">
      <c r="A941" s="45" t="s">
        <v>3144</v>
      </c>
      <c r="B941" s="40" t="s">
        <v>286</v>
      </c>
      <c r="C941" s="41" t="s">
        <v>1944</v>
      </c>
      <c r="D941" s="21" t="s">
        <v>2236</v>
      </c>
      <c r="E941" s="21" t="s">
        <v>2240</v>
      </c>
      <c r="F941" s="24">
        <v>0.32948949756800006</v>
      </c>
      <c r="G941" s="21">
        <v>12</v>
      </c>
      <c r="H941" s="17">
        <v>21.75</v>
      </c>
      <c r="I941" s="43" t="s">
        <v>3950</v>
      </c>
      <c r="J941" s="26"/>
      <c r="K941" s="17">
        <f t="shared" si="84"/>
        <v>0</v>
      </c>
      <c r="N941" s="31" t="str">
        <f t="shared" si="87"/>
        <v>-</v>
      </c>
      <c r="O941" s="31" t="str">
        <f t="shared" si="89"/>
        <v>-</v>
      </c>
      <c r="P941" s="35" t="str">
        <f t="shared" si="88"/>
        <v>-</v>
      </c>
      <c r="Q941" s="32" t="str">
        <f t="shared" si="85"/>
        <v>-</v>
      </c>
      <c r="S941" s="32" t="str">
        <f t="shared" si="86"/>
        <v>-</v>
      </c>
    </row>
    <row r="942" spans="1:19" x14ac:dyDescent="0.3">
      <c r="A942" s="45" t="s">
        <v>3145</v>
      </c>
      <c r="B942" s="40" t="s">
        <v>1147</v>
      </c>
      <c r="C942" s="41" t="s">
        <v>1944</v>
      </c>
      <c r="D942" s="21" t="s">
        <v>2241</v>
      </c>
      <c r="E942" s="21" t="s">
        <v>2240</v>
      </c>
      <c r="F942" s="24">
        <v>0.62808935473899996</v>
      </c>
      <c r="G942" s="21">
        <v>12</v>
      </c>
      <c r="H942" s="17">
        <v>42.3</v>
      </c>
      <c r="I942" s="43" t="s">
        <v>3950</v>
      </c>
      <c r="J942" s="26"/>
      <c r="K942" s="17">
        <f t="shared" si="84"/>
        <v>0</v>
      </c>
      <c r="N942" s="31" t="str">
        <f t="shared" si="87"/>
        <v>-</v>
      </c>
      <c r="O942" s="31" t="str">
        <f t="shared" si="89"/>
        <v>-</v>
      </c>
      <c r="P942" s="35" t="str">
        <f t="shared" si="88"/>
        <v>-</v>
      </c>
      <c r="Q942" s="32" t="str">
        <f t="shared" si="85"/>
        <v>-</v>
      </c>
      <c r="S942" s="32" t="str">
        <f t="shared" si="86"/>
        <v>-</v>
      </c>
    </row>
    <row r="943" spans="1:19" x14ac:dyDescent="0.3">
      <c r="A943" s="45" t="s">
        <v>3147</v>
      </c>
      <c r="B943" s="40" t="s">
        <v>1222</v>
      </c>
      <c r="C943" s="41" t="s">
        <v>1945</v>
      </c>
      <c r="D943" s="21" t="s">
        <v>2225</v>
      </c>
      <c r="E943" s="21" t="s">
        <v>2222</v>
      </c>
      <c r="F943" s="24">
        <v>0.2230918473116667</v>
      </c>
      <c r="G943" s="21">
        <v>12</v>
      </c>
      <c r="H943" s="17">
        <v>33.590000000000003</v>
      </c>
      <c r="I943" s="43" t="s">
        <v>3950</v>
      </c>
      <c r="J943" s="26"/>
      <c r="K943" s="17">
        <f t="shared" si="84"/>
        <v>0</v>
      </c>
      <c r="N943" s="31" t="str">
        <f t="shared" si="87"/>
        <v>-</v>
      </c>
      <c r="O943" s="31" t="str">
        <f t="shared" si="89"/>
        <v>-</v>
      </c>
      <c r="P943" s="35" t="str">
        <f t="shared" si="88"/>
        <v>-</v>
      </c>
      <c r="Q943" s="32" t="str">
        <f t="shared" si="85"/>
        <v>-</v>
      </c>
      <c r="S943" s="32" t="str">
        <f t="shared" si="86"/>
        <v>-</v>
      </c>
    </row>
    <row r="944" spans="1:19" x14ac:dyDescent="0.3">
      <c r="A944" s="45" t="s">
        <v>3148</v>
      </c>
      <c r="B944" s="40" t="s">
        <v>981</v>
      </c>
      <c r="C944" s="41" t="s">
        <v>1916</v>
      </c>
      <c r="D944" s="21" t="s">
        <v>2223</v>
      </c>
      <c r="E944" s="21" t="s">
        <v>2232</v>
      </c>
      <c r="F944" s="24">
        <v>7.7224100992499989E-2</v>
      </c>
      <c r="G944" s="21">
        <v>12</v>
      </c>
      <c r="H944" s="17">
        <v>9.75</v>
      </c>
      <c r="I944" s="43" t="s">
        <v>3950</v>
      </c>
      <c r="J944" s="26"/>
      <c r="K944" s="17">
        <f t="shared" si="84"/>
        <v>0</v>
      </c>
      <c r="N944" s="31" t="str">
        <f t="shared" si="87"/>
        <v>-</v>
      </c>
      <c r="O944" s="31" t="str">
        <f t="shared" si="89"/>
        <v>-</v>
      </c>
      <c r="P944" s="35" t="str">
        <f t="shared" si="88"/>
        <v>-</v>
      </c>
      <c r="Q944" s="32" t="str">
        <f t="shared" si="85"/>
        <v>-</v>
      </c>
      <c r="S944" s="32" t="str">
        <f t="shared" si="86"/>
        <v>-</v>
      </c>
    </row>
    <row r="945" spans="1:19" x14ac:dyDescent="0.3">
      <c r="A945" s="45" t="s">
        <v>3149</v>
      </c>
      <c r="B945" s="40" t="s">
        <v>35</v>
      </c>
      <c r="C945" s="41" t="s">
        <v>1916</v>
      </c>
      <c r="D945" s="21" t="s">
        <v>2224</v>
      </c>
      <c r="E945" s="21" t="s">
        <v>2232</v>
      </c>
      <c r="F945" s="24">
        <v>0.13128097168725003</v>
      </c>
      <c r="G945" s="21">
        <v>12</v>
      </c>
      <c r="H945" s="17">
        <v>18.59</v>
      </c>
      <c r="I945" s="43" t="s">
        <v>3950</v>
      </c>
      <c r="J945" s="26"/>
      <c r="K945" s="17">
        <f t="shared" si="84"/>
        <v>0</v>
      </c>
      <c r="N945" s="31" t="str">
        <f t="shared" si="87"/>
        <v>-</v>
      </c>
      <c r="O945" s="31" t="str">
        <f t="shared" si="89"/>
        <v>-</v>
      </c>
      <c r="P945" s="35" t="str">
        <f t="shared" si="88"/>
        <v>-</v>
      </c>
      <c r="Q945" s="32" t="str">
        <f t="shared" si="85"/>
        <v>-</v>
      </c>
      <c r="S945" s="32" t="str">
        <f t="shared" si="86"/>
        <v>-</v>
      </c>
    </row>
    <row r="946" spans="1:19" x14ac:dyDescent="0.3">
      <c r="A946" s="45" t="s">
        <v>3150</v>
      </c>
      <c r="B946" s="40" t="s">
        <v>372</v>
      </c>
      <c r="C946" s="41" t="s">
        <v>1936</v>
      </c>
      <c r="D946" s="21" t="s">
        <v>2241</v>
      </c>
      <c r="E946" s="21" t="s">
        <v>2240</v>
      </c>
      <c r="F946" s="24">
        <v>0.59719971434200003</v>
      </c>
      <c r="G946" s="21">
        <v>12</v>
      </c>
      <c r="H946" s="17">
        <v>14.25</v>
      </c>
      <c r="I946" s="43" t="s">
        <v>3950</v>
      </c>
      <c r="J946" s="26"/>
      <c r="K946" s="17">
        <f t="shared" si="84"/>
        <v>0</v>
      </c>
      <c r="N946" s="31" t="str">
        <f t="shared" si="87"/>
        <v>-</v>
      </c>
      <c r="O946" s="31" t="str">
        <f t="shared" si="89"/>
        <v>-</v>
      </c>
      <c r="P946" s="35" t="str">
        <f t="shared" si="88"/>
        <v>-</v>
      </c>
      <c r="Q946" s="32" t="str">
        <f t="shared" si="85"/>
        <v>-</v>
      </c>
      <c r="S946" s="32" t="str">
        <f t="shared" si="86"/>
        <v>-</v>
      </c>
    </row>
    <row r="947" spans="1:19" x14ac:dyDescent="0.3">
      <c r="A947" s="45" t="s">
        <v>3151</v>
      </c>
      <c r="B947" s="40" t="s">
        <v>316</v>
      </c>
      <c r="C947" s="41" t="s">
        <v>1946</v>
      </c>
      <c r="D947" s="21" t="s">
        <v>2223</v>
      </c>
      <c r="E947" s="21" t="s">
        <v>2244</v>
      </c>
      <c r="F947" s="24">
        <v>4.2473255545875006E-2</v>
      </c>
      <c r="G947" s="21">
        <v>12</v>
      </c>
      <c r="H947" s="17">
        <v>8.6999999999999993</v>
      </c>
      <c r="I947" s="43" t="s">
        <v>3950</v>
      </c>
      <c r="J947" s="26"/>
      <c r="K947" s="17">
        <f t="shared" si="84"/>
        <v>0</v>
      </c>
      <c r="N947" s="31" t="str">
        <f t="shared" si="87"/>
        <v>-</v>
      </c>
      <c r="O947" s="31" t="str">
        <f t="shared" si="89"/>
        <v>-</v>
      </c>
      <c r="P947" s="35" t="str">
        <f t="shared" si="88"/>
        <v>-</v>
      </c>
      <c r="Q947" s="32" t="str">
        <f t="shared" si="85"/>
        <v>-</v>
      </c>
      <c r="S947" s="32" t="str">
        <f t="shared" si="86"/>
        <v>-</v>
      </c>
    </row>
    <row r="948" spans="1:19" x14ac:dyDescent="0.3">
      <c r="A948" s="45" t="s">
        <v>3152</v>
      </c>
      <c r="B948" s="40" t="s">
        <v>1284</v>
      </c>
      <c r="C948" s="41" t="s">
        <v>1946</v>
      </c>
      <c r="D948" s="21" t="s">
        <v>2224</v>
      </c>
      <c r="E948" s="21" t="s">
        <v>2244</v>
      </c>
      <c r="F948" s="24">
        <v>6.3066349143875003E-2</v>
      </c>
      <c r="G948" s="21">
        <v>12</v>
      </c>
      <c r="H948" s="17">
        <v>16.5</v>
      </c>
      <c r="I948" s="43" t="s">
        <v>3950</v>
      </c>
      <c r="J948" s="26"/>
      <c r="K948" s="17">
        <f t="shared" si="84"/>
        <v>0</v>
      </c>
      <c r="N948" s="31" t="str">
        <f t="shared" si="87"/>
        <v>-</v>
      </c>
      <c r="O948" s="31" t="str">
        <f t="shared" si="89"/>
        <v>-</v>
      </c>
      <c r="P948" s="35" t="str">
        <f t="shared" si="88"/>
        <v>-</v>
      </c>
      <c r="Q948" s="32" t="str">
        <f t="shared" si="85"/>
        <v>-</v>
      </c>
      <c r="S948" s="32" t="str">
        <f t="shared" si="86"/>
        <v>-</v>
      </c>
    </row>
    <row r="949" spans="1:19" x14ac:dyDescent="0.3">
      <c r="A949" s="45" t="s">
        <v>3153</v>
      </c>
      <c r="B949" s="40" t="s">
        <v>982</v>
      </c>
      <c r="C949" s="41" t="s">
        <v>1646</v>
      </c>
      <c r="D949" s="21" t="s">
        <v>2241</v>
      </c>
      <c r="E949" s="21" t="s">
        <v>2240</v>
      </c>
      <c r="F949" s="24">
        <v>0.63323762813850004</v>
      </c>
      <c r="G949" s="21">
        <v>12</v>
      </c>
      <c r="H949" s="17">
        <v>34.79</v>
      </c>
      <c r="I949" s="43" t="s">
        <v>3950</v>
      </c>
      <c r="J949" s="26"/>
      <c r="K949" s="17">
        <f t="shared" si="84"/>
        <v>0</v>
      </c>
      <c r="N949" s="31" t="str">
        <f t="shared" si="87"/>
        <v>-</v>
      </c>
      <c r="O949" s="31" t="str">
        <f t="shared" si="89"/>
        <v>-</v>
      </c>
      <c r="P949" s="35" t="str">
        <f t="shared" si="88"/>
        <v>-</v>
      </c>
      <c r="Q949" s="32" t="str">
        <f t="shared" si="85"/>
        <v>-</v>
      </c>
      <c r="S949" s="32" t="str">
        <f t="shared" si="86"/>
        <v>-</v>
      </c>
    </row>
    <row r="950" spans="1:19" x14ac:dyDescent="0.3">
      <c r="A950" s="45" t="s">
        <v>3154</v>
      </c>
      <c r="B950" s="40" t="s">
        <v>863</v>
      </c>
      <c r="C950" s="41" t="s">
        <v>1947</v>
      </c>
      <c r="D950" s="21" t="s">
        <v>2223</v>
      </c>
      <c r="E950" s="21" t="s">
        <v>2232</v>
      </c>
      <c r="F950" s="24">
        <v>4.5476415028916667E-2</v>
      </c>
      <c r="G950" s="21">
        <v>12</v>
      </c>
      <c r="H950" s="17">
        <v>16.5</v>
      </c>
      <c r="I950" s="43" t="s">
        <v>3950</v>
      </c>
      <c r="J950" s="26"/>
      <c r="K950" s="17">
        <f t="shared" si="84"/>
        <v>0</v>
      </c>
      <c r="N950" s="31" t="str">
        <f t="shared" si="87"/>
        <v>-</v>
      </c>
      <c r="O950" s="31" t="str">
        <f t="shared" si="89"/>
        <v>-</v>
      </c>
      <c r="P950" s="35" t="str">
        <f t="shared" si="88"/>
        <v>-</v>
      </c>
      <c r="Q950" s="32" t="str">
        <f t="shared" si="85"/>
        <v>-</v>
      </c>
      <c r="S950" s="32" t="str">
        <f t="shared" si="86"/>
        <v>-</v>
      </c>
    </row>
    <row r="951" spans="1:19" x14ac:dyDescent="0.3">
      <c r="A951" s="45" t="s">
        <v>3155</v>
      </c>
      <c r="B951" s="40" t="s">
        <v>374</v>
      </c>
      <c r="C951" s="41" t="s">
        <v>1947</v>
      </c>
      <c r="D951" s="21" t="s">
        <v>2224</v>
      </c>
      <c r="E951" s="21" t="s">
        <v>2232</v>
      </c>
      <c r="F951" s="24">
        <v>7.1217782026416682E-2</v>
      </c>
      <c r="G951" s="21">
        <v>12</v>
      </c>
      <c r="H951" s="17">
        <v>32.1</v>
      </c>
      <c r="I951" s="43" t="s">
        <v>3950</v>
      </c>
      <c r="J951" s="26"/>
      <c r="K951" s="17">
        <f t="shared" ref="K951:K1012" si="90">J951*H951</f>
        <v>0</v>
      </c>
      <c r="N951" s="31" t="str">
        <f t="shared" si="87"/>
        <v>-</v>
      </c>
      <c r="O951" s="31" t="str">
        <f t="shared" si="89"/>
        <v>-</v>
      </c>
      <c r="P951" s="35" t="str">
        <f t="shared" si="88"/>
        <v>-</v>
      </c>
      <c r="Q951" s="32" t="str">
        <f t="shared" si="85"/>
        <v>-</v>
      </c>
      <c r="S951" s="32" t="str">
        <f t="shared" si="86"/>
        <v>-</v>
      </c>
    </row>
    <row r="952" spans="1:19" x14ac:dyDescent="0.3">
      <c r="A952" s="45" t="s">
        <v>3156</v>
      </c>
      <c r="B952" s="40" t="s">
        <v>922</v>
      </c>
      <c r="C952" s="41" t="s">
        <v>1948</v>
      </c>
      <c r="D952" s="21" t="s">
        <v>2235</v>
      </c>
      <c r="E952" s="21" t="s">
        <v>2240</v>
      </c>
      <c r="F952" s="24">
        <v>0.19477634361441667</v>
      </c>
      <c r="G952" s="21">
        <v>12</v>
      </c>
      <c r="H952" s="17">
        <v>8.6999999999999993</v>
      </c>
      <c r="I952" s="43" t="s">
        <v>3950</v>
      </c>
      <c r="J952" s="26"/>
      <c r="K952" s="17">
        <f t="shared" si="90"/>
        <v>0</v>
      </c>
      <c r="N952" s="31" t="str">
        <f t="shared" si="87"/>
        <v>-</v>
      </c>
      <c r="O952" s="31" t="str">
        <f t="shared" si="89"/>
        <v>-</v>
      </c>
      <c r="P952" s="35" t="str">
        <f t="shared" si="88"/>
        <v>-</v>
      </c>
      <c r="Q952" s="32" t="str">
        <f t="shared" ref="Q952:Q1013" si="91">IFERROR(IF($N$2&gt;0, $N$2*P952, "-"), "-")</f>
        <v>-</v>
      </c>
      <c r="S952" s="32" t="str">
        <f t="shared" ref="S952:S1013" si="92">IFERROR(IF(Q952+K952=0, "-", IF(Q952&gt;0, Q952+K952, "-")), "-")</f>
        <v>-</v>
      </c>
    </row>
    <row r="953" spans="1:19" x14ac:dyDescent="0.3">
      <c r="A953" s="45" t="s">
        <v>3158</v>
      </c>
      <c r="B953" s="40" t="s">
        <v>1339</v>
      </c>
      <c r="C953" s="41" t="s">
        <v>1949</v>
      </c>
      <c r="D953" s="21" t="s">
        <v>2224</v>
      </c>
      <c r="E953" s="21" t="s">
        <v>2222</v>
      </c>
      <c r="F953" s="24">
        <v>0.13642924508675</v>
      </c>
      <c r="G953" s="21">
        <v>12</v>
      </c>
      <c r="H953" s="17">
        <v>24.9</v>
      </c>
      <c r="I953" s="43" t="s">
        <v>3950</v>
      </c>
      <c r="J953" s="26"/>
      <c r="K953" s="17">
        <f t="shared" si="90"/>
        <v>0</v>
      </c>
      <c r="N953" s="31" t="str">
        <f t="shared" si="87"/>
        <v>-</v>
      </c>
      <c r="O953" s="31" t="str">
        <f t="shared" si="89"/>
        <v>-</v>
      </c>
      <c r="P953" s="35" t="str">
        <f t="shared" si="88"/>
        <v>-</v>
      </c>
      <c r="Q953" s="32" t="str">
        <f t="shared" si="91"/>
        <v>-</v>
      </c>
      <c r="S953" s="32" t="str">
        <f t="shared" si="92"/>
        <v>-</v>
      </c>
    </row>
    <row r="954" spans="1:19" x14ac:dyDescent="0.3">
      <c r="A954" s="45" t="s">
        <v>3159</v>
      </c>
      <c r="B954" s="40" t="s">
        <v>509</v>
      </c>
      <c r="C954" s="41" t="s">
        <v>1917</v>
      </c>
      <c r="D954" s="21" t="s">
        <v>2223</v>
      </c>
      <c r="E954" s="21" t="s">
        <v>2222</v>
      </c>
      <c r="F954" s="24">
        <v>5.5772961827916676E-2</v>
      </c>
      <c r="G954" s="21">
        <v>12</v>
      </c>
      <c r="H954" s="17">
        <v>7.5</v>
      </c>
      <c r="I954" s="43" t="s">
        <v>3950</v>
      </c>
      <c r="J954" s="26"/>
      <c r="K954" s="17">
        <f t="shared" si="90"/>
        <v>0</v>
      </c>
      <c r="N954" s="31" t="str">
        <f t="shared" si="87"/>
        <v>-</v>
      </c>
      <c r="O954" s="31" t="str">
        <f t="shared" si="89"/>
        <v>-</v>
      </c>
      <c r="P954" s="35" t="str">
        <f t="shared" si="88"/>
        <v>-</v>
      </c>
      <c r="Q954" s="32" t="str">
        <f t="shared" si="91"/>
        <v>-</v>
      </c>
      <c r="S954" s="32" t="str">
        <f t="shared" si="92"/>
        <v>-</v>
      </c>
    </row>
    <row r="955" spans="1:19" x14ac:dyDescent="0.3">
      <c r="A955" s="45" t="s">
        <v>3160</v>
      </c>
      <c r="B955" s="40" t="s">
        <v>510</v>
      </c>
      <c r="C955" s="41" t="s">
        <v>1917</v>
      </c>
      <c r="D955" s="21" t="s">
        <v>2224</v>
      </c>
      <c r="E955" s="21" t="s">
        <v>2222</v>
      </c>
      <c r="F955" s="24">
        <v>7.8511169342374995E-2</v>
      </c>
      <c r="G955" s="21">
        <v>12</v>
      </c>
      <c r="H955" s="17">
        <v>13.95</v>
      </c>
      <c r="I955" s="43" t="s">
        <v>3950</v>
      </c>
      <c r="J955" s="26"/>
      <c r="K955" s="17">
        <f t="shared" si="90"/>
        <v>0</v>
      </c>
      <c r="N955" s="31" t="str">
        <f t="shared" si="87"/>
        <v>-</v>
      </c>
      <c r="O955" s="31" t="str">
        <f t="shared" si="89"/>
        <v>-</v>
      </c>
      <c r="P955" s="35" t="str">
        <f t="shared" si="88"/>
        <v>-</v>
      </c>
      <c r="Q955" s="32" t="str">
        <f t="shared" si="91"/>
        <v>-</v>
      </c>
      <c r="S955" s="32" t="str">
        <f t="shared" si="92"/>
        <v>-</v>
      </c>
    </row>
    <row r="956" spans="1:19" x14ac:dyDescent="0.3">
      <c r="A956" s="45" t="s">
        <v>3161</v>
      </c>
      <c r="B956" s="40" t="s">
        <v>336</v>
      </c>
      <c r="C956" s="41" t="s">
        <v>1917</v>
      </c>
      <c r="D956" s="21" t="s">
        <v>2227</v>
      </c>
      <c r="E956" s="21" t="s">
        <v>2222</v>
      </c>
      <c r="F956" s="24">
        <v>0.13557119952016669</v>
      </c>
      <c r="G956" s="21">
        <v>12</v>
      </c>
      <c r="H956" s="17">
        <v>26.99</v>
      </c>
      <c r="I956" s="43" t="s">
        <v>3950</v>
      </c>
      <c r="J956" s="26"/>
      <c r="K956" s="17">
        <f t="shared" si="90"/>
        <v>0</v>
      </c>
      <c r="N956" s="31" t="str">
        <f t="shared" si="87"/>
        <v>-</v>
      </c>
      <c r="O956" s="31" t="str">
        <f t="shared" si="89"/>
        <v>-</v>
      </c>
      <c r="P956" s="35" t="str">
        <f t="shared" si="88"/>
        <v>-</v>
      </c>
      <c r="Q956" s="32" t="str">
        <f t="shared" si="91"/>
        <v>-</v>
      </c>
      <c r="S956" s="32" t="str">
        <f t="shared" si="92"/>
        <v>-</v>
      </c>
    </row>
    <row r="957" spans="1:19" x14ac:dyDescent="0.3">
      <c r="A957" s="45" t="s">
        <v>3162</v>
      </c>
      <c r="B957" s="40" t="s">
        <v>1068</v>
      </c>
      <c r="C957" s="41" t="s">
        <v>1950</v>
      </c>
      <c r="D957" s="21" t="s">
        <v>2224</v>
      </c>
      <c r="E957" s="21" t="s">
        <v>2222</v>
      </c>
      <c r="F957" s="24">
        <v>9.2668921191000023E-2</v>
      </c>
      <c r="G957" s="21">
        <v>12</v>
      </c>
      <c r="H957" s="17">
        <v>8.6999999999999993</v>
      </c>
      <c r="I957" s="43" t="s">
        <v>3950</v>
      </c>
      <c r="J957" s="26"/>
      <c r="K957" s="17">
        <f t="shared" si="90"/>
        <v>0</v>
      </c>
      <c r="N957" s="31" t="str">
        <f t="shared" si="87"/>
        <v>-</v>
      </c>
      <c r="O957" s="31" t="str">
        <f t="shared" si="89"/>
        <v>-</v>
      </c>
      <c r="P957" s="35" t="str">
        <f t="shared" si="88"/>
        <v>-</v>
      </c>
      <c r="Q957" s="32" t="str">
        <f t="shared" si="91"/>
        <v>-</v>
      </c>
      <c r="S957" s="32" t="str">
        <f t="shared" si="92"/>
        <v>-</v>
      </c>
    </row>
    <row r="958" spans="1:19" x14ac:dyDescent="0.3">
      <c r="A958" s="45" t="s">
        <v>3163</v>
      </c>
      <c r="B958" s="40" t="s">
        <v>528</v>
      </c>
      <c r="C958" s="41" t="s">
        <v>1950</v>
      </c>
      <c r="D958" s="21" t="s">
        <v>2227</v>
      </c>
      <c r="E958" s="21" t="s">
        <v>2222</v>
      </c>
      <c r="F958" s="24">
        <v>0.16903497661691669</v>
      </c>
      <c r="G958" s="21">
        <v>12</v>
      </c>
      <c r="H958" s="17">
        <v>16.190000000000001</v>
      </c>
      <c r="I958" s="43" t="s">
        <v>3950</v>
      </c>
      <c r="J958" s="26"/>
      <c r="K958" s="17">
        <f t="shared" si="90"/>
        <v>0</v>
      </c>
      <c r="N958" s="31" t="str">
        <f t="shared" ref="N958:N1019" si="93">IFERROR(IF($N$2*F958=0, "-", $N$2*F958), "-")</f>
        <v>-</v>
      </c>
      <c r="O958" s="31" t="str">
        <f t="shared" si="89"/>
        <v>-</v>
      </c>
      <c r="P958" s="35" t="str">
        <f t="shared" ref="P958:P1019" si="94">IF(J958&gt;0,J958*F958, "-")</f>
        <v>-</v>
      </c>
      <c r="Q958" s="32" t="str">
        <f t="shared" si="91"/>
        <v>-</v>
      </c>
      <c r="S958" s="32" t="str">
        <f t="shared" si="92"/>
        <v>-</v>
      </c>
    </row>
    <row r="959" spans="1:19" x14ac:dyDescent="0.3">
      <c r="A959" s="45" t="s">
        <v>3164</v>
      </c>
      <c r="B959" s="40" t="s">
        <v>1315</v>
      </c>
      <c r="C959" s="41" t="s">
        <v>1950</v>
      </c>
      <c r="D959" s="21" t="s">
        <v>2233</v>
      </c>
      <c r="E959" s="21" t="s">
        <v>2222</v>
      </c>
      <c r="F959" s="24">
        <v>0.31833490520241664</v>
      </c>
      <c r="G959" s="21">
        <v>12</v>
      </c>
      <c r="H959" s="17">
        <v>31.19</v>
      </c>
      <c r="I959" s="43" t="s">
        <v>3950</v>
      </c>
      <c r="J959" s="26"/>
      <c r="K959" s="17">
        <f t="shared" si="90"/>
        <v>0</v>
      </c>
      <c r="N959" s="31" t="str">
        <f t="shared" si="93"/>
        <v>-</v>
      </c>
      <c r="O959" s="31" t="str">
        <f t="shared" ref="O959:O1020" si="95">IFERROR(IF(N959&gt;0,H959+N959,"-"),"-")</f>
        <v>-</v>
      </c>
      <c r="P959" s="35" t="str">
        <f t="shared" si="94"/>
        <v>-</v>
      </c>
      <c r="Q959" s="32" t="str">
        <f t="shared" si="91"/>
        <v>-</v>
      </c>
      <c r="S959" s="32" t="str">
        <f t="shared" si="92"/>
        <v>-</v>
      </c>
    </row>
    <row r="960" spans="1:19" x14ac:dyDescent="0.3">
      <c r="A960" s="45" t="s">
        <v>3166</v>
      </c>
      <c r="B960" s="40" t="s">
        <v>1566</v>
      </c>
      <c r="C960" s="41" t="s">
        <v>1951</v>
      </c>
      <c r="D960" s="21" t="s">
        <v>2235</v>
      </c>
      <c r="E960" s="21" t="s">
        <v>2240</v>
      </c>
      <c r="F960" s="24">
        <v>0.16903497661691669</v>
      </c>
      <c r="G960" s="21">
        <v>12</v>
      </c>
      <c r="H960" s="17">
        <v>9.4499999999999993</v>
      </c>
      <c r="I960" s="43" t="s">
        <v>3950</v>
      </c>
      <c r="J960" s="26"/>
      <c r="K960" s="17">
        <f t="shared" si="90"/>
        <v>0</v>
      </c>
      <c r="N960" s="31" t="str">
        <f t="shared" si="93"/>
        <v>-</v>
      </c>
      <c r="O960" s="31" t="str">
        <f t="shared" si="95"/>
        <v>-</v>
      </c>
      <c r="P960" s="35" t="str">
        <f t="shared" si="94"/>
        <v>-</v>
      </c>
      <c r="Q960" s="32" t="str">
        <f t="shared" si="91"/>
        <v>-</v>
      </c>
      <c r="S960" s="32" t="str">
        <f t="shared" si="92"/>
        <v>-</v>
      </c>
    </row>
    <row r="961" spans="1:19" x14ac:dyDescent="0.3">
      <c r="A961" s="45" t="s">
        <v>3168</v>
      </c>
      <c r="B961" s="40" t="s">
        <v>838</v>
      </c>
      <c r="C961" s="41" t="s">
        <v>1952</v>
      </c>
      <c r="D961" s="21" t="s">
        <v>2231</v>
      </c>
      <c r="E961" s="21" t="s">
        <v>2222</v>
      </c>
      <c r="F961" s="24">
        <v>5.0624688428416671E-2</v>
      </c>
      <c r="G961" s="21">
        <v>12</v>
      </c>
      <c r="H961" s="17">
        <v>12.59</v>
      </c>
      <c r="I961" s="43" t="s">
        <v>3950</v>
      </c>
      <c r="J961" s="26"/>
      <c r="K961" s="17">
        <f t="shared" si="90"/>
        <v>0</v>
      </c>
      <c r="N961" s="31" t="str">
        <f t="shared" si="93"/>
        <v>-</v>
      </c>
      <c r="O961" s="31" t="str">
        <f t="shared" si="95"/>
        <v>-</v>
      </c>
      <c r="P961" s="35" t="str">
        <f t="shared" si="94"/>
        <v>-</v>
      </c>
      <c r="Q961" s="32" t="str">
        <f t="shared" si="91"/>
        <v>-</v>
      </c>
      <c r="S961" s="32" t="str">
        <f t="shared" si="92"/>
        <v>-</v>
      </c>
    </row>
    <row r="962" spans="1:19" x14ac:dyDescent="0.3">
      <c r="A962" s="45" t="s">
        <v>3169</v>
      </c>
      <c r="B962" s="40" t="s">
        <v>298</v>
      </c>
      <c r="C962" s="41" t="s">
        <v>1952</v>
      </c>
      <c r="D962" s="21" t="s">
        <v>2225</v>
      </c>
      <c r="E962" s="21" t="s">
        <v>2222</v>
      </c>
      <c r="F962" s="24">
        <v>7.6366055425916665E-2</v>
      </c>
      <c r="G962" s="21">
        <v>12</v>
      </c>
      <c r="H962" s="17">
        <v>24.3</v>
      </c>
      <c r="I962" s="43" t="s">
        <v>3950</v>
      </c>
      <c r="J962" s="26"/>
      <c r="K962" s="17">
        <f t="shared" si="90"/>
        <v>0</v>
      </c>
      <c r="N962" s="31" t="str">
        <f t="shared" si="93"/>
        <v>-</v>
      </c>
      <c r="O962" s="31" t="str">
        <f t="shared" si="95"/>
        <v>-</v>
      </c>
      <c r="P962" s="35" t="str">
        <f t="shared" si="94"/>
        <v>-</v>
      </c>
      <c r="Q962" s="32" t="str">
        <f t="shared" si="91"/>
        <v>-</v>
      </c>
      <c r="S962" s="32" t="str">
        <f t="shared" si="92"/>
        <v>-</v>
      </c>
    </row>
    <row r="963" spans="1:19" x14ac:dyDescent="0.3">
      <c r="A963" s="45" t="s">
        <v>3170</v>
      </c>
      <c r="B963" s="40" t="s">
        <v>740</v>
      </c>
      <c r="C963" s="41" t="s">
        <v>1930</v>
      </c>
      <c r="D963" s="21" t="s">
        <v>2227</v>
      </c>
      <c r="E963" s="21" t="s">
        <v>2234</v>
      </c>
      <c r="F963" s="24">
        <v>0.17418325001641669</v>
      </c>
      <c r="G963" s="21">
        <v>12</v>
      </c>
      <c r="H963" s="17">
        <v>25.19</v>
      </c>
      <c r="I963" s="43" t="s">
        <v>3950</v>
      </c>
      <c r="J963" s="26"/>
      <c r="K963" s="17">
        <f t="shared" si="90"/>
        <v>0</v>
      </c>
      <c r="N963" s="31" t="str">
        <f t="shared" si="93"/>
        <v>-</v>
      </c>
      <c r="O963" s="31" t="str">
        <f t="shared" si="95"/>
        <v>-</v>
      </c>
      <c r="P963" s="35" t="str">
        <f t="shared" si="94"/>
        <v>-</v>
      </c>
      <c r="Q963" s="32" t="str">
        <f t="shared" si="91"/>
        <v>-</v>
      </c>
      <c r="S963" s="32" t="str">
        <f t="shared" si="92"/>
        <v>-</v>
      </c>
    </row>
    <row r="964" spans="1:19" x14ac:dyDescent="0.3">
      <c r="A964" s="45" t="s">
        <v>3171</v>
      </c>
      <c r="B964" s="40" t="s">
        <v>1567</v>
      </c>
      <c r="C964" s="41" t="s">
        <v>1883</v>
      </c>
      <c r="D964" s="21" t="s">
        <v>2233</v>
      </c>
      <c r="E964" s="21" t="s">
        <v>2222</v>
      </c>
      <c r="F964" s="24">
        <v>7.2384723996969997</v>
      </c>
      <c r="G964" s="21">
        <v>12</v>
      </c>
      <c r="H964" s="17">
        <v>44.39</v>
      </c>
      <c r="I964" s="43" t="s">
        <v>3950</v>
      </c>
      <c r="J964" s="26"/>
      <c r="K964" s="17">
        <f t="shared" si="90"/>
        <v>0</v>
      </c>
      <c r="N964" s="31" t="str">
        <f t="shared" si="93"/>
        <v>-</v>
      </c>
      <c r="O964" s="31" t="str">
        <f t="shared" si="95"/>
        <v>-</v>
      </c>
      <c r="P964" s="35" t="str">
        <f t="shared" si="94"/>
        <v>-</v>
      </c>
      <c r="Q964" s="32" t="str">
        <f t="shared" si="91"/>
        <v>-</v>
      </c>
      <c r="S964" s="32" t="str">
        <f t="shared" si="92"/>
        <v>-</v>
      </c>
    </row>
    <row r="965" spans="1:19" x14ac:dyDescent="0.3">
      <c r="A965" s="45" t="s">
        <v>3172</v>
      </c>
      <c r="B965" s="40" t="s">
        <v>397</v>
      </c>
      <c r="C965" s="41" t="s">
        <v>1953</v>
      </c>
      <c r="D965" s="21" t="s">
        <v>2223</v>
      </c>
      <c r="E965" s="21" t="s">
        <v>2222</v>
      </c>
      <c r="F965" s="24">
        <v>0.11583615148875001</v>
      </c>
      <c r="G965" s="21">
        <v>12</v>
      </c>
      <c r="H965" s="17">
        <v>10.19</v>
      </c>
      <c r="I965" s="43" t="s">
        <v>3950</v>
      </c>
      <c r="J965" s="26"/>
      <c r="K965" s="17">
        <f t="shared" si="90"/>
        <v>0</v>
      </c>
      <c r="N965" s="31" t="str">
        <f t="shared" si="93"/>
        <v>-</v>
      </c>
      <c r="O965" s="31" t="str">
        <f t="shared" si="95"/>
        <v>-</v>
      </c>
      <c r="P965" s="35" t="str">
        <f t="shared" si="94"/>
        <v>-</v>
      </c>
      <c r="Q965" s="32" t="str">
        <f t="shared" si="91"/>
        <v>-</v>
      </c>
      <c r="S965" s="32" t="str">
        <f t="shared" si="92"/>
        <v>-</v>
      </c>
    </row>
    <row r="966" spans="1:19" x14ac:dyDescent="0.3">
      <c r="A966" s="45" t="s">
        <v>3173</v>
      </c>
      <c r="B966" s="40" t="s">
        <v>44</v>
      </c>
      <c r="C966" s="41" t="s">
        <v>1953</v>
      </c>
      <c r="D966" s="21" t="s">
        <v>2224</v>
      </c>
      <c r="E966" s="21" t="s">
        <v>2222</v>
      </c>
      <c r="F966" s="24">
        <v>0.16646083991716668</v>
      </c>
      <c r="G966" s="21">
        <v>12</v>
      </c>
      <c r="H966" s="17">
        <v>19.5</v>
      </c>
      <c r="I966" s="43" t="s">
        <v>3950</v>
      </c>
      <c r="J966" s="26"/>
      <c r="K966" s="17">
        <f t="shared" si="90"/>
        <v>0</v>
      </c>
      <c r="N966" s="31" t="str">
        <f t="shared" si="93"/>
        <v>-</v>
      </c>
      <c r="O966" s="31" t="str">
        <f t="shared" si="95"/>
        <v>-</v>
      </c>
      <c r="P966" s="35" t="str">
        <f t="shared" si="94"/>
        <v>-</v>
      </c>
      <c r="Q966" s="32" t="str">
        <f t="shared" si="91"/>
        <v>-</v>
      </c>
      <c r="S966" s="32" t="str">
        <f t="shared" si="92"/>
        <v>-</v>
      </c>
    </row>
    <row r="967" spans="1:19" x14ac:dyDescent="0.3">
      <c r="A967" s="45" t="s">
        <v>3174</v>
      </c>
      <c r="B967" s="40" t="s">
        <v>617</v>
      </c>
      <c r="C967" s="41" t="s">
        <v>1953</v>
      </c>
      <c r="D967" s="21" t="s">
        <v>2225</v>
      </c>
      <c r="E967" s="21" t="s">
        <v>2222</v>
      </c>
      <c r="F967" s="24">
        <v>0.22909816627775001</v>
      </c>
      <c r="G967" s="21">
        <v>12</v>
      </c>
      <c r="H967" s="17">
        <v>28.79</v>
      </c>
      <c r="I967" s="43" t="s">
        <v>3950</v>
      </c>
      <c r="J967" s="26"/>
      <c r="K967" s="17">
        <f t="shared" si="90"/>
        <v>0</v>
      </c>
      <c r="N967" s="31" t="str">
        <f t="shared" si="93"/>
        <v>-</v>
      </c>
      <c r="O967" s="31" t="str">
        <f t="shared" si="95"/>
        <v>-</v>
      </c>
      <c r="P967" s="35" t="str">
        <f t="shared" si="94"/>
        <v>-</v>
      </c>
      <c r="Q967" s="32" t="str">
        <f t="shared" si="91"/>
        <v>-</v>
      </c>
      <c r="S967" s="32" t="str">
        <f t="shared" si="92"/>
        <v>-</v>
      </c>
    </row>
    <row r="968" spans="1:19" x14ac:dyDescent="0.3">
      <c r="A968" s="45" t="s">
        <v>3175</v>
      </c>
      <c r="B968" s="40" t="s">
        <v>960</v>
      </c>
      <c r="C968" s="41" t="s">
        <v>1848</v>
      </c>
      <c r="D968" s="21" t="s">
        <v>2266</v>
      </c>
      <c r="E968" s="21" t="s">
        <v>2229</v>
      </c>
      <c r="F968" s="24">
        <v>0.49938251975150005</v>
      </c>
      <c r="G968" s="21">
        <v>12</v>
      </c>
      <c r="H968" s="17">
        <v>13.19</v>
      </c>
      <c r="I968" s="43" t="s">
        <v>3950</v>
      </c>
      <c r="J968" s="26"/>
      <c r="K968" s="17">
        <f t="shared" si="90"/>
        <v>0</v>
      </c>
      <c r="N968" s="31" t="str">
        <f t="shared" si="93"/>
        <v>-</v>
      </c>
      <c r="O968" s="31" t="str">
        <f t="shared" si="95"/>
        <v>-</v>
      </c>
      <c r="P968" s="35" t="str">
        <f t="shared" si="94"/>
        <v>-</v>
      </c>
      <c r="Q968" s="32" t="str">
        <f t="shared" si="91"/>
        <v>-</v>
      </c>
      <c r="S968" s="32" t="str">
        <f t="shared" si="92"/>
        <v>-</v>
      </c>
    </row>
    <row r="969" spans="1:19" x14ac:dyDescent="0.3">
      <c r="A969" s="45" t="s">
        <v>3178</v>
      </c>
      <c r="B969" s="40" t="s">
        <v>46</v>
      </c>
      <c r="C969" s="41" t="s">
        <v>1788</v>
      </c>
      <c r="D969" s="21" t="s">
        <v>2242</v>
      </c>
      <c r="E969" s="21" t="s">
        <v>2234</v>
      </c>
      <c r="F969" s="24">
        <v>0.1999246170139167</v>
      </c>
      <c r="G969" s="21">
        <v>12</v>
      </c>
      <c r="H969" s="17">
        <v>18.899999999999999</v>
      </c>
      <c r="I969" s="43" t="s">
        <v>3950</v>
      </c>
      <c r="J969" s="26"/>
      <c r="K969" s="17">
        <f t="shared" si="90"/>
        <v>0</v>
      </c>
      <c r="N969" s="31" t="str">
        <f t="shared" si="93"/>
        <v>-</v>
      </c>
      <c r="O969" s="31" t="str">
        <f t="shared" si="95"/>
        <v>-</v>
      </c>
      <c r="P969" s="35" t="str">
        <f t="shared" si="94"/>
        <v>-</v>
      </c>
      <c r="Q969" s="32" t="str">
        <f t="shared" si="91"/>
        <v>-</v>
      </c>
      <c r="S969" s="32" t="str">
        <f t="shared" si="92"/>
        <v>-</v>
      </c>
    </row>
    <row r="970" spans="1:19" x14ac:dyDescent="0.3">
      <c r="A970" s="45" t="s">
        <v>3180</v>
      </c>
      <c r="B970" s="40" t="s">
        <v>294</v>
      </c>
      <c r="C970" s="41" t="s">
        <v>1950</v>
      </c>
      <c r="D970" s="21" t="s">
        <v>2227</v>
      </c>
      <c r="E970" s="21" t="s">
        <v>2234</v>
      </c>
      <c r="F970" s="24">
        <v>0.16646083991716668</v>
      </c>
      <c r="G970" s="21">
        <v>12</v>
      </c>
      <c r="H970" s="17">
        <v>16.5</v>
      </c>
      <c r="I970" s="43" t="s">
        <v>3950</v>
      </c>
      <c r="J970" s="26"/>
      <c r="K970" s="17">
        <f t="shared" si="90"/>
        <v>0</v>
      </c>
      <c r="N970" s="31" t="str">
        <f t="shared" si="93"/>
        <v>-</v>
      </c>
      <c r="O970" s="31" t="str">
        <f t="shared" si="95"/>
        <v>-</v>
      </c>
      <c r="P970" s="35" t="str">
        <f t="shared" si="94"/>
        <v>-</v>
      </c>
      <c r="Q970" s="32" t="str">
        <f t="shared" si="91"/>
        <v>-</v>
      </c>
      <c r="S970" s="32" t="str">
        <f t="shared" si="92"/>
        <v>-</v>
      </c>
    </row>
    <row r="971" spans="1:19" x14ac:dyDescent="0.3">
      <c r="A971" s="45" t="s">
        <v>3181</v>
      </c>
      <c r="B971" s="40" t="s">
        <v>820</v>
      </c>
      <c r="C971" s="41" t="s">
        <v>1950</v>
      </c>
      <c r="D971" s="21" t="s">
        <v>2233</v>
      </c>
      <c r="E971" s="21" t="s">
        <v>2234</v>
      </c>
      <c r="F971" s="24">
        <v>0.30031594830416669</v>
      </c>
      <c r="G971" s="21">
        <v>12</v>
      </c>
      <c r="H971" s="17">
        <v>31.79</v>
      </c>
      <c r="I971" s="43" t="s">
        <v>3950</v>
      </c>
      <c r="J971" s="26"/>
      <c r="K971" s="17">
        <f t="shared" si="90"/>
        <v>0</v>
      </c>
      <c r="N971" s="31" t="str">
        <f t="shared" si="93"/>
        <v>-</v>
      </c>
      <c r="O971" s="31" t="str">
        <f t="shared" si="95"/>
        <v>-</v>
      </c>
      <c r="P971" s="35" t="str">
        <f t="shared" si="94"/>
        <v>-</v>
      </c>
      <c r="Q971" s="32" t="str">
        <f t="shared" si="91"/>
        <v>-</v>
      </c>
      <c r="S971" s="32" t="str">
        <f t="shared" si="92"/>
        <v>-</v>
      </c>
    </row>
    <row r="972" spans="1:19" x14ac:dyDescent="0.3">
      <c r="A972" s="45" t="s">
        <v>3182</v>
      </c>
      <c r="B972" s="40" t="s">
        <v>613</v>
      </c>
      <c r="C972" s="41" t="s">
        <v>1954</v>
      </c>
      <c r="D972" s="21" t="s">
        <v>2224</v>
      </c>
      <c r="E972" s="21" t="s">
        <v>2222</v>
      </c>
      <c r="F972" s="24">
        <v>0.16731888548375001</v>
      </c>
      <c r="G972" s="21">
        <v>12</v>
      </c>
      <c r="H972" s="17">
        <v>9.9</v>
      </c>
      <c r="I972" s="43" t="s">
        <v>3950</v>
      </c>
      <c r="J972" s="26"/>
      <c r="K972" s="17">
        <f t="shared" si="90"/>
        <v>0</v>
      </c>
      <c r="N972" s="31" t="str">
        <f t="shared" si="93"/>
        <v>-</v>
      </c>
      <c r="O972" s="31" t="str">
        <f t="shared" si="95"/>
        <v>-</v>
      </c>
      <c r="P972" s="35" t="str">
        <f t="shared" si="94"/>
        <v>-</v>
      </c>
      <c r="Q972" s="32" t="str">
        <f t="shared" si="91"/>
        <v>-</v>
      </c>
      <c r="S972" s="32" t="str">
        <f t="shared" si="92"/>
        <v>-</v>
      </c>
    </row>
    <row r="973" spans="1:19" x14ac:dyDescent="0.3">
      <c r="A973" s="45" t="s">
        <v>3183</v>
      </c>
      <c r="B973" s="40" t="s">
        <v>363</v>
      </c>
      <c r="C973" s="41" t="s">
        <v>1954</v>
      </c>
      <c r="D973" s="21" t="s">
        <v>2233</v>
      </c>
      <c r="E973" s="21" t="s">
        <v>2222</v>
      </c>
      <c r="F973" s="24">
        <v>0.49080206408566668</v>
      </c>
      <c r="G973" s="21">
        <v>12</v>
      </c>
      <c r="H973" s="17">
        <v>35.39</v>
      </c>
      <c r="I973" s="43" t="s">
        <v>3950</v>
      </c>
      <c r="J973" s="26"/>
      <c r="K973" s="17">
        <f t="shared" si="90"/>
        <v>0</v>
      </c>
      <c r="N973" s="31" t="str">
        <f t="shared" si="93"/>
        <v>-</v>
      </c>
      <c r="O973" s="31" t="str">
        <f t="shared" si="95"/>
        <v>-</v>
      </c>
      <c r="P973" s="35" t="str">
        <f t="shared" si="94"/>
        <v>-</v>
      </c>
      <c r="Q973" s="32" t="str">
        <f t="shared" si="91"/>
        <v>-</v>
      </c>
      <c r="S973" s="32" t="str">
        <f t="shared" si="92"/>
        <v>-</v>
      </c>
    </row>
    <row r="974" spans="1:19" x14ac:dyDescent="0.3">
      <c r="A974" s="45" t="s">
        <v>3184</v>
      </c>
      <c r="B974" s="40" t="s">
        <v>1146</v>
      </c>
      <c r="C974" s="41" t="s">
        <v>1769</v>
      </c>
      <c r="D974" s="21" t="s">
        <v>2224</v>
      </c>
      <c r="E974" s="21" t="s">
        <v>2234</v>
      </c>
      <c r="F974" s="24">
        <v>9.3955989540875015E-2</v>
      </c>
      <c r="G974" s="21">
        <v>12</v>
      </c>
      <c r="H974" s="17">
        <v>6.3</v>
      </c>
      <c r="I974" s="43" t="s">
        <v>3950</v>
      </c>
      <c r="J974" s="26"/>
      <c r="K974" s="17">
        <f t="shared" si="90"/>
        <v>0</v>
      </c>
      <c r="N974" s="31" t="str">
        <f t="shared" si="93"/>
        <v>-</v>
      </c>
      <c r="O974" s="31" t="str">
        <f t="shared" si="95"/>
        <v>-</v>
      </c>
      <c r="P974" s="35" t="str">
        <f t="shared" si="94"/>
        <v>-</v>
      </c>
      <c r="Q974" s="32" t="str">
        <f t="shared" si="91"/>
        <v>-</v>
      </c>
      <c r="S974" s="32" t="str">
        <f t="shared" si="92"/>
        <v>-</v>
      </c>
    </row>
    <row r="975" spans="1:19" x14ac:dyDescent="0.3">
      <c r="A975" s="45" t="s">
        <v>3185</v>
      </c>
      <c r="B975" s="40" t="s">
        <v>519</v>
      </c>
      <c r="C975" s="41" t="s">
        <v>1769</v>
      </c>
      <c r="D975" s="21" t="s">
        <v>2227</v>
      </c>
      <c r="E975" s="21" t="s">
        <v>2234</v>
      </c>
      <c r="F975" s="24">
        <v>0.16131256651766665</v>
      </c>
      <c r="G975" s="21">
        <v>12</v>
      </c>
      <c r="H975" s="17">
        <v>10.79</v>
      </c>
      <c r="I975" s="43" t="s">
        <v>3950</v>
      </c>
      <c r="J975" s="26"/>
      <c r="K975" s="17">
        <f t="shared" si="90"/>
        <v>0</v>
      </c>
      <c r="N975" s="31" t="str">
        <f t="shared" si="93"/>
        <v>-</v>
      </c>
      <c r="O975" s="31" t="str">
        <f t="shared" si="95"/>
        <v>-</v>
      </c>
      <c r="P975" s="35" t="str">
        <f t="shared" si="94"/>
        <v>-</v>
      </c>
      <c r="Q975" s="32" t="str">
        <f t="shared" si="91"/>
        <v>-</v>
      </c>
      <c r="S975" s="32" t="str">
        <f t="shared" si="92"/>
        <v>-</v>
      </c>
    </row>
    <row r="976" spans="1:19" x14ac:dyDescent="0.3">
      <c r="A976" s="45" t="s">
        <v>3186</v>
      </c>
      <c r="B976" s="40" t="s">
        <v>1404</v>
      </c>
      <c r="C976" s="41" t="s">
        <v>1769</v>
      </c>
      <c r="D976" s="21" t="s">
        <v>2233</v>
      </c>
      <c r="E976" s="21" t="s">
        <v>2234</v>
      </c>
      <c r="F976" s="24">
        <v>0.2900194015051667</v>
      </c>
      <c r="G976" s="21">
        <v>12</v>
      </c>
      <c r="H976" s="17">
        <v>20.25</v>
      </c>
      <c r="I976" s="43" t="s">
        <v>3950</v>
      </c>
      <c r="J976" s="26"/>
      <c r="K976" s="17">
        <f t="shared" si="90"/>
        <v>0</v>
      </c>
      <c r="N976" s="31" t="str">
        <f t="shared" si="93"/>
        <v>-</v>
      </c>
      <c r="O976" s="31" t="str">
        <f t="shared" si="95"/>
        <v>-</v>
      </c>
      <c r="P976" s="35" t="str">
        <f t="shared" si="94"/>
        <v>-</v>
      </c>
      <c r="Q976" s="32" t="str">
        <f t="shared" si="91"/>
        <v>-</v>
      </c>
      <c r="S976" s="32" t="str">
        <f t="shared" si="92"/>
        <v>-</v>
      </c>
    </row>
    <row r="977" spans="1:19" x14ac:dyDescent="0.3">
      <c r="A977" s="45" t="s">
        <v>3187</v>
      </c>
      <c r="B977" s="40" t="s">
        <v>569</v>
      </c>
      <c r="C977" s="41" t="s">
        <v>1955</v>
      </c>
      <c r="D977" s="21" t="s">
        <v>2228</v>
      </c>
      <c r="E977" s="21" t="s">
        <v>2229</v>
      </c>
      <c r="F977" s="24">
        <v>0.11326201478900001</v>
      </c>
      <c r="G977" s="21">
        <v>12</v>
      </c>
      <c r="H977" s="17">
        <v>11.7</v>
      </c>
      <c r="I977" s="43" t="s">
        <v>3950</v>
      </c>
      <c r="J977" s="26"/>
      <c r="K977" s="17">
        <f t="shared" si="90"/>
        <v>0</v>
      </c>
      <c r="N977" s="31" t="str">
        <f t="shared" si="93"/>
        <v>-</v>
      </c>
      <c r="O977" s="31" t="str">
        <f t="shared" si="95"/>
        <v>-</v>
      </c>
      <c r="P977" s="35" t="str">
        <f t="shared" si="94"/>
        <v>-</v>
      </c>
      <c r="Q977" s="32" t="str">
        <f t="shared" si="91"/>
        <v>-</v>
      </c>
      <c r="S977" s="32" t="str">
        <f t="shared" si="92"/>
        <v>-</v>
      </c>
    </row>
    <row r="978" spans="1:19" x14ac:dyDescent="0.3">
      <c r="A978" s="45" t="s">
        <v>3189</v>
      </c>
      <c r="B978" s="40" t="s">
        <v>964</v>
      </c>
      <c r="C978" s="41" t="s">
        <v>1956</v>
      </c>
      <c r="D978" s="21" t="s">
        <v>2221</v>
      </c>
      <c r="E978" s="21" t="s">
        <v>2234</v>
      </c>
      <c r="F978" s="24">
        <v>0.11497810592216667</v>
      </c>
      <c r="G978" s="21">
        <v>12</v>
      </c>
      <c r="H978" s="17">
        <v>10.050000000000001</v>
      </c>
      <c r="I978" s="43" t="s">
        <v>3950</v>
      </c>
      <c r="J978" s="26"/>
      <c r="K978" s="17">
        <f t="shared" si="90"/>
        <v>0</v>
      </c>
      <c r="N978" s="31" t="str">
        <f t="shared" si="93"/>
        <v>-</v>
      </c>
      <c r="O978" s="31" t="str">
        <f t="shared" si="95"/>
        <v>-</v>
      </c>
      <c r="P978" s="35" t="str">
        <f t="shared" si="94"/>
        <v>-</v>
      </c>
      <c r="Q978" s="32" t="str">
        <f t="shared" si="91"/>
        <v>-</v>
      </c>
      <c r="S978" s="32" t="str">
        <f t="shared" si="92"/>
        <v>-</v>
      </c>
    </row>
    <row r="979" spans="1:19" x14ac:dyDescent="0.3">
      <c r="A979" s="45" t="s">
        <v>3190</v>
      </c>
      <c r="B979" s="40" t="s">
        <v>271</v>
      </c>
      <c r="C979" s="41" t="s">
        <v>1956</v>
      </c>
      <c r="D979" s="21" t="s">
        <v>2242</v>
      </c>
      <c r="E979" s="21" t="s">
        <v>2234</v>
      </c>
      <c r="F979" s="24">
        <v>0.20764702711316668</v>
      </c>
      <c r="G979" s="21">
        <v>12</v>
      </c>
      <c r="H979" s="17">
        <v>18.899999999999999</v>
      </c>
      <c r="I979" s="43" t="s">
        <v>3950</v>
      </c>
      <c r="J979" s="26"/>
      <c r="K979" s="17">
        <f t="shared" si="90"/>
        <v>0</v>
      </c>
      <c r="N979" s="31" t="str">
        <f t="shared" si="93"/>
        <v>-</v>
      </c>
      <c r="O979" s="31" t="str">
        <f t="shared" si="95"/>
        <v>-</v>
      </c>
      <c r="P979" s="35" t="str">
        <f t="shared" si="94"/>
        <v>-</v>
      </c>
      <c r="Q979" s="32" t="str">
        <f t="shared" si="91"/>
        <v>-</v>
      </c>
      <c r="S979" s="32" t="str">
        <f t="shared" si="92"/>
        <v>-</v>
      </c>
    </row>
    <row r="980" spans="1:19" x14ac:dyDescent="0.3">
      <c r="A980" s="45" t="s">
        <v>3191</v>
      </c>
      <c r="B980" s="40" t="s">
        <v>548</v>
      </c>
      <c r="C980" s="41" t="s">
        <v>1654</v>
      </c>
      <c r="D980" s="21" t="s">
        <v>2221</v>
      </c>
      <c r="E980" s="21" t="s">
        <v>2234</v>
      </c>
      <c r="F980" s="24">
        <v>0.14071947291966666</v>
      </c>
      <c r="G980" s="21">
        <v>12</v>
      </c>
      <c r="H980" s="17">
        <v>6.45</v>
      </c>
      <c r="I980" s="43" t="s">
        <v>3950</v>
      </c>
      <c r="J980" s="26"/>
      <c r="K980" s="17">
        <f t="shared" si="90"/>
        <v>0</v>
      </c>
      <c r="N980" s="31" t="str">
        <f t="shared" si="93"/>
        <v>-</v>
      </c>
      <c r="O980" s="31" t="str">
        <f t="shared" si="95"/>
        <v>-</v>
      </c>
      <c r="P980" s="35" t="str">
        <f t="shared" si="94"/>
        <v>-</v>
      </c>
      <c r="Q980" s="32" t="str">
        <f t="shared" si="91"/>
        <v>-</v>
      </c>
      <c r="S980" s="32" t="str">
        <f t="shared" si="92"/>
        <v>-</v>
      </c>
    </row>
    <row r="981" spans="1:19" x14ac:dyDescent="0.3">
      <c r="A981" s="45" t="s">
        <v>3192</v>
      </c>
      <c r="B981" s="40" t="s">
        <v>1214</v>
      </c>
      <c r="C981" s="41" t="s">
        <v>1654</v>
      </c>
      <c r="D981" s="21" t="s">
        <v>2242</v>
      </c>
      <c r="E981" s="21" t="s">
        <v>2234</v>
      </c>
      <c r="F981" s="24">
        <v>0.24883321430916666</v>
      </c>
      <c r="G981" s="21">
        <v>12</v>
      </c>
      <c r="H981" s="17">
        <v>11.99</v>
      </c>
      <c r="I981" s="43" t="s">
        <v>3950</v>
      </c>
      <c r="J981" s="26"/>
      <c r="K981" s="17">
        <f t="shared" si="90"/>
        <v>0</v>
      </c>
      <c r="N981" s="31" t="str">
        <f t="shared" si="93"/>
        <v>-</v>
      </c>
      <c r="O981" s="31" t="str">
        <f t="shared" si="95"/>
        <v>-</v>
      </c>
      <c r="P981" s="35" t="str">
        <f t="shared" si="94"/>
        <v>-</v>
      </c>
      <c r="Q981" s="32" t="str">
        <f t="shared" si="91"/>
        <v>-</v>
      </c>
      <c r="S981" s="32" t="str">
        <f t="shared" si="92"/>
        <v>-</v>
      </c>
    </row>
    <row r="982" spans="1:19" x14ac:dyDescent="0.3">
      <c r="A982" s="45" t="s">
        <v>3195</v>
      </c>
      <c r="B982" s="40" t="s">
        <v>1008</v>
      </c>
      <c r="C982" s="41" t="s">
        <v>1958</v>
      </c>
      <c r="D982" s="21" t="s">
        <v>2225</v>
      </c>
      <c r="E982" s="21" t="s">
        <v>2222</v>
      </c>
      <c r="F982" s="24">
        <v>0.23424643967725001</v>
      </c>
      <c r="G982" s="21">
        <v>12</v>
      </c>
      <c r="H982" s="17">
        <v>17.7</v>
      </c>
      <c r="I982" s="43" t="s">
        <v>3950</v>
      </c>
      <c r="J982" s="26"/>
      <c r="K982" s="17">
        <f t="shared" si="90"/>
        <v>0</v>
      </c>
      <c r="N982" s="31" t="str">
        <f t="shared" si="93"/>
        <v>-</v>
      </c>
      <c r="O982" s="31" t="str">
        <f t="shared" si="95"/>
        <v>-</v>
      </c>
      <c r="P982" s="35" t="str">
        <f t="shared" si="94"/>
        <v>-</v>
      </c>
      <c r="Q982" s="32" t="str">
        <f t="shared" si="91"/>
        <v>-</v>
      </c>
      <c r="S982" s="32" t="str">
        <f t="shared" si="92"/>
        <v>-</v>
      </c>
    </row>
    <row r="983" spans="1:19" x14ac:dyDescent="0.3">
      <c r="A983" s="45" t="s">
        <v>3196</v>
      </c>
      <c r="B983" s="40" t="s">
        <v>282</v>
      </c>
      <c r="C983" s="41" t="s">
        <v>1958</v>
      </c>
      <c r="D983" s="21" t="s">
        <v>2226</v>
      </c>
      <c r="E983" s="21" t="s">
        <v>2222</v>
      </c>
      <c r="F983" s="24">
        <v>0.45004489967295835</v>
      </c>
      <c r="G983" s="21">
        <v>12</v>
      </c>
      <c r="H983" s="17">
        <v>33.590000000000003</v>
      </c>
      <c r="I983" s="43" t="s">
        <v>3950</v>
      </c>
      <c r="J983" s="26"/>
      <c r="K983" s="17">
        <f t="shared" si="90"/>
        <v>0</v>
      </c>
      <c r="N983" s="31" t="str">
        <f t="shared" si="93"/>
        <v>-</v>
      </c>
      <c r="O983" s="31" t="str">
        <f t="shared" si="95"/>
        <v>-</v>
      </c>
      <c r="P983" s="35" t="str">
        <f t="shared" si="94"/>
        <v>-</v>
      </c>
      <c r="Q983" s="32" t="str">
        <f t="shared" si="91"/>
        <v>-</v>
      </c>
      <c r="S983" s="32" t="str">
        <f t="shared" si="92"/>
        <v>-</v>
      </c>
    </row>
    <row r="984" spans="1:19" x14ac:dyDescent="0.3">
      <c r="A984" s="45" t="s">
        <v>3198</v>
      </c>
      <c r="B984" s="40" t="s">
        <v>747</v>
      </c>
      <c r="C984" s="41" t="s">
        <v>1959</v>
      </c>
      <c r="D984" s="21" t="s">
        <v>2242</v>
      </c>
      <c r="E984" s="21" t="s">
        <v>2234</v>
      </c>
      <c r="F984" s="24">
        <v>0.22051771061191666</v>
      </c>
      <c r="G984" s="21">
        <v>12</v>
      </c>
      <c r="H984" s="17">
        <v>14.39</v>
      </c>
      <c r="I984" s="43" t="s">
        <v>3950</v>
      </c>
      <c r="J984" s="26"/>
      <c r="K984" s="17">
        <f t="shared" si="90"/>
        <v>0</v>
      </c>
      <c r="N984" s="31" t="str">
        <f t="shared" si="93"/>
        <v>-</v>
      </c>
      <c r="O984" s="31" t="str">
        <f t="shared" si="95"/>
        <v>-</v>
      </c>
      <c r="P984" s="35" t="str">
        <f t="shared" si="94"/>
        <v>-</v>
      </c>
      <c r="Q984" s="32" t="str">
        <f t="shared" si="91"/>
        <v>-</v>
      </c>
      <c r="S984" s="32" t="str">
        <f t="shared" si="92"/>
        <v>-</v>
      </c>
    </row>
    <row r="985" spans="1:19" x14ac:dyDescent="0.3">
      <c r="A985" s="45" t="s">
        <v>3199</v>
      </c>
      <c r="B985" s="40" t="s">
        <v>81</v>
      </c>
      <c r="C985" s="41" t="s">
        <v>1960</v>
      </c>
      <c r="D985" s="21" t="s">
        <v>2227</v>
      </c>
      <c r="E985" s="21" t="s">
        <v>2222</v>
      </c>
      <c r="F985" s="24">
        <v>7.2075827592999991E-2</v>
      </c>
      <c r="G985" s="21">
        <v>12</v>
      </c>
      <c r="H985" s="17">
        <v>15.3</v>
      </c>
      <c r="I985" s="43" t="s">
        <v>3950</v>
      </c>
      <c r="J985" s="26"/>
      <c r="K985" s="17">
        <f t="shared" si="90"/>
        <v>0</v>
      </c>
      <c r="N985" s="31" t="str">
        <f t="shared" si="93"/>
        <v>-</v>
      </c>
      <c r="O985" s="31" t="str">
        <f t="shared" si="95"/>
        <v>-</v>
      </c>
      <c r="P985" s="35" t="str">
        <f t="shared" si="94"/>
        <v>-</v>
      </c>
      <c r="Q985" s="32" t="str">
        <f t="shared" si="91"/>
        <v>-</v>
      </c>
      <c r="S985" s="32" t="str">
        <f t="shared" si="92"/>
        <v>-</v>
      </c>
    </row>
    <row r="986" spans="1:19" x14ac:dyDescent="0.3">
      <c r="A986" s="45" t="s">
        <v>3200</v>
      </c>
      <c r="B986" s="40" t="s">
        <v>1418</v>
      </c>
      <c r="C986" s="41" t="s">
        <v>1960</v>
      </c>
      <c r="D986" s="21" t="s">
        <v>2233</v>
      </c>
      <c r="E986" s="21" t="s">
        <v>2222</v>
      </c>
      <c r="F986" s="24">
        <v>0.11068787808925001</v>
      </c>
      <c r="G986" s="21">
        <v>12</v>
      </c>
      <c r="H986" s="17">
        <v>29.7</v>
      </c>
      <c r="I986" s="43" t="s">
        <v>3950</v>
      </c>
      <c r="J986" s="26"/>
      <c r="K986" s="17">
        <f t="shared" si="90"/>
        <v>0</v>
      </c>
      <c r="N986" s="31" t="str">
        <f t="shared" si="93"/>
        <v>-</v>
      </c>
      <c r="O986" s="31" t="str">
        <f t="shared" si="95"/>
        <v>-</v>
      </c>
      <c r="P986" s="35" t="str">
        <f t="shared" si="94"/>
        <v>-</v>
      </c>
      <c r="Q986" s="32" t="str">
        <f t="shared" si="91"/>
        <v>-</v>
      </c>
      <c r="S986" s="32" t="str">
        <f t="shared" si="92"/>
        <v>-</v>
      </c>
    </row>
    <row r="987" spans="1:19" x14ac:dyDescent="0.3">
      <c r="A987" s="45" t="s">
        <v>3201</v>
      </c>
      <c r="B987" s="40" t="s">
        <v>802</v>
      </c>
      <c r="C987" s="41" t="s">
        <v>1961</v>
      </c>
      <c r="D987" s="21" t="s">
        <v>2223</v>
      </c>
      <c r="E987" s="21" t="s">
        <v>2222</v>
      </c>
      <c r="F987" s="24">
        <v>8.4946511091750013E-2</v>
      </c>
      <c r="G987" s="21">
        <v>12</v>
      </c>
      <c r="H987" s="17">
        <v>9.59</v>
      </c>
      <c r="I987" s="43" t="s">
        <v>3950</v>
      </c>
      <c r="J987" s="26"/>
      <c r="K987" s="17">
        <f t="shared" si="90"/>
        <v>0</v>
      </c>
      <c r="N987" s="31" t="str">
        <f t="shared" si="93"/>
        <v>-</v>
      </c>
      <c r="O987" s="31" t="str">
        <f t="shared" si="95"/>
        <v>-</v>
      </c>
      <c r="P987" s="35" t="str">
        <f t="shared" si="94"/>
        <v>-</v>
      </c>
      <c r="Q987" s="32" t="str">
        <f t="shared" si="91"/>
        <v>-</v>
      </c>
      <c r="S987" s="32" t="str">
        <f t="shared" si="92"/>
        <v>-</v>
      </c>
    </row>
    <row r="988" spans="1:19" x14ac:dyDescent="0.3">
      <c r="A988" s="45" t="s">
        <v>3202</v>
      </c>
      <c r="B988" s="40" t="s">
        <v>614</v>
      </c>
      <c r="C988" s="41" t="s">
        <v>1961</v>
      </c>
      <c r="D988" s="21" t="s">
        <v>2224</v>
      </c>
      <c r="E988" s="21" t="s">
        <v>2222</v>
      </c>
      <c r="F988" s="24">
        <v>0.12784878942091665</v>
      </c>
      <c r="G988" s="21">
        <v>12</v>
      </c>
      <c r="H988" s="17">
        <v>18.3</v>
      </c>
      <c r="I988" s="43" t="s">
        <v>3950</v>
      </c>
      <c r="J988" s="26"/>
      <c r="K988" s="17">
        <f t="shared" si="90"/>
        <v>0</v>
      </c>
      <c r="N988" s="31" t="str">
        <f t="shared" si="93"/>
        <v>-</v>
      </c>
      <c r="O988" s="31" t="str">
        <f t="shared" si="95"/>
        <v>-</v>
      </c>
      <c r="P988" s="35" t="str">
        <f t="shared" si="94"/>
        <v>-</v>
      </c>
      <c r="Q988" s="32" t="str">
        <f t="shared" si="91"/>
        <v>-</v>
      </c>
      <c r="S988" s="32" t="str">
        <f t="shared" si="92"/>
        <v>-</v>
      </c>
    </row>
    <row r="989" spans="1:19" x14ac:dyDescent="0.3">
      <c r="A989" s="45" t="s">
        <v>3203</v>
      </c>
      <c r="B989" s="40" t="s">
        <v>1405</v>
      </c>
      <c r="C989" s="41" t="s">
        <v>1961</v>
      </c>
      <c r="D989" s="21" t="s">
        <v>2227</v>
      </c>
      <c r="E989" s="21" t="s">
        <v>2222</v>
      </c>
      <c r="F989" s="24">
        <v>0.23939471307675006</v>
      </c>
      <c r="G989" s="21">
        <v>12</v>
      </c>
      <c r="H989" s="17">
        <v>35.700000000000003</v>
      </c>
      <c r="I989" s="43" t="s">
        <v>3950</v>
      </c>
      <c r="J989" s="26"/>
      <c r="K989" s="17">
        <f t="shared" si="90"/>
        <v>0</v>
      </c>
      <c r="N989" s="31" t="str">
        <f t="shared" si="93"/>
        <v>-</v>
      </c>
      <c r="O989" s="31" t="str">
        <f t="shared" si="95"/>
        <v>-</v>
      </c>
      <c r="P989" s="35" t="str">
        <f t="shared" si="94"/>
        <v>-</v>
      </c>
      <c r="Q989" s="32" t="str">
        <f t="shared" si="91"/>
        <v>-</v>
      </c>
      <c r="S989" s="32" t="str">
        <f t="shared" si="92"/>
        <v>-</v>
      </c>
    </row>
    <row r="990" spans="1:19" x14ac:dyDescent="0.3">
      <c r="A990" s="45" t="s">
        <v>3204</v>
      </c>
      <c r="B990" s="40" t="s">
        <v>1343</v>
      </c>
      <c r="C990" s="41" t="s">
        <v>1902</v>
      </c>
      <c r="D990" s="21" t="s">
        <v>2223</v>
      </c>
      <c r="E990" s="21" t="s">
        <v>2234</v>
      </c>
      <c r="F990" s="24">
        <v>4.5476415028916667E-2</v>
      </c>
      <c r="G990" s="21">
        <v>12</v>
      </c>
      <c r="H990" s="17">
        <v>5.99</v>
      </c>
      <c r="I990" s="43" t="s">
        <v>3950</v>
      </c>
      <c r="J990" s="26"/>
      <c r="K990" s="17">
        <f t="shared" si="90"/>
        <v>0</v>
      </c>
      <c r="N990" s="31" t="str">
        <f t="shared" si="93"/>
        <v>-</v>
      </c>
      <c r="O990" s="31" t="str">
        <f t="shared" si="95"/>
        <v>-</v>
      </c>
      <c r="P990" s="35" t="str">
        <f t="shared" si="94"/>
        <v>-</v>
      </c>
      <c r="Q990" s="32" t="str">
        <f t="shared" si="91"/>
        <v>-</v>
      </c>
      <c r="S990" s="32" t="str">
        <f t="shared" si="92"/>
        <v>-</v>
      </c>
    </row>
    <row r="991" spans="1:19" x14ac:dyDescent="0.3">
      <c r="A991" s="45" t="s">
        <v>3205</v>
      </c>
      <c r="B991" s="40" t="s">
        <v>82</v>
      </c>
      <c r="C991" s="41" t="s">
        <v>1902</v>
      </c>
      <c r="D991" s="21" t="s">
        <v>2224</v>
      </c>
      <c r="E991" s="21" t="s">
        <v>2234</v>
      </c>
      <c r="F991" s="24">
        <v>7.2075827592999991E-2</v>
      </c>
      <c r="G991" s="21">
        <v>12</v>
      </c>
      <c r="H991" s="17">
        <v>11.1</v>
      </c>
      <c r="I991" s="43" t="s">
        <v>3950</v>
      </c>
      <c r="J991" s="26"/>
      <c r="K991" s="17">
        <f t="shared" si="90"/>
        <v>0</v>
      </c>
      <c r="N991" s="31" t="str">
        <f t="shared" si="93"/>
        <v>-</v>
      </c>
      <c r="O991" s="31" t="str">
        <f t="shared" si="95"/>
        <v>-</v>
      </c>
      <c r="P991" s="35" t="str">
        <f t="shared" si="94"/>
        <v>-</v>
      </c>
      <c r="Q991" s="32" t="str">
        <f t="shared" si="91"/>
        <v>-</v>
      </c>
      <c r="S991" s="32" t="str">
        <f t="shared" si="92"/>
        <v>-</v>
      </c>
    </row>
    <row r="992" spans="1:19" x14ac:dyDescent="0.3">
      <c r="A992" s="45" t="s">
        <v>3206</v>
      </c>
      <c r="B992" s="40" t="s">
        <v>537</v>
      </c>
      <c r="C992" s="41" t="s">
        <v>1909</v>
      </c>
      <c r="D992" s="21" t="s">
        <v>2231</v>
      </c>
      <c r="E992" s="21" t="s">
        <v>2234</v>
      </c>
      <c r="F992" s="24">
        <v>6.3066349143875003E-2</v>
      </c>
      <c r="G992" s="21">
        <v>12</v>
      </c>
      <c r="H992" s="17">
        <v>6.59</v>
      </c>
      <c r="I992" s="43" t="s">
        <v>3950</v>
      </c>
      <c r="J992" s="26"/>
      <c r="K992" s="17">
        <f t="shared" si="90"/>
        <v>0</v>
      </c>
      <c r="N992" s="31" t="str">
        <f t="shared" si="93"/>
        <v>-</v>
      </c>
      <c r="O992" s="31" t="str">
        <f t="shared" si="95"/>
        <v>-</v>
      </c>
      <c r="P992" s="35" t="str">
        <f t="shared" si="94"/>
        <v>-</v>
      </c>
      <c r="Q992" s="32" t="str">
        <f t="shared" si="91"/>
        <v>-</v>
      </c>
      <c r="S992" s="32" t="str">
        <f t="shared" si="92"/>
        <v>-</v>
      </c>
    </row>
    <row r="993" spans="1:19" x14ac:dyDescent="0.3">
      <c r="A993" s="45" t="s">
        <v>3207</v>
      </c>
      <c r="B993" s="40" t="s">
        <v>367</v>
      </c>
      <c r="C993" s="41" t="s">
        <v>1909</v>
      </c>
      <c r="D993" s="21" t="s">
        <v>2225</v>
      </c>
      <c r="E993" s="21" t="s">
        <v>2234</v>
      </c>
      <c r="F993" s="24">
        <v>0.14071947291966666</v>
      </c>
      <c r="G993" s="21">
        <v>12</v>
      </c>
      <c r="H993" s="17">
        <v>12.15</v>
      </c>
      <c r="I993" s="43" t="s">
        <v>3950</v>
      </c>
      <c r="J993" s="26"/>
      <c r="K993" s="17">
        <f t="shared" si="90"/>
        <v>0</v>
      </c>
      <c r="N993" s="31" t="str">
        <f t="shared" si="93"/>
        <v>-</v>
      </c>
      <c r="O993" s="31" t="str">
        <f t="shared" si="95"/>
        <v>-</v>
      </c>
      <c r="P993" s="35" t="str">
        <f t="shared" si="94"/>
        <v>-</v>
      </c>
      <c r="Q993" s="32" t="str">
        <f t="shared" si="91"/>
        <v>-</v>
      </c>
      <c r="S993" s="32" t="str">
        <f t="shared" si="92"/>
        <v>-</v>
      </c>
    </row>
    <row r="994" spans="1:19" x14ac:dyDescent="0.3">
      <c r="A994" s="45" t="s">
        <v>3208</v>
      </c>
      <c r="B994" s="40" t="s">
        <v>778</v>
      </c>
      <c r="C994" s="41" t="s">
        <v>1909</v>
      </c>
      <c r="D994" s="21" t="s">
        <v>2226</v>
      </c>
      <c r="E994" s="21" t="s">
        <v>2234</v>
      </c>
      <c r="F994" s="24">
        <v>0.15101601971866668</v>
      </c>
      <c r="G994" s="21">
        <v>12</v>
      </c>
      <c r="H994" s="17">
        <v>23.25</v>
      </c>
      <c r="I994" s="43" t="s">
        <v>3950</v>
      </c>
      <c r="J994" s="26"/>
      <c r="K994" s="17">
        <f t="shared" si="90"/>
        <v>0</v>
      </c>
      <c r="N994" s="31" t="str">
        <f t="shared" si="93"/>
        <v>-</v>
      </c>
      <c r="O994" s="31" t="str">
        <f t="shared" si="95"/>
        <v>-</v>
      </c>
      <c r="P994" s="35" t="str">
        <f t="shared" si="94"/>
        <v>-</v>
      </c>
      <c r="Q994" s="32" t="str">
        <f t="shared" si="91"/>
        <v>-</v>
      </c>
      <c r="S994" s="32" t="str">
        <f t="shared" si="92"/>
        <v>-</v>
      </c>
    </row>
    <row r="995" spans="1:19" x14ac:dyDescent="0.3">
      <c r="A995" s="45" t="s">
        <v>3209</v>
      </c>
      <c r="B995" s="40" t="s">
        <v>835</v>
      </c>
      <c r="C995" s="41" t="s">
        <v>1877</v>
      </c>
      <c r="D995" s="21" t="s">
        <v>2233</v>
      </c>
      <c r="E995" s="21" t="s">
        <v>2222</v>
      </c>
      <c r="F995" s="24">
        <v>0.545716980347</v>
      </c>
      <c r="G995" s="21">
        <v>12</v>
      </c>
      <c r="H995" s="17">
        <v>49.19</v>
      </c>
      <c r="I995" s="43" t="s">
        <v>3950</v>
      </c>
      <c r="J995" s="26"/>
      <c r="K995" s="17">
        <f t="shared" si="90"/>
        <v>0</v>
      </c>
      <c r="N995" s="31" t="str">
        <f t="shared" si="93"/>
        <v>-</v>
      </c>
      <c r="O995" s="31" t="str">
        <f t="shared" si="95"/>
        <v>-</v>
      </c>
      <c r="P995" s="35" t="str">
        <f t="shared" si="94"/>
        <v>-</v>
      </c>
      <c r="Q995" s="32" t="str">
        <f t="shared" si="91"/>
        <v>-</v>
      </c>
      <c r="S995" s="32" t="str">
        <f t="shared" si="92"/>
        <v>-</v>
      </c>
    </row>
    <row r="996" spans="1:19" x14ac:dyDescent="0.3">
      <c r="A996" s="45" t="s">
        <v>3210</v>
      </c>
      <c r="B996" s="40" t="s">
        <v>1568</v>
      </c>
      <c r="C996" s="41" t="s">
        <v>1890</v>
      </c>
      <c r="D996" s="21" t="s">
        <v>2226</v>
      </c>
      <c r="E996" s="21" t="s">
        <v>2222</v>
      </c>
      <c r="F996" s="24">
        <v>0.39341389227845841</v>
      </c>
      <c r="G996" s="21">
        <v>12</v>
      </c>
      <c r="H996" s="17">
        <v>46.19</v>
      </c>
      <c r="I996" s="43" t="s">
        <v>3950</v>
      </c>
      <c r="J996" s="26"/>
      <c r="K996" s="17">
        <f t="shared" si="90"/>
        <v>0</v>
      </c>
      <c r="N996" s="31" t="str">
        <f t="shared" si="93"/>
        <v>-</v>
      </c>
      <c r="O996" s="31" t="str">
        <f t="shared" si="95"/>
        <v>-</v>
      </c>
      <c r="P996" s="35" t="str">
        <f t="shared" si="94"/>
        <v>-</v>
      </c>
      <c r="Q996" s="32" t="str">
        <f t="shared" si="91"/>
        <v>-</v>
      </c>
      <c r="S996" s="32" t="str">
        <f t="shared" si="92"/>
        <v>-</v>
      </c>
    </row>
    <row r="997" spans="1:19" x14ac:dyDescent="0.3">
      <c r="A997" s="45" t="s">
        <v>3211</v>
      </c>
      <c r="B997" s="40" t="s">
        <v>1340</v>
      </c>
      <c r="C997" s="41" t="s">
        <v>1960</v>
      </c>
      <c r="D997" s="21" t="s">
        <v>2224</v>
      </c>
      <c r="E997" s="21" t="s">
        <v>2222</v>
      </c>
      <c r="F997" s="24">
        <v>5.6631007394500006E-2</v>
      </c>
      <c r="G997" s="21">
        <v>12</v>
      </c>
      <c r="H997" s="17">
        <v>8.1</v>
      </c>
      <c r="I997" s="43" t="s">
        <v>3950</v>
      </c>
      <c r="J997" s="26"/>
      <c r="K997" s="17">
        <f t="shared" si="90"/>
        <v>0</v>
      </c>
      <c r="N997" s="31" t="str">
        <f t="shared" si="93"/>
        <v>-</v>
      </c>
      <c r="O997" s="31" t="str">
        <f t="shared" si="95"/>
        <v>-</v>
      </c>
      <c r="P997" s="35" t="str">
        <f t="shared" si="94"/>
        <v>-</v>
      </c>
      <c r="Q997" s="32" t="str">
        <f t="shared" si="91"/>
        <v>-</v>
      </c>
      <c r="S997" s="32" t="str">
        <f t="shared" si="92"/>
        <v>-</v>
      </c>
    </row>
    <row r="998" spans="1:19" x14ac:dyDescent="0.3">
      <c r="A998" s="45" t="s">
        <v>3212</v>
      </c>
      <c r="B998" s="40" t="s">
        <v>787</v>
      </c>
      <c r="C998" s="41" t="s">
        <v>1962</v>
      </c>
      <c r="D998" s="21" t="s">
        <v>2223</v>
      </c>
      <c r="E998" s="21" t="s">
        <v>2222</v>
      </c>
      <c r="F998" s="24">
        <v>5.5772961827916676E-2</v>
      </c>
      <c r="G998" s="21">
        <v>12</v>
      </c>
      <c r="H998" s="17">
        <v>9.9</v>
      </c>
      <c r="I998" s="43" t="s">
        <v>3950</v>
      </c>
      <c r="J998" s="26"/>
      <c r="K998" s="17">
        <f t="shared" si="90"/>
        <v>0</v>
      </c>
      <c r="N998" s="31" t="str">
        <f t="shared" si="93"/>
        <v>-</v>
      </c>
      <c r="O998" s="31" t="str">
        <f t="shared" si="95"/>
        <v>-</v>
      </c>
      <c r="P998" s="35" t="str">
        <f t="shared" si="94"/>
        <v>-</v>
      </c>
      <c r="Q998" s="32" t="str">
        <f t="shared" si="91"/>
        <v>-</v>
      </c>
      <c r="S998" s="32" t="str">
        <f t="shared" si="92"/>
        <v>-</v>
      </c>
    </row>
    <row r="999" spans="1:19" x14ac:dyDescent="0.3">
      <c r="A999" s="45" t="s">
        <v>3213</v>
      </c>
      <c r="B999" s="40" t="s">
        <v>73</v>
      </c>
      <c r="C999" s="41" t="s">
        <v>1962</v>
      </c>
      <c r="D999" s="21" t="s">
        <v>2224</v>
      </c>
      <c r="E999" s="21" t="s">
        <v>2222</v>
      </c>
      <c r="F999" s="24">
        <v>9.7817194590499992E-2</v>
      </c>
      <c r="G999" s="21">
        <v>12</v>
      </c>
      <c r="H999" s="17">
        <v>18.899999999999999</v>
      </c>
      <c r="I999" s="43" t="s">
        <v>3950</v>
      </c>
      <c r="J999" s="26"/>
      <c r="K999" s="17">
        <f t="shared" si="90"/>
        <v>0</v>
      </c>
      <c r="N999" s="31" t="str">
        <f t="shared" si="93"/>
        <v>-</v>
      </c>
      <c r="O999" s="31" t="str">
        <f t="shared" si="95"/>
        <v>-</v>
      </c>
      <c r="P999" s="35" t="str">
        <f t="shared" si="94"/>
        <v>-</v>
      </c>
      <c r="Q999" s="32" t="str">
        <f t="shared" si="91"/>
        <v>-</v>
      </c>
      <c r="S999" s="32" t="str">
        <f t="shared" si="92"/>
        <v>-</v>
      </c>
    </row>
    <row r="1000" spans="1:19" x14ac:dyDescent="0.3">
      <c r="A1000" s="45" t="s">
        <v>3214</v>
      </c>
      <c r="B1000" s="40" t="s">
        <v>1274</v>
      </c>
      <c r="C1000" s="41" t="s">
        <v>1962</v>
      </c>
      <c r="D1000" s="21" t="s">
        <v>2227</v>
      </c>
      <c r="E1000" s="21" t="s">
        <v>2222</v>
      </c>
      <c r="F1000" s="24">
        <v>0.17933152341591668</v>
      </c>
      <c r="G1000" s="21">
        <v>12</v>
      </c>
      <c r="H1000" s="17">
        <v>35.39</v>
      </c>
      <c r="I1000" s="43" t="s">
        <v>3950</v>
      </c>
      <c r="J1000" s="26"/>
      <c r="K1000" s="17">
        <f t="shared" si="90"/>
        <v>0</v>
      </c>
      <c r="N1000" s="31" t="str">
        <f t="shared" si="93"/>
        <v>-</v>
      </c>
      <c r="O1000" s="31" t="str">
        <f t="shared" si="95"/>
        <v>-</v>
      </c>
      <c r="P1000" s="35" t="str">
        <f t="shared" si="94"/>
        <v>-</v>
      </c>
      <c r="Q1000" s="32" t="str">
        <f t="shared" si="91"/>
        <v>-</v>
      </c>
      <c r="S1000" s="32" t="str">
        <f t="shared" si="92"/>
        <v>-</v>
      </c>
    </row>
    <row r="1001" spans="1:19" x14ac:dyDescent="0.3">
      <c r="A1001" s="45" t="s">
        <v>3217</v>
      </c>
      <c r="B1001" s="40" t="s">
        <v>1414</v>
      </c>
      <c r="C1001" s="41" t="s">
        <v>1964</v>
      </c>
      <c r="D1001" s="21" t="s">
        <v>2223</v>
      </c>
      <c r="E1001" s="21" t="s">
        <v>2222</v>
      </c>
      <c r="F1001" s="24">
        <v>4.0328141629416663E-2</v>
      </c>
      <c r="G1001" s="21">
        <v>12</v>
      </c>
      <c r="H1001" s="17">
        <v>8.1</v>
      </c>
      <c r="I1001" s="43" t="s">
        <v>3950</v>
      </c>
      <c r="J1001" s="26"/>
      <c r="K1001" s="17">
        <f t="shared" si="90"/>
        <v>0</v>
      </c>
      <c r="N1001" s="31" t="str">
        <f t="shared" si="93"/>
        <v>-</v>
      </c>
      <c r="O1001" s="31" t="str">
        <f t="shared" si="95"/>
        <v>-</v>
      </c>
      <c r="P1001" s="35" t="str">
        <f t="shared" si="94"/>
        <v>-</v>
      </c>
      <c r="Q1001" s="32" t="str">
        <f t="shared" si="91"/>
        <v>-</v>
      </c>
      <c r="S1001" s="32" t="str">
        <f t="shared" si="92"/>
        <v>-</v>
      </c>
    </row>
    <row r="1002" spans="1:19" x14ac:dyDescent="0.3">
      <c r="A1002" s="45" t="s">
        <v>3218</v>
      </c>
      <c r="B1002" s="40" t="s">
        <v>1229</v>
      </c>
      <c r="C1002" s="41" t="s">
        <v>1964</v>
      </c>
      <c r="D1002" s="21" t="s">
        <v>2224</v>
      </c>
      <c r="E1002" s="21" t="s">
        <v>2222</v>
      </c>
      <c r="F1002" s="24">
        <v>0.1381453362199167</v>
      </c>
      <c r="G1002" s="21">
        <v>12</v>
      </c>
      <c r="H1002" s="17">
        <v>15.3</v>
      </c>
      <c r="I1002" s="43" t="s">
        <v>3950</v>
      </c>
      <c r="J1002" s="26"/>
      <c r="K1002" s="17">
        <f t="shared" si="90"/>
        <v>0</v>
      </c>
      <c r="N1002" s="31" t="str">
        <f t="shared" si="93"/>
        <v>-</v>
      </c>
      <c r="O1002" s="31" t="str">
        <f t="shared" si="95"/>
        <v>-</v>
      </c>
      <c r="P1002" s="35" t="str">
        <f t="shared" si="94"/>
        <v>-</v>
      </c>
      <c r="Q1002" s="32" t="str">
        <f t="shared" si="91"/>
        <v>-</v>
      </c>
      <c r="S1002" s="32" t="str">
        <f t="shared" si="92"/>
        <v>-</v>
      </c>
    </row>
    <row r="1003" spans="1:19" x14ac:dyDescent="0.3">
      <c r="A1003" s="45" t="s">
        <v>3219</v>
      </c>
      <c r="B1003" s="40" t="s">
        <v>88</v>
      </c>
      <c r="C1003" s="41" t="s">
        <v>1965</v>
      </c>
      <c r="D1003" s="21" t="s">
        <v>2230</v>
      </c>
      <c r="E1003" s="21" t="s">
        <v>2258</v>
      </c>
      <c r="F1003" s="24">
        <v>0.25226539657550001</v>
      </c>
      <c r="G1003" s="21">
        <v>12</v>
      </c>
      <c r="H1003" s="17">
        <v>15.45</v>
      </c>
      <c r="I1003" s="43" t="s">
        <v>3950</v>
      </c>
      <c r="J1003" s="26"/>
      <c r="K1003" s="17">
        <f t="shared" si="90"/>
        <v>0</v>
      </c>
      <c r="N1003" s="31" t="str">
        <f t="shared" si="93"/>
        <v>-</v>
      </c>
      <c r="O1003" s="31" t="str">
        <f t="shared" si="95"/>
        <v>-</v>
      </c>
      <c r="P1003" s="35" t="str">
        <f t="shared" si="94"/>
        <v>-</v>
      </c>
      <c r="Q1003" s="32" t="str">
        <f t="shared" si="91"/>
        <v>-</v>
      </c>
      <c r="S1003" s="32" t="str">
        <f t="shared" si="92"/>
        <v>-</v>
      </c>
    </row>
    <row r="1004" spans="1:19" x14ac:dyDescent="0.3">
      <c r="A1004" s="45" t="s">
        <v>3220</v>
      </c>
      <c r="B1004" s="40" t="s">
        <v>362</v>
      </c>
      <c r="C1004" s="41" t="s">
        <v>1965</v>
      </c>
      <c r="D1004" s="21" t="s">
        <v>2235</v>
      </c>
      <c r="E1004" s="21" t="s">
        <v>2258</v>
      </c>
      <c r="F1004" s="24">
        <v>0.28422759393072922</v>
      </c>
      <c r="G1004" s="21">
        <v>24</v>
      </c>
      <c r="H1004" s="17">
        <v>26.99</v>
      </c>
      <c r="I1004" s="43" t="s">
        <v>3950</v>
      </c>
      <c r="J1004" s="26"/>
      <c r="K1004" s="17">
        <f t="shared" si="90"/>
        <v>0</v>
      </c>
      <c r="N1004" s="31" t="str">
        <f t="shared" si="93"/>
        <v>-</v>
      </c>
      <c r="O1004" s="31" t="str">
        <f t="shared" si="95"/>
        <v>-</v>
      </c>
      <c r="P1004" s="35" t="str">
        <f t="shared" si="94"/>
        <v>-</v>
      </c>
      <c r="Q1004" s="32" t="str">
        <f t="shared" si="91"/>
        <v>-</v>
      </c>
      <c r="S1004" s="32" t="str">
        <f t="shared" si="92"/>
        <v>-</v>
      </c>
    </row>
    <row r="1005" spans="1:19" x14ac:dyDescent="0.3">
      <c r="A1005" s="45" t="s">
        <v>3221</v>
      </c>
      <c r="B1005" s="40" t="s">
        <v>119</v>
      </c>
      <c r="C1005" s="41" t="s">
        <v>1887</v>
      </c>
      <c r="D1005" s="21" t="s">
        <v>2223</v>
      </c>
      <c r="E1005" s="21" t="s">
        <v>2234</v>
      </c>
      <c r="F1005" s="24">
        <v>6.1779280794000004E-2</v>
      </c>
      <c r="G1005" s="21">
        <v>12</v>
      </c>
      <c r="H1005" s="17">
        <v>7.19</v>
      </c>
      <c r="I1005" s="43" t="s">
        <v>3950</v>
      </c>
      <c r="J1005" s="26"/>
      <c r="K1005" s="17">
        <f t="shared" si="90"/>
        <v>0</v>
      </c>
      <c r="N1005" s="31" t="str">
        <f t="shared" si="93"/>
        <v>-</v>
      </c>
      <c r="O1005" s="31" t="str">
        <f t="shared" si="95"/>
        <v>-</v>
      </c>
      <c r="P1005" s="35" t="str">
        <f t="shared" si="94"/>
        <v>-</v>
      </c>
      <c r="Q1005" s="32" t="str">
        <f t="shared" si="91"/>
        <v>-</v>
      </c>
      <c r="S1005" s="32" t="str">
        <f t="shared" si="92"/>
        <v>-</v>
      </c>
    </row>
    <row r="1006" spans="1:19" x14ac:dyDescent="0.3">
      <c r="A1006" s="45" t="s">
        <v>3222</v>
      </c>
      <c r="B1006" s="40" t="s">
        <v>99</v>
      </c>
      <c r="C1006" s="41" t="s">
        <v>1887</v>
      </c>
      <c r="D1006" s="21" t="s">
        <v>2224</v>
      </c>
      <c r="E1006" s="21" t="s">
        <v>2234</v>
      </c>
      <c r="F1006" s="24">
        <v>0.11068787808925001</v>
      </c>
      <c r="G1006" s="21">
        <v>12</v>
      </c>
      <c r="H1006" s="17">
        <v>13.5</v>
      </c>
      <c r="I1006" s="43" t="s">
        <v>3950</v>
      </c>
      <c r="J1006" s="26"/>
      <c r="K1006" s="17">
        <f t="shared" si="90"/>
        <v>0</v>
      </c>
      <c r="N1006" s="31" t="str">
        <f t="shared" si="93"/>
        <v>-</v>
      </c>
      <c r="O1006" s="31" t="str">
        <f t="shared" si="95"/>
        <v>-</v>
      </c>
      <c r="P1006" s="35" t="str">
        <f t="shared" si="94"/>
        <v>-</v>
      </c>
      <c r="Q1006" s="32" t="str">
        <f t="shared" si="91"/>
        <v>-</v>
      </c>
      <c r="S1006" s="32" t="str">
        <f t="shared" si="92"/>
        <v>-</v>
      </c>
    </row>
    <row r="1007" spans="1:19" x14ac:dyDescent="0.3">
      <c r="A1007" s="45" t="s">
        <v>3223</v>
      </c>
      <c r="B1007" s="40" t="s">
        <v>886</v>
      </c>
      <c r="C1007" s="41" t="s">
        <v>1966</v>
      </c>
      <c r="D1007" s="21" t="s">
        <v>2239</v>
      </c>
      <c r="E1007" s="21" t="s">
        <v>2234</v>
      </c>
      <c r="F1007" s="24">
        <v>9.009478449125001E-2</v>
      </c>
      <c r="G1007" s="21">
        <v>12</v>
      </c>
      <c r="H1007" s="17">
        <v>8.25</v>
      </c>
      <c r="I1007" s="43" t="s">
        <v>3950</v>
      </c>
      <c r="J1007" s="26"/>
      <c r="K1007" s="17">
        <f t="shared" si="90"/>
        <v>0</v>
      </c>
      <c r="N1007" s="31" t="str">
        <f t="shared" si="93"/>
        <v>-</v>
      </c>
      <c r="O1007" s="31" t="str">
        <f t="shared" si="95"/>
        <v>-</v>
      </c>
      <c r="P1007" s="35" t="str">
        <f t="shared" si="94"/>
        <v>-</v>
      </c>
      <c r="Q1007" s="32" t="str">
        <f t="shared" si="91"/>
        <v>-</v>
      </c>
      <c r="S1007" s="32" t="str">
        <f t="shared" si="92"/>
        <v>-</v>
      </c>
    </row>
    <row r="1008" spans="1:19" x14ac:dyDescent="0.3">
      <c r="A1008" s="45" t="s">
        <v>3224</v>
      </c>
      <c r="B1008" s="40" t="s">
        <v>315</v>
      </c>
      <c r="C1008" s="41" t="s">
        <v>1966</v>
      </c>
      <c r="D1008" s="21" t="s">
        <v>2221</v>
      </c>
      <c r="E1008" s="21" t="s">
        <v>2234</v>
      </c>
      <c r="F1008" s="24">
        <v>0.17160911331666664</v>
      </c>
      <c r="G1008" s="21">
        <v>12</v>
      </c>
      <c r="H1008" s="17">
        <v>15.59</v>
      </c>
      <c r="I1008" s="43" t="s">
        <v>3950</v>
      </c>
      <c r="J1008" s="26"/>
      <c r="K1008" s="17">
        <f t="shared" si="90"/>
        <v>0</v>
      </c>
      <c r="N1008" s="31" t="str">
        <f t="shared" si="93"/>
        <v>-</v>
      </c>
      <c r="O1008" s="31" t="str">
        <f t="shared" si="95"/>
        <v>-</v>
      </c>
      <c r="P1008" s="35" t="str">
        <f t="shared" si="94"/>
        <v>-</v>
      </c>
      <c r="Q1008" s="32" t="str">
        <f t="shared" si="91"/>
        <v>-</v>
      </c>
      <c r="S1008" s="32" t="str">
        <f t="shared" si="92"/>
        <v>-</v>
      </c>
    </row>
    <row r="1009" spans="1:19" x14ac:dyDescent="0.3">
      <c r="A1009" s="45" t="s">
        <v>3225</v>
      </c>
      <c r="B1009" s="40" t="s">
        <v>89</v>
      </c>
      <c r="C1009" s="41" t="s">
        <v>1648</v>
      </c>
      <c r="D1009" s="21" t="s">
        <v>2239</v>
      </c>
      <c r="E1009" s="21" t="s">
        <v>2234</v>
      </c>
      <c r="F1009" s="24">
        <v>6.6927554193500008E-2</v>
      </c>
      <c r="G1009" s="21">
        <v>12</v>
      </c>
      <c r="H1009" s="17">
        <v>5.0999999999999996</v>
      </c>
      <c r="I1009" s="43" t="s">
        <v>3950</v>
      </c>
      <c r="J1009" s="26"/>
      <c r="K1009" s="17">
        <f t="shared" si="90"/>
        <v>0</v>
      </c>
      <c r="N1009" s="31" t="str">
        <f t="shared" si="93"/>
        <v>-</v>
      </c>
      <c r="O1009" s="31" t="str">
        <f t="shared" si="95"/>
        <v>-</v>
      </c>
      <c r="P1009" s="35" t="str">
        <f t="shared" si="94"/>
        <v>-</v>
      </c>
      <c r="Q1009" s="32" t="str">
        <f t="shared" si="91"/>
        <v>-</v>
      </c>
      <c r="S1009" s="32" t="str">
        <f t="shared" si="92"/>
        <v>-</v>
      </c>
    </row>
    <row r="1010" spans="1:19" x14ac:dyDescent="0.3">
      <c r="A1010" s="45" t="s">
        <v>3226</v>
      </c>
      <c r="B1010" s="40" t="s">
        <v>1001</v>
      </c>
      <c r="C1010" s="41" t="s">
        <v>1648</v>
      </c>
      <c r="D1010" s="21" t="s">
        <v>2221</v>
      </c>
      <c r="E1010" s="21" t="s">
        <v>2234</v>
      </c>
      <c r="F1010" s="24">
        <v>0.1124039692224167</v>
      </c>
      <c r="G1010" s="21">
        <v>12</v>
      </c>
      <c r="H1010" s="17">
        <v>9.59</v>
      </c>
      <c r="I1010" s="43" t="s">
        <v>3950</v>
      </c>
      <c r="J1010" s="26"/>
      <c r="K1010" s="17">
        <f t="shared" si="90"/>
        <v>0</v>
      </c>
      <c r="N1010" s="31" t="str">
        <f t="shared" si="93"/>
        <v>-</v>
      </c>
      <c r="O1010" s="31" t="str">
        <f t="shared" si="95"/>
        <v>-</v>
      </c>
      <c r="P1010" s="35" t="str">
        <f t="shared" si="94"/>
        <v>-</v>
      </c>
      <c r="Q1010" s="32" t="str">
        <f t="shared" si="91"/>
        <v>-</v>
      </c>
      <c r="S1010" s="32" t="str">
        <f t="shared" si="92"/>
        <v>-</v>
      </c>
    </row>
    <row r="1011" spans="1:19" x14ac:dyDescent="0.3">
      <c r="A1011" s="45" t="s">
        <v>3227</v>
      </c>
      <c r="B1011" s="40" t="s">
        <v>1141</v>
      </c>
      <c r="C1011" s="41" t="s">
        <v>1937</v>
      </c>
      <c r="D1011" s="21" t="s">
        <v>2223</v>
      </c>
      <c r="E1011" s="21" t="s">
        <v>2234</v>
      </c>
      <c r="F1011" s="24">
        <v>3.5179868229916665E-2</v>
      </c>
      <c r="G1011" s="21">
        <v>12</v>
      </c>
      <c r="H1011" s="17">
        <v>11.39</v>
      </c>
      <c r="I1011" s="43" t="s">
        <v>3950</v>
      </c>
      <c r="J1011" s="26"/>
      <c r="K1011" s="17">
        <f t="shared" si="90"/>
        <v>0</v>
      </c>
      <c r="N1011" s="31" t="str">
        <f t="shared" si="93"/>
        <v>-</v>
      </c>
      <c r="O1011" s="31" t="str">
        <f t="shared" si="95"/>
        <v>-</v>
      </c>
      <c r="P1011" s="35" t="str">
        <f t="shared" si="94"/>
        <v>-</v>
      </c>
      <c r="Q1011" s="32" t="str">
        <f t="shared" si="91"/>
        <v>-</v>
      </c>
      <c r="S1011" s="32" t="str">
        <f t="shared" si="92"/>
        <v>-</v>
      </c>
    </row>
    <row r="1012" spans="1:19" x14ac:dyDescent="0.3">
      <c r="A1012" s="45" t="s">
        <v>3228</v>
      </c>
      <c r="B1012" s="40" t="s">
        <v>130</v>
      </c>
      <c r="C1012" s="41" t="s">
        <v>1937</v>
      </c>
      <c r="D1012" s="21" t="s">
        <v>2224</v>
      </c>
      <c r="E1012" s="21" t="s">
        <v>2234</v>
      </c>
      <c r="F1012" s="24">
        <v>6.3066349143875003E-2</v>
      </c>
      <c r="G1012" s="21">
        <v>12</v>
      </c>
      <c r="H1012" s="17">
        <v>21.9</v>
      </c>
      <c r="I1012" s="43" t="s">
        <v>3950</v>
      </c>
      <c r="J1012" s="26"/>
      <c r="K1012" s="17">
        <f t="shared" si="90"/>
        <v>0</v>
      </c>
      <c r="N1012" s="31" t="str">
        <f t="shared" si="93"/>
        <v>-</v>
      </c>
      <c r="O1012" s="31" t="str">
        <f t="shared" si="95"/>
        <v>-</v>
      </c>
      <c r="P1012" s="35" t="str">
        <f t="shared" si="94"/>
        <v>-</v>
      </c>
      <c r="Q1012" s="32" t="str">
        <f t="shared" si="91"/>
        <v>-</v>
      </c>
      <c r="S1012" s="32" t="str">
        <f t="shared" si="92"/>
        <v>-</v>
      </c>
    </row>
    <row r="1013" spans="1:19" x14ac:dyDescent="0.3">
      <c r="A1013" s="45" t="s">
        <v>3229</v>
      </c>
      <c r="B1013" s="40" t="s">
        <v>1333</v>
      </c>
      <c r="C1013" s="41" t="s">
        <v>1967</v>
      </c>
      <c r="D1013" s="21" t="s">
        <v>2224</v>
      </c>
      <c r="E1013" s="21" t="s">
        <v>2222</v>
      </c>
      <c r="F1013" s="24">
        <v>0.16131256651766665</v>
      </c>
      <c r="G1013" s="21">
        <v>12</v>
      </c>
      <c r="H1013" s="17">
        <v>7.19</v>
      </c>
      <c r="I1013" s="43" t="s">
        <v>3950</v>
      </c>
      <c r="J1013" s="26"/>
      <c r="K1013" s="17">
        <f t="shared" ref="K1013:K1076" si="96">J1013*H1013</f>
        <v>0</v>
      </c>
      <c r="N1013" s="31" t="str">
        <f t="shared" si="93"/>
        <v>-</v>
      </c>
      <c r="O1013" s="31" t="str">
        <f t="shared" si="95"/>
        <v>-</v>
      </c>
      <c r="P1013" s="35" t="str">
        <f t="shared" si="94"/>
        <v>-</v>
      </c>
      <c r="Q1013" s="32" t="str">
        <f t="shared" si="91"/>
        <v>-</v>
      </c>
      <c r="S1013" s="32" t="str">
        <f t="shared" si="92"/>
        <v>-</v>
      </c>
    </row>
    <row r="1014" spans="1:19" x14ac:dyDescent="0.3">
      <c r="A1014" s="45" t="s">
        <v>3230</v>
      </c>
      <c r="B1014" s="40" t="s">
        <v>1392</v>
      </c>
      <c r="C1014" s="41" t="s">
        <v>1967</v>
      </c>
      <c r="D1014" s="21" t="s">
        <v>2227</v>
      </c>
      <c r="E1014" s="21" t="s">
        <v>2222</v>
      </c>
      <c r="F1014" s="24">
        <v>0.2900194015051667</v>
      </c>
      <c r="G1014" s="21">
        <v>12</v>
      </c>
      <c r="H1014" s="17">
        <v>13.35</v>
      </c>
      <c r="I1014" s="43" t="s">
        <v>3950</v>
      </c>
      <c r="J1014" s="26"/>
      <c r="K1014" s="17">
        <f t="shared" si="96"/>
        <v>0</v>
      </c>
      <c r="N1014" s="31" t="str">
        <f t="shared" si="93"/>
        <v>-</v>
      </c>
      <c r="O1014" s="31" t="str">
        <f t="shared" si="95"/>
        <v>-</v>
      </c>
      <c r="P1014" s="35" t="str">
        <f t="shared" si="94"/>
        <v>-</v>
      </c>
      <c r="Q1014" s="32" t="str">
        <f t="shared" ref="Q1014:Q1077" si="97">IFERROR(IF($N$2&gt;0, $N$2*P1014, "-"), "-")</f>
        <v>-</v>
      </c>
      <c r="S1014" s="32" t="str">
        <f t="shared" ref="S1014:S1077" si="98">IFERROR(IF(Q1014+K1014=0, "-", IF(Q1014&gt;0, Q1014+K1014, "-")), "-")</f>
        <v>-</v>
      </c>
    </row>
    <row r="1015" spans="1:19" x14ac:dyDescent="0.3">
      <c r="A1015" s="45" t="s">
        <v>3231</v>
      </c>
      <c r="B1015" s="40" t="s">
        <v>1303</v>
      </c>
      <c r="C1015" s="41" t="s">
        <v>1967</v>
      </c>
      <c r="D1015" s="21" t="s">
        <v>2233</v>
      </c>
      <c r="E1015" s="21" t="s">
        <v>2222</v>
      </c>
      <c r="F1015" s="24">
        <v>0.52512388674900012</v>
      </c>
      <c r="G1015" s="21">
        <v>12</v>
      </c>
      <c r="H1015" s="17">
        <v>25.79</v>
      </c>
      <c r="I1015" s="43" t="s">
        <v>3950</v>
      </c>
      <c r="J1015" s="26"/>
      <c r="K1015" s="17">
        <f t="shared" si="96"/>
        <v>0</v>
      </c>
      <c r="N1015" s="31" t="str">
        <f t="shared" si="93"/>
        <v>-</v>
      </c>
      <c r="O1015" s="31" t="str">
        <f t="shared" si="95"/>
        <v>-</v>
      </c>
      <c r="P1015" s="35" t="str">
        <f t="shared" si="94"/>
        <v>-</v>
      </c>
      <c r="Q1015" s="32" t="str">
        <f t="shared" si="97"/>
        <v>-</v>
      </c>
      <c r="S1015" s="32" t="str">
        <f t="shared" si="98"/>
        <v>-</v>
      </c>
    </row>
    <row r="1016" spans="1:19" x14ac:dyDescent="0.3">
      <c r="A1016" s="45" t="s">
        <v>3232</v>
      </c>
      <c r="B1016" s="40" t="s">
        <v>551</v>
      </c>
      <c r="C1016" s="41" t="s">
        <v>1968</v>
      </c>
      <c r="D1016" s="21" t="s">
        <v>2223</v>
      </c>
      <c r="E1016" s="21" t="s">
        <v>2222</v>
      </c>
      <c r="F1016" s="24">
        <v>4.0328141629416663E-2</v>
      </c>
      <c r="G1016" s="21">
        <v>12</v>
      </c>
      <c r="H1016" s="17">
        <v>6.15</v>
      </c>
      <c r="I1016" s="43" t="s">
        <v>3950</v>
      </c>
      <c r="J1016" s="26"/>
      <c r="K1016" s="17">
        <f t="shared" si="96"/>
        <v>0</v>
      </c>
      <c r="N1016" s="31" t="str">
        <f t="shared" si="93"/>
        <v>-</v>
      </c>
      <c r="O1016" s="31" t="str">
        <f t="shared" si="95"/>
        <v>-</v>
      </c>
      <c r="P1016" s="35" t="str">
        <f t="shared" si="94"/>
        <v>-</v>
      </c>
      <c r="Q1016" s="32" t="str">
        <f t="shared" si="97"/>
        <v>-</v>
      </c>
      <c r="S1016" s="32" t="str">
        <f t="shared" si="98"/>
        <v>-</v>
      </c>
    </row>
    <row r="1017" spans="1:19" x14ac:dyDescent="0.3">
      <c r="A1017" s="45" t="s">
        <v>3233</v>
      </c>
      <c r="B1017" s="40" t="s">
        <v>950</v>
      </c>
      <c r="C1017" s="41" t="s">
        <v>1968</v>
      </c>
      <c r="D1017" s="21" t="s">
        <v>2224</v>
      </c>
      <c r="E1017" s="21" t="s">
        <v>2222</v>
      </c>
      <c r="F1017" s="24">
        <v>5.5772961827916676E-2</v>
      </c>
      <c r="G1017" s="21">
        <v>12</v>
      </c>
      <c r="H1017" s="17">
        <v>11.55</v>
      </c>
      <c r="I1017" s="43" t="s">
        <v>3950</v>
      </c>
      <c r="J1017" s="26"/>
      <c r="K1017" s="17">
        <f t="shared" si="96"/>
        <v>0</v>
      </c>
      <c r="N1017" s="31" t="str">
        <f t="shared" si="93"/>
        <v>-</v>
      </c>
      <c r="O1017" s="31" t="str">
        <f t="shared" si="95"/>
        <v>-</v>
      </c>
      <c r="P1017" s="35" t="str">
        <f t="shared" si="94"/>
        <v>-</v>
      </c>
      <c r="Q1017" s="32" t="str">
        <f t="shared" si="97"/>
        <v>-</v>
      </c>
      <c r="S1017" s="32" t="str">
        <f t="shared" si="98"/>
        <v>-</v>
      </c>
    </row>
    <row r="1018" spans="1:19" x14ac:dyDescent="0.3">
      <c r="A1018" s="45" t="s">
        <v>3234</v>
      </c>
      <c r="B1018" s="40" t="s">
        <v>49</v>
      </c>
      <c r="C1018" s="41" t="s">
        <v>1969</v>
      </c>
      <c r="D1018" s="21" t="s">
        <v>2223</v>
      </c>
      <c r="E1018" s="21" t="s">
        <v>2222</v>
      </c>
      <c r="F1018" s="24">
        <v>4.5476415028916667E-2</v>
      </c>
      <c r="G1018" s="21">
        <v>12</v>
      </c>
      <c r="H1018" s="17">
        <v>9.59</v>
      </c>
      <c r="I1018" s="43" t="s">
        <v>3950</v>
      </c>
      <c r="J1018" s="26"/>
      <c r="K1018" s="17">
        <f t="shared" si="96"/>
        <v>0</v>
      </c>
      <c r="N1018" s="31" t="str">
        <f t="shared" si="93"/>
        <v>-</v>
      </c>
      <c r="O1018" s="31" t="str">
        <f t="shared" si="95"/>
        <v>-</v>
      </c>
      <c r="P1018" s="35" t="str">
        <f t="shared" si="94"/>
        <v>-</v>
      </c>
      <c r="Q1018" s="32" t="str">
        <f t="shared" si="97"/>
        <v>-</v>
      </c>
      <c r="S1018" s="32" t="str">
        <f t="shared" si="98"/>
        <v>-</v>
      </c>
    </row>
    <row r="1019" spans="1:19" x14ac:dyDescent="0.3">
      <c r="A1019" s="45" t="s">
        <v>3235</v>
      </c>
      <c r="B1019" s="40" t="s">
        <v>287</v>
      </c>
      <c r="C1019" s="41" t="s">
        <v>1969</v>
      </c>
      <c r="D1019" s="21" t="s">
        <v>2224</v>
      </c>
      <c r="E1019" s="21" t="s">
        <v>2222</v>
      </c>
      <c r="F1019" s="24">
        <v>5.6631007394500006E-2</v>
      </c>
      <c r="G1019" s="21">
        <v>12</v>
      </c>
      <c r="H1019" s="17">
        <v>18.3</v>
      </c>
      <c r="I1019" s="43" t="s">
        <v>3950</v>
      </c>
      <c r="J1019" s="26"/>
      <c r="K1019" s="17">
        <f t="shared" si="96"/>
        <v>0</v>
      </c>
      <c r="N1019" s="31" t="str">
        <f t="shared" si="93"/>
        <v>-</v>
      </c>
      <c r="O1019" s="31" t="str">
        <f t="shared" si="95"/>
        <v>-</v>
      </c>
      <c r="P1019" s="35" t="str">
        <f t="shared" si="94"/>
        <v>-</v>
      </c>
      <c r="Q1019" s="32" t="str">
        <f t="shared" si="97"/>
        <v>-</v>
      </c>
      <c r="S1019" s="32" t="str">
        <f t="shared" si="98"/>
        <v>-</v>
      </c>
    </row>
    <row r="1020" spans="1:19" x14ac:dyDescent="0.3">
      <c r="A1020" s="45" t="s">
        <v>3236</v>
      </c>
      <c r="B1020" s="40" t="s">
        <v>751</v>
      </c>
      <c r="C1020" s="41" t="s">
        <v>1970</v>
      </c>
      <c r="D1020" s="21" t="s">
        <v>2235</v>
      </c>
      <c r="E1020" s="21" t="s">
        <v>2240</v>
      </c>
      <c r="F1020" s="24">
        <v>0.18276370568225003</v>
      </c>
      <c r="G1020" s="21">
        <v>12</v>
      </c>
      <c r="H1020" s="17">
        <v>8.1</v>
      </c>
      <c r="I1020" s="43" t="s">
        <v>3950</v>
      </c>
      <c r="J1020" s="26"/>
      <c r="K1020" s="17">
        <f t="shared" si="96"/>
        <v>0</v>
      </c>
      <c r="N1020" s="31" t="str">
        <f t="shared" ref="N1020:N1083" si="99">IFERROR(IF($N$2*F1020=0, "-", $N$2*F1020), "-")</f>
        <v>-</v>
      </c>
      <c r="O1020" s="31" t="str">
        <f t="shared" si="95"/>
        <v>-</v>
      </c>
      <c r="P1020" s="35" t="str">
        <f t="shared" ref="P1020:P1083" si="100">IF(J1020&gt;0,J1020*F1020, "-")</f>
        <v>-</v>
      </c>
      <c r="Q1020" s="32" t="str">
        <f t="shared" si="97"/>
        <v>-</v>
      </c>
      <c r="S1020" s="32" t="str">
        <f t="shared" si="98"/>
        <v>-</v>
      </c>
    </row>
    <row r="1021" spans="1:19" x14ac:dyDescent="0.3">
      <c r="A1021" s="45" t="s">
        <v>3237</v>
      </c>
      <c r="B1021" s="40" t="s">
        <v>350</v>
      </c>
      <c r="C1021" s="41" t="s">
        <v>1970</v>
      </c>
      <c r="D1021" s="21" t="s">
        <v>2236</v>
      </c>
      <c r="E1021" s="21" t="s">
        <v>2240</v>
      </c>
      <c r="F1021" s="24">
        <v>0.36037913796500004</v>
      </c>
      <c r="G1021" s="21">
        <v>12</v>
      </c>
      <c r="H1021" s="17">
        <v>14.39</v>
      </c>
      <c r="I1021" s="43" t="s">
        <v>3950</v>
      </c>
      <c r="J1021" s="26"/>
      <c r="K1021" s="17">
        <f t="shared" si="96"/>
        <v>0</v>
      </c>
      <c r="N1021" s="31" t="str">
        <f t="shared" si="99"/>
        <v>-</v>
      </c>
      <c r="O1021" s="31" t="str">
        <f t="shared" ref="O1021:O1084" si="101">IFERROR(IF(N1021&gt;0,H1021+N1021,"-"),"-")</f>
        <v>-</v>
      </c>
      <c r="P1021" s="35" t="str">
        <f t="shared" si="100"/>
        <v>-</v>
      </c>
      <c r="Q1021" s="32" t="str">
        <f t="shared" si="97"/>
        <v>-</v>
      </c>
      <c r="S1021" s="32" t="str">
        <f t="shared" si="98"/>
        <v>-</v>
      </c>
    </row>
    <row r="1022" spans="1:19" x14ac:dyDescent="0.3">
      <c r="A1022" s="45" t="s">
        <v>3238</v>
      </c>
      <c r="B1022" s="40" t="s">
        <v>341</v>
      </c>
      <c r="C1022" s="41" t="s">
        <v>1971</v>
      </c>
      <c r="D1022" s="21" t="s">
        <v>2223</v>
      </c>
      <c r="E1022" s="21" t="s">
        <v>2222</v>
      </c>
      <c r="F1022" s="24">
        <v>4.1186187196000007E-2</v>
      </c>
      <c r="G1022" s="21">
        <v>12</v>
      </c>
      <c r="H1022" s="17">
        <v>17.39</v>
      </c>
      <c r="I1022" s="43" t="s">
        <v>3950</v>
      </c>
      <c r="J1022" s="26"/>
      <c r="K1022" s="17">
        <f t="shared" si="96"/>
        <v>0</v>
      </c>
      <c r="N1022" s="31" t="str">
        <f t="shared" si="99"/>
        <v>-</v>
      </c>
      <c r="O1022" s="31" t="str">
        <f t="shared" si="101"/>
        <v>-</v>
      </c>
      <c r="P1022" s="35" t="str">
        <f t="shared" si="100"/>
        <v>-</v>
      </c>
      <c r="Q1022" s="32" t="str">
        <f t="shared" si="97"/>
        <v>-</v>
      </c>
      <c r="S1022" s="32" t="str">
        <f t="shared" si="98"/>
        <v>-</v>
      </c>
    </row>
    <row r="1023" spans="1:19" x14ac:dyDescent="0.3">
      <c r="A1023" s="45" t="s">
        <v>3240</v>
      </c>
      <c r="B1023" s="40" t="s">
        <v>2287</v>
      </c>
      <c r="C1023" s="41" t="s">
        <v>2288</v>
      </c>
      <c r="D1023" s="21" t="s">
        <v>2223</v>
      </c>
      <c r="E1023" s="21" t="s">
        <v>2234</v>
      </c>
      <c r="F1023" s="24">
        <v>5.1482733995000002E-2</v>
      </c>
      <c r="G1023" s="21">
        <v>12</v>
      </c>
      <c r="H1023" s="17">
        <v>41.99</v>
      </c>
      <c r="I1023" s="43" t="s">
        <v>3950</v>
      </c>
      <c r="J1023" s="26"/>
      <c r="K1023" s="17">
        <f t="shared" si="96"/>
        <v>0</v>
      </c>
      <c r="N1023" s="31" t="str">
        <f t="shared" si="99"/>
        <v>-</v>
      </c>
      <c r="O1023" s="31" t="str">
        <f t="shared" si="101"/>
        <v>-</v>
      </c>
      <c r="P1023" s="35" t="str">
        <f t="shared" si="100"/>
        <v>-</v>
      </c>
      <c r="Q1023" s="32" t="str">
        <f t="shared" si="97"/>
        <v>-</v>
      </c>
      <c r="S1023" s="32" t="str">
        <f t="shared" si="98"/>
        <v>-</v>
      </c>
    </row>
    <row r="1024" spans="1:19" x14ac:dyDescent="0.3">
      <c r="A1024" s="45" t="s">
        <v>3241</v>
      </c>
      <c r="B1024" s="40" t="s">
        <v>2289</v>
      </c>
      <c r="C1024" s="41" t="s">
        <v>2288</v>
      </c>
      <c r="D1024" s="21" t="s">
        <v>2224</v>
      </c>
      <c r="E1024" s="21" t="s">
        <v>2234</v>
      </c>
      <c r="F1024" s="24">
        <v>7.9798237692250015E-2</v>
      </c>
      <c r="G1024" s="21">
        <v>12</v>
      </c>
      <c r="H1024" s="17">
        <v>82.5</v>
      </c>
      <c r="I1024" s="43" t="s">
        <v>3950</v>
      </c>
      <c r="J1024" s="26"/>
      <c r="K1024" s="17">
        <f t="shared" si="96"/>
        <v>0</v>
      </c>
      <c r="N1024" s="31" t="str">
        <f t="shared" si="99"/>
        <v>-</v>
      </c>
      <c r="O1024" s="31" t="str">
        <f t="shared" si="101"/>
        <v>-</v>
      </c>
      <c r="P1024" s="35" t="str">
        <f t="shared" si="100"/>
        <v>-</v>
      </c>
      <c r="Q1024" s="32" t="str">
        <f t="shared" si="97"/>
        <v>-</v>
      </c>
      <c r="S1024" s="32" t="str">
        <f t="shared" si="98"/>
        <v>-</v>
      </c>
    </row>
    <row r="1025" spans="1:19" x14ac:dyDescent="0.3">
      <c r="A1025" s="45" t="s">
        <v>3242</v>
      </c>
      <c r="B1025" s="40" t="s">
        <v>777</v>
      </c>
      <c r="C1025" s="41" t="s">
        <v>1972</v>
      </c>
      <c r="D1025" s="21" t="s">
        <v>2225</v>
      </c>
      <c r="E1025" s="21" t="s">
        <v>2222</v>
      </c>
      <c r="F1025" s="24">
        <v>9.3955989540875015E-2</v>
      </c>
      <c r="G1025" s="21">
        <v>12</v>
      </c>
      <c r="H1025" s="17">
        <v>10.19</v>
      </c>
      <c r="I1025" s="43" t="s">
        <v>3950</v>
      </c>
      <c r="J1025" s="26"/>
      <c r="K1025" s="17">
        <f t="shared" si="96"/>
        <v>0</v>
      </c>
      <c r="N1025" s="31" t="str">
        <f t="shared" si="99"/>
        <v>-</v>
      </c>
      <c r="O1025" s="31" t="str">
        <f t="shared" si="101"/>
        <v>-</v>
      </c>
      <c r="P1025" s="35" t="str">
        <f t="shared" si="100"/>
        <v>-</v>
      </c>
      <c r="Q1025" s="32" t="str">
        <f t="shared" si="97"/>
        <v>-</v>
      </c>
      <c r="S1025" s="32" t="str">
        <f t="shared" si="98"/>
        <v>-</v>
      </c>
    </row>
    <row r="1026" spans="1:19" x14ac:dyDescent="0.3">
      <c r="A1026" s="45" t="s">
        <v>3243</v>
      </c>
      <c r="B1026" s="40" t="s">
        <v>900</v>
      </c>
      <c r="C1026" s="41" t="s">
        <v>1972</v>
      </c>
      <c r="D1026" s="21" t="s">
        <v>2226</v>
      </c>
      <c r="E1026" s="21" t="s">
        <v>2222</v>
      </c>
      <c r="F1026" s="24">
        <v>0.15873842981791667</v>
      </c>
      <c r="G1026" s="21">
        <v>12</v>
      </c>
      <c r="H1026" s="17">
        <v>19.190000000000001</v>
      </c>
      <c r="I1026" s="43" t="s">
        <v>3950</v>
      </c>
      <c r="J1026" s="26"/>
      <c r="K1026" s="17">
        <f t="shared" si="96"/>
        <v>0</v>
      </c>
      <c r="N1026" s="31" t="str">
        <f t="shared" si="99"/>
        <v>-</v>
      </c>
      <c r="O1026" s="31" t="str">
        <f t="shared" si="101"/>
        <v>-</v>
      </c>
      <c r="P1026" s="35" t="str">
        <f t="shared" si="100"/>
        <v>-</v>
      </c>
      <c r="Q1026" s="32" t="str">
        <f t="shared" si="97"/>
        <v>-</v>
      </c>
      <c r="S1026" s="32" t="str">
        <f t="shared" si="98"/>
        <v>-</v>
      </c>
    </row>
    <row r="1027" spans="1:19" x14ac:dyDescent="0.3">
      <c r="A1027" s="45" t="s">
        <v>3244</v>
      </c>
      <c r="B1027" s="40" t="s">
        <v>1569</v>
      </c>
      <c r="C1027" s="41" t="s">
        <v>1958</v>
      </c>
      <c r="D1027" s="21" t="s">
        <v>2225</v>
      </c>
      <c r="E1027" s="21" t="s">
        <v>2234</v>
      </c>
      <c r="F1027" s="24">
        <v>0.15616429311816668</v>
      </c>
      <c r="G1027" s="21">
        <v>12</v>
      </c>
      <c r="H1027" s="17">
        <v>9.9</v>
      </c>
      <c r="I1027" s="43" t="s">
        <v>3950</v>
      </c>
      <c r="J1027" s="26"/>
      <c r="K1027" s="17">
        <f t="shared" si="96"/>
        <v>0</v>
      </c>
      <c r="N1027" s="31" t="str">
        <f t="shared" si="99"/>
        <v>-</v>
      </c>
      <c r="O1027" s="31" t="str">
        <f t="shared" si="101"/>
        <v>-</v>
      </c>
      <c r="P1027" s="35" t="str">
        <f t="shared" si="100"/>
        <v>-</v>
      </c>
      <c r="Q1027" s="32" t="str">
        <f t="shared" si="97"/>
        <v>-</v>
      </c>
      <c r="S1027" s="32" t="str">
        <f t="shared" si="98"/>
        <v>-</v>
      </c>
    </row>
    <row r="1028" spans="1:19" x14ac:dyDescent="0.3">
      <c r="A1028" s="45" t="s">
        <v>3245</v>
      </c>
      <c r="B1028" s="40" t="s">
        <v>1570</v>
      </c>
      <c r="C1028" s="41" t="s">
        <v>1958</v>
      </c>
      <c r="D1028" s="21" t="s">
        <v>2226</v>
      </c>
      <c r="E1028" s="21" t="s">
        <v>2234</v>
      </c>
      <c r="F1028" s="24">
        <v>0.28487112810566673</v>
      </c>
      <c r="G1028" s="21">
        <v>12</v>
      </c>
      <c r="H1028" s="17">
        <v>18.59</v>
      </c>
      <c r="I1028" s="43" t="s">
        <v>3950</v>
      </c>
      <c r="J1028" s="26"/>
      <c r="K1028" s="17">
        <f t="shared" si="96"/>
        <v>0</v>
      </c>
      <c r="N1028" s="31" t="str">
        <f t="shared" si="99"/>
        <v>-</v>
      </c>
      <c r="O1028" s="31" t="str">
        <f t="shared" si="101"/>
        <v>-</v>
      </c>
      <c r="P1028" s="35" t="str">
        <f t="shared" si="100"/>
        <v>-</v>
      </c>
      <c r="Q1028" s="32" t="str">
        <f t="shared" si="97"/>
        <v>-</v>
      </c>
      <c r="S1028" s="32" t="str">
        <f t="shared" si="98"/>
        <v>-</v>
      </c>
    </row>
    <row r="1029" spans="1:19" x14ac:dyDescent="0.3">
      <c r="A1029" s="45" t="s">
        <v>3246</v>
      </c>
      <c r="B1029" s="40" t="s">
        <v>342</v>
      </c>
      <c r="C1029" s="41" t="s">
        <v>1885</v>
      </c>
      <c r="D1029" s="21" t="s">
        <v>2239</v>
      </c>
      <c r="E1029" s="21" t="s">
        <v>2234</v>
      </c>
      <c r="F1029" s="24">
        <v>7.9798237692250015E-2</v>
      </c>
      <c r="G1029" s="21">
        <v>12</v>
      </c>
      <c r="H1029" s="17">
        <v>4.79</v>
      </c>
      <c r="I1029" s="43" t="s">
        <v>3950</v>
      </c>
      <c r="J1029" s="26"/>
      <c r="K1029" s="17">
        <f t="shared" si="96"/>
        <v>0</v>
      </c>
      <c r="N1029" s="31" t="str">
        <f t="shared" si="99"/>
        <v>-</v>
      </c>
      <c r="O1029" s="31" t="str">
        <f t="shared" si="101"/>
        <v>-</v>
      </c>
      <c r="P1029" s="35" t="str">
        <f t="shared" si="100"/>
        <v>-</v>
      </c>
      <c r="Q1029" s="32" t="str">
        <f t="shared" si="97"/>
        <v>-</v>
      </c>
      <c r="S1029" s="32" t="str">
        <f t="shared" si="98"/>
        <v>-</v>
      </c>
    </row>
    <row r="1030" spans="1:19" x14ac:dyDescent="0.3">
      <c r="A1030" s="45" t="s">
        <v>3247</v>
      </c>
      <c r="B1030" s="40" t="s">
        <v>1466</v>
      </c>
      <c r="C1030" s="41" t="s">
        <v>1885</v>
      </c>
      <c r="D1030" s="21" t="s">
        <v>2221</v>
      </c>
      <c r="E1030" s="21" t="s">
        <v>2234</v>
      </c>
      <c r="F1030" s="24">
        <v>0.13557119952016669</v>
      </c>
      <c r="G1030" s="21">
        <v>12</v>
      </c>
      <c r="H1030" s="17">
        <v>8.6999999999999993</v>
      </c>
      <c r="I1030" s="43" t="s">
        <v>3950</v>
      </c>
      <c r="J1030" s="26"/>
      <c r="K1030" s="17">
        <f t="shared" si="96"/>
        <v>0</v>
      </c>
      <c r="N1030" s="31" t="str">
        <f t="shared" si="99"/>
        <v>-</v>
      </c>
      <c r="O1030" s="31" t="str">
        <f t="shared" si="101"/>
        <v>-</v>
      </c>
      <c r="P1030" s="35" t="str">
        <f t="shared" si="100"/>
        <v>-</v>
      </c>
      <c r="Q1030" s="32" t="str">
        <f t="shared" si="97"/>
        <v>-</v>
      </c>
      <c r="S1030" s="32" t="str">
        <f t="shared" si="98"/>
        <v>-</v>
      </c>
    </row>
    <row r="1031" spans="1:19" x14ac:dyDescent="0.3">
      <c r="A1031" s="45" t="s">
        <v>3248</v>
      </c>
      <c r="B1031" s="40" t="s">
        <v>1317</v>
      </c>
      <c r="C1031" s="41" t="s">
        <v>1885</v>
      </c>
      <c r="D1031" s="21" t="s">
        <v>2242</v>
      </c>
      <c r="E1031" s="21" t="s">
        <v>2222</v>
      </c>
      <c r="F1031" s="24">
        <v>0.27457458130666668</v>
      </c>
      <c r="G1031" s="21">
        <v>12</v>
      </c>
      <c r="H1031" s="17">
        <v>16.5</v>
      </c>
      <c r="I1031" s="43" t="s">
        <v>3950</v>
      </c>
      <c r="J1031" s="26"/>
      <c r="K1031" s="17">
        <f t="shared" si="96"/>
        <v>0</v>
      </c>
      <c r="N1031" s="31" t="str">
        <f t="shared" si="99"/>
        <v>-</v>
      </c>
      <c r="O1031" s="31" t="str">
        <f t="shared" si="101"/>
        <v>-</v>
      </c>
      <c r="P1031" s="35" t="str">
        <f t="shared" si="100"/>
        <v>-</v>
      </c>
      <c r="Q1031" s="32" t="str">
        <f t="shared" si="97"/>
        <v>-</v>
      </c>
      <c r="S1031" s="32" t="str">
        <f t="shared" si="98"/>
        <v>-</v>
      </c>
    </row>
    <row r="1032" spans="1:19" x14ac:dyDescent="0.3">
      <c r="A1032" s="45" t="s">
        <v>3249</v>
      </c>
      <c r="B1032" s="40" t="s">
        <v>352</v>
      </c>
      <c r="C1032" s="41" t="s">
        <v>1637</v>
      </c>
      <c r="D1032" s="21" t="s">
        <v>2239</v>
      </c>
      <c r="E1032" s="21" t="s">
        <v>2234</v>
      </c>
      <c r="F1032" s="24">
        <v>8.3659442741875006E-2</v>
      </c>
      <c r="G1032" s="21">
        <v>12</v>
      </c>
      <c r="H1032" s="17">
        <v>12.75</v>
      </c>
      <c r="I1032" s="43" t="s">
        <v>3950</v>
      </c>
      <c r="J1032" s="26"/>
      <c r="K1032" s="17">
        <f t="shared" si="96"/>
        <v>0</v>
      </c>
      <c r="N1032" s="31" t="str">
        <f t="shared" si="99"/>
        <v>-</v>
      </c>
      <c r="O1032" s="31" t="str">
        <f t="shared" si="101"/>
        <v>-</v>
      </c>
      <c r="P1032" s="35" t="str">
        <f t="shared" si="100"/>
        <v>-</v>
      </c>
      <c r="Q1032" s="32" t="str">
        <f t="shared" si="97"/>
        <v>-</v>
      </c>
      <c r="S1032" s="32" t="str">
        <f t="shared" si="98"/>
        <v>-</v>
      </c>
    </row>
    <row r="1033" spans="1:19" x14ac:dyDescent="0.3">
      <c r="A1033" s="45" t="s">
        <v>3250</v>
      </c>
      <c r="B1033" s="40" t="s">
        <v>1413</v>
      </c>
      <c r="C1033" s="41" t="s">
        <v>1637</v>
      </c>
      <c r="D1033" s="21" t="s">
        <v>2221</v>
      </c>
      <c r="E1033" s="21" t="s">
        <v>2234</v>
      </c>
      <c r="F1033" s="24">
        <v>0.13557119952016669</v>
      </c>
      <c r="G1033" s="21">
        <v>12</v>
      </c>
      <c r="H1033" s="17">
        <v>24.3</v>
      </c>
      <c r="I1033" s="43" t="s">
        <v>3950</v>
      </c>
      <c r="J1033" s="26"/>
      <c r="K1033" s="17">
        <f t="shared" si="96"/>
        <v>0</v>
      </c>
      <c r="N1033" s="31" t="str">
        <f t="shared" si="99"/>
        <v>-</v>
      </c>
      <c r="O1033" s="31" t="str">
        <f t="shared" si="101"/>
        <v>-</v>
      </c>
      <c r="P1033" s="35" t="str">
        <f t="shared" si="100"/>
        <v>-</v>
      </c>
      <c r="Q1033" s="32" t="str">
        <f t="shared" si="97"/>
        <v>-</v>
      </c>
      <c r="S1033" s="32" t="str">
        <f t="shared" si="98"/>
        <v>-</v>
      </c>
    </row>
    <row r="1034" spans="1:19" x14ac:dyDescent="0.3">
      <c r="A1034" s="45" t="s">
        <v>3251</v>
      </c>
      <c r="B1034" s="40" t="s">
        <v>395</v>
      </c>
      <c r="C1034" s="41" t="s">
        <v>1637</v>
      </c>
      <c r="D1034" s="21" t="s">
        <v>2242</v>
      </c>
      <c r="E1034" s="21" t="s">
        <v>2234</v>
      </c>
      <c r="F1034" s="24">
        <v>0.25912976110816666</v>
      </c>
      <c r="G1034" s="21">
        <v>12</v>
      </c>
      <c r="H1034" s="17">
        <v>47.39</v>
      </c>
      <c r="I1034" s="43" t="s">
        <v>3950</v>
      </c>
      <c r="J1034" s="26"/>
      <c r="K1034" s="17">
        <f t="shared" si="96"/>
        <v>0</v>
      </c>
      <c r="N1034" s="31" t="str">
        <f t="shared" si="99"/>
        <v>-</v>
      </c>
      <c r="O1034" s="31" t="str">
        <f t="shared" si="101"/>
        <v>-</v>
      </c>
      <c r="P1034" s="35" t="str">
        <f t="shared" si="100"/>
        <v>-</v>
      </c>
      <c r="Q1034" s="32" t="str">
        <f t="shared" si="97"/>
        <v>-</v>
      </c>
      <c r="S1034" s="32" t="str">
        <f t="shared" si="98"/>
        <v>-</v>
      </c>
    </row>
    <row r="1035" spans="1:19" x14ac:dyDescent="0.3">
      <c r="A1035" s="45" t="s">
        <v>3252</v>
      </c>
      <c r="B1035" s="40" t="s">
        <v>1186</v>
      </c>
      <c r="C1035" s="41" t="s">
        <v>1973</v>
      </c>
      <c r="D1035" s="21" t="s">
        <v>2223</v>
      </c>
      <c r="E1035" s="21" t="s">
        <v>2234</v>
      </c>
      <c r="F1035" s="24">
        <v>4.5476415028916667E-2</v>
      </c>
      <c r="G1035" s="21">
        <v>12</v>
      </c>
      <c r="H1035" s="17">
        <v>8.1</v>
      </c>
      <c r="I1035" s="43" t="s">
        <v>3950</v>
      </c>
      <c r="J1035" s="26"/>
      <c r="K1035" s="17">
        <f t="shared" si="96"/>
        <v>0</v>
      </c>
      <c r="N1035" s="31" t="str">
        <f t="shared" si="99"/>
        <v>-</v>
      </c>
      <c r="O1035" s="31" t="str">
        <f t="shared" si="101"/>
        <v>-</v>
      </c>
      <c r="P1035" s="35" t="str">
        <f t="shared" si="100"/>
        <v>-</v>
      </c>
      <c r="Q1035" s="32" t="str">
        <f t="shared" si="97"/>
        <v>-</v>
      </c>
      <c r="S1035" s="32" t="str">
        <f t="shared" si="98"/>
        <v>-</v>
      </c>
    </row>
    <row r="1036" spans="1:19" x14ac:dyDescent="0.3">
      <c r="A1036" s="45" t="s">
        <v>3253</v>
      </c>
      <c r="B1036" s="40" t="s">
        <v>543</v>
      </c>
      <c r="C1036" s="41" t="s">
        <v>1973</v>
      </c>
      <c r="D1036" s="21" t="s">
        <v>2224</v>
      </c>
      <c r="E1036" s="21" t="s">
        <v>2234</v>
      </c>
      <c r="F1036" s="24">
        <v>6.8214622543375E-2</v>
      </c>
      <c r="G1036" s="21">
        <v>12</v>
      </c>
      <c r="H1036" s="17">
        <v>14.7</v>
      </c>
      <c r="I1036" s="43" t="s">
        <v>3950</v>
      </c>
      <c r="J1036" s="26"/>
      <c r="K1036" s="17">
        <f t="shared" si="96"/>
        <v>0</v>
      </c>
      <c r="N1036" s="31" t="str">
        <f t="shared" si="99"/>
        <v>-</v>
      </c>
      <c r="O1036" s="31" t="str">
        <f t="shared" si="101"/>
        <v>-</v>
      </c>
      <c r="P1036" s="35" t="str">
        <f t="shared" si="100"/>
        <v>-</v>
      </c>
      <c r="Q1036" s="32" t="str">
        <f t="shared" si="97"/>
        <v>-</v>
      </c>
      <c r="S1036" s="32" t="str">
        <f t="shared" si="98"/>
        <v>-</v>
      </c>
    </row>
    <row r="1037" spans="1:19" x14ac:dyDescent="0.3">
      <c r="A1037" s="45" t="s">
        <v>3254</v>
      </c>
      <c r="B1037" s="40" t="s">
        <v>144</v>
      </c>
      <c r="C1037" s="41" t="s">
        <v>1973</v>
      </c>
      <c r="D1037" s="21" t="s">
        <v>2227</v>
      </c>
      <c r="E1037" s="21" t="s">
        <v>2234</v>
      </c>
      <c r="F1037" s="24">
        <v>0.1124039692224167</v>
      </c>
      <c r="G1037" s="21">
        <v>12</v>
      </c>
      <c r="H1037" s="17">
        <v>27.9</v>
      </c>
      <c r="I1037" s="43" t="s">
        <v>3950</v>
      </c>
      <c r="J1037" s="26"/>
      <c r="K1037" s="17">
        <f t="shared" si="96"/>
        <v>0</v>
      </c>
      <c r="N1037" s="31" t="str">
        <f t="shared" si="99"/>
        <v>-</v>
      </c>
      <c r="O1037" s="31" t="str">
        <f t="shared" si="101"/>
        <v>-</v>
      </c>
      <c r="P1037" s="35" t="str">
        <f t="shared" si="100"/>
        <v>-</v>
      </c>
      <c r="Q1037" s="32" t="str">
        <f t="shared" si="97"/>
        <v>-</v>
      </c>
      <c r="S1037" s="32" t="str">
        <f t="shared" si="98"/>
        <v>-</v>
      </c>
    </row>
    <row r="1038" spans="1:19" x14ac:dyDescent="0.3">
      <c r="A1038" s="45" t="s">
        <v>3255</v>
      </c>
      <c r="B1038" s="40" t="s">
        <v>1051</v>
      </c>
      <c r="C1038" s="41" t="s">
        <v>1974</v>
      </c>
      <c r="D1038" s="21" t="s">
        <v>2223</v>
      </c>
      <c r="E1038" s="21" t="s">
        <v>2232</v>
      </c>
      <c r="F1038" s="24">
        <v>7.2075827592999991E-2</v>
      </c>
      <c r="G1038" s="21">
        <v>12</v>
      </c>
      <c r="H1038" s="17">
        <v>13.79</v>
      </c>
      <c r="I1038" s="43" t="s">
        <v>3950</v>
      </c>
      <c r="J1038" s="26"/>
      <c r="K1038" s="17">
        <f t="shared" si="96"/>
        <v>0</v>
      </c>
      <c r="N1038" s="31" t="str">
        <f t="shared" si="99"/>
        <v>-</v>
      </c>
      <c r="O1038" s="31" t="str">
        <f t="shared" si="101"/>
        <v>-</v>
      </c>
      <c r="P1038" s="35" t="str">
        <f t="shared" si="100"/>
        <v>-</v>
      </c>
      <c r="Q1038" s="32" t="str">
        <f t="shared" si="97"/>
        <v>-</v>
      </c>
      <c r="S1038" s="32" t="str">
        <f t="shared" si="98"/>
        <v>-</v>
      </c>
    </row>
    <row r="1039" spans="1:19" x14ac:dyDescent="0.3">
      <c r="A1039" s="45" t="s">
        <v>3256</v>
      </c>
      <c r="B1039" s="40" t="s">
        <v>50</v>
      </c>
      <c r="C1039" s="41" t="s">
        <v>1974</v>
      </c>
      <c r="D1039" s="21" t="s">
        <v>2224</v>
      </c>
      <c r="E1039" s="21" t="s">
        <v>2232</v>
      </c>
      <c r="F1039" s="24">
        <v>0.12270051602141667</v>
      </c>
      <c r="G1039" s="21">
        <v>12</v>
      </c>
      <c r="H1039" s="17">
        <v>26.39</v>
      </c>
      <c r="I1039" s="43" t="s">
        <v>3950</v>
      </c>
      <c r="J1039" s="26"/>
      <c r="K1039" s="17">
        <f t="shared" si="96"/>
        <v>0</v>
      </c>
      <c r="N1039" s="31" t="str">
        <f t="shared" si="99"/>
        <v>-</v>
      </c>
      <c r="O1039" s="31" t="str">
        <f t="shared" si="101"/>
        <v>-</v>
      </c>
      <c r="P1039" s="35" t="str">
        <f t="shared" si="100"/>
        <v>-</v>
      </c>
      <c r="Q1039" s="32" t="str">
        <f t="shared" si="97"/>
        <v>-</v>
      </c>
      <c r="S1039" s="32" t="str">
        <f t="shared" si="98"/>
        <v>-</v>
      </c>
    </row>
    <row r="1040" spans="1:19" x14ac:dyDescent="0.3">
      <c r="A1040" s="45" t="s">
        <v>3257</v>
      </c>
      <c r="B1040" s="40" t="s">
        <v>860</v>
      </c>
      <c r="C1040" s="41" t="s">
        <v>1974</v>
      </c>
      <c r="D1040" s="21" t="s">
        <v>2227</v>
      </c>
      <c r="E1040" s="21" t="s">
        <v>2232</v>
      </c>
      <c r="F1040" s="24">
        <v>0.22566598401141666</v>
      </c>
      <c r="G1040" s="21">
        <v>12</v>
      </c>
      <c r="H1040" s="17">
        <v>50.99</v>
      </c>
      <c r="I1040" s="43" t="s">
        <v>3950</v>
      </c>
      <c r="J1040" s="26"/>
      <c r="K1040" s="17">
        <f t="shared" si="96"/>
        <v>0</v>
      </c>
      <c r="N1040" s="31" t="str">
        <f t="shared" si="99"/>
        <v>-</v>
      </c>
      <c r="O1040" s="31" t="str">
        <f t="shared" si="101"/>
        <v>-</v>
      </c>
      <c r="P1040" s="35" t="str">
        <f t="shared" si="100"/>
        <v>-</v>
      </c>
      <c r="Q1040" s="32" t="str">
        <f t="shared" si="97"/>
        <v>-</v>
      </c>
      <c r="S1040" s="32" t="str">
        <f t="shared" si="98"/>
        <v>-</v>
      </c>
    </row>
    <row r="1041" spans="1:19" x14ac:dyDescent="0.3">
      <c r="A1041" s="45" t="s">
        <v>3258</v>
      </c>
      <c r="B1041" s="40" t="s">
        <v>557</v>
      </c>
      <c r="C1041" s="41" t="s">
        <v>1975</v>
      </c>
      <c r="D1041" s="21" t="s">
        <v>2223</v>
      </c>
      <c r="E1041" s="21" t="s">
        <v>2234</v>
      </c>
      <c r="F1041" s="24">
        <v>4.5476415028916667E-2</v>
      </c>
      <c r="G1041" s="21">
        <v>12</v>
      </c>
      <c r="H1041" s="17">
        <v>4.3499999999999996</v>
      </c>
      <c r="I1041" s="43" t="s">
        <v>3950</v>
      </c>
      <c r="J1041" s="26"/>
      <c r="K1041" s="17">
        <f t="shared" si="96"/>
        <v>0</v>
      </c>
      <c r="N1041" s="31" t="str">
        <f t="shared" si="99"/>
        <v>-</v>
      </c>
      <c r="O1041" s="31" t="str">
        <f t="shared" si="101"/>
        <v>-</v>
      </c>
      <c r="P1041" s="35" t="str">
        <f t="shared" si="100"/>
        <v>-</v>
      </c>
      <c r="Q1041" s="32" t="str">
        <f t="shared" si="97"/>
        <v>-</v>
      </c>
      <c r="S1041" s="32" t="str">
        <f t="shared" si="98"/>
        <v>-</v>
      </c>
    </row>
    <row r="1042" spans="1:19" x14ac:dyDescent="0.3">
      <c r="A1042" s="45" t="s">
        <v>3259</v>
      </c>
      <c r="B1042" s="40" t="s">
        <v>782</v>
      </c>
      <c r="C1042" s="41" t="s">
        <v>1975</v>
      </c>
      <c r="D1042" s="21" t="s">
        <v>2224</v>
      </c>
      <c r="E1042" s="21" t="s">
        <v>2234</v>
      </c>
      <c r="F1042" s="24">
        <v>7.3362895942875012E-2</v>
      </c>
      <c r="G1042" s="21">
        <v>12</v>
      </c>
      <c r="H1042" s="17">
        <v>7.79</v>
      </c>
      <c r="I1042" s="43" t="s">
        <v>3950</v>
      </c>
      <c r="J1042" s="26"/>
      <c r="K1042" s="17">
        <f t="shared" si="96"/>
        <v>0</v>
      </c>
      <c r="N1042" s="31" t="str">
        <f t="shared" si="99"/>
        <v>-</v>
      </c>
      <c r="O1042" s="31" t="str">
        <f t="shared" si="101"/>
        <v>-</v>
      </c>
      <c r="P1042" s="35" t="str">
        <f t="shared" si="100"/>
        <v>-</v>
      </c>
      <c r="Q1042" s="32" t="str">
        <f t="shared" si="97"/>
        <v>-</v>
      </c>
      <c r="S1042" s="32" t="str">
        <f t="shared" si="98"/>
        <v>-</v>
      </c>
    </row>
    <row r="1043" spans="1:19" x14ac:dyDescent="0.3">
      <c r="A1043" s="45" t="s">
        <v>3260</v>
      </c>
      <c r="B1043" s="40" t="s">
        <v>606</v>
      </c>
      <c r="C1043" s="41" t="s">
        <v>1975</v>
      </c>
      <c r="D1043" s="21" t="s">
        <v>2227</v>
      </c>
      <c r="E1043" s="21" t="s">
        <v>2234</v>
      </c>
      <c r="F1043" s="24">
        <v>0.1175522426219167</v>
      </c>
      <c r="G1043" s="21">
        <v>12</v>
      </c>
      <c r="H1043" s="17">
        <v>14.39</v>
      </c>
      <c r="I1043" s="43" t="s">
        <v>3950</v>
      </c>
      <c r="J1043" s="26"/>
      <c r="K1043" s="17">
        <f t="shared" si="96"/>
        <v>0</v>
      </c>
      <c r="N1043" s="31" t="str">
        <f t="shared" si="99"/>
        <v>-</v>
      </c>
      <c r="O1043" s="31" t="str">
        <f t="shared" si="101"/>
        <v>-</v>
      </c>
      <c r="P1043" s="35" t="str">
        <f t="shared" si="100"/>
        <v>-</v>
      </c>
      <c r="Q1043" s="32" t="str">
        <f t="shared" si="97"/>
        <v>-</v>
      </c>
      <c r="S1043" s="32" t="str">
        <f t="shared" si="98"/>
        <v>-</v>
      </c>
    </row>
    <row r="1044" spans="1:19" x14ac:dyDescent="0.3">
      <c r="A1044" s="45" t="s">
        <v>3261</v>
      </c>
      <c r="B1044" s="40" t="s">
        <v>51</v>
      </c>
      <c r="C1044" s="41" t="s">
        <v>1976</v>
      </c>
      <c r="D1044" s="21" t="s">
        <v>2221</v>
      </c>
      <c r="E1044" s="21" t="s">
        <v>2222</v>
      </c>
      <c r="F1044" s="24">
        <v>0.25140735100891665</v>
      </c>
      <c r="G1044" s="21">
        <v>12</v>
      </c>
      <c r="H1044" s="17">
        <v>19.190000000000001</v>
      </c>
      <c r="I1044" s="43" t="s">
        <v>3950</v>
      </c>
      <c r="J1044" s="26"/>
      <c r="K1044" s="17">
        <f t="shared" si="96"/>
        <v>0</v>
      </c>
      <c r="N1044" s="31" t="str">
        <f t="shared" si="99"/>
        <v>-</v>
      </c>
      <c r="O1044" s="31" t="str">
        <f t="shared" si="101"/>
        <v>-</v>
      </c>
      <c r="P1044" s="35" t="str">
        <f t="shared" si="100"/>
        <v>-</v>
      </c>
      <c r="Q1044" s="32" t="str">
        <f t="shared" si="97"/>
        <v>-</v>
      </c>
      <c r="S1044" s="32" t="str">
        <f t="shared" si="98"/>
        <v>-</v>
      </c>
    </row>
    <row r="1045" spans="1:19" x14ac:dyDescent="0.3">
      <c r="A1045" s="45" t="s">
        <v>3263</v>
      </c>
      <c r="B1045" s="40" t="s">
        <v>1571</v>
      </c>
      <c r="C1045" s="41" t="s">
        <v>1951</v>
      </c>
      <c r="D1045" s="21" t="s">
        <v>2236</v>
      </c>
      <c r="E1045" s="21" t="s">
        <v>2240</v>
      </c>
      <c r="F1045" s="24">
        <v>0.32863145200141669</v>
      </c>
      <c r="G1045" s="21">
        <v>12</v>
      </c>
      <c r="H1045" s="17">
        <v>16.5</v>
      </c>
      <c r="I1045" s="43" t="s">
        <v>3950</v>
      </c>
      <c r="J1045" s="26"/>
      <c r="K1045" s="17">
        <f t="shared" si="96"/>
        <v>0</v>
      </c>
      <c r="N1045" s="31" t="str">
        <f t="shared" si="99"/>
        <v>-</v>
      </c>
      <c r="O1045" s="31" t="str">
        <f t="shared" si="101"/>
        <v>-</v>
      </c>
      <c r="P1045" s="35" t="str">
        <f t="shared" si="100"/>
        <v>-</v>
      </c>
      <c r="Q1045" s="32" t="str">
        <f t="shared" si="97"/>
        <v>-</v>
      </c>
      <c r="S1045" s="32" t="str">
        <f t="shared" si="98"/>
        <v>-</v>
      </c>
    </row>
    <row r="1046" spans="1:19" x14ac:dyDescent="0.3">
      <c r="A1046" s="45" t="s">
        <v>3264</v>
      </c>
      <c r="B1046" s="40" t="s">
        <v>567</v>
      </c>
      <c r="C1046" s="41" t="s">
        <v>1694</v>
      </c>
      <c r="D1046" s="21" t="s">
        <v>2231</v>
      </c>
      <c r="E1046" s="21" t="s">
        <v>2234</v>
      </c>
      <c r="F1046" s="24">
        <v>8.3659442741875006E-2</v>
      </c>
      <c r="G1046" s="21">
        <v>12</v>
      </c>
      <c r="H1046" s="17">
        <v>6.15</v>
      </c>
      <c r="I1046" s="43" t="s">
        <v>3950</v>
      </c>
      <c r="J1046" s="26"/>
      <c r="K1046" s="17">
        <f t="shared" si="96"/>
        <v>0</v>
      </c>
      <c r="N1046" s="31" t="str">
        <f t="shared" si="99"/>
        <v>-</v>
      </c>
      <c r="O1046" s="31" t="str">
        <f t="shared" si="101"/>
        <v>-</v>
      </c>
      <c r="P1046" s="35" t="str">
        <f t="shared" si="100"/>
        <v>-</v>
      </c>
      <c r="Q1046" s="32" t="str">
        <f t="shared" si="97"/>
        <v>-</v>
      </c>
      <c r="S1046" s="32" t="str">
        <f t="shared" si="98"/>
        <v>-</v>
      </c>
    </row>
    <row r="1047" spans="1:19" x14ac:dyDescent="0.3">
      <c r="A1047" s="45" t="s">
        <v>3265</v>
      </c>
      <c r="B1047" s="40" t="s">
        <v>998</v>
      </c>
      <c r="C1047" s="41" t="s">
        <v>1694</v>
      </c>
      <c r="D1047" s="21" t="s">
        <v>2225</v>
      </c>
      <c r="E1047" s="21" t="s">
        <v>2234</v>
      </c>
      <c r="F1047" s="24">
        <v>0.14586774631916669</v>
      </c>
      <c r="G1047" s="21">
        <v>12</v>
      </c>
      <c r="H1047" s="17">
        <v>10.79</v>
      </c>
      <c r="I1047" s="43" t="s">
        <v>3950</v>
      </c>
      <c r="J1047" s="26"/>
      <c r="K1047" s="17">
        <f t="shared" si="96"/>
        <v>0</v>
      </c>
      <c r="N1047" s="31" t="str">
        <f t="shared" si="99"/>
        <v>-</v>
      </c>
      <c r="O1047" s="31" t="str">
        <f t="shared" si="101"/>
        <v>-</v>
      </c>
      <c r="P1047" s="35" t="str">
        <f t="shared" si="100"/>
        <v>-</v>
      </c>
      <c r="Q1047" s="32" t="str">
        <f t="shared" si="97"/>
        <v>-</v>
      </c>
      <c r="S1047" s="32" t="str">
        <f t="shared" si="98"/>
        <v>-</v>
      </c>
    </row>
    <row r="1048" spans="1:19" x14ac:dyDescent="0.3">
      <c r="A1048" s="45" t="s">
        <v>3266</v>
      </c>
      <c r="B1048" s="40" t="s">
        <v>1148</v>
      </c>
      <c r="C1048" s="41" t="s">
        <v>1694</v>
      </c>
      <c r="D1048" s="21" t="s">
        <v>2226</v>
      </c>
      <c r="E1048" s="21" t="s">
        <v>2234</v>
      </c>
      <c r="F1048" s="24">
        <v>0.25912976110816666</v>
      </c>
      <c r="G1048" s="21">
        <v>12</v>
      </c>
      <c r="H1048" s="17">
        <v>18.899999999999999</v>
      </c>
      <c r="I1048" s="43" t="s">
        <v>3950</v>
      </c>
      <c r="J1048" s="26"/>
      <c r="K1048" s="17">
        <f t="shared" si="96"/>
        <v>0</v>
      </c>
      <c r="N1048" s="31" t="str">
        <f t="shared" si="99"/>
        <v>-</v>
      </c>
      <c r="O1048" s="31" t="str">
        <f t="shared" si="101"/>
        <v>-</v>
      </c>
      <c r="P1048" s="35" t="str">
        <f t="shared" si="100"/>
        <v>-</v>
      </c>
      <c r="Q1048" s="32" t="str">
        <f t="shared" si="97"/>
        <v>-</v>
      </c>
      <c r="S1048" s="32" t="str">
        <f t="shared" si="98"/>
        <v>-</v>
      </c>
    </row>
    <row r="1049" spans="1:19" x14ac:dyDescent="0.3">
      <c r="A1049" s="45" t="s">
        <v>3267</v>
      </c>
      <c r="B1049" s="40" t="s">
        <v>819</v>
      </c>
      <c r="C1049" s="41" t="s">
        <v>1977</v>
      </c>
      <c r="D1049" s="21" t="s">
        <v>2224</v>
      </c>
      <c r="E1049" s="21" t="s">
        <v>2234</v>
      </c>
      <c r="F1049" s="24">
        <v>7.8511169342374995E-2</v>
      </c>
      <c r="G1049" s="21">
        <v>12</v>
      </c>
      <c r="H1049" s="17">
        <v>8.99</v>
      </c>
      <c r="I1049" s="43" t="s">
        <v>3950</v>
      </c>
      <c r="J1049" s="26"/>
      <c r="K1049" s="17">
        <f t="shared" si="96"/>
        <v>0</v>
      </c>
      <c r="N1049" s="31" t="str">
        <f t="shared" si="99"/>
        <v>-</v>
      </c>
      <c r="O1049" s="31" t="str">
        <f t="shared" si="101"/>
        <v>-</v>
      </c>
      <c r="P1049" s="35" t="str">
        <f t="shared" si="100"/>
        <v>-</v>
      </c>
      <c r="Q1049" s="32" t="str">
        <f t="shared" si="97"/>
        <v>-</v>
      </c>
      <c r="S1049" s="32" t="str">
        <f t="shared" si="98"/>
        <v>-</v>
      </c>
    </row>
    <row r="1050" spans="1:19" x14ac:dyDescent="0.3">
      <c r="A1050" s="45" t="s">
        <v>3268</v>
      </c>
      <c r="B1050" s="40" t="s">
        <v>48</v>
      </c>
      <c r="C1050" s="41" t="s">
        <v>1977</v>
      </c>
      <c r="D1050" s="21" t="s">
        <v>2227</v>
      </c>
      <c r="E1050" s="21" t="s">
        <v>2234</v>
      </c>
      <c r="F1050" s="24">
        <v>0.13557119952016669</v>
      </c>
      <c r="G1050" s="21">
        <v>12</v>
      </c>
      <c r="H1050" s="17">
        <v>16.79</v>
      </c>
      <c r="I1050" s="43" t="s">
        <v>3950</v>
      </c>
      <c r="J1050" s="26"/>
      <c r="K1050" s="17">
        <f t="shared" si="96"/>
        <v>0</v>
      </c>
      <c r="N1050" s="31" t="str">
        <f t="shared" si="99"/>
        <v>-</v>
      </c>
      <c r="O1050" s="31" t="str">
        <f t="shared" si="101"/>
        <v>-</v>
      </c>
      <c r="P1050" s="35" t="str">
        <f t="shared" si="100"/>
        <v>-</v>
      </c>
      <c r="Q1050" s="32" t="str">
        <f t="shared" si="97"/>
        <v>-</v>
      </c>
      <c r="S1050" s="32" t="str">
        <f t="shared" si="98"/>
        <v>-</v>
      </c>
    </row>
    <row r="1051" spans="1:19" x14ac:dyDescent="0.3">
      <c r="A1051" s="45" t="s">
        <v>3269</v>
      </c>
      <c r="B1051" s="40" t="s">
        <v>570</v>
      </c>
      <c r="C1051" s="41" t="s">
        <v>1978</v>
      </c>
      <c r="D1051" s="21" t="s">
        <v>2223</v>
      </c>
      <c r="E1051" s="21" t="s">
        <v>2232</v>
      </c>
      <c r="F1051" s="24">
        <v>6.3066349143875003E-2</v>
      </c>
      <c r="G1051" s="21">
        <v>12</v>
      </c>
      <c r="H1051" s="17">
        <v>12.45</v>
      </c>
      <c r="I1051" s="43" t="s">
        <v>3950</v>
      </c>
      <c r="J1051" s="26"/>
      <c r="K1051" s="17">
        <f t="shared" si="96"/>
        <v>0</v>
      </c>
      <c r="N1051" s="31" t="str">
        <f t="shared" si="99"/>
        <v>-</v>
      </c>
      <c r="O1051" s="31" t="str">
        <f t="shared" si="101"/>
        <v>-</v>
      </c>
      <c r="P1051" s="35" t="str">
        <f t="shared" si="100"/>
        <v>-</v>
      </c>
      <c r="Q1051" s="32" t="str">
        <f t="shared" si="97"/>
        <v>-</v>
      </c>
      <c r="S1051" s="32" t="str">
        <f t="shared" si="98"/>
        <v>-</v>
      </c>
    </row>
    <row r="1052" spans="1:19" x14ac:dyDescent="0.3">
      <c r="A1052" s="45" t="s">
        <v>3270</v>
      </c>
      <c r="B1052" s="40" t="s">
        <v>1224</v>
      </c>
      <c r="C1052" s="41" t="s">
        <v>1978</v>
      </c>
      <c r="D1052" s="21" t="s">
        <v>2224</v>
      </c>
      <c r="E1052" s="21" t="s">
        <v>2232</v>
      </c>
      <c r="F1052" s="24">
        <v>8.4946511091750013E-2</v>
      </c>
      <c r="G1052" s="21">
        <v>12</v>
      </c>
      <c r="H1052" s="17">
        <v>22.19</v>
      </c>
      <c r="I1052" s="43" t="s">
        <v>3950</v>
      </c>
      <c r="J1052" s="26"/>
      <c r="K1052" s="17">
        <f t="shared" si="96"/>
        <v>0</v>
      </c>
      <c r="N1052" s="31" t="str">
        <f t="shared" si="99"/>
        <v>-</v>
      </c>
      <c r="O1052" s="31" t="str">
        <f t="shared" si="101"/>
        <v>-</v>
      </c>
      <c r="P1052" s="35" t="str">
        <f t="shared" si="100"/>
        <v>-</v>
      </c>
      <c r="Q1052" s="32" t="str">
        <f t="shared" si="97"/>
        <v>-</v>
      </c>
      <c r="S1052" s="32" t="str">
        <f t="shared" si="98"/>
        <v>-</v>
      </c>
    </row>
    <row r="1053" spans="1:19" x14ac:dyDescent="0.3">
      <c r="A1053" s="45" t="s">
        <v>3271</v>
      </c>
      <c r="B1053" s="40" t="s">
        <v>1572</v>
      </c>
      <c r="C1053" s="41" t="s">
        <v>1979</v>
      </c>
      <c r="D1053" s="21" t="s">
        <v>2230</v>
      </c>
      <c r="E1053" s="21" t="s">
        <v>2258</v>
      </c>
      <c r="F1053" s="24">
        <v>8.5041849488037044E-2</v>
      </c>
      <c r="G1053" s="21">
        <v>270</v>
      </c>
      <c r="H1053" s="17">
        <v>11.99</v>
      </c>
      <c r="I1053" s="43" t="s">
        <v>3950</v>
      </c>
      <c r="J1053" s="26"/>
      <c r="K1053" s="17">
        <f t="shared" si="96"/>
        <v>0</v>
      </c>
      <c r="N1053" s="31" t="str">
        <f t="shared" si="99"/>
        <v>-</v>
      </c>
      <c r="O1053" s="31" t="str">
        <f t="shared" si="101"/>
        <v>-</v>
      </c>
      <c r="P1053" s="35" t="str">
        <f t="shared" si="100"/>
        <v>-</v>
      </c>
      <c r="Q1053" s="32" t="str">
        <f t="shared" si="97"/>
        <v>-</v>
      </c>
      <c r="S1053" s="32" t="str">
        <f t="shared" si="98"/>
        <v>-</v>
      </c>
    </row>
    <row r="1054" spans="1:19" x14ac:dyDescent="0.3">
      <c r="A1054" s="45" t="s">
        <v>3272</v>
      </c>
      <c r="B1054" s="40" t="s">
        <v>1573</v>
      </c>
      <c r="C1054" s="41" t="s">
        <v>1979</v>
      </c>
      <c r="D1054" s="21" t="s">
        <v>2235</v>
      </c>
      <c r="E1054" s="21" t="s">
        <v>2258</v>
      </c>
      <c r="F1054" s="24">
        <v>0.16302865765083335</v>
      </c>
      <c r="G1054" s="21">
        <v>84</v>
      </c>
      <c r="H1054" s="17">
        <v>22.79</v>
      </c>
      <c r="I1054" s="43" t="s">
        <v>3950</v>
      </c>
      <c r="J1054" s="26"/>
      <c r="K1054" s="17">
        <f t="shared" si="96"/>
        <v>0</v>
      </c>
      <c r="N1054" s="31" t="str">
        <f t="shared" si="99"/>
        <v>-</v>
      </c>
      <c r="O1054" s="31" t="str">
        <f t="shared" si="101"/>
        <v>-</v>
      </c>
      <c r="P1054" s="35" t="str">
        <f t="shared" si="100"/>
        <v>-</v>
      </c>
      <c r="Q1054" s="32" t="str">
        <f t="shared" si="97"/>
        <v>-</v>
      </c>
      <c r="S1054" s="32" t="str">
        <f t="shared" si="98"/>
        <v>-</v>
      </c>
    </row>
    <row r="1055" spans="1:19" x14ac:dyDescent="0.3">
      <c r="A1055" s="45" t="s">
        <v>3273</v>
      </c>
      <c r="B1055" s="40" t="s">
        <v>831</v>
      </c>
      <c r="C1055" s="41" t="s">
        <v>1980</v>
      </c>
      <c r="D1055" s="21" t="s">
        <v>2230</v>
      </c>
      <c r="E1055" s="21" t="s">
        <v>2258</v>
      </c>
      <c r="F1055" s="24">
        <v>0.25226539657550001</v>
      </c>
      <c r="G1055" s="21">
        <v>12</v>
      </c>
      <c r="H1055" s="17">
        <v>15.45</v>
      </c>
      <c r="I1055" s="43" t="s">
        <v>3950</v>
      </c>
      <c r="J1055" s="26"/>
      <c r="K1055" s="17">
        <f t="shared" si="96"/>
        <v>0</v>
      </c>
      <c r="N1055" s="31" t="str">
        <f t="shared" si="99"/>
        <v>-</v>
      </c>
      <c r="O1055" s="31" t="str">
        <f t="shared" si="101"/>
        <v>-</v>
      </c>
      <c r="P1055" s="35" t="str">
        <f t="shared" si="100"/>
        <v>-</v>
      </c>
      <c r="Q1055" s="32" t="str">
        <f t="shared" si="97"/>
        <v>-</v>
      </c>
      <c r="S1055" s="32" t="str">
        <f t="shared" si="98"/>
        <v>-</v>
      </c>
    </row>
    <row r="1056" spans="1:19" x14ac:dyDescent="0.3">
      <c r="A1056" s="45" t="s">
        <v>3274</v>
      </c>
      <c r="B1056" s="40" t="s">
        <v>1207</v>
      </c>
      <c r="C1056" s="41" t="s">
        <v>1980</v>
      </c>
      <c r="D1056" s="21" t="s">
        <v>2235</v>
      </c>
      <c r="E1056" s="21" t="s">
        <v>2258</v>
      </c>
      <c r="F1056" s="24">
        <v>0.28851782176364588</v>
      </c>
      <c r="G1056" s="21">
        <v>24</v>
      </c>
      <c r="H1056" s="17">
        <v>26.99</v>
      </c>
      <c r="I1056" s="43" t="s">
        <v>3950</v>
      </c>
      <c r="J1056" s="26"/>
      <c r="K1056" s="17">
        <f t="shared" si="96"/>
        <v>0</v>
      </c>
      <c r="N1056" s="31" t="str">
        <f t="shared" si="99"/>
        <v>-</v>
      </c>
      <c r="O1056" s="31" t="str">
        <f t="shared" si="101"/>
        <v>-</v>
      </c>
      <c r="P1056" s="35" t="str">
        <f t="shared" si="100"/>
        <v>-</v>
      </c>
      <c r="Q1056" s="32" t="str">
        <f t="shared" si="97"/>
        <v>-</v>
      </c>
      <c r="S1056" s="32" t="str">
        <f t="shared" si="98"/>
        <v>-</v>
      </c>
    </row>
    <row r="1057" spans="1:19" x14ac:dyDescent="0.3">
      <c r="A1057" s="45" t="s">
        <v>3275</v>
      </c>
      <c r="B1057" s="40" t="s">
        <v>253</v>
      </c>
      <c r="C1057" s="41" t="s">
        <v>1981</v>
      </c>
      <c r="D1057" s="21" t="s">
        <v>2223</v>
      </c>
      <c r="E1057" s="21" t="s">
        <v>2232</v>
      </c>
      <c r="F1057" s="24">
        <v>4.0328141629416663E-2</v>
      </c>
      <c r="G1057" s="21">
        <v>12</v>
      </c>
      <c r="H1057" s="17">
        <v>8.85</v>
      </c>
      <c r="I1057" s="43" t="s">
        <v>3950</v>
      </c>
      <c r="J1057" s="26"/>
      <c r="K1057" s="17">
        <f t="shared" si="96"/>
        <v>0</v>
      </c>
      <c r="N1057" s="31" t="str">
        <f t="shared" si="99"/>
        <v>-</v>
      </c>
      <c r="O1057" s="31" t="str">
        <f t="shared" si="101"/>
        <v>-</v>
      </c>
      <c r="P1057" s="35" t="str">
        <f t="shared" si="100"/>
        <v>-</v>
      </c>
      <c r="Q1057" s="32" t="str">
        <f t="shared" si="97"/>
        <v>-</v>
      </c>
      <c r="S1057" s="32" t="str">
        <f t="shared" si="98"/>
        <v>-</v>
      </c>
    </row>
    <row r="1058" spans="1:19" x14ac:dyDescent="0.3">
      <c r="A1058" s="45" t="s">
        <v>3276</v>
      </c>
      <c r="B1058" s="40" t="s">
        <v>385</v>
      </c>
      <c r="C1058" s="41" t="s">
        <v>1981</v>
      </c>
      <c r="D1058" s="21" t="s">
        <v>2224</v>
      </c>
      <c r="E1058" s="21" t="s">
        <v>2232</v>
      </c>
      <c r="F1058" s="24">
        <v>5.6631007394500006E-2</v>
      </c>
      <c r="G1058" s="21">
        <v>12</v>
      </c>
      <c r="H1058" s="17">
        <v>16.79</v>
      </c>
      <c r="I1058" s="43" t="s">
        <v>3950</v>
      </c>
      <c r="J1058" s="26"/>
      <c r="K1058" s="17">
        <f t="shared" si="96"/>
        <v>0</v>
      </c>
      <c r="N1058" s="31" t="str">
        <f t="shared" si="99"/>
        <v>-</v>
      </c>
      <c r="O1058" s="31" t="str">
        <f t="shared" si="101"/>
        <v>-</v>
      </c>
      <c r="P1058" s="35" t="str">
        <f t="shared" si="100"/>
        <v>-</v>
      </c>
      <c r="Q1058" s="32" t="str">
        <f t="shared" si="97"/>
        <v>-</v>
      </c>
      <c r="S1058" s="32" t="str">
        <f t="shared" si="98"/>
        <v>-</v>
      </c>
    </row>
    <row r="1059" spans="1:19" x14ac:dyDescent="0.3">
      <c r="A1059" s="45" t="s">
        <v>3277</v>
      </c>
      <c r="B1059" s="40" t="s">
        <v>547</v>
      </c>
      <c r="C1059" s="41" t="s">
        <v>1981</v>
      </c>
      <c r="D1059" s="21" t="s">
        <v>2225</v>
      </c>
      <c r="E1059" s="21" t="s">
        <v>2232</v>
      </c>
      <c r="F1059" s="24">
        <v>7.3362895942875012E-2</v>
      </c>
      <c r="G1059" s="21">
        <v>12</v>
      </c>
      <c r="H1059" s="17">
        <v>24.75</v>
      </c>
      <c r="I1059" s="43" t="s">
        <v>3950</v>
      </c>
      <c r="J1059" s="26"/>
      <c r="K1059" s="17">
        <f t="shared" si="96"/>
        <v>0</v>
      </c>
      <c r="N1059" s="31" t="str">
        <f t="shared" si="99"/>
        <v>-</v>
      </c>
      <c r="O1059" s="31" t="str">
        <f t="shared" si="101"/>
        <v>-</v>
      </c>
      <c r="P1059" s="35" t="str">
        <f t="shared" si="100"/>
        <v>-</v>
      </c>
      <c r="Q1059" s="32" t="str">
        <f t="shared" si="97"/>
        <v>-</v>
      </c>
      <c r="S1059" s="32" t="str">
        <f t="shared" si="98"/>
        <v>-</v>
      </c>
    </row>
    <row r="1060" spans="1:19" x14ac:dyDescent="0.3">
      <c r="A1060" s="45" t="s">
        <v>3278</v>
      </c>
      <c r="B1060" s="40" t="s">
        <v>1156</v>
      </c>
      <c r="C1060" s="41" t="s">
        <v>1982</v>
      </c>
      <c r="D1060" s="21" t="s">
        <v>2225</v>
      </c>
      <c r="E1060" s="21" t="s">
        <v>2222</v>
      </c>
      <c r="F1060" s="24">
        <v>0.17160911331666664</v>
      </c>
      <c r="G1060" s="21">
        <v>12</v>
      </c>
      <c r="H1060" s="17">
        <v>9.15</v>
      </c>
      <c r="I1060" s="43" t="s">
        <v>3950</v>
      </c>
      <c r="J1060" s="26"/>
      <c r="K1060" s="17">
        <f t="shared" si="96"/>
        <v>0</v>
      </c>
      <c r="N1060" s="31" t="str">
        <f t="shared" si="99"/>
        <v>-</v>
      </c>
      <c r="O1060" s="31" t="str">
        <f t="shared" si="101"/>
        <v>-</v>
      </c>
      <c r="P1060" s="35" t="str">
        <f t="shared" si="100"/>
        <v>-</v>
      </c>
      <c r="Q1060" s="32" t="str">
        <f t="shared" si="97"/>
        <v>-</v>
      </c>
      <c r="S1060" s="32" t="str">
        <f t="shared" si="98"/>
        <v>-</v>
      </c>
    </row>
    <row r="1061" spans="1:19" x14ac:dyDescent="0.3">
      <c r="A1061" s="45" t="s">
        <v>3279</v>
      </c>
      <c r="B1061" s="40" t="s">
        <v>585</v>
      </c>
      <c r="C1061" s="41" t="s">
        <v>1982</v>
      </c>
      <c r="D1061" s="21" t="s">
        <v>2226</v>
      </c>
      <c r="E1061" s="21" t="s">
        <v>2222</v>
      </c>
      <c r="F1061" s="24">
        <v>0.35694695569866675</v>
      </c>
      <c r="G1061" s="21">
        <v>12</v>
      </c>
      <c r="H1061" s="17">
        <v>17.39</v>
      </c>
      <c r="I1061" s="43" t="s">
        <v>3950</v>
      </c>
      <c r="J1061" s="26"/>
      <c r="K1061" s="17">
        <f t="shared" si="96"/>
        <v>0</v>
      </c>
      <c r="N1061" s="31" t="str">
        <f t="shared" si="99"/>
        <v>-</v>
      </c>
      <c r="O1061" s="31" t="str">
        <f t="shared" si="101"/>
        <v>-</v>
      </c>
      <c r="P1061" s="35" t="str">
        <f t="shared" si="100"/>
        <v>-</v>
      </c>
      <c r="Q1061" s="32" t="str">
        <f t="shared" si="97"/>
        <v>-</v>
      </c>
      <c r="S1061" s="32" t="str">
        <f t="shared" si="98"/>
        <v>-</v>
      </c>
    </row>
    <row r="1062" spans="1:19" x14ac:dyDescent="0.3">
      <c r="A1062" s="45" t="s">
        <v>3280</v>
      </c>
      <c r="B1062" s="40" t="s">
        <v>972</v>
      </c>
      <c r="C1062" s="41" t="s">
        <v>1878</v>
      </c>
      <c r="D1062" s="21" t="s">
        <v>2227</v>
      </c>
      <c r="E1062" s="21" t="s">
        <v>2260</v>
      </c>
      <c r="F1062" s="24">
        <v>0.48393769955300003</v>
      </c>
      <c r="G1062" s="21">
        <v>12</v>
      </c>
      <c r="H1062" s="17">
        <v>25.79</v>
      </c>
      <c r="I1062" s="43" t="s">
        <v>3950</v>
      </c>
      <c r="J1062" s="26"/>
      <c r="K1062" s="17">
        <f t="shared" si="96"/>
        <v>0</v>
      </c>
      <c r="N1062" s="31" t="str">
        <f t="shared" si="99"/>
        <v>-</v>
      </c>
      <c r="O1062" s="31" t="str">
        <f t="shared" si="101"/>
        <v>-</v>
      </c>
      <c r="P1062" s="35" t="str">
        <f t="shared" si="100"/>
        <v>-</v>
      </c>
      <c r="Q1062" s="32" t="str">
        <f t="shared" si="97"/>
        <v>-</v>
      </c>
      <c r="S1062" s="32" t="str">
        <f t="shared" si="98"/>
        <v>-</v>
      </c>
    </row>
    <row r="1063" spans="1:19" x14ac:dyDescent="0.3">
      <c r="A1063" s="45" t="s">
        <v>3281</v>
      </c>
      <c r="B1063" s="40" t="s">
        <v>1161</v>
      </c>
      <c r="C1063" s="41" t="s">
        <v>1983</v>
      </c>
      <c r="D1063" s="21" t="s">
        <v>2228</v>
      </c>
      <c r="E1063" s="21" t="s">
        <v>2229</v>
      </c>
      <c r="F1063" s="24">
        <v>0.11326201478900001</v>
      </c>
      <c r="G1063" s="21">
        <v>12</v>
      </c>
      <c r="H1063" s="17">
        <v>11.7</v>
      </c>
      <c r="I1063" s="43" t="s">
        <v>3950</v>
      </c>
      <c r="J1063" s="26"/>
      <c r="K1063" s="17">
        <f t="shared" si="96"/>
        <v>0</v>
      </c>
      <c r="N1063" s="31" t="str">
        <f t="shared" si="99"/>
        <v>-</v>
      </c>
      <c r="O1063" s="31" t="str">
        <f t="shared" si="101"/>
        <v>-</v>
      </c>
      <c r="P1063" s="35" t="str">
        <f t="shared" si="100"/>
        <v>-</v>
      </c>
      <c r="Q1063" s="32" t="str">
        <f t="shared" si="97"/>
        <v>-</v>
      </c>
      <c r="S1063" s="32" t="str">
        <f t="shared" si="98"/>
        <v>-</v>
      </c>
    </row>
    <row r="1064" spans="1:19" x14ac:dyDescent="0.3">
      <c r="A1064" s="45" t="s">
        <v>3282</v>
      </c>
      <c r="B1064" s="40" t="s">
        <v>1123</v>
      </c>
      <c r="C1064" s="41" t="s">
        <v>1983</v>
      </c>
      <c r="D1064" s="21" t="s">
        <v>2265</v>
      </c>
      <c r="E1064" s="21" t="s">
        <v>2229</v>
      </c>
      <c r="F1064" s="24">
        <v>0.15959647538450003</v>
      </c>
      <c r="G1064" s="21">
        <v>12</v>
      </c>
      <c r="H1064" s="17">
        <v>19.190000000000001</v>
      </c>
      <c r="I1064" s="43" t="s">
        <v>3950</v>
      </c>
      <c r="J1064" s="26"/>
      <c r="K1064" s="17">
        <f t="shared" si="96"/>
        <v>0</v>
      </c>
      <c r="N1064" s="31" t="str">
        <f t="shared" si="99"/>
        <v>-</v>
      </c>
      <c r="O1064" s="31" t="str">
        <f t="shared" si="101"/>
        <v>-</v>
      </c>
      <c r="P1064" s="35" t="str">
        <f t="shared" si="100"/>
        <v>-</v>
      </c>
      <c r="Q1064" s="32" t="str">
        <f t="shared" si="97"/>
        <v>-</v>
      </c>
      <c r="S1064" s="32" t="str">
        <f t="shared" si="98"/>
        <v>-</v>
      </c>
    </row>
    <row r="1065" spans="1:19" x14ac:dyDescent="0.3">
      <c r="A1065" s="45" t="s">
        <v>3284</v>
      </c>
      <c r="B1065" s="40" t="s">
        <v>366</v>
      </c>
      <c r="C1065" s="41" t="s">
        <v>1985</v>
      </c>
      <c r="D1065" s="21" t="s">
        <v>2223</v>
      </c>
      <c r="E1065" s="21" t="s">
        <v>2222</v>
      </c>
      <c r="F1065" s="24">
        <v>6.0921235227416673E-2</v>
      </c>
      <c r="G1065" s="21">
        <v>12</v>
      </c>
      <c r="H1065" s="17">
        <v>10.79</v>
      </c>
      <c r="I1065" s="43" t="s">
        <v>3950</v>
      </c>
      <c r="J1065" s="26"/>
      <c r="K1065" s="17">
        <f t="shared" si="96"/>
        <v>0</v>
      </c>
      <c r="N1065" s="31" t="str">
        <f t="shared" si="99"/>
        <v>-</v>
      </c>
      <c r="O1065" s="31" t="str">
        <f t="shared" si="101"/>
        <v>-</v>
      </c>
      <c r="P1065" s="35" t="str">
        <f t="shared" si="100"/>
        <v>-</v>
      </c>
      <c r="Q1065" s="32" t="str">
        <f t="shared" si="97"/>
        <v>-</v>
      </c>
      <c r="S1065" s="32" t="str">
        <f t="shared" si="98"/>
        <v>-</v>
      </c>
    </row>
    <row r="1066" spans="1:19" x14ac:dyDescent="0.3">
      <c r="A1066" s="45" t="s">
        <v>3285</v>
      </c>
      <c r="B1066" s="40" t="s">
        <v>1144</v>
      </c>
      <c r="C1066" s="41" t="s">
        <v>1985</v>
      </c>
      <c r="D1066" s="21" t="s">
        <v>2224</v>
      </c>
      <c r="E1066" s="21" t="s">
        <v>2222</v>
      </c>
      <c r="F1066" s="24">
        <v>0.37067568476400009</v>
      </c>
      <c r="G1066" s="21">
        <v>12</v>
      </c>
      <c r="H1066" s="17">
        <v>20.7</v>
      </c>
      <c r="I1066" s="43" t="s">
        <v>3950</v>
      </c>
      <c r="J1066" s="26"/>
      <c r="K1066" s="17">
        <f t="shared" si="96"/>
        <v>0</v>
      </c>
      <c r="N1066" s="31" t="str">
        <f t="shared" si="99"/>
        <v>-</v>
      </c>
      <c r="O1066" s="31" t="str">
        <f t="shared" si="101"/>
        <v>-</v>
      </c>
      <c r="P1066" s="35" t="str">
        <f t="shared" si="100"/>
        <v>-</v>
      </c>
      <c r="Q1066" s="32" t="str">
        <f t="shared" si="97"/>
        <v>-</v>
      </c>
      <c r="S1066" s="32" t="str">
        <f t="shared" si="98"/>
        <v>-</v>
      </c>
    </row>
    <row r="1067" spans="1:19" x14ac:dyDescent="0.3">
      <c r="A1067" s="45" t="s">
        <v>3286</v>
      </c>
      <c r="B1067" s="40" t="s">
        <v>1574</v>
      </c>
      <c r="C1067" s="41" t="s">
        <v>1986</v>
      </c>
      <c r="D1067" s="21" t="s">
        <v>2224</v>
      </c>
      <c r="E1067" s="21" t="s">
        <v>2222</v>
      </c>
      <c r="F1067" s="24">
        <v>0.16131256651766665</v>
      </c>
      <c r="G1067" s="21">
        <v>12</v>
      </c>
      <c r="H1067" s="17">
        <v>19.5</v>
      </c>
      <c r="I1067" s="43" t="s">
        <v>3950</v>
      </c>
      <c r="J1067" s="26"/>
      <c r="K1067" s="17">
        <f t="shared" si="96"/>
        <v>0</v>
      </c>
      <c r="N1067" s="31" t="str">
        <f t="shared" si="99"/>
        <v>-</v>
      </c>
      <c r="O1067" s="31" t="str">
        <f t="shared" si="101"/>
        <v>-</v>
      </c>
      <c r="P1067" s="35" t="str">
        <f t="shared" si="100"/>
        <v>-</v>
      </c>
      <c r="Q1067" s="32" t="str">
        <f t="shared" si="97"/>
        <v>-</v>
      </c>
      <c r="S1067" s="32" t="str">
        <f t="shared" si="98"/>
        <v>-</v>
      </c>
    </row>
    <row r="1068" spans="1:19" x14ac:dyDescent="0.3">
      <c r="A1068" s="45" t="s">
        <v>3287</v>
      </c>
      <c r="B1068" s="40" t="s">
        <v>1575</v>
      </c>
      <c r="C1068" s="41" t="s">
        <v>1986</v>
      </c>
      <c r="D1068" s="21" t="s">
        <v>2227</v>
      </c>
      <c r="E1068" s="21" t="s">
        <v>2222</v>
      </c>
      <c r="F1068" s="24">
        <v>0.27200044460691669</v>
      </c>
      <c r="G1068" s="21">
        <v>12</v>
      </c>
      <c r="H1068" s="17">
        <v>37.79</v>
      </c>
      <c r="I1068" s="43" t="s">
        <v>3950</v>
      </c>
      <c r="J1068" s="26"/>
      <c r="K1068" s="17">
        <f t="shared" si="96"/>
        <v>0</v>
      </c>
      <c r="N1068" s="31" t="str">
        <f t="shared" si="99"/>
        <v>-</v>
      </c>
      <c r="O1068" s="31" t="str">
        <f t="shared" si="101"/>
        <v>-</v>
      </c>
      <c r="P1068" s="35" t="str">
        <f t="shared" si="100"/>
        <v>-</v>
      </c>
      <c r="Q1068" s="32" t="str">
        <f t="shared" si="97"/>
        <v>-</v>
      </c>
      <c r="S1068" s="32" t="str">
        <f t="shared" si="98"/>
        <v>-</v>
      </c>
    </row>
    <row r="1069" spans="1:19" x14ac:dyDescent="0.3">
      <c r="A1069" s="45" t="s">
        <v>3288</v>
      </c>
      <c r="B1069" s="40" t="s">
        <v>611</v>
      </c>
      <c r="C1069" s="41" t="s">
        <v>1661</v>
      </c>
      <c r="D1069" s="21" t="s">
        <v>2224</v>
      </c>
      <c r="E1069" s="21" t="s">
        <v>2234</v>
      </c>
      <c r="F1069" s="24">
        <v>6.4353417493750009E-2</v>
      </c>
      <c r="G1069" s="21">
        <v>12</v>
      </c>
      <c r="H1069" s="17">
        <v>7.95</v>
      </c>
      <c r="I1069" s="43" t="s">
        <v>3950</v>
      </c>
      <c r="J1069" s="26"/>
      <c r="K1069" s="17">
        <f t="shared" si="96"/>
        <v>0</v>
      </c>
      <c r="N1069" s="31" t="str">
        <f t="shared" si="99"/>
        <v>-</v>
      </c>
      <c r="O1069" s="31" t="str">
        <f t="shared" si="101"/>
        <v>-</v>
      </c>
      <c r="P1069" s="35" t="str">
        <f t="shared" si="100"/>
        <v>-</v>
      </c>
      <c r="Q1069" s="32" t="str">
        <f t="shared" si="97"/>
        <v>-</v>
      </c>
      <c r="S1069" s="32" t="str">
        <f t="shared" si="98"/>
        <v>-</v>
      </c>
    </row>
    <row r="1070" spans="1:19" x14ac:dyDescent="0.3">
      <c r="A1070" s="45" t="s">
        <v>3289</v>
      </c>
      <c r="B1070" s="40" t="s">
        <v>571</v>
      </c>
      <c r="C1070" s="41" t="s">
        <v>1661</v>
      </c>
      <c r="D1070" s="21" t="s">
        <v>2227</v>
      </c>
      <c r="E1070" s="21" t="s">
        <v>2234</v>
      </c>
      <c r="F1070" s="24">
        <v>0.10553960468974999</v>
      </c>
      <c r="G1070" s="21">
        <v>12</v>
      </c>
      <c r="H1070" s="17">
        <v>14.7</v>
      </c>
      <c r="I1070" s="43" t="s">
        <v>3950</v>
      </c>
      <c r="J1070" s="26"/>
      <c r="K1070" s="17">
        <f t="shared" si="96"/>
        <v>0</v>
      </c>
      <c r="N1070" s="31" t="str">
        <f t="shared" si="99"/>
        <v>-</v>
      </c>
      <c r="O1070" s="31" t="str">
        <f t="shared" si="101"/>
        <v>-</v>
      </c>
      <c r="P1070" s="35" t="str">
        <f t="shared" si="100"/>
        <v>-</v>
      </c>
      <c r="Q1070" s="32" t="str">
        <f t="shared" si="97"/>
        <v>-</v>
      </c>
      <c r="S1070" s="32" t="str">
        <f t="shared" si="98"/>
        <v>-</v>
      </c>
    </row>
    <row r="1071" spans="1:19" x14ac:dyDescent="0.3">
      <c r="A1071" s="45" t="s">
        <v>3290</v>
      </c>
      <c r="B1071" s="40" t="s">
        <v>1198</v>
      </c>
      <c r="C1071" s="41" t="s">
        <v>1921</v>
      </c>
      <c r="D1071" s="21" t="s">
        <v>2223</v>
      </c>
      <c r="E1071" s="21" t="s">
        <v>2234</v>
      </c>
      <c r="F1071" s="24">
        <v>4.6334460595500011E-2</v>
      </c>
      <c r="G1071" s="21">
        <v>12</v>
      </c>
      <c r="H1071" s="17">
        <v>5.99</v>
      </c>
      <c r="I1071" s="43" t="s">
        <v>3950</v>
      </c>
      <c r="J1071" s="26"/>
      <c r="K1071" s="17">
        <f t="shared" si="96"/>
        <v>0</v>
      </c>
      <c r="N1071" s="31" t="str">
        <f t="shared" si="99"/>
        <v>-</v>
      </c>
      <c r="O1071" s="31" t="str">
        <f t="shared" si="101"/>
        <v>-</v>
      </c>
      <c r="P1071" s="35" t="str">
        <f t="shared" si="100"/>
        <v>-</v>
      </c>
      <c r="Q1071" s="32" t="str">
        <f t="shared" si="97"/>
        <v>-</v>
      </c>
      <c r="S1071" s="32" t="str">
        <f t="shared" si="98"/>
        <v>-</v>
      </c>
    </row>
    <row r="1072" spans="1:19" x14ac:dyDescent="0.3">
      <c r="A1072" s="45" t="s">
        <v>3291</v>
      </c>
      <c r="B1072" s="40" t="s">
        <v>255</v>
      </c>
      <c r="C1072" s="41" t="s">
        <v>1921</v>
      </c>
      <c r="D1072" s="21" t="s">
        <v>2224</v>
      </c>
      <c r="E1072" s="21" t="s">
        <v>2234</v>
      </c>
      <c r="F1072" s="24">
        <v>6.9501690893250007E-2</v>
      </c>
      <c r="G1072" s="21">
        <v>12</v>
      </c>
      <c r="H1072" s="17">
        <v>10.79</v>
      </c>
      <c r="I1072" s="43" t="s">
        <v>3950</v>
      </c>
      <c r="J1072" s="26"/>
      <c r="K1072" s="17">
        <f t="shared" si="96"/>
        <v>0</v>
      </c>
      <c r="N1072" s="31" t="str">
        <f t="shared" si="99"/>
        <v>-</v>
      </c>
      <c r="O1072" s="31" t="str">
        <f t="shared" si="101"/>
        <v>-</v>
      </c>
      <c r="P1072" s="35" t="str">
        <f t="shared" si="100"/>
        <v>-</v>
      </c>
      <c r="Q1072" s="32" t="str">
        <f t="shared" si="97"/>
        <v>-</v>
      </c>
      <c r="S1072" s="32" t="str">
        <f t="shared" si="98"/>
        <v>-</v>
      </c>
    </row>
    <row r="1073" spans="1:19" x14ac:dyDescent="0.3">
      <c r="A1073" s="45" t="s">
        <v>3293</v>
      </c>
      <c r="B1073" s="40" t="s">
        <v>549</v>
      </c>
      <c r="C1073" s="41" t="s">
        <v>1987</v>
      </c>
      <c r="D1073" s="21" t="s">
        <v>2230</v>
      </c>
      <c r="E1073" s="21" t="s">
        <v>2229</v>
      </c>
      <c r="F1073" s="24">
        <v>0.17444066368639166</v>
      </c>
      <c r="G1073" s="21">
        <v>12</v>
      </c>
      <c r="H1073" s="17">
        <v>8.85</v>
      </c>
      <c r="I1073" s="43" t="s">
        <v>3950</v>
      </c>
      <c r="J1073" s="26"/>
      <c r="K1073" s="17">
        <f t="shared" si="96"/>
        <v>0</v>
      </c>
      <c r="N1073" s="31" t="str">
        <f t="shared" si="99"/>
        <v>-</v>
      </c>
      <c r="O1073" s="31" t="str">
        <f t="shared" si="101"/>
        <v>-</v>
      </c>
      <c r="P1073" s="35" t="str">
        <f t="shared" si="100"/>
        <v>-</v>
      </c>
      <c r="Q1073" s="32" t="str">
        <f t="shared" si="97"/>
        <v>-</v>
      </c>
      <c r="S1073" s="32" t="str">
        <f t="shared" si="98"/>
        <v>-</v>
      </c>
    </row>
    <row r="1074" spans="1:19" x14ac:dyDescent="0.3">
      <c r="A1074" s="45" t="s">
        <v>3294</v>
      </c>
      <c r="B1074" s="40" t="s">
        <v>256</v>
      </c>
      <c r="C1074" s="41" t="s">
        <v>1987</v>
      </c>
      <c r="D1074" s="21" t="s">
        <v>2235</v>
      </c>
      <c r="E1074" s="21" t="s">
        <v>2229</v>
      </c>
      <c r="F1074" s="24">
        <v>0.30760933562012505</v>
      </c>
      <c r="G1074" s="21">
        <v>12</v>
      </c>
      <c r="H1074" s="17">
        <v>16.5</v>
      </c>
      <c r="I1074" s="43" t="s">
        <v>3950</v>
      </c>
      <c r="J1074" s="26"/>
      <c r="K1074" s="17">
        <f t="shared" si="96"/>
        <v>0</v>
      </c>
      <c r="N1074" s="31" t="str">
        <f t="shared" si="99"/>
        <v>-</v>
      </c>
      <c r="O1074" s="31" t="str">
        <f t="shared" si="101"/>
        <v>-</v>
      </c>
      <c r="P1074" s="35" t="str">
        <f t="shared" si="100"/>
        <v>-</v>
      </c>
      <c r="Q1074" s="32" t="str">
        <f t="shared" si="97"/>
        <v>-</v>
      </c>
      <c r="S1074" s="32" t="str">
        <f t="shared" si="98"/>
        <v>-</v>
      </c>
    </row>
    <row r="1075" spans="1:19" x14ac:dyDescent="0.3">
      <c r="A1075" s="45" t="s">
        <v>3295</v>
      </c>
      <c r="B1075" s="40" t="s">
        <v>1279</v>
      </c>
      <c r="C1075" s="41" t="s">
        <v>1987</v>
      </c>
      <c r="D1075" s="21" t="s">
        <v>2236</v>
      </c>
      <c r="E1075" s="21" t="s">
        <v>2229</v>
      </c>
      <c r="F1075" s="24">
        <v>4.1186187196000007E-2</v>
      </c>
      <c r="G1075" s="21">
        <v>12</v>
      </c>
      <c r="H1075" s="17">
        <v>31.79</v>
      </c>
      <c r="I1075" s="43" t="s">
        <v>3950</v>
      </c>
      <c r="J1075" s="26"/>
      <c r="K1075" s="17">
        <f t="shared" si="96"/>
        <v>0</v>
      </c>
      <c r="N1075" s="31" t="str">
        <f t="shared" si="99"/>
        <v>-</v>
      </c>
      <c r="O1075" s="31" t="str">
        <f t="shared" si="101"/>
        <v>-</v>
      </c>
      <c r="P1075" s="35" t="str">
        <f t="shared" si="100"/>
        <v>-</v>
      </c>
      <c r="Q1075" s="32" t="str">
        <f t="shared" si="97"/>
        <v>-</v>
      </c>
      <c r="S1075" s="32" t="str">
        <f t="shared" si="98"/>
        <v>-</v>
      </c>
    </row>
    <row r="1076" spans="1:19" x14ac:dyDescent="0.3">
      <c r="A1076" s="45" t="s">
        <v>3296</v>
      </c>
      <c r="B1076" s="40" t="s">
        <v>958</v>
      </c>
      <c r="C1076" s="41" t="s">
        <v>1988</v>
      </c>
      <c r="D1076" s="21" t="s">
        <v>2223</v>
      </c>
      <c r="E1076" s="21" t="s">
        <v>2222</v>
      </c>
      <c r="F1076" s="24">
        <v>9.3955989540875015E-2</v>
      </c>
      <c r="G1076" s="21">
        <v>12</v>
      </c>
      <c r="H1076" s="17">
        <v>6.45</v>
      </c>
      <c r="I1076" s="43" t="s">
        <v>3950</v>
      </c>
      <c r="J1076" s="26"/>
      <c r="K1076" s="17">
        <f t="shared" si="96"/>
        <v>0</v>
      </c>
      <c r="N1076" s="31" t="str">
        <f t="shared" si="99"/>
        <v>-</v>
      </c>
      <c r="O1076" s="31" t="str">
        <f t="shared" si="101"/>
        <v>-</v>
      </c>
      <c r="P1076" s="35" t="str">
        <f t="shared" si="100"/>
        <v>-</v>
      </c>
      <c r="Q1076" s="32" t="str">
        <f t="shared" si="97"/>
        <v>-</v>
      </c>
      <c r="S1076" s="32" t="str">
        <f t="shared" si="98"/>
        <v>-</v>
      </c>
    </row>
    <row r="1077" spans="1:19" x14ac:dyDescent="0.3">
      <c r="A1077" s="45" t="s">
        <v>3298</v>
      </c>
      <c r="B1077" s="40" t="s">
        <v>937</v>
      </c>
      <c r="C1077" s="41" t="s">
        <v>1988</v>
      </c>
      <c r="D1077" s="21" t="s">
        <v>2227</v>
      </c>
      <c r="E1077" s="21" t="s">
        <v>2222</v>
      </c>
      <c r="F1077" s="24">
        <v>0.27714871800641666</v>
      </c>
      <c r="G1077" s="21">
        <v>12</v>
      </c>
      <c r="H1077" s="17">
        <v>22.79</v>
      </c>
      <c r="I1077" s="43" t="s">
        <v>3950</v>
      </c>
      <c r="J1077" s="26"/>
      <c r="K1077" s="17">
        <f t="shared" ref="K1077:K1140" si="102">J1077*H1077</f>
        <v>0</v>
      </c>
      <c r="N1077" s="31" t="str">
        <f t="shared" si="99"/>
        <v>-</v>
      </c>
      <c r="O1077" s="31" t="str">
        <f t="shared" si="101"/>
        <v>-</v>
      </c>
      <c r="P1077" s="35" t="str">
        <f t="shared" si="100"/>
        <v>-</v>
      </c>
      <c r="Q1077" s="32" t="str">
        <f t="shared" si="97"/>
        <v>-</v>
      </c>
      <c r="S1077" s="32" t="str">
        <f t="shared" si="98"/>
        <v>-</v>
      </c>
    </row>
    <row r="1078" spans="1:19" x14ac:dyDescent="0.3">
      <c r="A1078" s="45" t="s">
        <v>3299</v>
      </c>
      <c r="B1078" s="40" t="s">
        <v>1390</v>
      </c>
      <c r="C1078" s="41" t="s">
        <v>2290</v>
      </c>
      <c r="D1078" s="21" t="s">
        <v>2223</v>
      </c>
      <c r="E1078" s="21" t="s">
        <v>2222</v>
      </c>
      <c r="F1078" s="24">
        <v>8.880771614137499E-2</v>
      </c>
      <c r="G1078" s="21">
        <v>12</v>
      </c>
      <c r="H1078" s="17">
        <v>5.7</v>
      </c>
      <c r="I1078" s="43" t="s">
        <v>3950</v>
      </c>
      <c r="J1078" s="26"/>
      <c r="K1078" s="17">
        <f t="shared" si="102"/>
        <v>0</v>
      </c>
      <c r="N1078" s="31" t="str">
        <f t="shared" si="99"/>
        <v>-</v>
      </c>
      <c r="O1078" s="31" t="str">
        <f t="shared" si="101"/>
        <v>-</v>
      </c>
      <c r="P1078" s="35" t="str">
        <f t="shared" si="100"/>
        <v>-</v>
      </c>
      <c r="Q1078" s="32" t="str">
        <f t="shared" ref="Q1078:Q1141" si="103">IFERROR(IF($N$2&gt;0, $N$2*P1078, "-"), "-")</f>
        <v>-</v>
      </c>
      <c r="S1078" s="32" t="str">
        <f t="shared" ref="S1078:S1141" si="104">IFERROR(IF(Q1078+K1078=0, "-", IF(Q1078&gt;0, Q1078+K1078, "-")), "-")</f>
        <v>-</v>
      </c>
    </row>
    <row r="1079" spans="1:19" x14ac:dyDescent="0.3">
      <c r="A1079" s="45" t="s">
        <v>3301</v>
      </c>
      <c r="B1079" s="40" t="s">
        <v>100</v>
      </c>
      <c r="C1079" s="41" t="s">
        <v>2290</v>
      </c>
      <c r="D1079" s="21" t="s">
        <v>2227</v>
      </c>
      <c r="E1079" s="21" t="s">
        <v>2222</v>
      </c>
      <c r="F1079" s="24">
        <v>0.27714871800641666</v>
      </c>
      <c r="G1079" s="21">
        <v>12</v>
      </c>
      <c r="H1079" s="17">
        <v>19.190000000000001</v>
      </c>
      <c r="I1079" s="43" t="s">
        <v>3950</v>
      </c>
      <c r="J1079" s="26"/>
      <c r="K1079" s="17">
        <f t="shared" si="102"/>
        <v>0</v>
      </c>
      <c r="N1079" s="31" t="str">
        <f t="shared" si="99"/>
        <v>-</v>
      </c>
      <c r="O1079" s="31" t="str">
        <f t="shared" si="101"/>
        <v>-</v>
      </c>
      <c r="P1079" s="35" t="str">
        <f t="shared" si="100"/>
        <v>-</v>
      </c>
      <c r="Q1079" s="32" t="str">
        <f t="shared" si="103"/>
        <v>-</v>
      </c>
      <c r="S1079" s="32" t="str">
        <f t="shared" si="104"/>
        <v>-</v>
      </c>
    </row>
    <row r="1080" spans="1:19" x14ac:dyDescent="0.3">
      <c r="A1080" s="45" t="s">
        <v>3302</v>
      </c>
      <c r="B1080" s="40" t="s">
        <v>1178</v>
      </c>
      <c r="C1080" s="41" t="s">
        <v>1989</v>
      </c>
      <c r="D1080" s="21" t="s">
        <v>2223</v>
      </c>
      <c r="E1080" s="21" t="s">
        <v>2222</v>
      </c>
      <c r="F1080" s="24">
        <v>5.5772961827916676E-2</v>
      </c>
      <c r="G1080" s="21">
        <v>12</v>
      </c>
      <c r="H1080" s="17">
        <v>11.1</v>
      </c>
      <c r="I1080" s="43" t="s">
        <v>3950</v>
      </c>
      <c r="J1080" s="26"/>
      <c r="K1080" s="17">
        <f t="shared" si="102"/>
        <v>0</v>
      </c>
      <c r="N1080" s="31" t="str">
        <f t="shared" si="99"/>
        <v>-</v>
      </c>
      <c r="O1080" s="31" t="str">
        <f t="shared" si="101"/>
        <v>-</v>
      </c>
      <c r="P1080" s="35" t="str">
        <f t="shared" si="100"/>
        <v>-</v>
      </c>
      <c r="Q1080" s="32" t="str">
        <f t="shared" si="103"/>
        <v>-</v>
      </c>
      <c r="S1080" s="32" t="str">
        <f t="shared" si="104"/>
        <v>-</v>
      </c>
    </row>
    <row r="1081" spans="1:19" x14ac:dyDescent="0.3">
      <c r="A1081" s="45" t="s">
        <v>3304</v>
      </c>
      <c r="B1081" s="40" t="s">
        <v>1321</v>
      </c>
      <c r="C1081" s="41" t="s">
        <v>1989</v>
      </c>
      <c r="D1081" s="21" t="s">
        <v>2225</v>
      </c>
      <c r="E1081" s="21" t="s">
        <v>2222</v>
      </c>
      <c r="F1081" s="24">
        <v>0.12784878942091665</v>
      </c>
      <c r="G1081" s="21">
        <v>12</v>
      </c>
      <c r="H1081" s="17">
        <v>31.5</v>
      </c>
      <c r="I1081" s="43" t="s">
        <v>3950</v>
      </c>
      <c r="J1081" s="26"/>
      <c r="K1081" s="17">
        <f t="shared" si="102"/>
        <v>0</v>
      </c>
      <c r="N1081" s="31" t="str">
        <f t="shared" si="99"/>
        <v>-</v>
      </c>
      <c r="O1081" s="31" t="str">
        <f t="shared" si="101"/>
        <v>-</v>
      </c>
      <c r="P1081" s="35" t="str">
        <f t="shared" si="100"/>
        <v>-</v>
      </c>
      <c r="Q1081" s="32" t="str">
        <f t="shared" si="103"/>
        <v>-</v>
      </c>
      <c r="S1081" s="32" t="str">
        <f t="shared" si="104"/>
        <v>-</v>
      </c>
    </row>
    <row r="1082" spans="1:19" x14ac:dyDescent="0.3">
      <c r="A1082" s="45" t="s">
        <v>3305</v>
      </c>
      <c r="B1082" s="40" t="s">
        <v>856</v>
      </c>
      <c r="C1082" s="41" t="s">
        <v>1990</v>
      </c>
      <c r="D1082" s="21" t="s">
        <v>2223</v>
      </c>
      <c r="E1082" s="21" t="s">
        <v>2222</v>
      </c>
      <c r="F1082" s="24">
        <v>7.1217782026416682E-2</v>
      </c>
      <c r="G1082" s="21">
        <v>12</v>
      </c>
      <c r="H1082" s="17">
        <v>9.9</v>
      </c>
      <c r="I1082" s="43" t="s">
        <v>3950</v>
      </c>
      <c r="J1082" s="26"/>
      <c r="K1082" s="17">
        <f t="shared" si="102"/>
        <v>0</v>
      </c>
      <c r="N1082" s="31" t="str">
        <f t="shared" si="99"/>
        <v>-</v>
      </c>
      <c r="O1082" s="31" t="str">
        <f t="shared" si="101"/>
        <v>-</v>
      </c>
      <c r="P1082" s="35" t="str">
        <f t="shared" si="100"/>
        <v>-</v>
      </c>
      <c r="Q1082" s="32" t="str">
        <f t="shared" si="103"/>
        <v>-</v>
      </c>
      <c r="S1082" s="32" t="str">
        <f t="shared" si="104"/>
        <v>-</v>
      </c>
    </row>
    <row r="1083" spans="1:19" x14ac:dyDescent="0.3">
      <c r="A1083" s="45" t="s">
        <v>3306</v>
      </c>
      <c r="B1083" s="40" t="s">
        <v>644</v>
      </c>
      <c r="C1083" s="41" t="s">
        <v>1990</v>
      </c>
      <c r="D1083" s="21" t="s">
        <v>2224</v>
      </c>
      <c r="E1083" s="21" t="s">
        <v>2222</v>
      </c>
      <c r="F1083" s="24">
        <v>0.10940080973937501</v>
      </c>
      <c r="G1083" s="21">
        <v>12</v>
      </c>
      <c r="H1083" s="17">
        <v>18.899999999999999</v>
      </c>
      <c r="I1083" s="43" t="s">
        <v>3950</v>
      </c>
      <c r="J1083" s="26"/>
      <c r="K1083" s="17">
        <f t="shared" si="102"/>
        <v>0</v>
      </c>
      <c r="N1083" s="31" t="str">
        <f t="shared" si="99"/>
        <v>-</v>
      </c>
      <c r="O1083" s="31" t="str">
        <f t="shared" si="101"/>
        <v>-</v>
      </c>
      <c r="P1083" s="35" t="str">
        <f t="shared" si="100"/>
        <v>-</v>
      </c>
      <c r="Q1083" s="32" t="str">
        <f t="shared" si="103"/>
        <v>-</v>
      </c>
      <c r="S1083" s="32" t="str">
        <f t="shared" si="104"/>
        <v>-</v>
      </c>
    </row>
    <row r="1084" spans="1:19" x14ac:dyDescent="0.3">
      <c r="A1084" s="45" t="s">
        <v>3307</v>
      </c>
      <c r="B1084" s="40" t="s">
        <v>599</v>
      </c>
      <c r="C1084" s="41" t="s">
        <v>1990</v>
      </c>
      <c r="D1084" s="21" t="s">
        <v>2227</v>
      </c>
      <c r="E1084" s="21" t="s">
        <v>2222</v>
      </c>
      <c r="F1084" s="24">
        <v>0.1999246170139167</v>
      </c>
      <c r="G1084" s="21">
        <v>12</v>
      </c>
      <c r="H1084" s="17">
        <v>35.99</v>
      </c>
      <c r="I1084" s="43" t="s">
        <v>3950</v>
      </c>
      <c r="J1084" s="26"/>
      <c r="K1084" s="17">
        <f t="shared" si="102"/>
        <v>0</v>
      </c>
      <c r="N1084" s="31" t="str">
        <f t="shared" ref="N1084:N1147" si="105">IFERROR(IF($N$2*F1084=0, "-", $N$2*F1084), "-")</f>
        <v>-</v>
      </c>
      <c r="O1084" s="31" t="str">
        <f t="shared" si="101"/>
        <v>-</v>
      </c>
      <c r="P1084" s="35" t="str">
        <f t="shared" ref="P1084:P1147" si="106">IF(J1084&gt;0,J1084*F1084, "-")</f>
        <v>-</v>
      </c>
      <c r="Q1084" s="32" t="str">
        <f t="shared" si="103"/>
        <v>-</v>
      </c>
      <c r="S1084" s="32" t="str">
        <f t="shared" si="104"/>
        <v>-</v>
      </c>
    </row>
    <row r="1085" spans="1:19" x14ac:dyDescent="0.3">
      <c r="A1085" s="45" t="s">
        <v>3308</v>
      </c>
      <c r="B1085" s="40" t="s">
        <v>800</v>
      </c>
      <c r="C1085" s="41" t="s">
        <v>1991</v>
      </c>
      <c r="D1085" s="21" t="s">
        <v>2221</v>
      </c>
      <c r="E1085" s="21" t="s">
        <v>2222</v>
      </c>
      <c r="F1085" s="24">
        <v>5.0624688428416671E-2</v>
      </c>
      <c r="G1085" s="21">
        <v>12</v>
      </c>
      <c r="H1085" s="17">
        <v>4.5</v>
      </c>
      <c r="I1085" s="43" t="s">
        <v>3950</v>
      </c>
      <c r="J1085" s="26"/>
      <c r="K1085" s="17">
        <f t="shared" si="102"/>
        <v>0</v>
      </c>
      <c r="N1085" s="31" t="str">
        <f t="shared" si="105"/>
        <v>-</v>
      </c>
      <c r="O1085" s="31" t="str">
        <f t="shared" ref="O1085:O1148" si="107">IFERROR(IF(N1085&gt;0,H1085+N1085,"-"),"-")</f>
        <v>-</v>
      </c>
      <c r="P1085" s="35" t="str">
        <f t="shared" si="106"/>
        <v>-</v>
      </c>
      <c r="Q1085" s="32" t="str">
        <f t="shared" si="103"/>
        <v>-</v>
      </c>
      <c r="S1085" s="32" t="str">
        <f t="shared" si="104"/>
        <v>-</v>
      </c>
    </row>
    <row r="1086" spans="1:19" x14ac:dyDescent="0.3">
      <c r="A1086" s="45" t="s">
        <v>3309</v>
      </c>
      <c r="B1086" s="40" t="s">
        <v>1388</v>
      </c>
      <c r="C1086" s="41" t="s">
        <v>1991</v>
      </c>
      <c r="D1086" s="21" t="s">
        <v>2242</v>
      </c>
      <c r="E1086" s="21" t="s">
        <v>2222</v>
      </c>
      <c r="F1086" s="24">
        <v>8.7520647791500011E-2</v>
      </c>
      <c r="G1086" s="21">
        <v>12</v>
      </c>
      <c r="H1086" s="17">
        <v>8.1</v>
      </c>
      <c r="I1086" s="43" t="s">
        <v>3950</v>
      </c>
      <c r="J1086" s="26"/>
      <c r="K1086" s="17">
        <f t="shared" si="102"/>
        <v>0</v>
      </c>
      <c r="N1086" s="31" t="str">
        <f t="shared" si="105"/>
        <v>-</v>
      </c>
      <c r="O1086" s="31" t="str">
        <f t="shared" si="107"/>
        <v>-</v>
      </c>
      <c r="P1086" s="35" t="str">
        <f t="shared" si="106"/>
        <v>-</v>
      </c>
      <c r="Q1086" s="32" t="str">
        <f t="shared" si="103"/>
        <v>-</v>
      </c>
      <c r="S1086" s="32" t="str">
        <f t="shared" si="104"/>
        <v>-</v>
      </c>
    </row>
    <row r="1087" spans="1:19" x14ac:dyDescent="0.3">
      <c r="A1087" s="45" t="s">
        <v>3310</v>
      </c>
      <c r="B1087" s="40" t="s">
        <v>101</v>
      </c>
      <c r="C1087" s="41" t="s">
        <v>1992</v>
      </c>
      <c r="D1087" s="21" t="s">
        <v>2221</v>
      </c>
      <c r="E1087" s="21" t="s">
        <v>2222</v>
      </c>
      <c r="F1087" s="24">
        <v>5.5772961827916676E-2</v>
      </c>
      <c r="G1087" s="21">
        <v>12</v>
      </c>
      <c r="H1087" s="17">
        <v>4.79</v>
      </c>
      <c r="I1087" s="43" t="s">
        <v>3950</v>
      </c>
      <c r="J1087" s="26"/>
      <c r="K1087" s="17">
        <f t="shared" si="102"/>
        <v>0</v>
      </c>
      <c r="N1087" s="31" t="str">
        <f t="shared" si="105"/>
        <v>-</v>
      </c>
      <c r="O1087" s="31" t="str">
        <f t="shared" si="107"/>
        <v>-</v>
      </c>
      <c r="P1087" s="35" t="str">
        <f t="shared" si="106"/>
        <v>-</v>
      </c>
      <c r="Q1087" s="32" t="str">
        <f t="shared" si="103"/>
        <v>-</v>
      </c>
      <c r="S1087" s="32" t="str">
        <f t="shared" si="104"/>
        <v>-</v>
      </c>
    </row>
    <row r="1088" spans="1:19" x14ac:dyDescent="0.3">
      <c r="A1088" s="45" t="s">
        <v>3311</v>
      </c>
      <c r="B1088" s="40" t="s">
        <v>143</v>
      </c>
      <c r="C1088" s="41" t="s">
        <v>1992</v>
      </c>
      <c r="D1088" s="21" t="s">
        <v>2242</v>
      </c>
      <c r="E1088" s="21" t="s">
        <v>2222</v>
      </c>
      <c r="F1088" s="24">
        <v>8.2372374392000014E-2</v>
      </c>
      <c r="G1088" s="21">
        <v>12</v>
      </c>
      <c r="H1088" s="17">
        <v>8.39</v>
      </c>
      <c r="I1088" s="43" t="s">
        <v>3950</v>
      </c>
      <c r="J1088" s="26"/>
      <c r="K1088" s="17">
        <f t="shared" si="102"/>
        <v>0</v>
      </c>
      <c r="N1088" s="31" t="str">
        <f t="shared" si="105"/>
        <v>-</v>
      </c>
      <c r="O1088" s="31" t="str">
        <f t="shared" si="107"/>
        <v>-</v>
      </c>
      <c r="P1088" s="35" t="str">
        <f t="shared" si="106"/>
        <v>-</v>
      </c>
      <c r="Q1088" s="32" t="str">
        <f t="shared" si="103"/>
        <v>-</v>
      </c>
      <c r="S1088" s="32" t="str">
        <f t="shared" si="104"/>
        <v>-</v>
      </c>
    </row>
    <row r="1089" spans="1:19" x14ac:dyDescent="0.3">
      <c r="A1089" s="45" t="s">
        <v>3315</v>
      </c>
      <c r="B1089" s="40" t="s">
        <v>916</v>
      </c>
      <c r="C1089" s="41" t="s">
        <v>1976</v>
      </c>
      <c r="D1089" s="21" t="s">
        <v>2239</v>
      </c>
      <c r="E1089" s="21" t="s">
        <v>2222</v>
      </c>
      <c r="F1089" s="24">
        <v>0.14329360961941667</v>
      </c>
      <c r="G1089" s="21">
        <v>12</v>
      </c>
      <c r="H1089" s="17">
        <v>10.050000000000001</v>
      </c>
      <c r="I1089" s="43" t="s">
        <v>3950</v>
      </c>
      <c r="J1089" s="26"/>
      <c r="K1089" s="17">
        <f t="shared" si="102"/>
        <v>0</v>
      </c>
      <c r="N1089" s="31" t="str">
        <f t="shared" si="105"/>
        <v>-</v>
      </c>
      <c r="O1089" s="31" t="str">
        <f t="shared" si="107"/>
        <v>-</v>
      </c>
      <c r="P1089" s="35" t="str">
        <f t="shared" si="106"/>
        <v>-</v>
      </c>
      <c r="Q1089" s="32" t="str">
        <f t="shared" si="103"/>
        <v>-</v>
      </c>
      <c r="S1089" s="32" t="str">
        <f t="shared" si="104"/>
        <v>-</v>
      </c>
    </row>
    <row r="1090" spans="1:19" x14ac:dyDescent="0.3">
      <c r="A1090" s="45" t="s">
        <v>3316</v>
      </c>
      <c r="B1090" s="40" t="s">
        <v>746</v>
      </c>
      <c r="C1090" s="41" t="s">
        <v>1981</v>
      </c>
      <c r="D1090" s="21" t="s">
        <v>2226</v>
      </c>
      <c r="E1090" s="21" t="s">
        <v>2232</v>
      </c>
      <c r="F1090" s="24">
        <v>0.1124039692224167</v>
      </c>
      <c r="G1090" s="21">
        <v>12</v>
      </c>
      <c r="H1090" s="17">
        <v>48.3</v>
      </c>
      <c r="I1090" s="43" t="s">
        <v>3950</v>
      </c>
      <c r="J1090" s="26"/>
      <c r="K1090" s="17">
        <f t="shared" si="102"/>
        <v>0</v>
      </c>
      <c r="N1090" s="31" t="str">
        <f t="shared" si="105"/>
        <v>-</v>
      </c>
      <c r="O1090" s="31" t="str">
        <f t="shared" si="107"/>
        <v>-</v>
      </c>
      <c r="P1090" s="35" t="str">
        <f t="shared" si="106"/>
        <v>-</v>
      </c>
      <c r="Q1090" s="32" t="str">
        <f t="shared" si="103"/>
        <v>-</v>
      </c>
      <c r="S1090" s="32" t="str">
        <f t="shared" si="104"/>
        <v>-</v>
      </c>
    </row>
    <row r="1091" spans="1:19" x14ac:dyDescent="0.3">
      <c r="A1091" s="45" t="s">
        <v>3319</v>
      </c>
      <c r="B1091" s="40" t="s">
        <v>861</v>
      </c>
      <c r="C1091" s="41" t="s">
        <v>1994</v>
      </c>
      <c r="D1091" s="21" t="s">
        <v>2227</v>
      </c>
      <c r="E1091" s="21" t="s">
        <v>2222</v>
      </c>
      <c r="F1091" s="24">
        <v>0.21279530051266668</v>
      </c>
      <c r="G1091" s="21">
        <v>12</v>
      </c>
      <c r="H1091" s="17">
        <v>41.1</v>
      </c>
      <c r="I1091" s="43" t="s">
        <v>3950</v>
      </c>
      <c r="J1091" s="26"/>
      <c r="K1091" s="17">
        <f t="shared" si="102"/>
        <v>0</v>
      </c>
      <c r="N1091" s="31" t="str">
        <f t="shared" si="105"/>
        <v>-</v>
      </c>
      <c r="O1091" s="31" t="str">
        <f t="shared" si="107"/>
        <v>-</v>
      </c>
      <c r="P1091" s="35" t="str">
        <f t="shared" si="106"/>
        <v>-</v>
      </c>
      <c r="Q1091" s="32" t="str">
        <f t="shared" si="103"/>
        <v>-</v>
      </c>
      <c r="S1091" s="32" t="str">
        <f t="shared" si="104"/>
        <v>-</v>
      </c>
    </row>
    <row r="1092" spans="1:19" x14ac:dyDescent="0.3">
      <c r="A1092" s="45" t="s">
        <v>3320</v>
      </c>
      <c r="B1092" s="40" t="s">
        <v>383</v>
      </c>
      <c r="C1092" s="41" t="s">
        <v>1797</v>
      </c>
      <c r="D1092" s="21" t="s">
        <v>2250</v>
      </c>
      <c r="E1092" s="21" t="s">
        <v>2234</v>
      </c>
      <c r="F1092" s="24">
        <v>0.36037913796500004</v>
      </c>
      <c r="G1092" s="21">
        <v>12</v>
      </c>
      <c r="H1092" s="17">
        <v>39.9</v>
      </c>
      <c r="I1092" s="43" t="s">
        <v>3950</v>
      </c>
      <c r="J1092" s="26"/>
      <c r="K1092" s="17">
        <f t="shared" si="102"/>
        <v>0</v>
      </c>
      <c r="N1092" s="31" t="str">
        <f t="shared" si="105"/>
        <v>-</v>
      </c>
      <c r="O1092" s="31" t="str">
        <f t="shared" si="107"/>
        <v>-</v>
      </c>
      <c r="P1092" s="35" t="str">
        <f t="shared" si="106"/>
        <v>-</v>
      </c>
      <c r="Q1092" s="32" t="str">
        <f t="shared" si="103"/>
        <v>-</v>
      </c>
      <c r="S1092" s="32" t="str">
        <f t="shared" si="104"/>
        <v>-</v>
      </c>
    </row>
    <row r="1093" spans="1:19" x14ac:dyDescent="0.3">
      <c r="A1093" s="45" t="s">
        <v>3321</v>
      </c>
      <c r="B1093" s="40" t="s">
        <v>1205</v>
      </c>
      <c r="C1093" s="41" t="s">
        <v>1995</v>
      </c>
      <c r="D1093" s="21" t="s">
        <v>2224</v>
      </c>
      <c r="E1093" s="21" t="s">
        <v>2234</v>
      </c>
      <c r="F1093" s="24">
        <v>7.9798237692250015E-2</v>
      </c>
      <c r="G1093" s="21">
        <v>12</v>
      </c>
      <c r="H1093" s="17">
        <v>8.6999999999999993</v>
      </c>
      <c r="I1093" s="43" t="s">
        <v>3950</v>
      </c>
      <c r="J1093" s="26"/>
      <c r="K1093" s="17">
        <f t="shared" si="102"/>
        <v>0</v>
      </c>
      <c r="N1093" s="31" t="str">
        <f t="shared" si="105"/>
        <v>-</v>
      </c>
      <c r="O1093" s="31" t="str">
        <f t="shared" si="107"/>
        <v>-</v>
      </c>
      <c r="P1093" s="35" t="str">
        <f t="shared" si="106"/>
        <v>-</v>
      </c>
      <c r="Q1093" s="32" t="str">
        <f t="shared" si="103"/>
        <v>-</v>
      </c>
      <c r="S1093" s="32" t="str">
        <f t="shared" si="104"/>
        <v>-</v>
      </c>
    </row>
    <row r="1094" spans="1:19" x14ac:dyDescent="0.3">
      <c r="A1094" s="45" t="s">
        <v>3322</v>
      </c>
      <c r="B1094" s="40" t="s">
        <v>741</v>
      </c>
      <c r="C1094" s="41" t="s">
        <v>1995</v>
      </c>
      <c r="D1094" s="21" t="s">
        <v>2227</v>
      </c>
      <c r="E1094" s="21" t="s">
        <v>2234</v>
      </c>
      <c r="F1094" s="24">
        <v>0.13042292612066669</v>
      </c>
      <c r="G1094" s="21">
        <v>12</v>
      </c>
      <c r="H1094" s="17">
        <v>16.5</v>
      </c>
      <c r="I1094" s="43" t="s">
        <v>3950</v>
      </c>
      <c r="J1094" s="26"/>
      <c r="K1094" s="17">
        <f t="shared" si="102"/>
        <v>0</v>
      </c>
      <c r="N1094" s="31" t="str">
        <f t="shared" si="105"/>
        <v>-</v>
      </c>
      <c r="O1094" s="31" t="str">
        <f t="shared" si="107"/>
        <v>-</v>
      </c>
      <c r="P1094" s="35" t="str">
        <f t="shared" si="106"/>
        <v>-</v>
      </c>
      <c r="Q1094" s="32" t="str">
        <f t="shared" si="103"/>
        <v>-</v>
      </c>
      <c r="S1094" s="32" t="str">
        <f t="shared" si="104"/>
        <v>-</v>
      </c>
    </row>
    <row r="1095" spans="1:19" x14ac:dyDescent="0.3">
      <c r="A1095" s="45" t="s">
        <v>3323</v>
      </c>
      <c r="B1095" s="40" t="s">
        <v>1437</v>
      </c>
      <c r="C1095" s="41" t="s">
        <v>1996</v>
      </c>
      <c r="D1095" s="21" t="s">
        <v>2231</v>
      </c>
      <c r="E1095" s="21" t="s">
        <v>2222</v>
      </c>
      <c r="F1095" s="24">
        <v>7.2075827592999991E-2</v>
      </c>
      <c r="G1095" s="21">
        <v>12</v>
      </c>
      <c r="H1095" s="17">
        <v>6.59</v>
      </c>
      <c r="I1095" s="43" t="s">
        <v>3950</v>
      </c>
      <c r="J1095" s="26"/>
      <c r="K1095" s="17">
        <f t="shared" si="102"/>
        <v>0</v>
      </c>
      <c r="N1095" s="31" t="str">
        <f t="shared" si="105"/>
        <v>-</v>
      </c>
      <c r="O1095" s="31" t="str">
        <f t="shared" si="107"/>
        <v>-</v>
      </c>
      <c r="P1095" s="35" t="str">
        <f t="shared" si="106"/>
        <v>-</v>
      </c>
      <c r="Q1095" s="32" t="str">
        <f t="shared" si="103"/>
        <v>-</v>
      </c>
      <c r="S1095" s="32" t="str">
        <f t="shared" si="104"/>
        <v>-</v>
      </c>
    </row>
    <row r="1096" spans="1:19" x14ac:dyDescent="0.3">
      <c r="A1096" s="45" t="s">
        <v>3324</v>
      </c>
      <c r="B1096" s="40" t="s">
        <v>396</v>
      </c>
      <c r="C1096" s="41" t="s">
        <v>1996</v>
      </c>
      <c r="D1096" s="21" t="s">
        <v>2225</v>
      </c>
      <c r="E1096" s="21" t="s">
        <v>2222</v>
      </c>
      <c r="F1096" s="24">
        <v>0.11583615148875001</v>
      </c>
      <c r="G1096" s="21">
        <v>12</v>
      </c>
      <c r="H1096" s="17">
        <v>12.3</v>
      </c>
      <c r="I1096" s="43" t="s">
        <v>3950</v>
      </c>
      <c r="J1096" s="26"/>
      <c r="K1096" s="17">
        <f t="shared" si="102"/>
        <v>0</v>
      </c>
      <c r="N1096" s="31" t="str">
        <f t="shared" si="105"/>
        <v>-</v>
      </c>
      <c r="O1096" s="31" t="str">
        <f t="shared" si="107"/>
        <v>-</v>
      </c>
      <c r="P1096" s="35" t="str">
        <f t="shared" si="106"/>
        <v>-</v>
      </c>
      <c r="Q1096" s="32" t="str">
        <f t="shared" si="103"/>
        <v>-</v>
      </c>
      <c r="S1096" s="32" t="str">
        <f t="shared" si="104"/>
        <v>-</v>
      </c>
    </row>
    <row r="1097" spans="1:19" x14ac:dyDescent="0.3">
      <c r="A1097" s="45" t="s">
        <v>3325</v>
      </c>
      <c r="B1097" s="40" t="s">
        <v>133</v>
      </c>
      <c r="C1097" s="41" t="s">
        <v>1996</v>
      </c>
      <c r="D1097" s="21" t="s">
        <v>2226</v>
      </c>
      <c r="E1097" s="21" t="s">
        <v>2222</v>
      </c>
      <c r="F1097" s="24">
        <v>0.20764702711316668</v>
      </c>
      <c r="G1097" s="21">
        <v>12</v>
      </c>
      <c r="H1097" s="17">
        <v>23.39</v>
      </c>
      <c r="I1097" s="43" t="s">
        <v>3950</v>
      </c>
      <c r="J1097" s="26"/>
      <c r="K1097" s="17">
        <f t="shared" si="102"/>
        <v>0</v>
      </c>
      <c r="N1097" s="31" t="str">
        <f t="shared" si="105"/>
        <v>-</v>
      </c>
      <c r="O1097" s="31" t="str">
        <f t="shared" si="107"/>
        <v>-</v>
      </c>
      <c r="P1097" s="35" t="str">
        <f t="shared" si="106"/>
        <v>-</v>
      </c>
      <c r="Q1097" s="32" t="str">
        <f t="shared" si="103"/>
        <v>-</v>
      </c>
      <c r="S1097" s="32" t="str">
        <f t="shared" si="104"/>
        <v>-</v>
      </c>
    </row>
    <row r="1098" spans="1:19" x14ac:dyDescent="0.3">
      <c r="A1098" s="45" t="s">
        <v>3326</v>
      </c>
      <c r="B1098" s="40" t="s">
        <v>755</v>
      </c>
      <c r="C1098" s="41" t="s">
        <v>1997</v>
      </c>
      <c r="D1098" s="21" t="s">
        <v>2223</v>
      </c>
      <c r="E1098" s="21" t="s">
        <v>2222</v>
      </c>
      <c r="F1098" s="24">
        <v>7.3362895942875012E-2</v>
      </c>
      <c r="G1098" s="21">
        <v>12</v>
      </c>
      <c r="H1098" s="17">
        <v>16.79</v>
      </c>
      <c r="I1098" s="43" t="s">
        <v>3950</v>
      </c>
      <c r="J1098" s="26"/>
      <c r="K1098" s="17">
        <f t="shared" si="102"/>
        <v>0</v>
      </c>
      <c r="N1098" s="31" t="str">
        <f t="shared" si="105"/>
        <v>-</v>
      </c>
      <c r="O1098" s="31" t="str">
        <f t="shared" si="107"/>
        <v>-</v>
      </c>
      <c r="P1098" s="35" t="str">
        <f t="shared" si="106"/>
        <v>-</v>
      </c>
      <c r="Q1098" s="32" t="str">
        <f t="shared" si="103"/>
        <v>-</v>
      </c>
      <c r="S1098" s="32" t="str">
        <f t="shared" si="104"/>
        <v>-</v>
      </c>
    </row>
    <row r="1099" spans="1:19" x14ac:dyDescent="0.3">
      <c r="A1099" s="45" t="s">
        <v>3327</v>
      </c>
      <c r="B1099" s="40" t="s">
        <v>1163</v>
      </c>
      <c r="C1099" s="41" t="s">
        <v>1997</v>
      </c>
      <c r="D1099" s="21" t="s">
        <v>2224</v>
      </c>
      <c r="E1099" s="21" t="s">
        <v>2222</v>
      </c>
      <c r="F1099" s="24">
        <v>0.12784878942091665</v>
      </c>
      <c r="G1099" s="21">
        <v>12</v>
      </c>
      <c r="H1099" s="17">
        <v>32.700000000000003</v>
      </c>
      <c r="I1099" s="43" t="s">
        <v>3950</v>
      </c>
      <c r="J1099" s="26"/>
      <c r="K1099" s="17">
        <f t="shared" si="102"/>
        <v>0</v>
      </c>
      <c r="N1099" s="31" t="str">
        <f t="shared" si="105"/>
        <v>-</v>
      </c>
      <c r="O1099" s="31" t="str">
        <f t="shared" si="107"/>
        <v>-</v>
      </c>
      <c r="P1099" s="35" t="str">
        <f t="shared" si="106"/>
        <v>-</v>
      </c>
      <c r="Q1099" s="32" t="str">
        <f t="shared" si="103"/>
        <v>-</v>
      </c>
      <c r="S1099" s="32" t="str">
        <f t="shared" si="104"/>
        <v>-</v>
      </c>
    </row>
    <row r="1100" spans="1:19" x14ac:dyDescent="0.3">
      <c r="A1100" s="45" t="s">
        <v>3328</v>
      </c>
      <c r="B1100" s="40" t="s">
        <v>1460</v>
      </c>
      <c r="C1100" s="41" t="s">
        <v>1998</v>
      </c>
      <c r="D1100" s="21" t="s">
        <v>2223</v>
      </c>
      <c r="E1100" s="21" t="s">
        <v>2234</v>
      </c>
      <c r="F1100" s="24">
        <v>5.1482733995000002E-2</v>
      </c>
      <c r="G1100" s="21">
        <v>12</v>
      </c>
      <c r="H1100" s="17">
        <v>9.9</v>
      </c>
      <c r="I1100" s="43" t="s">
        <v>3950</v>
      </c>
      <c r="J1100" s="26"/>
      <c r="K1100" s="17">
        <f t="shared" si="102"/>
        <v>0</v>
      </c>
      <c r="N1100" s="31" t="str">
        <f t="shared" si="105"/>
        <v>-</v>
      </c>
      <c r="O1100" s="31" t="str">
        <f t="shared" si="107"/>
        <v>-</v>
      </c>
      <c r="P1100" s="35" t="str">
        <f t="shared" si="106"/>
        <v>-</v>
      </c>
      <c r="Q1100" s="32" t="str">
        <f t="shared" si="103"/>
        <v>-</v>
      </c>
      <c r="S1100" s="32" t="str">
        <f t="shared" si="104"/>
        <v>-</v>
      </c>
    </row>
    <row r="1101" spans="1:19" x14ac:dyDescent="0.3">
      <c r="A1101" s="45" t="s">
        <v>3331</v>
      </c>
      <c r="B1101" s="40" t="s">
        <v>446</v>
      </c>
      <c r="C1101" s="41" t="s">
        <v>1999</v>
      </c>
      <c r="D1101" s="21" t="s">
        <v>2223</v>
      </c>
      <c r="E1101" s="21" t="s">
        <v>2232</v>
      </c>
      <c r="F1101" s="24">
        <v>4.0328141629416663E-2</v>
      </c>
      <c r="G1101" s="21">
        <v>12</v>
      </c>
      <c r="H1101" s="17">
        <v>12.3</v>
      </c>
      <c r="I1101" s="43" t="s">
        <v>3950</v>
      </c>
      <c r="J1101" s="26"/>
      <c r="K1101" s="17">
        <f t="shared" si="102"/>
        <v>0</v>
      </c>
      <c r="N1101" s="31" t="str">
        <f t="shared" si="105"/>
        <v>-</v>
      </c>
      <c r="O1101" s="31" t="str">
        <f t="shared" si="107"/>
        <v>-</v>
      </c>
      <c r="P1101" s="35" t="str">
        <f t="shared" si="106"/>
        <v>-</v>
      </c>
      <c r="Q1101" s="32" t="str">
        <f t="shared" si="103"/>
        <v>-</v>
      </c>
      <c r="S1101" s="32" t="str">
        <f t="shared" si="104"/>
        <v>-</v>
      </c>
    </row>
    <row r="1102" spans="1:19" x14ac:dyDescent="0.3">
      <c r="A1102" s="45" t="s">
        <v>3332</v>
      </c>
      <c r="B1102" s="40" t="s">
        <v>705</v>
      </c>
      <c r="C1102" s="41" t="s">
        <v>1999</v>
      </c>
      <c r="D1102" s="21" t="s">
        <v>2224</v>
      </c>
      <c r="E1102" s="21" t="s">
        <v>2232</v>
      </c>
      <c r="F1102" s="24">
        <v>5.1482733995000002E-2</v>
      </c>
      <c r="G1102" s="21">
        <v>12</v>
      </c>
      <c r="H1102" s="17">
        <v>23.55</v>
      </c>
      <c r="I1102" s="43" t="s">
        <v>3950</v>
      </c>
      <c r="J1102" s="26"/>
      <c r="K1102" s="17">
        <f t="shared" si="102"/>
        <v>0</v>
      </c>
      <c r="N1102" s="31" t="str">
        <f t="shared" si="105"/>
        <v>-</v>
      </c>
      <c r="O1102" s="31" t="str">
        <f t="shared" si="107"/>
        <v>-</v>
      </c>
      <c r="P1102" s="35" t="str">
        <f t="shared" si="106"/>
        <v>-</v>
      </c>
      <c r="Q1102" s="32" t="str">
        <f t="shared" si="103"/>
        <v>-</v>
      </c>
      <c r="S1102" s="32" t="str">
        <f t="shared" si="104"/>
        <v>-</v>
      </c>
    </row>
    <row r="1103" spans="1:19" x14ac:dyDescent="0.3">
      <c r="A1103" s="45" t="s">
        <v>3333</v>
      </c>
      <c r="B1103" s="40" t="s">
        <v>700</v>
      </c>
      <c r="C1103" s="41" t="s">
        <v>2000</v>
      </c>
      <c r="D1103" s="21" t="s">
        <v>2224</v>
      </c>
      <c r="E1103" s="21" t="s">
        <v>2222</v>
      </c>
      <c r="F1103" s="24">
        <v>0.1175522426219167</v>
      </c>
      <c r="G1103" s="21">
        <v>12</v>
      </c>
      <c r="H1103" s="17">
        <v>9.3000000000000007</v>
      </c>
      <c r="I1103" s="43" t="s">
        <v>3950</v>
      </c>
      <c r="J1103" s="26"/>
      <c r="K1103" s="17">
        <f t="shared" si="102"/>
        <v>0</v>
      </c>
      <c r="N1103" s="31" t="str">
        <f t="shared" si="105"/>
        <v>-</v>
      </c>
      <c r="O1103" s="31" t="str">
        <f t="shared" si="107"/>
        <v>-</v>
      </c>
      <c r="P1103" s="35" t="str">
        <f t="shared" si="106"/>
        <v>-</v>
      </c>
      <c r="Q1103" s="32" t="str">
        <f t="shared" si="103"/>
        <v>-</v>
      </c>
      <c r="S1103" s="32" t="str">
        <f t="shared" si="104"/>
        <v>-</v>
      </c>
    </row>
    <row r="1104" spans="1:19" x14ac:dyDescent="0.3">
      <c r="A1104" s="45" t="s">
        <v>3334</v>
      </c>
      <c r="B1104" s="40" t="s">
        <v>134</v>
      </c>
      <c r="C1104" s="41" t="s">
        <v>2000</v>
      </c>
      <c r="D1104" s="21" t="s">
        <v>2227</v>
      </c>
      <c r="E1104" s="21" t="s">
        <v>2222</v>
      </c>
      <c r="F1104" s="24">
        <v>0.27714871800641666</v>
      </c>
      <c r="G1104" s="21">
        <v>12</v>
      </c>
      <c r="H1104" s="17">
        <v>17.7</v>
      </c>
      <c r="I1104" s="43" t="s">
        <v>3950</v>
      </c>
      <c r="J1104" s="26"/>
      <c r="K1104" s="17">
        <f t="shared" si="102"/>
        <v>0</v>
      </c>
      <c r="N1104" s="31" t="str">
        <f t="shared" si="105"/>
        <v>-</v>
      </c>
      <c r="O1104" s="31" t="str">
        <f t="shared" si="107"/>
        <v>-</v>
      </c>
      <c r="P1104" s="35" t="str">
        <f t="shared" si="106"/>
        <v>-</v>
      </c>
      <c r="Q1104" s="32" t="str">
        <f t="shared" si="103"/>
        <v>-</v>
      </c>
      <c r="S1104" s="32" t="str">
        <f t="shared" si="104"/>
        <v>-</v>
      </c>
    </row>
    <row r="1105" spans="1:19" x14ac:dyDescent="0.3">
      <c r="A1105" s="45" t="s">
        <v>3335</v>
      </c>
      <c r="B1105" s="40" t="s">
        <v>1334</v>
      </c>
      <c r="C1105" s="41" t="s">
        <v>2000</v>
      </c>
      <c r="D1105" s="21" t="s">
        <v>2233</v>
      </c>
      <c r="E1105" s="21" t="s">
        <v>2222</v>
      </c>
      <c r="F1105" s="24">
        <v>0.49423424635200003</v>
      </c>
      <c r="G1105" s="21">
        <v>12</v>
      </c>
      <c r="H1105" s="17">
        <v>34.5</v>
      </c>
      <c r="I1105" s="43" t="s">
        <v>3950</v>
      </c>
      <c r="J1105" s="26"/>
      <c r="K1105" s="17">
        <f t="shared" si="102"/>
        <v>0</v>
      </c>
      <c r="N1105" s="31" t="str">
        <f t="shared" si="105"/>
        <v>-</v>
      </c>
      <c r="O1105" s="31" t="str">
        <f t="shared" si="107"/>
        <v>-</v>
      </c>
      <c r="P1105" s="35" t="str">
        <f t="shared" si="106"/>
        <v>-</v>
      </c>
      <c r="Q1105" s="32" t="str">
        <f t="shared" si="103"/>
        <v>-</v>
      </c>
      <c r="S1105" s="32" t="str">
        <f t="shared" si="104"/>
        <v>-</v>
      </c>
    </row>
    <row r="1106" spans="1:19" x14ac:dyDescent="0.3">
      <c r="A1106" s="45" t="s">
        <v>3336</v>
      </c>
      <c r="B1106" s="40" t="s">
        <v>393</v>
      </c>
      <c r="C1106" s="41" t="s">
        <v>2001</v>
      </c>
      <c r="D1106" s="21" t="s">
        <v>2226</v>
      </c>
      <c r="E1106" s="21" t="s">
        <v>2234</v>
      </c>
      <c r="F1106" s="24">
        <v>0.25398148770866669</v>
      </c>
      <c r="G1106" s="21">
        <v>12</v>
      </c>
      <c r="H1106" s="17">
        <v>14.99</v>
      </c>
      <c r="I1106" s="43" t="s">
        <v>3950</v>
      </c>
      <c r="J1106" s="26"/>
      <c r="K1106" s="17">
        <f t="shared" si="102"/>
        <v>0</v>
      </c>
      <c r="N1106" s="31" t="str">
        <f t="shared" si="105"/>
        <v>-</v>
      </c>
      <c r="O1106" s="31" t="str">
        <f t="shared" si="107"/>
        <v>-</v>
      </c>
      <c r="P1106" s="35" t="str">
        <f t="shared" si="106"/>
        <v>-</v>
      </c>
      <c r="Q1106" s="32" t="str">
        <f t="shared" si="103"/>
        <v>-</v>
      </c>
      <c r="S1106" s="32" t="str">
        <f t="shared" si="104"/>
        <v>-</v>
      </c>
    </row>
    <row r="1107" spans="1:19" x14ac:dyDescent="0.3">
      <c r="A1107" s="45" t="s">
        <v>3337</v>
      </c>
      <c r="B1107" s="40" t="s">
        <v>822</v>
      </c>
      <c r="C1107" s="41" t="s">
        <v>2001</v>
      </c>
      <c r="D1107" s="21" t="s">
        <v>2250</v>
      </c>
      <c r="E1107" s="21" t="s">
        <v>2234</v>
      </c>
      <c r="F1107" s="24">
        <v>0.40671359856050004</v>
      </c>
      <c r="G1107" s="21">
        <v>12</v>
      </c>
      <c r="H1107" s="17">
        <v>29.1</v>
      </c>
      <c r="I1107" s="43" t="s">
        <v>3950</v>
      </c>
      <c r="J1107" s="26"/>
      <c r="K1107" s="17">
        <f t="shared" si="102"/>
        <v>0</v>
      </c>
      <c r="N1107" s="31" t="str">
        <f t="shared" si="105"/>
        <v>-</v>
      </c>
      <c r="O1107" s="31" t="str">
        <f t="shared" si="107"/>
        <v>-</v>
      </c>
      <c r="P1107" s="35" t="str">
        <f t="shared" si="106"/>
        <v>-</v>
      </c>
      <c r="Q1107" s="32" t="str">
        <f t="shared" si="103"/>
        <v>-</v>
      </c>
      <c r="S1107" s="32" t="str">
        <f t="shared" si="104"/>
        <v>-</v>
      </c>
    </row>
    <row r="1108" spans="1:19" x14ac:dyDescent="0.3">
      <c r="A1108" s="45" t="s">
        <v>3338</v>
      </c>
      <c r="B1108" s="40" t="s">
        <v>1311</v>
      </c>
      <c r="C1108" s="41" t="s">
        <v>2002</v>
      </c>
      <c r="D1108" s="21" t="s">
        <v>2230</v>
      </c>
      <c r="E1108" s="21" t="s">
        <v>2258</v>
      </c>
      <c r="F1108" s="24">
        <v>0.24196884977650002</v>
      </c>
      <c r="G1108" s="21">
        <v>12</v>
      </c>
      <c r="H1108" s="17">
        <v>15.59</v>
      </c>
      <c r="I1108" s="43" t="s">
        <v>3950</v>
      </c>
      <c r="J1108" s="26"/>
      <c r="K1108" s="17">
        <f t="shared" si="102"/>
        <v>0</v>
      </c>
      <c r="N1108" s="31" t="str">
        <f t="shared" si="105"/>
        <v>-</v>
      </c>
      <c r="O1108" s="31" t="str">
        <f t="shared" si="107"/>
        <v>-</v>
      </c>
      <c r="P1108" s="35" t="str">
        <f t="shared" si="106"/>
        <v>-</v>
      </c>
      <c r="Q1108" s="32" t="str">
        <f t="shared" si="103"/>
        <v>-</v>
      </c>
      <c r="S1108" s="32" t="str">
        <f t="shared" si="104"/>
        <v>-</v>
      </c>
    </row>
    <row r="1109" spans="1:19" x14ac:dyDescent="0.3">
      <c r="A1109" s="45" t="s">
        <v>3339</v>
      </c>
      <c r="B1109" s="40" t="s">
        <v>1313</v>
      </c>
      <c r="C1109" s="41" t="s">
        <v>2002</v>
      </c>
      <c r="D1109" s="21" t="s">
        <v>2235</v>
      </c>
      <c r="E1109" s="21" t="s">
        <v>2258</v>
      </c>
      <c r="F1109" s="24">
        <v>0.2728584901735</v>
      </c>
      <c r="G1109" s="21">
        <v>24</v>
      </c>
      <c r="H1109" s="17">
        <v>28.5</v>
      </c>
      <c r="I1109" s="43" t="s">
        <v>3950</v>
      </c>
      <c r="J1109" s="26"/>
      <c r="K1109" s="17">
        <f t="shared" si="102"/>
        <v>0</v>
      </c>
      <c r="N1109" s="31" t="str">
        <f t="shared" si="105"/>
        <v>-</v>
      </c>
      <c r="O1109" s="31" t="str">
        <f t="shared" si="107"/>
        <v>-</v>
      </c>
      <c r="P1109" s="35" t="str">
        <f t="shared" si="106"/>
        <v>-</v>
      </c>
      <c r="Q1109" s="32" t="str">
        <f t="shared" si="103"/>
        <v>-</v>
      </c>
      <c r="S1109" s="32" t="str">
        <f t="shared" si="104"/>
        <v>-</v>
      </c>
    </row>
    <row r="1110" spans="1:19" x14ac:dyDescent="0.3">
      <c r="A1110" s="45" t="s">
        <v>3341</v>
      </c>
      <c r="B1110" s="40" t="s">
        <v>60</v>
      </c>
      <c r="C1110" s="41" t="s">
        <v>2003</v>
      </c>
      <c r="D1110" s="21" t="s">
        <v>2226</v>
      </c>
      <c r="E1110" s="21" t="s">
        <v>2222</v>
      </c>
      <c r="F1110" s="24">
        <v>8.3659442741875006E-2</v>
      </c>
      <c r="G1110" s="21">
        <v>12</v>
      </c>
      <c r="H1110" s="17">
        <v>12.15</v>
      </c>
      <c r="I1110" s="43" t="s">
        <v>3950</v>
      </c>
      <c r="J1110" s="26"/>
      <c r="K1110" s="17">
        <f t="shared" si="102"/>
        <v>0</v>
      </c>
      <c r="N1110" s="31" t="str">
        <f t="shared" si="105"/>
        <v>-</v>
      </c>
      <c r="O1110" s="31" t="str">
        <f t="shared" si="107"/>
        <v>-</v>
      </c>
      <c r="P1110" s="35" t="str">
        <f t="shared" si="106"/>
        <v>-</v>
      </c>
      <c r="Q1110" s="32" t="str">
        <f t="shared" si="103"/>
        <v>-</v>
      </c>
      <c r="S1110" s="32" t="str">
        <f t="shared" si="104"/>
        <v>-</v>
      </c>
    </row>
    <row r="1111" spans="1:19" x14ac:dyDescent="0.3">
      <c r="A1111" s="45" t="s">
        <v>3342</v>
      </c>
      <c r="B1111" s="40" t="s">
        <v>386</v>
      </c>
      <c r="C1111" s="41" t="s">
        <v>1755</v>
      </c>
      <c r="D1111" s="21" t="s">
        <v>2241</v>
      </c>
      <c r="E1111" s="21" t="s">
        <v>2240</v>
      </c>
      <c r="F1111" s="24">
        <v>0.64739537998712515</v>
      </c>
      <c r="G1111" s="21">
        <v>12</v>
      </c>
      <c r="H1111" s="17">
        <v>57.45</v>
      </c>
      <c r="I1111" s="43" t="s">
        <v>3950</v>
      </c>
      <c r="J1111" s="26"/>
      <c r="K1111" s="17">
        <f t="shared" si="102"/>
        <v>0</v>
      </c>
      <c r="N1111" s="31" t="str">
        <f t="shared" si="105"/>
        <v>-</v>
      </c>
      <c r="O1111" s="31" t="str">
        <f t="shared" si="107"/>
        <v>-</v>
      </c>
      <c r="P1111" s="35" t="str">
        <f t="shared" si="106"/>
        <v>-</v>
      </c>
      <c r="Q1111" s="32" t="str">
        <f t="shared" si="103"/>
        <v>-</v>
      </c>
      <c r="S1111" s="32" t="str">
        <f t="shared" si="104"/>
        <v>-</v>
      </c>
    </row>
    <row r="1112" spans="1:19" x14ac:dyDescent="0.3">
      <c r="A1112" s="45" t="s">
        <v>3343</v>
      </c>
      <c r="B1112" s="40" t="s">
        <v>1191</v>
      </c>
      <c r="C1112" s="41" t="s">
        <v>2004</v>
      </c>
      <c r="D1112" s="21" t="s">
        <v>2224</v>
      </c>
      <c r="E1112" s="21" t="s">
        <v>2222</v>
      </c>
      <c r="F1112" s="24">
        <v>7.2075827592999991E-2</v>
      </c>
      <c r="G1112" s="21">
        <v>12</v>
      </c>
      <c r="H1112" s="17">
        <v>12.45</v>
      </c>
      <c r="I1112" s="43" t="s">
        <v>3950</v>
      </c>
      <c r="J1112" s="26"/>
      <c r="K1112" s="17">
        <f t="shared" si="102"/>
        <v>0</v>
      </c>
      <c r="N1112" s="31" t="str">
        <f t="shared" si="105"/>
        <v>-</v>
      </c>
      <c r="O1112" s="31" t="str">
        <f t="shared" si="107"/>
        <v>-</v>
      </c>
      <c r="P1112" s="35" t="str">
        <f t="shared" si="106"/>
        <v>-</v>
      </c>
      <c r="Q1112" s="32" t="str">
        <f t="shared" si="103"/>
        <v>-</v>
      </c>
      <c r="S1112" s="32" t="str">
        <f t="shared" si="104"/>
        <v>-</v>
      </c>
    </row>
    <row r="1113" spans="1:19" x14ac:dyDescent="0.3">
      <c r="A1113" s="45" t="s">
        <v>3344</v>
      </c>
      <c r="B1113" s="40" t="s">
        <v>999</v>
      </c>
      <c r="C1113" s="41" t="s">
        <v>2004</v>
      </c>
      <c r="D1113" s="21" t="s">
        <v>2227</v>
      </c>
      <c r="E1113" s="21" t="s">
        <v>2222</v>
      </c>
      <c r="F1113" s="24">
        <v>0.12270051602141667</v>
      </c>
      <c r="G1113" s="21">
        <v>12</v>
      </c>
      <c r="H1113" s="17">
        <v>23.99</v>
      </c>
      <c r="I1113" s="43" t="s">
        <v>3950</v>
      </c>
      <c r="J1113" s="26"/>
      <c r="K1113" s="17">
        <f t="shared" si="102"/>
        <v>0</v>
      </c>
      <c r="N1113" s="31" t="str">
        <f t="shared" si="105"/>
        <v>-</v>
      </c>
      <c r="O1113" s="31" t="str">
        <f t="shared" si="107"/>
        <v>-</v>
      </c>
      <c r="P1113" s="35" t="str">
        <f t="shared" si="106"/>
        <v>-</v>
      </c>
      <c r="Q1113" s="32" t="str">
        <f t="shared" si="103"/>
        <v>-</v>
      </c>
      <c r="S1113" s="32" t="str">
        <f t="shared" si="104"/>
        <v>-</v>
      </c>
    </row>
    <row r="1114" spans="1:19" x14ac:dyDescent="0.3">
      <c r="A1114" s="45" t="s">
        <v>3348</v>
      </c>
      <c r="B1114" s="40" t="s">
        <v>973</v>
      </c>
      <c r="C1114" s="41" t="s">
        <v>2006</v>
      </c>
      <c r="D1114" s="21" t="s">
        <v>2227</v>
      </c>
      <c r="E1114" s="21" t="s">
        <v>2222</v>
      </c>
      <c r="F1114" s="24">
        <v>0.17160911331666664</v>
      </c>
      <c r="G1114" s="21">
        <v>12</v>
      </c>
      <c r="H1114" s="17">
        <v>11.99</v>
      </c>
      <c r="I1114" s="43" t="s">
        <v>3950</v>
      </c>
      <c r="J1114" s="26"/>
      <c r="K1114" s="17">
        <f t="shared" si="102"/>
        <v>0</v>
      </c>
      <c r="N1114" s="31" t="str">
        <f t="shared" si="105"/>
        <v>-</v>
      </c>
      <c r="O1114" s="31" t="str">
        <f t="shared" si="107"/>
        <v>-</v>
      </c>
      <c r="P1114" s="35" t="str">
        <f t="shared" si="106"/>
        <v>-</v>
      </c>
      <c r="Q1114" s="32" t="str">
        <f t="shared" si="103"/>
        <v>-</v>
      </c>
      <c r="S1114" s="32" t="str">
        <f t="shared" si="104"/>
        <v>-</v>
      </c>
    </row>
    <row r="1115" spans="1:19" x14ac:dyDescent="0.3">
      <c r="A1115" s="45" t="s">
        <v>3349</v>
      </c>
      <c r="B1115" s="40" t="s">
        <v>1138</v>
      </c>
      <c r="C1115" s="41" t="s">
        <v>2007</v>
      </c>
      <c r="D1115" s="21" t="s">
        <v>2228</v>
      </c>
      <c r="E1115" s="21" t="s">
        <v>2229</v>
      </c>
      <c r="F1115" s="24">
        <v>9.7817194590499992E-2</v>
      </c>
      <c r="G1115" s="21">
        <v>12</v>
      </c>
      <c r="H1115" s="17">
        <v>7.5</v>
      </c>
      <c r="I1115" s="43" t="s">
        <v>3950</v>
      </c>
      <c r="J1115" s="26"/>
      <c r="K1115" s="17">
        <f t="shared" si="102"/>
        <v>0</v>
      </c>
      <c r="N1115" s="31" t="str">
        <f t="shared" si="105"/>
        <v>-</v>
      </c>
      <c r="O1115" s="31" t="str">
        <f t="shared" si="107"/>
        <v>-</v>
      </c>
      <c r="P1115" s="35" t="str">
        <f t="shared" si="106"/>
        <v>-</v>
      </c>
      <c r="Q1115" s="32" t="str">
        <f t="shared" si="103"/>
        <v>-</v>
      </c>
      <c r="S1115" s="32" t="str">
        <f t="shared" si="104"/>
        <v>-</v>
      </c>
    </row>
    <row r="1116" spans="1:19" x14ac:dyDescent="0.3">
      <c r="A1116" s="45" t="s">
        <v>3350</v>
      </c>
      <c r="B1116" s="40" t="s">
        <v>1124</v>
      </c>
      <c r="C1116" s="41" t="s">
        <v>2007</v>
      </c>
      <c r="D1116" s="21" t="s">
        <v>2230</v>
      </c>
      <c r="E1116" s="21" t="s">
        <v>2229</v>
      </c>
      <c r="F1116" s="24">
        <v>0.15444820198499998</v>
      </c>
      <c r="G1116" s="21">
        <v>12</v>
      </c>
      <c r="H1116" s="17">
        <v>13.95</v>
      </c>
      <c r="I1116" s="43" t="s">
        <v>3950</v>
      </c>
      <c r="J1116" s="26"/>
      <c r="K1116" s="17">
        <f t="shared" si="102"/>
        <v>0</v>
      </c>
      <c r="N1116" s="31" t="str">
        <f t="shared" si="105"/>
        <v>-</v>
      </c>
      <c r="O1116" s="31" t="str">
        <f t="shared" si="107"/>
        <v>-</v>
      </c>
      <c r="P1116" s="35" t="str">
        <f t="shared" si="106"/>
        <v>-</v>
      </c>
      <c r="Q1116" s="32" t="str">
        <f t="shared" si="103"/>
        <v>-</v>
      </c>
      <c r="S1116" s="32" t="str">
        <f t="shared" si="104"/>
        <v>-</v>
      </c>
    </row>
    <row r="1117" spans="1:19" x14ac:dyDescent="0.3">
      <c r="A1117" s="45" t="s">
        <v>3351</v>
      </c>
      <c r="B1117" s="40" t="s">
        <v>959</v>
      </c>
      <c r="C1117" s="41" t="s">
        <v>1825</v>
      </c>
      <c r="D1117" s="21" t="s">
        <v>2227</v>
      </c>
      <c r="E1117" s="21" t="s">
        <v>2222</v>
      </c>
      <c r="F1117" s="24">
        <v>6.1779280794000004E-2</v>
      </c>
      <c r="G1117" s="21">
        <v>12</v>
      </c>
      <c r="H1117" s="17">
        <v>8.1</v>
      </c>
      <c r="I1117" s="43" t="s">
        <v>3950</v>
      </c>
      <c r="J1117" s="26"/>
      <c r="K1117" s="17">
        <f t="shared" si="102"/>
        <v>0</v>
      </c>
      <c r="N1117" s="31" t="str">
        <f t="shared" si="105"/>
        <v>-</v>
      </c>
      <c r="O1117" s="31" t="str">
        <f t="shared" si="107"/>
        <v>-</v>
      </c>
      <c r="P1117" s="35" t="str">
        <f t="shared" si="106"/>
        <v>-</v>
      </c>
      <c r="Q1117" s="32" t="str">
        <f t="shared" si="103"/>
        <v>-</v>
      </c>
      <c r="S1117" s="32" t="str">
        <f t="shared" si="104"/>
        <v>-</v>
      </c>
    </row>
    <row r="1118" spans="1:19" x14ac:dyDescent="0.3">
      <c r="A1118" s="45" t="s">
        <v>3352</v>
      </c>
      <c r="B1118" s="40" t="s">
        <v>2291</v>
      </c>
      <c r="C1118" s="41" t="s">
        <v>2292</v>
      </c>
      <c r="D1118" s="21" t="s">
        <v>2223</v>
      </c>
      <c r="E1118" s="21" t="s">
        <v>2234</v>
      </c>
      <c r="F1118" s="24">
        <v>6.1779280794000004E-2</v>
      </c>
      <c r="G1118" s="21">
        <v>12</v>
      </c>
      <c r="H1118" s="17">
        <v>41.39</v>
      </c>
      <c r="I1118" s="43" t="s">
        <v>3950</v>
      </c>
      <c r="J1118" s="26"/>
      <c r="K1118" s="17">
        <f t="shared" si="102"/>
        <v>0</v>
      </c>
      <c r="N1118" s="31" t="str">
        <f t="shared" si="105"/>
        <v>-</v>
      </c>
      <c r="O1118" s="31" t="str">
        <f t="shared" si="107"/>
        <v>-</v>
      </c>
      <c r="P1118" s="35" t="str">
        <f t="shared" si="106"/>
        <v>-</v>
      </c>
      <c r="Q1118" s="32" t="str">
        <f t="shared" si="103"/>
        <v>-</v>
      </c>
      <c r="S1118" s="32" t="str">
        <f t="shared" si="104"/>
        <v>-</v>
      </c>
    </row>
    <row r="1119" spans="1:19" x14ac:dyDescent="0.3">
      <c r="A1119" s="45" t="s">
        <v>3353</v>
      </c>
      <c r="B1119" s="40" t="s">
        <v>2293</v>
      </c>
      <c r="C1119" s="41" t="s">
        <v>2292</v>
      </c>
      <c r="D1119" s="21" t="s">
        <v>2224</v>
      </c>
      <c r="E1119" s="21" t="s">
        <v>2234</v>
      </c>
      <c r="F1119" s="24">
        <v>7.9798237692250015E-2</v>
      </c>
      <c r="G1119" s="21">
        <v>12</v>
      </c>
      <c r="H1119" s="17">
        <v>81.3</v>
      </c>
      <c r="I1119" s="43" t="s">
        <v>3950</v>
      </c>
      <c r="J1119" s="26"/>
      <c r="K1119" s="17">
        <f t="shared" si="102"/>
        <v>0</v>
      </c>
      <c r="N1119" s="31" t="str">
        <f t="shared" si="105"/>
        <v>-</v>
      </c>
      <c r="O1119" s="31" t="str">
        <f t="shared" si="107"/>
        <v>-</v>
      </c>
      <c r="P1119" s="35" t="str">
        <f t="shared" si="106"/>
        <v>-</v>
      </c>
      <c r="Q1119" s="32" t="str">
        <f t="shared" si="103"/>
        <v>-</v>
      </c>
      <c r="S1119" s="32" t="str">
        <f t="shared" si="104"/>
        <v>-</v>
      </c>
    </row>
    <row r="1120" spans="1:19" x14ac:dyDescent="0.3">
      <c r="A1120" s="45" t="s">
        <v>3354</v>
      </c>
      <c r="B1120" s="40" t="s">
        <v>974</v>
      </c>
      <c r="C1120" s="41" t="s">
        <v>2008</v>
      </c>
      <c r="D1120" s="21" t="s">
        <v>2223</v>
      </c>
      <c r="E1120" s="21" t="s">
        <v>2222</v>
      </c>
      <c r="F1120" s="24">
        <v>3.5179868229916665E-2</v>
      </c>
      <c r="G1120" s="21">
        <v>12</v>
      </c>
      <c r="H1120" s="17">
        <v>5.39</v>
      </c>
      <c r="I1120" s="43" t="s">
        <v>3950</v>
      </c>
      <c r="J1120" s="26"/>
      <c r="K1120" s="17">
        <f t="shared" si="102"/>
        <v>0</v>
      </c>
      <c r="N1120" s="31" t="str">
        <f t="shared" si="105"/>
        <v>-</v>
      </c>
      <c r="O1120" s="31" t="str">
        <f t="shared" si="107"/>
        <v>-</v>
      </c>
      <c r="P1120" s="35" t="str">
        <f t="shared" si="106"/>
        <v>-</v>
      </c>
      <c r="Q1120" s="32" t="str">
        <f t="shared" si="103"/>
        <v>-</v>
      </c>
      <c r="S1120" s="32" t="str">
        <f t="shared" si="104"/>
        <v>-</v>
      </c>
    </row>
    <row r="1121" spans="1:19" x14ac:dyDescent="0.3">
      <c r="A1121" s="45" t="s">
        <v>3356</v>
      </c>
      <c r="B1121" s="40" t="s">
        <v>275</v>
      </c>
      <c r="C1121" s="41" t="s">
        <v>2009</v>
      </c>
      <c r="D1121" s="21" t="s">
        <v>2224</v>
      </c>
      <c r="E1121" s="21" t="s">
        <v>2232</v>
      </c>
      <c r="F1121" s="24">
        <v>0.17160911331666664</v>
      </c>
      <c r="G1121" s="21">
        <v>12</v>
      </c>
      <c r="H1121" s="17">
        <v>10.65</v>
      </c>
      <c r="I1121" s="43" t="s">
        <v>3950</v>
      </c>
      <c r="J1121" s="26"/>
      <c r="K1121" s="17">
        <f t="shared" si="102"/>
        <v>0</v>
      </c>
      <c r="N1121" s="31" t="str">
        <f t="shared" si="105"/>
        <v>-</v>
      </c>
      <c r="O1121" s="31" t="str">
        <f t="shared" si="107"/>
        <v>-</v>
      </c>
      <c r="P1121" s="35" t="str">
        <f t="shared" si="106"/>
        <v>-</v>
      </c>
      <c r="Q1121" s="32" t="str">
        <f t="shared" si="103"/>
        <v>-</v>
      </c>
      <c r="S1121" s="32" t="str">
        <f t="shared" si="104"/>
        <v>-</v>
      </c>
    </row>
    <row r="1122" spans="1:19" x14ac:dyDescent="0.3">
      <c r="A1122" s="45" t="s">
        <v>3357</v>
      </c>
      <c r="B1122" s="40" t="s">
        <v>399</v>
      </c>
      <c r="C1122" s="41" t="s">
        <v>2009</v>
      </c>
      <c r="D1122" s="21" t="s">
        <v>2225</v>
      </c>
      <c r="E1122" s="21" t="s">
        <v>2232</v>
      </c>
      <c r="F1122" s="24">
        <v>0.22566598401141666</v>
      </c>
      <c r="G1122" s="21">
        <v>12</v>
      </c>
      <c r="H1122" s="17">
        <v>15.75</v>
      </c>
      <c r="I1122" s="43" t="s">
        <v>3950</v>
      </c>
      <c r="J1122" s="26"/>
      <c r="K1122" s="17">
        <f t="shared" si="102"/>
        <v>0</v>
      </c>
      <c r="N1122" s="31" t="str">
        <f t="shared" si="105"/>
        <v>-</v>
      </c>
      <c r="O1122" s="31" t="str">
        <f t="shared" si="107"/>
        <v>-</v>
      </c>
      <c r="P1122" s="35" t="str">
        <f t="shared" si="106"/>
        <v>-</v>
      </c>
      <c r="Q1122" s="32" t="str">
        <f t="shared" si="103"/>
        <v>-</v>
      </c>
      <c r="S1122" s="32" t="str">
        <f t="shared" si="104"/>
        <v>-</v>
      </c>
    </row>
    <row r="1123" spans="1:19" x14ac:dyDescent="0.3">
      <c r="A1123" s="45" t="s">
        <v>3358</v>
      </c>
      <c r="B1123" s="40" t="s">
        <v>2294</v>
      </c>
      <c r="C1123" s="41" t="s">
        <v>2295</v>
      </c>
      <c r="D1123" s="21" t="s">
        <v>2223</v>
      </c>
      <c r="E1123" s="21" t="s">
        <v>2234</v>
      </c>
      <c r="F1123" s="24">
        <v>6.8214622543375E-2</v>
      </c>
      <c r="G1123" s="21">
        <v>12</v>
      </c>
      <c r="H1123" s="17">
        <v>61.19</v>
      </c>
      <c r="I1123" s="43" t="s">
        <v>3950</v>
      </c>
      <c r="J1123" s="26"/>
      <c r="K1123" s="17">
        <f t="shared" si="102"/>
        <v>0</v>
      </c>
      <c r="N1123" s="31" t="str">
        <f t="shared" si="105"/>
        <v>-</v>
      </c>
      <c r="O1123" s="31" t="str">
        <f t="shared" si="107"/>
        <v>-</v>
      </c>
      <c r="P1123" s="35" t="str">
        <f t="shared" si="106"/>
        <v>-</v>
      </c>
      <c r="Q1123" s="32" t="str">
        <f t="shared" si="103"/>
        <v>-</v>
      </c>
      <c r="S1123" s="32" t="str">
        <f t="shared" si="104"/>
        <v>-</v>
      </c>
    </row>
    <row r="1124" spans="1:19" x14ac:dyDescent="0.3">
      <c r="A1124" s="45" t="s">
        <v>3359</v>
      </c>
      <c r="B1124" s="40" t="s">
        <v>2296</v>
      </c>
      <c r="C1124" s="41" t="s">
        <v>2295</v>
      </c>
      <c r="D1124" s="21" t="s">
        <v>2224</v>
      </c>
      <c r="E1124" s="21" t="s">
        <v>2234</v>
      </c>
      <c r="F1124" s="24">
        <v>0.10210742242341668</v>
      </c>
      <c r="G1124" s="21">
        <v>12</v>
      </c>
      <c r="H1124" s="17">
        <v>119.99</v>
      </c>
      <c r="I1124" s="43" t="s">
        <v>3950</v>
      </c>
      <c r="J1124" s="26"/>
      <c r="K1124" s="17">
        <f t="shared" si="102"/>
        <v>0</v>
      </c>
      <c r="N1124" s="31" t="str">
        <f t="shared" si="105"/>
        <v>-</v>
      </c>
      <c r="O1124" s="31" t="str">
        <f t="shared" si="107"/>
        <v>-</v>
      </c>
      <c r="P1124" s="35" t="str">
        <f t="shared" si="106"/>
        <v>-</v>
      </c>
      <c r="Q1124" s="32" t="str">
        <f t="shared" si="103"/>
        <v>-</v>
      </c>
      <c r="S1124" s="32" t="str">
        <f t="shared" si="104"/>
        <v>-</v>
      </c>
    </row>
    <row r="1125" spans="1:19" x14ac:dyDescent="0.3">
      <c r="A1125" s="45" t="s">
        <v>3360</v>
      </c>
      <c r="B1125" s="40" t="s">
        <v>1216</v>
      </c>
      <c r="C1125" s="41" t="s">
        <v>2009</v>
      </c>
      <c r="D1125" s="21" t="s">
        <v>2226</v>
      </c>
      <c r="E1125" s="21" t="s">
        <v>2232</v>
      </c>
      <c r="F1125" s="24">
        <v>0.42215841875899995</v>
      </c>
      <c r="G1125" s="21">
        <v>12</v>
      </c>
      <c r="H1125" s="17">
        <v>30.59</v>
      </c>
      <c r="I1125" s="43" t="s">
        <v>3950</v>
      </c>
      <c r="J1125" s="26"/>
      <c r="K1125" s="17">
        <f t="shared" si="102"/>
        <v>0</v>
      </c>
      <c r="N1125" s="31" t="str">
        <f t="shared" si="105"/>
        <v>-</v>
      </c>
      <c r="O1125" s="31" t="str">
        <f t="shared" si="107"/>
        <v>-</v>
      </c>
      <c r="P1125" s="35" t="str">
        <f t="shared" si="106"/>
        <v>-</v>
      </c>
      <c r="Q1125" s="32" t="str">
        <f t="shared" si="103"/>
        <v>-</v>
      </c>
      <c r="S1125" s="32" t="str">
        <f t="shared" si="104"/>
        <v>-</v>
      </c>
    </row>
    <row r="1126" spans="1:19" x14ac:dyDescent="0.3">
      <c r="A1126" s="45" t="s">
        <v>3362</v>
      </c>
      <c r="B1126" s="40" t="s">
        <v>63</v>
      </c>
      <c r="C1126" s="41" t="s">
        <v>2010</v>
      </c>
      <c r="D1126" s="21" t="s">
        <v>2224</v>
      </c>
      <c r="E1126" s="21" t="s">
        <v>2222</v>
      </c>
      <c r="F1126" s="24">
        <v>0.11068787808925001</v>
      </c>
      <c r="G1126" s="21">
        <v>12</v>
      </c>
      <c r="H1126" s="17">
        <v>9.4499999999999993</v>
      </c>
      <c r="I1126" s="43" t="s">
        <v>3950</v>
      </c>
      <c r="J1126" s="26"/>
      <c r="K1126" s="17">
        <f t="shared" si="102"/>
        <v>0</v>
      </c>
      <c r="N1126" s="31" t="str">
        <f t="shared" si="105"/>
        <v>-</v>
      </c>
      <c r="O1126" s="31" t="str">
        <f t="shared" si="107"/>
        <v>-</v>
      </c>
      <c r="P1126" s="35" t="str">
        <f t="shared" si="106"/>
        <v>-</v>
      </c>
      <c r="Q1126" s="32" t="str">
        <f t="shared" si="103"/>
        <v>-</v>
      </c>
      <c r="S1126" s="32" t="str">
        <f t="shared" si="104"/>
        <v>-</v>
      </c>
    </row>
    <row r="1127" spans="1:19" x14ac:dyDescent="0.3">
      <c r="A1127" s="45" t="s">
        <v>3363</v>
      </c>
      <c r="B1127" s="40" t="s">
        <v>610</v>
      </c>
      <c r="C1127" s="41" t="s">
        <v>2011</v>
      </c>
      <c r="D1127" s="21" t="s">
        <v>2223</v>
      </c>
      <c r="E1127" s="21" t="s">
        <v>2222</v>
      </c>
      <c r="F1127" s="24">
        <v>6.0921235227416673E-2</v>
      </c>
      <c r="G1127" s="21">
        <v>12</v>
      </c>
      <c r="H1127" s="17">
        <v>14.7</v>
      </c>
      <c r="I1127" s="43" t="s">
        <v>3950</v>
      </c>
      <c r="J1127" s="26"/>
      <c r="K1127" s="17">
        <f t="shared" si="102"/>
        <v>0</v>
      </c>
      <c r="N1127" s="31" t="str">
        <f t="shared" si="105"/>
        <v>-</v>
      </c>
      <c r="O1127" s="31" t="str">
        <f t="shared" si="107"/>
        <v>-</v>
      </c>
      <c r="P1127" s="35" t="str">
        <f t="shared" si="106"/>
        <v>-</v>
      </c>
      <c r="Q1127" s="32" t="str">
        <f t="shared" si="103"/>
        <v>-</v>
      </c>
      <c r="S1127" s="32" t="str">
        <f t="shared" si="104"/>
        <v>-</v>
      </c>
    </row>
    <row r="1128" spans="1:19" x14ac:dyDescent="0.3">
      <c r="A1128" s="45" t="s">
        <v>3365</v>
      </c>
      <c r="B1128" s="40" t="s">
        <v>1401</v>
      </c>
      <c r="C1128" s="41" t="s">
        <v>2012</v>
      </c>
      <c r="D1128" s="21" t="s">
        <v>2223</v>
      </c>
      <c r="E1128" s="21" t="s">
        <v>2234</v>
      </c>
      <c r="F1128" s="24">
        <v>3.5179868229916665E-2</v>
      </c>
      <c r="G1128" s="21">
        <v>12</v>
      </c>
      <c r="H1128" s="17">
        <v>7.79</v>
      </c>
      <c r="I1128" s="43" t="s">
        <v>3950</v>
      </c>
      <c r="J1128" s="26"/>
      <c r="K1128" s="17">
        <f t="shared" si="102"/>
        <v>0</v>
      </c>
      <c r="N1128" s="31" t="str">
        <f t="shared" si="105"/>
        <v>-</v>
      </c>
      <c r="O1128" s="31" t="str">
        <f t="shared" si="107"/>
        <v>-</v>
      </c>
      <c r="P1128" s="35" t="str">
        <f t="shared" si="106"/>
        <v>-</v>
      </c>
      <c r="Q1128" s="32" t="str">
        <f t="shared" si="103"/>
        <v>-</v>
      </c>
      <c r="S1128" s="32" t="str">
        <f t="shared" si="104"/>
        <v>-</v>
      </c>
    </row>
    <row r="1129" spans="1:19" x14ac:dyDescent="0.3">
      <c r="A1129" s="45" t="s">
        <v>3366</v>
      </c>
      <c r="B1129" s="40" t="s">
        <v>1034</v>
      </c>
      <c r="C1129" s="41" t="s">
        <v>2012</v>
      </c>
      <c r="D1129" s="21" t="s">
        <v>2224</v>
      </c>
      <c r="E1129" s="21" t="s">
        <v>2234</v>
      </c>
      <c r="F1129" s="24">
        <v>6.1779280794000004E-2</v>
      </c>
      <c r="G1129" s="21">
        <v>12</v>
      </c>
      <c r="H1129" s="17">
        <v>14.55</v>
      </c>
      <c r="I1129" s="43" t="s">
        <v>3950</v>
      </c>
      <c r="J1129" s="26"/>
      <c r="K1129" s="17">
        <f t="shared" si="102"/>
        <v>0</v>
      </c>
      <c r="N1129" s="31" t="str">
        <f t="shared" si="105"/>
        <v>-</v>
      </c>
      <c r="O1129" s="31" t="str">
        <f t="shared" si="107"/>
        <v>-</v>
      </c>
      <c r="P1129" s="35" t="str">
        <f t="shared" si="106"/>
        <v>-</v>
      </c>
      <c r="Q1129" s="32" t="str">
        <f t="shared" si="103"/>
        <v>-</v>
      </c>
      <c r="S1129" s="32" t="str">
        <f t="shared" si="104"/>
        <v>-</v>
      </c>
    </row>
    <row r="1130" spans="1:19" x14ac:dyDescent="0.3">
      <c r="A1130" s="45" t="s">
        <v>3367</v>
      </c>
      <c r="B1130" s="40" t="s">
        <v>593</v>
      </c>
      <c r="C1130" s="41" t="s">
        <v>1899</v>
      </c>
      <c r="D1130" s="21" t="s">
        <v>2227</v>
      </c>
      <c r="E1130" s="21" t="s">
        <v>2238</v>
      </c>
      <c r="F1130" s="24">
        <v>6.6927554193500008E-2</v>
      </c>
      <c r="G1130" s="21">
        <v>12</v>
      </c>
      <c r="H1130" s="17">
        <v>32.99</v>
      </c>
      <c r="I1130" s="43" t="s">
        <v>3950</v>
      </c>
      <c r="J1130" s="26"/>
      <c r="K1130" s="17">
        <f t="shared" si="102"/>
        <v>0</v>
      </c>
      <c r="N1130" s="31" t="str">
        <f t="shared" si="105"/>
        <v>-</v>
      </c>
      <c r="O1130" s="31" t="str">
        <f t="shared" si="107"/>
        <v>-</v>
      </c>
      <c r="P1130" s="35" t="str">
        <f t="shared" si="106"/>
        <v>-</v>
      </c>
      <c r="Q1130" s="32" t="str">
        <f t="shared" si="103"/>
        <v>-</v>
      </c>
      <c r="S1130" s="32" t="str">
        <f t="shared" si="104"/>
        <v>-</v>
      </c>
    </row>
    <row r="1131" spans="1:19" x14ac:dyDescent="0.3">
      <c r="A1131" s="45" t="s">
        <v>3368</v>
      </c>
      <c r="B1131" s="40" t="s">
        <v>1090</v>
      </c>
      <c r="C1131" s="41" t="s">
        <v>2013</v>
      </c>
      <c r="D1131" s="21" t="s">
        <v>2223</v>
      </c>
      <c r="E1131" s="21" t="s">
        <v>2244</v>
      </c>
      <c r="F1131" s="24">
        <v>3.5179868229916665E-2</v>
      </c>
      <c r="G1131" s="21">
        <v>12</v>
      </c>
      <c r="H1131" s="17">
        <v>11.99</v>
      </c>
      <c r="I1131" s="43" t="s">
        <v>3950</v>
      </c>
      <c r="J1131" s="26"/>
      <c r="K1131" s="17">
        <f t="shared" si="102"/>
        <v>0</v>
      </c>
      <c r="N1131" s="31" t="str">
        <f t="shared" si="105"/>
        <v>-</v>
      </c>
      <c r="O1131" s="31" t="str">
        <f t="shared" si="107"/>
        <v>-</v>
      </c>
      <c r="P1131" s="35" t="str">
        <f t="shared" si="106"/>
        <v>-</v>
      </c>
      <c r="Q1131" s="32" t="str">
        <f t="shared" si="103"/>
        <v>-</v>
      </c>
      <c r="S1131" s="32" t="str">
        <f t="shared" si="104"/>
        <v>-</v>
      </c>
    </row>
    <row r="1132" spans="1:19" x14ac:dyDescent="0.3">
      <c r="A1132" s="45" t="s">
        <v>3369</v>
      </c>
      <c r="B1132" s="40" t="s">
        <v>272</v>
      </c>
      <c r="C1132" s="41" t="s">
        <v>2013</v>
      </c>
      <c r="D1132" s="21" t="s">
        <v>2224</v>
      </c>
      <c r="E1132" s="21" t="s">
        <v>2244</v>
      </c>
      <c r="F1132" s="24">
        <v>6.1779280794000004E-2</v>
      </c>
      <c r="G1132" s="21">
        <v>12</v>
      </c>
      <c r="H1132" s="17">
        <v>21.59</v>
      </c>
      <c r="I1132" s="43" t="s">
        <v>3950</v>
      </c>
      <c r="J1132" s="26"/>
      <c r="K1132" s="17">
        <f t="shared" si="102"/>
        <v>0</v>
      </c>
      <c r="N1132" s="31" t="str">
        <f t="shared" si="105"/>
        <v>-</v>
      </c>
      <c r="O1132" s="31" t="str">
        <f t="shared" si="107"/>
        <v>-</v>
      </c>
      <c r="P1132" s="35" t="str">
        <f t="shared" si="106"/>
        <v>-</v>
      </c>
      <c r="Q1132" s="32" t="str">
        <f t="shared" si="103"/>
        <v>-</v>
      </c>
      <c r="S1132" s="32" t="str">
        <f t="shared" si="104"/>
        <v>-</v>
      </c>
    </row>
    <row r="1133" spans="1:19" x14ac:dyDescent="0.3">
      <c r="A1133" s="45" t="s">
        <v>3370</v>
      </c>
      <c r="B1133" s="40" t="s">
        <v>983</v>
      </c>
      <c r="C1133" s="41" t="s">
        <v>2014</v>
      </c>
      <c r="D1133" s="21" t="s">
        <v>2223</v>
      </c>
      <c r="E1133" s="21" t="s">
        <v>2222</v>
      </c>
      <c r="F1133" s="24">
        <v>3.5179868229916665E-2</v>
      </c>
      <c r="G1133" s="21">
        <v>12</v>
      </c>
      <c r="H1133" s="17">
        <v>5.0999999999999996</v>
      </c>
      <c r="I1133" s="43" t="s">
        <v>3950</v>
      </c>
      <c r="J1133" s="26"/>
      <c r="K1133" s="17">
        <f t="shared" si="102"/>
        <v>0</v>
      </c>
      <c r="N1133" s="31" t="str">
        <f t="shared" si="105"/>
        <v>-</v>
      </c>
      <c r="O1133" s="31" t="str">
        <f t="shared" si="107"/>
        <v>-</v>
      </c>
      <c r="P1133" s="35" t="str">
        <f t="shared" si="106"/>
        <v>-</v>
      </c>
      <c r="Q1133" s="32" t="str">
        <f t="shared" si="103"/>
        <v>-</v>
      </c>
      <c r="S1133" s="32" t="str">
        <f t="shared" si="104"/>
        <v>-</v>
      </c>
    </row>
    <row r="1134" spans="1:19" x14ac:dyDescent="0.3">
      <c r="A1134" s="45" t="s">
        <v>3371</v>
      </c>
      <c r="B1134" s="40" t="s">
        <v>1119</v>
      </c>
      <c r="C1134" s="41" t="s">
        <v>2014</v>
      </c>
      <c r="D1134" s="21" t="s">
        <v>2224</v>
      </c>
      <c r="E1134" s="21" t="s">
        <v>2222</v>
      </c>
      <c r="F1134" s="24">
        <v>4.5476415028916667E-2</v>
      </c>
      <c r="G1134" s="21">
        <v>12</v>
      </c>
      <c r="H1134" s="17">
        <v>9.3000000000000007</v>
      </c>
      <c r="I1134" s="43" t="s">
        <v>3950</v>
      </c>
      <c r="J1134" s="26"/>
      <c r="K1134" s="17">
        <f t="shared" si="102"/>
        <v>0</v>
      </c>
      <c r="N1134" s="31" t="str">
        <f t="shared" si="105"/>
        <v>-</v>
      </c>
      <c r="O1134" s="31" t="str">
        <f t="shared" si="107"/>
        <v>-</v>
      </c>
      <c r="P1134" s="35" t="str">
        <f t="shared" si="106"/>
        <v>-</v>
      </c>
      <c r="Q1134" s="32" t="str">
        <f t="shared" si="103"/>
        <v>-</v>
      </c>
      <c r="S1134" s="32" t="str">
        <f t="shared" si="104"/>
        <v>-</v>
      </c>
    </row>
    <row r="1135" spans="1:19" x14ac:dyDescent="0.3">
      <c r="A1135" s="45" t="s">
        <v>3372</v>
      </c>
      <c r="B1135" s="40" t="s">
        <v>580</v>
      </c>
      <c r="C1135" s="41" t="s">
        <v>2015</v>
      </c>
      <c r="D1135" s="21" t="s">
        <v>2223</v>
      </c>
      <c r="E1135" s="21" t="s">
        <v>2222</v>
      </c>
      <c r="F1135" s="24">
        <v>0.114549083138875</v>
      </c>
      <c r="G1135" s="21">
        <v>12</v>
      </c>
      <c r="H1135" s="17">
        <v>11.25</v>
      </c>
      <c r="I1135" s="43" t="s">
        <v>3950</v>
      </c>
      <c r="J1135" s="26"/>
      <c r="K1135" s="17">
        <f t="shared" si="102"/>
        <v>0</v>
      </c>
      <c r="N1135" s="31" t="str">
        <f t="shared" si="105"/>
        <v>-</v>
      </c>
      <c r="O1135" s="31" t="str">
        <f t="shared" si="107"/>
        <v>-</v>
      </c>
      <c r="P1135" s="35" t="str">
        <f t="shared" si="106"/>
        <v>-</v>
      </c>
      <c r="Q1135" s="32" t="str">
        <f t="shared" si="103"/>
        <v>-</v>
      </c>
      <c r="S1135" s="32" t="str">
        <f t="shared" si="104"/>
        <v>-</v>
      </c>
    </row>
    <row r="1136" spans="1:19" x14ac:dyDescent="0.3">
      <c r="A1136" s="45" t="s">
        <v>3374</v>
      </c>
      <c r="B1136" s="40" t="s">
        <v>520</v>
      </c>
      <c r="C1136" s="41" t="s">
        <v>2015</v>
      </c>
      <c r="D1136" s="21" t="s">
        <v>2227</v>
      </c>
      <c r="E1136" s="21" t="s">
        <v>2222</v>
      </c>
      <c r="F1136" s="24">
        <v>0.30546422170366666</v>
      </c>
      <c r="G1136" s="21">
        <v>12</v>
      </c>
      <c r="H1136" s="17">
        <v>41.7</v>
      </c>
      <c r="I1136" s="43" t="s">
        <v>3950</v>
      </c>
      <c r="J1136" s="26"/>
      <c r="K1136" s="17">
        <f t="shared" si="102"/>
        <v>0</v>
      </c>
      <c r="N1136" s="31" t="str">
        <f t="shared" si="105"/>
        <v>-</v>
      </c>
      <c r="O1136" s="31" t="str">
        <f t="shared" si="107"/>
        <v>-</v>
      </c>
      <c r="P1136" s="35" t="str">
        <f t="shared" si="106"/>
        <v>-</v>
      </c>
      <c r="Q1136" s="32" t="str">
        <f t="shared" si="103"/>
        <v>-</v>
      </c>
      <c r="S1136" s="32" t="str">
        <f t="shared" si="104"/>
        <v>-</v>
      </c>
    </row>
    <row r="1137" spans="1:19" x14ac:dyDescent="0.3">
      <c r="A1137" s="45" t="s">
        <v>3375</v>
      </c>
      <c r="B1137" s="40" t="s">
        <v>405</v>
      </c>
      <c r="C1137" s="41" t="s">
        <v>1990</v>
      </c>
      <c r="D1137" s="21" t="s">
        <v>2223</v>
      </c>
      <c r="E1137" s="21" t="s">
        <v>2234</v>
      </c>
      <c r="F1137" s="24">
        <v>6.1779280794000004E-2</v>
      </c>
      <c r="G1137" s="21">
        <v>12</v>
      </c>
      <c r="H1137" s="17">
        <v>10.19</v>
      </c>
      <c r="I1137" s="43" t="s">
        <v>3950</v>
      </c>
      <c r="J1137" s="26"/>
      <c r="K1137" s="17">
        <f t="shared" si="102"/>
        <v>0</v>
      </c>
      <c r="N1137" s="31" t="str">
        <f t="shared" si="105"/>
        <v>-</v>
      </c>
      <c r="O1137" s="31" t="str">
        <f t="shared" si="107"/>
        <v>-</v>
      </c>
      <c r="P1137" s="35" t="str">
        <f t="shared" si="106"/>
        <v>-</v>
      </c>
      <c r="Q1137" s="32" t="str">
        <f t="shared" si="103"/>
        <v>-</v>
      </c>
      <c r="S1137" s="32" t="str">
        <f t="shared" si="104"/>
        <v>-</v>
      </c>
    </row>
    <row r="1138" spans="1:19" x14ac:dyDescent="0.3">
      <c r="A1138" s="45" t="s">
        <v>3376</v>
      </c>
      <c r="B1138" s="40" t="s">
        <v>1431</v>
      </c>
      <c r="C1138" s="41" t="s">
        <v>1990</v>
      </c>
      <c r="D1138" s="21" t="s">
        <v>2224</v>
      </c>
      <c r="E1138" s="21" t="s">
        <v>2234</v>
      </c>
      <c r="F1138" s="24">
        <v>9.6959149023916669E-2</v>
      </c>
      <c r="G1138" s="21">
        <v>12</v>
      </c>
      <c r="H1138" s="17">
        <v>19.190000000000001</v>
      </c>
      <c r="I1138" s="43" t="s">
        <v>3950</v>
      </c>
      <c r="J1138" s="26"/>
      <c r="K1138" s="17">
        <f t="shared" si="102"/>
        <v>0</v>
      </c>
      <c r="N1138" s="31" t="str">
        <f t="shared" si="105"/>
        <v>-</v>
      </c>
      <c r="O1138" s="31" t="str">
        <f t="shared" si="107"/>
        <v>-</v>
      </c>
      <c r="P1138" s="35" t="str">
        <f t="shared" si="106"/>
        <v>-</v>
      </c>
      <c r="Q1138" s="32" t="str">
        <f t="shared" si="103"/>
        <v>-</v>
      </c>
      <c r="S1138" s="32" t="str">
        <f t="shared" si="104"/>
        <v>-</v>
      </c>
    </row>
    <row r="1139" spans="1:19" x14ac:dyDescent="0.3">
      <c r="A1139" s="45" t="s">
        <v>3377</v>
      </c>
      <c r="B1139" s="40" t="s">
        <v>273</v>
      </c>
      <c r="C1139" s="41" t="s">
        <v>1990</v>
      </c>
      <c r="D1139" s="21" t="s">
        <v>2227</v>
      </c>
      <c r="E1139" s="21" t="s">
        <v>2234</v>
      </c>
      <c r="F1139" s="24">
        <v>0.17418325001641669</v>
      </c>
      <c r="G1139" s="21">
        <v>12</v>
      </c>
      <c r="H1139" s="17">
        <v>37.19</v>
      </c>
      <c r="I1139" s="43" t="s">
        <v>3950</v>
      </c>
      <c r="J1139" s="26"/>
      <c r="K1139" s="17">
        <f t="shared" si="102"/>
        <v>0</v>
      </c>
      <c r="N1139" s="31" t="str">
        <f t="shared" si="105"/>
        <v>-</v>
      </c>
      <c r="O1139" s="31" t="str">
        <f t="shared" si="107"/>
        <v>-</v>
      </c>
      <c r="P1139" s="35" t="str">
        <f t="shared" si="106"/>
        <v>-</v>
      </c>
      <c r="Q1139" s="32" t="str">
        <f t="shared" si="103"/>
        <v>-</v>
      </c>
      <c r="S1139" s="32" t="str">
        <f t="shared" si="104"/>
        <v>-</v>
      </c>
    </row>
    <row r="1140" spans="1:19" x14ac:dyDescent="0.3">
      <c r="A1140" s="45" t="s">
        <v>3379</v>
      </c>
      <c r="B1140" s="40" t="s">
        <v>1129</v>
      </c>
      <c r="C1140" s="41" t="s">
        <v>2016</v>
      </c>
      <c r="D1140" s="21" t="s">
        <v>2227</v>
      </c>
      <c r="E1140" s="21" t="s">
        <v>2232</v>
      </c>
      <c r="F1140" s="24">
        <v>0.2900194015051667</v>
      </c>
      <c r="G1140" s="21">
        <v>12</v>
      </c>
      <c r="H1140" s="17">
        <v>16.79</v>
      </c>
      <c r="I1140" s="43" t="s">
        <v>3950</v>
      </c>
      <c r="J1140" s="26"/>
      <c r="K1140" s="17">
        <f t="shared" si="102"/>
        <v>0</v>
      </c>
      <c r="N1140" s="31" t="str">
        <f t="shared" si="105"/>
        <v>-</v>
      </c>
      <c r="O1140" s="31" t="str">
        <f t="shared" si="107"/>
        <v>-</v>
      </c>
      <c r="P1140" s="35" t="str">
        <f t="shared" si="106"/>
        <v>-</v>
      </c>
      <c r="Q1140" s="32" t="str">
        <f t="shared" si="103"/>
        <v>-</v>
      </c>
      <c r="S1140" s="32" t="str">
        <f t="shared" si="104"/>
        <v>-</v>
      </c>
    </row>
    <row r="1141" spans="1:19" x14ac:dyDescent="0.3">
      <c r="A1141" s="45" t="s">
        <v>3380</v>
      </c>
      <c r="B1141" s="40" t="s">
        <v>806</v>
      </c>
      <c r="C1141" s="41" t="s">
        <v>2016</v>
      </c>
      <c r="D1141" s="21" t="s">
        <v>2233</v>
      </c>
      <c r="E1141" s="21" t="s">
        <v>2232</v>
      </c>
      <c r="F1141" s="24">
        <v>0.53413336519812493</v>
      </c>
      <c r="G1141" s="21">
        <v>12</v>
      </c>
      <c r="H1141" s="17">
        <v>32.39</v>
      </c>
      <c r="I1141" s="43" t="s">
        <v>3950</v>
      </c>
      <c r="J1141" s="26"/>
      <c r="K1141" s="17">
        <f t="shared" ref="K1141:K1201" si="108">J1141*H1141</f>
        <v>0</v>
      </c>
      <c r="N1141" s="31" t="str">
        <f t="shared" si="105"/>
        <v>-</v>
      </c>
      <c r="O1141" s="31" t="str">
        <f t="shared" si="107"/>
        <v>-</v>
      </c>
      <c r="P1141" s="35" t="str">
        <f t="shared" si="106"/>
        <v>-</v>
      </c>
      <c r="Q1141" s="32" t="str">
        <f t="shared" si="103"/>
        <v>-</v>
      </c>
      <c r="S1141" s="32" t="str">
        <f t="shared" si="104"/>
        <v>-</v>
      </c>
    </row>
    <row r="1142" spans="1:19" x14ac:dyDescent="0.3">
      <c r="A1142" s="45" t="s">
        <v>3384</v>
      </c>
      <c r="B1142" s="40" t="s">
        <v>70</v>
      </c>
      <c r="C1142" s="41" t="s">
        <v>2018</v>
      </c>
      <c r="D1142" s="21" t="s">
        <v>2221</v>
      </c>
      <c r="E1142" s="21" t="s">
        <v>2234</v>
      </c>
      <c r="F1142" s="24">
        <v>0.96401419405637501</v>
      </c>
      <c r="G1142" s="21">
        <v>12</v>
      </c>
      <c r="H1142" s="17">
        <v>5.7</v>
      </c>
      <c r="I1142" s="43" t="s">
        <v>3950</v>
      </c>
      <c r="J1142" s="26"/>
      <c r="K1142" s="17">
        <f t="shared" si="108"/>
        <v>0</v>
      </c>
      <c r="N1142" s="31" t="str">
        <f t="shared" si="105"/>
        <v>-</v>
      </c>
      <c r="O1142" s="31" t="str">
        <f t="shared" si="107"/>
        <v>-</v>
      </c>
      <c r="P1142" s="35" t="str">
        <f t="shared" si="106"/>
        <v>-</v>
      </c>
      <c r="Q1142" s="32" t="str">
        <f t="shared" ref="Q1142:Q1202" si="109">IFERROR(IF($N$2&gt;0, $N$2*P1142, "-"), "-")</f>
        <v>-</v>
      </c>
      <c r="S1142" s="32" t="str">
        <f t="shared" ref="S1142:S1202" si="110">IFERROR(IF(Q1142+K1142=0, "-", IF(Q1142&gt;0, Q1142+K1142, "-")), "-")</f>
        <v>-</v>
      </c>
    </row>
    <row r="1143" spans="1:19" x14ac:dyDescent="0.3">
      <c r="A1143" s="45" t="s">
        <v>3385</v>
      </c>
      <c r="B1143" s="40" t="s">
        <v>334</v>
      </c>
      <c r="C1143" s="41" t="s">
        <v>2018</v>
      </c>
      <c r="D1143" s="21" t="s">
        <v>2242</v>
      </c>
      <c r="E1143" s="21" t="s">
        <v>2234</v>
      </c>
      <c r="F1143" s="24">
        <v>0.13170999447054166</v>
      </c>
      <c r="G1143" s="21">
        <v>12</v>
      </c>
      <c r="H1143" s="17">
        <v>10.5</v>
      </c>
      <c r="I1143" s="43" t="s">
        <v>3950</v>
      </c>
      <c r="J1143" s="26"/>
      <c r="K1143" s="17">
        <f t="shared" si="108"/>
        <v>0</v>
      </c>
      <c r="N1143" s="31" t="str">
        <f t="shared" si="105"/>
        <v>-</v>
      </c>
      <c r="O1143" s="31" t="str">
        <f t="shared" si="107"/>
        <v>-</v>
      </c>
      <c r="P1143" s="35" t="str">
        <f t="shared" si="106"/>
        <v>-</v>
      </c>
      <c r="Q1143" s="32" t="str">
        <f t="shared" si="109"/>
        <v>-</v>
      </c>
      <c r="S1143" s="32" t="str">
        <f t="shared" si="110"/>
        <v>-</v>
      </c>
    </row>
    <row r="1144" spans="1:19" x14ac:dyDescent="0.3">
      <c r="A1144" s="45" t="s">
        <v>3386</v>
      </c>
      <c r="B1144" s="40" t="s">
        <v>1576</v>
      </c>
      <c r="C1144" s="41" t="s">
        <v>2019</v>
      </c>
      <c r="D1144" s="21" t="s">
        <v>2231</v>
      </c>
      <c r="E1144" s="21" t="s">
        <v>2222</v>
      </c>
      <c r="F1144" s="24">
        <v>0.14586774631916669</v>
      </c>
      <c r="G1144" s="21">
        <v>12</v>
      </c>
      <c r="H1144" s="17">
        <v>11.25</v>
      </c>
      <c r="I1144" s="43" t="s">
        <v>3950</v>
      </c>
      <c r="J1144" s="26"/>
      <c r="K1144" s="17">
        <f t="shared" si="108"/>
        <v>0</v>
      </c>
      <c r="N1144" s="31" t="str">
        <f t="shared" si="105"/>
        <v>-</v>
      </c>
      <c r="O1144" s="31" t="str">
        <f t="shared" si="107"/>
        <v>-</v>
      </c>
      <c r="P1144" s="35" t="str">
        <f t="shared" si="106"/>
        <v>-</v>
      </c>
      <c r="Q1144" s="32" t="str">
        <f t="shared" si="109"/>
        <v>-</v>
      </c>
      <c r="S1144" s="32" t="str">
        <f t="shared" si="110"/>
        <v>-</v>
      </c>
    </row>
    <row r="1145" spans="1:19" x14ac:dyDescent="0.3">
      <c r="A1145" s="45" t="s">
        <v>3387</v>
      </c>
      <c r="B1145" s="40" t="s">
        <v>1577</v>
      </c>
      <c r="C1145" s="41" t="s">
        <v>2019</v>
      </c>
      <c r="D1145" s="21" t="s">
        <v>2225</v>
      </c>
      <c r="E1145" s="21" t="s">
        <v>2222</v>
      </c>
      <c r="F1145" s="24">
        <v>0.21880161947875001</v>
      </c>
      <c r="G1145" s="21">
        <v>12</v>
      </c>
      <c r="H1145" s="17">
        <v>21.45</v>
      </c>
      <c r="I1145" s="43" t="s">
        <v>3950</v>
      </c>
      <c r="J1145" s="26"/>
      <c r="K1145" s="17">
        <f t="shared" si="108"/>
        <v>0</v>
      </c>
      <c r="N1145" s="31" t="str">
        <f t="shared" si="105"/>
        <v>-</v>
      </c>
      <c r="O1145" s="31" t="str">
        <f t="shared" si="107"/>
        <v>-</v>
      </c>
      <c r="P1145" s="35" t="str">
        <f t="shared" si="106"/>
        <v>-</v>
      </c>
      <c r="Q1145" s="32" t="str">
        <f t="shared" si="109"/>
        <v>-</v>
      </c>
      <c r="S1145" s="32" t="str">
        <f t="shared" si="110"/>
        <v>-</v>
      </c>
    </row>
    <row r="1146" spans="1:19" x14ac:dyDescent="0.3">
      <c r="A1146" s="45" t="s">
        <v>3388</v>
      </c>
      <c r="B1146" s="40" t="s">
        <v>1578</v>
      </c>
      <c r="C1146" s="41" t="s">
        <v>2019</v>
      </c>
      <c r="D1146" s="21" t="s">
        <v>2226</v>
      </c>
      <c r="E1146" s="21" t="s">
        <v>2222</v>
      </c>
      <c r="F1146" s="24">
        <v>0.41400698587645834</v>
      </c>
      <c r="G1146" s="21">
        <v>12</v>
      </c>
      <c r="H1146" s="17">
        <v>41.99</v>
      </c>
      <c r="I1146" s="43" t="s">
        <v>3950</v>
      </c>
      <c r="J1146" s="26"/>
      <c r="K1146" s="17">
        <f t="shared" si="108"/>
        <v>0</v>
      </c>
      <c r="N1146" s="31" t="str">
        <f t="shared" si="105"/>
        <v>-</v>
      </c>
      <c r="O1146" s="31" t="str">
        <f t="shared" si="107"/>
        <v>-</v>
      </c>
      <c r="P1146" s="35" t="str">
        <f t="shared" si="106"/>
        <v>-</v>
      </c>
      <c r="Q1146" s="32" t="str">
        <f t="shared" si="109"/>
        <v>-</v>
      </c>
      <c r="S1146" s="32" t="str">
        <f t="shared" si="110"/>
        <v>-</v>
      </c>
    </row>
    <row r="1147" spans="1:19" x14ac:dyDescent="0.3">
      <c r="A1147" s="45" t="s">
        <v>3389</v>
      </c>
      <c r="B1147" s="40" t="s">
        <v>1579</v>
      </c>
      <c r="C1147" s="41" t="s">
        <v>2020</v>
      </c>
      <c r="D1147" s="21" t="s">
        <v>2231</v>
      </c>
      <c r="E1147" s="21" t="s">
        <v>2222</v>
      </c>
      <c r="F1147" s="24">
        <v>0.14586774631916669</v>
      </c>
      <c r="G1147" s="21">
        <v>12</v>
      </c>
      <c r="H1147" s="17">
        <v>14.99</v>
      </c>
      <c r="I1147" s="43" t="s">
        <v>3950</v>
      </c>
      <c r="J1147" s="26"/>
      <c r="K1147" s="17">
        <f t="shared" si="108"/>
        <v>0</v>
      </c>
      <c r="N1147" s="31" t="str">
        <f t="shared" si="105"/>
        <v>-</v>
      </c>
      <c r="O1147" s="31" t="str">
        <f t="shared" si="107"/>
        <v>-</v>
      </c>
      <c r="P1147" s="35" t="str">
        <f t="shared" si="106"/>
        <v>-</v>
      </c>
      <c r="Q1147" s="32" t="str">
        <f t="shared" si="109"/>
        <v>-</v>
      </c>
      <c r="S1147" s="32" t="str">
        <f t="shared" si="110"/>
        <v>-</v>
      </c>
    </row>
    <row r="1148" spans="1:19" x14ac:dyDescent="0.3">
      <c r="A1148" s="45" t="s">
        <v>3390</v>
      </c>
      <c r="B1148" s="40" t="s">
        <v>1580</v>
      </c>
      <c r="C1148" s="41" t="s">
        <v>2020</v>
      </c>
      <c r="D1148" s="21" t="s">
        <v>2225</v>
      </c>
      <c r="E1148" s="21" t="s">
        <v>2222</v>
      </c>
      <c r="F1148" s="24">
        <v>0.25483953327525005</v>
      </c>
      <c r="G1148" s="21">
        <v>12</v>
      </c>
      <c r="H1148" s="17">
        <v>29.1</v>
      </c>
      <c r="I1148" s="43" t="s">
        <v>3950</v>
      </c>
      <c r="J1148" s="26"/>
      <c r="K1148" s="17">
        <f t="shared" si="108"/>
        <v>0</v>
      </c>
      <c r="N1148" s="31" t="str">
        <f t="shared" ref="N1148:N1210" si="111">IFERROR(IF($N$2*F1148=0, "-", $N$2*F1148), "-")</f>
        <v>-</v>
      </c>
      <c r="O1148" s="31" t="str">
        <f t="shared" si="107"/>
        <v>-</v>
      </c>
      <c r="P1148" s="35" t="str">
        <f t="shared" ref="P1148:P1210" si="112">IF(J1148&gt;0,J1148*F1148, "-")</f>
        <v>-</v>
      </c>
      <c r="Q1148" s="32" t="str">
        <f t="shared" si="109"/>
        <v>-</v>
      </c>
      <c r="S1148" s="32" t="str">
        <f t="shared" si="110"/>
        <v>-</v>
      </c>
    </row>
    <row r="1149" spans="1:19" x14ac:dyDescent="0.3">
      <c r="A1149" s="45" t="s">
        <v>3391</v>
      </c>
      <c r="B1149" s="40" t="s">
        <v>1581</v>
      </c>
      <c r="C1149" s="41" t="s">
        <v>2020</v>
      </c>
      <c r="D1149" s="21" t="s">
        <v>2226</v>
      </c>
      <c r="E1149" s="21" t="s">
        <v>2222</v>
      </c>
      <c r="F1149" s="24">
        <v>0.4706379932709584</v>
      </c>
      <c r="G1149" s="21">
        <v>12</v>
      </c>
      <c r="H1149" s="17">
        <v>55.79</v>
      </c>
      <c r="I1149" s="43" t="s">
        <v>3950</v>
      </c>
      <c r="J1149" s="26"/>
      <c r="K1149" s="17">
        <f t="shared" si="108"/>
        <v>0</v>
      </c>
      <c r="N1149" s="31" t="str">
        <f t="shared" si="111"/>
        <v>-</v>
      </c>
      <c r="O1149" s="31" t="str">
        <f t="shared" ref="O1149:O1212" si="113">IFERROR(IF(N1149&gt;0,H1149+N1149,"-"),"-")</f>
        <v>-</v>
      </c>
      <c r="P1149" s="35" t="str">
        <f t="shared" si="112"/>
        <v>-</v>
      </c>
      <c r="Q1149" s="32" t="str">
        <f t="shared" si="109"/>
        <v>-</v>
      </c>
      <c r="S1149" s="32" t="str">
        <f t="shared" si="110"/>
        <v>-</v>
      </c>
    </row>
    <row r="1150" spans="1:19" x14ac:dyDescent="0.3">
      <c r="A1150" s="45" t="s">
        <v>3392</v>
      </c>
      <c r="B1150" s="40" t="s">
        <v>940</v>
      </c>
      <c r="C1150" s="41" t="s">
        <v>2021</v>
      </c>
      <c r="D1150" s="21" t="s">
        <v>2223</v>
      </c>
      <c r="E1150" s="21" t="s">
        <v>2222</v>
      </c>
      <c r="F1150" s="24">
        <v>6.0921235227416673E-2</v>
      </c>
      <c r="G1150" s="21">
        <v>12</v>
      </c>
      <c r="H1150" s="17">
        <v>6.3</v>
      </c>
      <c r="I1150" s="43" t="s">
        <v>3950</v>
      </c>
      <c r="J1150" s="26"/>
      <c r="K1150" s="17">
        <f t="shared" si="108"/>
        <v>0</v>
      </c>
      <c r="N1150" s="31" t="str">
        <f t="shared" si="111"/>
        <v>-</v>
      </c>
      <c r="O1150" s="31" t="str">
        <f t="shared" si="113"/>
        <v>-</v>
      </c>
      <c r="P1150" s="35" t="str">
        <f t="shared" si="112"/>
        <v>-</v>
      </c>
      <c r="Q1150" s="32" t="str">
        <f t="shared" si="109"/>
        <v>-</v>
      </c>
      <c r="S1150" s="32" t="str">
        <f t="shared" si="110"/>
        <v>-</v>
      </c>
    </row>
    <row r="1151" spans="1:19" x14ac:dyDescent="0.3">
      <c r="A1151" s="45" t="s">
        <v>3394</v>
      </c>
      <c r="B1151" s="40" t="s">
        <v>1192</v>
      </c>
      <c r="C1151" s="41" t="s">
        <v>2022</v>
      </c>
      <c r="D1151" s="21" t="s">
        <v>2235</v>
      </c>
      <c r="E1151" s="21" t="s">
        <v>2258</v>
      </c>
      <c r="F1151" s="24">
        <v>0.18018956898250002</v>
      </c>
      <c r="G1151" s="21">
        <v>12</v>
      </c>
      <c r="H1151" s="17">
        <v>22.79</v>
      </c>
      <c r="I1151" s="43" t="s">
        <v>3950</v>
      </c>
      <c r="J1151" s="26"/>
      <c r="K1151" s="17">
        <f t="shared" si="108"/>
        <v>0</v>
      </c>
      <c r="N1151" s="31" t="str">
        <f t="shared" si="111"/>
        <v>-</v>
      </c>
      <c r="O1151" s="31" t="str">
        <f t="shared" si="113"/>
        <v>-</v>
      </c>
      <c r="P1151" s="35" t="str">
        <f t="shared" si="112"/>
        <v>-</v>
      </c>
      <c r="Q1151" s="32" t="str">
        <f t="shared" si="109"/>
        <v>-</v>
      </c>
      <c r="S1151" s="32" t="str">
        <f t="shared" si="110"/>
        <v>-</v>
      </c>
    </row>
    <row r="1152" spans="1:19" x14ac:dyDescent="0.3">
      <c r="A1152" s="45" t="s">
        <v>3395</v>
      </c>
      <c r="B1152" s="40" t="s">
        <v>1095</v>
      </c>
      <c r="C1152" s="41" t="s">
        <v>2023</v>
      </c>
      <c r="D1152" s="21" t="s">
        <v>2230</v>
      </c>
      <c r="E1152" s="21" t="s">
        <v>2258</v>
      </c>
      <c r="F1152" s="24">
        <v>8.5518541469472228E-2</v>
      </c>
      <c r="G1152" s="21">
        <v>270</v>
      </c>
      <c r="H1152" s="17">
        <v>11.99</v>
      </c>
      <c r="I1152" s="43" t="s">
        <v>3950</v>
      </c>
      <c r="J1152" s="26"/>
      <c r="K1152" s="17">
        <f t="shared" si="108"/>
        <v>0</v>
      </c>
      <c r="N1152" s="31" t="str">
        <f t="shared" si="111"/>
        <v>-</v>
      </c>
      <c r="O1152" s="31" t="str">
        <f t="shared" si="113"/>
        <v>-</v>
      </c>
      <c r="P1152" s="35" t="str">
        <f t="shared" si="112"/>
        <v>-</v>
      </c>
      <c r="Q1152" s="32" t="str">
        <f t="shared" si="109"/>
        <v>-</v>
      </c>
      <c r="S1152" s="32" t="str">
        <f t="shared" si="110"/>
        <v>-</v>
      </c>
    </row>
    <row r="1153" spans="1:19" x14ac:dyDescent="0.3">
      <c r="A1153" s="45" t="s">
        <v>3396</v>
      </c>
      <c r="B1153" s="40" t="s">
        <v>1139</v>
      </c>
      <c r="C1153" s="41" t="s">
        <v>2023</v>
      </c>
      <c r="D1153" s="21" t="s">
        <v>2235</v>
      </c>
      <c r="E1153" s="21" t="s">
        <v>2258</v>
      </c>
      <c r="F1153" s="24">
        <v>0.16229319002233336</v>
      </c>
      <c r="G1153" s="21">
        <v>84</v>
      </c>
      <c r="H1153" s="17">
        <v>22.79</v>
      </c>
      <c r="I1153" s="43" t="s">
        <v>3950</v>
      </c>
      <c r="J1153" s="26"/>
      <c r="K1153" s="17">
        <f t="shared" si="108"/>
        <v>0</v>
      </c>
      <c r="N1153" s="31" t="str">
        <f t="shared" si="111"/>
        <v>-</v>
      </c>
      <c r="O1153" s="31" t="str">
        <f t="shared" si="113"/>
        <v>-</v>
      </c>
      <c r="P1153" s="35" t="str">
        <f t="shared" si="112"/>
        <v>-</v>
      </c>
      <c r="Q1153" s="32" t="str">
        <f t="shared" si="109"/>
        <v>-</v>
      </c>
      <c r="S1153" s="32" t="str">
        <f t="shared" si="110"/>
        <v>-</v>
      </c>
    </row>
    <row r="1154" spans="1:19" x14ac:dyDescent="0.3">
      <c r="A1154" s="45" t="s">
        <v>3397</v>
      </c>
      <c r="B1154" s="40" t="s">
        <v>139</v>
      </c>
      <c r="C1154" s="41" t="s">
        <v>2024</v>
      </c>
      <c r="D1154" s="21" t="s">
        <v>2253</v>
      </c>
      <c r="E1154" s="21" t="s">
        <v>2222</v>
      </c>
      <c r="F1154" s="24">
        <v>0.10124937685683334</v>
      </c>
      <c r="G1154" s="21">
        <v>12</v>
      </c>
      <c r="H1154" s="17">
        <v>11.25</v>
      </c>
      <c r="I1154" s="43" t="s">
        <v>3950</v>
      </c>
      <c r="J1154" s="26"/>
      <c r="K1154" s="17">
        <f t="shared" si="108"/>
        <v>0</v>
      </c>
      <c r="N1154" s="31" t="str">
        <f t="shared" si="111"/>
        <v>-</v>
      </c>
      <c r="O1154" s="31" t="str">
        <f t="shared" si="113"/>
        <v>-</v>
      </c>
      <c r="P1154" s="35" t="str">
        <f t="shared" si="112"/>
        <v>-</v>
      </c>
      <c r="Q1154" s="32" t="str">
        <f t="shared" si="109"/>
        <v>-</v>
      </c>
      <c r="S1154" s="32" t="str">
        <f t="shared" si="110"/>
        <v>-</v>
      </c>
    </row>
    <row r="1155" spans="1:19" x14ac:dyDescent="0.3">
      <c r="A1155" s="45" t="s">
        <v>3399</v>
      </c>
      <c r="B1155" s="40" t="s">
        <v>865</v>
      </c>
      <c r="C1155" s="41" t="s">
        <v>2025</v>
      </c>
      <c r="D1155" s="21" t="s">
        <v>2227</v>
      </c>
      <c r="E1155" s="21" t="s">
        <v>2222</v>
      </c>
      <c r="F1155" s="24">
        <v>7.6366055425916665E-2</v>
      </c>
      <c r="G1155" s="21">
        <v>12</v>
      </c>
      <c r="H1155" s="17">
        <v>22.19</v>
      </c>
      <c r="I1155" s="43" t="s">
        <v>3950</v>
      </c>
      <c r="J1155" s="26"/>
      <c r="K1155" s="17">
        <f t="shared" si="108"/>
        <v>0</v>
      </c>
      <c r="N1155" s="31" t="str">
        <f t="shared" si="111"/>
        <v>-</v>
      </c>
      <c r="O1155" s="31" t="str">
        <f t="shared" si="113"/>
        <v>-</v>
      </c>
      <c r="P1155" s="35" t="str">
        <f t="shared" si="112"/>
        <v>-</v>
      </c>
      <c r="Q1155" s="32" t="str">
        <f t="shared" si="109"/>
        <v>-</v>
      </c>
      <c r="S1155" s="32" t="str">
        <f t="shared" si="110"/>
        <v>-</v>
      </c>
    </row>
    <row r="1156" spans="1:19" x14ac:dyDescent="0.3">
      <c r="A1156" s="45" t="s">
        <v>3400</v>
      </c>
      <c r="B1156" s="40" t="s">
        <v>789</v>
      </c>
      <c r="C1156" s="41" t="s">
        <v>2026</v>
      </c>
      <c r="D1156" s="21" t="s">
        <v>2224</v>
      </c>
      <c r="E1156" s="21" t="s">
        <v>2234</v>
      </c>
      <c r="F1156" s="24">
        <v>6.3066349143875003E-2</v>
      </c>
      <c r="G1156" s="21">
        <v>12</v>
      </c>
      <c r="H1156" s="17">
        <v>20.99</v>
      </c>
      <c r="I1156" s="43" t="s">
        <v>3950</v>
      </c>
      <c r="J1156" s="26"/>
      <c r="K1156" s="17">
        <f t="shared" si="108"/>
        <v>0</v>
      </c>
      <c r="N1156" s="31" t="str">
        <f t="shared" si="111"/>
        <v>-</v>
      </c>
      <c r="O1156" s="31" t="str">
        <f t="shared" si="113"/>
        <v>-</v>
      </c>
      <c r="P1156" s="35" t="str">
        <f t="shared" si="112"/>
        <v>-</v>
      </c>
      <c r="Q1156" s="32" t="str">
        <f t="shared" si="109"/>
        <v>-</v>
      </c>
      <c r="S1156" s="32" t="str">
        <f t="shared" si="110"/>
        <v>-</v>
      </c>
    </row>
    <row r="1157" spans="1:19" x14ac:dyDescent="0.3">
      <c r="A1157" s="45" t="s">
        <v>3401</v>
      </c>
      <c r="B1157" s="40" t="s">
        <v>54</v>
      </c>
      <c r="C1157" s="41" t="s">
        <v>2026</v>
      </c>
      <c r="D1157" s="21" t="s">
        <v>2227</v>
      </c>
      <c r="E1157" s="21" t="s">
        <v>2234</v>
      </c>
      <c r="F1157" s="24">
        <v>0.14586774631916669</v>
      </c>
      <c r="G1157" s="21">
        <v>12</v>
      </c>
      <c r="H1157" s="17">
        <v>40.79</v>
      </c>
      <c r="I1157" s="43" t="s">
        <v>3950</v>
      </c>
      <c r="J1157" s="26"/>
      <c r="K1157" s="17">
        <f t="shared" si="108"/>
        <v>0</v>
      </c>
      <c r="N1157" s="31" t="str">
        <f t="shared" si="111"/>
        <v>-</v>
      </c>
      <c r="O1157" s="31" t="str">
        <f t="shared" si="113"/>
        <v>-</v>
      </c>
      <c r="P1157" s="35" t="str">
        <f t="shared" si="112"/>
        <v>-</v>
      </c>
      <c r="Q1157" s="32" t="str">
        <f t="shared" si="109"/>
        <v>-</v>
      </c>
      <c r="S1157" s="32" t="str">
        <f t="shared" si="110"/>
        <v>-</v>
      </c>
    </row>
    <row r="1158" spans="1:19" x14ac:dyDescent="0.3">
      <c r="A1158" s="45" t="s">
        <v>3402</v>
      </c>
      <c r="B1158" s="40" t="s">
        <v>1003</v>
      </c>
      <c r="C1158" s="41" t="s">
        <v>2026</v>
      </c>
      <c r="D1158" s="21" t="s">
        <v>2226</v>
      </c>
      <c r="E1158" s="21" t="s">
        <v>2234</v>
      </c>
      <c r="F1158" s="24">
        <v>0.1999246170139167</v>
      </c>
      <c r="G1158" s="21">
        <v>12</v>
      </c>
      <c r="H1158" s="17">
        <v>59.99</v>
      </c>
      <c r="I1158" s="43" t="s">
        <v>3950</v>
      </c>
      <c r="J1158" s="26"/>
      <c r="K1158" s="17">
        <f t="shared" si="108"/>
        <v>0</v>
      </c>
      <c r="N1158" s="31" t="str">
        <f t="shared" si="111"/>
        <v>-</v>
      </c>
      <c r="O1158" s="31" t="str">
        <f t="shared" si="113"/>
        <v>-</v>
      </c>
      <c r="P1158" s="35" t="str">
        <f t="shared" si="112"/>
        <v>-</v>
      </c>
      <c r="Q1158" s="32" t="str">
        <f t="shared" si="109"/>
        <v>-</v>
      </c>
      <c r="S1158" s="32" t="str">
        <f t="shared" si="110"/>
        <v>-</v>
      </c>
    </row>
    <row r="1159" spans="1:19" x14ac:dyDescent="0.3">
      <c r="A1159" s="45" t="s">
        <v>3403</v>
      </c>
      <c r="B1159" s="40" t="s">
        <v>1261</v>
      </c>
      <c r="C1159" s="41" t="s">
        <v>2027</v>
      </c>
      <c r="D1159" s="21" t="s">
        <v>2239</v>
      </c>
      <c r="E1159" s="21" t="s">
        <v>2234</v>
      </c>
      <c r="F1159" s="24">
        <v>6.1779280794000004E-2</v>
      </c>
      <c r="G1159" s="21">
        <v>12</v>
      </c>
      <c r="H1159" s="17">
        <v>12.3</v>
      </c>
      <c r="I1159" s="43" t="s">
        <v>3950</v>
      </c>
      <c r="J1159" s="26"/>
      <c r="K1159" s="17">
        <f t="shared" si="108"/>
        <v>0</v>
      </c>
      <c r="N1159" s="31" t="str">
        <f t="shared" si="111"/>
        <v>-</v>
      </c>
      <c r="O1159" s="31" t="str">
        <f t="shared" si="113"/>
        <v>-</v>
      </c>
      <c r="P1159" s="35" t="str">
        <f t="shared" si="112"/>
        <v>-</v>
      </c>
      <c r="Q1159" s="32" t="str">
        <f t="shared" si="109"/>
        <v>-</v>
      </c>
      <c r="S1159" s="32" t="str">
        <f t="shared" si="110"/>
        <v>-</v>
      </c>
    </row>
    <row r="1160" spans="1:19" x14ac:dyDescent="0.3">
      <c r="A1160" s="45" t="s">
        <v>3404</v>
      </c>
      <c r="B1160" s="40" t="s">
        <v>936</v>
      </c>
      <c r="C1160" s="41" t="s">
        <v>2027</v>
      </c>
      <c r="D1160" s="21" t="s">
        <v>2221</v>
      </c>
      <c r="E1160" s="21" t="s">
        <v>2234</v>
      </c>
      <c r="F1160" s="24">
        <v>0.1124039692224167</v>
      </c>
      <c r="G1160" s="21">
        <v>12</v>
      </c>
      <c r="H1160" s="17">
        <v>23.7</v>
      </c>
      <c r="I1160" s="43" t="s">
        <v>3950</v>
      </c>
      <c r="J1160" s="26"/>
      <c r="K1160" s="17">
        <f t="shared" si="108"/>
        <v>0</v>
      </c>
      <c r="N1160" s="31" t="str">
        <f t="shared" si="111"/>
        <v>-</v>
      </c>
      <c r="O1160" s="31" t="str">
        <f t="shared" si="113"/>
        <v>-</v>
      </c>
      <c r="P1160" s="35" t="str">
        <f t="shared" si="112"/>
        <v>-</v>
      </c>
      <c r="Q1160" s="32" t="str">
        <f t="shared" si="109"/>
        <v>-</v>
      </c>
      <c r="S1160" s="32" t="str">
        <f t="shared" si="110"/>
        <v>-</v>
      </c>
    </row>
    <row r="1161" spans="1:19" x14ac:dyDescent="0.3">
      <c r="A1161" s="45" t="s">
        <v>3410</v>
      </c>
      <c r="B1161" s="40" t="s">
        <v>163</v>
      </c>
      <c r="C1161" s="41" t="s">
        <v>2029</v>
      </c>
      <c r="D1161" s="21" t="s">
        <v>2227</v>
      </c>
      <c r="E1161" s="21" t="s">
        <v>2244</v>
      </c>
      <c r="F1161" s="24">
        <v>0.17160911331666664</v>
      </c>
      <c r="G1161" s="21">
        <v>12</v>
      </c>
      <c r="H1161" s="17">
        <v>29.39</v>
      </c>
      <c r="I1161" s="43" t="s">
        <v>3950</v>
      </c>
      <c r="J1161" s="26"/>
      <c r="K1161" s="17">
        <f t="shared" si="108"/>
        <v>0</v>
      </c>
      <c r="N1161" s="31" t="str">
        <f t="shared" si="111"/>
        <v>-</v>
      </c>
      <c r="O1161" s="31" t="str">
        <f t="shared" si="113"/>
        <v>-</v>
      </c>
      <c r="P1161" s="35" t="str">
        <f t="shared" si="112"/>
        <v>-</v>
      </c>
      <c r="Q1161" s="32" t="str">
        <f t="shared" si="109"/>
        <v>-</v>
      </c>
      <c r="S1161" s="32" t="str">
        <f t="shared" si="110"/>
        <v>-</v>
      </c>
    </row>
    <row r="1162" spans="1:19" x14ac:dyDescent="0.3">
      <c r="A1162" s="45" t="s">
        <v>3411</v>
      </c>
      <c r="B1162" s="40" t="s">
        <v>1582</v>
      </c>
      <c r="C1162" s="41" t="s">
        <v>2030</v>
      </c>
      <c r="D1162" s="21" t="s">
        <v>2231</v>
      </c>
      <c r="E1162" s="21" t="s">
        <v>2222</v>
      </c>
      <c r="F1162" s="24">
        <v>0.14586774631916669</v>
      </c>
      <c r="G1162" s="21">
        <v>12</v>
      </c>
      <c r="H1162" s="17">
        <v>11.25</v>
      </c>
      <c r="I1162" s="43" t="s">
        <v>3950</v>
      </c>
      <c r="J1162" s="26"/>
      <c r="K1162" s="17">
        <f t="shared" si="108"/>
        <v>0</v>
      </c>
      <c r="N1162" s="31" t="str">
        <f t="shared" si="111"/>
        <v>-</v>
      </c>
      <c r="O1162" s="31" t="str">
        <f t="shared" si="113"/>
        <v>-</v>
      </c>
      <c r="P1162" s="35" t="str">
        <f t="shared" si="112"/>
        <v>-</v>
      </c>
      <c r="Q1162" s="32" t="str">
        <f t="shared" si="109"/>
        <v>-</v>
      </c>
      <c r="S1162" s="32" t="str">
        <f t="shared" si="110"/>
        <v>-</v>
      </c>
    </row>
    <row r="1163" spans="1:19" x14ac:dyDescent="0.3">
      <c r="A1163" s="45" t="s">
        <v>3412</v>
      </c>
      <c r="B1163" s="40" t="s">
        <v>1583</v>
      </c>
      <c r="C1163" s="41" t="s">
        <v>2030</v>
      </c>
      <c r="D1163" s="21" t="s">
        <v>2225</v>
      </c>
      <c r="E1163" s="21" t="s">
        <v>2222</v>
      </c>
      <c r="F1163" s="24">
        <v>0.21880161947875001</v>
      </c>
      <c r="G1163" s="21">
        <v>12</v>
      </c>
      <c r="H1163" s="17">
        <v>21.45</v>
      </c>
      <c r="I1163" s="43" t="s">
        <v>3950</v>
      </c>
      <c r="J1163" s="26"/>
      <c r="K1163" s="17">
        <f t="shared" si="108"/>
        <v>0</v>
      </c>
      <c r="N1163" s="31" t="str">
        <f t="shared" si="111"/>
        <v>-</v>
      </c>
      <c r="O1163" s="31" t="str">
        <f t="shared" si="113"/>
        <v>-</v>
      </c>
      <c r="P1163" s="35" t="str">
        <f t="shared" si="112"/>
        <v>-</v>
      </c>
      <c r="Q1163" s="32" t="str">
        <f t="shared" si="109"/>
        <v>-</v>
      </c>
      <c r="S1163" s="32" t="str">
        <f t="shared" si="110"/>
        <v>-</v>
      </c>
    </row>
    <row r="1164" spans="1:19" x14ac:dyDescent="0.3">
      <c r="A1164" s="45" t="s">
        <v>3413</v>
      </c>
      <c r="B1164" s="40" t="s">
        <v>968</v>
      </c>
      <c r="C1164" s="41" t="s">
        <v>2030</v>
      </c>
      <c r="D1164" s="21" t="s">
        <v>2226</v>
      </c>
      <c r="E1164" s="21" t="s">
        <v>2222</v>
      </c>
      <c r="F1164" s="24">
        <v>0.41400698587645834</v>
      </c>
      <c r="G1164" s="21">
        <v>12</v>
      </c>
      <c r="H1164" s="17">
        <v>41.99</v>
      </c>
      <c r="I1164" s="43" t="s">
        <v>3950</v>
      </c>
      <c r="J1164" s="26"/>
      <c r="K1164" s="17">
        <f t="shared" si="108"/>
        <v>0</v>
      </c>
      <c r="N1164" s="31" t="str">
        <f t="shared" si="111"/>
        <v>-</v>
      </c>
      <c r="O1164" s="31" t="str">
        <f t="shared" si="113"/>
        <v>-</v>
      </c>
      <c r="P1164" s="35" t="str">
        <f t="shared" si="112"/>
        <v>-</v>
      </c>
      <c r="Q1164" s="32" t="str">
        <f t="shared" si="109"/>
        <v>-</v>
      </c>
      <c r="S1164" s="32" t="str">
        <f t="shared" si="110"/>
        <v>-</v>
      </c>
    </row>
    <row r="1165" spans="1:19" x14ac:dyDescent="0.3">
      <c r="A1165" s="45" t="s">
        <v>3414</v>
      </c>
      <c r="B1165" s="40" t="s">
        <v>1018</v>
      </c>
      <c r="C1165" s="41" t="s">
        <v>1938</v>
      </c>
      <c r="D1165" s="21" t="s">
        <v>2224</v>
      </c>
      <c r="E1165" s="21" t="s">
        <v>2232</v>
      </c>
      <c r="F1165" s="24">
        <v>7.2075827592999991E-2</v>
      </c>
      <c r="G1165" s="21">
        <v>12</v>
      </c>
      <c r="H1165" s="17">
        <v>14.7</v>
      </c>
      <c r="I1165" s="43" t="s">
        <v>3950</v>
      </c>
      <c r="J1165" s="26"/>
      <c r="K1165" s="17">
        <f t="shared" si="108"/>
        <v>0</v>
      </c>
      <c r="N1165" s="31" t="str">
        <f t="shared" si="111"/>
        <v>-</v>
      </c>
      <c r="O1165" s="31" t="str">
        <f t="shared" si="113"/>
        <v>-</v>
      </c>
      <c r="P1165" s="35" t="str">
        <f t="shared" si="112"/>
        <v>-</v>
      </c>
      <c r="Q1165" s="32" t="str">
        <f t="shared" si="109"/>
        <v>-</v>
      </c>
      <c r="S1165" s="32" t="str">
        <f t="shared" si="110"/>
        <v>-</v>
      </c>
    </row>
    <row r="1166" spans="1:19" x14ac:dyDescent="0.3">
      <c r="A1166" s="45" t="s">
        <v>3415</v>
      </c>
      <c r="B1166" s="40" t="s">
        <v>307</v>
      </c>
      <c r="C1166" s="41" t="s">
        <v>2031</v>
      </c>
      <c r="D1166" s="21" t="s">
        <v>2225</v>
      </c>
      <c r="E1166" s="21" t="s">
        <v>2222</v>
      </c>
      <c r="F1166" s="24">
        <v>0.2230918473116667</v>
      </c>
      <c r="G1166" s="21">
        <v>12</v>
      </c>
      <c r="H1166" s="17">
        <v>17.100000000000001</v>
      </c>
      <c r="I1166" s="43" t="s">
        <v>3950</v>
      </c>
      <c r="J1166" s="26"/>
      <c r="K1166" s="17">
        <f t="shared" si="108"/>
        <v>0</v>
      </c>
      <c r="N1166" s="31" t="str">
        <f t="shared" si="111"/>
        <v>-</v>
      </c>
      <c r="O1166" s="31" t="str">
        <f t="shared" si="113"/>
        <v>-</v>
      </c>
      <c r="P1166" s="35" t="str">
        <f t="shared" si="112"/>
        <v>-</v>
      </c>
      <c r="Q1166" s="32" t="str">
        <f t="shared" si="109"/>
        <v>-</v>
      </c>
      <c r="S1166" s="32" t="str">
        <f t="shared" si="110"/>
        <v>-</v>
      </c>
    </row>
    <row r="1167" spans="1:19" x14ac:dyDescent="0.3">
      <c r="A1167" s="45" t="s">
        <v>3416</v>
      </c>
      <c r="B1167" s="40" t="s">
        <v>442</v>
      </c>
      <c r="C1167" s="41" t="s">
        <v>2031</v>
      </c>
      <c r="D1167" s="21" t="s">
        <v>2226</v>
      </c>
      <c r="E1167" s="21" t="s">
        <v>2222</v>
      </c>
      <c r="F1167" s="24">
        <v>0.39298486949516664</v>
      </c>
      <c r="G1167" s="21">
        <v>12</v>
      </c>
      <c r="H1167" s="17">
        <v>33.15</v>
      </c>
      <c r="I1167" s="43" t="s">
        <v>3950</v>
      </c>
      <c r="J1167" s="26"/>
      <c r="K1167" s="17">
        <f t="shared" si="108"/>
        <v>0</v>
      </c>
      <c r="N1167" s="31" t="str">
        <f t="shared" si="111"/>
        <v>-</v>
      </c>
      <c r="O1167" s="31" t="str">
        <f t="shared" si="113"/>
        <v>-</v>
      </c>
      <c r="P1167" s="35" t="str">
        <f t="shared" si="112"/>
        <v>-</v>
      </c>
      <c r="Q1167" s="32" t="str">
        <f t="shared" si="109"/>
        <v>-</v>
      </c>
      <c r="S1167" s="32" t="str">
        <f t="shared" si="110"/>
        <v>-</v>
      </c>
    </row>
    <row r="1168" spans="1:19" x14ac:dyDescent="0.3">
      <c r="A1168" s="45" t="s">
        <v>3417</v>
      </c>
      <c r="B1168" s="40" t="s">
        <v>654</v>
      </c>
      <c r="C1168" s="41" t="s">
        <v>2031</v>
      </c>
      <c r="D1168" s="21" t="s">
        <v>2227</v>
      </c>
      <c r="E1168" s="21" t="s">
        <v>2234</v>
      </c>
      <c r="F1168" s="24">
        <v>0.16731888548375001</v>
      </c>
      <c r="G1168" s="21">
        <v>12</v>
      </c>
      <c r="H1168" s="17">
        <v>15.75</v>
      </c>
      <c r="I1168" s="43" t="s">
        <v>3950</v>
      </c>
      <c r="J1168" s="26"/>
      <c r="K1168" s="17">
        <f t="shared" si="108"/>
        <v>0</v>
      </c>
      <c r="N1168" s="31" t="str">
        <f t="shared" si="111"/>
        <v>-</v>
      </c>
      <c r="O1168" s="31" t="str">
        <f t="shared" si="113"/>
        <v>-</v>
      </c>
      <c r="P1168" s="35" t="str">
        <f t="shared" si="112"/>
        <v>-</v>
      </c>
      <c r="Q1168" s="32" t="str">
        <f t="shared" si="109"/>
        <v>-</v>
      </c>
      <c r="S1168" s="32" t="str">
        <f t="shared" si="110"/>
        <v>-</v>
      </c>
    </row>
    <row r="1169" spans="1:19" x14ac:dyDescent="0.3">
      <c r="A1169" s="45" t="s">
        <v>3418</v>
      </c>
      <c r="B1169" s="40" t="s">
        <v>391</v>
      </c>
      <c r="C1169" s="41" t="s">
        <v>2031</v>
      </c>
      <c r="D1169" s="21" t="s">
        <v>2233</v>
      </c>
      <c r="E1169" s="21" t="s">
        <v>2234</v>
      </c>
      <c r="F1169" s="24">
        <v>0.30589324448695837</v>
      </c>
      <c r="G1169" s="21">
        <v>12</v>
      </c>
      <c r="H1169" s="17">
        <v>30.59</v>
      </c>
      <c r="I1169" s="43" t="s">
        <v>3950</v>
      </c>
      <c r="J1169" s="26"/>
      <c r="K1169" s="17">
        <f t="shared" si="108"/>
        <v>0</v>
      </c>
      <c r="N1169" s="31" t="str">
        <f t="shared" si="111"/>
        <v>-</v>
      </c>
      <c r="O1169" s="31" t="str">
        <f t="shared" si="113"/>
        <v>-</v>
      </c>
      <c r="P1169" s="35" t="str">
        <f t="shared" si="112"/>
        <v>-</v>
      </c>
      <c r="Q1169" s="32" t="str">
        <f t="shared" si="109"/>
        <v>-</v>
      </c>
      <c r="S1169" s="32" t="str">
        <f t="shared" si="110"/>
        <v>-</v>
      </c>
    </row>
    <row r="1170" spans="1:19" x14ac:dyDescent="0.3">
      <c r="A1170" s="45" t="s">
        <v>3419</v>
      </c>
      <c r="B1170" s="40" t="s">
        <v>1010</v>
      </c>
      <c r="C1170" s="41" t="s">
        <v>1839</v>
      </c>
      <c r="D1170" s="21" t="s">
        <v>2224</v>
      </c>
      <c r="E1170" s="21" t="s">
        <v>2234</v>
      </c>
      <c r="F1170" s="24">
        <v>0.41186187196000001</v>
      </c>
      <c r="G1170" s="21">
        <v>12</v>
      </c>
      <c r="H1170" s="17">
        <v>4.1900000000000004</v>
      </c>
      <c r="I1170" s="43" t="s">
        <v>3950</v>
      </c>
      <c r="J1170" s="26"/>
      <c r="K1170" s="17">
        <f t="shared" si="108"/>
        <v>0</v>
      </c>
      <c r="N1170" s="31" t="str">
        <f t="shared" si="111"/>
        <v>-</v>
      </c>
      <c r="O1170" s="31" t="str">
        <f t="shared" si="113"/>
        <v>-</v>
      </c>
      <c r="P1170" s="35" t="str">
        <f t="shared" si="112"/>
        <v>-</v>
      </c>
      <c r="Q1170" s="32" t="str">
        <f t="shared" si="109"/>
        <v>-</v>
      </c>
      <c r="S1170" s="32" t="str">
        <f t="shared" si="110"/>
        <v>-</v>
      </c>
    </row>
    <row r="1171" spans="1:19" x14ac:dyDescent="0.3">
      <c r="A1171" s="45" t="s">
        <v>3421</v>
      </c>
      <c r="B1171" s="40" t="s">
        <v>55</v>
      </c>
      <c r="C1171" s="41" t="s">
        <v>2032</v>
      </c>
      <c r="D1171" s="21" t="s">
        <v>2223</v>
      </c>
      <c r="E1171" s="21" t="s">
        <v>2232</v>
      </c>
      <c r="F1171" s="24">
        <v>0.42130037319241664</v>
      </c>
      <c r="G1171" s="21">
        <v>12</v>
      </c>
      <c r="H1171" s="17">
        <v>14.39</v>
      </c>
      <c r="I1171" s="43" t="s">
        <v>3950</v>
      </c>
      <c r="J1171" s="26"/>
      <c r="K1171" s="17">
        <f t="shared" si="108"/>
        <v>0</v>
      </c>
      <c r="N1171" s="31" t="str">
        <f t="shared" si="111"/>
        <v>-</v>
      </c>
      <c r="O1171" s="31" t="str">
        <f t="shared" si="113"/>
        <v>-</v>
      </c>
      <c r="P1171" s="35" t="str">
        <f t="shared" si="112"/>
        <v>-</v>
      </c>
      <c r="Q1171" s="32" t="str">
        <f t="shared" si="109"/>
        <v>-</v>
      </c>
      <c r="S1171" s="32" t="str">
        <f t="shared" si="110"/>
        <v>-</v>
      </c>
    </row>
    <row r="1172" spans="1:19" x14ac:dyDescent="0.3">
      <c r="A1172" s="45" t="s">
        <v>3422</v>
      </c>
      <c r="B1172" s="40" t="s">
        <v>279</v>
      </c>
      <c r="C1172" s="41" t="s">
        <v>2032</v>
      </c>
      <c r="D1172" s="21" t="s">
        <v>2224</v>
      </c>
      <c r="E1172" s="21" t="s">
        <v>2232</v>
      </c>
      <c r="F1172" s="24">
        <v>8.880771614137499E-2</v>
      </c>
      <c r="G1172" s="21">
        <v>12</v>
      </c>
      <c r="H1172" s="17">
        <v>25.79</v>
      </c>
      <c r="I1172" s="43" t="s">
        <v>3950</v>
      </c>
      <c r="J1172" s="26"/>
      <c r="K1172" s="17">
        <f t="shared" si="108"/>
        <v>0</v>
      </c>
      <c r="N1172" s="31" t="str">
        <f t="shared" si="111"/>
        <v>-</v>
      </c>
      <c r="O1172" s="31" t="str">
        <f t="shared" si="113"/>
        <v>-</v>
      </c>
      <c r="P1172" s="35" t="str">
        <f t="shared" si="112"/>
        <v>-</v>
      </c>
      <c r="Q1172" s="32" t="str">
        <f t="shared" si="109"/>
        <v>-</v>
      </c>
      <c r="S1172" s="32" t="str">
        <f t="shared" si="110"/>
        <v>-</v>
      </c>
    </row>
    <row r="1173" spans="1:19" x14ac:dyDescent="0.3">
      <c r="A1173" s="45" t="s">
        <v>3424</v>
      </c>
      <c r="B1173" s="40" t="s">
        <v>1233</v>
      </c>
      <c r="C1173" s="41" t="s">
        <v>2033</v>
      </c>
      <c r="D1173" s="21" t="s">
        <v>2227</v>
      </c>
      <c r="E1173" s="21" t="s">
        <v>2222</v>
      </c>
      <c r="F1173" s="24">
        <v>8.7520647791500011E-2</v>
      </c>
      <c r="G1173" s="21">
        <v>12</v>
      </c>
      <c r="H1173" s="17">
        <v>20.55</v>
      </c>
      <c r="I1173" s="43" t="s">
        <v>3950</v>
      </c>
      <c r="J1173" s="26"/>
      <c r="K1173" s="17">
        <f t="shared" si="108"/>
        <v>0</v>
      </c>
      <c r="N1173" s="31" t="str">
        <f t="shared" si="111"/>
        <v>-</v>
      </c>
      <c r="O1173" s="31" t="str">
        <f t="shared" si="113"/>
        <v>-</v>
      </c>
      <c r="P1173" s="35" t="str">
        <f t="shared" si="112"/>
        <v>-</v>
      </c>
      <c r="Q1173" s="32" t="str">
        <f t="shared" si="109"/>
        <v>-</v>
      </c>
      <c r="S1173" s="32" t="str">
        <f t="shared" si="110"/>
        <v>-</v>
      </c>
    </row>
    <row r="1174" spans="1:19" x14ac:dyDescent="0.3">
      <c r="A1174" s="45" t="s">
        <v>3428</v>
      </c>
      <c r="B1174" s="40" t="s">
        <v>638</v>
      </c>
      <c r="C1174" s="41" t="s">
        <v>2034</v>
      </c>
      <c r="D1174" s="21" t="s">
        <v>2223</v>
      </c>
      <c r="E1174" s="21" t="s">
        <v>2234</v>
      </c>
      <c r="F1174" s="24">
        <v>5.6631007394500006E-2</v>
      </c>
      <c r="G1174" s="21">
        <v>12</v>
      </c>
      <c r="H1174" s="17">
        <v>7.19</v>
      </c>
      <c r="I1174" s="43" t="s">
        <v>3950</v>
      </c>
      <c r="J1174" s="26"/>
      <c r="K1174" s="17">
        <f t="shared" si="108"/>
        <v>0</v>
      </c>
      <c r="N1174" s="31" t="str">
        <f t="shared" si="111"/>
        <v>-</v>
      </c>
      <c r="O1174" s="31" t="str">
        <f t="shared" si="113"/>
        <v>-</v>
      </c>
      <c r="P1174" s="35" t="str">
        <f t="shared" si="112"/>
        <v>-</v>
      </c>
      <c r="Q1174" s="32" t="str">
        <f t="shared" si="109"/>
        <v>-</v>
      </c>
      <c r="S1174" s="32" t="str">
        <f t="shared" si="110"/>
        <v>-</v>
      </c>
    </row>
    <row r="1175" spans="1:19" x14ac:dyDescent="0.3">
      <c r="A1175" s="45" t="s">
        <v>3429</v>
      </c>
      <c r="B1175" s="40" t="s">
        <v>1298</v>
      </c>
      <c r="C1175" s="41" t="s">
        <v>2034</v>
      </c>
      <c r="D1175" s="21" t="s">
        <v>2224</v>
      </c>
      <c r="E1175" s="21" t="s">
        <v>2234</v>
      </c>
      <c r="F1175" s="24">
        <v>9.1810875624416685E-2</v>
      </c>
      <c r="G1175" s="21">
        <v>12</v>
      </c>
      <c r="H1175" s="17">
        <v>10.95</v>
      </c>
      <c r="I1175" s="43" t="s">
        <v>3950</v>
      </c>
      <c r="J1175" s="26"/>
      <c r="K1175" s="17">
        <f t="shared" si="108"/>
        <v>0</v>
      </c>
      <c r="N1175" s="31" t="str">
        <f t="shared" si="111"/>
        <v>-</v>
      </c>
      <c r="O1175" s="31" t="str">
        <f t="shared" si="113"/>
        <v>-</v>
      </c>
      <c r="P1175" s="35" t="str">
        <f t="shared" si="112"/>
        <v>-</v>
      </c>
      <c r="Q1175" s="32" t="str">
        <f t="shared" si="109"/>
        <v>-</v>
      </c>
      <c r="S1175" s="32" t="str">
        <f t="shared" si="110"/>
        <v>-</v>
      </c>
    </row>
    <row r="1176" spans="1:19" x14ac:dyDescent="0.3">
      <c r="A1176" s="45" t="s">
        <v>3430</v>
      </c>
      <c r="B1176" s="40" t="s">
        <v>165</v>
      </c>
      <c r="C1176" s="41" t="s">
        <v>2034</v>
      </c>
      <c r="D1176" s="21" t="s">
        <v>2227</v>
      </c>
      <c r="E1176" s="21" t="s">
        <v>2234</v>
      </c>
      <c r="F1176" s="24">
        <v>0.15702233868474999</v>
      </c>
      <c r="G1176" s="21">
        <v>12</v>
      </c>
      <c r="H1176" s="17">
        <v>19.5</v>
      </c>
      <c r="I1176" s="43" t="s">
        <v>3950</v>
      </c>
      <c r="J1176" s="26"/>
      <c r="K1176" s="17">
        <f t="shared" si="108"/>
        <v>0</v>
      </c>
      <c r="N1176" s="31" t="str">
        <f t="shared" si="111"/>
        <v>-</v>
      </c>
      <c r="O1176" s="31" t="str">
        <f t="shared" si="113"/>
        <v>-</v>
      </c>
      <c r="P1176" s="35" t="str">
        <f t="shared" si="112"/>
        <v>-</v>
      </c>
      <c r="Q1176" s="32" t="str">
        <f t="shared" si="109"/>
        <v>-</v>
      </c>
      <c r="S1176" s="32" t="str">
        <f t="shared" si="110"/>
        <v>-</v>
      </c>
    </row>
    <row r="1177" spans="1:19" x14ac:dyDescent="0.3">
      <c r="A1177" s="45" t="s">
        <v>3431</v>
      </c>
      <c r="B1177" s="40" t="s">
        <v>311</v>
      </c>
      <c r="C1177" s="41" t="s">
        <v>2035</v>
      </c>
      <c r="D1177" s="21" t="s">
        <v>2223</v>
      </c>
      <c r="E1177" s="21" t="s">
        <v>2222</v>
      </c>
      <c r="F1177" s="24">
        <v>5.5772961827916676E-2</v>
      </c>
      <c r="G1177" s="21">
        <v>12</v>
      </c>
      <c r="H1177" s="17">
        <v>7.19</v>
      </c>
      <c r="I1177" s="43" t="s">
        <v>3950</v>
      </c>
      <c r="J1177" s="26"/>
      <c r="K1177" s="17">
        <f t="shared" si="108"/>
        <v>0</v>
      </c>
      <c r="N1177" s="31" t="str">
        <f t="shared" si="111"/>
        <v>-</v>
      </c>
      <c r="O1177" s="31" t="str">
        <f t="shared" si="113"/>
        <v>-</v>
      </c>
      <c r="P1177" s="35" t="str">
        <f t="shared" si="112"/>
        <v>-</v>
      </c>
      <c r="Q1177" s="32" t="str">
        <f t="shared" si="109"/>
        <v>-</v>
      </c>
      <c r="S1177" s="32" t="str">
        <f t="shared" si="110"/>
        <v>-</v>
      </c>
    </row>
    <row r="1178" spans="1:19" x14ac:dyDescent="0.3">
      <c r="A1178" s="45" t="s">
        <v>3433</v>
      </c>
      <c r="B1178" s="40" t="s">
        <v>394</v>
      </c>
      <c r="C1178" s="41" t="s">
        <v>2035</v>
      </c>
      <c r="D1178" s="21" t="s">
        <v>2227</v>
      </c>
      <c r="E1178" s="21" t="s">
        <v>2222</v>
      </c>
      <c r="F1178" s="24">
        <v>0.15359015641841667</v>
      </c>
      <c r="G1178" s="21">
        <v>12</v>
      </c>
      <c r="H1178" s="17">
        <v>19.649999999999999</v>
      </c>
      <c r="I1178" s="43" t="s">
        <v>3950</v>
      </c>
      <c r="J1178" s="26"/>
      <c r="K1178" s="17">
        <f t="shared" si="108"/>
        <v>0</v>
      </c>
      <c r="N1178" s="31" t="str">
        <f t="shared" si="111"/>
        <v>-</v>
      </c>
      <c r="O1178" s="31" t="str">
        <f t="shared" si="113"/>
        <v>-</v>
      </c>
      <c r="P1178" s="35" t="str">
        <f t="shared" si="112"/>
        <v>-</v>
      </c>
      <c r="Q1178" s="32" t="str">
        <f t="shared" si="109"/>
        <v>-</v>
      </c>
      <c r="S1178" s="32" t="str">
        <f t="shared" si="110"/>
        <v>-</v>
      </c>
    </row>
    <row r="1179" spans="1:19" x14ac:dyDescent="0.3">
      <c r="A1179" s="45" t="s">
        <v>3434</v>
      </c>
      <c r="B1179" s="40" t="s">
        <v>306</v>
      </c>
      <c r="C1179" s="41" t="s">
        <v>1663</v>
      </c>
      <c r="D1179" s="21" t="s">
        <v>2224</v>
      </c>
      <c r="E1179" s="21" t="s">
        <v>2234</v>
      </c>
      <c r="F1179" s="24">
        <v>6.8214622543375E-2</v>
      </c>
      <c r="G1179" s="21">
        <v>12</v>
      </c>
      <c r="H1179" s="17">
        <v>4.5</v>
      </c>
      <c r="I1179" s="43" t="s">
        <v>3950</v>
      </c>
      <c r="J1179" s="26"/>
      <c r="K1179" s="17">
        <f t="shared" si="108"/>
        <v>0</v>
      </c>
      <c r="N1179" s="31" t="str">
        <f t="shared" si="111"/>
        <v>-</v>
      </c>
      <c r="O1179" s="31" t="str">
        <f t="shared" si="113"/>
        <v>-</v>
      </c>
      <c r="P1179" s="35" t="str">
        <f t="shared" si="112"/>
        <v>-</v>
      </c>
      <c r="Q1179" s="32" t="str">
        <f t="shared" si="109"/>
        <v>-</v>
      </c>
      <c r="S1179" s="32" t="str">
        <f t="shared" si="110"/>
        <v>-</v>
      </c>
    </row>
    <row r="1180" spans="1:19" x14ac:dyDescent="0.3">
      <c r="A1180" s="45" t="s">
        <v>3435</v>
      </c>
      <c r="B1180" s="40" t="s">
        <v>332</v>
      </c>
      <c r="C1180" s="41" t="s">
        <v>1663</v>
      </c>
      <c r="D1180" s="21" t="s">
        <v>2225</v>
      </c>
      <c r="E1180" s="21" t="s">
        <v>2234</v>
      </c>
      <c r="F1180" s="24">
        <v>9.6959149023916669E-2</v>
      </c>
      <c r="G1180" s="21">
        <v>12</v>
      </c>
      <c r="H1180" s="17">
        <v>8.25</v>
      </c>
      <c r="I1180" s="43" t="s">
        <v>3950</v>
      </c>
      <c r="J1180" s="26"/>
      <c r="K1180" s="17">
        <f t="shared" si="108"/>
        <v>0</v>
      </c>
      <c r="N1180" s="31" t="str">
        <f t="shared" si="111"/>
        <v>-</v>
      </c>
      <c r="O1180" s="31" t="str">
        <f t="shared" si="113"/>
        <v>-</v>
      </c>
      <c r="P1180" s="35" t="str">
        <f t="shared" si="112"/>
        <v>-</v>
      </c>
      <c r="Q1180" s="32" t="str">
        <f t="shared" si="109"/>
        <v>-</v>
      </c>
      <c r="S1180" s="32" t="str">
        <f t="shared" si="110"/>
        <v>-</v>
      </c>
    </row>
    <row r="1181" spans="1:19" x14ac:dyDescent="0.3">
      <c r="A1181" s="45" t="s">
        <v>3437</v>
      </c>
      <c r="B1181" s="40" t="s">
        <v>283</v>
      </c>
      <c r="C1181" s="41" t="s">
        <v>2037</v>
      </c>
      <c r="D1181" s="21" t="s">
        <v>2239</v>
      </c>
      <c r="E1181" s="21" t="s">
        <v>2243</v>
      </c>
      <c r="F1181" s="24">
        <v>2.4883321430916667E-2</v>
      </c>
      <c r="G1181" s="21">
        <v>12</v>
      </c>
      <c r="H1181" s="17">
        <v>6.59</v>
      </c>
      <c r="I1181" s="43" t="s">
        <v>3950</v>
      </c>
      <c r="J1181" s="26"/>
      <c r="K1181" s="17">
        <f t="shared" si="108"/>
        <v>0</v>
      </c>
      <c r="N1181" s="31" t="str">
        <f t="shared" si="111"/>
        <v>-</v>
      </c>
      <c r="O1181" s="31" t="str">
        <f t="shared" si="113"/>
        <v>-</v>
      </c>
      <c r="P1181" s="35" t="str">
        <f t="shared" si="112"/>
        <v>-</v>
      </c>
      <c r="Q1181" s="32" t="str">
        <f t="shared" si="109"/>
        <v>-</v>
      </c>
      <c r="S1181" s="32" t="str">
        <f t="shared" si="110"/>
        <v>-</v>
      </c>
    </row>
    <row r="1182" spans="1:19" x14ac:dyDescent="0.3">
      <c r="A1182" s="45" t="s">
        <v>3438</v>
      </c>
      <c r="B1182" s="40" t="s">
        <v>324</v>
      </c>
      <c r="C1182" s="41" t="s">
        <v>2037</v>
      </c>
      <c r="D1182" s="21" t="s">
        <v>2221</v>
      </c>
      <c r="E1182" s="21" t="s">
        <v>2243</v>
      </c>
      <c r="F1182" s="24">
        <v>0.18447979681541668</v>
      </c>
      <c r="G1182" s="21">
        <v>12</v>
      </c>
      <c r="H1182" s="17">
        <v>11.99</v>
      </c>
      <c r="I1182" s="43" t="s">
        <v>3950</v>
      </c>
      <c r="J1182" s="26"/>
      <c r="K1182" s="17">
        <f t="shared" si="108"/>
        <v>0</v>
      </c>
      <c r="N1182" s="31" t="str">
        <f t="shared" si="111"/>
        <v>-</v>
      </c>
      <c r="O1182" s="31" t="str">
        <f t="shared" si="113"/>
        <v>-</v>
      </c>
      <c r="P1182" s="35" t="str">
        <f t="shared" si="112"/>
        <v>-</v>
      </c>
      <c r="Q1182" s="32" t="str">
        <f t="shared" si="109"/>
        <v>-</v>
      </c>
      <c r="S1182" s="32" t="str">
        <f t="shared" si="110"/>
        <v>-</v>
      </c>
    </row>
    <row r="1183" spans="1:19" x14ac:dyDescent="0.3">
      <c r="A1183" s="45" t="s">
        <v>3439</v>
      </c>
      <c r="B1183" s="40" t="s">
        <v>970</v>
      </c>
      <c r="C1183" s="41" t="s">
        <v>2038</v>
      </c>
      <c r="D1183" s="21" t="s">
        <v>2223</v>
      </c>
      <c r="E1183" s="21" t="s">
        <v>2222</v>
      </c>
      <c r="F1183" s="24">
        <v>8.7520647791500011E-2</v>
      </c>
      <c r="G1183" s="21">
        <v>12</v>
      </c>
      <c r="H1183" s="17">
        <v>9.3000000000000007</v>
      </c>
      <c r="I1183" s="43" t="s">
        <v>3950</v>
      </c>
      <c r="J1183" s="26"/>
      <c r="K1183" s="17">
        <f t="shared" si="108"/>
        <v>0</v>
      </c>
      <c r="N1183" s="31" t="str">
        <f t="shared" si="111"/>
        <v>-</v>
      </c>
      <c r="O1183" s="31" t="str">
        <f t="shared" si="113"/>
        <v>-</v>
      </c>
      <c r="P1183" s="35" t="str">
        <f t="shared" si="112"/>
        <v>-</v>
      </c>
      <c r="Q1183" s="32" t="str">
        <f t="shared" si="109"/>
        <v>-</v>
      </c>
      <c r="S1183" s="32" t="str">
        <f t="shared" si="110"/>
        <v>-</v>
      </c>
    </row>
    <row r="1184" spans="1:19" x14ac:dyDescent="0.3">
      <c r="A1184" s="45" t="s">
        <v>3440</v>
      </c>
      <c r="B1184" s="40" t="s">
        <v>384</v>
      </c>
      <c r="C1184" s="41" t="s">
        <v>2038</v>
      </c>
      <c r="D1184" s="21" t="s">
        <v>2224</v>
      </c>
      <c r="E1184" s="21" t="s">
        <v>2222</v>
      </c>
      <c r="F1184" s="24">
        <v>0.14329360961941667</v>
      </c>
      <c r="G1184" s="21">
        <v>12</v>
      </c>
      <c r="H1184" s="17">
        <v>17.39</v>
      </c>
      <c r="I1184" s="43" t="s">
        <v>3950</v>
      </c>
      <c r="J1184" s="26"/>
      <c r="K1184" s="17">
        <f t="shared" si="108"/>
        <v>0</v>
      </c>
      <c r="N1184" s="31" t="str">
        <f t="shared" si="111"/>
        <v>-</v>
      </c>
      <c r="O1184" s="31" t="str">
        <f t="shared" si="113"/>
        <v>-</v>
      </c>
      <c r="P1184" s="35" t="str">
        <f t="shared" si="112"/>
        <v>-</v>
      </c>
      <c r="Q1184" s="32" t="str">
        <f t="shared" si="109"/>
        <v>-</v>
      </c>
      <c r="S1184" s="32" t="str">
        <f t="shared" si="110"/>
        <v>-</v>
      </c>
    </row>
    <row r="1185" spans="1:19" x14ac:dyDescent="0.3">
      <c r="A1185" s="45" t="s">
        <v>3441</v>
      </c>
      <c r="B1185" s="40" t="s">
        <v>1143</v>
      </c>
      <c r="C1185" s="41" t="s">
        <v>2039</v>
      </c>
      <c r="D1185" s="21" t="s">
        <v>2224</v>
      </c>
      <c r="E1185" s="21" t="s">
        <v>2234</v>
      </c>
      <c r="F1185" s="24">
        <v>9.6959149023916669E-2</v>
      </c>
      <c r="G1185" s="21">
        <v>12</v>
      </c>
      <c r="H1185" s="17">
        <v>10.050000000000001</v>
      </c>
      <c r="I1185" s="43" t="s">
        <v>3950</v>
      </c>
      <c r="J1185" s="26"/>
      <c r="K1185" s="17">
        <f t="shared" si="108"/>
        <v>0</v>
      </c>
      <c r="N1185" s="31" t="str">
        <f t="shared" si="111"/>
        <v>-</v>
      </c>
      <c r="O1185" s="31" t="str">
        <f t="shared" si="113"/>
        <v>-</v>
      </c>
      <c r="P1185" s="35" t="str">
        <f t="shared" si="112"/>
        <v>-</v>
      </c>
      <c r="Q1185" s="32" t="str">
        <f t="shared" si="109"/>
        <v>-</v>
      </c>
      <c r="S1185" s="32" t="str">
        <f t="shared" si="110"/>
        <v>-</v>
      </c>
    </row>
    <row r="1186" spans="1:19" x14ac:dyDescent="0.3">
      <c r="A1186" s="45" t="s">
        <v>3443</v>
      </c>
      <c r="B1186" s="40" t="s">
        <v>647</v>
      </c>
      <c r="C1186" s="41" t="s">
        <v>2040</v>
      </c>
      <c r="D1186" s="21" t="s">
        <v>2221</v>
      </c>
      <c r="E1186" s="21" t="s">
        <v>2243</v>
      </c>
      <c r="F1186" s="24">
        <v>0.17160911331666664</v>
      </c>
      <c r="G1186" s="21">
        <v>12</v>
      </c>
      <c r="H1186" s="17">
        <v>14.55</v>
      </c>
      <c r="I1186" s="43" t="s">
        <v>3950</v>
      </c>
      <c r="J1186" s="26"/>
      <c r="K1186" s="17">
        <f t="shared" si="108"/>
        <v>0</v>
      </c>
      <c r="N1186" s="31" t="str">
        <f t="shared" si="111"/>
        <v>-</v>
      </c>
      <c r="O1186" s="31" t="str">
        <f t="shared" si="113"/>
        <v>-</v>
      </c>
      <c r="P1186" s="35" t="str">
        <f t="shared" si="112"/>
        <v>-</v>
      </c>
      <c r="Q1186" s="32" t="str">
        <f t="shared" si="109"/>
        <v>-</v>
      </c>
      <c r="S1186" s="32" t="str">
        <f t="shared" si="110"/>
        <v>-</v>
      </c>
    </row>
    <row r="1187" spans="1:19" x14ac:dyDescent="0.3">
      <c r="A1187" s="45" t="s">
        <v>3444</v>
      </c>
      <c r="B1187" s="40" t="s">
        <v>1194</v>
      </c>
      <c r="C1187" s="41" t="s">
        <v>2040</v>
      </c>
      <c r="D1187" s="21" t="s">
        <v>2242</v>
      </c>
      <c r="E1187" s="21" t="s">
        <v>2243</v>
      </c>
      <c r="F1187" s="24">
        <v>0.30546422170366666</v>
      </c>
      <c r="G1187" s="21">
        <v>12</v>
      </c>
      <c r="H1187" s="17">
        <v>28.19</v>
      </c>
      <c r="I1187" s="43" t="s">
        <v>3950</v>
      </c>
      <c r="J1187" s="26"/>
      <c r="K1187" s="17">
        <f t="shared" si="108"/>
        <v>0</v>
      </c>
      <c r="N1187" s="31" t="str">
        <f t="shared" si="111"/>
        <v>-</v>
      </c>
      <c r="O1187" s="31" t="str">
        <f t="shared" si="113"/>
        <v>-</v>
      </c>
      <c r="P1187" s="35" t="str">
        <f t="shared" si="112"/>
        <v>-</v>
      </c>
      <c r="Q1187" s="32" t="str">
        <f t="shared" si="109"/>
        <v>-</v>
      </c>
      <c r="S1187" s="32" t="str">
        <f t="shared" si="110"/>
        <v>-</v>
      </c>
    </row>
    <row r="1188" spans="1:19" x14ac:dyDescent="0.3">
      <c r="A1188" s="45" t="s">
        <v>3445</v>
      </c>
      <c r="B1188" s="40" t="s">
        <v>353</v>
      </c>
      <c r="C1188" s="41" t="s">
        <v>2041</v>
      </c>
      <c r="D1188" s="21" t="s">
        <v>2224</v>
      </c>
      <c r="E1188" s="21" t="s">
        <v>2234</v>
      </c>
      <c r="F1188" s="24">
        <v>9.009478449125001E-2</v>
      </c>
      <c r="G1188" s="21">
        <v>12</v>
      </c>
      <c r="H1188" s="17">
        <v>8.99</v>
      </c>
      <c r="I1188" s="43" t="s">
        <v>3950</v>
      </c>
      <c r="J1188" s="26"/>
      <c r="K1188" s="17">
        <f t="shared" si="108"/>
        <v>0</v>
      </c>
      <c r="N1188" s="31" t="str">
        <f t="shared" si="111"/>
        <v>-</v>
      </c>
      <c r="O1188" s="31" t="str">
        <f t="shared" si="113"/>
        <v>-</v>
      </c>
      <c r="P1188" s="35" t="str">
        <f t="shared" si="112"/>
        <v>-</v>
      </c>
      <c r="Q1188" s="32" t="str">
        <f t="shared" si="109"/>
        <v>-</v>
      </c>
      <c r="S1188" s="32" t="str">
        <f t="shared" si="110"/>
        <v>-</v>
      </c>
    </row>
    <row r="1189" spans="1:19" x14ac:dyDescent="0.3">
      <c r="A1189" s="45" t="s">
        <v>3446</v>
      </c>
      <c r="B1189" s="40" t="s">
        <v>919</v>
      </c>
      <c r="C1189" s="41" t="s">
        <v>2041</v>
      </c>
      <c r="D1189" s="21" t="s">
        <v>2227</v>
      </c>
      <c r="E1189" s="21" t="s">
        <v>2234</v>
      </c>
      <c r="F1189" s="24">
        <v>0.14586774631916669</v>
      </c>
      <c r="G1189" s="21">
        <v>12</v>
      </c>
      <c r="H1189" s="17">
        <v>17.100000000000001</v>
      </c>
      <c r="I1189" s="43" t="s">
        <v>3950</v>
      </c>
      <c r="J1189" s="26"/>
      <c r="K1189" s="17">
        <f t="shared" si="108"/>
        <v>0</v>
      </c>
      <c r="N1189" s="31" t="str">
        <f t="shared" si="111"/>
        <v>-</v>
      </c>
      <c r="O1189" s="31" t="str">
        <f t="shared" si="113"/>
        <v>-</v>
      </c>
      <c r="P1189" s="35" t="str">
        <f t="shared" si="112"/>
        <v>-</v>
      </c>
      <c r="Q1189" s="32" t="str">
        <f t="shared" si="109"/>
        <v>-</v>
      </c>
      <c r="S1189" s="32" t="str">
        <f t="shared" si="110"/>
        <v>-</v>
      </c>
    </row>
    <row r="1190" spans="1:19" x14ac:dyDescent="0.3">
      <c r="A1190" s="45" t="s">
        <v>3447</v>
      </c>
      <c r="B1190" s="40" t="s">
        <v>625</v>
      </c>
      <c r="C1190" s="41" t="s">
        <v>2042</v>
      </c>
      <c r="D1190" s="21" t="s">
        <v>2235</v>
      </c>
      <c r="E1190" s="21" t="s">
        <v>2229</v>
      </c>
      <c r="F1190" s="24">
        <v>0.2831550369725</v>
      </c>
      <c r="G1190" s="21">
        <v>12</v>
      </c>
      <c r="H1190" s="17">
        <v>12.9</v>
      </c>
      <c r="I1190" s="43" t="s">
        <v>3950</v>
      </c>
      <c r="J1190" s="26"/>
      <c r="K1190" s="17">
        <f t="shared" si="108"/>
        <v>0</v>
      </c>
      <c r="N1190" s="31" t="str">
        <f t="shared" si="111"/>
        <v>-</v>
      </c>
      <c r="O1190" s="31" t="str">
        <f t="shared" si="113"/>
        <v>-</v>
      </c>
      <c r="P1190" s="35" t="str">
        <f t="shared" si="112"/>
        <v>-</v>
      </c>
      <c r="Q1190" s="32" t="str">
        <f t="shared" si="109"/>
        <v>-</v>
      </c>
      <c r="S1190" s="32" t="str">
        <f t="shared" si="110"/>
        <v>-</v>
      </c>
    </row>
    <row r="1191" spans="1:19" x14ac:dyDescent="0.3">
      <c r="A1191" s="45" t="s">
        <v>3448</v>
      </c>
      <c r="B1191" s="40" t="s">
        <v>153</v>
      </c>
      <c r="C1191" s="41" t="s">
        <v>2042</v>
      </c>
      <c r="D1191" s="21" t="s">
        <v>2236</v>
      </c>
      <c r="E1191" s="21" t="s">
        <v>2229</v>
      </c>
      <c r="F1191" s="24">
        <v>0.59205144094250006</v>
      </c>
      <c r="G1191" s="21">
        <v>12</v>
      </c>
      <c r="H1191" s="17">
        <v>24.59</v>
      </c>
      <c r="I1191" s="43" t="s">
        <v>3950</v>
      </c>
      <c r="J1191" s="26"/>
      <c r="K1191" s="17">
        <f t="shared" si="108"/>
        <v>0</v>
      </c>
      <c r="N1191" s="31" t="str">
        <f t="shared" si="111"/>
        <v>-</v>
      </c>
      <c r="O1191" s="31" t="str">
        <f t="shared" si="113"/>
        <v>-</v>
      </c>
      <c r="P1191" s="35" t="str">
        <f t="shared" si="112"/>
        <v>-</v>
      </c>
      <c r="Q1191" s="32" t="str">
        <f t="shared" si="109"/>
        <v>-</v>
      </c>
      <c r="S1191" s="32" t="str">
        <f t="shared" si="110"/>
        <v>-</v>
      </c>
    </row>
    <row r="1192" spans="1:19" x14ac:dyDescent="0.3">
      <c r="A1192" s="45" t="s">
        <v>3449</v>
      </c>
      <c r="B1192" s="40" t="s">
        <v>877</v>
      </c>
      <c r="C1192" s="41" t="s">
        <v>2043</v>
      </c>
      <c r="D1192" s="21" t="s">
        <v>2223</v>
      </c>
      <c r="E1192" s="21" t="s">
        <v>2232</v>
      </c>
      <c r="F1192" s="24">
        <v>8.2372374392000014E-2</v>
      </c>
      <c r="G1192" s="21">
        <v>12</v>
      </c>
      <c r="H1192" s="17">
        <v>7.19</v>
      </c>
      <c r="I1192" s="43" t="s">
        <v>3950</v>
      </c>
      <c r="J1192" s="26"/>
      <c r="K1192" s="17">
        <f t="shared" si="108"/>
        <v>0</v>
      </c>
      <c r="N1192" s="31" t="str">
        <f t="shared" si="111"/>
        <v>-</v>
      </c>
      <c r="O1192" s="31" t="str">
        <f t="shared" si="113"/>
        <v>-</v>
      </c>
      <c r="P1192" s="35" t="str">
        <f t="shared" si="112"/>
        <v>-</v>
      </c>
      <c r="Q1192" s="32" t="str">
        <f t="shared" si="109"/>
        <v>-</v>
      </c>
      <c r="S1192" s="32" t="str">
        <f t="shared" si="110"/>
        <v>-</v>
      </c>
    </row>
    <row r="1193" spans="1:19" x14ac:dyDescent="0.3">
      <c r="A1193" s="45" t="s">
        <v>3451</v>
      </c>
      <c r="B1193" s="40" t="s">
        <v>887</v>
      </c>
      <c r="C1193" s="41" t="s">
        <v>2043</v>
      </c>
      <c r="D1193" s="21" t="s">
        <v>2227</v>
      </c>
      <c r="E1193" s="21" t="s">
        <v>2232</v>
      </c>
      <c r="F1193" s="24">
        <v>0.30546422170366666</v>
      </c>
      <c r="G1193" s="21">
        <v>12</v>
      </c>
      <c r="H1193" s="17">
        <v>23.99</v>
      </c>
      <c r="I1193" s="43" t="s">
        <v>3950</v>
      </c>
      <c r="J1193" s="26"/>
      <c r="K1193" s="17">
        <f t="shared" si="108"/>
        <v>0</v>
      </c>
      <c r="N1193" s="31" t="str">
        <f t="shared" si="111"/>
        <v>-</v>
      </c>
      <c r="O1193" s="31" t="str">
        <f t="shared" si="113"/>
        <v>-</v>
      </c>
      <c r="P1193" s="35" t="str">
        <f t="shared" si="112"/>
        <v>-</v>
      </c>
      <c r="Q1193" s="32" t="str">
        <f t="shared" si="109"/>
        <v>-</v>
      </c>
      <c r="S1193" s="32" t="str">
        <f t="shared" si="110"/>
        <v>-</v>
      </c>
    </row>
    <row r="1194" spans="1:19" x14ac:dyDescent="0.3">
      <c r="A1194" s="45" t="s">
        <v>3452</v>
      </c>
      <c r="B1194" s="40" t="s">
        <v>331</v>
      </c>
      <c r="C1194" s="41" t="s">
        <v>2044</v>
      </c>
      <c r="D1194" s="21" t="s">
        <v>2223</v>
      </c>
      <c r="E1194" s="21" t="s">
        <v>2232</v>
      </c>
      <c r="F1194" s="24">
        <v>9.3955989540875015E-2</v>
      </c>
      <c r="G1194" s="21">
        <v>12</v>
      </c>
      <c r="H1194" s="17">
        <v>7.35</v>
      </c>
      <c r="I1194" s="43" t="s">
        <v>3950</v>
      </c>
      <c r="J1194" s="26"/>
      <c r="K1194" s="17">
        <f t="shared" si="108"/>
        <v>0</v>
      </c>
      <c r="N1194" s="31" t="str">
        <f t="shared" si="111"/>
        <v>-</v>
      </c>
      <c r="O1194" s="31" t="str">
        <f t="shared" si="113"/>
        <v>-</v>
      </c>
      <c r="P1194" s="35" t="str">
        <f t="shared" si="112"/>
        <v>-</v>
      </c>
      <c r="Q1194" s="32" t="str">
        <f t="shared" si="109"/>
        <v>-</v>
      </c>
      <c r="S1194" s="32" t="str">
        <f t="shared" si="110"/>
        <v>-</v>
      </c>
    </row>
    <row r="1195" spans="1:19" x14ac:dyDescent="0.3">
      <c r="A1195" s="45" t="s">
        <v>3453</v>
      </c>
      <c r="B1195" s="40" t="s">
        <v>828</v>
      </c>
      <c r="C1195" s="41" t="s">
        <v>2044</v>
      </c>
      <c r="D1195" s="21" t="s">
        <v>2224</v>
      </c>
      <c r="E1195" s="21" t="s">
        <v>2232</v>
      </c>
      <c r="F1195" s="24">
        <v>0.17461227279970834</v>
      </c>
      <c r="G1195" s="21">
        <v>12</v>
      </c>
      <c r="H1195" s="17">
        <v>13.35</v>
      </c>
      <c r="I1195" s="43" t="s">
        <v>3950</v>
      </c>
      <c r="J1195" s="26"/>
      <c r="K1195" s="17">
        <f t="shared" si="108"/>
        <v>0</v>
      </c>
      <c r="N1195" s="31" t="str">
        <f t="shared" si="111"/>
        <v>-</v>
      </c>
      <c r="O1195" s="31" t="str">
        <f t="shared" si="113"/>
        <v>-</v>
      </c>
      <c r="P1195" s="35" t="str">
        <f t="shared" si="112"/>
        <v>-</v>
      </c>
      <c r="Q1195" s="32" t="str">
        <f t="shared" si="109"/>
        <v>-</v>
      </c>
      <c r="S1195" s="32" t="str">
        <f t="shared" si="110"/>
        <v>-</v>
      </c>
    </row>
    <row r="1196" spans="1:19" x14ac:dyDescent="0.3">
      <c r="A1196" s="45" t="s">
        <v>3454</v>
      </c>
      <c r="B1196" s="40" t="s">
        <v>443</v>
      </c>
      <c r="C1196" s="41" t="s">
        <v>2044</v>
      </c>
      <c r="D1196" s="21" t="s">
        <v>2227</v>
      </c>
      <c r="E1196" s="21" t="s">
        <v>2232</v>
      </c>
      <c r="F1196" s="24">
        <v>0.30546422170366666</v>
      </c>
      <c r="G1196" s="21">
        <v>12</v>
      </c>
      <c r="H1196" s="17">
        <v>25.5</v>
      </c>
      <c r="I1196" s="43" t="s">
        <v>3950</v>
      </c>
      <c r="J1196" s="26"/>
      <c r="K1196" s="17">
        <f t="shared" si="108"/>
        <v>0</v>
      </c>
      <c r="N1196" s="31" t="str">
        <f t="shared" si="111"/>
        <v>-</v>
      </c>
      <c r="O1196" s="31" t="str">
        <f t="shared" si="113"/>
        <v>-</v>
      </c>
      <c r="P1196" s="35" t="str">
        <f t="shared" si="112"/>
        <v>-</v>
      </c>
      <c r="Q1196" s="32" t="str">
        <f t="shared" si="109"/>
        <v>-</v>
      </c>
      <c r="S1196" s="32" t="str">
        <f t="shared" si="110"/>
        <v>-</v>
      </c>
    </row>
    <row r="1197" spans="1:19" x14ac:dyDescent="0.3">
      <c r="A1197" s="45" t="s">
        <v>3455</v>
      </c>
      <c r="B1197" s="40" t="s">
        <v>1412</v>
      </c>
      <c r="C1197" s="41" t="s">
        <v>2045</v>
      </c>
      <c r="D1197" s="21" t="s">
        <v>2224</v>
      </c>
      <c r="E1197" s="21" t="s">
        <v>2234</v>
      </c>
      <c r="F1197" s="24">
        <v>9.1810875624416685E-2</v>
      </c>
      <c r="G1197" s="21">
        <v>12</v>
      </c>
      <c r="H1197" s="17">
        <v>19.79</v>
      </c>
      <c r="I1197" s="43" t="s">
        <v>3950</v>
      </c>
      <c r="J1197" s="26"/>
      <c r="K1197" s="17">
        <f t="shared" si="108"/>
        <v>0</v>
      </c>
      <c r="N1197" s="31" t="str">
        <f t="shared" si="111"/>
        <v>-</v>
      </c>
      <c r="O1197" s="31" t="str">
        <f t="shared" si="113"/>
        <v>-</v>
      </c>
      <c r="P1197" s="35" t="str">
        <f t="shared" si="112"/>
        <v>-</v>
      </c>
      <c r="Q1197" s="32" t="str">
        <f t="shared" si="109"/>
        <v>-</v>
      </c>
      <c r="S1197" s="32" t="str">
        <f t="shared" si="110"/>
        <v>-</v>
      </c>
    </row>
    <row r="1198" spans="1:19" x14ac:dyDescent="0.3">
      <c r="A1198" s="45" t="s">
        <v>3456</v>
      </c>
      <c r="B1198" s="40" t="s">
        <v>462</v>
      </c>
      <c r="C1198" s="41" t="s">
        <v>2045</v>
      </c>
      <c r="D1198" s="21" t="s">
        <v>2225</v>
      </c>
      <c r="E1198" s="21" t="s">
        <v>2234</v>
      </c>
      <c r="F1198" s="24">
        <v>0.14586774631916669</v>
      </c>
      <c r="G1198" s="21">
        <v>12</v>
      </c>
      <c r="H1198" s="17">
        <v>29.1</v>
      </c>
      <c r="I1198" s="43" t="s">
        <v>3950</v>
      </c>
      <c r="J1198" s="26"/>
      <c r="K1198" s="17">
        <f t="shared" si="108"/>
        <v>0</v>
      </c>
      <c r="N1198" s="31" t="str">
        <f t="shared" si="111"/>
        <v>-</v>
      </c>
      <c r="O1198" s="31" t="str">
        <f t="shared" si="113"/>
        <v>-</v>
      </c>
      <c r="P1198" s="35" t="str">
        <f t="shared" si="112"/>
        <v>-</v>
      </c>
      <c r="Q1198" s="32" t="str">
        <f t="shared" si="109"/>
        <v>-</v>
      </c>
      <c r="S1198" s="32" t="str">
        <f t="shared" si="110"/>
        <v>-</v>
      </c>
    </row>
    <row r="1199" spans="1:19" x14ac:dyDescent="0.3">
      <c r="A1199" s="45" t="s">
        <v>3457</v>
      </c>
      <c r="B1199" s="40" t="s">
        <v>992</v>
      </c>
      <c r="C1199" s="41" t="s">
        <v>2045</v>
      </c>
      <c r="D1199" s="21" t="s">
        <v>2227</v>
      </c>
      <c r="E1199" s="21" t="s">
        <v>2234</v>
      </c>
      <c r="F1199" s="24">
        <v>0.1999246170139167</v>
      </c>
      <c r="G1199" s="21">
        <v>12</v>
      </c>
      <c r="H1199" s="17">
        <v>38.549999999999997</v>
      </c>
      <c r="I1199" s="43" t="s">
        <v>3950</v>
      </c>
      <c r="J1199" s="26"/>
      <c r="K1199" s="17">
        <f t="shared" si="108"/>
        <v>0</v>
      </c>
      <c r="N1199" s="31" t="str">
        <f t="shared" si="111"/>
        <v>-</v>
      </c>
      <c r="O1199" s="31" t="str">
        <f t="shared" si="113"/>
        <v>-</v>
      </c>
      <c r="P1199" s="35" t="str">
        <f t="shared" si="112"/>
        <v>-</v>
      </c>
      <c r="Q1199" s="32" t="str">
        <f t="shared" si="109"/>
        <v>-</v>
      </c>
      <c r="S1199" s="32" t="str">
        <f t="shared" si="110"/>
        <v>-</v>
      </c>
    </row>
    <row r="1200" spans="1:19" x14ac:dyDescent="0.3">
      <c r="A1200" s="45" t="s">
        <v>3458</v>
      </c>
      <c r="B1200" s="40" t="s">
        <v>1142</v>
      </c>
      <c r="C1200" s="41" t="s">
        <v>2046</v>
      </c>
      <c r="D1200" s="21" t="s">
        <v>2224</v>
      </c>
      <c r="E1200" s="21" t="s">
        <v>2222</v>
      </c>
      <c r="F1200" s="24">
        <v>0.17160911331666664</v>
      </c>
      <c r="G1200" s="21">
        <v>12</v>
      </c>
      <c r="H1200" s="17">
        <v>22.79</v>
      </c>
      <c r="I1200" s="43" t="s">
        <v>3950</v>
      </c>
      <c r="J1200" s="26"/>
      <c r="K1200" s="17">
        <f t="shared" si="108"/>
        <v>0</v>
      </c>
      <c r="N1200" s="31" t="str">
        <f t="shared" si="111"/>
        <v>-</v>
      </c>
      <c r="O1200" s="31" t="str">
        <f t="shared" si="113"/>
        <v>-</v>
      </c>
      <c r="P1200" s="35" t="str">
        <f t="shared" si="112"/>
        <v>-</v>
      </c>
      <c r="Q1200" s="32" t="str">
        <f t="shared" si="109"/>
        <v>-</v>
      </c>
      <c r="S1200" s="32" t="str">
        <f t="shared" si="110"/>
        <v>-</v>
      </c>
    </row>
    <row r="1201" spans="1:19" x14ac:dyDescent="0.3">
      <c r="A1201" s="45" t="s">
        <v>3459</v>
      </c>
      <c r="B1201" s="40" t="s">
        <v>1036</v>
      </c>
      <c r="C1201" s="41" t="s">
        <v>2046</v>
      </c>
      <c r="D1201" s="21" t="s">
        <v>2227</v>
      </c>
      <c r="E1201" s="21" t="s">
        <v>2222</v>
      </c>
      <c r="F1201" s="24">
        <v>0.29259353820491674</v>
      </c>
      <c r="G1201" s="21">
        <v>12</v>
      </c>
      <c r="H1201" s="17">
        <v>44.99</v>
      </c>
      <c r="I1201" s="43" t="s">
        <v>3950</v>
      </c>
      <c r="J1201" s="26"/>
      <c r="K1201" s="17">
        <f t="shared" si="108"/>
        <v>0</v>
      </c>
      <c r="N1201" s="31" t="str">
        <f t="shared" si="111"/>
        <v>-</v>
      </c>
      <c r="O1201" s="31" t="str">
        <f t="shared" si="113"/>
        <v>-</v>
      </c>
      <c r="P1201" s="35" t="str">
        <f t="shared" si="112"/>
        <v>-</v>
      </c>
      <c r="Q1201" s="32" t="str">
        <f t="shared" si="109"/>
        <v>-</v>
      </c>
      <c r="S1201" s="32" t="str">
        <f t="shared" si="110"/>
        <v>-</v>
      </c>
    </row>
    <row r="1202" spans="1:19" x14ac:dyDescent="0.3">
      <c r="A1202" s="45" t="s">
        <v>3460</v>
      </c>
      <c r="B1202" s="40" t="s">
        <v>555</v>
      </c>
      <c r="C1202" s="41" t="s">
        <v>2038</v>
      </c>
      <c r="D1202" s="21" t="s">
        <v>2227</v>
      </c>
      <c r="E1202" s="21" t="s">
        <v>2222</v>
      </c>
      <c r="F1202" s="24">
        <v>0.27714871800641666</v>
      </c>
      <c r="G1202" s="21">
        <v>12</v>
      </c>
      <c r="H1202" s="17">
        <v>34.19</v>
      </c>
      <c r="I1202" s="43" t="s">
        <v>3950</v>
      </c>
      <c r="J1202" s="26"/>
      <c r="K1202" s="17">
        <f t="shared" ref="K1202:K1265" si="114">J1202*H1202</f>
        <v>0</v>
      </c>
      <c r="N1202" s="31" t="str">
        <f t="shared" si="111"/>
        <v>-</v>
      </c>
      <c r="O1202" s="31" t="str">
        <f t="shared" si="113"/>
        <v>-</v>
      </c>
      <c r="P1202" s="35" t="str">
        <f t="shared" si="112"/>
        <v>-</v>
      </c>
      <c r="Q1202" s="32" t="str">
        <f t="shared" si="109"/>
        <v>-</v>
      </c>
      <c r="S1202" s="32" t="str">
        <f t="shared" si="110"/>
        <v>-</v>
      </c>
    </row>
    <row r="1203" spans="1:19" x14ac:dyDescent="0.3">
      <c r="A1203" s="45" t="s">
        <v>3461</v>
      </c>
      <c r="B1203" s="40" t="s">
        <v>1275</v>
      </c>
      <c r="C1203" s="41" t="s">
        <v>2047</v>
      </c>
      <c r="D1203" s="21" t="s">
        <v>2224</v>
      </c>
      <c r="E1203" s="21" t="s">
        <v>2234</v>
      </c>
      <c r="F1203" s="24">
        <v>8.880771614137499E-2</v>
      </c>
      <c r="G1203" s="21">
        <v>12</v>
      </c>
      <c r="H1203" s="17">
        <v>6.75</v>
      </c>
      <c r="I1203" s="43" t="s">
        <v>3950</v>
      </c>
      <c r="J1203" s="26"/>
      <c r="K1203" s="17">
        <f t="shared" si="114"/>
        <v>0</v>
      </c>
      <c r="N1203" s="31" t="str">
        <f t="shared" si="111"/>
        <v>-</v>
      </c>
      <c r="O1203" s="31" t="str">
        <f t="shared" si="113"/>
        <v>-</v>
      </c>
      <c r="P1203" s="35" t="str">
        <f t="shared" si="112"/>
        <v>-</v>
      </c>
      <c r="Q1203" s="32" t="str">
        <f t="shared" ref="Q1203:Q1266" si="115">IFERROR(IF($N$2&gt;0, $N$2*P1203, "-"), "-")</f>
        <v>-</v>
      </c>
      <c r="S1203" s="32" t="str">
        <f t="shared" ref="S1203:S1266" si="116">IFERROR(IF(Q1203+K1203=0, "-", IF(Q1203&gt;0, Q1203+K1203, "-")), "-")</f>
        <v>-</v>
      </c>
    </row>
    <row r="1204" spans="1:19" x14ac:dyDescent="0.3">
      <c r="A1204" s="45" t="s">
        <v>3462</v>
      </c>
      <c r="B1204" s="40" t="s">
        <v>463</v>
      </c>
      <c r="C1204" s="41" t="s">
        <v>2047</v>
      </c>
      <c r="D1204" s="21" t="s">
        <v>2227</v>
      </c>
      <c r="E1204" s="21" t="s">
        <v>2234</v>
      </c>
      <c r="F1204" s="24">
        <v>0.14586774631916669</v>
      </c>
      <c r="G1204" s="21">
        <v>12</v>
      </c>
      <c r="H1204" s="17">
        <v>12.59</v>
      </c>
      <c r="I1204" s="43" t="s">
        <v>3950</v>
      </c>
      <c r="J1204" s="26"/>
      <c r="K1204" s="17">
        <f t="shared" si="114"/>
        <v>0</v>
      </c>
      <c r="N1204" s="31" t="str">
        <f t="shared" si="111"/>
        <v>-</v>
      </c>
      <c r="O1204" s="31" t="str">
        <f t="shared" si="113"/>
        <v>-</v>
      </c>
      <c r="P1204" s="35" t="str">
        <f t="shared" si="112"/>
        <v>-</v>
      </c>
      <c r="Q1204" s="32" t="str">
        <f t="shared" si="115"/>
        <v>-</v>
      </c>
      <c r="S1204" s="32" t="str">
        <f t="shared" si="116"/>
        <v>-</v>
      </c>
    </row>
    <row r="1205" spans="1:19" x14ac:dyDescent="0.3">
      <c r="A1205" s="45" t="s">
        <v>3465</v>
      </c>
      <c r="B1205" s="40" t="s">
        <v>1434</v>
      </c>
      <c r="C1205" s="41" t="s">
        <v>2049</v>
      </c>
      <c r="D1205" s="21" t="s">
        <v>2223</v>
      </c>
      <c r="E1205" s="21" t="s">
        <v>2222</v>
      </c>
      <c r="F1205" s="24">
        <v>6.1779280794000004E-2</v>
      </c>
      <c r="G1205" s="21">
        <v>12</v>
      </c>
      <c r="H1205" s="17">
        <v>8.1</v>
      </c>
      <c r="I1205" s="43" t="s">
        <v>3950</v>
      </c>
      <c r="J1205" s="26"/>
      <c r="K1205" s="17">
        <f t="shared" si="114"/>
        <v>0</v>
      </c>
      <c r="N1205" s="31" t="str">
        <f t="shared" si="111"/>
        <v>-</v>
      </c>
      <c r="O1205" s="31" t="str">
        <f t="shared" si="113"/>
        <v>-</v>
      </c>
      <c r="P1205" s="35" t="str">
        <f t="shared" si="112"/>
        <v>-</v>
      </c>
      <c r="Q1205" s="32" t="str">
        <f t="shared" si="115"/>
        <v>-</v>
      </c>
      <c r="S1205" s="32" t="str">
        <f t="shared" si="116"/>
        <v>-</v>
      </c>
    </row>
    <row r="1206" spans="1:19" x14ac:dyDescent="0.3">
      <c r="A1206" s="45" t="s">
        <v>3466</v>
      </c>
      <c r="B1206" s="40" t="s">
        <v>1245</v>
      </c>
      <c r="C1206" s="41" t="s">
        <v>2049</v>
      </c>
      <c r="D1206" s="21" t="s">
        <v>2224</v>
      </c>
      <c r="E1206" s="21" t="s">
        <v>2222</v>
      </c>
      <c r="F1206" s="24">
        <v>0.11583615148875001</v>
      </c>
      <c r="G1206" s="21">
        <v>12</v>
      </c>
      <c r="H1206" s="17">
        <v>14.39</v>
      </c>
      <c r="I1206" s="43" t="s">
        <v>3950</v>
      </c>
      <c r="J1206" s="26"/>
      <c r="K1206" s="17">
        <f t="shared" si="114"/>
        <v>0</v>
      </c>
      <c r="N1206" s="31" t="str">
        <f t="shared" si="111"/>
        <v>-</v>
      </c>
      <c r="O1206" s="31" t="str">
        <f t="shared" si="113"/>
        <v>-</v>
      </c>
      <c r="P1206" s="35" t="str">
        <f t="shared" si="112"/>
        <v>-</v>
      </c>
      <c r="Q1206" s="32" t="str">
        <f t="shared" si="115"/>
        <v>-</v>
      </c>
      <c r="S1206" s="32" t="str">
        <f t="shared" si="116"/>
        <v>-</v>
      </c>
    </row>
    <row r="1207" spans="1:19" x14ac:dyDescent="0.3">
      <c r="A1207" s="45" t="s">
        <v>3467</v>
      </c>
      <c r="B1207" s="40" t="s">
        <v>2297</v>
      </c>
      <c r="C1207" s="41" t="s">
        <v>2292</v>
      </c>
      <c r="D1207" s="21" t="s">
        <v>2223</v>
      </c>
      <c r="E1207" s="21" t="s">
        <v>2244</v>
      </c>
      <c r="F1207" s="24">
        <v>8.666260222491666E-2</v>
      </c>
      <c r="G1207" s="21">
        <v>12</v>
      </c>
      <c r="H1207" s="17">
        <v>41.39</v>
      </c>
      <c r="I1207" s="43" t="s">
        <v>3950</v>
      </c>
      <c r="J1207" s="26"/>
      <c r="K1207" s="17">
        <f t="shared" si="114"/>
        <v>0</v>
      </c>
      <c r="N1207" s="31" t="str">
        <f t="shared" si="111"/>
        <v>-</v>
      </c>
      <c r="O1207" s="31" t="str">
        <f t="shared" si="113"/>
        <v>-</v>
      </c>
      <c r="P1207" s="35" t="str">
        <f t="shared" si="112"/>
        <v>-</v>
      </c>
      <c r="Q1207" s="32" t="str">
        <f t="shared" si="115"/>
        <v>-</v>
      </c>
      <c r="S1207" s="32" t="str">
        <f t="shared" si="116"/>
        <v>-</v>
      </c>
    </row>
    <row r="1208" spans="1:19" x14ac:dyDescent="0.3">
      <c r="A1208" s="45" t="s">
        <v>3468</v>
      </c>
      <c r="B1208" s="40" t="s">
        <v>2298</v>
      </c>
      <c r="C1208" s="41" t="s">
        <v>2292</v>
      </c>
      <c r="D1208" s="21" t="s">
        <v>2224</v>
      </c>
      <c r="E1208" s="21" t="s">
        <v>2244</v>
      </c>
      <c r="F1208" s="24">
        <v>3.7324982146375002E-2</v>
      </c>
      <c r="G1208" s="21">
        <v>12</v>
      </c>
      <c r="H1208" s="17">
        <v>81.3</v>
      </c>
      <c r="I1208" s="43" t="s">
        <v>3950</v>
      </c>
      <c r="J1208" s="26"/>
      <c r="K1208" s="17">
        <f t="shared" si="114"/>
        <v>0</v>
      </c>
      <c r="N1208" s="31" t="str">
        <f t="shared" si="111"/>
        <v>-</v>
      </c>
      <c r="O1208" s="31" t="str">
        <f t="shared" si="113"/>
        <v>-</v>
      </c>
      <c r="P1208" s="35" t="str">
        <f t="shared" si="112"/>
        <v>-</v>
      </c>
      <c r="Q1208" s="32" t="str">
        <f t="shared" si="115"/>
        <v>-</v>
      </c>
      <c r="S1208" s="32" t="str">
        <f t="shared" si="116"/>
        <v>-</v>
      </c>
    </row>
    <row r="1209" spans="1:19" x14ac:dyDescent="0.3">
      <c r="A1209" s="45" t="s">
        <v>3469</v>
      </c>
      <c r="B1209" s="40" t="s">
        <v>78</v>
      </c>
      <c r="C1209" s="41" t="s">
        <v>2050</v>
      </c>
      <c r="D1209" s="21" t="s">
        <v>2227</v>
      </c>
      <c r="E1209" s="21" t="s">
        <v>2234</v>
      </c>
      <c r="F1209" s="24">
        <v>0.21880161947875001</v>
      </c>
      <c r="G1209" s="21">
        <v>12</v>
      </c>
      <c r="H1209" s="17">
        <v>7.79</v>
      </c>
      <c r="I1209" s="43" t="s">
        <v>3950</v>
      </c>
      <c r="J1209" s="26"/>
      <c r="K1209" s="17">
        <f t="shared" si="114"/>
        <v>0</v>
      </c>
      <c r="N1209" s="31" t="str">
        <f t="shared" si="111"/>
        <v>-</v>
      </c>
      <c r="O1209" s="31" t="str">
        <f t="shared" si="113"/>
        <v>-</v>
      </c>
      <c r="P1209" s="35" t="str">
        <f t="shared" si="112"/>
        <v>-</v>
      </c>
      <c r="Q1209" s="32" t="str">
        <f t="shared" si="115"/>
        <v>-</v>
      </c>
      <c r="S1209" s="32" t="str">
        <f t="shared" si="116"/>
        <v>-</v>
      </c>
    </row>
    <row r="1210" spans="1:19" x14ac:dyDescent="0.3">
      <c r="A1210" s="45" t="s">
        <v>3470</v>
      </c>
      <c r="B1210" s="40" t="s">
        <v>901</v>
      </c>
      <c r="C1210" s="41" t="s">
        <v>2050</v>
      </c>
      <c r="D1210" s="21" t="s">
        <v>2233</v>
      </c>
      <c r="E1210" s="21" t="s">
        <v>2234</v>
      </c>
      <c r="F1210" s="24">
        <v>0.40885871247695826</v>
      </c>
      <c r="G1210" s="21">
        <v>12</v>
      </c>
      <c r="H1210" s="17">
        <v>14.7</v>
      </c>
      <c r="I1210" s="43" t="s">
        <v>3950</v>
      </c>
      <c r="J1210" s="26"/>
      <c r="K1210" s="17">
        <f t="shared" si="114"/>
        <v>0</v>
      </c>
      <c r="N1210" s="31" t="str">
        <f t="shared" si="111"/>
        <v>-</v>
      </c>
      <c r="O1210" s="31" t="str">
        <f t="shared" si="113"/>
        <v>-</v>
      </c>
      <c r="P1210" s="35" t="str">
        <f t="shared" si="112"/>
        <v>-</v>
      </c>
      <c r="Q1210" s="32" t="str">
        <f t="shared" si="115"/>
        <v>-</v>
      </c>
      <c r="S1210" s="32" t="str">
        <f t="shared" si="116"/>
        <v>-</v>
      </c>
    </row>
    <row r="1211" spans="1:19" x14ac:dyDescent="0.3">
      <c r="A1211" s="45" t="s">
        <v>3471</v>
      </c>
      <c r="B1211" s="40" t="s">
        <v>878</v>
      </c>
      <c r="C1211" s="41" t="s">
        <v>1994</v>
      </c>
      <c r="D1211" s="21" t="s">
        <v>2226</v>
      </c>
      <c r="E1211" s="21" t="s">
        <v>2222</v>
      </c>
      <c r="F1211" s="24">
        <v>0.30289008500391662</v>
      </c>
      <c r="G1211" s="21">
        <v>12</v>
      </c>
      <c r="H1211" s="17">
        <v>59.99</v>
      </c>
      <c r="I1211" s="43" t="s">
        <v>3950</v>
      </c>
      <c r="J1211" s="26"/>
      <c r="K1211" s="17">
        <f t="shared" si="114"/>
        <v>0</v>
      </c>
      <c r="N1211" s="31" t="str">
        <f t="shared" ref="N1211:N1274" si="117">IFERROR(IF($N$2*F1211=0, "-", $N$2*F1211), "-")</f>
        <v>-</v>
      </c>
      <c r="O1211" s="31" t="str">
        <f t="shared" si="113"/>
        <v>-</v>
      </c>
      <c r="P1211" s="35" t="str">
        <f t="shared" ref="P1211:P1274" si="118">IF(J1211&gt;0,J1211*F1211, "-")</f>
        <v>-</v>
      </c>
      <c r="Q1211" s="32" t="str">
        <f t="shared" si="115"/>
        <v>-</v>
      </c>
      <c r="S1211" s="32" t="str">
        <f t="shared" si="116"/>
        <v>-</v>
      </c>
    </row>
    <row r="1212" spans="1:19" x14ac:dyDescent="0.3">
      <c r="A1212" s="45" t="s">
        <v>3472</v>
      </c>
      <c r="B1212" s="40" t="s">
        <v>594</v>
      </c>
      <c r="C1212" s="41" t="s">
        <v>2034</v>
      </c>
      <c r="D1212" s="21" t="s">
        <v>2225</v>
      </c>
      <c r="E1212" s="21" t="s">
        <v>2234</v>
      </c>
      <c r="F1212" s="24">
        <v>0.12012637932166667</v>
      </c>
      <c r="G1212" s="21">
        <v>12</v>
      </c>
      <c r="H1212" s="17">
        <v>15.9</v>
      </c>
      <c r="I1212" s="43" t="s">
        <v>3950</v>
      </c>
      <c r="J1212" s="26"/>
      <c r="K1212" s="17">
        <f t="shared" si="114"/>
        <v>0</v>
      </c>
      <c r="N1212" s="31" t="str">
        <f t="shared" si="117"/>
        <v>-</v>
      </c>
      <c r="O1212" s="31" t="str">
        <f t="shared" si="113"/>
        <v>-</v>
      </c>
      <c r="P1212" s="35" t="str">
        <f t="shared" si="118"/>
        <v>-</v>
      </c>
      <c r="Q1212" s="32" t="str">
        <f t="shared" si="115"/>
        <v>-</v>
      </c>
      <c r="S1212" s="32" t="str">
        <f t="shared" si="116"/>
        <v>-</v>
      </c>
    </row>
    <row r="1213" spans="1:19" x14ac:dyDescent="0.3">
      <c r="A1213" s="45" t="s">
        <v>3473</v>
      </c>
      <c r="B1213" s="40" t="s">
        <v>95</v>
      </c>
      <c r="C1213" s="41" t="s">
        <v>1969</v>
      </c>
      <c r="D1213" s="21" t="s">
        <v>2227</v>
      </c>
      <c r="E1213" s="21" t="s">
        <v>2222</v>
      </c>
      <c r="F1213" s="24">
        <v>0.14329360961941667</v>
      </c>
      <c r="G1213" s="21">
        <v>12</v>
      </c>
      <c r="H1213" s="17">
        <v>35.39</v>
      </c>
      <c r="I1213" s="43" t="s">
        <v>3950</v>
      </c>
      <c r="J1213" s="26"/>
      <c r="K1213" s="17">
        <f t="shared" si="114"/>
        <v>0</v>
      </c>
      <c r="N1213" s="31" t="str">
        <f t="shared" si="117"/>
        <v>-</v>
      </c>
      <c r="O1213" s="31" t="str">
        <f t="shared" ref="O1213:O1276" si="119">IFERROR(IF(N1213&gt;0,H1213+N1213,"-"),"-")</f>
        <v>-</v>
      </c>
      <c r="P1213" s="35" t="str">
        <f t="shared" si="118"/>
        <v>-</v>
      </c>
      <c r="Q1213" s="32" t="str">
        <f t="shared" si="115"/>
        <v>-</v>
      </c>
      <c r="S1213" s="32" t="str">
        <f t="shared" si="116"/>
        <v>-</v>
      </c>
    </row>
    <row r="1214" spans="1:19" x14ac:dyDescent="0.3">
      <c r="A1214" s="45" t="s">
        <v>3476</v>
      </c>
      <c r="B1214" s="40" t="s">
        <v>1240</v>
      </c>
      <c r="C1214" s="41" t="s">
        <v>1942</v>
      </c>
      <c r="D1214" s="21" t="s">
        <v>2226</v>
      </c>
      <c r="E1214" s="21" t="s">
        <v>2222</v>
      </c>
      <c r="F1214" s="24">
        <v>0.24969125987575003</v>
      </c>
      <c r="G1214" s="21">
        <v>12</v>
      </c>
      <c r="H1214" s="17">
        <v>25.19</v>
      </c>
      <c r="I1214" s="43" t="s">
        <v>3950</v>
      </c>
      <c r="J1214" s="26"/>
      <c r="K1214" s="17">
        <f t="shared" si="114"/>
        <v>0</v>
      </c>
      <c r="N1214" s="31" t="str">
        <f t="shared" si="117"/>
        <v>-</v>
      </c>
      <c r="O1214" s="31" t="str">
        <f t="shared" si="119"/>
        <v>-</v>
      </c>
      <c r="P1214" s="35" t="str">
        <f t="shared" si="118"/>
        <v>-</v>
      </c>
      <c r="Q1214" s="32" t="str">
        <f t="shared" si="115"/>
        <v>-</v>
      </c>
      <c r="S1214" s="32" t="str">
        <f t="shared" si="116"/>
        <v>-</v>
      </c>
    </row>
    <row r="1215" spans="1:19" x14ac:dyDescent="0.3">
      <c r="A1215" s="45" t="s">
        <v>3477</v>
      </c>
      <c r="B1215" s="40" t="s">
        <v>1267</v>
      </c>
      <c r="C1215" s="41" t="s">
        <v>2052</v>
      </c>
      <c r="D1215" s="21" t="s">
        <v>2224</v>
      </c>
      <c r="E1215" s="21" t="s">
        <v>2222</v>
      </c>
      <c r="F1215" s="24">
        <v>0.14157751848625</v>
      </c>
      <c r="G1215" s="21">
        <v>12</v>
      </c>
      <c r="H1215" s="17">
        <v>9.9</v>
      </c>
      <c r="I1215" s="43" t="s">
        <v>3950</v>
      </c>
      <c r="J1215" s="26"/>
      <c r="K1215" s="17">
        <f t="shared" si="114"/>
        <v>0</v>
      </c>
      <c r="N1215" s="31" t="str">
        <f t="shared" si="117"/>
        <v>-</v>
      </c>
      <c r="O1215" s="31" t="str">
        <f t="shared" si="119"/>
        <v>-</v>
      </c>
      <c r="P1215" s="35" t="str">
        <f t="shared" si="118"/>
        <v>-</v>
      </c>
      <c r="Q1215" s="32" t="str">
        <f t="shared" si="115"/>
        <v>-</v>
      </c>
      <c r="S1215" s="32" t="str">
        <f t="shared" si="116"/>
        <v>-</v>
      </c>
    </row>
    <row r="1216" spans="1:19" x14ac:dyDescent="0.3">
      <c r="A1216" s="45" t="s">
        <v>3478</v>
      </c>
      <c r="B1216" s="40" t="s">
        <v>75</v>
      </c>
      <c r="C1216" s="41" t="s">
        <v>2052</v>
      </c>
      <c r="D1216" s="21" t="s">
        <v>2227</v>
      </c>
      <c r="E1216" s="21" t="s">
        <v>2222</v>
      </c>
      <c r="F1216" s="24">
        <v>0.22909816627775001</v>
      </c>
      <c r="G1216" s="21">
        <v>12</v>
      </c>
      <c r="H1216" s="17">
        <v>18.59</v>
      </c>
      <c r="I1216" s="43" t="s">
        <v>3950</v>
      </c>
      <c r="J1216" s="26"/>
      <c r="K1216" s="17">
        <f t="shared" si="114"/>
        <v>0</v>
      </c>
      <c r="N1216" s="31" t="str">
        <f t="shared" si="117"/>
        <v>-</v>
      </c>
      <c r="O1216" s="31" t="str">
        <f t="shared" si="119"/>
        <v>-</v>
      </c>
      <c r="P1216" s="35" t="str">
        <f t="shared" si="118"/>
        <v>-</v>
      </c>
      <c r="Q1216" s="32" t="str">
        <f t="shared" si="115"/>
        <v>-</v>
      </c>
      <c r="S1216" s="32" t="str">
        <f t="shared" si="116"/>
        <v>-</v>
      </c>
    </row>
    <row r="1217" spans="1:19" x14ac:dyDescent="0.3">
      <c r="A1217" s="45" t="s">
        <v>3479</v>
      </c>
      <c r="B1217" s="40" t="s">
        <v>2299</v>
      </c>
      <c r="C1217" s="41" t="s">
        <v>2300</v>
      </c>
      <c r="D1217" s="21" t="s">
        <v>2223</v>
      </c>
      <c r="E1217" s="21" t="s">
        <v>2234</v>
      </c>
      <c r="F1217" s="24">
        <v>3.5179868229916665E-2</v>
      </c>
      <c r="G1217" s="21">
        <v>12</v>
      </c>
      <c r="H1217" s="17">
        <v>31.35</v>
      </c>
      <c r="I1217" s="43" t="s">
        <v>3950</v>
      </c>
      <c r="J1217" s="26"/>
      <c r="K1217" s="17">
        <f t="shared" si="114"/>
        <v>0</v>
      </c>
      <c r="N1217" s="31" t="str">
        <f t="shared" si="117"/>
        <v>-</v>
      </c>
      <c r="O1217" s="31" t="str">
        <f t="shared" si="119"/>
        <v>-</v>
      </c>
      <c r="P1217" s="35" t="str">
        <f t="shared" si="118"/>
        <v>-</v>
      </c>
      <c r="Q1217" s="32" t="str">
        <f t="shared" si="115"/>
        <v>-</v>
      </c>
      <c r="S1217" s="32" t="str">
        <f t="shared" si="116"/>
        <v>-</v>
      </c>
    </row>
    <row r="1218" spans="1:19" x14ac:dyDescent="0.3">
      <c r="A1218" s="45" t="s">
        <v>3480</v>
      </c>
      <c r="B1218" s="40" t="s">
        <v>2301</v>
      </c>
      <c r="C1218" s="41" t="s">
        <v>2300</v>
      </c>
      <c r="D1218" s="21" t="s">
        <v>2224</v>
      </c>
      <c r="E1218" s="21" t="s">
        <v>2234</v>
      </c>
      <c r="F1218" s="24">
        <v>6.1779280794000004E-2</v>
      </c>
      <c r="G1218" s="21">
        <v>12</v>
      </c>
      <c r="H1218" s="17">
        <v>59.99</v>
      </c>
      <c r="I1218" s="43" t="s">
        <v>3950</v>
      </c>
      <c r="J1218" s="26"/>
      <c r="K1218" s="17">
        <f t="shared" si="114"/>
        <v>0</v>
      </c>
      <c r="N1218" s="31" t="str">
        <f t="shared" si="117"/>
        <v>-</v>
      </c>
      <c r="O1218" s="31" t="str">
        <f t="shared" si="119"/>
        <v>-</v>
      </c>
      <c r="P1218" s="35" t="str">
        <f t="shared" si="118"/>
        <v>-</v>
      </c>
      <c r="Q1218" s="32" t="str">
        <f t="shared" si="115"/>
        <v>-</v>
      </c>
      <c r="S1218" s="32" t="str">
        <f t="shared" si="116"/>
        <v>-</v>
      </c>
    </row>
    <row r="1219" spans="1:19" x14ac:dyDescent="0.3">
      <c r="A1219" s="45" t="s">
        <v>3481</v>
      </c>
      <c r="B1219" s="40" t="s">
        <v>120</v>
      </c>
      <c r="C1219" s="41" t="s">
        <v>2051</v>
      </c>
      <c r="D1219" s="21" t="s">
        <v>2233</v>
      </c>
      <c r="E1219" s="21" t="s">
        <v>2222</v>
      </c>
      <c r="F1219" s="24">
        <v>0.57145834734450007</v>
      </c>
      <c r="G1219" s="21">
        <v>12</v>
      </c>
      <c r="H1219" s="17">
        <v>26.39</v>
      </c>
      <c r="I1219" s="43" t="s">
        <v>3950</v>
      </c>
      <c r="J1219" s="26"/>
      <c r="K1219" s="17">
        <f t="shared" si="114"/>
        <v>0</v>
      </c>
      <c r="N1219" s="31" t="str">
        <f t="shared" si="117"/>
        <v>-</v>
      </c>
      <c r="O1219" s="31" t="str">
        <f t="shared" si="119"/>
        <v>-</v>
      </c>
      <c r="P1219" s="35" t="str">
        <f t="shared" si="118"/>
        <v>-</v>
      </c>
      <c r="Q1219" s="32" t="str">
        <f t="shared" si="115"/>
        <v>-</v>
      </c>
      <c r="S1219" s="32" t="str">
        <f t="shared" si="116"/>
        <v>-</v>
      </c>
    </row>
    <row r="1220" spans="1:19" x14ac:dyDescent="0.3">
      <c r="A1220" s="45" t="s">
        <v>3482</v>
      </c>
      <c r="B1220" s="40" t="s">
        <v>1584</v>
      </c>
      <c r="C1220" s="41" t="s">
        <v>2053</v>
      </c>
      <c r="D1220" s="21" t="s">
        <v>2268</v>
      </c>
      <c r="E1220" s="21" t="s">
        <v>2260</v>
      </c>
      <c r="F1220" s="24">
        <v>7.7224100992499989E-2</v>
      </c>
      <c r="G1220" s="21">
        <v>12</v>
      </c>
      <c r="H1220" s="17">
        <v>5.0999999999999996</v>
      </c>
      <c r="I1220" s="43" t="s">
        <v>3950</v>
      </c>
      <c r="J1220" s="26"/>
      <c r="K1220" s="17">
        <f t="shared" si="114"/>
        <v>0</v>
      </c>
      <c r="N1220" s="31" t="str">
        <f t="shared" si="117"/>
        <v>-</v>
      </c>
      <c r="O1220" s="31" t="str">
        <f t="shared" si="119"/>
        <v>-</v>
      </c>
      <c r="P1220" s="35" t="str">
        <f t="shared" si="118"/>
        <v>-</v>
      </c>
      <c r="Q1220" s="32" t="str">
        <f t="shared" si="115"/>
        <v>-</v>
      </c>
      <c r="S1220" s="32" t="str">
        <f t="shared" si="116"/>
        <v>-</v>
      </c>
    </row>
    <row r="1221" spans="1:19" x14ac:dyDescent="0.3">
      <c r="A1221" s="45" t="s">
        <v>3483</v>
      </c>
      <c r="B1221" s="40" t="s">
        <v>288</v>
      </c>
      <c r="C1221" s="41" t="s">
        <v>2054</v>
      </c>
      <c r="D1221" s="21" t="s">
        <v>2224</v>
      </c>
      <c r="E1221" s="21" t="s">
        <v>2234</v>
      </c>
      <c r="F1221" s="24">
        <v>9.009478449125001E-2</v>
      </c>
      <c r="G1221" s="21">
        <v>12</v>
      </c>
      <c r="H1221" s="17">
        <v>6.9</v>
      </c>
      <c r="I1221" s="43" t="s">
        <v>3950</v>
      </c>
      <c r="J1221" s="26"/>
      <c r="K1221" s="17">
        <f t="shared" si="114"/>
        <v>0</v>
      </c>
      <c r="N1221" s="31" t="str">
        <f t="shared" si="117"/>
        <v>-</v>
      </c>
      <c r="O1221" s="31" t="str">
        <f t="shared" si="119"/>
        <v>-</v>
      </c>
      <c r="P1221" s="35" t="str">
        <f t="shared" si="118"/>
        <v>-</v>
      </c>
      <c r="Q1221" s="32" t="str">
        <f t="shared" si="115"/>
        <v>-</v>
      </c>
      <c r="S1221" s="32" t="str">
        <f t="shared" si="116"/>
        <v>-</v>
      </c>
    </row>
    <row r="1222" spans="1:19" x14ac:dyDescent="0.3">
      <c r="A1222" s="45" t="s">
        <v>3484</v>
      </c>
      <c r="B1222" s="40" t="s">
        <v>104</v>
      </c>
      <c r="C1222" s="41" t="s">
        <v>2054</v>
      </c>
      <c r="D1222" s="21" t="s">
        <v>2227</v>
      </c>
      <c r="E1222" s="21" t="s">
        <v>2234</v>
      </c>
      <c r="F1222" s="24">
        <v>0.14672579188575002</v>
      </c>
      <c r="G1222" s="21">
        <v>12</v>
      </c>
      <c r="H1222" s="17">
        <v>12.9</v>
      </c>
      <c r="I1222" s="43" t="s">
        <v>3950</v>
      </c>
      <c r="J1222" s="26"/>
      <c r="K1222" s="17">
        <f t="shared" si="114"/>
        <v>0</v>
      </c>
      <c r="N1222" s="31" t="str">
        <f t="shared" si="117"/>
        <v>-</v>
      </c>
      <c r="O1222" s="31" t="str">
        <f t="shared" si="119"/>
        <v>-</v>
      </c>
      <c r="P1222" s="35" t="str">
        <f t="shared" si="118"/>
        <v>-</v>
      </c>
      <c r="Q1222" s="32" t="str">
        <f t="shared" si="115"/>
        <v>-</v>
      </c>
      <c r="S1222" s="32" t="str">
        <f t="shared" si="116"/>
        <v>-</v>
      </c>
    </row>
    <row r="1223" spans="1:19" x14ac:dyDescent="0.3">
      <c r="A1223" s="45" t="s">
        <v>3485</v>
      </c>
      <c r="B1223" s="40" t="s">
        <v>1286</v>
      </c>
      <c r="C1223" s="41" t="s">
        <v>2054</v>
      </c>
      <c r="D1223" s="21" t="s">
        <v>2233</v>
      </c>
      <c r="E1223" s="21" t="s">
        <v>2234</v>
      </c>
      <c r="F1223" s="24">
        <v>0.2029277764969584</v>
      </c>
      <c r="G1223" s="21">
        <v>12</v>
      </c>
      <c r="H1223" s="17">
        <v>24.59</v>
      </c>
      <c r="I1223" s="43" t="s">
        <v>3950</v>
      </c>
      <c r="J1223" s="26"/>
      <c r="K1223" s="17">
        <f t="shared" si="114"/>
        <v>0</v>
      </c>
      <c r="N1223" s="31" t="str">
        <f t="shared" si="117"/>
        <v>-</v>
      </c>
      <c r="O1223" s="31" t="str">
        <f t="shared" si="119"/>
        <v>-</v>
      </c>
      <c r="P1223" s="35" t="str">
        <f t="shared" si="118"/>
        <v>-</v>
      </c>
      <c r="Q1223" s="32" t="str">
        <f t="shared" si="115"/>
        <v>-</v>
      </c>
      <c r="S1223" s="32" t="str">
        <f t="shared" si="116"/>
        <v>-</v>
      </c>
    </row>
    <row r="1224" spans="1:19" x14ac:dyDescent="0.3">
      <c r="A1224" s="45" t="s">
        <v>3486</v>
      </c>
      <c r="B1224" s="40" t="s">
        <v>2302</v>
      </c>
      <c r="C1224" s="41" t="s">
        <v>2303</v>
      </c>
      <c r="D1224" s="21" t="s">
        <v>2223</v>
      </c>
      <c r="E1224" s="21" t="s">
        <v>2234</v>
      </c>
      <c r="F1224" s="24">
        <v>9.7817194590499992E-2</v>
      </c>
      <c r="G1224" s="21">
        <v>12</v>
      </c>
      <c r="H1224" s="17">
        <v>59.99</v>
      </c>
      <c r="I1224" s="43" t="s">
        <v>3950</v>
      </c>
      <c r="J1224" s="26"/>
      <c r="K1224" s="17">
        <f t="shared" si="114"/>
        <v>0</v>
      </c>
      <c r="N1224" s="31" t="str">
        <f t="shared" si="117"/>
        <v>-</v>
      </c>
      <c r="O1224" s="31" t="str">
        <f t="shared" si="119"/>
        <v>-</v>
      </c>
      <c r="P1224" s="35" t="str">
        <f t="shared" si="118"/>
        <v>-</v>
      </c>
      <c r="Q1224" s="32" t="str">
        <f t="shared" si="115"/>
        <v>-</v>
      </c>
      <c r="S1224" s="32" t="str">
        <f t="shared" si="116"/>
        <v>-</v>
      </c>
    </row>
    <row r="1225" spans="1:19" x14ac:dyDescent="0.3">
      <c r="A1225" s="45" t="s">
        <v>3487</v>
      </c>
      <c r="B1225" s="40" t="s">
        <v>2304</v>
      </c>
      <c r="C1225" s="41" t="s">
        <v>2303</v>
      </c>
      <c r="D1225" s="21" t="s">
        <v>2224</v>
      </c>
      <c r="E1225" s="21" t="s">
        <v>2234</v>
      </c>
      <c r="F1225" s="24">
        <v>0.10039133129024999</v>
      </c>
      <c r="G1225" s="21">
        <v>12</v>
      </c>
      <c r="H1225" s="17">
        <v>118.79</v>
      </c>
      <c r="I1225" s="43" t="s">
        <v>3950</v>
      </c>
      <c r="J1225" s="26"/>
      <c r="K1225" s="17">
        <f t="shared" si="114"/>
        <v>0</v>
      </c>
      <c r="N1225" s="31" t="str">
        <f t="shared" si="117"/>
        <v>-</v>
      </c>
      <c r="O1225" s="31" t="str">
        <f t="shared" si="119"/>
        <v>-</v>
      </c>
      <c r="P1225" s="35" t="str">
        <f t="shared" si="118"/>
        <v>-</v>
      </c>
      <c r="Q1225" s="32" t="str">
        <f t="shared" si="115"/>
        <v>-</v>
      </c>
      <c r="S1225" s="32" t="str">
        <f t="shared" si="116"/>
        <v>-</v>
      </c>
    </row>
    <row r="1226" spans="1:19" x14ac:dyDescent="0.3">
      <c r="A1226" s="45" t="s">
        <v>3488</v>
      </c>
      <c r="B1226" s="40" t="s">
        <v>1188</v>
      </c>
      <c r="C1226" s="41" t="s">
        <v>2055</v>
      </c>
      <c r="D1226" s="21" t="s">
        <v>2223</v>
      </c>
      <c r="E1226" s="21" t="s">
        <v>2222</v>
      </c>
      <c r="F1226" s="24">
        <v>6.0921235227416673E-2</v>
      </c>
      <c r="G1226" s="21">
        <v>12</v>
      </c>
      <c r="H1226" s="17">
        <v>8.1</v>
      </c>
      <c r="I1226" s="43" t="s">
        <v>3950</v>
      </c>
      <c r="J1226" s="26"/>
      <c r="K1226" s="17">
        <f t="shared" si="114"/>
        <v>0</v>
      </c>
      <c r="N1226" s="31" t="str">
        <f t="shared" si="117"/>
        <v>-</v>
      </c>
      <c r="O1226" s="31" t="str">
        <f t="shared" si="119"/>
        <v>-</v>
      </c>
      <c r="P1226" s="35" t="str">
        <f t="shared" si="118"/>
        <v>-</v>
      </c>
      <c r="Q1226" s="32" t="str">
        <f t="shared" si="115"/>
        <v>-</v>
      </c>
      <c r="S1226" s="32" t="str">
        <f t="shared" si="116"/>
        <v>-</v>
      </c>
    </row>
    <row r="1227" spans="1:19" x14ac:dyDescent="0.3">
      <c r="A1227" s="45" t="s">
        <v>3489</v>
      </c>
      <c r="B1227" s="40" t="s">
        <v>1195</v>
      </c>
      <c r="C1227" s="41" t="s">
        <v>2055</v>
      </c>
      <c r="D1227" s="21" t="s">
        <v>2224</v>
      </c>
      <c r="E1227" s="21" t="s">
        <v>2222</v>
      </c>
      <c r="F1227" s="24">
        <v>8.7520647791500011E-2</v>
      </c>
      <c r="G1227" s="21">
        <v>12</v>
      </c>
      <c r="H1227" s="17">
        <v>15.15</v>
      </c>
      <c r="I1227" s="43" t="s">
        <v>3950</v>
      </c>
      <c r="J1227" s="26"/>
      <c r="K1227" s="17">
        <f t="shared" si="114"/>
        <v>0</v>
      </c>
      <c r="N1227" s="31" t="str">
        <f t="shared" si="117"/>
        <v>-</v>
      </c>
      <c r="O1227" s="31" t="str">
        <f t="shared" si="119"/>
        <v>-</v>
      </c>
      <c r="P1227" s="35" t="str">
        <f t="shared" si="118"/>
        <v>-</v>
      </c>
      <c r="Q1227" s="32" t="str">
        <f t="shared" si="115"/>
        <v>-</v>
      </c>
      <c r="S1227" s="32" t="str">
        <f t="shared" si="116"/>
        <v>-</v>
      </c>
    </row>
    <row r="1228" spans="1:19" x14ac:dyDescent="0.3">
      <c r="A1228" s="45" t="s">
        <v>3490</v>
      </c>
      <c r="B1228" s="40" t="s">
        <v>314</v>
      </c>
      <c r="C1228" s="41" t="s">
        <v>2055</v>
      </c>
      <c r="D1228" s="21" t="s">
        <v>2227</v>
      </c>
      <c r="E1228" s="21" t="s">
        <v>2222</v>
      </c>
      <c r="F1228" s="24">
        <v>0.1381453362199167</v>
      </c>
      <c r="G1228" s="21">
        <v>12</v>
      </c>
      <c r="H1228" s="17">
        <v>29.55</v>
      </c>
      <c r="I1228" s="43" t="s">
        <v>3950</v>
      </c>
      <c r="J1228" s="26"/>
      <c r="K1228" s="17">
        <f t="shared" si="114"/>
        <v>0</v>
      </c>
      <c r="N1228" s="31" t="str">
        <f t="shared" si="117"/>
        <v>-</v>
      </c>
      <c r="O1228" s="31" t="str">
        <f t="shared" si="119"/>
        <v>-</v>
      </c>
      <c r="P1228" s="35" t="str">
        <f t="shared" si="118"/>
        <v>-</v>
      </c>
      <c r="Q1228" s="32" t="str">
        <f t="shared" si="115"/>
        <v>-</v>
      </c>
      <c r="S1228" s="32" t="str">
        <f t="shared" si="116"/>
        <v>-</v>
      </c>
    </row>
    <row r="1229" spans="1:19" x14ac:dyDescent="0.3">
      <c r="A1229" s="45" t="s">
        <v>3491</v>
      </c>
      <c r="B1229" s="40" t="s">
        <v>995</v>
      </c>
      <c r="C1229" s="41" t="s">
        <v>2056</v>
      </c>
      <c r="D1229" s="21" t="s">
        <v>2225</v>
      </c>
      <c r="E1229" s="21" t="s">
        <v>2234</v>
      </c>
      <c r="F1229" s="24">
        <v>0.17160911331666664</v>
      </c>
      <c r="G1229" s="21">
        <v>12</v>
      </c>
      <c r="H1229" s="17">
        <v>8.39</v>
      </c>
      <c r="I1229" s="43" t="s">
        <v>3950</v>
      </c>
      <c r="J1229" s="26"/>
      <c r="K1229" s="17">
        <f t="shared" si="114"/>
        <v>0</v>
      </c>
      <c r="N1229" s="31" t="str">
        <f t="shared" si="117"/>
        <v>-</v>
      </c>
      <c r="O1229" s="31" t="str">
        <f t="shared" si="119"/>
        <v>-</v>
      </c>
      <c r="P1229" s="35" t="str">
        <f t="shared" si="118"/>
        <v>-</v>
      </c>
      <c r="Q1229" s="32" t="str">
        <f t="shared" si="115"/>
        <v>-</v>
      </c>
      <c r="S1229" s="32" t="str">
        <f t="shared" si="116"/>
        <v>-</v>
      </c>
    </row>
    <row r="1230" spans="1:19" x14ac:dyDescent="0.3">
      <c r="A1230" s="45" t="s">
        <v>3492</v>
      </c>
      <c r="B1230" s="40" t="s">
        <v>953</v>
      </c>
      <c r="C1230" s="41" t="s">
        <v>2056</v>
      </c>
      <c r="D1230" s="21" t="s">
        <v>2226</v>
      </c>
      <c r="E1230" s="21" t="s">
        <v>2234</v>
      </c>
      <c r="F1230" s="24">
        <v>0.30546422170366666</v>
      </c>
      <c r="G1230" s="21">
        <v>12</v>
      </c>
      <c r="H1230" s="17">
        <v>15.9</v>
      </c>
      <c r="I1230" s="43" t="s">
        <v>3950</v>
      </c>
      <c r="J1230" s="26"/>
      <c r="K1230" s="17">
        <f t="shared" si="114"/>
        <v>0</v>
      </c>
      <c r="N1230" s="31" t="str">
        <f t="shared" si="117"/>
        <v>-</v>
      </c>
      <c r="O1230" s="31" t="str">
        <f t="shared" si="119"/>
        <v>-</v>
      </c>
      <c r="P1230" s="35" t="str">
        <f t="shared" si="118"/>
        <v>-</v>
      </c>
      <c r="Q1230" s="32" t="str">
        <f t="shared" si="115"/>
        <v>-</v>
      </c>
      <c r="S1230" s="32" t="str">
        <f t="shared" si="116"/>
        <v>-</v>
      </c>
    </row>
    <row r="1231" spans="1:19" x14ac:dyDescent="0.3">
      <c r="A1231" s="45" t="s">
        <v>3493</v>
      </c>
      <c r="B1231" s="40" t="s">
        <v>1235</v>
      </c>
      <c r="C1231" s="41" t="s">
        <v>2057</v>
      </c>
      <c r="D1231" s="21" t="s">
        <v>2223</v>
      </c>
      <c r="E1231" s="21" t="s">
        <v>2222</v>
      </c>
      <c r="F1231" s="24">
        <v>6.0921235227416673E-2</v>
      </c>
      <c r="G1231" s="21">
        <v>12</v>
      </c>
      <c r="H1231" s="17">
        <v>14.39</v>
      </c>
      <c r="I1231" s="43" t="s">
        <v>3950</v>
      </c>
      <c r="J1231" s="26"/>
      <c r="K1231" s="17">
        <f t="shared" si="114"/>
        <v>0</v>
      </c>
      <c r="N1231" s="31" t="str">
        <f t="shared" si="117"/>
        <v>-</v>
      </c>
      <c r="O1231" s="31" t="str">
        <f t="shared" si="119"/>
        <v>-</v>
      </c>
      <c r="P1231" s="35" t="str">
        <f t="shared" si="118"/>
        <v>-</v>
      </c>
      <c r="Q1231" s="32" t="str">
        <f t="shared" si="115"/>
        <v>-</v>
      </c>
      <c r="S1231" s="32" t="str">
        <f t="shared" si="116"/>
        <v>-</v>
      </c>
    </row>
    <row r="1232" spans="1:19" x14ac:dyDescent="0.3">
      <c r="A1232" s="45" t="s">
        <v>3494</v>
      </c>
      <c r="B1232" s="40" t="s">
        <v>453</v>
      </c>
      <c r="C1232" s="41" t="s">
        <v>2057</v>
      </c>
      <c r="D1232" s="21" t="s">
        <v>2224</v>
      </c>
      <c r="E1232" s="21" t="s">
        <v>2222</v>
      </c>
      <c r="F1232" s="24">
        <v>8.7520647791500011E-2</v>
      </c>
      <c r="G1232" s="21">
        <v>12</v>
      </c>
      <c r="H1232" s="17">
        <v>27.9</v>
      </c>
      <c r="I1232" s="43" t="s">
        <v>3950</v>
      </c>
      <c r="J1232" s="26"/>
      <c r="K1232" s="17">
        <f t="shared" si="114"/>
        <v>0</v>
      </c>
      <c r="N1232" s="31" t="str">
        <f t="shared" si="117"/>
        <v>-</v>
      </c>
      <c r="O1232" s="31" t="str">
        <f t="shared" si="119"/>
        <v>-</v>
      </c>
      <c r="P1232" s="35" t="str">
        <f t="shared" si="118"/>
        <v>-</v>
      </c>
      <c r="Q1232" s="32" t="str">
        <f t="shared" si="115"/>
        <v>-</v>
      </c>
      <c r="S1232" s="32" t="str">
        <f t="shared" si="116"/>
        <v>-</v>
      </c>
    </row>
    <row r="1233" spans="1:19" x14ac:dyDescent="0.3">
      <c r="A1233" s="45" t="s">
        <v>3495</v>
      </c>
      <c r="B1233" s="40" t="s">
        <v>1116</v>
      </c>
      <c r="C1233" s="41" t="s">
        <v>2057</v>
      </c>
      <c r="D1233" s="21" t="s">
        <v>2225</v>
      </c>
      <c r="E1233" s="21" t="s">
        <v>2222</v>
      </c>
      <c r="F1233" s="24">
        <v>0.114549083138875</v>
      </c>
      <c r="G1233" s="21">
        <v>12</v>
      </c>
      <c r="H1233" s="17">
        <v>41.39</v>
      </c>
      <c r="I1233" s="43" t="s">
        <v>3950</v>
      </c>
      <c r="J1233" s="26"/>
      <c r="K1233" s="17">
        <f t="shared" si="114"/>
        <v>0</v>
      </c>
      <c r="N1233" s="31" t="str">
        <f t="shared" si="117"/>
        <v>-</v>
      </c>
      <c r="O1233" s="31" t="str">
        <f t="shared" si="119"/>
        <v>-</v>
      </c>
      <c r="P1233" s="35" t="str">
        <f t="shared" si="118"/>
        <v>-</v>
      </c>
      <c r="Q1233" s="32" t="str">
        <f t="shared" si="115"/>
        <v>-</v>
      </c>
      <c r="S1233" s="32" t="str">
        <f t="shared" si="116"/>
        <v>-</v>
      </c>
    </row>
    <row r="1234" spans="1:19" x14ac:dyDescent="0.3">
      <c r="A1234" s="45" t="s">
        <v>3498</v>
      </c>
      <c r="B1234" s="40" t="s">
        <v>354</v>
      </c>
      <c r="C1234" s="41" t="s">
        <v>2058</v>
      </c>
      <c r="D1234" s="21" t="s">
        <v>2233</v>
      </c>
      <c r="E1234" s="21" t="s">
        <v>2234</v>
      </c>
      <c r="F1234" s="24">
        <v>0.41701014535950004</v>
      </c>
      <c r="G1234" s="21">
        <v>12</v>
      </c>
      <c r="H1234" s="17">
        <v>17.7</v>
      </c>
      <c r="I1234" s="43" t="s">
        <v>3950</v>
      </c>
      <c r="J1234" s="26"/>
      <c r="K1234" s="17">
        <f t="shared" si="114"/>
        <v>0</v>
      </c>
      <c r="N1234" s="31" t="str">
        <f t="shared" si="117"/>
        <v>-</v>
      </c>
      <c r="O1234" s="31" t="str">
        <f t="shared" si="119"/>
        <v>-</v>
      </c>
      <c r="P1234" s="35" t="str">
        <f t="shared" si="118"/>
        <v>-</v>
      </c>
      <c r="Q1234" s="32" t="str">
        <f t="shared" si="115"/>
        <v>-</v>
      </c>
      <c r="S1234" s="32" t="str">
        <f t="shared" si="116"/>
        <v>-</v>
      </c>
    </row>
    <row r="1235" spans="1:19" x14ac:dyDescent="0.3">
      <c r="A1235" s="45" t="s">
        <v>3499</v>
      </c>
      <c r="B1235" s="40" t="s">
        <v>1372</v>
      </c>
      <c r="C1235" s="41" t="s">
        <v>2059</v>
      </c>
      <c r="D1235" s="21" t="s">
        <v>2224</v>
      </c>
      <c r="E1235" s="21" t="s">
        <v>2222</v>
      </c>
      <c r="F1235" s="24">
        <v>0.14586774631916669</v>
      </c>
      <c r="G1235" s="21">
        <v>12</v>
      </c>
      <c r="H1235" s="17">
        <v>14.7</v>
      </c>
      <c r="I1235" s="43" t="s">
        <v>3950</v>
      </c>
      <c r="J1235" s="26"/>
      <c r="K1235" s="17">
        <f t="shared" si="114"/>
        <v>0</v>
      </c>
      <c r="N1235" s="31" t="str">
        <f t="shared" si="117"/>
        <v>-</v>
      </c>
      <c r="O1235" s="31" t="str">
        <f t="shared" si="119"/>
        <v>-</v>
      </c>
      <c r="P1235" s="35" t="str">
        <f t="shared" si="118"/>
        <v>-</v>
      </c>
      <c r="Q1235" s="32" t="str">
        <f t="shared" si="115"/>
        <v>-</v>
      </c>
      <c r="S1235" s="32" t="str">
        <f t="shared" si="116"/>
        <v>-</v>
      </c>
    </row>
    <row r="1236" spans="1:19" x14ac:dyDescent="0.3">
      <c r="A1236" s="45" t="s">
        <v>3500</v>
      </c>
      <c r="B1236" s="40" t="s">
        <v>1242</v>
      </c>
      <c r="C1236" s="41" t="s">
        <v>2059</v>
      </c>
      <c r="D1236" s="21" t="s">
        <v>2225</v>
      </c>
      <c r="E1236" s="21" t="s">
        <v>2222</v>
      </c>
      <c r="F1236" s="24">
        <v>0.19820852588075002</v>
      </c>
      <c r="G1236" s="21">
        <v>12</v>
      </c>
      <c r="H1236" s="17">
        <v>21.59</v>
      </c>
      <c r="I1236" s="43" t="s">
        <v>3950</v>
      </c>
      <c r="J1236" s="26"/>
      <c r="K1236" s="17">
        <f t="shared" si="114"/>
        <v>0</v>
      </c>
      <c r="N1236" s="31" t="str">
        <f t="shared" si="117"/>
        <v>-</v>
      </c>
      <c r="O1236" s="31" t="str">
        <f t="shared" si="119"/>
        <v>-</v>
      </c>
      <c r="P1236" s="35" t="str">
        <f t="shared" si="118"/>
        <v>-</v>
      </c>
      <c r="Q1236" s="32" t="str">
        <f t="shared" si="115"/>
        <v>-</v>
      </c>
      <c r="S1236" s="32" t="str">
        <f t="shared" si="116"/>
        <v>-</v>
      </c>
    </row>
    <row r="1237" spans="1:19" x14ac:dyDescent="0.3">
      <c r="A1237" s="45" t="s">
        <v>3501</v>
      </c>
      <c r="B1237" s="40" t="s">
        <v>364</v>
      </c>
      <c r="C1237" s="41" t="s">
        <v>2059</v>
      </c>
      <c r="D1237" s="21" t="s">
        <v>2227</v>
      </c>
      <c r="E1237" s="21" t="s">
        <v>2222</v>
      </c>
      <c r="F1237" s="24">
        <v>0.25140735100891665</v>
      </c>
      <c r="G1237" s="21">
        <v>12</v>
      </c>
      <c r="H1237" s="17">
        <v>28.5</v>
      </c>
      <c r="I1237" s="43" t="s">
        <v>3950</v>
      </c>
      <c r="J1237" s="26"/>
      <c r="K1237" s="17">
        <f t="shared" si="114"/>
        <v>0</v>
      </c>
      <c r="N1237" s="31" t="str">
        <f t="shared" si="117"/>
        <v>-</v>
      </c>
      <c r="O1237" s="31" t="str">
        <f t="shared" si="119"/>
        <v>-</v>
      </c>
      <c r="P1237" s="35" t="str">
        <f t="shared" si="118"/>
        <v>-</v>
      </c>
      <c r="Q1237" s="32" t="str">
        <f t="shared" si="115"/>
        <v>-</v>
      </c>
      <c r="S1237" s="32" t="str">
        <f t="shared" si="116"/>
        <v>-</v>
      </c>
    </row>
    <row r="1238" spans="1:19" x14ac:dyDescent="0.3">
      <c r="A1238" s="45" t="s">
        <v>3502</v>
      </c>
      <c r="B1238" s="40" t="s">
        <v>1585</v>
      </c>
      <c r="C1238" s="41" t="s">
        <v>2059</v>
      </c>
      <c r="D1238" s="21" t="s">
        <v>2226</v>
      </c>
      <c r="E1238" s="21" t="s">
        <v>2222</v>
      </c>
      <c r="F1238" s="24">
        <v>0.38826561887895844</v>
      </c>
      <c r="G1238" s="21">
        <v>12</v>
      </c>
      <c r="H1238" s="17">
        <v>41.99</v>
      </c>
      <c r="I1238" s="43" t="s">
        <v>3950</v>
      </c>
      <c r="J1238" s="26"/>
      <c r="K1238" s="17">
        <f t="shared" si="114"/>
        <v>0</v>
      </c>
      <c r="N1238" s="31" t="str">
        <f t="shared" si="117"/>
        <v>-</v>
      </c>
      <c r="O1238" s="31" t="str">
        <f t="shared" si="119"/>
        <v>-</v>
      </c>
      <c r="P1238" s="35" t="str">
        <f t="shared" si="118"/>
        <v>-</v>
      </c>
      <c r="Q1238" s="32" t="str">
        <f t="shared" si="115"/>
        <v>-</v>
      </c>
      <c r="S1238" s="32" t="str">
        <f t="shared" si="116"/>
        <v>-</v>
      </c>
    </row>
    <row r="1239" spans="1:19" x14ac:dyDescent="0.3">
      <c r="A1239" s="45" t="s">
        <v>3504</v>
      </c>
      <c r="B1239" s="40" t="s">
        <v>1379</v>
      </c>
      <c r="C1239" s="41" t="s">
        <v>2060</v>
      </c>
      <c r="D1239" s="21" t="s">
        <v>2261</v>
      </c>
      <c r="E1239" s="21" t="s">
        <v>2238</v>
      </c>
      <c r="F1239" s="24">
        <v>4.3760323895750006E-2</v>
      </c>
      <c r="G1239" s="21">
        <v>12</v>
      </c>
      <c r="H1239" s="17">
        <v>26.55</v>
      </c>
      <c r="I1239" s="43" t="s">
        <v>3950</v>
      </c>
      <c r="J1239" s="26"/>
      <c r="K1239" s="17">
        <f t="shared" si="114"/>
        <v>0</v>
      </c>
      <c r="N1239" s="31" t="str">
        <f t="shared" si="117"/>
        <v>-</v>
      </c>
      <c r="O1239" s="31" t="str">
        <f t="shared" si="119"/>
        <v>-</v>
      </c>
      <c r="P1239" s="35" t="str">
        <f t="shared" si="118"/>
        <v>-</v>
      </c>
      <c r="Q1239" s="32" t="str">
        <f t="shared" si="115"/>
        <v>-</v>
      </c>
      <c r="S1239" s="32" t="str">
        <f t="shared" si="116"/>
        <v>-</v>
      </c>
    </row>
    <row r="1240" spans="1:19" x14ac:dyDescent="0.3">
      <c r="A1240" s="45" t="s">
        <v>3505</v>
      </c>
      <c r="B1240" s="40" t="s">
        <v>1353</v>
      </c>
      <c r="C1240" s="41" t="s">
        <v>2061</v>
      </c>
      <c r="D1240" s="21" t="s">
        <v>2223</v>
      </c>
      <c r="E1240" s="21" t="s">
        <v>2222</v>
      </c>
      <c r="F1240" s="24">
        <v>3.5179868229916665E-2</v>
      </c>
      <c r="G1240" s="21">
        <v>12</v>
      </c>
      <c r="H1240" s="17">
        <v>4.1900000000000004</v>
      </c>
      <c r="I1240" s="43" t="s">
        <v>3950</v>
      </c>
      <c r="J1240" s="26"/>
      <c r="K1240" s="17">
        <f t="shared" si="114"/>
        <v>0</v>
      </c>
      <c r="N1240" s="31" t="str">
        <f t="shared" si="117"/>
        <v>-</v>
      </c>
      <c r="O1240" s="31" t="str">
        <f t="shared" si="119"/>
        <v>-</v>
      </c>
      <c r="P1240" s="35" t="str">
        <f t="shared" si="118"/>
        <v>-</v>
      </c>
      <c r="Q1240" s="32" t="str">
        <f t="shared" si="115"/>
        <v>-</v>
      </c>
      <c r="S1240" s="32" t="str">
        <f t="shared" si="116"/>
        <v>-</v>
      </c>
    </row>
    <row r="1241" spans="1:19" x14ac:dyDescent="0.3">
      <c r="A1241" s="45" t="s">
        <v>3507</v>
      </c>
      <c r="B1241" s="40" t="s">
        <v>121</v>
      </c>
      <c r="C1241" s="41" t="s">
        <v>1994</v>
      </c>
      <c r="D1241" s="21" t="s">
        <v>2233</v>
      </c>
      <c r="E1241" s="21" t="s">
        <v>2222</v>
      </c>
      <c r="F1241" s="24">
        <v>0.38268832269616665</v>
      </c>
      <c r="G1241" s="21">
        <v>12</v>
      </c>
      <c r="H1241" s="17">
        <v>77.989999999999995</v>
      </c>
      <c r="I1241" s="43" t="s">
        <v>3950</v>
      </c>
      <c r="J1241" s="26"/>
      <c r="K1241" s="17">
        <f t="shared" si="114"/>
        <v>0</v>
      </c>
      <c r="N1241" s="31" t="str">
        <f t="shared" si="117"/>
        <v>-</v>
      </c>
      <c r="O1241" s="31" t="str">
        <f t="shared" si="119"/>
        <v>-</v>
      </c>
      <c r="P1241" s="35" t="str">
        <f t="shared" si="118"/>
        <v>-</v>
      </c>
      <c r="Q1241" s="32" t="str">
        <f t="shared" si="115"/>
        <v>-</v>
      </c>
      <c r="S1241" s="32" t="str">
        <f t="shared" si="116"/>
        <v>-</v>
      </c>
    </row>
    <row r="1242" spans="1:19" x14ac:dyDescent="0.3">
      <c r="A1242" s="45" t="s">
        <v>3508</v>
      </c>
      <c r="B1242" s="40" t="s">
        <v>1234</v>
      </c>
      <c r="C1242" s="41" t="s">
        <v>2060</v>
      </c>
      <c r="D1242" s="21" t="s">
        <v>2223</v>
      </c>
      <c r="E1242" s="21" t="s">
        <v>2238</v>
      </c>
      <c r="F1242" s="24">
        <v>2.5741366997500001E-2</v>
      </c>
      <c r="G1242" s="21">
        <v>48</v>
      </c>
      <c r="H1242" s="17">
        <v>37.79</v>
      </c>
      <c r="I1242" s="43" t="s">
        <v>3950</v>
      </c>
      <c r="J1242" s="26"/>
      <c r="K1242" s="17">
        <f t="shared" si="114"/>
        <v>0</v>
      </c>
      <c r="N1242" s="31" t="str">
        <f t="shared" si="117"/>
        <v>-</v>
      </c>
      <c r="O1242" s="31" t="str">
        <f t="shared" si="119"/>
        <v>-</v>
      </c>
      <c r="P1242" s="35" t="str">
        <f t="shared" si="118"/>
        <v>-</v>
      </c>
      <c r="Q1242" s="32" t="str">
        <f t="shared" si="115"/>
        <v>-</v>
      </c>
      <c r="S1242" s="32" t="str">
        <f t="shared" si="116"/>
        <v>-</v>
      </c>
    </row>
    <row r="1243" spans="1:19" x14ac:dyDescent="0.3">
      <c r="A1243" s="45" t="s">
        <v>3509</v>
      </c>
      <c r="B1243" s="40" t="s">
        <v>584</v>
      </c>
      <c r="C1243" s="41" t="s">
        <v>1963</v>
      </c>
      <c r="D1243" s="21" t="s">
        <v>2233</v>
      </c>
      <c r="E1243" s="21" t="s">
        <v>2222</v>
      </c>
      <c r="F1243" s="24">
        <v>0.30289008500391662</v>
      </c>
      <c r="G1243" s="21">
        <v>12</v>
      </c>
      <c r="H1243" s="17">
        <v>20.99</v>
      </c>
      <c r="I1243" s="43" t="s">
        <v>3950</v>
      </c>
      <c r="J1243" s="26"/>
      <c r="K1243" s="17">
        <f t="shared" si="114"/>
        <v>0</v>
      </c>
      <c r="N1243" s="31" t="str">
        <f t="shared" si="117"/>
        <v>-</v>
      </c>
      <c r="O1243" s="31" t="str">
        <f t="shared" si="119"/>
        <v>-</v>
      </c>
      <c r="P1243" s="35" t="str">
        <f t="shared" si="118"/>
        <v>-</v>
      </c>
      <c r="Q1243" s="32" t="str">
        <f t="shared" si="115"/>
        <v>-</v>
      </c>
      <c r="S1243" s="32" t="str">
        <f t="shared" si="116"/>
        <v>-</v>
      </c>
    </row>
    <row r="1244" spans="1:19" x14ac:dyDescent="0.3">
      <c r="A1244" s="45" t="s">
        <v>3510</v>
      </c>
      <c r="B1244" s="40" t="s">
        <v>676</v>
      </c>
      <c r="C1244" s="41" t="s">
        <v>2062</v>
      </c>
      <c r="D1244" s="21" t="s">
        <v>2224</v>
      </c>
      <c r="E1244" s="21" t="s">
        <v>2244</v>
      </c>
      <c r="F1244" s="24">
        <v>5.6631007394500006E-2</v>
      </c>
      <c r="G1244" s="21">
        <v>12</v>
      </c>
      <c r="H1244" s="17">
        <v>9.9</v>
      </c>
      <c r="I1244" s="43" t="s">
        <v>3950</v>
      </c>
      <c r="J1244" s="26"/>
      <c r="K1244" s="17">
        <f t="shared" si="114"/>
        <v>0</v>
      </c>
      <c r="N1244" s="31" t="str">
        <f t="shared" si="117"/>
        <v>-</v>
      </c>
      <c r="O1244" s="31" t="str">
        <f t="shared" si="119"/>
        <v>-</v>
      </c>
      <c r="P1244" s="35" t="str">
        <f t="shared" si="118"/>
        <v>-</v>
      </c>
      <c r="Q1244" s="32" t="str">
        <f t="shared" si="115"/>
        <v>-</v>
      </c>
      <c r="S1244" s="32" t="str">
        <f t="shared" si="116"/>
        <v>-</v>
      </c>
    </row>
    <row r="1245" spans="1:19" x14ac:dyDescent="0.3">
      <c r="A1245" s="45" t="s">
        <v>3511</v>
      </c>
      <c r="B1245" s="40" t="s">
        <v>365</v>
      </c>
      <c r="C1245" s="41" t="s">
        <v>2062</v>
      </c>
      <c r="D1245" s="21" t="s">
        <v>2227</v>
      </c>
      <c r="E1245" s="21" t="s">
        <v>2244</v>
      </c>
      <c r="F1245" s="24">
        <v>9.6959149023916669E-2</v>
      </c>
      <c r="G1245" s="21">
        <v>12</v>
      </c>
      <c r="H1245" s="17">
        <v>18.899999999999999</v>
      </c>
      <c r="I1245" s="43" t="s">
        <v>3950</v>
      </c>
      <c r="J1245" s="26"/>
      <c r="K1245" s="17">
        <f t="shared" si="114"/>
        <v>0</v>
      </c>
      <c r="N1245" s="31" t="str">
        <f t="shared" si="117"/>
        <v>-</v>
      </c>
      <c r="O1245" s="31" t="str">
        <f t="shared" si="119"/>
        <v>-</v>
      </c>
      <c r="P1245" s="35" t="str">
        <f t="shared" si="118"/>
        <v>-</v>
      </c>
      <c r="Q1245" s="32" t="str">
        <f t="shared" si="115"/>
        <v>-</v>
      </c>
      <c r="S1245" s="32" t="str">
        <f t="shared" si="116"/>
        <v>-</v>
      </c>
    </row>
    <row r="1246" spans="1:19" x14ac:dyDescent="0.3">
      <c r="A1246" s="45" t="s">
        <v>3512</v>
      </c>
      <c r="B1246" s="40" t="s">
        <v>357</v>
      </c>
      <c r="C1246" s="41" t="s">
        <v>2062</v>
      </c>
      <c r="D1246" s="21" t="s">
        <v>2224</v>
      </c>
      <c r="E1246" s="21" t="s">
        <v>2222</v>
      </c>
      <c r="F1246" s="24">
        <v>7.2075827592999991E-2</v>
      </c>
      <c r="G1246" s="21">
        <v>12</v>
      </c>
      <c r="H1246" s="17">
        <v>9.3000000000000007</v>
      </c>
      <c r="I1246" s="43" t="s">
        <v>3950</v>
      </c>
      <c r="J1246" s="26"/>
      <c r="K1246" s="17">
        <f t="shared" si="114"/>
        <v>0</v>
      </c>
      <c r="N1246" s="31" t="str">
        <f t="shared" si="117"/>
        <v>-</v>
      </c>
      <c r="O1246" s="31" t="str">
        <f t="shared" si="119"/>
        <v>-</v>
      </c>
      <c r="P1246" s="35" t="str">
        <f t="shared" si="118"/>
        <v>-</v>
      </c>
      <c r="Q1246" s="32" t="str">
        <f t="shared" si="115"/>
        <v>-</v>
      </c>
      <c r="S1246" s="32" t="str">
        <f t="shared" si="116"/>
        <v>-</v>
      </c>
    </row>
    <row r="1247" spans="1:19" x14ac:dyDescent="0.3">
      <c r="A1247" s="45" t="s">
        <v>3513</v>
      </c>
      <c r="B1247" s="40" t="s">
        <v>910</v>
      </c>
      <c r="C1247" s="41" t="s">
        <v>2062</v>
      </c>
      <c r="D1247" s="21" t="s">
        <v>2227</v>
      </c>
      <c r="E1247" s="21" t="s">
        <v>2222</v>
      </c>
      <c r="F1247" s="24">
        <v>0.10425253633987501</v>
      </c>
      <c r="G1247" s="21">
        <v>12</v>
      </c>
      <c r="H1247" s="17">
        <v>16.5</v>
      </c>
      <c r="I1247" s="43" t="s">
        <v>3950</v>
      </c>
      <c r="J1247" s="26"/>
      <c r="K1247" s="17">
        <f t="shared" si="114"/>
        <v>0</v>
      </c>
      <c r="N1247" s="31" t="str">
        <f t="shared" si="117"/>
        <v>-</v>
      </c>
      <c r="O1247" s="31" t="str">
        <f t="shared" si="119"/>
        <v>-</v>
      </c>
      <c r="P1247" s="35" t="str">
        <f t="shared" si="118"/>
        <v>-</v>
      </c>
      <c r="Q1247" s="32" t="str">
        <f t="shared" si="115"/>
        <v>-</v>
      </c>
      <c r="S1247" s="32" t="str">
        <f t="shared" si="116"/>
        <v>-</v>
      </c>
    </row>
    <row r="1248" spans="1:19" x14ac:dyDescent="0.3">
      <c r="A1248" s="45" t="s">
        <v>3514</v>
      </c>
      <c r="B1248" s="40" t="s">
        <v>390</v>
      </c>
      <c r="C1248" s="41" t="s">
        <v>2026</v>
      </c>
      <c r="D1248" s="21" t="s">
        <v>2246</v>
      </c>
      <c r="E1248" s="21" t="s">
        <v>2234</v>
      </c>
      <c r="F1248" s="24">
        <v>0.47235408440412502</v>
      </c>
      <c r="G1248" s="21">
        <v>12</v>
      </c>
      <c r="H1248" s="17">
        <v>119.99</v>
      </c>
      <c r="I1248" s="43" t="s">
        <v>3950</v>
      </c>
      <c r="J1248" s="26"/>
      <c r="K1248" s="17">
        <f t="shared" si="114"/>
        <v>0</v>
      </c>
      <c r="N1248" s="31" t="str">
        <f t="shared" si="117"/>
        <v>-</v>
      </c>
      <c r="O1248" s="31" t="str">
        <f t="shared" si="119"/>
        <v>-</v>
      </c>
      <c r="P1248" s="35" t="str">
        <f t="shared" si="118"/>
        <v>-</v>
      </c>
      <c r="Q1248" s="32" t="str">
        <f t="shared" si="115"/>
        <v>-</v>
      </c>
      <c r="S1248" s="32" t="str">
        <f t="shared" si="116"/>
        <v>-</v>
      </c>
    </row>
    <row r="1249" spans="1:19" x14ac:dyDescent="0.3">
      <c r="A1249" s="45" t="s">
        <v>3517</v>
      </c>
      <c r="B1249" s="40" t="s">
        <v>97</v>
      </c>
      <c r="C1249" s="41" t="s">
        <v>2064</v>
      </c>
      <c r="D1249" s="21" t="s">
        <v>2235</v>
      </c>
      <c r="E1249" s="21" t="s">
        <v>2262</v>
      </c>
      <c r="F1249" s="24">
        <v>0.27671969522312501</v>
      </c>
      <c r="G1249" s="21">
        <v>12</v>
      </c>
      <c r="H1249" s="17">
        <v>10.95</v>
      </c>
      <c r="I1249" s="43" t="s">
        <v>3950</v>
      </c>
      <c r="J1249" s="26"/>
      <c r="K1249" s="17">
        <f t="shared" si="114"/>
        <v>0</v>
      </c>
      <c r="N1249" s="31" t="str">
        <f t="shared" si="117"/>
        <v>-</v>
      </c>
      <c r="O1249" s="31" t="str">
        <f t="shared" si="119"/>
        <v>-</v>
      </c>
      <c r="P1249" s="35" t="str">
        <f t="shared" si="118"/>
        <v>-</v>
      </c>
      <c r="Q1249" s="32" t="str">
        <f t="shared" si="115"/>
        <v>-</v>
      </c>
      <c r="S1249" s="32" t="str">
        <f t="shared" si="116"/>
        <v>-</v>
      </c>
    </row>
    <row r="1250" spans="1:19" x14ac:dyDescent="0.3">
      <c r="A1250" s="45" t="s">
        <v>3518</v>
      </c>
      <c r="B1250" s="40" t="s">
        <v>604</v>
      </c>
      <c r="C1250" s="41" t="s">
        <v>2064</v>
      </c>
      <c r="D1250" s="21" t="s">
        <v>2236</v>
      </c>
      <c r="E1250" s="21" t="s">
        <v>2262</v>
      </c>
      <c r="F1250" s="24">
        <v>0.54056870694750003</v>
      </c>
      <c r="G1250" s="21">
        <v>12</v>
      </c>
      <c r="H1250" s="17">
        <v>20.85</v>
      </c>
      <c r="I1250" s="43" t="s">
        <v>3950</v>
      </c>
      <c r="J1250" s="26"/>
      <c r="K1250" s="17">
        <f t="shared" si="114"/>
        <v>0</v>
      </c>
      <c r="N1250" s="31" t="str">
        <f t="shared" si="117"/>
        <v>-</v>
      </c>
      <c r="O1250" s="31" t="str">
        <f t="shared" si="119"/>
        <v>-</v>
      </c>
      <c r="P1250" s="35" t="str">
        <f t="shared" si="118"/>
        <v>-</v>
      </c>
      <c r="Q1250" s="32" t="str">
        <f t="shared" si="115"/>
        <v>-</v>
      </c>
      <c r="S1250" s="32" t="str">
        <f t="shared" si="116"/>
        <v>-</v>
      </c>
    </row>
    <row r="1251" spans="1:19" x14ac:dyDescent="0.3">
      <c r="A1251" s="45" t="s">
        <v>3519</v>
      </c>
      <c r="B1251" s="40" t="s">
        <v>1065</v>
      </c>
      <c r="C1251" s="41" t="s">
        <v>2065</v>
      </c>
      <c r="D1251" s="21" t="s">
        <v>2223</v>
      </c>
      <c r="E1251" s="21" t="s">
        <v>2232</v>
      </c>
      <c r="F1251" s="24">
        <v>8.7520647791500011E-2</v>
      </c>
      <c r="G1251" s="21">
        <v>12</v>
      </c>
      <c r="H1251" s="17">
        <v>20.99</v>
      </c>
      <c r="I1251" s="43" t="s">
        <v>3950</v>
      </c>
      <c r="J1251" s="26"/>
      <c r="K1251" s="17">
        <f t="shared" si="114"/>
        <v>0</v>
      </c>
      <c r="N1251" s="31" t="str">
        <f t="shared" si="117"/>
        <v>-</v>
      </c>
      <c r="O1251" s="31" t="str">
        <f t="shared" si="119"/>
        <v>-</v>
      </c>
      <c r="P1251" s="35" t="str">
        <f t="shared" si="118"/>
        <v>-</v>
      </c>
      <c r="Q1251" s="32" t="str">
        <f t="shared" si="115"/>
        <v>-</v>
      </c>
      <c r="S1251" s="32" t="str">
        <f t="shared" si="116"/>
        <v>-</v>
      </c>
    </row>
    <row r="1252" spans="1:19" x14ac:dyDescent="0.3">
      <c r="A1252" s="45" t="s">
        <v>3520</v>
      </c>
      <c r="B1252" s="40" t="s">
        <v>1171</v>
      </c>
      <c r="C1252" s="41" t="s">
        <v>2065</v>
      </c>
      <c r="D1252" s="21" t="s">
        <v>2224</v>
      </c>
      <c r="E1252" s="21" t="s">
        <v>2232</v>
      </c>
      <c r="F1252" s="24">
        <v>0.14329360961941667</v>
      </c>
      <c r="G1252" s="21">
        <v>12</v>
      </c>
      <c r="H1252" s="17">
        <v>40.79</v>
      </c>
      <c r="I1252" s="43" t="s">
        <v>3950</v>
      </c>
      <c r="J1252" s="26"/>
      <c r="K1252" s="17">
        <f t="shared" si="114"/>
        <v>0</v>
      </c>
      <c r="N1252" s="31" t="str">
        <f t="shared" si="117"/>
        <v>-</v>
      </c>
      <c r="O1252" s="31" t="str">
        <f t="shared" si="119"/>
        <v>-</v>
      </c>
      <c r="P1252" s="35" t="str">
        <f t="shared" si="118"/>
        <v>-</v>
      </c>
      <c r="Q1252" s="32" t="str">
        <f t="shared" si="115"/>
        <v>-</v>
      </c>
      <c r="S1252" s="32" t="str">
        <f t="shared" si="116"/>
        <v>-</v>
      </c>
    </row>
    <row r="1253" spans="1:19" x14ac:dyDescent="0.3">
      <c r="A1253" s="45" t="s">
        <v>3521</v>
      </c>
      <c r="B1253" s="40" t="s">
        <v>425</v>
      </c>
      <c r="C1253" s="41" t="s">
        <v>2066</v>
      </c>
      <c r="D1253" s="21" t="s">
        <v>2224</v>
      </c>
      <c r="E1253" s="21" t="s">
        <v>2222</v>
      </c>
      <c r="F1253" s="24">
        <v>0.16388670321741669</v>
      </c>
      <c r="G1253" s="21">
        <v>12</v>
      </c>
      <c r="H1253" s="17">
        <v>16.79</v>
      </c>
      <c r="I1253" s="43" t="s">
        <v>3950</v>
      </c>
      <c r="J1253" s="26"/>
      <c r="K1253" s="17">
        <f t="shared" si="114"/>
        <v>0</v>
      </c>
      <c r="N1253" s="31" t="str">
        <f t="shared" si="117"/>
        <v>-</v>
      </c>
      <c r="O1253" s="31" t="str">
        <f t="shared" si="119"/>
        <v>-</v>
      </c>
      <c r="P1253" s="35" t="str">
        <f t="shared" si="118"/>
        <v>-</v>
      </c>
      <c r="Q1253" s="32" t="str">
        <f t="shared" si="115"/>
        <v>-</v>
      </c>
      <c r="S1253" s="32" t="str">
        <f t="shared" si="116"/>
        <v>-</v>
      </c>
    </row>
    <row r="1254" spans="1:19" x14ac:dyDescent="0.3">
      <c r="A1254" s="45" t="s">
        <v>3522</v>
      </c>
      <c r="B1254" s="40" t="s">
        <v>105</v>
      </c>
      <c r="C1254" s="41" t="s">
        <v>2066</v>
      </c>
      <c r="D1254" s="21" t="s">
        <v>2227</v>
      </c>
      <c r="E1254" s="21" t="s">
        <v>2222</v>
      </c>
      <c r="F1254" s="24">
        <v>0.30289008500391662</v>
      </c>
      <c r="G1254" s="21">
        <v>12</v>
      </c>
      <c r="H1254" s="17">
        <v>32.549999999999997</v>
      </c>
      <c r="I1254" s="43" t="s">
        <v>3950</v>
      </c>
      <c r="J1254" s="26"/>
      <c r="K1254" s="17">
        <f t="shared" si="114"/>
        <v>0</v>
      </c>
      <c r="N1254" s="31" t="str">
        <f t="shared" si="117"/>
        <v>-</v>
      </c>
      <c r="O1254" s="31" t="str">
        <f t="shared" si="119"/>
        <v>-</v>
      </c>
      <c r="P1254" s="35" t="str">
        <f t="shared" si="118"/>
        <v>-</v>
      </c>
      <c r="Q1254" s="32" t="str">
        <f t="shared" si="115"/>
        <v>-</v>
      </c>
      <c r="S1254" s="32" t="str">
        <f t="shared" si="116"/>
        <v>-</v>
      </c>
    </row>
    <row r="1255" spans="1:19" x14ac:dyDescent="0.3">
      <c r="A1255" s="45" t="s">
        <v>3525</v>
      </c>
      <c r="B1255" s="40" t="s">
        <v>417</v>
      </c>
      <c r="C1255" s="41" t="s">
        <v>2068</v>
      </c>
      <c r="D1255" s="21" t="s">
        <v>2224</v>
      </c>
      <c r="E1255" s="21" t="s">
        <v>2234</v>
      </c>
      <c r="F1255" s="24">
        <v>0.10210742242341668</v>
      </c>
      <c r="G1255" s="21">
        <v>12</v>
      </c>
      <c r="H1255" s="17">
        <v>7.35</v>
      </c>
      <c r="I1255" s="43" t="s">
        <v>3950</v>
      </c>
      <c r="J1255" s="26"/>
      <c r="K1255" s="17">
        <f t="shared" si="114"/>
        <v>0</v>
      </c>
      <c r="N1255" s="31" t="str">
        <f t="shared" si="117"/>
        <v>-</v>
      </c>
      <c r="O1255" s="31" t="str">
        <f t="shared" si="119"/>
        <v>-</v>
      </c>
      <c r="P1255" s="35" t="str">
        <f t="shared" si="118"/>
        <v>-</v>
      </c>
      <c r="Q1255" s="32" t="str">
        <f t="shared" si="115"/>
        <v>-</v>
      </c>
      <c r="S1255" s="32" t="str">
        <f t="shared" si="116"/>
        <v>-</v>
      </c>
    </row>
    <row r="1256" spans="1:19" x14ac:dyDescent="0.3">
      <c r="A1256" s="45" t="s">
        <v>3526</v>
      </c>
      <c r="B1256" s="40" t="s">
        <v>106</v>
      </c>
      <c r="C1256" s="41" t="s">
        <v>2068</v>
      </c>
      <c r="D1256" s="21" t="s">
        <v>2227</v>
      </c>
      <c r="E1256" s="21" t="s">
        <v>2234</v>
      </c>
      <c r="F1256" s="24">
        <v>0.1999246170139167</v>
      </c>
      <c r="G1256" s="21">
        <v>12</v>
      </c>
      <c r="H1256" s="17">
        <v>13.5</v>
      </c>
      <c r="I1256" s="43" t="s">
        <v>3950</v>
      </c>
      <c r="J1256" s="26"/>
      <c r="K1256" s="17">
        <f t="shared" si="114"/>
        <v>0</v>
      </c>
      <c r="N1256" s="31" t="str">
        <f t="shared" si="117"/>
        <v>-</v>
      </c>
      <c r="O1256" s="31" t="str">
        <f t="shared" si="119"/>
        <v>-</v>
      </c>
      <c r="P1256" s="35" t="str">
        <f t="shared" si="118"/>
        <v>-</v>
      </c>
      <c r="Q1256" s="32" t="str">
        <f t="shared" si="115"/>
        <v>-</v>
      </c>
      <c r="S1256" s="32" t="str">
        <f t="shared" si="116"/>
        <v>-</v>
      </c>
    </row>
    <row r="1257" spans="1:19" x14ac:dyDescent="0.3">
      <c r="A1257" s="45" t="s">
        <v>3527</v>
      </c>
      <c r="B1257" s="40" t="s">
        <v>899</v>
      </c>
      <c r="C1257" s="41" t="s">
        <v>2068</v>
      </c>
      <c r="D1257" s="21" t="s">
        <v>2233</v>
      </c>
      <c r="E1257" s="21" t="s">
        <v>2234</v>
      </c>
      <c r="F1257" s="24">
        <v>0.33978604436700005</v>
      </c>
      <c r="G1257" s="21">
        <v>12</v>
      </c>
      <c r="H1257" s="17">
        <v>26.1</v>
      </c>
      <c r="I1257" s="43" t="s">
        <v>3950</v>
      </c>
      <c r="J1257" s="26"/>
      <c r="K1257" s="17">
        <f t="shared" si="114"/>
        <v>0</v>
      </c>
      <c r="N1257" s="31" t="str">
        <f t="shared" si="117"/>
        <v>-</v>
      </c>
      <c r="O1257" s="31" t="str">
        <f t="shared" si="119"/>
        <v>-</v>
      </c>
      <c r="P1257" s="35" t="str">
        <f t="shared" si="118"/>
        <v>-</v>
      </c>
      <c r="Q1257" s="32" t="str">
        <f t="shared" si="115"/>
        <v>-</v>
      </c>
      <c r="S1257" s="32" t="str">
        <f t="shared" si="116"/>
        <v>-</v>
      </c>
    </row>
    <row r="1258" spans="1:19" x14ac:dyDescent="0.3">
      <c r="A1258" s="45" t="s">
        <v>3530</v>
      </c>
      <c r="B1258" s="40" t="s">
        <v>906</v>
      </c>
      <c r="C1258" s="41" t="s">
        <v>2069</v>
      </c>
      <c r="D1258" s="21" t="s">
        <v>2227</v>
      </c>
      <c r="E1258" s="21" t="s">
        <v>2260</v>
      </c>
      <c r="F1258" s="24">
        <v>0.48908597295250011</v>
      </c>
      <c r="G1258" s="21">
        <v>12</v>
      </c>
      <c r="H1258" s="17">
        <v>34.79</v>
      </c>
      <c r="I1258" s="43" t="s">
        <v>3950</v>
      </c>
      <c r="J1258" s="26"/>
      <c r="K1258" s="17">
        <f t="shared" si="114"/>
        <v>0</v>
      </c>
      <c r="N1258" s="31" t="str">
        <f t="shared" si="117"/>
        <v>-</v>
      </c>
      <c r="O1258" s="31" t="str">
        <f t="shared" si="119"/>
        <v>-</v>
      </c>
      <c r="P1258" s="35" t="str">
        <f t="shared" si="118"/>
        <v>-</v>
      </c>
      <c r="Q1258" s="32" t="str">
        <f t="shared" si="115"/>
        <v>-</v>
      </c>
      <c r="S1258" s="32" t="str">
        <f t="shared" si="116"/>
        <v>-</v>
      </c>
    </row>
    <row r="1259" spans="1:19" x14ac:dyDescent="0.3">
      <c r="A1259" s="45" t="s">
        <v>3531</v>
      </c>
      <c r="B1259" s="40" t="s">
        <v>1017</v>
      </c>
      <c r="C1259" s="41" t="s">
        <v>2070</v>
      </c>
      <c r="D1259" s="21" t="s">
        <v>2241</v>
      </c>
      <c r="E1259" s="21" t="s">
        <v>2240</v>
      </c>
      <c r="F1259" s="24">
        <v>0.61779280793999991</v>
      </c>
      <c r="G1259" s="21">
        <v>12</v>
      </c>
      <c r="H1259" s="17">
        <v>12.45</v>
      </c>
      <c r="I1259" s="43" t="s">
        <v>3950</v>
      </c>
      <c r="J1259" s="26"/>
      <c r="K1259" s="17">
        <f t="shared" si="114"/>
        <v>0</v>
      </c>
      <c r="N1259" s="31" t="str">
        <f t="shared" si="117"/>
        <v>-</v>
      </c>
      <c r="O1259" s="31" t="str">
        <f t="shared" si="119"/>
        <v>-</v>
      </c>
      <c r="P1259" s="35" t="str">
        <f t="shared" si="118"/>
        <v>-</v>
      </c>
      <c r="Q1259" s="32" t="str">
        <f t="shared" si="115"/>
        <v>-</v>
      </c>
      <c r="S1259" s="32" t="str">
        <f t="shared" si="116"/>
        <v>-</v>
      </c>
    </row>
    <row r="1260" spans="1:19" x14ac:dyDescent="0.3">
      <c r="A1260" s="45" t="s">
        <v>3532</v>
      </c>
      <c r="B1260" s="40" t="s">
        <v>103</v>
      </c>
      <c r="C1260" s="41" t="s">
        <v>2070</v>
      </c>
      <c r="D1260" s="21" t="s">
        <v>2270</v>
      </c>
      <c r="E1260" s="21" t="s">
        <v>2240</v>
      </c>
      <c r="F1260" s="24">
        <v>1.2870683498750002</v>
      </c>
      <c r="G1260" s="21">
        <v>6</v>
      </c>
      <c r="H1260" s="17">
        <v>23.99</v>
      </c>
      <c r="I1260" s="43" t="s">
        <v>3950</v>
      </c>
      <c r="J1260" s="26"/>
      <c r="K1260" s="17">
        <f t="shared" si="114"/>
        <v>0</v>
      </c>
      <c r="N1260" s="31" t="str">
        <f t="shared" si="117"/>
        <v>-</v>
      </c>
      <c r="O1260" s="31" t="str">
        <f t="shared" si="119"/>
        <v>-</v>
      </c>
      <c r="P1260" s="35" t="str">
        <f t="shared" si="118"/>
        <v>-</v>
      </c>
      <c r="Q1260" s="32" t="str">
        <f t="shared" si="115"/>
        <v>-</v>
      </c>
      <c r="S1260" s="32" t="str">
        <f t="shared" si="116"/>
        <v>-</v>
      </c>
    </row>
    <row r="1261" spans="1:19" x14ac:dyDescent="0.3">
      <c r="A1261" s="45" t="s">
        <v>3533</v>
      </c>
      <c r="B1261" s="40" t="s">
        <v>1007</v>
      </c>
      <c r="C1261" s="41" t="s">
        <v>2065</v>
      </c>
      <c r="D1261" s="21" t="s">
        <v>2225</v>
      </c>
      <c r="E1261" s="21" t="s">
        <v>2232</v>
      </c>
      <c r="F1261" s="24">
        <v>0.19820852588075002</v>
      </c>
      <c r="G1261" s="21">
        <v>12</v>
      </c>
      <c r="H1261" s="17">
        <v>59.1</v>
      </c>
      <c r="I1261" s="43" t="s">
        <v>3950</v>
      </c>
      <c r="J1261" s="26"/>
      <c r="K1261" s="17">
        <f t="shared" si="114"/>
        <v>0</v>
      </c>
      <c r="N1261" s="31" t="str">
        <f t="shared" si="117"/>
        <v>-</v>
      </c>
      <c r="O1261" s="31" t="str">
        <f t="shared" si="119"/>
        <v>-</v>
      </c>
      <c r="P1261" s="35" t="str">
        <f t="shared" si="118"/>
        <v>-</v>
      </c>
      <c r="Q1261" s="32" t="str">
        <f t="shared" si="115"/>
        <v>-</v>
      </c>
      <c r="S1261" s="32" t="str">
        <f t="shared" si="116"/>
        <v>-</v>
      </c>
    </row>
    <row r="1262" spans="1:19" x14ac:dyDescent="0.3">
      <c r="A1262" s="45" t="s">
        <v>3536</v>
      </c>
      <c r="B1262" s="40" t="s">
        <v>830</v>
      </c>
      <c r="C1262" s="41" t="s">
        <v>1858</v>
      </c>
      <c r="D1262" s="21" t="s">
        <v>2226</v>
      </c>
      <c r="E1262" s="21" t="s">
        <v>2222</v>
      </c>
      <c r="F1262" s="24">
        <v>6.9072668109958352E-2</v>
      </c>
      <c r="G1262" s="21">
        <v>12</v>
      </c>
      <c r="H1262" s="17">
        <v>55.79</v>
      </c>
      <c r="I1262" s="43" t="s">
        <v>3950</v>
      </c>
      <c r="J1262" s="26"/>
      <c r="K1262" s="17">
        <f t="shared" si="114"/>
        <v>0</v>
      </c>
      <c r="N1262" s="31" t="str">
        <f t="shared" si="117"/>
        <v>-</v>
      </c>
      <c r="O1262" s="31" t="str">
        <f t="shared" si="119"/>
        <v>-</v>
      </c>
      <c r="P1262" s="35" t="str">
        <f t="shared" si="118"/>
        <v>-</v>
      </c>
      <c r="Q1262" s="32" t="str">
        <f t="shared" si="115"/>
        <v>-</v>
      </c>
      <c r="S1262" s="32" t="str">
        <f t="shared" si="116"/>
        <v>-</v>
      </c>
    </row>
    <row r="1263" spans="1:19" x14ac:dyDescent="0.3">
      <c r="A1263" s="45" t="s">
        <v>3537</v>
      </c>
      <c r="B1263" s="40" t="s">
        <v>1162</v>
      </c>
      <c r="C1263" s="41" t="s">
        <v>2072</v>
      </c>
      <c r="D1263" s="21" t="s">
        <v>2271</v>
      </c>
      <c r="E1263" s="21" t="s">
        <v>2272</v>
      </c>
      <c r="F1263" s="24">
        <v>9.009478449125001E-2</v>
      </c>
      <c r="G1263" s="21">
        <v>24</v>
      </c>
      <c r="H1263" s="17">
        <v>13.05</v>
      </c>
      <c r="I1263" s="43" t="s">
        <v>3950</v>
      </c>
      <c r="J1263" s="26"/>
      <c r="K1263" s="17">
        <f t="shared" si="114"/>
        <v>0</v>
      </c>
      <c r="N1263" s="31" t="str">
        <f t="shared" si="117"/>
        <v>-</v>
      </c>
      <c r="O1263" s="31" t="str">
        <f t="shared" si="119"/>
        <v>-</v>
      </c>
      <c r="P1263" s="35" t="str">
        <f t="shared" si="118"/>
        <v>-</v>
      </c>
      <c r="Q1263" s="32" t="str">
        <f t="shared" si="115"/>
        <v>-</v>
      </c>
      <c r="S1263" s="32" t="str">
        <f t="shared" si="116"/>
        <v>-</v>
      </c>
    </row>
    <row r="1264" spans="1:19" x14ac:dyDescent="0.3">
      <c r="A1264" s="45" t="s">
        <v>3538</v>
      </c>
      <c r="B1264" s="40" t="s">
        <v>1287</v>
      </c>
      <c r="C1264" s="41" t="s">
        <v>2073</v>
      </c>
      <c r="D1264" s="21" t="s">
        <v>2268</v>
      </c>
      <c r="E1264" s="21" t="s">
        <v>2238</v>
      </c>
      <c r="F1264" s="24">
        <v>3.8612050496249994E-2</v>
      </c>
      <c r="G1264" s="21">
        <v>12</v>
      </c>
      <c r="H1264" s="17">
        <v>15.59</v>
      </c>
      <c r="I1264" s="43" t="s">
        <v>3950</v>
      </c>
      <c r="J1264" s="26"/>
      <c r="K1264" s="17">
        <f t="shared" si="114"/>
        <v>0</v>
      </c>
      <c r="N1264" s="31" t="str">
        <f t="shared" si="117"/>
        <v>-</v>
      </c>
      <c r="O1264" s="31" t="str">
        <f t="shared" si="119"/>
        <v>-</v>
      </c>
      <c r="P1264" s="35" t="str">
        <f t="shared" si="118"/>
        <v>-</v>
      </c>
      <c r="Q1264" s="32" t="str">
        <f t="shared" si="115"/>
        <v>-</v>
      </c>
      <c r="S1264" s="32" t="str">
        <f t="shared" si="116"/>
        <v>-</v>
      </c>
    </row>
    <row r="1265" spans="1:19" x14ac:dyDescent="0.3">
      <c r="A1265" s="45" t="s">
        <v>3539</v>
      </c>
      <c r="B1265" s="40" t="s">
        <v>1424</v>
      </c>
      <c r="C1265" s="41" t="s">
        <v>2073</v>
      </c>
      <c r="D1265" s="21" t="s">
        <v>2261</v>
      </c>
      <c r="E1265" s="21" t="s">
        <v>2238</v>
      </c>
      <c r="F1265" s="24">
        <v>4.3760323895750006E-2</v>
      </c>
      <c r="G1265" s="21">
        <v>12</v>
      </c>
      <c r="H1265" s="17">
        <v>29.99</v>
      </c>
      <c r="I1265" s="43" t="s">
        <v>3950</v>
      </c>
      <c r="J1265" s="26"/>
      <c r="K1265" s="17">
        <f t="shared" si="114"/>
        <v>0</v>
      </c>
      <c r="N1265" s="31" t="str">
        <f t="shared" si="117"/>
        <v>-</v>
      </c>
      <c r="O1265" s="31" t="str">
        <f t="shared" si="119"/>
        <v>-</v>
      </c>
      <c r="P1265" s="35" t="str">
        <f t="shared" si="118"/>
        <v>-</v>
      </c>
      <c r="Q1265" s="32" t="str">
        <f t="shared" si="115"/>
        <v>-</v>
      </c>
      <c r="S1265" s="32" t="str">
        <f t="shared" si="116"/>
        <v>-</v>
      </c>
    </row>
    <row r="1266" spans="1:19" x14ac:dyDescent="0.3">
      <c r="A1266" s="45" t="s">
        <v>3540</v>
      </c>
      <c r="B1266" s="40" t="s">
        <v>811</v>
      </c>
      <c r="C1266" s="41" t="s">
        <v>2073</v>
      </c>
      <c r="D1266" s="21" t="s">
        <v>2223</v>
      </c>
      <c r="E1266" s="21" t="s">
        <v>2238</v>
      </c>
      <c r="F1266" s="24">
        <v>3.6037913796499996E-2</v>
      </c>
      <c r="G1266" s="21">
        <v>48</v>
      </c>
      <c r="H1266" s="17">
        <v>41.99</v>
      </c>
      <c r="I1266" s="43" t="s">
        <v>3950</v>
      </c>
      <c r="J1266" s="26"/>
      <c r="K1266" s="17">
        <f t="shared" ref="K1266:K1326" si="120">J1266*H1266</f>
        <v>0</v>
      </c>
      <c r="N1266" s="31" t="str">
        <f t="shared" si="117"/>
        <v>-</v>
      </c>
      <c r="O1266" s="31" t="str">
        <f t="shared" si="119"/>
        <v>-</v>
      </c>
      <c r="P1266" s="35" t="str">
        <f t="shared" si="118"/>
        <v>-</v>
      </c>
      <c r="Q1266" s="32" t="str">
        <f t="shared" si="115"/>
        <v>-</v>
      </c>
      <c r="S1266" s="32" t="str">
        <f t="shared" si="116"/>
        <v>-</v>
      </c>
    </row>
    <row r="1267" spans="1:19" x14ac:dyDescent="0.3">
      <c r="A1267" s="45" t="s">
        <v>3541</v>
      </c>
      <c r="B1267" s="40" t="s">
        <v>632</v>
      </c>
      <c r="C1267" s="41" t="s">
        <v>2074</v>
      </c>
      <c r="D1267" s="21" t="s">
        <v>2223</v>
      </c>
      <c r="E1267" s="21" t="s">
        <v>2222</v>
      </c>
      <c r="F1267" s="24">
        <v>6.1779280794000004E-2</v>
      </c>
      <c r="G1267" s="21">
        <v>12</v>
      </c>
      <c r="H1267" s="17">
        <v>6.59</v>
      </c>
      <c r="I1267" s="43" t="s">
        <v>3950</v>
      </c>
      <c r="J1267" s="26"/>
      <c r="K1267" s="17">
        <f t="shared" si="120"/>
        <v>0</v>
      </c>
      <c r="N1267" s="31" t="str">
        <f t="shared" si="117"/>
        <v>-</v>
      </c>
      <c r="O1267" s="31" t="str">
        <f t="shared" si="119"/>
        <v>-</v>
      </c>
      <c r="P1267" s="35" t="str">
        <f t="shared" si="118"/>
        <v>-</v>
      </c>
      <c r="Q1267" s="32" t="str">
        <f t="shared" ref="Q1267:Q1327" si="121">IFERROR(IF($N$2&gt;0, $N$2*P1267, "-"), "-")</f>
        <v>-</v>
      </c>
      <c r="S1267" s="32" t="str">
        <f t="shared" ref="S1267:S1327" si="122">IFERROR(IF(Q1267+K1267=0, "-", IF(Q1267&gt;0, Q1267+K1267, "-")), "-")</f>
        <v>-</v>
      </c>
    </row>
    <row r="1268" spans="1:19" x14ac:dyDescent="0.3">
      <c r="A1268" s="45" t="s">
        <v>3542</v>
      </c>
      <c r="B1268" s="40" t="s">
        <v>1049</v>
      </c>
      <c r="C1268" s="41" t="s">
        <v>2074</v>
      </c>
      <c r="D1268" s="21" t="s">
        <v>2224</v>
      </c>
      <c r="E1268" s="21" t="s">
        <v>2222</v>
      </c>
      <c r="F1268" s="24">
        <v>8.880771614137499E-2</v>
      </c>
      <c r="G1268" s="21">
        <v>12</v>
      </c>
      <c r="H1268" s="17">
        <v>12.15</v>
      </c>
      <c r="I1268" s="43" t="s">
        <v>3950</v>
      </c>
      <c r="J1268" s="26"/>
      <c r="K1268" s="17">
        <f t="shared" si="120"/>
        <v>0</v>
      </c>
      <c r="N1268" s="31" t="str">
        <f t="shared" si="117"/>
        <v>-</v>
      </c>
      <c r="O1268" s="31" t="str">
        <f t="shared" si="119"/>
        <v>-</v>
      </c>
      <c r="P1268" s="35" t="str">
        <f t="shared" si="118"/>
        <v>-</v>
      </c>
      <c r="Q1268" s="32" t="str">
        <f t="shared" si="121"/>
        <v>-</v>
      </c>
      <c r="S1268" s="32" t="str">
        <f t="shared" si="122"/>
        <v>-</v>
      </c>
    </row>
    <row r="1269" spans="1:19" x14ac:dyDescent="0.3">
      <c r="A1269" s="45" t="s">
        <v>3543</v>
      </c>
      <c r="B1269" s="40" t="s">
        <v>419</v>
      </c>
      <c r="C1269" s="41" t="s">
        <v>2074</v>
      </c>
      <c r="D1269" s="21" t="s">
        <v>2227</v>
      </c>
      <c r="E1269" s="21" t="s">
        <v>2222</v>
      </c>
      <c r="F1269" s="24">
        <v>0.17160911331666664</v>
      </c>
      <c r="G1269" s="21">
        <v>12</v>
      </c>
      <c r="H1269" s="17">
        <v>23.25</v>
      </c>
      <c r="I1269" s="43" t="s">
        <v>3950</v>
      </c>
      <c r="J1269" s="26"/>
      <c r="K1269" s="17">
        <f t="shared" si="120"/>
        <v>0</v>
      </c>
      <c r="N1269" s="31" t="str">
        <f t="shared" si="117"/>
        <v>-</v>
      </c>
      <c r="O1269" s="31" t="str">
        <f t="shared" si="119"/>
        <v>-</v>
      </c>
      <c r="P1269" s="35" t="str">
        <f t="shared" si="118"/>
        <v>-</v>
      </c>
      <c r="Q1269" s="32" t="str">
        <f t="shared" si="121"/>
        <v>-</v>
      </c>
      <c r="S1269" s="32" t="str">
        <f t="shared" si="122"/>
        <v>-</v>
      </c>
    </row>
    <row r="1270" spans="1:19" x14ac:dyDescent="0.3">
      <c r="A1270" s="45" t="s">
        <v>3544</v>
      </c>
      <c r="B1270" s="40" t="s">
        <v>1428</v>
      </c>
      <c r="C1270" s="41" t="s">
        <v>2075</v>
      </c>
      <c r="D1270" s="21" t="s">
        <v>2224</v>
      </c>
      <c r="E1270" s="21" t="s">
        <v>2222</v>
      </c>
      <c r="F1270" s="24">
        <v>0.114549083138875</v>
      </c>
      <c r="G1270" s="21">
        <v>12</v>
      </c>
      <c r="H1270" s="17">
        <v>6.59</v>
      </c>
      <c r="I1270" s="43" t="s">
        <v>3950</v>
      </c>
      <c r="J1270" s="26"/>
      <c r="K1270" s="17">
        <f t="shared" si="120"/>
        <v>0</v>
      </c>
      <c r="N1270" s="31" t="str">
        <f t="shared" si="117"/>
        <v>-</v>
      </c>
      <c r="O1270" s="31" t="str">
        <f t="shared" si="119"/>
        <v>-</v>
      </c>
      <c r="P1270" s="35" t="str">
        <f t="shared" si="118"/>
        <v>-</v>
      </c>
      <c r="Q1270" s="32" t="str">
        <f t="shared" si="121"/>
        <v>-</v>
      </c>
      <c r="S1270" s="32" t="str">
        <f t="shared" si="122"/>
        <v>-</v>
      </c>
    </row>
    <row r="1271" spans="1:19" x14ac:dyDescent="0.3">
      <c r="A1271" s="45" t="s">
        <v>3545</v>
      </c>
      <c r="B1271" s="40" t="s">
        <v>1180</v>
      </c>
      <c r="C1271" s="41" t="s">
        <v>2075</v>
      </c>
      <c r="D1271" s="21" t="s">
        <v>2227</v>
      </c>
      <c r="E1271" s="21" t="s">
        <v>2222</v>
      </c>
      <c r="F1271" s="24">
        <v>0.19735048031416669</v>
      </c>
      <c r="G1271" s="21">
        <v>12</v>
      </c>
      <c r="H1271" s="17">
        <v>12.15</v>
      </c>
      <c r="I1271" s="43" t="s">
        <v>3950</v>
      </c>
      <c r="J1271" s="26"/>
      <c r="K1271" s="17">
        <f t="shared" si="120"/>
        <v>0</v>
      </c>
      <c r="N1271" s="31" t="str">
        <f t="shared" si="117"/>
        <v>-</v>
      </c>
      <c r="O1271" s="31" t="str">
        <f t="shared" si="119"/>
        <v>-</v>
      </c>
      <c r="P1271" s="35" t="str">
        <f t="shared" si="118"/>
        <v>-</v>
      </c>
      <c r="Q1271" s="32" t="str">
        <f t="shared" si="121"/>
        <v>-</v>
      </c>
      <c r="S1271" s="32" t="str">
        <f t="shared" si="122"/>
        <v>-</v>
      </c>
    </row>
    <row r="1272" spans="1:19" x14ac:dyDescent="0.3">
      <c r="A1272" s="45" t="s">
        <v>3546</v>
      </c>
      <c r="B1272" s="40" t="s">
        <v>538</v>
      </c>
      <c r="C1272" s="41" t="s">
        <v>2075</v>
      </c>
      <c r="D1272" s="21" t="s">
        <v>2233</v>
      </c>
      <c r="E1272" s="21" t="s">
        <v>2222</v>
      </c>
      <c r="F1272" s="24">
        <v>0.38268832269616665</v>
      </c>
      <c r="G1272" s="21">
        <v>12</v>
      </c>
      <c r="H1272" s="17">
        <v>23.25</v>
      </c>
      <c r="I1272" s="43" t="s">
        <v>3950</v>
      </c>
      <c r="J1272" s="26"/>
      <c r="K1272" s="17">
        <f t="shared" si="120"/>
        <v>0</v>
      </c>
      <c r="N1272" s="31" t="str">
        <f t="shared" si="117"/>
        <v>-</v>
      </c>
      <c r="O1272" s="31" t="str">
        <f t="shared" si="119"/>
        <v>-</v>
      </c>
      <c r="P1272" s="35" t="str">
        <f t="shared" si="118"/>
        <v>-</v>
      </c>
      <c r="Q1272" s="32" t="str">
        <f t="shared" si="121"/>
        <v>-</v>
      </c>
      <c r="S1272" s="32" t="str">
        <f t="shared" si="122"/>
        <v>-</v>
      </c>
    </row>
    <row r="1273" spans="1:19" x14ac:dyDescent="0.3">
      <c r="A1273" s="45" t="s">
        <v>3547</v>
      </c>
      <c r="B1273" s="40" t="s">
        <v>1209</v>
      </c>
      <c r="C1273" s="41" t="s">
        <v>2075</v>
      </c>
      <c r="D1273" s="21" t="s">
        <v>2224</v>
      </c>
      <c r="E1273" s="21" t="s">
        <v>2234</v>
      </c>
      <c r="F1273" s="24">
        <v>9.009478449125001E-2</v>
      </c>
      <c r="G1273" s="21">
        <v>12</v>
      </c>
      <c r="H1273" s="17">
        <v>6.59</v>
      </c>
      <c r="I1273" s="43" t="s">
        <v>3950</v>
      </c>
      <c r="J1273" s="26"/>
      <c r="K1273" s="17">
        <f t="shared" si="120"/>
        <v>0</v>
      </c>
      <c r="N1273" s="31" t="str">
        <f t="shared" si="117"/>
        <v>-</v>
      </c>
      <c r="O1273" s="31" t="str">
        <f t="shared" si="119"/>
        <v>-</v>
      </c>
      <c r="P1273" s="35" t="str">
        <f t="shared" si="118"/>
        <v>-</v>
      </c>
      <c r="Q1273" s="32" t="str">
        <f t="shared" si="121"/>
        <v>-</v>
      </c>
      <c r="S1273" s="32" t="str">
        <f t="shared" si="122"/>
        <v>-</v>
      </c>
    </row>
    <row r="1274" spans="1:19" x14ac:dyDescent="0.3">
      <c r="A1274" s="45" t="s">
        <v>3548</v>
      </c>
      <c r="B1274" s="40" t="s">
        <v>680</v>
      </c>
      <c r="C1274" s="41" t="s">
        <v>2075</v>
      </c>
      <c r="D1274" s="21" t="s">
        <v>2227</v>
      </c>
      <c r="E1274" s="21" t="s">
        <v>2234</v>
      </c>
      <c r="F1274" s="24">
        <v>0.17246715888324998</v>
      </c>
      <c r="G1274" s="21">
        <v>12</v>
      </c>
      <c r="H1274" s="17">
        <v>12.15</v>
      </c>
      <c r="I1274" s="43" t="s">
        <v>3950</v>
      </c>
      <c r="J1274" s="26"/>
      <c r="K1274" s="17">
        <f t="shared" si="120"/>
        <v>0</v>
      </c>
      <c r="N1274" s="31" t="str">
        <f t="shared" si="117"/>
        <v>-</v>
      </c>
      <c r="O1274" s="31" t="str">
        <f t="shared" si="119"/>
        <v>-</v>
      </c>
      <c r="P1274" s="35" t="str">
        <f t="shared" si="118"/>
        <v>-</v>
      </c>
      <c r="Q1274" s="32" t="str">
        <f t="shared" si="121"/>
        <v>-</v>
      </c>
      <c r="S1274" s="32" t="str">
        <f t="shared" si="122"/>
        <v>-</v>
      </c>
    </row>
    <row r="1275" spans="1:19" x14ac:dyDescent="0.3">
      <c r="A1275" s="45" t="s">
        <v>3549</v>
      </c>
      <c r="B1275" s="40" t="s">
        <v>447</v>
      </c>
      <c r="C1275" s="41" t="s">
        <v>2075</v>
      </c>
      <c r="D1275" s="21" t="s">
        <v>2233</v>
      </c>
      <c r="E1275" s="21" t="s">
        <v>2234</v>
      </c>
      <c r="F1275" s="24">
        <v>0.33678288488395836</v>
      </c>
      <c r="G1275" s="21">
        <v>12</v>
      </c>
      <c r="H1275" s="17">
        <v>23.25</v>
      </c>
      <c r="I1275" s="43" t="s">
        <v>3950</v>
      </c>
      <c r="J1275" s="26"/>
      <c r="K1275" s="17">
        <f t="shared" si="120"/>
        <v>0</v>
      </c>
      <c r="N1275" s="31" t="str">
        <f t="shared" ref="N1275:N1337" si="123">IFERROR(IF($N$2*F1275=0, "-", $N$2*F1275), "-")</f>
        <v>-</v>
      </c>
      <c r="O1275" s="31" t="str">
        <f t="shared" si="119"/>
        <v>-</v>
      </c>
      <c r="P1275" s="35" t="str">
        <f t="shared" ref="P1275:P1337" si="124">IF(J1275&gt;0,J1275*F1275, "-")</f>
        <v>-</v>
      </c>
      <c r="Q1275" s="32" t="str">
        <f t="shared" si="121"/>
        <v>-</v>
      </c>
      <c r="S1275" s="32" t="str">
        <f t="shared" si="122"/>
        <v>-</v>
      </c>
    </row>
    <row r="1276" spans="1:19" x14ac:dyDescent="0.3">
      <c r="A1276" s="45" t="s">
        <v>3550</v>
      </c>
      <c r="B1276" s="40" t="s">
        <v>988</v>
      </c>
      <c r="C1276" s="41" t="s">
        <v>2076</v>
      </c>
      <c r="D1276" s="21" t="s">
        <v>2224</v>
      </c>
      <c r="E1276" s="21" t="s">
        <v>2222</v>
      </c>
      <c r="F1276" s="24">
        <v>8.880771614137499E-2</v>
      </c>
      <c r="G1276" s="21">
        <v>12</v>
      </c>
      <c r="H1276" s="17">
        <v>6.3</v>
      </c>
      <c r="I1276" s="43" t="s">
        <v>3950</v>
      </c>
      <c r="J1276" s="26"/>
      <c r="K1276" s="17">
        <f t="shared" si="120"/>
        <v>0</v>
      </c>
      <c r="N1276" s="31" t="str">
        <f t="shared" si="123"/>
        <v>-</v>
      </c>
      <c r="O1276" s="31" t="str">
        <f t="shared" si="119"/>
        <v>-</v>
      </c>
      <c r="P1276" s="35" t="str">
        <f t="shared" si="124"/>
        <v>-</v>
      </c>
      <c r="Q1276" s="32" t="str">
        <f t="shared" si="121"/>
        <v>-</v>
      </c>
      <c r="S1276" s="32" t="str">
        <f t="shared" si="122"/>
        <v>-</v>
      </c>
    </row>
    <row r="1277" spans="1:19" x14ac:dyDescent="0.3">
      <c r="A1277" s="45" t="s">
        <v>3552</v>
      </c>
      <c r="B1277" s="40" t="s">
        <v>966</v>
      </c>
      <c r="C1277" s="41" t="s">
        <v>2077</v>
      </c>
      <c r="D1277" s="21" t="s">
        <v>2223</v>
      </c>
      <c r="E1277" s="21" t="s">
        <v>2232</v>
      </c>
      <c r="F1277" s="24">
        <v>6.3066349143875003E-2</v>
      </c>
      <c r="G1277" s="21">
        <v>12</v>
      </c>
      <c r="H1277" s="17">
        <v>10.95</v>
      </c>
      <c r="I1277" s="43" t="s">
        <v>3950</v>
      </c>
      <c r="J1277" s="26"/>
      <c r="K1277" s="17">
        <f t="shared" si="120"/>
        <v>0</v>
      </c>
      <c r="N1277" s="31" t="str">
        <f t="shared" si="123"/>
        <v>-</v>
      </c>
      <c r="O1277" s="31" t="str">
        <f t="shared" ref="O1277:O1340" si="125">IFERROR(IF(N1277&gt;0,H1277+N1277,"-"),"-")</f>
        <v>-</v>
      </c>
      <c r="P1277" s="35" t="str">
        <f t="shared" si="124"/>
        <v>-</v>
      </c>
      <c r="Q1277" s="32" t="str">
        <f t="shared" si="121"/>
        <v>-</v>
      </c>
      <c r="S1277" s="32" t="str">
        <f t="shared" si="122"/>
        <v>-</v>
      </c>
    </row>
    <row r="1278" spans="1:19" x14ac:dyDescent="0.3">
      <c r="A1278" s="45" t="s">
        <v>3553</v>
      </c>
      <c r="B1278" s="40" t="s">
        <v>176</v>
      </c>
      <c r="C1278" s="41" t="s">
        <v>2077</v>
      </c>
      <c r="D1278" s="21" t="s">
        <v>2224</v>
      </c>
      <c r="E1278" s="21" t="s">
        <v>2232</v>
      </c>
      <c r="F1278" s="24">
        <v>0.114549083138875</v>
      </c>
      <c r="G1278" s="21">
        <v>12</v>
      </c>
      <c r="H1278" s="17">
        <v>20.7</v>
      </c>
      <c r="I1278" s="43" t="s">
        <v>3950</v>
      </c>
      <c r="J1278" s="26"/>
      <c r="K1278" s="17">
        <f t="shared" si="120"/>
        <v>0</v>
      </c>
      <c r="N1278" s="31" t="str">
        <f t="shared" si="123"/>
        <v>-</v>
      </c>
      <c r="O1278" s="31" t="str">
        <f t="shared" si="125"/>
        <v>-</v>
      </c>
      <c r="P1278" s="35" t="str">
        <f t="shared" si="124"/>
        <v>-</v>
      </c>
      <c r="Q1278" s="32" t="str">
        <f t="shared" si="121"/>
        <v>-</v>
      </c>
      <c r="S1278" s="32" t="str">
        <f t="shared" si="122"/>
        <v>-</v>
      </c>
    </row>
    <row r="1279" spans="1:19" x14ac:dyDescent="0.3">
      <c r="A1279" s="45" t="s">
        <v>3554</v>
      </c>
      <c r="B1279" s="40" t="s">
        <v>436</v>
      </c>
      <c r="C1279" s="41" t="s">
        <v>2077</v>
      </c>
      <c r="D1279" s="21" t="s">
        <v>2227</v>
      </c>
      <c r="E1279" s="21" t="s">
        <v>2232</v>
      </c>
      <c r="F1279" s="24">
        <v>0.22094673339520837</v>
      </c>
      <c r="G1279" s="21">
        <v>12</v>
      </c>
      <c r="H1279" s="17">
        <v>39.9</v>
      </c>
      <c r="I1279" s="43" t="s">
        <v>3950</v>
      </c>
      <c r="J1279" s="26"/>
      <c r="K1279" s="17">
        <f t="shared" si="120"/>
        <v>0</v>
      </c>
      <c r="N1279" s="31" t="str">
        <f t="shared" si="123"/>
        <v>-</v>
      </c>
      <c r="O1279" s="31" t="str">
        <f t="shared" si="125"/>
        <v>-</v>
      </c>
      <c r="P1279" s="35" t="str">
        <f t="shared" si="124"/>
        <v>-</v>
      </c>
      <c r="Q1279" s="32" t="str">
        <f t="shared" si="121"/>
        <v>-</v>
      </c>
      <c r="S1279" s="32" t="str">
        <f t="shared" si="122"/>
        <v>-</v>
      </c>
    </row>
    <row r="1280" spans="1:19" x14ac:dyDescent="0.3">
      <c r="A1280" s="45" t="s">
        <v>3555</v>
      </c>
      <c r="B1280" s="40" t="s">
        <v>1210</v>
      </c>
      <c r="C1280" s="41" t="s">
        <v>2078</v>
      </c>
      <c r="D1280" s="21" t="s">
        <v>2225</v>
      </c>
      <c r="E1280" s="21" t="s">
        <v>2222</v>
      </c>
      <c r="F1280" s="24">
        <v>0.14329360961941667</v>
      </c>
      <c r="G1280" s="21">
        <v>12</v>
      </c>
      <c r="H1280" s="17">
        <v>8.39</v>
      </c>
      <c r="I1280" s="43" t="s">
        <v>3950</v>
      </c>
      <c r="J1280" s="26"/>
      <c r="K1280" s="17">
        <f t="shared" si="120"/>
        <v>0</v>
      </c>
      <c r="N1280" s="31" t="str">
        <f t="shared" si="123"/>
        <v>-</v>
      </c>
      <c r="O1280" s="31" t="str">
        <f t="shared" si="125"/>
        <v>-</v>
      </c>
      <c r="P1280" s="35" t="str">
        <f t="shared" si="124"/>
        <v>-</v>
      </c>
      <c r="Q1280" s="32" t="str">
        <f t="shared" si="121"/>
        <v>-</v>
      </c>
      <c r="S1280" s="32" t="str">
        <f t="shared" si="122"/>
        <v>-</v>
      </c>
    </row>
    <row r="1281" spans="1:19" x14ac:dyDescent="0.3">
      <c r="A1281" s="45" t="s">
        <v>3556</v>
      </c>
      <c r="B1281" s="40" t="s">
        <v>123</v>
      </c>
      <c r="C1281" s="41" t="s">
        <v>2078</v>
      </c>
      <c r="D1281" s="21" t="s">
        <v>2226</v>
      </c>
      <c r="E1281" s="21" t="s">
        <v>2222</v>
      </c>
      <c r="F1281" s="24">
        <v>0.24969125987575003</v>
      </c>
      <c r="G1281" s="21">
        <v>12</v>
      </c>
      <c r="H1281" s="17">
        <v>15.9</v>
      </c>
      <c r="I1281" s="43" t="s">
        <v>3950</v>
      </c>
      <c r="J1281" s="26"/>
      <c r="K1281" s="17">
        <f t="shared" si="120"/>
        <v>0</v>
      </c>
      <c r="N1281" s="31" t="str">
        <f t="shared" si="123"/>
        <v>-</v>
      </c>
      <c r="O1281" s="31" t="str">
        <f t="shared" si="125"/>
        <v>-</v>
      </c>
      <c r="P1281" s="35" t="str">
        <f t="shared" si="124"/>
        <v>-</v>
      </c>
      <c r="Q1281" s="32" t="str">
        <f t="shared" si="121"/>
        <v>-</v>
      </c>
      <c r="S1281" s="32" t="str">
        <f t="shared" si="122"/>
        <v>-</v>
      </c>
    </row>
    <row r="1282" spans="1:19" x14ac:dyDescent="0.3">
      <c r="A1282" s="45" t="s">
        <v>3557</v>
      </c>
      <c r="B1282" s="40" t="s">
        <v>401</v>
      </c>
      <c r="C1282" s="41" t="s">
        <v>2079</v>
      </c>
      <c r="D1282" s="21" t="s">
        <v>2239</v>
      </c>
      <c r="E1282" s="21" t="s">
        <v>2222</v>
      </c>
      <c r="F1282" s="24">
        <v>0.14329360961941667</v>
      </c>
      <c r="G1282" s="21">
        <v>12</v>
      </c>
      <c r="H1282" s="17">
        <v>8.6999999999999993</v>
      </c>
      <c r="I1282" s="43" t="s">
        <v>3950</v>
      </c>
      <c r="J1282" s="26"/>
      <c r="K1282" s="17">
        <f t="shared" si="120"/>
        <v>0</v>
      </c>
      <c r="N1282" s="31" t="str">
        <f t="shared" si="123"/>
        <v>-</v>
      </c>
      <c r="O1282" s="31" t="str">
        <f t="shared" si="125"/>
        <v>-</v>
      </c>
      <c r="P1282" s="35" t="str">
        <f t="shared" si="124"/>
        <v>-</v>
      </c>
      <c r="Q1282" s="32" t="str">
        <f t="shared" si="121"/>
        <v>-</v>
      </c>
      <c r="S1282" s="32" t="str">
        <f t="shared" si="122"/>
        <v>-</v>
      </c>
    </row>
    <row r="1283" spans="1:19" x14ac:dyDescent="0.3">
      <c r="A1283" s="45" t="s">
        <v>3558</v>
      </c>
      <c r="B1283" s="40" t="s">
        <v>422</v>
      </c>
      <c r="C1283" s="41" t="s">
        <v>2079</v>
      </c>
      <c r="D1283" s="21" t="s">
        <v>2221</v>
      </c>
      <c r="E1283" s="21" t="s">
        <v>2222</v>
      </c>
      <c r="F1283" s="24">
        <v>0.24969125987575003</v>
      </c>
      <c r="G1283" s="21">
        <v>12</v>
      </c>
      <c r="H1283" s="17">
        <v>16.79</v>
      </c>
      <c r="I1283" s="43" t="s">
        <v>3950</v>
      </c>
      <c r="J1283" s="26"/>
      <c r="K1283" s="17">
        <f t="shared" si="120"/>
        <v>0</v>
      </c>
      <c r="N1283" s="31" t="str">
        <f t="shared" si="123"/>
        <v>-</v>
      </c>
      <c r="O1283" s="31" t="str">
        <f t="shared" si="125"/>
        <v>-</v>
      </c>
      <c r="P1283" s="35" t="str">
        <f t="shared" si="124"/>
        <v>-</v>
      </c>
      <c r="Q1283" s="32" t="str">
        <f t="shared" si="121"/>
        <v>-</v>
      </c>
      <c r="S1283" s="32" t="str">
        <f t="shared" si="122"/>
        <v>-</v>
      </c>
    </row>
    <row r="1284" spans="1:19" x14ac:dyDescent="0.3">
      <c r="A1284" s="45" t="s">
        <v>3559</v>
      </c>
      <c r="B1284" s="40" t="s">
        <v>1057</v>
      </c>
      <c r="C1284" s="41" t="s">
        <v>2079</v>
      </c>
      <c r="D1284" s="21" t="s">
        <v>2242</v>
      </c>
      <c r="E1284" s="21" t="s">
        <v>2222</v>
      </c>
      <c r="F1284" s="24">
        <v>0.49123108686895833</v>
      </c>
      <c r="G1284" s="21">
        <v>12</v>
      </c>
      <c r="H1284" s="17">
        <v>32.700000000000003</v>
      </c>
      <c r="I1284" s="43" t="s">
        <v>3950</v>
      </c>
      <c r="J1284" s="26"/>
      <c r="K1284" s="17">
        <f t="shared" si="120"/>
        <v>0</v>
      </c>
      <c r="N1284" s="31" t="str">
        <f t="shared" si="123"/>
        <v>-</v>
      </c>
      <c r="O1284" s="31" t="str">
        <f t="shared" si="125"/>
        <v>-</v>
      </c>
      <c r="P1284" s="35" t="str">
        <f t="shared" si="124"/>
        <v>-</v>
      </c>
      <c r="Q1284" s="32" t="str">
        <f t="shared" si="121"/>
        <v>-</v>
      </c>
      <c r="S1284" s="32" t="str">
        <f t="shared" si="122"/>
        <v>-</v>
      </c>
    </row>
    <row r="1285" spans="1:19" x14ac:dyDescent="0.3">
      <c r="A1285" s="45" t="s">
        <v>3560</v>
      </c>
      <c r="B1285" s="40" t="s">
        <v>1316</v>
      </c>
      <c r="C1285" s="41" t="s">
        <v>2080</v>
      </c>
      <c r="D1285" s="21" t="s">
        <v>2223</v>
      </c>
      <c r="E1285" s="21" t="s">
        <v>2234</v>
      </c>
      <c r="F1285" s="24">
        <v>6.1779280794000004E-2</v>
      </c>
      <c r="G1285" s="21">
        <v>12</v>
      </c>
      <c r="H1285" s="17">
        <v>12.59</v>
      </c>
      <c r="I1285" s="43" t="s">
        <v>3950</v>
      </c>
      <c r="J1285" s="26"/>
      <c r="K1285" s="17">
        <f t="shared" si="120"/>
        <v>0</v>
      </c>
      <c r="N1285" s="31" t="str">
        <f t="shared" si="123"/>
        <v>-</v>
      </c>
      <c r="O1285" s="31" t="str">
        <f t="shared" si="125"/>
        <v>-</v>
      </c>
      <c r="P1285" s="35" t="str">
        <f t="shared" si="124"/>
        <v>-</v>
      </c>
      <c r="Q1285" s="32" t="str">
        <f t="shared" si="121"/>
        <v>-</v>
      </c>
      <c r="S1285" s="32" t="str">
        <f t="shared" si="122"/>
        <v>-</v>
      </c>
    </row>
    <row r="1286" spans="1:19" x14ac:dyDescent="0.3">
      <c r="A1286" s="45" t="s">
        <v>3561</v>
      </c>
      <c r="B1286" s="40" t="s">
        <v>1288</v>
      </c>
      <c r="C1286" s="41" t="s">
        <v>2080</v>
      </c>
      <c r="D1286" s="21" t="s">
        <v>2224</v>
      </c>
      <c r="E1286" s="21" t="s">
        <v>2234</v>
      </c>
      <c r="F1286" s="24">
        <v>9.1810875624416685E-2</v>
      </c>
      <c r="G1286" s="21">
        <v>12</v>
      </c>
      <c r="H1286" s="17">
        <v>24.15</v>
      </c>
      <c r="I1286" s="43" t="s">
        <v>3950</v>
      </c>
      <c r="J1286" s="26"/>
      <c r="K1286" s="17">
        <f t="shared" si="120"/>
        <v>0</v>
      </c>
      <c r="N1286" s="31" t="str">
        <f t="shared" si="123"/>
        <v>-</v>
      </c>
      <c r="O1286" s="31" t="str">
        <f t="shared" si="125"/>
        <v>-</v>
      </c>
      <c r="P1286" s="35" t="str">
        <f t="shared" si="124"/>
        <v>-</v>
      </c>
      <c r="Q1286" s="32" t="str">
        <f t="shared" si="121"/>
        <v>-</v>
      </c>
      <c r="S1286" s="32" t="str">
        <f t="shared" si="122"/>
        <v>-</v>
      </c>
    </row>
    <row r="1287" spans="1:19" x14ac:dyDescent="0.3">
      <c r="A1287" s="45" t="s">
        <v>3562</v>
      </c>
      <c r="B1287" s="40" t="s">
        <v>646</v>
      </c>
      <c r="C1287" s="41" t="s">
        <v>2080</v>
      </c>
      <c r="D1287" s="21" t="s">
        <v>2227</v>
      </c>
      <c r="E1287" s="21" t="s">
        <v>2234</v>
      </c>
      <c r="F1287" s="24">
        <v>0.17246715888324998</v>
      </c>
      <c r="G1287" s="21">
        <v>12</v>
      </c>
      <c r="H1287" s="17">
        <v>47.25</v>
      </c>
      <c r="I1287" s="43" t="s">
        <v>3950</v>
      </c>
      <c r="J1287" s="26"/>
      <c r="K1287" s="17">
        <f t="shared" si="120"/>
        <v>0</v>
      </c>
      <c r="N1287" s="31" t="str">
        <f t="shared" si="123"/>
        <v>-</v>
      </c>
      <c r="O1287" s="31" t="str">
        <f t="shared" si="125"/>
        <v>-</v>
      </c>
      <c r="P1287" s="35" t="str">
        <f t="shared" si="124"/>
        <v>-</v>
      </c>
      <c r="Q1287" s="32" t="str">
        <f t="shared" si="121"/>
        <v>-</v>
      </c>
      <c r="S1287" s="32" t="str">
        <f t="shared" si="122"/>
        <v>-</v>
      </c>
    </row>
    <row r="1288" spans="1:19" x14ac:dyDescent="0.3">
      <c r="A1288" s="45" t="s">
        <v>3563</v>
      </c>
      <c r="B1288" s="40" t="s">
        <v>402</v>
      </c>
      <c r="C1288" s="41" t="s">
        <v>2081</v>
      </c>
      <c r="D1288" s="21" t="s">
        <v>2230</v>
      </c>
      <c r="E1288" s="21" t="s">
        <v>2229</v>
      </c>
      <c r="F1288" s="24">
        <v>0.17375422723312497</v>
      </c>
      <c r="G1288" s="21">
        <v>12</v>
      </c>
      <c r="H1288" s="17">
        <v>8.6999999999999993</v>
      </c>
      <c r="I1288" s="43" t="s">
        <v>3950</v>
      </c>
      <c r="J1288" s="26"/>
      <c r="K1288" s="17">
        <f t="shared" si="120"/>
        <v>0</v>
      </c>
      <c r="N1288" s="31" t="str">
        <f t="shared" si="123"/>
        <v>-</v>
      </c>
      <c r="O1288" s="31" t="str">
        <f t="shared" si="125"/>
        <v>-</v>
      </c>
      <c r="P1288" s="35" t="str">
        <f t="shared" si="124"/>
        <v>-</v>
      </c>
      <c r="Q1288" s="32" t="str">
        <f t="shared" si="121"/>
        <v>-</v>
      </c>
      <c r="S1288" s="32" t="str">
        <f t="shared" si="122"/>
        <v>-</v>
      </c>
    </row>
    <row r="1289" spans="1:19" x14ac:dyDescent="0.3">
      <c r="A1289" s="45" t="s">
        <v>3564</v>
      </c>
      <c r="B1289" s="40" t="s">
        <v>1062</v>
      </c>
      <c r="C1289" s="41" t="s">
        <v>2081</v>
      </c>
      <c r="D1289" s="21" t="s">
        <v>2235</v>
      </c>
      <c r="E1289" s="21" t="s">
        <v>2229</v>
      </c>
      <c r="F1289" s="24">
        <v>0.32820242921812504</v>
      </c>
      <c r="G1289" s="21">
        <v>12</v>
      </c>
      <c r="H1289" s="17">
        <v>16.5</v>
      </c>
      <c r="I1289" s="43" t="s">
        <v>3950</v>
      </c>
      <c r="J1289" s="26"/>
      <c r="K1289" s="17">
        <f t="shared" si="120"/>
        <v>0</v>
      </c>
      <c r="N1289" s="31" t="str">
        <f t="shared" si="123"/>
        <v>-</v>
      </c>
      <c r="O1289" s="31" t="str">
        <f t="shared" si="125"/>
        <v>-</v>
      </c>
      <c r="P1289" s="35" t="str">
        <f t="shared" si="124"/>
        <v>-</v>
      </c>
      <c r="Q1289" s="32" t="str">
        <f t="shared" si="121"/>
        <v>-</v>
      </c>
      <c r="S1289" s="32" t="str">
        <f t="shared" si="122"/>
        <v>-</v>
      </c>
    </row>
    <row r="1290" spans="1:19" x14ac:dyDescent="0.3">
      <c r="A1290" s="45" t="s">
        <v>3565</v>
      </c>
      <c r="B1290" s="40" t="s">
        <v>1058</v>
      </c>
      <c r="C1290" s="41" t="s">
        <v>2082</v>
      </c>
      <c r="D1290" s="21" t="s">
        <v>2239</v>
      </c>
      <c r="E1290" s="21" t="s">
        <v>2222</v>
      </c>
      <c r="F1290" s="24">
        <v>0.14329360961941667</v>
      </c>
      <c r="G1290" s="21">
        <v>12</v>
      </c>
      <c r="H1290" s="17">
        <v>7.79</v>
      </c>
      <c r="I1290" s="43" t="s">
        <v>3950</v>
      </c>
      <c r="J1290" s="26"/>
      <c r="K1290" s="17">
        <f t="shared" si="120"/>
        <v>0</v>
      </c>
      <c r="N1290" s="31" t="str">
        <f t="shared" si="123"/>
        <v>-</v>
      </c>
      <c r="O1290" s="31" t="str">
        <f t="shared" si="125"/>
        <v>-</v>
      </c>
      <c r="P1290" s="35" t="str">
        <f t="shared" si="124"/>
        <v>-</v>
      </c>
      <c r="Q1290" s="32" t="str">
        <f t="shared" si="121"/>
        <v>-</v>
      </c>
      <c r="S1290" s="32" t="str">
        <f t="shared" si="122"/>
        <v>-</v>
      </c>
    </row>
    <row r="1291" spans="1:19" x14ac:dyDescent="0.3">
      <c r="A1291" s="45" t="s">
        <v>3566</v>
      </c>
      <c r="B1291" s="40" t="s">
        <v>904</v>
      </c>
      <c r="C1291" s="41" t="s">
        <v>2082</v>
      </c>
      <c r="D1291" s="21" t="s">
        <v>2221</v>
      </c>
      <c r="E1291" s="21" t="s">
        <v>2222</v>
      </c>
      <c r="F1291" s="24">
        <v>0.27028435347375002</v>
      </c>
      <c r="G1291" s="21">
        <v>12</v>
      </c>
      <c r="H1291" s="17">
        <v>14.39</v>
      </c>
      <c r="I1291" s="43" t="s">
        <v>3950</v>
      </c>
      <c r="J1291" s="26"/>
      <c r="K1291" s="17">
        <f t="shared" si="120"/>
        <v>0</v>
      </c>
      <c r="N1291" s="31" t="str">
        <f t="shared" si="123"/>
        <v>-</v>
      </c>
      <c r="O1291" s="31" t="str">
        <f t="shared" si="125"/>
        <v>-</v>
      </c>
      <c r="P1291" s="35" t="str">
        <f t="shared" si="124"/>
        <v>-</v>
      </c>
      <c r="Q1291" s="32" t="str">
        <f t="shared" si="121"/>
        <v>-</v>
      </c>
      <c r="S1291" s="32" t="str">
        <f t="shared" si="122"/>
        <v>-</v>
      </c>
    </row>
    <row r="1292" spans="1:19" x14ac:dyDescent="0.3">
      <c r="A1292" s="45" t="s">
        <v>3567</v>
      </c>
      <c r="B1292" s="40" t="s">
        <v>1050</v>
      </c>
      <c r="C1292" s="41" t="s">
        <v>2082</v>
      </c>
      <c r="D1292" s="21" t="s">
        <v>2242</v>
      </c>
      <c r="E1292" s="21" t="s">
        <v>2222</v>
      </c>
      <c r="F1292" s="24">
        <v>0.50152763366795838</v>
      </c>
      <c r="G1292" s="21">
        <v>12</v>
      </c>
      <c r="H1292" s="17">
        <v>27.59</v>
      </c>
      <c r="I1292" s="43" t="s">
        <v>3950</v>
      </c>
      <c r="J1292" s="26"/>
      <c r="K1292" s="17">
        <f t="shared" si="120"/>
        <v>0</v>
      </c>
      <c r="N1292" s="31" t="str">
        <f t="shared" si="123"/>
        <v>-</v>
      </c>
      <c r="O1292" s="31" t="str">
        <f t="shared" si="125"/>
        <v>-</v>
      </c>
      <c r="P1292" s="35" t="str">
        <f t="shared" si="124"/>
        <v>-</v>
      </c>
      <c r="Q1292" s="32" t="str">
        <f t="shared" si="121"/>
        <v>-</v>
      </c>
      <c r="S1292" s="32" t="str">
        <f t="shared" si="122"/>
        <v>-</v>
      </c>
    </row>
    <row r="1293" spans="1:19" x14ac:dyDescent="0.3">
      <c r="A1293" s="45" t="s">
        <v>3568</v>
      </c>
      <c r="B1293" s="40" t="s">
        <v>1290</v>
      </c>
      <c r="C1293" s="41" t="s">
        <v>2083</v>
      </c>
      <c r="D1293" s="21" t="s">
        <v>2235</v>
      </c>
      <c r="E1293" s="21" t="s">
        <v>2229</v>
      </c>
      <c r="F1293" s="24">
        <v>0.29731278882112505</v>
      </c>
      <c r="G1293" s="21">
        <v>12</v>
      </c>
      <c r="H1293" s="17">
        <v>12.9</v>
      </c>
      <c r="I1293" s="43" t="s">
        <v>3950</v>
      </c>
      <c r="J1293" s="26"/>
      <c r="K1293" s="17">
        <f t="shared" si="120"/>
        <v>0</v>
      </c>
      <c r="N1293" s="31" t="str">
        <f t="shared" si="123"/>
        <v>-</v>
      </c>
      <c r="O1293" s="31" t="str">
        <f t="shared" si="125"/>
        <v>-</v>
      </c>
      <c r="P1293" s="35" t="str">
        <f t="shared" si="124"/>
        <v>-</v>
      </c>
      <c r="Q1293" s="32" t="str">
        <f t="shared" si="121"/>
        <v>-</v>
      </c>
      <c r="S1293" s="32" t="str">
        <f t="shared" si="122"/>
        <v>-</v>
      </c>
    </row>
    <row r="1294" spans="1:19" x14ac:dyDescent="0.3">
      <c r="A1294" s="45" t="s">
        <v>3569</v>
      </c>
      <c r="B1294" s="40" t="s">
        <v>577</v>
      </c>
      <c r="C1294" s="41" t="s">
        <v>2083</v>
      </c>
      <c r="D1294" s="21" t="s">
        <v>2236</v>
      </c>
      <c r="E1294" s="21" t="s">
        <v>2229</v>
      </c>
      <c r="F1294" s="24">
        <v>0.56631007394499999</v>
      </c>
      <c r="G1294" s="21">
        <v>12</v>
      </c>
      <c r="H1294" s="17">
        <v>24.59</v>
      </c>
      <c r="I1294" s="43" t="s">
        <v>3950</v>
      </c>
      <c r="J1294" s="26"/>
      <c r="K1294" s="17">
        <f t="shared" si="120"/>
        <v>0</v>
      </c>
      <c r="N1294" s="31" t="str">
        <f t="shared" si="123"/>
        <v>-</v>
      </c>
      <c r="O1294" s="31" t="str">
        <f t="shared" si="125"/>
        <v>-</v>
      </c>
      <c r="P1294" s="35" t="str">
        <f t="shared" si="124"/>
        <v>-</v>
      </c>
      <c r="Q1294" s="32" t="str">
        <f t="shared" si="121"/>
        <v>-</v>
      </c>
      <c r="S1294" s="32" t="str">
        <f t="shared" si="122"/>
        <v>-</v>
      </c>
    </row>
    <row r="1295" spans="1:19" x14ac:dyDescent="0.3">
      <c r="A1295" s="45" t="s">
        <v>3570</v>
      </c>
      <c r="B1295" s="40" t="s">
        <v>666</v>
      </c>
      <c r="C1295" s="41" t="s">
        <v>2084</v>
      </c>
      <c r="D1295" s="21" t="s">
        <v>2236</v>
      </c>
      <c r="E1295" s="21" t="s">
        <v>2262</v>
      </c>
      <c r="F1295" s="24">
        <v>0.18555235377364585</v>
      </c>
      <c r="G1295" s="21">
        <v>24</v>
      </c>
      <c r="H1295" s="17">
        <v>11.39</v>
      </c>
      <c r="I1295" s="43" t="s">
        <v>3950</v>
      </c>
      <c r="J1295" s="26"/>
      <c r="K1295" s="17">
        <f t="shared" si="120"/>
        <v>0</v>
      </c>
      <c r="N1295" s="31" t="str">
        <f t="shared" si="123"/>
        <v>-</v>
      </c>
      <c r="O1295" s="31" t="str">
        <f t="shared" si="125"/>
        <v>-</v>
      </c>
      <c r="P1295" s="35" t="str">
        <f t="shared" si="124"/>
        <v>-</v>
      </c>
      <c r="Q1295" s="32" t="str">
        <f t="shared" si="121"/>
        <v>-</v>
      </c>
      <c r="S1295" s="32" t="str">
        <f t="shared" si="122"/>
        <v>-</v>
      </c>
    </row>
    <row r="1296" spans="1:19" x14ac:dyDescent="0.3">
      <c r="A1296" s="45" t="s">
        <v>3571</v>
      </c>
      <c r="B1296" s="40" t="s">
        <v>323</v>
      </c>
      <c r="C1296" s="41" t="s">
        <v>2085</v>
      </c>
      <c r="D1296" s="21" t="s">
        <v>2223</v>
      </c>
      <c r="E1296" s="21" t="s">
        <v>2234</v>
      </c>
      <c r="F1296" s="24">
        <v>4.6334460595500011E-2</v>
      </c>
      <c r="G1296" s="21">
        <v>12</v>
      </c>
      <c r="H1296" s="17">
        <v>6.9</v>
      </c>
      <c r="I1296" s="43" t="s">
        <v>3950</v>
      </c>
      <c r="J1296" s="26"/>
      <c r="K1296" s="17">
        <f t="shared" si="120"/>
        <v>0</v>
      </c>
      <c r="N1296" s="31" t="str">
        <f t="shared" si="123"/>
        <v>-</v>
      </c>
      <c r="O1296" s="31" t="str">
        <f t="shared" si="125"/>
        <v>-</v>
      </c>
      <c r="P1296" s="35" t="str">
        <f t="shared" si="124"/>
        <v>-</v>
      </c>
      <c r="Q1296" s="32" t="str">
        <f t="shared" si="121"/>
        <v>-</v>
      </c>
      <c r="S1296" s="32" t="str">
        <f t="shared" si="122"/>
        <v>-</v>
      </c>
    </row>
    <row r="1297" spans="1:19" x14ac:dyDescent="0.3">
      <c r="A1297" s="45" t="s">
        <v>3572</v>
      </c>
      <c r="B1297" s="40" t="s">
        <v>1172</v>
      </c>
      <c r="C1297" s="41" t="s">
        <v>2086</v>
      </c>
      <c r="D1297" s="21" t="s">
        <v>2224</v>
      </c>
      <c r="E1297" s="21" t="s">
        <v>2244</v>
      </c>
      <c r="F1297" s="24">
        <v>6.0921235227416673E-2</v>
      </c>
      <c r="G1297" s="21">
        <v>12</v>
      </c>
      <c r="H1297" s="17">
        <v>8.99</v>
      </c>
      <c r="I1297" s="43" t="s">
        <v>3950</v>
      </c>
      <c r="J1297" s="26"/>
      <c r="K1297" s="17">
        <f t="shared" si="120"/>
        <v>0</v>
      </c>
      <c r="N1297" s="31" t="str">
        <f t="shared" si="123"/>
        <v>-</v>
      </c>
      <c r="O1297" s="31" t="str">
        <f t="shared" si="125"/>
        <v>-</v>
      </c>
      <c r="P1297" s="35" t="str">
        <f t="shared" si="124"/>
        <v>-</v>
      </c>
      <c r="Q1297" s="32" t="str">
        <f t="shared" si="121"/>
        <v>-</v>
      </c>
      <c r="S1297" s="32" t="str">
        <f t="shared" si="122"/>
        <v>-</v>
      </c>
    </row>
    <row r="1298" spans="1:19" x14ac:dyDescent="0.3">
      <c r="A1298" s="45" t="s">
        <v>3573</v>
      </c>
      <c r="B1298" s="40" t="s">
        <v>823</v>
      </c>
      <c r="C1298" s="41" t="s">
        <v>2086</v>
      </c>
      <c r="D1298" s="21" t="s">
        <v>2227</v>
      </c>
      <c r="E1298" s="21" t="s">
        <v>2244</v>
      </c>
      <c r="F1298" s="24">
        <v>8.880771614137499E-2</v>
      </c>
      <c r="G1298" s="21">
        <v>12</v>
      </c>
      <c r="H1298" s="17">
        <v>17.100000000000001</v>
      </c>
      <c r="I1298" s="43" t="s">
        <v>3950</v>
      </c>
      <c r="J1298" s="26"/>
      <c r="K1298" s="17">
        <f t="shared" si="120"/>
        <v>0</v>
      </c>
      <c r="N1298" s="31" t="str">
        <f t="shared" si="123"/>
        <v>-</v>
      </c>
      <c r="O1298" s="31" t="str">
        <f t="shared" si="125"/>
        <v>-</v>
      </c>
      <c r="P1298" s="35" t="str">
        <f t="shared" si="124"/>
        <v>-</v>
      </c>
      <c r="Q1298" s="32" t="str">
        <f t="shared" si="121"/>
        <v>-</v>
      </c>
      <c r="S1298" s="32" t="str">
        <f t="shared" si="122"/>
        <v>-</v>
      </c>
    </row>
    <row r="1299" spans="1:19" x14ac:dyDescent="0.3">
      <c r="A1299" s="45" t="s">
        <v>3574</v>
      </c>
      <c r="B1299" s="40" t="s">
        <v>670</v>
      </c>
      <c r="C1299" s="41" t="s">
        <v>2087</v>
      </c>
      <c r="D1299" s="21" t="s">
        <v>2223</v>
      </c>
      <c r="E1299" s="21" t="s">
        <v>2222</v>
      </c>
      <c r="F1299" s="24">
        <v>3.5179868229916665E-2</v>
      </c>
      <c r="G1299" s="21">
        <v>12</v>
      </c>
      <c r="H1299" s="17">
        <v>10.79</v>
      </c>
      <c r="I1299" s="43" t="s">
        <v>3950</v>
      </c>
      <c r="J1299" s="26"/>
      <c r="K1299" s="17">
        <f t="shared" si="120"/>
        <v>0</v>
      </c>
      <c r="N1299" s="31" t="str">
        <f t="shared" si="123"/>
        <v>-</v>
      </c>
      <c r="O1299" s="31" t="str">
        <f t="shared" si="125"/>
        <v>-</v>
      </c>
      <c r="P1299" s="35" t="str">
        <f t="shared" si="124"/>
        <v>-</v>
      </c>
      <c r="Q1299" s="32" t="str">
        <f t="shared" si="121"/>
        <v>-</v>
      </c>
      <c r="S1299" s="32" t="str">
        <f t="shared" si="122"/>
        <v>-</v>
      </c>
    </row>
    <row r="1300" spans="1:19" x14ac:dyDescent="0.3">
      <c r="A1300" s="45" t="s">
        <v>3575</v>
      </c>
      <c r="B1300" s="40" t="s">
        <v>1213</v>
      </c>
      <c r="C1300" s="41" t="s">
        <v>2087</v>
      </c>
      <c r="D1300" s="21" t="s">
        <v>2224</v>
      </c>
      <c r="E1300" s="21" t="s">
        <v>2222</v>
      </c>
      <c r="F1300" s="24">
        <v>6.1779280794000004E-2</v>
      </c>
      <c r="G1300" s="21">
        <v>12</v>
      </c>
      <c r="H1300" s="17">
        <v>20.85</v>
      </c>
      <c r="I1300" s="43" t="s">
        <v>3950</v>
      </c>
      <c r="J1300" s="26"/>
      <c r="K1300" s="17">
        <f t="shared" si="120"/>
        <v>0</v>
      </c>
      <c r="N1300" s="31" t="str">
        <f t="shared" si="123"/>
        <v>-</v>
      </c>
      <c r="O1300" s="31" t="str">
        <f t="shared" si="125"/>
        <v>-</v>
      </c>
      <c r="P1300" s="35" t="str">
        <f t="shared" si="124"/>
        <v>-</v>
      </c>
      <c r="Q1300" s="32" t="str">
        <f t="shared" si="121"/>
        <v>-</v>
      </c>
      <c r="S1300" s="32" t="str">
        <f t="shared" si="122"/>
        <v>-</v>
      </c>
    </row>
    <row r="1301" spans="1:19" x14ac:dyDescent="0.3">
      <c r="A1301" s="45" t="s">
        <v>3576</v>
      </c>
      <c r="B1301" s="40" t="s">
        <v>438</v>
      </c>
      <c r="C1301" s="41" t="s">
        <v>2088</v>
      </c>
      <c r="D1301" s="21" t="s">
        <v>2223</v>
      </c>
      <c r="E1301" s="21" t="s">
        <v>2234</v>
      </c>
      <c r="F1301" s="24">
        <v>6.1779280794000004E-2</v>
      </c>
      <c r="G1301" s="21">
        <v>12</v>
      </c>
      <c r="H1301" s="17">
        <v>8.1</v>
      </c>
      <c r="I1301" s="43" t="s">
        <v>3950</v>
      </c>
      <c r="J1301" s="26"/>
      <c r="K1301" s="17">
        <f t="shared" si="120"/>
        <v>0</v>
      </c>
      <c r="N1301" s="31" t="str">
        <f t="shared" si="123"/>
        <v>-</v>
      </c>
      <c r="O1301" s="31" t="str">
        <f t="shared" si="125"/>
        <v>-</v>
      </c>
      <c r="P1301" s="35" t="str">
        <f t="shared" si="124"/>
        <v>-</v>
      </c>
      <c r="Q1301" s="32" t="str">
        <f t="shared" si="121"/>
        <v>-</v>
      </c>
      <c r="S1301" s="32" t="str">
        <f t="shared" si="122"/>
        <v>-</v>
      </c>
    </row>
    <row r="1302" spans="1:19" x14ac:dyDescent="0.3">
      <c r="A1302" s="45" t="s">
        <v>3577</v>
      </c>
      <c r="B1302" s="40" t="s">
        <v>618</v>
      </c>
      <c r="C1302" s="41" t="s">
        <v>2088</v>
      </c>
      <c r="D1302" s="21" t="s">
        <v>2224</v>
      </c>
      <c r="E1302" s="21" t="s">
        <v>2234</v>
      </c>
      <c r="F1302" s="24">
        <v>0.10296546799</v>
      </c>
      <c r="G1302" s="21">
        <v>12</v>
      </c>
      <c r="H1302" s="17">
        <v>15.15</v>
      </c>
      <c r="I1302" s="43" t="s">
        <v>3950</v>
      </c>
      <c r="J1302" s="26"/>
      <c r="K1302" s="17">
        <f t="shared" si="120"/>
        <v>0</v>
      </c>
      <c r="N1302" s="31" t="str">
        <f t="shared" si="123"/>
        <v>-</v>
      </c>
      <c r="O1302" s="31" t="str">
        <f t="shared" si="125"/>
        <v>-</v>
      </c>
      <c r="P1302" s="35" t="str">
        <f t="shared" si="124"/>
        <v>-</v>
      </c>
      <c r="Q1302" s="32" t="str">
        <f t="shared" si="121"/>
        <v>-</v>
      </c>
      <c r="S1302" s="32" t="str">
        <f t="shared" si="122"/>
        <v>-</v>
      </c>
    </row>
    <row r="1303" spans="1:19" x14ac:dyDescent="0.3">
      <c r="A1303" s="45" t="s">
        <v>3578</v>
      </c>
      <c r="B1303" s="40" t="s">
        <v>114</v>
      </c>
      <c r="C1303" s="41" t="s">
        <v>2088</v>
      </c>
      <c r="D1303" s="21" t="s">
        <v>2227</v>
      </c>
      <c r="E1303" s="21" t="s">
        <v>2234</v>
      </c>
      <c r="F1303" s="24">
        <v>0.17418325001641669</v>
      </c>
      <c r="G1303" s="21">
        <v>12</v>
      </c>
      <c r="H1303" s="17">
        <v>29.39</v>
      </c>
      <c r="I1303" s="43" t="s">
        <v>3950</v>
      </c>
      <c r="J1303" s="26"/>
      <c r="K1303" s="17">
        <f t="shared" si="120"/>
        <v>0</v>
      </c>
      <c r="N1303" s="31" t="str">
        <f t="shared" si="123"/>
        <v>-</v>
      </c>
      <c r="O1303" s="31" t="str">
        <f t="shared" si="125"/>
        <v>-</v>
      </c>
      <c r="P1303" s="35" t="str">
        <f t="shared" si="124"/>
        <v>-</v>
      </c>
      <c r="Q1303" s="32" t="str">
        <f t="shared" si="121"/>
        <v>-</v>
      </c>
      <c r="S1303" s="32" t="str">
        <f t="shared" si="122"/>
        <v>-</v>
      </c>
    </row>
    <row r="1304" spans="1:19" x14ac:dyDescent="0.3">
      <c r="A1304" s="45" t="s">
        <v>3579</v>
      </c>
      <c r="B1304" s="40" t="s">
        <v>1306</v>
      </c>
      <c r="C1304" s="41" t="s">
        <v>2066</v>
      </c>
      <c r="D1304" s="21" t="s">
        <v>2267</v>
      </c>
      <c r="E1304" s="21" t="s">
        <v>2222</v>
      </c>
      <c r="F1304" s="24">
        <v>0.38268832269616665</v>
      </c>
      <c r="G1304" s="21">
        <v>12</v>
      </c>
      <c r="H1304" s="17">
        <v>40.19</v>
      </c>
      <c r="I1304" s="43" t="s">
        <v>3950</v>
      </c>
      <c r="J1304" s="26"/>
      <c r="K1304" s="17">
        <f t="shared" si="120"/>
        <v>0</v>
      </c>
      <c r="N1304" s="31" t="str">
        <f t="shared" si="123"/>
        <v>-</v>
      </c>
      <c r="O1304" s="31" t="str">
        <f t="shared" si="125"/>
        <v>-</v>
      </c>
      <c r="P1304" s="35" t="str">
        <f t="shared" si="124"/>
        <v>-</v>
      </c>
      <c r="Q1304" s="32" t="str">
        <f t="shared" si="121"/>
        <v>-</v>
      </c>
      <c r="S1304" s="32" t="str">
        <f t="shared" si="122"/>
        <v>-</v>
      </c>
    </row>
    <row r="1305" spans="1:19" x14ac:dyDescent="0.3">
      <c r="A1305" s="45" t="s">
        <v>3580</v>
      </c>
      <c r="B1305" s="40" t="s">
        <v>1211</v>
      </c>
      <c r="C1305" s="41" t="s">
        <v>2078</v>
      </c>
      <c r="D1305" s="21" t="s">
        <v>2225</v>
      </c>
      <c r="E1305" s="21" t="s">
        <v>2234</v>
      </c>
      <c r="F1305" s="24">
        <v>0.1175522426219167</v>
      </c>
      <c r="G1305" s="21">
        <v>12</v>
      </c>
      <c r="H1305" s="17">
        <v>8.6999999999999993</v>
      </c>
      <c r="I1305" s="43" t="s">
        <v>3950</v>
      </c>
      <c r="J1305" s="26"/>
      <c r="K1305" s="17">
        <f t="shared" si="120"/>
        <v>0</v>
      </c>
      <c r="N1305" s="31" t="str">
        <f t="shared" si="123"/>
        <v>-</v>
      </c>
      <c r="O1305" s="31" t="str">
        <f t="shared" si="125"/>
        <v>-</v>
      </c>
      <c r="P1305" s="35" t="str">
        <f t="shared" si="124"/>
        <v>-</v>
      </c>
      <c r="Q1305" s="32" t="str">
        <f t="shared" si="121"/>
        <v>-</v>
      </c>
      <c r="S1305" s="32" t="str">
        <f t="shared" si="122"/>
        <v>-</v>
      </c>
    </row>
    <row r="1306" spans="1:19" x14ac:dyDescent="0.3">
      <c r="A1306" s="45" t="s">
        <v>3581</v>
      </c>
      <c r="B1306" s="40" t="s">
        <v>1236</v>
      </c>
      <c r="C1306" s="41" t="s">
        <v>2078</v>
      </c>
      <c r="D1306" s="21" t="s">
        <v>2226</v>
      </c>
      <c r="E1306" s="21" t="s">
        <v>2234</v>
      </c>
      <c r="F1306" s="24">
        <v>0.22566598401141666</v>
      </c>
      <c r="G1306" s="21">
        <v>12</v>
      </c>
      <c r="H1306" s="17">
        <v>16.5</v>
      </c>
      <c r="I1306" s="43" t="s">
        <v>3950</v>
      </c>
      <c r="J1306" s="26"/>
      <c r="K1306" s="17">
        <f t="shared" si="120"/>
        <v>0</v>
      </c>
      <c r="N1306" s="31" t="str">
        <f t="shared" si="123"/>
        <v>-</v>
      </c>
      <c r="O1306" s="31" t="str">
        <f t="shared" si="125"/>
        <v>-</v>
      </c>
      <c r="P1306" s="35" t="str">
        <f t="shared" si="124"/>
        <v>-</v>
      </c>
      <c r="Q1306" s="32" t="str">
        <f t="shared" si="121"/>
        <v>-</v>
      </c>
      <c r="S1306" s="32" t="str">
        <f t="shared" si="122"/>
        <v>-</v>
      </c>
    </row>
    <row r="1307" spans="1:19" x14ac:dyDescent="0.3">
      <c r="A1307" s="45" t="s">
        <v>3582</v>
      </c>
      <c r="B1307" s="40" t="s">
        <v>1149</v>
      </c>
      <c r="C1307" s="41" t="s">
        <v>2089</v>
      </c>
      <c r="D1307" s="21" t="s">
        <v>2273</v>
      </c>
      <c r="E1307" s="21" t="s">
        <v>2240</v>
      </c>
      <c r="F1307" s="24">
        <v>0.40971675804354174</v>
      </c>
      <c r="G1307" s="21">
        <v>12</v>
      </c>
      <c r="H1307" s="17">
        <v>12.3</v>
      </c>
      <c r="I1307" s="43" t="s">
        <v>3950</v>
      </c>
      <c r="J1307" s="26"/>
      <c r="K1307" s="17">
        <f t="shared" si="120"/>
        <v>0</v>
      </c>
      <c r="N1307" s="31" t="str">
        <f t="shared" si="123"/>
        <v>-</v>
      </c>
      <c r="O1307" s="31" t="str">
        <f t="shared" si="125"/>
        <v>-</v>
      </c>
      <c r="P1307" s="35" t="str">
        <f t="shared" si="124"/>
        <v>-</v>
      </c>
      <c r="Q1307" s="32" t="str">
        <f t="shared" si="121"/>
        <v>-</v>
      </c>
      <c r="S1307" s="32" t="str">
        <f t="shared" si="122"/>
        <v>-</v>
      </c>
    </row>
    <row r="1308" spans="1:19" x14ac:dyDescent="0.3">
      <c r="A1308" s="45" t="s">
        <v>3583</v>
      </c>
      <c r="B1308" s="40" t="s">
        <v>1212</v>
      </c>
      <c r="C1308" s="41" t="s">
        <v>2089</v>
      </c>
      <c r="D1308" s="21" t="s">
        <v>2257</v>
      </c>
      <c r="E1308" s="21" t="s">
        <v>2240</v>
      </c>
      <c r="F1308" s="24">
        <v>0.36895959363083336</v>
      </c>
      <c r="G1308" s="21">
        <v>12</v>
      </c>
      <c r="H1308" s="17">
        <v>21.59</v>
      </c>
      <c r="I1308" s="43" t="s">
        <v>3950</v>
      </c>
      <c r="J1308" s="26"/>
      <c r="K1308" s="17">
        <f t="shared" si="120"/>
        <v>0</v>
      </c>
      <c r="N1308" s="31" t="str">
        <f t="shared" si="123"/>
        <v>-</v>
      </c>
      <c r="O1308" s="31" t="str">
        <f t="shared" si="125"/>
        <v>-</v>
      </c>
      <c r="P1308" s="35" t="str">
        <f t="shared" si="124"/>
        <v>-</v>
      </c>
      <c r="Q1308" s="32" t="str">
        <f t="shared" si="121"/>
        <v>-</v>
      </c>
      <c r="S1308" s="32" t="str">
        <f t="shared" si="122"/>
        <v>-</v>
      </c>
    </row>
    <row r="1309" spans="1:19" x14ac:dyDescent="0.3">
      <c r="A1309" s="45" t="s">
        <v>3584</v>
      </c>
      <c r="B1309" s="40" t="s">
        <v>179</v>
      </c>
      <c r="C1309" s="41" t="s">
        <v>2089</v>
      </c>
      <c r="D1309" s="21" t="s">
        <v>2274</v>
      </c>
      <c r="E1309" s="21" t="s">
        <v>2240</v>
      </c>
      <c r="F1309" s="24">
        <v>0.64868244833700006</v>
      </c>
      <c r="G1309" s="21">
        <v>12</v>
      </c>
      <c r="H1309" s="17">
        <v>41.39</v>
      </c>
      <c r="I1309" s="43" t="s">
        <v>3950</v>
      </c>
      <c r="J1309" s="26"/>
      <c r="K1309" s="17">
        <f t="shared" si="120"/>
        <v>0</v>
      </c>
      <c r="N1309" s="31" t="str">
        <f t="shared" si="123"/>
        <v>-</v>
      </c>
      <c r="O1309" s="31" t="str">
        <f t="shared" si="125"/>
        <v>-</v>
      </c>
      <c r="P1309" s="35" t="str">
        <f t="shared" si="124"/>
        <v>-</v>
      </c>
      <c r="Q1309" s="32" t="str">
        <f t="shared" si="121"/>
        <v>-</v>
      </c>
      <c r="S1309" s="32" t="str">
        <f t="shared" si="122"/>
        <v>-</v>
      </c>
    </row>
    <row r="1310" spans="1:19" x14ac:dyDescent="0.3">
      <c r="A1310" s="45" t="s">
        <v>3585</v>
      </c>
      <c r="B1310" s="40" t="s">
        <v>913</v>
      </c>
      <c r="C1310" s="41" t="s">
        <v>2090</v>
      </c>
      <c r="D1310" s="21" t="s">
        <v>2273</v>
      </c>
      <c r="E1310" s="21" t="s">
        <v>2240</v>
      </c>
      <c r="F1310" s="24">
        <v>0.20593093598000001</v>
      </c>
      <c r="G1310" s="21">
        <v>12</v>
      </c>
      <c r="H1310" s="17">
        <v>12.3</v>
      </c>
      <c r="I1310" s="43" t="s">
        <v>3950</v>
      </c>
      <c r="J1310" s="26"/>
      <c r="K1310" s="17">
        <f t="shared" si="120"/>
        <v>0</v>
      </c>
      <c r="N1310" s="31" t="str">
        <f t="shared" si="123"/>
        <v>-</v>
      </c>
      <c r="O1310" s="31" t="str">
        <f t="shared" si="125"/>
        <v>-</v>
      </c>
      <c r="P1310" s="35" t="str">
        <f t="shared" si="124"/>
        <v>-</v>
      </c>
      <c r="Q1310" s="32" t="str">
        <f t="shared" si="121"/>
        <v>-</v>
      </c>
      <c r="S1310" s="32" t="str">
        <f t="shared" si="122"/>
        <v>-</v>
      </c>
    </row>
    <row r="1311" spans="1:19" x14ac:dyDescent="0.3">
      <c r="A1311" s="45" t="s">
        <v>3586</v>
      </c>
      <c r="B1311" s="40" t="s">
        <v>1327</v>
      </c>
      <c r="C1311" s="41" t="s">
        <v>2090</v>
      </c>
      <c r="D1311" s="21" t="s">
        <v>2257</v>
      </c>
      <c r="E1311" s="21" t="s">
        <v>2240</v>
      </c>
      <c r="F1311" s="24">
        <v>0.36252425188145831</v>
      </c>
      <c r="G1311" s="21">
        <v>12</v>
      </c>
      <c r="H1311" s="17">
        <v>21.59</v>
      </c>
      <c r="I1311" s="43" t="s">
        <v>3950</v>
      </c>
      <c r="J1311" s="26"/>
      <c r="K1311" s="17">
        <f t="shared" si="120"/>
        <v>0</v>
      </c>
      <c r="N1311" s="31" t="str">
        <f t="shared" si="123"/>
        <v>-</v>
      </c>
      <c r="O1311" s="31" t="str">
        <f t="shared" si="125"/>
        <v>-</v>
      </c>
      <c r="P1311" s="35" t="str">
        <f t="shared" si="124"/>
        <v>-</v>
      </c>
      <c r="Q1311" s="32" t="str">
        <f t="shared" si="121"/>
        <v>-</v>
      </c>
      <c r="S1311" s="32" t="str">
        <f t="shared" si="122"/>
        <v>-</v>
      </c>
    </row>
    <row r="1312" spans="1:19" x14ac:dyDescent="0.3">
      <c r="A1312" s="45" t="s">
        <v>3587</v>
      </c>
      <c r="B1312" s="40" t="s">
        <v>146</v>
      </c>
      <c r="C1312" s="41" t="s">
        <v>2090</v>
      </c>
      <c r="D1312" s="21" t="s">
        <v>2274</v>
      </c>
      <c r="E1312" s="21" t="s">
        <v>2240</v>
      </c>
      <c r="F1312" s="24">
        <v>0.66841749636841674</v>
      </c>
      <c r="G1312" s="21">
        <v>12</v>
      </c>
      <c r="H1312" s="17">
        <v>41.39</v>
      </c>
      <c r="I1312" s="43" t="s">
        <v>3950</v>
      </c>
      <c r="J1312" s="26"/>
      <c r="K1312" s="17">
        <f t="shared" si="120"/>
        <v>0</v>
      </c>
      <c r="N1312" s="31" t="str">
        <f t="shared" si="123"/>
        <v>-</v>
      </c>
      <c r="O1312" s="31" t="str">
        <f t="shared" si="125"/>
        <v>-</v>
      </c>
      <c r="P1312" s="35" t="str">
        <f t="shared" si="124"/>
        <v>-</v>
      </c>
      <c r="Q1312" s="32" t="str">
        <f t="shared" si="121"/>
        <v>-</v>
      </c>
      <c r="S1312" s="32" t="str">
        <f t="shared" si="122"/>
        <v>-</v>
      </c>
    </row>
    <row r="1313" spans="1:19" x14ac:dyDescent="0.3">
      <c r="A1313" s="45" t="s">
        <v>3588</v>
      </c>
      <c r="B1313" s="40" t="s">
        <v>1375</v>
      </c>
      <c r="C1313" s="41" t="s">
        <v>2091</v>
      </c>
      <c r="D1313" s="21" t="s">
        <v>2224</v>
      </c>
      <c r="E1313" s="21" t="s">
        <v>2234</v>
      </c>
      <c r="F1313" s="24">
        <v>0.12784878942091665</v>
      </c>
      <c r="G1313" s="21">
        <v>12</v>
      </c>
      <c r="H1313" s="17">
        <v>7.35</v>
      </c>
      <c r="I1313" s="43" t="s">
        <v>3950</v>
      </c>
      <c r="J1313" s="26"/>
      <c r="K1313" s="17">
        <f t="shared" si="120"/>
        <v>0</v>
      </c>
      <c r="N1313" s="31" t="str">
        <f t="shared" si="123"/>
        <v>-</v>
      </c>
      <c r="O1313" s="31" t="str">
        <f t="shared" si="125"/>
        <v>-</v>
      </c>
      <c r="P1313" s="35" t="str">
        <f t="shared" si="124"/>
        <v>-</v>
      </c>
      <c r="Q1313" s="32" t="str">
        <f t="shared" si="121"/>
        <v>-</v>
      </c>
      <c r="S1313" s="32" t="str">
        <f t="shared" si="122"/>
        <v>-</v>
      </c>
    </row>
    <row r="1314" spans="1:19" x14ac:dyDescent="0.3">
      <c r="A1314" s="45" t="s">
        <v>3589</v>
      </c>
      <c r="B1314" s="40" t="s">
        <v>1254</v>
      </c>
      <c r="C1314" s="41" t="s">
        <v>2091</v>
      </c>
      <c r="D1314" s="21" t="s">
        <v>2227</v>
      </c>
      <c r="E1314" s="21" t="s">
        <v>2234</v>
      </c>
      <c r="F1314" s="24">
        <v>0.22566598401141666</v>
      </c>
      <c r="G1314" s="21">
        <v>12</v>
      </c>
      <c r="H1314" s="17">
        <v>13.95</v>
      </c>
      <c r="I1314" s="43" t="s">
        <v>3950</v>
      </c>
      <c r="J1314" s="26"/>
      <c r="K1314" s="17">
        <f t="shared" si="120"/>
        <v>0</v>
      </c>
      <c r="N1314" s="31" t="str">
        <f t="shared" si="123"/>
        <v>-</v>
      </c>
      <c r="O1314" s="31" t="str">
        <f t="shared" si="125"/>
        <v>-</v>
      </c>
      <c r="P1314" s="35" t="str">
        <f t="shared" si="124"/>
        <v>-</v>
      </c>
      <c r="Q1314" s="32" t="str">
        <f t="shared" si="121"/>
        <v>-</v>
      </c>
      <c r="S1314" s="32" t="str">
        <f t="shared" si="122"/>
        <v>-</v>
      </c>
    </row>
    <row r="1315" spans="1:19" x14ac:dyDescent="0.3">
      <c r="A1315" s="45" t="s">
        <v>3590</v>
      </c>
      <c r="B1315" s="40" t="s">
        <v>1271</v>
      </c>
      <c r="C1315" s="41" t="s">
        <v>2091</v>
      </c>
      <c r="D1315" s="21" t="s">
        <v>2233</v>
      </c>
      <c r="E1315" s="21" t="s">
        <v>2234</v>
      </c>
      <c r="F1315" s="24">
        <v>0.43245496555800006</v>
      </c>
      <c r="G1315" s="21">
        <v>12</v>
      </c>
      <c r="H1315" s="17">
        <v>26.7</v>
      </c>
      <c r="I1315" s="43" t="s">
        <v>3950</v>
      </c>
      <c r="J1315" s="26"/>
      <c r="K1315" s="17">
        <f t="shared" si="120"/>
        <v>0</v>
      </c>
      <c r="N1315" s="31" t="str">
        <f t="shared" si="123"/>
        <v>-</v>
      </c>
      <c r="O1315" s="31" t="str">
        <f t="shared" si="125"/>
        <v>-</v>
      </c>
      <c r="P1315" s="35" t="str">
        <f t="shared" si="124"/>
        <v>-</v>
      </c>
      <c r="Q1315" s="32" t="str">
        <f t="shared" si="121"/>
        <v>-</v>
      </c>
      <c r="S1315" s="32" t="str">
        <f t="shared" si="122"/>
        <v>-</v>
      </c>
    </row>
    <row r="1316" spans="1:19" x14ac:dyDescent="0.3">
      <c r="A1316" s="45" t="s">
        <v>3591</v>
      </c>
      <c r="B1316" s="40" t="s">
        <v>1586</v>
      </c>
      <c r="C1316" s="41" t="s">
        <v>2092</v>
      </c>
      <c r="D1316" s="21" t="s">
        <v>2224</v>
      </c>
      <c r="E1316" s="21" t="s">
        <v>2222</v>
      </c>
      <c r="F1316" s="24">
        <v>0.17675738671616667</v>
      </c>
      <c r="G1316" s="21">
        <v>12</v>
      </c>
      <c r="H1316" s="17">
        <v>13.35</v>
      </c>
      <c r="I1316" s="43" t="s">
        <v>3950</v>
      </c>
      <c r="J1316" s="26"/>
      <c r="K1316" s="17">
        <f t="shared" si="120"/>
        <v>0</v>
      </c>
      <c r="N1316" s="31" t="str">
        <f t="shared" si="123"/>
        <v>-</v>
      </c>
      <c r="O1316" s="31" t="str">
        <f t="shared" si="125"/>
        <v>-</v>
      </c>
      <c r="P1316" s="35" t="str">
        <f t="shared" si="124"/>
        <v>-</v>
      </c>
      <c r="Q1316" s="32" t="str">
        <f t="shared" si="121"/>
        <v>-</v>
      </c>
      <c r="S1316" s="32" t="str">
        <f t="shared" si="122"/>
        <v>-</v>
      </c>
    </row>
    <row r="1317" spans="1:19" x14ac:dyDescent="0.3">
      <c r="A1317" s="45" t="s">
        <v>3592</v>
      </c>
      <c r="B1317" s="40" t="s">
        <v>1587</v>
      </c>
      <c r="C1317" s="41" t="s">
        <v>2092</v>
      </c>
      <c r="D1317" s="21" t="s">
        <v>2227</v>
      </c>
      <c r="E1317" s="21" t="s">
        <v>2222</v>
      </c>
      <c r="F1317" s="24">
        <v>0.32090904190216674</v>
      </c>
      <c r="G1317" s="21">
        <v>12</v>
      </c>
      <c r="H1317" s="17">
        <v>25.5</v>
      </c>
      <c r="I1317" s="43" t="s">
        <v>3950</v>
      </c>
      <c r="J1317" s="26"/>
      <c r="K1317" s="17">
        <f t="shared" si="120"/>
        <v>0</v>
      </c>
      <c r="N1317" s="31" t="str">
        <f t="shared" si="123"/>
        <v>-</v>
      </c>
      <c r="O1317" s="31" t="str">
        <f t="shared" si="125"/>
        <v>-</v>
      </c>
      <c r="P1317" s="35" t="str">
        <f t="shared" si="124"/>
        <v>-</v>
      </c>
      <c r="Q1317" s="32" t="str">
        <f t="shared" si="121"/>
        <v>-</v>
      </c>
      <c r="S1317" s="32" t="str">
        <f t="shared" si="122"/>
        <v>-</v>
      </c>
    </row>
    <row r="1318" spans="1:19" x14ac:dyDescent="0.3">
      <c r="A1318" s="45" t="s">
        <v>3593</v>
      </c>
      <c r="B1318" s="40" t="s">
        <v>591</v>
      </c>
      <c r="C1318" s="41" t="s">
        <v>2093</v>
      </c>
      <c r="D1318" s="21" t="s">
        <v>2223</v>
      </c>
      <c r="E1318" s="21" t="s">
        <v>2222</v>
      </c>
      <c r="F1318" s="24">
        <v>2.3167230297750006E-2</v>
      </c>
      <c r="G1318" s="21">
        <v>12</v>
      </c>
      <c r="H1318" s="17">
        <v>14.1</v>
      </c>
      <c r="I1318" s="43" t="s">
        <v>3950</v>
      </c>
      <c r="J1318" s="26"/>
      <c r="K1318" s="17">
        <f t="shared" si="120"/>
        <v>0</v>
      </c>
      <c r="N1318" s="31" t="str">
        <f t="shared" si="123"/>
        <v>-</v>
      </c>
      <c r="O1318" s="31" t="str">
        <f t="shared" si="125"/>
        <v>-</v>
      </c>
      <c r="P1318" s="35" t="str">
        <f t="shared" si="124"/>
        <v>-</v>
      </c>
      <c r="Q1318" s="32" t="str">
        <f t="shared" si="121"/>
        <v>-</v>
      </c>
      <c r="S1318" s="32" t="str">
        <f t="shared" si="122"/>
        <v>-</v>
      </c>
    </row>
    <row r="1319" spans="1:19" x14ac:dyDescent="0.3">
      <c r="A1319" s="45" t="s">
        <v>3595</v>
      </c>
      <c r="B1319" s="40" t="s">
        <v>1440</v>
      </c>
      <c r="C1319" s="41" t="s">
        <v>2094</v>
      </c>
      <c r="D1319" s="21" t="s">
        <v>2223</v>
      </c>
      <c r="E1319" s="21" t="s">
        <v>2234</v>
      </c>
      <c r="F1319" s="24">
        <v>4.5476415028916667E-2</v>
      </c>
      <c r="G1319" s="21">
        <v>12</v>
      </c>
      <c r="H1319" s="17">
        <v>8.1</v>
      </c>
      <c r="I1319" s="43" t="s">
        <v>3950</v>
      </c>
      <c r="J1319" s="26"/>
      <c r="K1319" s="17">
        <f t="shared" si="120"/>
        <v>0</v>
      </c>
      <c r="N1319" s="31" t="str">
        <f t="shared" si="123"/>
        <v>-</v>
      </c>
      <c r="O1319" s="31" t="str">
        <f t="shared" si="125"/>
        <v>-</v>
      </c>
      <c r="P1319" s="35" t="str">
        <f t="shared" si="124"/>
        <v>-</v>
      </c>
      <c r="Q1319" s="32" t="str">
        <f t="shared" si="121"/>
        <v>-</v>
      </c>
      <c r="S1319" s="32" t="str">
        <f t="shared" si="122"/>
        <v>-</v>
      </c>
    </row>
    <row r="1320" spans="1:19" x14ac:dyDescent="0.3">
      <c r="A1320" s="45" t="s">
        <v>3596</v>
      </c>
      <c r="B1320" s="40" t="s">
        <v>460</v>
      </c>
      <c r="C1320" s="41" t="s">
        <v>2094</v>
      </c>
      <c r="D1320" s="21" t="s">
        <v>2224</v>
      </c>
      <c r="E1320" s="21" t="s">
        <v>2234</v>
      </c>
      <c r="F1320" s="24">
        <v>6.1779280794000004E-2</v>
      </c>
      <c r="G1320" s="21">
        <v>12</v>
      </c>
      <c r="H1320" s="17">
        <v>15.3</v>
      </c>
      <c r="I1320" s="43" t="s">
        <v>3950</v>
      </c>
      <c r="J1320" s="26"/>
      <c r="K1320" s="17">
        <f t="shared" si="120"/>
        <v>0</v>
      </c>
      <c r="N1320" s="31" t="str">
        <f t="shared" si="123"/>
        <v>-</v>
      </c>
      <c r="O1320" s="31" t="str">
        <f t="shared" si="125"/>
        <v>-</v>
      </c>
      <c r="P1320" s="35" t="str">
        <f t="shared" si="124"/>
        <v>-</v>
      </c>
      <c r="Q1320" s="32" t="str">
        <f t="shared" si="121"/>
        <v>-</v>
      </c>
      <c r="S1320" s="32" t="str">
        <f t="shared" si="122"/>
        <v>-</v>
      </c>
    </row>
    <row r="1321" spans="1:19" x14ac:dyDescent="0.3">
      <c r="A1321" s="45" t="s">
        <v>3597</v>
      </c>
      <c r="B1321" s="40" t="s">
        <v>151</v>
      </c>
      <c r="C1321" s="41" t="s">
        <v>2094</v>
      </c>
      <c r="D1321" s="21" t="s">
        <v>2227</v>
      </c>
      <c r="E1321" s="21" t="s">
        <v>2234</v>
      </c>
      <c r="F1321" s="24">
        <v>0.10553960468974999</v>
      </c>
      <c r="G1321" s="21">
        <v>12</v>
      </c>
      <c r="H1321" s="17">
        <v>29.55</v>
      </c>
      <c r="I1321" s="43" t="s">
        <v>3950</v>
      </c>
      <c r="J1321" s="26"/>
      <c r="K1321" s="17">
        <f t="shared" si="120"/>
        <v>0</v>
      </c>
      <c r="N1321" s="31" t="str">
        <f t="shared" si="123"/>
        <v>-</v>
      </c>
      <c r="O1321" s="31" t="str">
        <f t="shared" si="125"/>
        <v>-</v>
      </c>
      <c r="P1321" s="35" t="str">
        <f t="shared" si="124"/>
        <v>-</v>
      </c>
      <c r="Q1321" s="32" t="str">
        <f t="shared" si="121"/>
        <v>-</v>
      </c>
      <c r="S1321" s="32" t="str">
        <f t="shared" si="122"/>
        <v>-</v>
      </c>
    </row>
    <row r="1322" spans="1:19" x14ac:dyDescent="0.3">
      <c r="A1322" s="45" t="s">
        <v>3598</v>
      </c>
      <c r="B1322" s="40" t="s">
        <v>389</v>
      </c>
      <c r="C1322" s="41" t="s">
        <v>2095</v>
      </c>
      <c r="D1322" s="21" t="s">
        <v>2230</v>
      </c>
      <c r="E1322" s="21" t="s">
        <v>2258</v>
      </c>
      <c r="F1322" s="24">
        <v>0.25226539657550001</v>
      </c>
      <c r="G1322" s="21">
        <v>12</v>
      </c>
      <c r="H1322" s="17">
        <v>16.5</v>
      </c>
      <c r="I1322" s="43" t="s">
        <v>3950</v>
      </c>
      <c r="J1322" s="26"/>
      <c r="K1322" s="17">
        <f t="shared" si="120"/>
        <v>0</v>
      </c>
      <c r="N1322" s="31" t="str">
        <f t="shared" si="123"/>
        <v>-</v>
      </c>
      <c r="O1322" s="31" t="str">
        <f t="shared" si="125"/>
        <v>-</v>
      </c>
      <c r="P1322" s="35" t="str">
        <f t="shared" si="124"/>
        <v>-</v>
      </c>
      <c r="Q1322" s="32" t="str">
        <f t="shared" si="121"/>
        <v>-</v>
      </c>
      <c r="S1322" s="32" t="str">
        <f t="shared" si="122"/>
        <v>-</v>
      </c>
    </row>
    <row r="1323" spans="1:19" x14ac:dyDescent="0.3">
      <c r="A1323" s="45" t="s">
        <v>3599</v>
      </c>
      <c r="B1323" s="40" t="s">
        <v>387</v>
      </c>
      <c r="C1323" s="41" t="s">
        <v>2095</v>
      </c>
      <c r="D1323" s="21" t="s">
        <v>2235</v>
      </c>
      <c r="E1323" s="21" t="s">
        <v>2258</v>
      </c>
      <c r="F1323" s="24">
        <v>0.26771021677400003</v>
      </c>
      <c r="G1323" s="21">
        <v>24</v>
      </c>
      <c r="H1323" s="17">
        <v>29.1</v>
      </c>
      <c r="I1323" s="43" t="s">
        <v>3950</v>
      </c>
      <c r="J1323" s="26"/>
      <c r="K1323" s="17">
        <f t="shared" si="120"/>
        <v>0</v>
      </c>
      <c r="N1323" s="31" t="str">
        <f t="shared" si="123"/>
        <v>-</v>
      </c>
      <c r="O1323" s="31" t="str">
        <f t="shared" si="125"/>
        <v>-</v>
      </c>
      <c r="P1323" s="35" t="str">
        <f t="shared" si="124"/>
        <v>-</v>
      </c>
      <c r="Q1323" s="32" t="str">
        <f t="shared" si="121"/>
        <v>-</v>
      </c>
      <c r="S1323" s="32" t="str">
        <f t="shared" si="122"/>
        <v>-</v>
      </c>
    </row>
    <row r="1324" spans="1:19" x14ac:dyDescent="0.3">
      <c r="A1324" s="45" t="s">
        <v>3600</v>
      </c>
      <c r="B1324" s="40" t="s">
        <v>628</v>
      </c>
      <c r="C1324" s="41" t="s">
        <v>2071</v>
      </c>
      <c r="D1324" s="21" t="s">
        <v>2242</v>
      </c>
      <c r="E1324" s="21" t="s">
        <v>2232</v>
      </c>
      <c r="F1324" s="24">
        <v>8.7520647791500011E-2</v>
      </c>
      <c r="G1324" s="21">
        <v>12</v>
      </c>
      <c r="H1324" s="17">
        <v>10.19</v>
      </c>
      <c r="I1324" s="43" t="s">
        <v>3950</v>
      </c>
      <c r="J1324" s="26"/>
      <c r="K1324" s="17">
        <f t="shared" si="120"/>
        <v>0</v>
      </c>
      <c r="N1324" s="31" t="str">
        <f t="shared" si="123"/>
        <v>-</v>
      </c>
      <c r="O1324" s="31" t="str">
        <f t="shared" si="125"/>
        <v>-</v>
      </c>
      <c r="P1324" s="35" t="str">
        <f t="shared" si="124"/>
        <v>-</v>
      </c>
      <c r="Q1324" s="32" t="str">
        <f t="shared" si="121"/>
        <v>-</v>
      </c>
      <c r="S1324" s="32" t="str">
        <f t="shared" si="122"/>
        <v>-</v>
      </c>
    </row>
    <row r="1325" spans="1:19" x14ac:dyDescent="0.3">
      <c r="A1325" s="45" t="s">
        <v>3601</v>
      </c>
      <c r="B1325" s="40" t="s">
        <v>622</v>
      </c>
      <c r="C1325" s="41" t="s">
        <v>2096</v>
      </c>
      <c r="D1325" s="21" t="s">
        <v>2241</v>
      </c>
      <c r="E1325" s="21" t="s">
        <v>2249</v>
      </c>
      <c r="F1325" s="24">
        <v>0.59719971434200003</v>
      </c>
      <c r="G1325" s="21">
        <v>6</v>
      </c>
      <c r="H1325" s="17">
        <v>7.79</v>
      </c>
      <c r="I1325" s="43" t="s">
        <v>3950</v>
      </c>
      <c r="J1325" s="26"/>
      <c r="K1325" s="17">
        <f t="shared" si="120"/>
        <v>0</v>
      </c>
      <c r="N1325" s="31" t="str">
        <f t="shared" si="123"/>
        <v>-</v>
      </c>
      <c r="O1325" s="31" t="str">
        <f t="shared" si="125"/>
        <v>-</v>
      </c>
      <c r="P1325" s="35" t="str">
        <f t="shared" si="124"/>
        <v>-</v>
      </c>
      <c r="Q1325" s="32" t="str">
        <f t="shared" si="121"/>
        <v>-</v>
      </c>
      <c r="S1325" s="32" t="str">
        <f t="shared" si="122"/>
        <v>-</v>
      </c>
    </row>
    <row r="1326" spans="1:19" x14ac:dyDescent="0.3">
      <c r="A1326" s="45" t="s">
        <v>3602</v>
      </c>
      <c r="B1326" s="40" t="s">
        <v>873</v>
      </c>
      <c r="C1326" s="41" t="s">
        <v>2096</v>
      </c>
      <c r="D1326" s="21" t="s">
        <v>2275</v>
      </c>
      <c r="E1326" s="21" t="s">
        <v>2249</v>
      </c>
      <c r="F1326" s="24">
        <v>0.94728230550799997</v>
      </c>
      <c r="G1326" s="21">
        <v>6</v>
      </c>
      <c r="H1326" s="17">
        <v>11.85</v>
      </c>
      <c r="I1326" s="43" t="s">
        <v>3950</v>
      </c>
      <c r="J1326" s="26"/>
      <c r="K1326" s="17">
        <f t="shared" si="120"/>
        <v>0</v>
      </c>
      <c r="N1326" s="31" t="str">
        <f t="shared" si="123"/>
        <v>-</v>
      </c>
      <c r="O1326" s="31" t="str">
        <f t="shared" si="125"/>
        <v>-</v>
      </c>
      <c r="P1326" s="35" t="str">
        <f t="shared" si="124"/>
        <v>-</v>
      </c>
      <c r="Q1326" s="32" t="str">
        <f t="shared" si="121"/>
        <v>-</v>
      </c>
      <c r="S1326" s="32" t="str">
        <f t="shared" si="122"/>
        <v>-</v>
      </c>
    </row>
    <row r="1327" spans="1:19" x14ac:dyDescent="0.3">
      <c r="A1327" s="45" t="s">
        <v>3603</v>
      </c>
      <c r="B1327" s="40" t="s">
        <v>162</v>
      </c>
      <c r="C1327" s="41" t="s">
        <v>2097</v>
      </c>
      <c r="D1327" s="21" t="s">
        <v>2276</v>
      </c>
      <c r="E1327" s="21" t="s">
        <v>2249</v>
      </c>
      <c r="F1327" s="24">
        <v>0.24282689534308335</v>
      </c>
      <c r="G1327" s="21">
        <v>12</v>
      </c>
      <c r="H1327" s="17">
        <v>4.1900000000000004</v>
      </c>
      <c r="I1327" s="43" t="s">
        <v>3950</v>
      </c>
      <c r="J1327" s="26"/>
      <c r="K1327" s="17">
        <f t="shared" ref="K1327:K1390" si="126">J1327*H1327</f>
        <v>0</v>
      </c>
      <c r="N1327" s="31" t="str">
        <f t="shared" si="123"/>
        <v>-</v>
      </c>
      <c r="O1327" s="31" t="str">
        <f t="shared" si="125"/>
        <v>-</v>
      </c>
      <c r="P1327" s="35" t="str">
        <f t="shared" si="124"/>
        <v>-</v>
      </c>
      <c r="Q1327" s="32" t="str">
        <f t="shared" si="121"/>
        <v>-</v>
      </c>
      <c r="S1327" s="32" t="str">
        <f t="shared" si="122"/>
        <v>-</v>
      </c>
    </row>
    <row r="1328" spans="1:19" x14ac:dyDescent="0.3">
      <c r="A1328" s="45" t="s">
        <v>3604</v>
      </c>
      <c r="B1328" s="40" t="s">
        <v>1291</v>
      </c>
      <c r="C1328" s="41" t="s">
        <v>2097</v>
      </c>
      <c r="D1328" s="21" t="s">
        <v>2255</v>
      </c>
      <c r="E1328" s="21" t="s">
        <v>2249</v>
      </c>
      <c r="F1328" s="24">
        <v>0</v>
      </c>
      <c r="G1328" s="21">
        <v>12</v>
      </c>
      <c r="H1328" s="17">
        <v>8.39</v>
      </c>
      <c r="I1328" s="43" t="s">
        <v>3950</v>
      </c>
      <c r="J1328" s="26"/>
      <c r="K1328" s="17">
        <f t="shared" si="126"/>
        <v>0</v>
      </c>
      <c r="N1328" s="31" t="str">
        <f t="shared" si="123"/>
        <v>-</v>
      </c>
      <c r="O1328" s="31" t="str">
        <f t="shared" si="125"/>
        <v>-</v>
      </c>
      <c r="P1328" s="35" t="str">
        <f t="shared" si="124"/>
        <v>-</v>
      </c>
      <c r="Q1328" s="32" t="str">
        <f t="shared" ref="Q1328:Q1391" si="127">IFERROR(IF($N$2&gt;0, $N$2*P1328, "-"), "-")</f>
        <v>-</v>
      </c>
      <c r="S1328" s="32" t="str">
        <f t="shared" ref="S1328:S1391" si="128">IFERROR(IF(Q1328+K1328=0, "-", IF(Q1328&gt;0, Q1328+K1328, "-")), "-")</f>
        <v>-</v>
      </c>
    </row>
    <row r="1329" spans="1:19" x14ac:dyDescent="0.3">
      <c r="A1329" s="45" t="s">
        <v>3605</v>
      </c>
      <c r="B1329" s="40" t="s">
        <v>859</v>
      </c>
      <c r="C1329" s="41" t="s">
        <v>2098</v>
      </c>
      <c r="D1329" s="21" t="s">
        <v>2235</v>
      </c>
      <c r="E1329" s="21" t="s">
        <v>2249</v>
      </c>
      <c r="F1329" s="24">
        <v>0.15444820198499998</v>
      </c>
      <c r="G1329" s="21">
        <v>12</v>
      </c>
      <c r="H1329" s="17">
        <v>4.05</v>
      </c>
      <c r="I1329" s="43" t="s">
        <v>3950</v>
      </c>
      <c r="J1329" s="26"/>
      <c r="K1329" s="17">
        <f t="shared" si="126"/>
        <v>0</v>
      </c>
      <c r="N1329" s="31" t="str">
        <f t="shared" si="123"/>
        <v>-</v>
      </c>
      <c r="O1329" s="31" t="str">
        <f t="shared" si="125"/>
        <v>-</v>
      </c>
      <c r="P1329" s="35" t="str">
        <f t="shared" si="124"/>
        <v>-</v>
      </c>
      <c r="Q1329" s="32" t="str">
        <f t="shared" si="127"/>
        <v>-</v>
      </c>
      <c r="S1329" s="32" t="str">
        <f t="shared" si="128"/>
        <v>-</v>
      </c>
    </row>
    <row r="1330" spans="1:19" x14ac:dyDescent="0.3">
      <c r="A1330" s="45" t="s">
        <v>3606</v>
      </c>
      <c r="B1330" s="40" t="s">
        <v>1383</v>
      </c>
      <c r="C1330" s="41" t="s">
        <v>2098</v>
      </c>
      <c r="D1330" s="21" t="s">
        <v>2236</v>
      </c>
      <c r="E1330" s="21" t="s">
        <v>2249</v>
      </c>
      <c r="F1330" s="24">
        <v>0.29859985717100002</v>
      </c>
      <c r="G1330" s="21">
        <v>12</v>
      </c>
      <c r="H1330" s="17">
        <v>6.3</v>
      </c>
      <c r="I1330" s="43" t="s">
        <v>3950</v>
      </c>
      <c r="J1330" s="26"/>
      <c r="K1330" s="17">
        <f t="shared" si="126"/>
        <v>0</v>
      </c>
      <c r="N1330" s="31" t="str">
        <f t="shared" si="123"/>
        <v>-</v>
      </c>
      <c r="O1330" s="31" t="str">
        <f t="shared" si="125"/>
        <v>-</v>
      </c>
      <c r="P1330" s="35" t="str">
        <f t="shared" si="124"/>
        <v>-</v>
      </c>
      <c r="Q1330" s="32" t="str">
        <f t="shared" si="127"/>
        <v>-</v>
      </c>
      <c r="S1330" s="32" t="str">
        <f t="shared" si="128"/>
        <v>-</v>
      </c>
    </row>
    <row r="1331" spans="1:19" x14ac:dyDescent="0.3">
      <c r="A1331" s="45" t="s">
        <v>3607</v>
      </c>
      <c r="B1331" s="40" t="s">
        <v>846</v>
      </c>
      <c r="C1331" s="41" t="s">
        <v>2099</v>
      </c>
      <c r="D1331" s="21" t="s">
        <v>2255</v>
      </c>
      <c r="E1331" s="21" t="s">
        <v>2249</v>
      </c>
      <c r="F1331" s="24">
        <v>0.44789978575650002</v>
      </c>
      <c r="G1331" s="21">
        <v>12</v>
      </c>
      <c r="H1331" s="17">
        <v>8.85</v>
      </c>
      <c r="I1331" s="43" t="s">
        <v>3950</v>
      </c>
      <c r="J1331" s="26"/>
      <c r="K1331" s="17">
        <f t="shared" si="126"/>
        <v>0</v>
      </c>
      <c r="N1331" s="31" t="str">
        <f t="shared" si="123"/>
        <v>-</v>
      </c>
      <c r="O1331" s="31" t="str">
        <f t="shared" si="125"/>
        <v>-</v>
      </c>
      <c r="P1331" s="35" t="str">
        <f t="shared" si="124"/>
        <v>-</v>
      </c>
      <c r="Q1331" s="32" t="str">
        <f t="shared" si="127"/>
        <v>-</v>
      </c>
      <c r="S1331" s="32" t="str">
        <f t="shared" si="128"/>
        <v>-</v>
      </c>
    </row>
    <row r="1332" spans="1:19" x14ac:dyDescent="0.3">
      <c r="A1332" s="45" t="s">
        <v>3608</v>
      </c>
      <c r="B1332" s="40" t="s">
        <v>1044</v>
      </c>
      <c r="C1332" s="41" t="s">
        <v>2100</v>
      </c>
      <c r="D1332" s="21" t="s">
        <v>2228</v>
      </c>
      <c r="E1332" s="21" t="s">
        <v>2240</v>
      </c>
      <c r="F1332" s="24">
        <v>6.1779280794000004E-2</v>
      </c>
      <c r="G1332" s="21">
        <v>12</v>
      </c>
      <c r="H1332" s="17">
        <v>52.79</v>
      </c>
      <c r="I1332" s="43" t="s">
        <v>3950</v>
      </c>
      <c r="J1332" s="26"/>
      <c r="K1332" s="17">
        <f t="shared" si="126"/>
        <v>0</v>
      </c>
      <c r="N1332" s="31" t="str">
        <f t="shared" si="123"/>
        <v>-</v>
      </c>
      <c r="O1332" s="31" t="str">
        <f t="shared" si="125"/>
        <v>-</v>
      </c>
      <c r="P1332" s="35" t="str">
        <f t="shared" si="124"/>
        <v>-</v>
      </c>
      <c r="Q1332" s="32" t="str">
        <f t="shared" si="127"/>
        <v>-</v>
      </c>
      <c r="S1332" s="32" t="str">
        <f t="shared" si="128"/>
        <v>-</v>
      </c>
    </row>
    <row r="1333" spans="1:19" x14ac:dyDescent="0.3">
      <c r="A1333" s="45" t="s">
        <v>3609</v>
      </c>
      <c r="B1333" s="40" t="s">
        <v>129</v>
      </c>
      <c r="C1333" s="41" t="s">
        <v>2100</v>
      </c>
      <c r="D1333" s="21" t="s">
        <v>2230</v>
      </c>
      <c r="E1333" s="21" t="s">
        <v>2240</v>
      </c>
      <c r="F1333" s="24">
        <v>9.9104262940375012E-2</v>
      </c>
      <c r="G1333" s="21">
        <v>12</v>
      </c>
      <c r="H1333" s="17">
        <v>101.25</v>
      </c>
      <c r="I1333" s="43" t="s">
        <v>3950</v>
      </c>
      <c r="J1333" s="26"/>
      <c r="K1333" s="17">
        <f t="shared" si="126"/>
        <v>0</v>
      </c>
      <c r="N1333" s="31" t="str">
        <f t="shared" si="123"/>
        <v>-</v>
      </c>
      <c r="O1333" s="31" t="str">
        <f t="shared" si="125"/>
        <v>-</v>
      </c>
      <c r="P1333" s="35" t="str">
        <f t="shared" si="124"/>
        <v>-</v>
      </c>
      <c r="Q1333" s="32" t="str">
        <f t="shared" si="127"/>
        <v>-</v>
      </c>
      <c r="S1333" s="32" t="str">
        <f t="shared" si="128"/>
        <v>-</v>
      </c>
    </row>
    <row r="1334" spans="1:19" x14ac:dyDescent="0.3">
      <c r="A1334" s="45" t="s">
        <v>3610</v>
      </c>
      <c r="B1334" s="40" t="s">
        <v>1588</v>
      </c>
      <c r="C1334" s="41" t="s">
        <v>2101</v>
      </c>
      <c r="D1334" s="21" t="s">
        <v>2268</v>
      </c>
      <c r="E1334" s="21" t="s">
        <v>2260</v>
      </c>
      <c r="F1334" s="24">
        <v>6.1779280794000004E-2</v>
      </c>
      <c r="G1334" s="21">
        <v>12</v>
      </c>
      <c r="H1334" s="17">
        <v>5.0999999999999996</v>
      </c>
      <c r="I1334" s="43" t="s">
        <v>3950</v>
      </c>
      <c r="J1334" s="26"/>
      <c r="K1334" s="17">
        <f t="shared" si="126"/>
        <v>0</v>
      </c>
      <c r="N1334" s="31" t="str">
        <f t="shared" si="123"/>
        <v>-</v>
      </c>
      <c r="O1334" s="31" t="str">
        <f t="shared" si="125"/>
        <v>-</v>
      </c>
      <c r="P1334" s="35" t="str">
        <f t="shared" si="124"/>
        <v>-</v>
      </c>
      <c r="Q1334" s="32" t="str">
        <f t="shared" si="127"/>
        <v>-</v>
      </c>
      <c r="S1334" s="32" t="str">
        <f t="shared" si="128"/>
        <v>-</v>
      </c>
    </row>
    <row r="1335" spans="1:19" x14ac:dyDescent="0.3">
      <c r="A1335" s="45" t="s">
        <v>3611</v>
      </c>
      <c r="B1335" s="40" t="s">
        <v>1273</v>
      </c>
      <c r="C1335" s="41" t="s">
        <v>2102</v>
      </c>
      <c r="D1335" s="21" t="s">
        <v>2224</v>
      </c>
      <c r="E1335" s="21" t="s">
        <v>2222</v>
      </c>
      <c r="F1335" s="24">
        <v>0.1175522426219167</v>
      </c>
      <c r="G1335" s="21">
        <v>12</v>
      </c>
      <c r="H1335" s="17">
        <v>12.45</v>
      </c>
      <c r="I1335" s="43" t="s">
        <v>3950</v>
      </c>
      <c r="J1335" s="26"/>
      <c r="K1335" s="17">
        <f t="shared" si="126"/>
        <v>0</v>
      </c>
      <c r="N1335" s="31" t="str">
        <f t="shared" si="123"/>
        <v>-</v>
      </c>
      <c r="O1335" s="31" t="str">
        <f t="shared" si="125"/>
        <v>-</v>
      </c>
      <c r="P1335" s="35" t="str">
        <f t="shared" si="124"/>
        <v>-</v>
      </c>
      <c r="Q1335" s="32" t="str">
        <f t="shared" si="127"/>
        <v>-</v>
      </c>
      <c r="S1335" s="32" t="str">
        <f t="shared" si="128"/>
        <v>-</v>
      </c>
    </row>
    <row r="1336" spans="1:19" x14ac:dyDescent="0.3">
      <c r="A1336" s="45" t="s">
        <v>3612</v>
      </c>
      <c r="B1336" s="40" t="s">
        <v>1435</v>
      </c>
      <c r="C1336" s="41" t="s">
        <v>2102</v>
      </c>
      <c r="D1336" s="21" t="s">
        <v>2225</v>
      </c>
      <c r="E1336" s="21" t="s">
        <v>2222</v>
      </c>
      <c r="F1336" s="24">
        <v>0.17160911331666664</v>
      </c>
      <c r="G1336" s="21">
        <v>12</v>
      </c>
      <c r="H1336" s="17">
        <v>18.149999999999999</v>
      </c>
      <c r="I1336" s="43" t="s">
        <v>3950</v>
      </c>
      <c r="J1336" s="26"/>
      <c r="K1336" s="17">
        <f t="shared" si="126"/>
        <v>0</v>
      </c>
      <c r="N1336" s="31" t="str">
        <f t="shared" si="123"/>
        <v>-</v>
      </c>
      <c r="O1336" s="31" t="str">
        <f t="shared" si="125"/>
        <v>-</v>
      </c>
      <c r="P1336" s="35" t="str">
        <f t="shared" si="124"/>
        <v>-</v>
      </c>
      <c r="Q1336" s="32" t="str">
        <f t="shared" si="127"/>
        <v>-</v>
      </c>
      <c r="S1336" s="32" t="str">
        <f t="shared" si="128"/>
        <v>-</v>
      </c>
    </row>
    <row r="1337" spans="1:19" x14ac:dyDescent="0.3">
      <c r="A1337" s="45" t="s">
        <v>3613</v>
      </c>
      <c r="B1337" s="40" t="s">
        <v>645</v>
      </c>
      <c r="C1337" s="41" t="s">
        <v>2102</v>
      </c>
      <c r="D1337" s="21" t="s">
        <v>2227</v>
      </c>
      <c r="E1337" s="21" t="s">
        <v>2222</v>
      </c>
      <c r="F1337" s="24">
        <v>0.22394989287825001</v>
      </c>
      <c r="G1337" s="21">
        <v>12</v>
      </c>
      <c r="H1337" s="17">
        <v>23.99</v>
      </c>
      <c r="I1337" s="43" t="s">
        <v>3950</v>
      </c>
      <c r="J1337" s="26"/>
      <c r="K1337" s="17">
        <f t="shared" si="126"/>
        <v>0</v>
      </c>
      <c r="N1337" s="31" t="str">
        <f t="shared" si="123"/>
        <v>-</v>
      </c>
      <c r="O1337" s="31" t="str">
        <f t="shared" si="125"/>
        <v>-</v>
      </c>
      <c r="P1337" s="35" t="str">
        <f t="shared" si="124"/>
        <v>-</v>
      </c>
      <c r="Q1337" s="32" t="str">
        <f t="shared" si="127"/>
        <v>-</v>
      </c>
      <c r="S1337" s="32" t="str">
        <f t="shared" si="128"/>
        <v>-</v>
      </c>
    </row>
    <row r="1338" spans="1:19" x14ac:dyDescent="0.3">
      <c r="A1338" s="45" t="s">
        <v>3614</v>
      </c>
      <c r="B1338" s="40" t="s">
        <v>1055</v>
      </c>
      <c r="C1338" s="41" t="s">
        <v>2103</v>
      </c>
      <c r="D1338" s="21" t="s">
        <v>2228</v>
      </c>
      <c r="E1338" s="21" t="s">
        <v>2229</v>
      </c>
      <c r="F1338" s="24">
        <v>0.11154592365583335</v>
      </c>
      <c r="G1338" s="21">
        <v>12</v>
      </c>
      <c r="H1338" s="17">
        <v>4.79</v>
      </c>
      <c r="I1338" s="43" t="s">
        <v>3950</v>
      </c>
      <c r="J1338" s="26"/>
      <c r="K1338" s="17">
        <f t="shared" si="126"/>
        <v>0</v>
      </c>
      <c r="N1338" s="31" t="str">
        <f t="shared" ref="N1338:N1401" si="129">IFERROR(IF($N$2*F1338=0, "-", $N$2*F1338), "-")</f>
        <v>-</v>
      </c>
      <c r="O1338" s="31" t="str">
        <f t="shared" si="125"/>
        <v>-</v>
      </c>
      <c r="P1338" s="35" t="str">
        <f t="shared" ref="P1338:P1401" si="130">IF(J1338&gt;0,J1338*F1338, "-")</f>
        <v>-</v>
      </c>
      <c r="Q1338" s="32" t="str">
        <f t="shared" si="127"/>
        <v>-</v>
      </c>
      <c r="S1338" s="32" t="str">
        <f t="shared" si="128"/>
        <v>-</v>
      </c>
    </row>
    <row r="1339" spans="1:19" x14ac:dyDescent="0.3">
      <c r="A1339" s="45" t="s">
        <v>3615</v>
      </c>
      <c r="B1339" s="40" t="s">
        <v>710</v>
      </c>
      <c r="C1339" s="41" t="s">
        <v>2103</v>
      </c>
      <c r="D1339" s="21" t="s">
        <v>2230</v>
      </c>
      <c r="E1339" s="21" t="s">
        <v>2229</v>
      </c>
      <c r="F1339" s="24">
        <v>0.17375422723312497</v>
      </c>
      <c r="G1339" s="21">
        <v>12</v>
      </c>
      <c r="H1339" s="17">
        <v>8.39</v>
      </c>
      <c r="I1339" s="43" t="s">
        <v>3950</v>
      </c>
      <c r="J1339" s="26"/>
      <c r="K1339" s="17">
        <f t="shared" si="126"/>
        <v>0</v>
      </c>
      <c r="N1339" s="31" t="str">
        <f t="shared" si="129"/>
        <v>-</v>
      </c>
      <c r="O1339" s="31" t="str">
        <f t="shared" si="125"/>
        <v>-</v>
      </c>
      <c r="P1339" s="35" t="str">
        <f t="shared" si="130"/>
        <v>-</v>
      </c>
      <c r="Q1339" s="32" t="str">
        <f t="shared" si="127"/>
        <v>-</v>
      </c>
      <c r="S1339" s="32" t="str">
        <f t="shared" si="128"/>
        <v>-</v>
      </c>
    </row>
    <row r="1340" spans="1:19" x14ac:dyDescent="0.3">
      <c r="A1340" s="45" t="s">
        <v>3616</v>
      </c>
      <c r="B1340" s="40" t="s">
        <v>1436</v>
      </c>
      <c r="C1340" s="41" t="s">
        <v>2103</v>
      </c>
      <c r="D1340" s="21" t="s">
        <v>2235</v>
      </c>
      <c r="E1340" s="21" t="s">
        <v>2229</v>
      </c>
      <c r="F1340" s="24">
        <v>0.28701624202212506</v>
      </c>
      <c r="G1340" s="21">
        <v>12</v>
      </c>
      <c r="H1340" s="17">
        <v>14.99</v>
      </c>
      <c r="I1340" s="43" t="s">
        <v>3950</v>
      </c>
      <c r="J1340" s="26"/>
      <c r="K1340" s="17">
        <f t="shared" si="126"/>
        <v>0</v>
      </c>
      <c r="N1340" s="31" t="str">
        <f t="shared" si="129"/>
        <v>-</v>
      </c>
      <c r="O1340" s="31" t="str">
        <f t="shared" si="125"/>
        <v>-</v>
      </c>
      <c r="P1340" s="35" t="str">
        <f t="shared" si="130"/>
        <v>-</v>
      </c>
      <c r="Q1340" s="32" t="str">
        <f t="shared" si="127"/>
        <v>-</v>
      </c>
      <c r="S1340" s="32" t="str">
        <f t="shared" si="128"/>
        <v>-</v>
      </c>
    </row>
    <row r="1341" spans="1:19" x14ac:dyDescent="0.3">
      <c r="A1341" s="45" t="s">
        <v>3617</v>
      </c>
      <c r="B1341" s="40" t="s">
        <v>1589</v>
      </c>
      <c r="C1341" s="41" t="s">
        <v>2104</v>
      </c>
      <c r="D1341" s="21" t="s">
        <v>2241</v>
      </c>
      <c r="E1341" s="21" t="s">
        <v>2240</v>
      </c>
      <c r="F1341" s="24">
        <v>0.60749626114099997</v>
      </c>
      <c r="G1341" s="21">
        <v>12</v>
      </c>
      <c r="H1341" s="17">
        <v>11.85</v>
      </c>
      <c r="I1341" s="43" t="s">
        <v>3950</v>
      </c>
      <c r="J1341" s="26"/>
      <c r="K1341" s="17">
        <f t="shared" si="126"/>
        <v>0</v>
      </c>
      <c r="N1341" s="31" t="str">
        <f t="shared" si="129"/>
        <v>-</v>
      </c>
      <c r="O1341" s="31" t="str">
        <f t="shared" ref="O1341:O1404" si="131">IFERROR(IF(N1341&gt;0,H1341+N1341,"-"),"-")</f>
        <v>-</v>
      </c>
      <c r="P1341" s="35" t="str">
        <f t="shared" si="130"/>
        <v>-</v>
      </c>
      <c r="Q1341" s="32" t="str">
        <f t="shared" si="127"/>
        <v>-</v>
      </c>
      <c r="S1341" s="32" t="str">
        <f t="shared" si="128"/>
        <v>-</v>
      </c>
    </row>
    <row r="1342" spans="1:19" x14ac:dyDescent="0.3">
      <c r="A1342" s="45" t="s">
        <v>3618</v>
      </c>
      <c r="B1342" s="40" t="s">
        <v>1590</v>
      </c>
      <c r="C1342" s="41" t="s">
        <v>2104</v>
      </c>
      <c r="D1342" s="21" t="s">
        <v>2270</v>
      </c>
      <c r="E1342" s="21" t="s">
        <v>2240</v>
      </c>
      <c r="F1342" s="24">
        <v>1.1789546084855003</v>
      </c>
      <c r="G1342" s="21">
        <v>6</v>
      </c>
      <c r="H1342" s="17">
        <v>22.65</v>
      </c>
      <c r="I1342" s="43" t="s">
        <v>3950</v>
      </c>
      <c r="J1342" s="26"/>
      <c r="K1342" s="17">
        <f t="shared" si="126"/>
        <v>0</v>
      </c>
      <c r="N1342" s="31" t="str">
        <f t="shared" si="129"/>
        <v>-</v>
      </c>
      <c r="O1342" s="31" t="str">
        <f t="shared" si="131"/>
        <v>-</v>
      </c>
      <c r="P1342" s="35" t="str">
        <f t="shared" si="130"/>
        <v>-</v>
      </c>
      <c r="Q1342" s="32" t="str">
        <f t="shared" si="127"/>
        <v>-</v>
      </c>
      <c r="S1342" s="32" t="str">
        <f t="shared" si="128"/>
        <v>-</v>
      </c>
    </row>
    <row r="1343" spans="1:19" x14ac:dyDescent="0.3">
      <c r="A1343" s="45" t="s">
        <v>3619</v>
      </c>
      <c r="B1343" s="40" t="s">
        <v>1247</v>
      </c>
      <c r="C1343" s="41" t="s">
        <v>2105</v>
      </c>
      <c r="D1343" s="21" t="s">
        <v>2236</v>
      </c>
      <c r="E1343" s="21" t="s">
        <v>2240</v>
      </c>
      <c r="F1343" s="24">
        <v>0.33678288488395836</v>
      </c>
      <c r="G1343" s="21">
        <v>12</v>
      </c>
      <c r="H1343" s="17">
        <v>6.9</v>
      </c>
      <c r="I1343" s="43" t="s">
        <v>3950</v>
      </c>
      <c r="J1343" s="26"/>
      <c r="K1343" s="17">
        <f t="shared" si="126"/>
        <v>0</v>
      </c>
      <c r="N1343" s="31" t="str">
        <f t="shared" si="129"/>
        <v>-</v>
      </c>
      <c r="O1343" s="31" t="str">
        <f t="shared" si="131"/>
        <v>-</v>
      </c>
      <c r="P1343" s="35" t="str">
        <f t="shared" si="130"/>
        <v>-</v>
      </c>
      <c r="Q1343" s="32" t="str">
        <f t="shared" si="127"/>
        <v>-</v>
      </c>
      <c r="S1343" s="32" t="str">
        <f t="shared" si="128"/>
        <v>-</v>
      </c>
    </row>
    <row r="1344" spans="1:19" x14ac:dyDescent="0.3">
      <c r="A1344" s="45" t="s">
        <v>3620</v>
      </c>
      <c r="B1344" s="40" t="s">
        <v>1035</v>
      </c>
      <c r="C1344" s="41" t="s">
        <v>2105</v>
      </c>
      <c r="D1344" s="21" t="s">
        <v>2241</v>
      </c>
      <c r="E1344" s="21" t="s">
        <v>2240</v>
      </c>
      <c r="F1344" s="24">
        <v>1.1841028818850001</v>
      </c>
      <c r="G1344" s="21">
        <v>6</v>
      </c>
      <c r="H1344" s="17">
        <v>10.65</v>
      </c>
      <c r="I1344" s="43" t="s">
        <v>3950</v>
      </c>
      <c r="J1344" s="26"/>
      <c r="K1344" s="17">
        <f t="shared" si="126"/>
        <v>0</v>
      </c>
      <c r="N1344" s="31" t="str">
        <f t="shared" si="129"/>
        <v>-</v>
      </c>
      <c r="O1344" s="31" t="str">
        <f t="shared" si="131"/>
        <v>-</v>
      </c>
      <c r="P1344" s="35" t="str">
        <f t="shared" si="130"/>
        <v>-</v>
      </c>
      <c r="Q1344" s="32" t="str">
        <f t="shared" si="127"/>
        <v>-</v>
      </c>
      <c r="S1344" s="32" t="str">
        <f t="shared" si="128"/>
        <v>-</v>
      </c>
    </row>
    <row r="1345" spans="1:19" x14ac:dyDescent="0.3">
      <c r="A1345" s="45" t="s">
        <v>3621</v>
      </c>
      <c r="B1345" s="40" t="s">
        <v>590</v>
      </c>
      <c r="C1345" s="41" t="s">
        <v>2105</v>
      </c>
      <c r="D1345" s="21" t="s">
        <v>2270</v>
      </c>
      <c r="E1345" s="21" t="s">
        <v>2240</v>
      </c>
      <c r="F1345" s="24">
        <v>0.99361676610349992</v>
      </c>
      <c r="G1345" s="21">
        <v>12</v>
      </c>
      <c r="H1345" s="17">
        <v>19.79</v>
      </c>
      <c r="I1345" s="43" t="s">
        <v>3950</v>
      </c>
      <c r="J1345" s="26"/>
      <c r="K1345" s="17">
        <f t="shared" si="126"/>
        <v>0</v>
      </c>
      <c r="N1345" s="31" t="str">
        <f t="shared" si="129"/>
        <v>-</v>
      </c>
      <c r="O1345" s="31" t="str">
        <f t="shared" si="131"/>
        <v>-</v>
      </c>
      <c r="P1345" s="35" t="str">
        <f t="shared" si="130"/>
        <v>-</v>
      </c>
      <c r="Q1345" s="32" t="str">
        <f t="shared" si="127"/>
        <v>-</v>
      </c>
      <c r="S1345" s="32" t="str">
        <f t="shared" si="128"/>
        <v>-</v>
      </c>
    </row>
    <row r="1346" spans="1:19" x14ac:dyDescent="0.3">
      <c r="A1346" s="45" t="s">
        <v>3622</v>
      </c>
      <c r="B1346" s="40" t="s">
        <v>127</v>
      </c>
      <c r="C1346" s="41" t="s">
        <v>2106</v>
      </c>
      <c r="D1346" s="21" t="s">
        <v>2223</v>
      </c>
      <c r="E1346" s="21" t="s">
        <v>2222</v>
      </c>
      <c r="F1346" s="24">
        <v>5.5772961827916676E-2</v>
      </c>
      <c r="G1346" s="21">
        <v>12</v>
      </c>
      <c r="H1346" s="17">
        <v>6.75</v>
      </c>
      <c r="I1346" s="43" t="s">
        <v>3950</v>
      </c>
      <c r="J1346" s="26"/>
      <c r="K1346" s="17">
        <f t="shared" si="126"/>
        <v>0</v>
      </c>
      <c r="N1346" s="31" t="str">
        <f t="shared" si="129"/>
        <v>-</v>
      </c>
      <c r="O1346" s="31" t="str">
        <f t="shared" si="131"/>
        <v>-</v>
      </c>
      <c r="P1346" s="35" t="str">
        <f t="shared" si="130"/>
        <v>-</v>
      </c>
      <c r="Q1346" s="32" t="str">
        <f t="shared" si="127"/>
        <v>-</v>
      </c>
      <c r="S1346" s="32" t="str">
        <f t="shared" si="128"/>
        <v>-</v>
      </c>
    </row>
    <row r="1347" spans="1:19" x14ac:dyDescent="0.3">
      <c r="A1347" s="45" t="s">
        <v>3623</v>
      </c>
      <c r="B1347" s="40" t="s">
        <v>932</v>
      </c>
      <c r="C1347" s="41" t="s">
        <v>2106</v>
      </c>
      <c r="D1347" s="21" t="s">
        <v>2224</v>
      </c>
      <c r="E1347" s="21" t="s">
        <v>2222</v>
      </c>
      <c r="F1347" s="24">
        <v>9.3955989540875015E-2</v>
      </c>
      <c r="G1347" s="21">
        <v>12</v>
      </c>
      <c r="H1347" s="17">
        <v>12.3</v>
      </c>
      <c r="I1347" s="43" t="s">
        <v>3950</v>
      </c>
      <c r="J1347" s="26"/>
      <c r="K1347" s="17">
        <f t="shared" si="126"/>
        <v>0</v>
      </c>
      <c r="N1347" s="31" t="str">
        <f t="shared" si="129"/>
        <v>-</v>
      </c>
      <c r="O1347" s="31" t="str">
        <f t="shared" si="131"/>
        <v>-</v>
      </c>
      <c r="P1347" s="35" t="str">
        <f t="shared" si="130"/>
        <v>-</v>
      </c>
      <c r="Q1347" s="32" t="str">
        <f t="shared" si="127"/>
        <v>-</v>
      </c>
      <c r="S1347" s="32" t="str">
        <f t="shared" si="128"/>
        <v>-</v>
      </c>
    </row>
    <row r="1348" spans="1:19" x14ac:dyDescent="0.3">
      <c r="A1348" s="45" t="s">
        <v>3624</v>
      </c>
      <c r="B1348" s="40" t="s">
        <v>566</v>
      </c>
      <c r="C1348" s="41" t="s">
        <v>2106</v>
      </c>
      <c r="D1348" s="21" t="s">
        <v>2227</v>
      </c>
      <c r="E1348" s="21" t="s">
        <v>2222</v>
      </c>
      <c r="F1348" s="24">
        <v>0.16388670321741669</v>
      </c>
      <c r="G1348" s="21">
        <v>12</v>
      </c>
      <c r="H1348" s="17">
        <v>23.39</v>
      </c>
      <c r="I1348" s="43" t="s">
        <v>3950</v>
      </c>
      <c r="J1348" s="26"/>
      <c r="K1348" s="17">
        <f t="shared" si="126"/>
        <v>0</v>
      </c>
      <c r="N1348" s="31" t="str">
        <f t="shared" si="129"/>
        <v>-</v>
      </c>
      <c r="O1348" s="31" t="str">
        <f t="shared" si="131"/>
        <v>-</v>
      </c>
      <c r="P1348" s="35" t="str">
        <f t="shared" si="130"/>
        <v>-</v>
      </c>
      <c r="Q1348" s="32" t="str">
        <f t="shared" si="127"/>
        <v>-</v>
      </c>
      <c r="S1348" s="32" t="str">
        <f t="shared" si="128"/>
        <v>-</v>
      </c>
    </row>
    <row r="1349" spans="1:19" x14ac:dyDescent="0.3">
      <c r="A1349" s="45" t="s">
        <v>3627</v>
      </c>
      <c r="B1349" s="40" t="s">
        <v>885</v>
      </c>
      <c r="C1349" s="41" t="s">
        <v>2107</v>
      </c>
      <c r="D1349" s="21" t="s">
        <v>2227</v>
      </c>
      <c r="E1349" s="21" t="s">
        <v>2244</v>
      </c>
      <c r="F1349" s="24">
        <v>7.8511169342374995E-2</v>
      </c>
      <c r="G1349" s="21">
        <v>12</v>
      </c>
      <c r="H1349" s="17">
        <v>28.95</v>
      </c>
      <c r="I1349" s="43" t="s">
        <v>3950</v>
      </c>
      <c r="J1349" s="26"/>
      <c r="K1349" s="17">
        <f t="shared" si="126"/>
        <v>0</v>
      </c>
      <c r="N1349" s="31" t="str">
        <f t="shared" si="129"/>
        <v>-</v>
      </c>
      <c r="O1349" s="31" t="str">
        <f t="shared" si="131"/>
        <v>-</v>
      </c>
      <c r="P1349" s="35" t="str">
        <f t="shared" si="130"/>
        <v>-</v>
      </c>
      <c r="Q1349" s="32" t="str">
        <f t="shared" si="127"/>
        <v>-</v>
      </c>
      <c r="S1349" s="32" t="str">
        <f t="shared" si="128"/>
        <v>-</v>
      </c>
    </row>
    <row r="1350" spans="1:19" x14ac:dyDescent="0.3">
      <c r="A1350" s="45" t="s">
        <v>3629</v>
      </c>
      <c r="B1350" s="40" t="s">
        <v>1085</v>
      </c>
      <c r="C1350" s="41" t="s">
        <v>2108</v>
      </c>
      <c r="D1350" s="21" t="s">
        <v>2224</v>
      </c>
      <c r="E1350" s="21" t="s">
        <v>2232</v>
      </c>
      <c r="F1350" s="24">
        <v>0.15873842981791667</v>
      </c>
      <c r="G1350" s="21">
        <v>12</v>
      </c>
      <c r="H1350" s="17">
        <v>13.79</v>
      </c>
      <c r="I1350" s="43" t="s">
        <v>3950</v>
      </c>
      <c r="J1350" s="26"/>
      <c r="K1350" s="17">
        <f t="shared" si="126"/>
        <v>0</v>
      </c>
      <c r="N1350" s="31" t="str">
        <f t="shared" si="129"/>
        <v>-</v>
      </c>
      <c r="O1350" s="31" t="str">
        <f t="shared" si="131"/>
        <v>-</v>
      </c>
      <c r="P1350" s="35" t="str">
        <f t="shared" si="130"/>
        <v>-</v>
      </c>
      <c r="Q1350" s="32" t="str">
        <f t="shared" si="127"/>
        <v>-</v>
      </c>
      <c r="S1350" s="32" t="str">
        <f t="shared" si="128"/>
        <v>-</v>
      </c>
    </row>
    <row r="1351" spans="1:19" x14ac:dyDescent="0.3">
      <c r="A1351" s="45" t="s">
        <v>3630</v>
      </c>
      <c r="B1351" s="40" t="s">
        <v>125</v>
      </c>
      <c r="C1351" s="41" t="s">
        <v>2108</v>
      </c>
      <c r="D1351" s="21" t="s">
        <v>2227</v>
      </c>
      <c r="E1351" s="21" t="s">
        <v>2232</v>
      </c>
      <c r="F1351" s="24">
        <v>0.30546422170366666</v>
      </c>
      <c r="G1351" s="21">
        <v>12</v>
      </c>
      <c r="H1351" s="17">
        <v>26.39</v>
      </c>
      <c r="I1351" s="43" t="s">
        <v>3950</v>
      </c>
      <c r="J1351" s="26"/>
      <c r="K1351" s="17">
        <f t="shared" si="126"/>
        <v>0</v>
      </c>
      <c r="N1351" s="31" t="str">
        <f t="shared" si="129"/>
        <v>-</v>
      </c>
      <c r="O1351" s="31" t="str">
        <f t="shared" si="131"/>
        <v>-</v>
      </c>
      <c r="P1351" s="35" t="str">
        <f t="shared" si="130"/>
        <v>-</v>
      </c>
      <c r="Q1351" s="32" t="str">
        <f t="shared" si="127"/>
        <v>-</v>
      </c>
      <c r="S1351" s="32" t="str">
        <f t="shared" si="128"/>
        <v>-</v>
      </c>
    </row>
    <row r="1352" spans="1:19" x14ac:dyDescent="0.3">
      <c r="A1352" s="45" t="s">
        <v>3631</v>
      </c>
      <c r="B1352" s="40" t="s">
        <v>1231</v>
      </c>
      <c r="C1352" s="41" t="s">
        <v>2106</v>
      </c>
      <c r="D1352" s="21" t="s">
        <v>2223</v>
      </c>
      <c r="E1352" s="21" t="s">
        <v>2244</v>
      </c>
      <c r="F1352" s="24">
        <v>4.5476415028916667E-2</v>
      </c>
      <c r="G1352" s="21">
        <v>12</v>
      </c>
      <c r="H1352" s="17">
        <v>7.05</v>
      </c>
      <c r="I1352" s="43" t="s">
        <v>3950</v>
      </c>
      <c r="J1352" s="26"/>
      <c r="K1352" s="17">
        <f t="shared" si="126"/>
        <v>0</v>
      </c>
      <c r="N1352" s="31" t="str">
        <f t="shared" si="129"/>
        <v>-</v>
      </c>
      <c r="O1352" s="31" t="str">
        <f t="shared" si="131"/>
        <v>-</v>
      </c>
      <c r="P1352" s="35" t="str">
        <f t="shared" si="130"/>
        <v>-</v>
      </c>
      <c r="Q1352" s="32" t="str">
        <f t="shared" si="127"/>
        <v>-</v>
      </c>
      <c r="S1352" s="32" t="str">
        <f t="shared" si="128"/>
        <v>-</v>
      </c>
    </row>
    <row r="1353" spans="1:19" x14ac:dyDescent="0.3">
      <c r="A1353" s="45" t="s">
        <v>3632</v>
      </c>
      <c r="B1353" s="40" t="s">
        <v>1071</v>
      </c>
      <c r="C1353" s="41" t="s">
        <v>2106</v>
      </c>
      <c r="D1353" s="21" t="s">
        <v>2224</v>
      </c>
      <c r="E1353" s="21" t="s">
        <v>2244</v>
      </c>
      <c r="F1353" s="24">
        <v>7.8511169342374995E-2</v>
      </c>
      <c r="G1353" s="21">
        <v>12</v>
      </c>
      <c r="H1353" s="17">
        <v>12.9</v>
      </c>
      <c r="I1353" s="43" t="s">
        <v>3950</v>
      </c>
      <c r="J1353" s="26"/>
      <c r="K1353" s="17">
        <f t="shared" si="126"/>
        <v>0</v>
      </c>
      <c r="N1353" s="31" t="str">
        <f t="shared" si="129"/>
        <v>-</v>
      </c>
      <c r="O1353" s="31" t="str">
        <f t="shared" si="131"/>
        <v>-</v>
      </c>
      <c r="P1353" s="35" t="str">
        <f t="shared" si="130"/>
        <v>-</v>
      </c>
      <c r="Q1353" s="32" t="str">
        <f t="shared" si="127"/>
        <v>-</v>
      </c>
      <c r="S1353" s="32" t="str">
        <f t="shared" si="128"/>
        <v>-</v>
      </c>
    </row>
    <row r="1354" spans="1:19" x14ac:dyDescent="0.3">
      <c r="A1354" s="45" t="s">
        <v>3633</v>
      </c>
      <c r="B1354" s="40" t="s">
        <v>126</v>
      </c>
      <c r="C1354" s="41" t="s">
        <v>2106</v>
      </c>
      <c r="D1354" s="21" t="s">
        <v>2227</v>
      </c>
      <c r="E1354" s="21" t="s">
        <v>2244</v>
      </c>
      <c r="F1354" s="24">
        <v>0.14071947291966666</v>
      </c>
      <c r="G1354" s="21">
        <v>12</v>
      </c>
      <c r="H1354" s="17">
        <v>24.59</v>
      </c>
      <c r="I1354" s="43" t="s">
        <v>3950</v>
      </c>
      <c r="J1354" s="26"/>
      <c r="K1354" s="17">
        <f t="shared" si="126"/>
        <v>0</v>
      </c>
      <c r="N1354" s="31" t="str">
        <f t="shared" si="129"/>
        <v>-</v>
      </c>
      <c r="O1354" s="31" t="str">
        <f t="shared" si="131"/>
        <v>-</v>
      </c>
      <c r="P1354" s="35" t="str">
        <f t="shared" si="130"/>
        <v>-</v>
      </c>
      <c r="Q1354" s="32" t="str">
        <f t="shared" si="127"/>
        <v>-</v>
      </c>
      <c r="S1354" s="32" t="str">
        <f t="shared" si="128"/>
        <v>-</v>
      </c>
    </row>
    <row r="1355" spans="1:19" x14ac:dyDescent="0.3">
      <c r="A1355" s="45" t="s">
        <v>3634</v>
      </c>
      <c r="B1355" s="40" t="s">
        <v>312</v>
      </c>
      <c r="C1355" s="41" t="s">
        <v>2047</v>
      </c>
      <c r="D1355" s="21" t="s">
        <v>2233</v>
      </c>
      <c r="E1355" s="21" t="s">
        <v>2234</v>
      </c>
      <c r="F1355" s="24">
        <v>0.22824012071116667</v>
      </c>
      <c r="G1355" s="21">
        <v>12</v>
      </c>
      <c r="H1355" s="17">
        <v>23.39</v>
      </c>
      <c r="I1355" s="43" t="s">
        <v>3950</v>
      </c>
      <c r="J1355" s="26"/>
      <c r="K1355" s="17">
        <f t="shared" si="126"/>
        <v>0</v>
      </c>
      <c r="N1355" s="31" t="str">
        <f t="shared" si="129"/>
        <v>-</v>
      </c>
      <c r="O1355" s="31" t="str">
        <f t="shared" si="131"/>
        <v>-</v>
      </c>
      <c r="P1355" s="35" t="str">
        <f t="shared" si="130"/>
        <v>-</v>
      </c>
      <c r="Q1355" s="32" t="str">
        <f t="shared" si="127"/>
        <v>-</v>
      </c>
      <c r="S1355" s="32" t="str">
        <f t="shared" si="128"/>
        <v>-</v>
      </c>
    </row>
    <row r="1356" spans="1:19" x14ac:dyDescent="0.3">
      <c r="A1356" s="45" t="s">
        <v>3635</v>
      </c>
      <c r="B1356" s="40" t="s">
        <v>1173</v>
      </c>
      <c r="C1356" s="41" t="s">
        <v>2047</v>
      </c>
      <c r="D1356" s="21" t="s">
        <v>2224</v>
      </c>
      <c r="E1356" s="21" t="s">
        <v>2244</v>
      </c>
      <c r="F1356" s="24">
        <v>7.8511169342374995E-2</v>
      </c>
      <c r="G1356" s="21">
        <v>12</v>
      </c>
      <c r="H1356" s="17">
        <v>7.05</v>
      </c>
      <c r="I1356" s="43" t="s">
        <v>3950</v>
      </c>
      <c r="J1356" s="26"/>
      <c r="K1356" s="17">
        <f t="shared" si="126"/>
        <v>0</v>
      </c>
      <c r="N1356" s="31" t="str">
        <f t="shared" si="129"/>
        <v>-</v>
      </c>
      <c r="O1356" s="31" t="str">
        <f t="shared" si="131"/>
        <v>-</v>
      </c>
      <c r="P1356" s="35" t="str">
        <f t="shared" si="130"/>
        <v>-</v>
      </c>
      <c r="Q1356" s="32" t="str">
        <f t="shared" si="127"/>
        <v>-</v>
      </c>
      <c r="S1356" s="32" t="str">
        <f t="shared" si="128"/>
        <v>-</v>
      </c>
    </row>
    <row r="1357" spans="1:19" x14ac:dyDescent="0.3">
      <c r="A1357" s="45" t="s">
        <v>3636</v>
      </c>
      <c r="B1357" s="40" t="s">
        <v>1104</v>
      </c>
      <c r="C1357" s="41" t="s">
        <v>1919</v>
      </c>
      <c r="D1357" s="21" t="s">
        <v>2227</v>
      </c>
      <c r="E1357" s="21" t="s">
        <v>2234</v>
      </c>
      <c r="F1357" s="24">
        <v>0.16731888548375001</v>
      </c>
      <c r="G1357" s="21">
        <v>12</v>
      </c>
      <c r="H1357" s="17">
        <v>71.39</v>
      </c>
      <c r="I1357" s="43" t="s">
        <v>3950</v>
      </c>
      <c r="J1357" s="26"/>
      <c r="K1357" s="17">
        <f t="shared" si="126"/>
        <v>0</v>
      </c>
      <c r="N1357" s="31" t="str">
        <f t="shared" si="129"/>
        <v>-</v>
      </c>
      <c r="O1357" s="31" t="str">
        <f t="shared" si="131"/>
        <v>-</v>
      </c>
      <c r="P1357" s="35" t="str">
        <f t="shared" si="130"/>
        <v>-</v>
      </c>
      <c r="Q1357" s="32" t="str">
        <f t="shared" si="127"/>
        <v>-</v>
      </c>
      <c r="S1357" s="32" t="str">
        <f t="shared" si="128"/>
        <v>-</v>
      </c>
    </row>
    <row r="1358" spans="1:19" x14ac:dyDescent="0.3">
      <c r="A1358" s="45" t="s">
        <v>3637</v>
      </c>
      <c r="B1358" s="40" t="s">
        <v>313</v>
      </c>
      <c r="C1358" s="41" t="s">
        <v>2109</v>
      </c>
      <c r="D1358" s="21" t="s">
        <v>2223</v>
      </c>
      <c r="E1358" s="21" t="s">
        <v>2244</v>
      </c>
      <c r="F1358" s="24">
        <v>5.4056870694750007E-2</v>
      </c>
      <c r="G1358" s="21">
        <v>12</v>
      </c>
      <c r="H1358" s="17">
        <v>8.1</v>
      </c>
      <c r="I1358" s="43" t="s">
        <v>3950</v>
      </c>
      <c r="J1358" s="26"/>
      <c r="K1358" s="17">
        <f t="shared" si="126"/>
        <v>0</v>
      </c>
      <c r="N1358" s="31" t="str">
        <f t="shared" si="129"/>
        <v>-</v>
      </c>
      <c r="O1358" s="31" t="str">
        <f t="shared" si="131"/>
        <v>-</v>
      </c>
      <c r="P1358" s="35" t="str">
        <f t="shared" si="130"/>
        <v>-</v>
      </c>
      <c r="Q1358" s="32" t="str">
        <f t="shared" si="127"/>
        <v>-</v>
      </c>
      <c r="S1358" s="32" t="str">
        <f t="shared" si="128"/>
        <v>-</v>
      </c>
    </row>
    <row r="1359" spans="1:19" x14ac:dyDescent="0.3">
      <c r="A1359" s="45" t="s">
        <v>3638</v>
      </c>
      <c r="B1359" s="40" t="s">
        <v>879</v>
      </c>
      <c r="C1359" s="41" t="s">
        <v>2109</v>
      </c>
      <c r="D1359" s="21" t="s">
        <v>2224</v>
      </c>
      <c r="E1359" s="21" t="s">
        <v>2244</v>
      </c>
      <c r="F1359" s="24">
        <v>7.9798237692250015E-2</v>
      </c>
      <c r="G1359" s="21">
        <v>12</v>
      </c>
      <c r="H1359" s="17">
        <v>15.3</v>
      </c>
      <c r="I1359" s="43" t="s">
        <v>3950</v>
      </c>
      <c r="J1359" s="26"/>
      <c r="K1359" s="17">
        <f t="shared" si="126"/>
        <v>0</v>
      </c>
      <c r="N1359" s="31" t="str">
        <f t="shared" si="129"/>
        <v>-</v>
      </c>
      <c r="O1359" s="31" t="str">
        <f t="shared" si="131"/>
        <v>-</v>
      </c>
      <c r="P1359" s="35" t="str">
        <f t="shared" si="130"/>
        <v>-</v>
      </c>
      <c r="Q1359" s="32" t="str">
        <f t="shared" si="127"/>
        <v>-</v>
      </c>
      <c r="S1359" s="32" t="str">
        <f t="shared" si="128"/>
        <v>-</v>
      </c>
    </row>
    <row r="1360" spans="1:19" x14ac:dyDescent="0.3">
      <c r="A1360" s="45" t="s">
        <v>3639</v>
      </c>
      <c r="B1360" s="40" t="s">
        <v>1302</v>
      </c>
      <c r="C1360" s="41" t="s">
        <v>2109</v>
      </c>
      <c r="D1360" s="21" t="s">
        <v>2225</v>
      </c>
      <c r="E1360" s="21" t="s">
        <v>2244</v>
      </c>
      <c r="F1360" s="24">
        <v>0.10210742242341668</v>
      </c>
      <c r="G1360" s="21">
        <v>12</v>
      </c>
      <c r="H1360" s="17">
        <v>22.5</v>
      </c>
      <c r="I1360" s="43" t="s">
        <v>3950</v>
      </c>
      <c r="J1360" s="26"/>
      <c r="K1360" s="17">
        <f t="shared" si="126"/>
        <v>0</v>
      </c>
      <c r="N1360" s="31" t="str">
        <f t="shared" si="129"/>
        <v>-</v>
      </c>
      <c r="O1360" s="31" t="str">
        <f t="shared" si="131"/>
        <v>-</v>
      </c>
      <c r="P1360" s="35" t="str">
        <f t="shared" si="130"/>
        <v>-</v>
      </c>
      <c r="Q1360" s="32" t="str">
        <f t="shared" si="127"/>
        <v>-</v>
      </c>
      <c r="S1360" s="32" t="str">
        <f t="shared" si="128"/>
        <v>-</v>
      </c>
    </row>
    <row r="1361" spans="1:19" x14ac:dyDescent="0.3">
      <c r="A1361" s="45" t="s">
        <v>3640</v>
      </c>
      <c r="B1361" s="40" t="s">
        <v>572</v>
      </c>
      <c r="C1361" s="41" t="s">
        <v>2109</v>
      </c>
      <c r="D1361" s="21" t="s">
        <v>2227</v>
      </c>
      <c r="E1361" s="21" t="s">
        <v>2244</v>
      </c>
      <c r="F1361" s="24">
        <v>0.13042292612066669</v>
      </c>
      <c r="G1361" s="21">
        <v>12</v>
      </c>
      <c r="H1361" s="17">
        <v>27.59</v>
      </c>
      <c r="I1361" s="43" t="s">
        <v>3950</v>
      </c>
      <c r="J1361" s="26"/>
      <c r="K1361" s="17">
        <f t="shared" si="126"/>
        <v>0</v>
      </c>
      <c r="N1361" s="31" t="str">
        <f t="shared" si="129"/>
        <v>-</v>
      </c>
      <c r="O1361" s="31" t="str">
        <f t="shared" si="131"/>
        <v>-</v>
      </c>
      <c r="P1361" s="35" t="str">
        <f t="shared" si="130"/>
        <v>-</v>
      </c>
      <c r="Q1361" s="32" t="str">
        <f t="shared" si="127"/>
        <v>-</v>
      </c>
      <c r="S1361" s="32" t="str">
        <f t="shared" si="128"/>
        <v>-</v>
      </c>
    </row>
    <row r="1362" spans="1:19" x14ac:dyDescent="0.3">
      <c r="A1362" s="45" t="s">
        <v>3641</v>
      </c>
      <c r="B1362" s="40" t="s">
        <v>637</v>
      </c>
      <c r="C1362" s="41" t="s">
        <v>2110</v>
      </c>
      <c r="D1362" s="21" t="s">
        <v>2224</v>
      </c>
      <c r="E1362" s="21" t="s">
        <v>2234</v>
      </c>
      <c r="F1362" s="24">
        <v>4.5476415028916667E-2</v>
      </c>
      <c r="G1362" s="21">
        <v>12</v>
      </c>
      <c r="H1362" s="17">
        <v>4.95</v>
      </c>
      <c r="I1362" s="43" t="s">
        <v>3950</v>
      </c>
      <c r="J1362" s="26"/>
      <c r="K1362" s="17">
        <f t="shared" si="126"/>
        <v>0</v>
      </c>
      <c r="N1362" s="31" t="str">
        <f t="shared" si="129"/>
        <v>-</v>
      </c>
      <c r="O1362" s="31" t="str">
        <f t="shared" si="131"/>
        <v>-</v>
      </c>
      <c r="P1362" s="35" t="str">
        <f t="shared" si="130"/>
        <v>-</v>
      </c>
      <c r="Q1362" s="32" t="str">
        <f t="shared" si="127"/>
        <v>-</v>
      </c>
      <c r="S1362" s="32" t="str">
        <f t="shared" si="128"/>
        <v>-</v>
      </c>
    </row>
    <row r="1363" spans="1:19" x14ac:dyDescent="0.3">
      <c r="A1363" s="45" t="s">
        <v>3642</v>
      </c>
      <c r="B1363" s="40" t="s">
        <v>1442</v>
      </c>
      <c r="C1363" s="41" t="s">
        <v>2110</v>
      </c>
      <c r="D1363" s="21" t="s">
        <v>2227</v>
      </c>
      <c r="E1363" s="21" t="s">
        <v>2234</v>
      </c>
      <c r="F1363" s="24">
        <v>7.8511169342374995E-2</v>
      </c>
      <c r="G1363" s="21">
        <v>12</v>
      </c>
      <c r="H1363" s="17">
        <v>8.1</v>
      </c>
      <c r="I1363" s="43" t="s">
        <v>3950</v>
      </c>
      <c r="J1363" s="26"/>
      <c r="K1363" s="17">
        <f t="shared" si="126"/>
        <v>0</v>
      </c>
      <c r="N1363" s="31" t="str">
        <f t="shared" si="129"/>
        <v>-</v>
      </c>
      <c r="O1363" s="31" t="str">
        <f t="shared" si="131"/>
        <v>-</v>
      </c>
      <c r="P1363" s="35" t="str">
        <f t="shared" si="130"/>
        <v>-</v>
      </c>
      <c r="Q1363" s="32" t="str">
        <f t="shared" si="127"/>
        <v>-</v>
      </c>
      <c r="S1363" s="32" t="str">
        <f t="shared" si="128"/>
        <v>-</v>
      </c>
    </row>
    <row r="1364" spans="1:19" x14ac:dyDescent="0.3">
      <c r="A1364" s="45" t="s">
        <v>3644</v>
      </c>
      <c r="B1364" s="40" t="s">
        <v>1591</v>
      </c>
      <c r="C1364" s="41" t="s">
        <v>2111</v>
      </c>
      <c r="D1364" s="21" t="s">
        <v>2270</v>
      </c>
      <c r="E1364" s="21" t="s">
        <v>2240</v>
      </c>
      <c r="F1364" s="24">
        <v>1.1799842631654001</v>
      </c>
      <c r="G1364" s="21">
        <v>6</v>
      </c>
      <c r="H1364" s="17">
        <v>23.55</v>
      </c>
      <c r="I1364" s="43" t="s">
        <v>3950</v>
      </c>
      <c r="J1364" s="26"/>
      <c r="K1364" s="17">
        <f t="shared" si="126"/>
        <v>0</v>
      </c>
      <c r="N1364" s="31" t="str">
        <f t="shared" si="129"/>
        <v>-</v>
      </c>
      <c r="O1364" s="31" t="str">
        <f t="shared" si="131"/>
        <v>-</v>
      </c>
      <c r="P1364" s="35" t="str">
        <f t="shared" si="130"/>
        <v>-</v>
      </c>
      <c r="Q1364" s="32" t="str">
        <f t="shared" si="127"/>
        <v>-</v>
      </c>
      <c r="S1364" s="32" t="str">
        <f t="shared" si="128"/>
        <v>-</v>
      </c>
    </row>
    <row r="1365" spans="1:19" x14ac:dyDescent="0.3">
      <c r="A1365" s="45" t="s">
        <v>3645</v>
      </c>
      <c r="B1365" s="40" t="s">
        <v>1251</v>
      </c>
      <c r="C1365" s="41" t="s">
        <v>2112</v>
      </c>
      <c r="D1365" s="21" t="s">
        <v>2223</v>
      </c>
      <c r="E1365" s="21" t="s">
        <v>2222</v>
      </c>
      <c r="F1365" s="24">
        <v>6.0921235227416673E-2</v>
      </c>
      <c r="G1365" s="21">
        <v>12</v>
      </c>
      <c r="H1365" s="17">
        <v>4.3499999999999996</v>
      </c>
      <c r="I1365" s="43" t="s">
        <v>3950</v>
      </c>
      <c r="J1365" s="26"/>
      <c r="K1365" s="17">
        <f t="shared" si="126"/>
        <v>0</v>
      </c>
      <c r="N1365" s="31" t="str">
        <f t="shared" si="129"/>
        <v>-</v>
      </c>
      <c r="O1365" s="31" t="str">
        <f t="shared" si="131"/>
        <v>-</v>
      </c>
      <c r="P1365" s="35" t="str">
        <f t="shared" si="130"/>
        <v>-</v>
      </c>
      <c r="Q1365" s="32" t="str">
        <f t="shared" si="127"/>
        <v>-</v>
      </c>
      <c r="S1365" s="32" t="str">
        <f t="shared" si="128"/>
        <v>-</v>
      </c>
    </row>
    <row r="1366" spans="1:19" x14ac:dyDescent="0.3">
      <c r="A1366" s="45" t="s">
        <v>3646</v>
      </c>
      <c r="B1366" s="40" t="s">
        <v>629</v>
      </c>
      <c r="C1366" s="41" t="s">
        <v>2062</v>
      </c>
      <c r="D1366" s="21" t="s">
        <v>2233</v>
      </c>
      <c r="E1366" s="21" t="s">
        <v>2222</v>
      </c>
      <c r="F1366" s="24">
        <v>0.21022116381291669</v>
      </c>
      <c r="G1366" s="21">
        <v>12</v>
      </c>
      <c r="H1366" s="17">
        <v>26.99</v>
      </c>
      <c r="I1366" s="43" t="s">
        <v>3950</v>
      </c>
      <c r="J1366" s="26"/>
      <c r="K1366" s="17">
        <f t="shared" si="126"/>
        <v>0</v>
      </c>
      <c r="N1366" s="31" t="str">
        <f t="shared" si="129"/>
        <v>-</v>
      </c>
      <c r="O1366" s="31" t="str">
        <f t="shared" si="131"/>
        <v>-</v>
      </c>
      <c r="P1366" s="35" t="str">
        <f t="shared" si="130"/>
        <v>-</v>
      </c>
      <c r="Q1366" s="32" t="str">
        <f t="shared" si="127"/>
        <v>-</v>
      </c>
      <c r="S1366" s="32" t="str">
        <f t="shared" si="128"/>
        <v>-</v>
      </c>
    </row>
    <row r="1367" spans="1:19" x14ac:dyDescent="0.3">
      <c r="A1367" s="45" t="s">
        <v>3647</v>
      </c>
      <c r="B1367" s="40" t="s">
        <v>1592</v>
      </c>
      <c r="C1367" s="41" t="s">
        <v>2113</v>
      </c>
      <c r="D1367" s="21" t="s">
        <v>2231</v>
      </c>
      <c r="E1367" s="21" t="s">
        <v>2222</v>
      </c>
      <c r="F1367" s="24">
        <v>0.16388670321741669</v>
      </c>
      <c r="G1367" s="21">
        <v>12</v>
      </c>
      <c r="H1367" s="17">
        <v>11.7</v>
      </c>
      <c r="I1367" s="43" t="s">
        <v>3950</v>
      </c>
      <c r="J1367" s="26"/>
      <c r="K1367" s="17">
        <f t="shared" si="126"/>
        <v>0</v>
      </c>
      <c r="N1367" s="31" t="str">
        <f t="shared" si="129"/>
        <v>-</v>
      </c>
      <c r="O1367" s="31" t="str">
        <f t="shared" si="131"/>
        <v>-</v>
      </c>
      <c r="P1367" s="35" t="str">
        <f t="shared" si="130"/>
        <v>-</v>
      </c>
      <c r="Q1367" s="32" t="str">
        <f t="shared" si="127"/>
        <v>-</v>
      </c>
      <c r="S1367" s="32" t="str">
        <f t="shared" si="128"/>
        <v>-</v>
      </c>
    </row>
    <row r="1368" spans="1:19" x14ac:dyDescent="0.3">
      <c r="A1368" s="45" t="s">
        <v>3648</v>
      </c>
      <c r="B1368" s="40" t="s">
        <v>1593</v>
      </c>
      <c r="C1368" s="41" t="s">
        <v>2113</v>
      </c>
      <c r="D1368" s="21" t="s">
        <v>2225</v>
      </c>
      <c r="E1368" s="21" t="s">
        <v>2222</v>
      </c>
      <c r="F1368" s="24">
        <v>0.25655562440841673</v>
      </c>
      <c r="G1368" s="21">
        <v>12</v>
      </c>
      <c r="H1368" s="17">
        <v>22.5</v>
      </c>
      <c r="I1368" s="43" t="s">
        <v>3950</v>
      </c>
      <c r="J1368" s="26"/>
      <c r="K1368" s="17">
        <f t="shared" si="126"/>
        <v>0</v>
      </c>
      <c r="N1368" s="31" t="str">
        <f t="shared" si="129"/>
        <v>-</v>
      </c>
      <c r="O1368" s="31" t="str">
        <f t="shared" si="131"/>
        <v>-</v>
      </c>
      <c r="P1368" s="35" t="str">
        <f t="shared" si="130"/>
        <v>-</v>
      </c>
      <c r="Q1368" s="32" t="str">
        <f t="shared" si="127"/>
        <v>-</v>
      </c>
      <c r="S1368" s="32" t="str">
        <f t="shared" si="128"/>
        <v>-</v>
      </c>
    </row>
    <row r="1369" spans="1:19" x14ac:dyDescent="0.3">
      <c r="A1369" s="45" t="s">
        <v>3649</v>
      </c>
      <c r="B1369" s="40" t="s">
        <v>1594</v>
      </c>
      <c r="C1369" s="41" t="s">
        <v>2113</v>
      </c>
      <c r="D1369" s="21" t="s">
        <v>2226</v>
      </c>
      <c r="E1369" s="21" t="s">
        <v>2222</v>
      </c>
      <c r="F1369" s="24">
        <v>0.46034144647195835</v>
      </c>
      <c r="G1369" s="21">
        <v>12</v>
      </c>
      <c r="H1369" s="17">
        <v>43.79</v>
      </c>
      <c r="I1369" s="43" t="s">
        <v>3950</v>
      </c>
      <c r="J1369" s="26"/>
      <c r="K1369" s="17">
        <f t="shared" si="126"/>
        <v>0</v>
      </c>
      <c r="N1369" s="31" t="str">
        <f t="shared" si="129"/>
        <v>-</v>
      </c>
      <c r="O1369" s="31" t="str">
        <f t="shared" si="131"/>
        <v>-</v>
      </c>
      <c r="P1369" s="35" t="str">
        <f t="shared" si="130"/>
        <v>-</v>
      </c>
      <c r="Q1369" s="32" t="str">
        <f t="shared" si="127"/>
        <v>-</v>
      </c>
      <c r="S1369" s="32" t="str">
        <f t="shared" si="128"/>
        <v>-</v>
      </c>
    </row>
    <row r="1370" spans="1:19" x14ac:dyDescent="0.3">
      <c r="A1370" s="45" t="s">
        <v>3650</v>
      </c>
      <c r="B1370" s="40" t="s">
        <v>1268</v>
      </c>
      <c r="C1370" s="41" t="s">
        <v>2114</v>
      </c>
      <c r="D1370" s="21" t="s">
        <v>2236</v>
      </c>
      <c r="E1370" s="21" t="s">
        <v>2240</v>
      </c>
      <c r="F1370" s="24">
        <v>0.30718031283683334</v>
      </c>
      <c r="G1370" s="21">
        <v>12</v>
      </c>
      <c r="H1370" s="17">
        <v>16.350000000000001</v>
      </c>
      <c r="I1370" s="43" t="s">
        <v>3950</v>
      </c>
      <c r="J1370" s="26"/>
      <c r="K1370" s="17">
        <f t="shared" si="126"/>
        <v>0</v>
      </c>
      <c r="N1370" s="31" t="str">
        <f t="shared" si="129"/>
        <v>-</v>
      </c>
      <c r="O1370" s="31" t="str">
        <f t="shared" si="131"/>
        <v>-</v>
      </c>
      <c r="P1370" s="35" t="str">
        <f t="shared" si="130"/>
        <v>-</v>
      </c>
      <c r="Q1370" s="32" t="str">
        <f t="shared" si="127"/>
        <v>-</v>
      </c>
      <c r="S1370" s="32" t="str">
        <f t="shared" si="128"/>
        <v>-</v>
      </c>
    </row>
    <row r="1371" spans="1:19" x14ac:dyDescent="0.3">
      <c r="A1371" s="45" t="s">
        <v>3651</v>
      </c>
      <c r="B1371" s="40" t="s">
        <v>1262</v>
      </c>
      <c r="C1371" s="41" t="s">
        <v>2114</v>
      </c>
      <c r="D1371" s="21" t="s">
        <v>2241</v>
      </c>
      <c r="E1371" s="21" t="s">
        <v>2240</v>
      </c>
      <c r="F1371" s="24">
        <v>0.68738030338990819</v>
      </c>
      <c r="G1371" s="21">
        <v>6</v>
      </c>
      <c r="H1371" s="17">
        <v>31.5</v>
      </c>
      <c r="I1371" s="43" t="s">
        <v>3950</v>
      </c>
      <c r="J1371" s="26"/>
      <c r="K1371" s="17">
        <f t="shared" si="126"/>
        <v>0</v>
      </c>
      <c r="N1371" s="31" t="str">
        <f t="shared" si="129"/>
        <v>-</v>
      </c>
      <c r="O1371" s="31" t="str">
        <f t="shared" si="131"/>
        <v>-</v>
      </c>
      <c r="P1371" s="35" t="str">
        <f t="shared" si="130"/>
        <v>-</v>
      </c>
      <c r="Q1371" s="32" t="str">
        <f t="shared" si="127"/>
        <v>-</v>
      </c>
      <c r="S1371" s="32" t="str">
        <f t="shared" si="128"/>
        <v>-</v>
      </c>
    </row>
    <row r="1372" spans="1:19" x14ac:dyDescent="0.3">
      <c r="A1372" s="45" t="s">
        <v>3652</v>
      </c>
      <c r="B1372" s="40" t="s">
        <v>1263</v>
      </c>
      <c r="C1372" s="41" t="s">
        <v>2115</v>
      </c>
      <c r="D1372" s="21" t="s">
        <v>2223</v>
      </c>
      <c r="E1372" s="21" t="s">
        <v>2260</v>
      </c>
      <c r="F1372" s="24">
        <v>0.1381453362199167</v>
      </c>
      <c r="G1372" s="21">
        <v>12</v>
      </c>
      <c r="H1372" s="17">
        <v>9.59</v>
      </c>
      <c r="I1372" s="43" t="s">
        <v>3950</v>
      </c>
      <c r="J1372" s="26"/>
      <c r="K1372" s="17">
        <f t="shared" si="126"/>
        <v>0</v>
      </c>
      <c r="N1372" s="31" t="str">
        <f t="shared" si="129"/>
        <v>-</v>
      </c>
      <c r="O1372" s="31" t="str">
        <f t="shared" si="131"/>
        <v>-</v>
      </c>
      <c r="P1372" s="35" t="str">
        <f t="shared" si="130"/>
        <v>-</v>
      </c>
      <c r="Q1372" s="32" t="str">
        <f t="shared" si="127"/>
        <v>-</v>
      </c>
      <c r="S1372" s="32" t="str">
        <f t="shared" si="128"/>
        <v>-</v>
      </c>
    </row>
    <row r="1373" spans="1:19" x14ac:dyDescent="0.3">
      <c r="A1373" s="45" t="s">
        <v>3653</v>
      </c>
      <c r="B1373" s="40" t="s">
        <v>1320</v>
      </c>
      <c r="C1373" s="41" t="s">
        <v>2115</v>
      </c>
      <c r="D1373" s="21" t="s">
        <v>2224</v>
      </c>
      <c r="E1373" s="21" t="s">
        <v>2260</v>
      </c>
      <c r="F1373" s="24">
        <v>0.25655562440841673</v>
      </c>
      <c r="G1373" s="21">
        <v>12</v>
      </c>
      <c r="H1373" s="17">
        <v>17.989999999999998</v>
      </c>
      <c r="I1373" s="43" t="s">
        <v>3950</v>
      </c>
      <c r="J1373" s="26"/>
      <c r="K1373" s="17">
        <f t="shared" si="126"/>
        <v>0</v>
      </c>
      <c r="N1373" s="31" t="str">
        <f t="shared" si="129"/>
        <v>-</v>
      </c>
      <c r="O1373" s="31" t="str">
        <f t="shared" si="131"/>
        <v>-</v>
      </c>
      <c r="P1373" s="35" t="str">
        <f t="shared" si="130"/>
        <v>-</v>
      </c>
      <c r="Q1373" s="32" t="str">
        <f t="shared" si="127"/>
        <v>-</v>
      </c>
      <c r="S1373" s="32" t="str">
        <f t="shared" si="128"/>
        <v>-</v>
      </c>
    </row>
    <row r="1374" spans="1:19" x14ac:dyDescent="0.3">
      <c r="A1374" s="45" t="s">
        <v>3654</v>
      </c>
      <c r="B1374" s="40" t="s">
        <v>1107</v>
      </c>
      <c r="C1374" s="41" t="s">
        <v>2115</v>
      </c>
      <c r="D1374" s="21" t="s">
        <v>2227</v>
      </c>
      <c r="E1374" s="21" t="s">
        <v>2260</v>
      </c>
      <c r="F1374" s="24">
        <v>0.47878942615350012</v>
      </c>
      <c r="G1374" s="21">
        <v>12</v>
      </c>
      <c r="H1374" s="17">
        <v>34.79</v>
      </c>
      <c r="I1374" s="43" t="s">
        <v>3950</v>
      </c>
      <c r="J1374" s="26"/>
      <c r="K1374" s="17">
        <f t="shared" si="126"/>
        <v>0</v>
      </c>
      <c r="N1374" s="31" t="str">
        <f t="shared" si="129"/>
        <v>-</v>
      </c>
      <c r="O1374" s="31" t="str">
        <f t="shared" si="131"/>
        <v>-</v>
      </c>
      <c r="P1374" s="35" t="str">
        <f t="shared" si="130"/>
        <v>-</v>
      </c>
      <c r="Q1374" s="32" t="str">
        <f t="shared" si="127"/>
        <v>-</v>
      </c>
      <c r="S1374" s="32" t="str">
        <f t="shared" si="128"/>
        <v>-</v>
      </c>
    </row>
    <row r="1375" spans="1:19" x14ac:dyDescent="0.3">
      <c r="A1375" s="45" t="s">
        <v>3655</v>
      </c>
      <c r="B1375" s="40" t="s">
        <v>1318</v>
      </c>
      <c r="C1375" s="41" t="s">
        <v>2116</v>
      </c>
      <c r="D1375" s="21" t="s">
        <v>2231</v>
      </c>
      <c r="E1375" s="21" t="s">
        <v>2244</v>
      </c>
      <c r="F1375" s="24">
        <v>4.0328141629416663E-2</v>
      </c>
      <c r="G1375" s="21">
        <v>12</v>
      </c>
      <c r="H1375" s="17">
        <v>5.7</v>
      </c>
      <c r="I1375" s="43" t="s">
        <v>3950</v>
      </c>
      <c r="J1375" s="26"/>
      <c r="K1375" s="17">
        <f t="shared" si="126"/>
        <v>0</v>
      </c>
      <c r="N1375" s="31" t="str">
        <f t="shared" si="129"/>
        <v>-</v>
      </c>
      <c r="O1375" s="31" t="str">
        <f t="shared" si="131"/>
        <v>-</v>
      </c>
      <c r="P1375" s="35" t="str">
        <f t="shared" si="130"/>
        <v>-</v>
      </c>
      <c r="Q1375" s="32" t="str">
        <f t="shared" si="127"/>
        <v>-</v>
      </c>
      <c r="S1375" s="32" t="str">
        <f t="shared" si="128"/>
        <v>-</v>
      </c>
    </row>
    <row r="1376" spans="1:19" x14ac:dyDescent="0.3">
      <c r="A1376" s="45" t="s">
        <v>3656</v>
      </c>
      <c r="B1376" s="40" t="s">
        <v>620</v>
      </c>
      <c r="C1376" s="41" t="s">
        <v>2116</v>
      </c>
      <c r="D1376" s="21" t="s">
        <v>2225</v>
      </c>
      <c r="E1376" s="21" t="s">
        <v>2244</v>
      </c>
      <c r="F1376" s="24">
        <v>6.1779280794000004E-2</v>
      </c>
      <c r="G1376" s="21">
        <v>12</v>
      </c>
      <c r="H1376" s="17">
        <v>10.5</v>
      </c>
      <c r="I1376" s="43" t="s">
        <v>3950</v>
      </c>
      <c r="J1376" s="26"/>
      <c r="K1376" s="17">
        <f t="shared" si="126"/>
        <v>0</v>
      </c>
      <c r="N1376" s="31" t="str">
        <f t="shared" si="129"/>
        <v>-</v>
      </c>
      <c r="O1376" s="31" t="str">
        <f t="shared" si="131"/>
        <v>-</v>
      </c>
      <c r="P1376" s="35" t="str">
        <f t="shared" si="130"/>
        <v>-</v>
      </c>
      <c r="Q1376" s="32" t="str">
        <f t="shared" si="127"/>
        <v>-</v>
      </c>
      <c r="S1376" s="32" t="str">
        <f t="shared" si="128"/>
        <v>-</v>
      </c>
    </row>
    <row r="1377" spans="1:19" x14ac:dyDescent="0.3">
      <c r="A1377" s="45" t="s">
        <v>3658</v>
      </c>
      <c r="B1377" s="40" t="s">
        <v>1108</v>
      </c>
      <c r="C1377" s="41" t="s">
        <v>2117</v>
      </c>
      <c r="D1377" s="21" t="s">
        <v>2223</v>
      </c>
      <c r="E1377" s="21" t="s">
        <v>2222</v>
      </c>
      <c r="F1377" s="24">
        <v>8.2372374392000014E-2</v>
      </c>
      <c r="G1377" s="21">
        <v>12</v>
      </c>
      <c r="H1377" s="17">
        <v>13.79</v>
      </c>
      <c r="I1377" s="43" t="s">
        <v>3950</v>
      </c>
      <c r="J1377" s="26"/>
      <c r="K1377" s="17">
        <f t="shared" si="126"/>
        <v>0</v>
      </c>
      <c r="N1377" s="31" t="str">
        <f t="shared" si="129"/>
        <v>-</v>
      </c>
      <c r="O1377" s="31" t="str">
        <f t="shared" si="131"/>
        <v>-</v>
      </c>
      <c r="P1377" s="35" t="str">
        <f t="shared" si="130"/>
        <v>-</v>
      </c>
      <c r="Q1377" s="32" t="str">
        <f t="shared" si="127"/>
        <v>-</v>
      </c>
      <c r="S1377" s="32" t="str">
        <f t="shared" si="128"/>
        <v>-</v>
      </c>
    </row>
    <row r="1378" spans="1:19" x14ac:dyDescent="0.3">
      <c r="A1378" s="45" t="s">
        <v>3660</v>
      </c>
      <c r="B1378" s="40" t="s">
        <v>912</v>
      </c>
      <c r="C1378" s="41" t="s">
        <v>2117</v>
      </c>
      <c r="D1378" s="21" t="s">
        <v>2227</v>
      </c>
      <c r="E1378" s="21" t="s">
        <v>2222</v>
      </c>
      <c r="F1378" s="24">
        <v>0.2617038978079167</v>
      </c>
      <c r="G1378" s="21">
        <v>12</v>
      </c>
      <c r="H1378" s="17">
        <v>51.59</v>
      </c>
      <c r="I1378" s="43" t="s">
        <v>3950</v>
      </c>
      <c r="J1378" s="26"/>
      <c r="K1378" s="17">
        <f t="shared" si="126"/>
        <v>0</v>
      </c>
      <c r="N1378" s="31" t="str">
        <f t="shared" si="129"/>
        <v>-</v>
      </c>
      <c r="O1378" s="31" t="str">
        <f t="shared" si="131"/>
        <v>-</v>
      </c>
      <c r="P1378" s="35" t="str">
        <f t="shared" si="130"/>
        <v>-</v>
      </c>
      <c r="Q1378" s="32" t="str">
        <f t="shared" si="127"/>
        <v>-</v>
      </c>
      <c r="S1378" s="32" t="str">
        <f t="shared" si="128"/>
        <v>-</v>
      </c>
    </row>
    <row r="1379" spans="1:19" x14ac:dyDescent="0.3">
      <c r="A1379" s="45" t="s">
        <v>3661</v>
      </c>
      <c r="B1379" s="40" t="s">
        <v>1237</v>
      </c>
      <c r="C1379" s="41" t="s">
        <v>2118</v>
      </c>
      <c r="D1379" s="21" t="s">
        <v>2221</v>
      </c>
      <c r="E1379" s="21" t="s">
        <v>2232</v>
      </c>
      <c r="F1379" s="24">
        <v>5.5772961827916676E-2</v>
      </c>
      <c r="G1379" s="21">
        <v>12</v>
      </c>
      <c r="H1379" s="17">
        <v>5.7</v>
      </c>
      <c r="I1379" s="43" t="s">
        <v>3950</v>
      </c>
      <c r="J1379" s="26"/>
      <c r="K1379" s="17">
        <f t="shared" si="126"/>
        <v>0</v>
      </c>
      <c r="N1379" s="31" t="str">
        <f t="shared" si="129"/>
        <v>-</v>
      </c>
      <c r="O1379" s="31" t="str">
        <f t="shared" si="131"/>
        <v>-</v>
      </c>
      <c r="P1379" s="35" t="str">
        <f t="shared" si="130"/>
        <v>-</v>
      </c>
      <c r="Q1379" s="32" t="str">
        <f t="shared" si="127"/>
        <v>-</v>
      </c>
      <c r="S1379" s="32" t="str">
        <f t="shared" si="128"/>
        <v>-</v>
      </c>
    </row>
    <row r="1380" spans="1:19" x14ac:dyDescent="0.3">
      <c r="A1380" s="45" t="s">
        <v>3662</v>
      </c>
      <c r="B1380" s="40" t="s">
        <v>1246</v>
      </c>
      <c r="C1380" s="41" t="s">
        <v>2118</v>
      </c>
      <c r="D1380" s="21" t="s">
        <v>2242</v>
      </c>
      <c r="E1380" s="21" t="s">
        <v>2232</v>
      </c>
      <c r="F1380" s="24">
        <v>9.2668921191000023E-2</v>
      </c>
      <c r="G1380" s="21">
        <v>12</v>
      </c>
      <c r="H1380" s="17">
        <v>10.19</v>
      </c>
      <c r="I1380" s="43" t="s">
        <v>3950</v>
      </c>
      <c r="J1380" s="26"/>
      <c r="K1380" s="17">
        <f t="shared" si="126"/>
        <v>0</v>
      </c>
      <c r="N1380" s="31" t="str">
        <f t="shared" si="129"/>
        <v>-</v>
      </c>
      <c r="O1380" s="31" t="str">
        <f t="shared" si="131"/>
        <v>-</v>
      </c>
      <c r="P1380" s="35" t="str">
        <f t="shared" si="130"/>
        <v>-</v>
      </c>
      <c r="Q1380" s="32" t="str">
        <f t="shared" si="127"/>
        <v>-</v>
      </c>
      <c r="S1380" s="32" t="str">
        <f t="shared" si="128"/>
        <v>-</v>
      </c>
    </row>
    <row r="1381" spans="1:19" x14ac:dyDescent="0.3">
      <c r="A1381" s="45" t="s">
        <v>3663</v>
      </c>
      <c r="B1381" s="40" t="s">
        <v>1197</v>
      </c>
      <c r="C1381" s="41" t="s">
        <v>2119</v>
      </c>
      <c r="D1381" s="21" t="s">
        <v>2223</v>
      </c>
      <c r="E1381" s="21" t="s">
        <v>2234</v>
      </c>
      <c r="F1381" s="24">
        <v>4.0328141629416663E-2</v>
      </c>
      <c r="G1381" s="21">
        <v>12</v>
      </c>
      <c r="H1381" s="17">
        <v>15.3</v>
      </c>
      <c r="I1381" s="43" t="s">
        <v>3950</v>
      </c>
      <c r="J1381" s="26"/>
      <c r="K1381" s="17">
        <f t="shared" si="126"/>
        <v>0</v>
      </c>
      <c r="N1381" s="31" t="str">
        <f t="shared" si="129"/>
        <v>-</v>
      </c>
      <c r="O1381" s="31" t="str">
        <f t="shared" si="131"/>
        <v>-</v>
      </c>
      <c r="P1381" s="35" t="str">
        <f t="shared" si="130"/>
        <v>-</v>
      </c>
      <c r="Q1381" s="32" t="str">
        <f t="shared" si="127"/>
        <v>-</v>
      </c>
      <c r="S1381" s="32" t="str">
        <f t="shared" si="128"/>
        <v>-</v>
      </c>
    </row>
    <row r="1382" spans="1:19" x14ac:dyDescent="0.3">
      <c r="A1382" s="45" t="s">
        <v>3664</v>
      </c>
      <c r="B1382" s="40" t="s">
        <v>762</v>
      </c>
      <c r="C1382" s="41" t="s">
        <v>2119</v>
      </c>
      <c r="D1382" s="21" t="s">
        <v>2224</v>
      </c>
      <c r="E1382" s="21" t="s">
        <v>2234</v>
      </c>
      <c r="F1382" s="24">
        <v>5.6631007394500006E-2</v>
      </c>
      <c r="G1382" s="21">
        <v>12</v>
      </c>
      <c r="H1382" s="17">
        <v>29.7</v>
      </c>
      <c r="I1382" s="43" t="s">
        <v>3950</v>
      </c>
      <c r="J1382" s="26"/>
      <c r="K1382" s="17">
        <f t="shared" si="126"/>
        <v>0</v>
      </c>
      <c r="N1382" s="31" t="str">
        <f t="shared" si="129"/>
        <v>-</v>
      </c>
      <c r="O1382" s="31" t="str">
        <f t="shared" si="131"/>
        <v>-</v>
      </c>
      <c r="P1382" s="35" t="str">
        <f t="shared" si="130"/>
        <v>-</v>
      </c>
      <c r="Q1382" s="32" t="str">
        <f t="shared" si="127"/>
        <v>-</v>
      </c>
      <c r="S1382" s="32" t="str">
        <f t="shared" si="128"/>
        <v>-</v>
      </c>
    </row>
    <row r="1383" spans="1:19" x14ac:dyDescent="0.3">
      <c r="A1383" s="45" t="s">
        <v>3665</v>
      </c>
      <c r="B1383" s="40" t="s">
        <v>1081</v>
      </c>
      <c r="C1383" s="41" t="s">
        <v>2119</v>
      </c>
      <c r="D1383" s="21" t="s">
        <v>2227</v>
      </c>
      <c r="E1383" s="21" t="s">
        <v>2234</v>
      </c>
      <c r="F1383" s="24">
        <v>0.10039133129024999</v>
      </c>
      <c r="G1383" s="21">
        <v>12</v>
      </c>
      <c r="H1383" s="17">
        <v>56.39</v>
      </c>
      <c r="I1383" s="43" t="s">
        <v>3950</v>
      </c>
      <c r="J1383" s="26"/>
      <c r="K1383" s="17">
        <f t="shared" si="126"/>
        <v>0</v>
      </c>
      <c r="N1383" s="31" t="str">
        <f t="shared" si="129"/>
        <v>-</v>
      </c>
      <c r="O1383" s="31" t="str">
        <f t="shared" si="131"/>
        <v>-</v>
      </c>
      <c r="P1383" s="35" t="str">
        <f t="shared" si="130"/>
        <v>-</v>
      </c>
      <c r="Q1383" s="32" t="str">
        <f t="shared" si="127"/>
        <v>-</v>
      </c>
      <c r="S1383" s="32" t="str">
        <f t="shared" si="128"/>
        <v>-</v>
      </c>
    </row>
    <row r="1384" spans="1:19" x14ac:dyDescent="0.3">
      <c r="A1384" s="45" t="s">
        <v>3666</v>
      </c>
      <c r="B1384" s="40" t="s">
        <v>380</v>
      </c>
      <c r="C1384" s="41" t="s">
        <v>2120</v>
      </c>
      <c r="D1384" s="21" t="s">
        <v>2223</v>
      </c>
      <c r="E1384" s="21" t="s">
        <v>2222</v>
      </c>
      <c r="F1384" s="24">
        <v>9.5243057890750007E-2</v>
      </c>
      <c r="G1384" s="21">
        <v>12</v>
      </c>
      <c r="H1384" s="17">
        <v>14.99</v>
      </c>
      <c r="I1384" s="43" t="s">
        <v>3950</v>
      </c>
      <c r="J1384" s="26"/>
      <c r="K1384" s="17">
        <f t="shared" si="126"/>
        <v>0</v>
      </c>
      <c r="N1384" s="31" t="str">
        <f t="shared" si="129"/>
        <v>-</v>
      </c>
      <c r="O1384" s="31" t="str">
        <f t="shared" si="131"/>
        <v>-</v>
      </c>
      <c r="P1384" s="35" t="str">
        <f t="shared" si="130"/>
        <v>-</v>
      </c>
      <c r="Q1384" s="32" t="str">
        <f t="shared" si="127"/>
        <v>-</v>
      </c>
      <c r="S1384" s="32" t="str">
        <f t="shared" si="128"/>
        <v>-</v>
      </c>
    </row>
    <row r="1385" spans="1:19" x14ac:dyDescent="0.3">
      <c r="A1385" s="45" t="s">
        <v>3667</v>
      </c>
      <c r="B1385" s="40" t="s">
        <v>677</v>
      </c>
      <c r="C1385" s="41" t="s">
        <v>2120</v>
      </c>
      <c r="D1385" s="21" t="s">
        <v>2224</v>
      </c>
      <c r="E1385" s="21" t="s">
        <v>2222</v>
      </c>
      <c r="F1385" s="24">
        <v>0.15359015641841667</v>
      </c>
      <c r="G1385" s="21">
        <v>12</v>
      </c>
      <c r="H1385" s="17">
        <v>28.79</v>
      </c>
      <c r="I1385" s="43" t="s">
        <v>3950</v>
      </c>
      <c r="J1385" s="26"/>
      <c r="K1385" s="17">
        <f t="shared" si="126"/>
        <v>0</v>
      </c>
      <c r="N1385" s="31" t="str">
        <f t="shared" si="129"/>
        <v>-</v>
      </c>
      <c r="O1385" s="31" t="str">
        <f t="shared" si="131"/>
        <v>-</v>
      </c>
      <c r="P1385" s="35" t="str">
        <f t="shared" si="130"/>
        <v>-</v>
      </c>
      <c r="Q1385" s="32" t="str">
        <f t="shared" si="127"/>
        <v>-</v>
      </c>
      <c r="S1385" s="32" t="str">
        <f t="shared" si="128"/>
        <v>-</v>
      </c>
    </row>
    <row r="1386" spans="1:19" x14ac:dyDescent="0.3">
      <c r="A1386" s="45" t="s">
        <v>3668</v>
      </c>
      <c r="B1386" s="40" t="s">
        <v>1225</v>
      </c>
      <c r="C1386" s="41" t="s">
        <v>2120</v>
      </c>
      <c r="D1386" s="21" t="s">
        <v>2227</v>
      </c>
      <c r="E1386" s="21" t="s">
        <v>2222</v>
      </c>
      <c r="F1386" s="24">
        <v>1.9735048031416669E-2</v>
      </c>
      <c r="G1386" s="21">
        <v>12</v>
      </c>
      <c r="H1386" s="17">
        <v>55.79</v>
      </c>
      <c r="I1386" s="43" t="s">
        <v>3950</v>
      </c>
      <c r="J1386" s="26"/>
      <c r="K1386" s="17">
        <f t="shared" si="126"/>
        <v>0</v>
      </c>
      <c r="N1386" s="31" t="str">
        <f t="shared" si="129"/>
        <v>-</v>
      </c>
      <c r="O1386" s="31" t="str">
        <f t="shared" si="131"/>
        <v>-</v>
      </c>
      <c r="P1386" s="35" t="str">
        <f t="shared" si="130"/>
        <v>-</v>
      </c>
      <c r="Q1386" s="32" t="str">
        <f t="shared" si="127"/>
        <v>-</v>
      </c>
      <c r="S1386" s="32" t="str">
        <f t="shared" si="128"/>
        <v>-</v>
      </c>
    </row>
    <row r="1387" spans="1:19" x14ac:dyDescent="0.3">
      <c r="A1387" s="45" t="s">
        <v>3669</v>
      </c>
      <c r="B1387" s="40" t="s">
        <v>461</v>
      </c>
      <c r="C1387" s="41" t="s">
        <v>2120</v>
      </c>
      <c r="D1387" s="21" t="s">
        <v>2226</v>
      </c>
      <c r="E1387" s="21" t="s">
        <v>2222</v>
      </c>
      <c r="F1387" s="24">
        <v>2.7886480913958338E-2</v>
      </c>
      <c r="G1387" s="21">
        <v>12</v>
      </c>
      <c r="H1387" s="17">
        <v>82.5</v>
      </c>
      <c r="I1387" s="43" t="s">
        <v>3950</v>
      </c>
      <c r="J1387" s="26"/>
      <c r="K1387" s="17">
        <f t="shared" si="126"/>
        <v>0</v>
      </c>
      <c r="N1387" s="31" t="str">
        <f t="shared" si="129"/>
        <v>-</v>
      </c>
      <c r="O1387" s="31" t="str">
        <f t="shared" si="131"/>
        <v>-</v>
      </c>
      <c r="P1387" s="35" t="str">
        <f t="shared" si="130"/>
        <v>-</v>
      </c>
      <c r="Q1387" s="32" t="str">
        <f t="shared" si="127"/>
        <v>-</v>
      </c>
      <c r="S1387" s="32" t="str">
        <f t="shared" si="128"/>
        <v>-</v>
      </c>
    </row>
    <row r="1388" spans="1:19" x14ac:dyDescent="0.3">
      <c r="A1388" s="45" t="s">
        <v>3670</v>
      </c>
      <c r="B1388" s="40" t="s">
        <v>164</v>
      </c>
      <c r="C1388" s="41" t="s">
        <v>1992</v>
      </c>
      <c r="D1388" s="21" t="s">
        <v>2221</v>
      </c>
      <c r="E1388" s="21" t="s">
        <v>2232</v>
      </c>
      <c r="F1388" s="24">
        <v>5.5772961827916676E-2</v>
      </c>
      <c r="G1388" s="21">
        <v>12</v>
      </c>
      <c r="H1388" s="17">
        <v>5.39</v>
      </c>
      <c r="I1388" s="43" t="s">
        <v>3950</v>
      </c>
      <c r="J1388" s="26"/>
      <c r="K1388" s="17">
        <f t="shared" si="126"/>
        <v>0</v>
      </c>
      <c r="N1388" s="31" t="str">
        <f t="shared" si="129"/>
        <v>-</v>
      </c>
      <c r="O1388" s="31" t="str">
        <f t="shared" si="131"/>
        <v>-</v>
      </c>
      <c r="P1388" s="35" t="str">
        <f t="shared" si="130"/>
        <v>-</v>
      </c>
      <c r="Q1388" s="32" t="str">
        <f t="shared" si="127"/>
        <v>-</v>
      </c>
      <c r="S1388" s="32" t="str">
        <f t="shared" si="128"/>
        <v>-</v>
      </c>
    </row>
    <row r="1389" spans="1:19" x14ac:dyDescent="0.3">
      <c r="A1389" s="45" t="s">
        <v>3671</v>
      </c>
      <c r="B1389" s="40" t="s">
        <v>168</v>
      </c>
      <c r="C1389" s="41" t="s">
        <v>1992</v>
      </c>
      <c r="D1389" s="21" t="s">
        <v>2242</v>
      </c>
      <c r="E1389" s="21" t="s">
        <v>2232</v>
      </c>
      <c r="F1389" s="24">
        <v>7.7224100992499989E-2</v>
      </c>
      <c r="G1389" s="21">
        <v>12</v>
      </c>
      <c r="H1389" s="17">
        <v>9.9</v>
      </c>
      <c r="I1389" s="43" t="s">
        <v>3950</v>
      </c>
      <c r="J1389" s="26"/>
      <c r="K1389" s="17">
        <f t="shared" si="126"/>
        <v>0</v>
      </c>
      <c r="N1389" s="31" t="str">
        <f t="shared" si="129"/>
        <v>-</v>
      </c>
      <c r="O1389" s="31" t="str">
        <f t="shared" si="131"/>
        <v>-</v>
      </c>
      <c r="P1389" s="35" t="str">
        <f t="shared" si="130"/>
        <v>-</v>
      </c>
      <c r="Q1389" s="32" t="str">
        <f t="shared" si="127"/>
        <v>-</v>
      </c>
      <c r="S1389" s="32" t="str">
        <f t="shared" si="128"/>
        <v>-</v>
      </c>
    </row>
    <row r="1390" spans="1:19" x14ac:dyDescent="0.3">
      <c r="A1390" s="45" t="s">
        <v>3672</v>
      </c>
      <c r="B1390" s="40" t="s">
        <v>471</v>
      </c>
      <c r="C1390" s="41" t="s">
        <v>2110</v>
      </c>
      <c r="D1390" s="21" t="s">
        <v>2221</v>
      </c>
      <c r="E1390" s="21" t="s">
        <v>2232</v>
      </c>
      <c r="F1390" s="24">
        <v>4.5476415028916667E-2</v>
      </c>
      <c r="G1390" s="21">
        <v>12</v>
      </c>
      <c r="H1390" s="17">
        <v>6.45</v>
      </c>
      <c r="I1390" s="43" t="s">
        <v>3950</v>
      </c>
      <c r="J1390" s="26"/>
      <c r="K1390" s="17">
        <f t="shared" si="126"/>
        <v>0</v>
      </c>
      <c r="N1390" s="31" t="str">
        <f t="shared" si="129"/>
        <v>-</v>
      </c>
      <c r="O1390" s="31" t="str">
        <f t="shared" si="131"/>
        <v>-</v>
      </c>
      <c r="P1390" s="35" t="str">
        <f t="shared" si="130"/>
        <v>-</v>
      </c>
      <c r="Q1390" s="32" t="str">
        <f t="shared" si="127"/>
        <v>-</v>
      </c>
      <c r="S1390" s="32" t="str">
        <f t="shared" si="128"/>
        <v>-</v>
      </c>
    </row>
    <row r="1391" spans="1:19" x14ac:dyDescent="0.3">
      <c r="A1391" s="45" t="s">
        <v>3673</v>
      </c>
      <c r="B1391" s="40" t="s">
        <v>662</v>
      </c>
      <c r="C1391" s="41" t="s">
        <v>2110</v>
      </c>
      <c r="D1391" s="21" t="s">
        <v>2242</v>
      </c>
      <c r="E1391" s="21" t="s">
        <v>2232</v>
      </c>
      <c r="F1391" s="24">
        <v>8.7520647791500011E-2</v>
      </c>
      <c r="G1391" s="21">
        <v>12</v>
      </c>
      <c r="H1391" s="17">
        <v>11.7</v>
      </c>
      <c r="I1391" s="43" t="s">
        <v>3950</v>
      </c>
      <c r="J1391" s="26"/>
      <c r="K1391" s="17">
        <f t="shared" ref="K1391:K1454" si="132">J1391*H1391</f>
        <v>0</v>
      </c>
      <c r="N1391" s="31" t="str">
        <f t="shared" si="129"/>
        <v>-</v>
      </c>
      <c r="O1391" s="31" t="str">
        <f t="shared" si="131"/>
        <v>-</v>
      </c>
      <c r="P1391" s="35" t="str">
        <f t="shared" si="130"/>
        <v>-</v>
      </c>
      <c r="Q1391" s="32" t="str">
        <f t="shared" si="127"/>
        <v>-</v>
      </c>
      <c r="S1391" s="32" t="str">
        <f t="shared" si="128"/>
        <v>-</v>
      </c>
    </row>
    <row r="1392" spans="1:19" x14ac:dyDescent="0.3">
      <c r="A1392" s="45" t="s">
        <v>3674</v>
      </c>
      <c r="B1392" s="40" t="s">
        <v>674</v>
      </c>
      <c r="C1392" s="41" t="s">
        <v>2121</v>
      </c>
      <c r="D1392" s="21" t="s">
        <v>2224</v>
      </c>
      <c r="E1392" s="21" t="s">
        <v>2222</v>
      </c>
      <c r="F1392" s="24">
        <v>0</v>
      </c>
      <c r="G1392" s="21">
        <v>12</v>
      </c>
      <c r="H1392" s="17">
        <v>16.5</v>
      </c>
      <c r="I1392" s="43" t="s">
        <v>3950</v>
      </c>
      <c r="J1392" s="26"/>
      <c r="K1392" s="17">
        <f t="shared" si="132"/>
        <v>0</v>
      </c>
      <c r="N1392" s="31" t="str">
        <f t="shared" si="129"/>
        <v>-</v>
      </c>
      <c r="O1392" s="31" t="str">
        <f t="shared" si="131"/>
        <v>-</v>
      </c>
      <c r="P1392" s="35" t="str">
        <f t="shared" si="130"/>
        <v>-</v>
      </c>
      <c r="Q1392" s="32" t="str">
        <f t="shared" ref="Q1392:Q1455" si="133">IFERROR(IF($N$2&gt;0, $N$2*P1392, "-"), "-")</f>
        <v>-</v>
      </c>
      <c r="S1392" s="32" t="str">
        <f t="shared" ref="S1392:S1455" si="134">IFERROR(IF(Q1392+K1392=0, "-", IF(Q1392&gt;0, Q1392+K1392, "-")), "-")</f>
        <v>-</v>
      </c>
    </row>
    <row r="1393" spans="1:19" x14ac:dyDescent="0.3">
      <c r="A1393" s="45" t="s">
        <v>3675</v>
      </c>
      <c r="B1393" s="40" t="s">
        <v>1319</v>
      </c>
      <c r="C1393" s="41" t="s">
        <v>2121</v>
      </c>
      <c r="D1393" s="21" t="s">
        <v>2227</v>
      </c>
      <c r="E1393" s="21" t="s">
        <v>2222</v>
      </c>
      <c r="F1393" s="24">
        <v>0</v>
      </c>
      <c r="G1393" s="21">
        <v>12</v>
      </c>
      <c r="H1393" s="17">
        <v>31.79</v>
      </c>
      <c r="I1393" s="43" t="s">
        <v>3950</v>
      </c>
      <c r="J1393" s="26"/>
      <c r="K1393" s="17">
        <f t="shared" si="132"/>
        <v>0</v>
      </c>
      <c r="N1393" s="31" t="str">
        <f t="shared" si="129"/>
        <v>-</v>
      </c>
      <c r="O1393" s="31" t="str">
        <f t="shared" si="131"/>
        <v>-</v>
      </c>
      <c r="P1393" s="35" t="str">
        <f t="shared" si="130"/>
        <v>-</v>
      </c>
      <c r="Q1393" s="32" t="str">
        <f t="shared" si="133"/>
        <v>-</v>
      </c>
      <c r="S1393" s="32" t="str">
        <f t="shared" si="134"/>
        <v>-</v>
      </c>
    </row>
    <row r="1394" spans="1:19" x14ac:dyDescent="0.3">
      <c r="A1394" s="45" t="s">
        <v>3676</v>
      </c>
      <c r="B1394" s="40" t="s">
        <v>1249</v>
      </c>
      <c r="C1394" s="41" t="s">
        <v>2121</v>
      </c>
      <c r="D1394" s="21" t="s">
        <v>2226</v>
      </c>
      <c r="E1394" s="21" t="s">
        <v>2222</v>
      </c>
      <c r="F1394" s="24">
        <v>0</v>
      </c>
      <c r="G1394" s="21">
        <v>12</v>
      </c>
      <c r="H1394" s="17">
        <v>46.79</v>
      </c>
      <c r="I1394" s="43" t="s">
        <v>3950</v>
      </c>
      <c r="J1394" s="26"/>
      <c r="K1394" s="17">
        <f t="shared" si="132"/>
        <v>0</v>
      </c>
      <c r="N1394" s="31" t="str">
        <f t="shared" si="129"/>
        <v>-</v>
      </c>
      <c r="O1394" s="31" t="str">
        <f t="shared" si="131"/>
        <v>-</v>
      </c>
      <c r="P1394" s="35" t="str">
        <f t="shared" si="130"/>
        <v>-</v>
      </c>
      <c r="Q1394" s="32" t="str">
        <f t="shared" si="133"/>
        <v>-</v>
      </c>
      <c r="S1394" s="32" t="str">
        <f t="shared" si="134"/>
        <v>-</v>
      </c>
    </row>
    <row r="1395" spans="1:19" x14ac:dyDescent="0.3">
      <c r="A1395" s="45" t="s">
        <v>3677</v>
      </c>
      <c r="B1395" s="40" t="s">
        <v>458</v>
      </c>
      <c r="C1395" s="41" t="s">
        <v>2122</v>
      </c>
      <c r="D1395" s="21" t="s">
        <v>2224</v>
      </c>
      <c r="E1395" s="21" t="s">
        <v>2222</v>
      </c>
      <c r="F1395" s="24">
        <v>0.14844188301891667</v>
      </c>
      <c r="G1395" s="21">
        <v>12</v>
      </c>
      <c r="H1395" s="17">
        <v>10.19</v>
      </c>
      <c r="I1395" s="43" t="s">
        <v>3950</v>
      </c>
      <c r="J1395" s="26"/>
      <c r="K1395" s="17">
        <f t="shared" si="132"/>
        <v>0</v>
      </c>
      <c r="N1395" s="31" t="str">
        <f t="shared" si="129"/>
        <v>-</v>
      </c>
      <c r="O1395" s="31" t="str">
        <f t="shared" si="131"/>
        <v>-</v>
      </c>
      <c r="P1395" s="35" t="str">
        <f t="shared" si="130"/>
        <v>-</v>
      </c>
      <c r="Q1395" s="32" t="str">
        <f t="shared" si="133"/>
        <v>-</v>
      </c>
      <c r="S1395" s="32" t="str">
        <f t="shared" si="134"/>
        <v>-</v>
      </c>
    </row>
    <row r="1396" spans="1:19" x14ac:dyDescent="0.3">
      <c r="A1396" s="45" t="s">
        <v>3678</v>
      </c>
      <c r="B1396" s="40" t="s">
        <v>841</v>
      </c>
      <c r="C1396" s="41" t="s">
        <v>2122</v>
      </c>
      <c r="D1396" s="21" t="s">
        <v>2227</v>
      </c>
      <c r="E1396" s="21" t="s">
        <v>2222</v>
      </c>
      <c r="F1396" s="24">
        <v>0.26513608007425005</v>
      </c>
      <c r="G1396" s="21">
        <v>12</v>
      </c>
      <c r="H1396" s="17">
        <v>19.190000000000001</v>
      </c>
      <c r="I1396" s="43" t="s">
        <v>3950</v>
      </c>
      <c r="J1396" s="26"/>
      <c r="K1396" s="17">
        <f t="shared" si="132"/>
        <v>0</v>
      </c>
      <c r="N1396" s="31" t="str">
        <f t="shared" si="129"/>
        <v>-</v>
      </c>
      <c r="O1396" s="31" t="str">
        <f t="shared" si="131"/>
        <v>-</v>
      </c>
      <c r="P1396" s="35" t="str">
        <f t="shared" si="130"/>
        <v>-</v>
      </c>
      <c r="Q1396" s="32" t="str">
        <f t="shared" si="133"/>
        <v>-</v>
      </c>
      <c r="S1396" s="32" t="str">
        <f t="shared" si="134"/>
        <v>-</v>
      </c>
    </row>
    <row r="1397" spans="1:19" x14ac:dyDescent="0.3">
      <c r="A1397" s="45" t="s">
        <v>3679</v>
      </c>
      <c r="B1397" s="40" t="s">
        <v>318</v>
      </c>
      <c r="C1397" s="41" t="s">
        <v>1623</v>
      </c>
      <c r="D1397" s="21" t="s">
        <v>2224</v>
      </c>
      <c r="E1397" s="21" t="s">
        <v>2244</v>
      </c>
      <c r="F1397" s="24">
        <v>5.0624688428416671E-2</v>
      </c>
      <c r="G1397" s="21">
        <v>12</v>
      </c>
      <c r="H1397" s="17">
        <v>5.7</v>
      </c>
      <c r="I1397" s="43" t="s">
        <v>3950</v>
      </c>
      <c r="J1397" s="26"/>
      <c r="K1397" s="17">
        <f t="shared" si="132"/>
        <v>0</v>
      </c>
      <c r="N1397" s="31" t="str">
        <f t="shared" si="129"/>
        <v>-</v>
      </c>
      <c r="O1397" s="31" t="str">
        <f t="shared" si="131"/>
        <v>-</v>
      </c>
      <c r="P1397" s="35" t="str">
        <f t="shared" si="130"/>
        <v>-</v>
      </c>
      <c r="Q1397" s="32" t="str">
        <f t="shared" si="133"/>
        <v>-</v>
      </c>
      <c r="S1397" s="32" t="str">
        <f t="shared" si="134"/>
        <v>-</v>
      </c>
    </row>
    <row r="1398" spans="1:19" x14ac:dyDescent="0.3">
      <c r="A1398" s="45" t="s">
        <v>3680</v>
      </c>
      <c r="B1398" s="40" t="s">
        <v>1167</v>
      </c>
      <c r="C1398" s="41" t="s">
        <v>1623</v>
      </c>
      <c r="D1398" s="21" t="s">
        <v>2227</v>
      </c>
      <c r="E1398" s="21" t="s">
        <v>2244</v>
      </c>
      <c r="F1398" s="24">
        <v>7.3362895942875012E-2</v>
      </c>
      <c r="G1398" s="21">
        <v>12</v>
      </c>
      <c r="H1398" s="17">
        <v>10.5</v>
      </c>
      <c r="I1398" s="43" t="s">
        <v>3950</v>
      </c>
      <c r="J1398" s="26"/>
      <c r="K1398" s="17">
        <f t="shared" si="132"/>
        <v>0</v>
      </c>
      <c r="N1398" s="31" t="str">
        <f t="shared" si="129"/>
        <v>-</v>
      </c>
      <c r="O1398" s="31" t="str">
        <f t="shared" si="131"/>
        <v>-</v>
      </c>
      <c r="P1398" s="35" t="str">
        <f t="shared" si="130"/>
        <v>-</v>
      </c>
      <c r="Q1398" s="32" t="str">
        <f t="shared" si="133"/>
        <v>-</v>
      </c>
      <c r="S1398" s="32" t="str">
        <f t="shared" si="134"/>
        <v>-</v>
      </c>
    </row>
    <row r="1399" spans="1:19" x14ac:dyDescent="0.3">
      <c r="A1399" s="45" t="s">
        <v>3681</v>
      </c>
      <c r="B1399" s="40" t="s">
        <v>678</v>
      </c>
      <c r="C1399" s="41" t="s">
        <v>1809</v>
      </c>
      <c r="D1399" s="21" t="s">
        <v>2221</v>
      </c>
      <c r="E1399" s="21" t="s">
        <v>2244</v>
      </c>
      <c r="F1399" s="24">
        <v>6.3066349143875003E-2</v>
      </c>
      <c r="G1399" s="21">
        <v>12</v>
      </c>
      <c r="H1399" s="17">
        <v>5.7</v>
      </c>
      <c r="I1399" s="43" t="s">
        <v>3950</v>
      </c>
      <c r="J1399" s="26"/>
      <c r="K1399" s="17">
        <f t="shared" si="132"/>
        <v>0</v>
      </c>
      <c r="N1399" s="31" t="str">
        <f t="shared" si="129"/>
        <v>-</v>
      </c>
      <c r="O1399" s="31" t="str">
        <f t="shared" si="131"/>
        <v>-</v>
      </c>
      <c r="P1399" s="35" t="str">
        <f t="shared" si="130"/>
        <v>-</v>
      </c>
      <c r="Q1399" s="32" t="str">
        <f t="shared" si="133"/>
        <v>-</v>
      </c>
      <c r="S1399" s="32" t="str">
        <f t="shared" si="134"/>
        <v>-</v>
      </c>
    </row>
    <row r="1400" spans="1:19" x14ac:dyDescent="0.3">
      <c r="A1400" s="45" t="s">
        <v>3684</v>
      </c>
      <c r="B1400" s="40" t="s">
        <v>388</v>
      </c>
      <c r="C1400" s="41" t="s">
        <v>2124</v>
      </c>
      <c r="D1400" s="21" t="s">
        <v>2236</v>
      </c>
      <c r="E1400" s="21" t="s">
        <v>2240</v>
      </c>
      <c r="F1400" s="24">
        <v>0.31919295076900006</v>
      </c>
      <c r="G1400" s="21">
        <v>12</v>
      </c>
      <c r="H1400" s="17">
        <v>8.25</v>
      </c>
      <c r="I1400" s="43" t="s">
        <v>3950</v>
      </c>
      <c r="J1400" s="26"/>
      <c r="K1400" s="17">
        <f t="shared" si="132"/>
        <v>0</v>
      </c>
      <c r="N1400" s="31" t="str">
        <f t="shared" si="129"/>
        <v>-</v>
      </c>
      <c r="O1400" s="31" t="str">
        <f t="shared" si="131"/>
        <v>-</v>
      </c>
      <c r="P1400" s="35" t="str">
        <f t="shared" si="130"/>
        <v>-</v>
      </c>
      <c r="Q1400" s="32" t="str">
        <f t="shared" si="133"/>
        <v>-</v>
      </c>
      <c r="S1400" s="32" t="str">
        <f t="shared" si="134"/>
        <v>-</v>
      </c>
    </row>
    <row r="1401" spans="1:19" x14ac:dyDescent="0.3">
      <c r="A1401" s="45" t="s">
        <v>3685</v>
      </c>
      <c r="B1401" s="40" t="s">
        <v>965</v>
      </c>
      <c r="C1401" s="41" t="s">
        <v>2124</v>
      </c>
      <c r="D1401" s="21" t="s">
        <v>2241</v>
      </c>
      <c r="E1401" s="21" t="s">
        <v>2240</v>
      </c>
      <c r="F1401" s="24">
        <v>2.4583005482612501</v>
      </c>
      <c r="G1401" s="21">
        <v>6</v>
      </c>
      <c r="H1401" s="17">
        <v>15.45</v>
      </c>
      <c r="I1401" s="43" t="s">
        <v>3950</v>
      </c>
      <c r="J1401" s="26"/>
      <c r="K1401" s="17">
        <f t="shared" si="132"/>
        <v>0</v>
      </c>
      <c r="N1401" s="31" t="str">
        <f t="shared" si="129"/>
        <v>-</v>
      </c>
      <c r="O1401" s="31" t="str">
        <f t="shared" si="131"/>
        <v>-</v>
      </c>
      <c r="P1401" s="35" t="str">
        <f t="shared" si="130"/>
        <v>-</v>
      </c>
      <c r="Q1401" s="32" t="str">
        <f t="shared" si="133"/>
        <v>-</v>
      </c>
      <c r="S1401" s="32" t="str">
        <f t="shared" si="134"/>
        <v>-</v>
      </c>
    </row>
    <row r="1402" spans="1:19" x14ac:dyDescent="0.3">
      <c r="A1402" s="45" t="s">
        <v>3686</v>
      </c>
      <c r="B1402" s="40" t="s">
        <v>140</v>
      </c>
      <c r="C1402" s="41" t="s">
        <v>2125</v>
      </c>
      <c r="D1402" s="21" t="s">
        <v>2223</v>
      </c>
      <c r="E1402" s="21" t="s">
        <v>2244</v>
      </c>
      <c r="F1402" s="24">
        <v>4.1186187196000007E-2</v>
      </c>
      <c r="G1402" s="21">
        <v>12</v>
      </c>
      <c r="H1402" s="17">
        <v>11.39</v>
      </c>
      <c r="I1402" s="43" t="s">
        <v>3950</v>
      </c>
      <c r="J1402" s="26"/>
      <c r="K1402" s="17">
        <f t="shared" si="132"/>
        <v>0</v>
      </c>
      <c r="N1402" s="31" t="str">
        <f t="shared" ref="N1402:N1465" si="135">IFERROR(IF($N$2*F1402=0, "-", $N$2*F1402), "-")</f>
        <v>-</v>
      </c>
      <c r="O1402" s="31" t="str">
        <f t="shared" si="131"/>
        <v>-</v>
      </c>
      <c r="P1402" s="35" t="str">
        <f t="shared" ref="P1402:P1465" si="136">IF(J1402&gt;0,J1402*F1402, "-")</f>
        <v>-</v>
      </c>
      <c r="Q1402" s="32" t="str">
        <f t="shared" si="133"/>
        <v>-</v>
      </c>
      <c r="S1402" s="32" t="str">
        <f t="shared" si="134"/>
        <v>-</v>
      </c>
    </row>
    <row r="1403" spans="1:19" x14ac:dyDescent="0.3">
      <c r="A1403" s="45" t="s">
        <v>3687</v>
      </c>
      <c r="B1403" s="40" t="s">
        <v>284</v>
      </c>
      <c r="C1403" s="41" t="s">
        <v>2125</v>
      </c>
      <c r="D1403" s="21" t="s">
        <v>2224</v>
      </c>
      <c r="E1403" s="21" t="s">
        <v>2244</v>
      </c>
      <c r="F1403" s="24">
        <v>7.2075827592999991E-2</v>
      </c>
      <c r="G1403" s="21">
        <v>12</v>
      </c>
      <c r="H1403" s="17">
        <v>21.9</v>
      </c>
      <c r="I1403" s="43" t="s">
        <v>3950</v>
      </c>
      <c r="J1403" s="26"/>
      <c r="K1403" s="17">
        <f t="shared" si="132"/>
        <v>0</v>
      </c>
      <c r="N1403" s="31" t="str">
        <f t="shared" si="135"/>
        <v>-</v>
      </c>
      <c r="O1403" s="31" t="str">
        <f t="shared" si="131"/>
        <v>-</v>
      </c>
      <c r="P1403" s="35" t="str">
        <f t="shared" si="136"/>
        <v>-</v>
      </c>
      <c r="Q1403" s="32" t="str">
        <f t="shared" si="133"/>
        <v>-</v>
      </c>
      <c r="S1403" s="32" t="str">
        <f t="shared" si="134"/>
        <v>-</v>
      </c>
    </row>
    <row r="1404" spans="1:19" x14ac:dyDescent="0.3">
      <c r="A1404" s="45" t="s">
        <v>3688</v>
      </c>
      <c r="B1404" s="40" t="s">
        <v>465</v>
      </c>
      <c r="C1404" s="41" t="s">
        <v>2125</v>
      </c>
      <c r="D1404" s="21" t="s">
        <v>2227</v>
      </c>
      <c r="E1404" s="21" t="s">
        <v>2244</v>
      </c>
      <c r="F1404" s="24">
        <v>0.12355856158800001</v>
      </c>
      <c r="G1404" s="21">
        <v>12</v>
      </c>
      <c r="H1404" s="17">
        <v>42.59</v>
      </c>
      <c r="I1404" s="43" t="s">
        <v>3950</v>
      </c>
      <c r="J1404" s="26"/>
      <c r="K1404" s="17">
        <f t="shared" si="132"/>
        <v>0</v>
      </c>
      <c r="N1404" s="31" t="str">
        <f t="shared" si="135"/>
        <v>-</v>
      </c>
      <c r="O1404" s="31" t="str">
        <f t="shared" si="131"/>
        <v>-</v>
      </c>
      <c r="P1404" s="35" t="str">
        <f t="shared" si="136"/>
        <v>-</v>
      </c>
      <c r="Q1404" s="32" t="str">
        <f t="shared" si="133"/>
        <v>-</v>
      </c>
      <c r="S1404" s="32" t="str">
        <f t="shared" si="134"/>
        <v>-</v>
      </c>
    </row>
    <row r="1405" spans="1:19" x14ac:dyDescent="0.3">
      <c r="A1405" s="45" t="s">
        <v>3689</v>
      </c>
      <c r="B1405" s="40" t="s">
        <v>784</v>
      </c>
      <c r="C1405" s="41" t="s">
        <v>2126</v>
      </c>
      <c r="D1405" s="21" t="s">
        <v>2223</v>
      </c>
      <c r="E1405" s="21" t="s">
        <v>2232</v>
      </c>
      <c r="F1405" s="24">
        <v>9.9104262940375012E-2</v>
      </c>
      <c r="G1405" s="21">
        <v>12</v>
      </c>
      <c r="H1405" s="17">
        <v>10.19</v>
      </c>
      <c r="I1405" s="43" t="s">
        <v>3950</v>
      </c>
      <c r="J1405" s="26"/>
      <c r="K1405" s="17">
        <f t="shared" si="132"/>
        <v>0</v>
      </c>
      <c r="N1405" s="31" t="str">
        <f t="shared" si="135"/>
        <v>-</v>
      </c>
      <c r="O1405" s="31" t="str">
        <f t="shared" ref="O1405:O1468" si="137">IFERROR(IF(N1405&gt;0,H1405+N1405,"-"),"-")</f>
        <v>-</v>
      </c>
      <c r="P1405" s="35" t="str">
        <f t="shared" si="136"/>
        <v>-</v>
      </c>
      <c r="Q1405" s="32" t="str">
        <f t="shared" si="133"/>
        <v>-</v>
      </c>
      <c r="S1405" s="32" t="str">
        <f t="shared" si="134"/>
        <v>-</v>
      </c>
    </row>
    <row r="1406" spans="1:19" x14ac:dyDescent="0.3">
      <c r="A1406" s="45" t="s">
        <v>3690</v>
      </c>
      <c r="B1406" s="40" t="s">
        <v>1196</v>
      </c>
      <c r="C1406" s="41" t="s">
        <v>2126</v>
      </c>
      <c r="D1406" s="21" t="s">
        <v>2224</v>
      </c>
      <c r="E1406" s="21" t="s">
        <v>2232</v>
      </c>
      <c r="F1406" s="24">
        <v>0.17976054619920837</v>
      </c>
      <c r="G1406" s="21">
        <v>12</v>
      </c>
      <c r="H1406" s="17">
        <v>19.5</v>
      </c>
      <c r="I1406" s="43" t="s">
        <v>3950</v>
      </c>
      <c r="J1406" s="26"/>
      <c r="K1406" s="17">
        <f t="shared" si="132"/>
        <v>0</v>
      </c>
      <c r="N1406" s="31" t="str">
        <f t="shared" si="135"/>
        <v>-</v>
      </c>
      <c r="O1406" s="31" t="str">
        <f t="shared" si="137"/>
        <v>-</v>
      </c>
      <c r="P1406" s="35" t="str">
        <f t="shared" si="136"/>
        <v>-</v>
      </c>
      <c r="Q1406" s="32" t="str">
        <f t="shared" si="133"/>
        <v>-</v>
      </c>
      <c r="S1406" s="32" t="str">
        <f t="shared" si="134"/>
        <v>-</v>
      </c>
    </row>
    <row r="1407" spans="1:19" x14ac:dyDescent="0.3">
      <c r="A1407" s="45" t="s">
        <v>3691</v>
      </c>
      <c r="B1407" s="40" t="s">
        <v>1220</v>
      </c>
      <c r="C1407" s="41" t="s">
        <v>2126</v>
      </c>
      <c r="D1407" s="21" t="s">
        <v>2227</v>
      </c>
      <c r="E1407" s="21" t="s">
        <v>2232</v>
      </c>
      <c r="F1407" s="24">
        <v>0.33120558870116673</v>
      </c>
      <c r="G1407" s="21">
        <v>12</v>
      </c>
      <c r="H1407" s="17">
        <v>35.39</v>
      </c>
      <c r="I1407" s="43" t="s">
        <v>3950</v>
      </c>
      <c r="J1407" s="26"/>
      <c r="K1407" s="17">
        <f t="shared" si="132"/>
        <v>0</v>
      </c>
      <c r="N1407" s="31" t="str">
        <f t="shared" si="135"/>
        <v>-</v>
      </c>
      <c r="O1407" s="31" t="str">
        <f t="shared" si="137"/>
        <v>-</v>
      </c>
      <c r="P1407" s="35" t="str">
        <f t="shared" si="136"/>
        <v>-</v>
      </c>
      <c r="Q1407" s="32" t="str">
        <f t="shared" si="133"/>
        <v>-</v>
      </c>
      <c r="S1407" s="32" t="str">
        <f t="shared" si="134"/>
        <v>-</v>
      </c>
    </row>
    <row r="1408" spans="1:19" x14ac:dyDescent="0.3">
      <c r="A1408" s="45" t="s">
        <v>3692</v>
      </c>
      <c r="B1408" s="40" t="s">
        <v>852</v>
      </c>
      <c r="C1408" s="41" t="s">
        <v>2127</v>
      </c>
      <c r="D1408" s="21" t="s">
        <v>2223</v>
      </c>
      <c r="E1408" s="21" t="s">
        <v>2222</v>
      </c>
      <c r="F1408" s="24">
        <v>6.0921235227416673E-2</v>
      </c>
      <c r="G1408" s="21">
        <v>12</v>
      </c>
      <c r="H1408" s="17">
        <v>13.19</v>
      </c>
      <c r="I1408" s="43" t="s">
        <v>3950</v>
      </c>
      <c r="J1408" s="26"/>
      <c r="K1408" s="17">
        <f t="shared" si="132"/>
        <v>0</v>
      </c>
      <c r="N1408" s="31" t="str">
        <f t="shared" si="135"/>
        <v>-</v>
      </c>
      <c r="O1408" s="31" t="str">
        <f t="shared" si="137"/>
        <v>-</v>
      </c>
      <c r="P1408" s="35" t="str">
        <f t="shared" si="136"/>
        <v>-</v>
      </c>
      <c r="Q1408" s="32" t="str">
        <f t="shared" si="133"/>
        <v>-</v>
      </c>
      <c r="S1408" s="32" t="str">
        <f t="shared" si="134"/>
        <v>-</v>
      </c>
    </row>
    <row r="1409" spans="1:19" x14ac:dyDescent="0.3">
      <c r="A1409" s="45" t="s">
        <v>3693</v>
      </c>
      <c r="B1409" s="40" t="s">
        <v>864</v>
      </c>
      <c r="C1409" s="41" t="s">
        <v>2127</v>
      </c>
      <c r="D1409" s="21" t="s">
        <v>2224</v>
      </c>
      <c r="E1409" s="21" t="s">
        <v>2222</v>
      </c>
      <c r="F1409" s="24">
        <v>0.10940080973937501</v>
      </c>
      <c r="G1409" s="21">
        <v>12</v>
      </c>
      <c r="H1409" s="17">
        <v>24.9</v>
      </c>
      <c r="I1409" s="43" t="s">
        <v>3950</v>
      </c>
      <c r="J1409" s="26"/>
      <c r="K1409" s="17">
        <f t="shared" si="132"/>
        <v>0</v>
      </c>
      <c r="N1409" s="31" t="str">
        <f t="shared" si="135"/>
        <v>-</v>
      </c>
      <c r="O1409" s="31" t="str">
        <f t="shared" si="137"/>
        <v>-</v>
      </c>
      <c r="P1409" s="35" t="str">
        <f t="shared" si="136"/>
        <v>-</v>
      </c>
      <c r="Q1409" s="32" t="str">
        <f t="shared" si="133"/>
        <v>-</v>
      </c>
      <c r="S1409" s="32" t="str">
        <f t="shared" si="134"/>
        <v>-</v>
      </c>
    </row>
    <row r="1410" spans="1:19" x14ac:dyDescent="0.3">
      <c r="A1410" s="45" t="s">
        <v>3694</v>
      </c>
      <c r="B1410" s="40" t="s">
        <v>905</v>
      </c>
      <c r="C1410" s="41" t="s">
        <v>2127</v>
      </c>
      <c r="D1410" s="21" t="s">
        <v>2227</v>
      </c>
      <c r="E1410" s="21" t="s">
        <v>2222</v>
      </c>
      <c r="F1410" s="24">
        <v>0.19220220691466666</v>
      </c>
      <c r="G1410" s="21">
        <v>12</v>
      </c>
      <c r="H1410" s="17">
        <v>48.59</v>
      </c>
      <c r="I1410" s="43" t="s">
        <v>3950</v>
      </c>
      <c r="J1410" s="26"/>
      <c r="K1410" s="17">
        <f t="shared" si="132"/>
        <v>0</v>
      </c>
      <c r="N1410" s="31" t="str">
        <f t="shared" si="135"/>
        <v>-</v>
      </c>
      <c r="O1410" s="31" t="str">
        <f t="shared" si="137"/>
        <v>-</v>
      </c>
      <c r="P1410" s="35" t="str">
        <f t="shared" si="136"/>
        <v>-</v>
      </c>
      <c r="Q1410" s="32" t="str">
        <f t="shared" si="133"/>
        <v>-</v>
      </c>
      <c r="S1410" s="32" t="str">
        <f t="shared" si="134"/>
        <v>-</v>
      </c>
    </row>
    <row r="1411" spans="1:19" x14ac:dyDescent="0.3">
      <c r="A1411" s="45" t="s">
        <v>3695</v>
      </c>
      <c r="B1411" s="40" t="s">
        <v>1368</v>
      </c>
      <c r="C1411" s="41" t="s">
        <v>2127</v>
      </c>
      <c r="D1411" s="21" t="s">
        <v>2223</v>
      </c>
      <c r="E1411" s="21" t="s">
        <v>2234</v>
      </c>
      <c r="F1411" s="24">
        <v>6.1779280794000004E-2</v>
      </c>
      <c r="G1411" s="21">
        <v>12</v>
      </c>
      <c r="H1411" s="17">
        <v>13.19</v>
      </c>
      <c r="I1411" s="43" t="s">
        <v>3950</v>
      </c>
      <c r="J1411" s="26"/>
      <c r="K1411" s="17">
        <f t="shared" si="132"/>
        <v>0</v>
      </c>
      <c r="N1411" s="31" t="str">
        <f t="shared" si="135"/>
        <v>-</v>
      </c>
      <c r="O1411" s="31" t="str">
        <f t="shared" si="137"/>
        <v>-</v>
      </c>
      <c r="P1411" s="35" t="str">
        <f t="shared" si="136"/>
        <v>-</v>
      </c>
      <c r="Q1411" s="32" t="str">
        <f t="shared" si="133"/>
        <v>-</v>
      </c>
      <c r="S1411" s="32" t="str">
        <f t="shared" si="134"/>
        <v>-</v>
      </c>
    </row>
    <row r="1412" spans="1:19" x14ac:dyDescent="0.3">
      <c r="A1412" s="45" t="s">
        <v>3696</v>
      </c>
      <c r="B1412" s="40" t="s">
        <v>893</v>
      </c>
      <c r="C1412" s="41" t="s">
        <v>2127</v>
      </c>
      <c r="D1412" s="21" t="s">
        <v>2224</v>
      </c>
      <c r="E1412" s="21" t="s">
        <v>2234</v>
      </c>
      <c r="F1412" s="24">
        <v>9.5243057890750007E-2</v>
      </c>
      <c r="G1412" s="21">
        <v>12</v>
      </c>
      <c r="H1412" s="17">
        <v>24.9</v>
      </c>
      <c r="I1412" s="43" t="s">
        <v>3950</v>
      </c>
      <c r="J1412" s="26"/>
      <c r="K1412" s="17">
        <f t="shared" si="132"/>
        <v>0</v>
      </c>
      <c r="N1412" s="31" t="str">
        <f t="shared" si="135"/>
        <v>-</v>
      </c>
      <c r="O1412" s="31" t="str">
        <f t="shared" si="137"/>
        <v>-</v>
      </c>
      <c r="P1412" s="35" t="str">
        <f t="shared" si="136"/>
        <v>-</v>
      </c>
      <c r="Q1412" s="32" t="str">
        <f t="shared" si="133"/>
        <v>-</v>
      </c>
      <c r="S1412" s="32" t="str">
        <f t="shared" si="134"/>
        <v>-</v>
      </c>
    </row>
    <row r="1413" spans="1:19" x14ac:dyDescent="0.3">
      <c r="A1413" s="45" t="s">
        <v>3697</v>
      </c>
      <c r="B1413" s="40" t="s">
        <v>457</v>
      </c>
      <c r="C1413" s="41" t="s">
        <v>2127</v>
      </c>
      <c r="D1413" s="21" t="s">
        <v>2227</v>
      </c>
      <c r="E1413" s="21" t="s">
        <v>2234</v>
      </c>
      <c r="F1413" s="24">
        <v>0.17761543228274998</v>
      </c>
      <c r="G1413" s="21">
        <v>12</v>
      </c>
      <c r="H1413" s="17">
        <v>48.59</v>
      </c>
      <c r="I1413" s="43" t="s">
        <v>3950</v>
      </c>
      <c r="J1413" s="26"/>
      <c r="K1413" s="17">
        <f t="shared" si="132"/>
        <v>0</v>
      </c>
      <c r="N1413" s="31" t="str">
        <f t="shared" si="135"/>
        <v>-</v>
      </c>
      <c r="O1413" s="31" t="str">
        <f t="shared" si="137"/>
        <v>-</v>
      </c>
      <c r="P1413" s="35" t="str">
        <f t="shared" si="136"/>
        <v>-</v>
      </c>
      <c r="Q1413" s="32" t="str">
        <f t="shared" si="133"/>
        <v>-</v>
      </c>
      <c r="S1413" s="32" t="str">
        <f t="shared" si="134"/>
        <v>-</v>
      </c>
    </row>
    <row r="1414" spans="1:19" x14ac:dyDescent="0.3">
      <c r="A1414" s="45" t="s">
        <v>3698</v>
      </c>
      <c r="B1414" s="40" t="s">
        <v>709</v>
      </c>
      <c r="C1414" s="41" t="s">
        <v>1978</v>
      </c>
      <c r="D1414" s="21" t="s">
        <v>2227</v>
      </c>
      <c r="E1414" s="21" t="s">
        <v>2232</v>
      </c>
      <c r="F1414" s="24">
        <v>0.14844188301891667</v>
      </c>
      <c r="G1414" s="21">
        <v>12</v>
      </c>
      <c r="H1414" s="17">
        <v>41.99</v>
      </c>
      <c r="I1414" s="43" t="s">
        <v>3950</v>
      </c>
      <c r="J1414" s="26"/>
      <c r="K1414" s="17">
        <f t="shared" si="132"/>
        <v>0</v>
      </c>
      <c r="N1414" s="31" t="str">
        <f t="shared" si="135"/>
        <v>-</v>
      </c>
      <c r="O1414" s="31" t="str">
        <f t="shared" si="137"/>
        <v>-</v>
      </c>
      <c r="P1414" s="35" t="str">
        <f t="shared" si="136"/>
        <v>-</v>
      </c>
      <c r="Q1414" s="32" t="str">
        <f t="shared" si="133"/>
        <v>-</v>
      </c>
      <c r="S1414" s="32" t="str">
        <f t="shared" si="134"/>
        <v>-</v>
      </c>
    </row>
    <row r="1415" spans="1:19" x14ac:dyDescent="0.3">
      <c r="A1415" s="45" t="s">
        <v>3699</v>
      </c>
      <c r="B1415" s="40" t="s">
        <v>1441</v>
      </c>
      <c r="C1415" s="41" t="s">
        <v>1937</v>
      </c>
      <c r="D1415" s="21" t="s">
        <v>2227</v>
      </c>
      <c r="E1415" s="21" t="s">
        <v>2234</v>
      </c>
      <c r="F1415" s="24">
        <v>0.12012637932166667</v>
      </c>
      <c r="G1415" s="21">
        <v>12</v>
      </c>
      <c r="H1415" s="17">
        <v>41.39</v>
      </c>
      <c r="I1415" s="43" t="s">
        <v>3950</v>
      </c>
      <c r="J1415" s="26"/>
      <c r="K1415" s="17">
        <f t="shared" si="132"/>
        <v>0</v>
      </c>
      <c r="N1415" s="31" t="str">
        <f t="shared" si="135"/>
        <v>-</v>
      </c>
      <c r="O1415" s="31" t="str">
        <f t="shared" si="137"/>
        <v>-</v>
      </c>
      <c r="P1415" s="35" t="str">
        <f t="shared" si="136"/>
        <v>-</v>
      </c>
      <c r="Q1415" s="32" t="str">
        <f t="shared" si="133"/>
        <v>-</v>
      </c>
      <c r="S1415" s="32" t="str">
        <f t="shared" si="134"/>
        <v>-</v>
      </c>
    </row>
    <row r="1416" spans="1:19" x14ac:dyDescent="0.3">
      <c r="A1416" s="45" t="s">
        <v>3700</v>
      </c>
      <c r="B1416" s="40" t="s">
        <v>1238</v>
      </c>
      <c r="C1416" s="41" t="s">
        <v>2005</v>
      </c>
      <c r="D1416" s="21" t="s">
        <v>2242</v>
      </c>
      <c r="E1416" s="21" t="s">
        <v>2222</v>
      </c>
      <c r="F1416" s="24">
        <v>0.46034144647195835</v>
      </c>
      <c r="G1416" s="21">
        <v>12</v>
      </c>
      <c r="H1416" s="17">
        <v>24.9</v>
      </c>
      <c r="I1416" s="43" t="s">
        <v>3950</v>
      </c>
      <c r="J1416" s="26"/>
      <c r="K1416" s="17">
        <f t="shared" si="132"/>
        <v>0</v>
      </c>
      <c r="N1416" s="31" t="str">
        <f t="shared" si="135"/>
        <v>-</v>
      </c>
      <c r="O1416" s="31" t="str">
        <f t="shared" si="137"/>
        <v>-</v>
      </c>
      <c r="P1416" s="35" t="str">
        <f t="shared" si="136"/>
        <v>-</v>
      </c>
      <c r="Q1416" s="32" t="str">
        <f t="shared" si="133"/>
        <v>-</v>
      </c>
      <c r="S1416" s="32" t="str">
        <f t="shared" si="134"/>
        <v>-</v>
      </c>
    </row>
    <row r="1417" spans="1:19" x14ac:dyDescent="0.3">
      <c r="A1417" s="45" t="s">
        <v>3701</v>
      </c>
      <c r="B1417" s="40" t="s">
        <v>107</v>
      </c>
      <c r="C1417" s="41" t="s">
        <v>2128</v>
      </c>
      <c r="D1417" s="21" t="s">
        <v>2224</v>
      </c>
      <c r="E1417" s="21" t="s">
        <v>2244</v>
      </c>
      <c r="F1417" s="24">
        <v>7.8511169342374995E-2</v>
      </c>
      <c r="G1417" s="21">
        <v>12</v>
      </c>
      <c r="H1417" s="17">
        <v>8.6999999999999993</v>
      </c>
      <c r="I1417" s="43" t="s">
        <v>3950</v>
      </c>
      <c r="J1417" s="26"/>
      <c r="K1417" s="17">
        <f t="shared" si="132"/>
        <v>0</v>
      </c>
      <c r="N1417" s="31" t="str">
        <f t="shared" si="135"/>
        <v>-</v>
      </c>
      <c r="O1417" s="31" t="str">
        <f t="shared" si="137"/>
        <v>-</v>
      </c>
      <c r="P1417" s="35" t="str">
        <f t="shared" si="136"/>
        <v>-</v>
      </c>
      <c r="Q1417" s="32" t="str">
        <f t="shared" si="133"/>
        <v>-</v>
      </c>
      <c r="S1417" s="32" t="str">
        <f t="shared" si="134"/>
        <v>-</v>
      </c>
    </row>
    <row r="1418" spans="1:19" x14ac:dyDescent="0.3">
      <c r="A1418" s="45" t="s">
        <v>3702</v>
      </c>
      <c r="B1418" s="40" t="s">
        <v>576</v>
      </c>
      <c r="C1418" s="41" t="s">
        <v>2128</v>
      </c>
      <c r="D1418" s="21" t="s">
        <v>2227</v>
      </c>
      <c r="E1418" s="21" t="s">
        <v>2244</v>
      </c>
      <c r="F1418" s="24">
        <v>0.17246715888324998</v>
      </c>
      <c r="G1418" s="21">
        <v>12</v>
      </c>
      <c r="H1418" s="17">
        <v>16.5</v>
      </c>
      <c r="I1418" s="43" t="s">
        <v>3950</v>
      </c>
      <c r="J1418" s="26"/>
      <c r="K1418" s="17">
        <f t="shared" si="132"/>
        <v>0</v>
      </c>
      <c r="N1418" s="31" t="str">
        <f t="shared" si="135"/>
        <v>-</v>
      </c>
      <c r="O1418" s="31" t="str">
        <f t="shared" si="137"/>
        <v>-</v>
      </c>
      <c r="P1418" s="35" t="str">
        <f t="shared" si="136"/>
        <v>-</v>
      </c>
      <c r="Q1418" s="32" t="str">
        <f t="shared" si="133"/>
        <v>-</v>
      </c>
      <c r="S1418" s="32" t="str">
        <f t="shared" si="134"/>
        <v>-</v>
      </c>
    </row>
    <row r="1419" spans="1:19" x14ac:dyDescent="0.3">
      <c r="A1419" s="45" t="s">
        <v>3703</v>
      </c>
      <c r="B1419" s="40" t="s">
        <v>1048</v>
      </c>
      <c r="C1419" s="41" t="s">
        <v>2129</v>
      </c>
      <c r="D1419" s="21" t="s">
        <v>2223</v>
      </c>
      <c r="E1419" s="21" t="s">
        <v>2234</v>
      </c>
      <c r="F1419" s="24">
        <v>6.1779280794000004E-2</v>
      </c>
      <c r="G1419" s="21">
        <v>12</v>
      </c>
      <c r="H1419" s="17">
        <v>11.85</v>
      </c>
      <c r="I1419" s="43" t="s">
        <v>3950</v>
      </c>
      <c r="J1419" s="26"/>
      <c r="K1419" s="17">
        <f t="shared" si="132"/>
        <v>0</v>
      </c>
      <c r="N1419" s="31" t="str">
        <f t="shared" si="135"/>
        <v>-</v>
      </c>
      <c r="O1419" s="31" t="str">
        <f t="shared" si="137"/>
        <v>-</v>
      </c>
      <c r="P1419" s="35" t="str">
        <f t="shared" si="136"/>
        <v>-</v>
      </c>
      <c r="Q1419" s="32" t="str">
        <f t="shared" si="133"/>
        <v>-</v>
      </c>
      <c r="S1419" s="32" t="str">
        <f t="shared" si="134"/>
        <v>-</v>
      </c>
    </row>
    <row r="1420" spans="1:19" x14ac:dyDescent="0.3">
      <c r="A1420" s="45" t="s">
        <v>3704</v>
      </c>
      <c r="B1420" s="40" t="s">
        <v>1155</v>
      </c>
      <c r="C1420" s="41" t="s">
        <v>2129</v>
      </c>
      <c r="D1420" s="21" t="s">
        <v>2224</v>
      </c>
      <c r="E1420" s="21" t="s">
        <v>2234</v>
      </c>
      <c r="F1420" s="24">
        <v>9.3955989540875015E-2</v>
      </c>
      <c r="G1420" s="21">
        <v>12</v>
      </c>
      <c r="H1420" s="17">
        <v>22.79</v>
      </c>
      <c r="I1420" s="43" t="s">
        <v>3950</v>
      </c>
      <c r="J1420" s="26"/>
      <c r="K1420" s="17">
        <f t="shared" si="132"/>
        <v>0</v>
      </c>
      <c r="N1420" s="31" t="str">
        <f t="shared" si="135"/>
        <v>-</v>
      </c>
      <c r="O1420" s="31" t="str">
        <f t="shared" si="137"/>
        <v>-</v>
      </c>
      <c r="P1420" s="35" t="str">
        <f t="shared" si="136"/>
        <v>-</v>
      </c>
      <c r="Q1420" s="32" t="str">
        <f t="shared" si="133"/>
        <v>-</v>
      </c>
      <c r="S1420" s="32" t="str">
        <f t="shared" si="134"/>
        <v>-</v>
      </c>
    </row>
    <row r="1421" spans="1:19" x14ac:dyDescent="0.3">
      <c r="A1421" s="45" t="s">
        <v>3705</v>
      </c>
      <c r="B1421" s="40" t="s">
        <v>872</v>
      </c>
      <c r="C1421" s="41" t="s">
        <v>2129</v>
      </c>
      <c r="D1421" s="21" t="s">
        <v>2227</v>
      </c>
      <c r="E1421" s="21" t="s">
        <v>2234</v>
      </c>
      <c r="F1421" s="24">
        <v>0.14415165518599998</v>
      </c>
      <c r="G1421" s="21">
        <v>12</v>
      </c>
      <c r="H1421" s="17">
        <v>44.1</v>
      </c>
      <c r="I1421" s="43" t="s">
        <v>3950</v>
      </c>
      <c r="J1421" s="26"/>
      <c r="K1421" s="17">
        <f t="shared" si="132"/>
        <v>0</v>
      </c>
      <c r="N1421" s="31" t="str">
        <f t="shared" si="135"/>
        <v>-</v>
      </c>
      <c r="O1421" s="31" t="str">
        <f t="shared" si="137"/>
        <v>-</v>
      </c>
      <c r="P1421" s="35" t="str">
        <f t="shared" si="136"/>
        <v>-</v>
      </c>
      <c r="Q1421" s="32" t="str">
        <f t="shared" si="133"/>
        <v>-</v>
      </c>
      <c r="S1421" s="32" t="str">
        <f t="shared" si="134"/>
        <v>-</v>
      </c>
    </row>
    <row r="1422" spans="1:19" x14ac:dyDescent="0.3">
      <c r="A1422" s="45" t="s">
        <v>3709</v>
      </c>
      <c r="B1422" s="40" t="s">
        <v>1040</v>
      </c>
      <c r="C1422" s="41" t="s">
        <v>2131</v>
      </c>
      <c r="D1422" s="21" t="s">
        <v>2236</v>
      </c>
      <c r="E1422" s="21" t="s">
        <v>2229</v>
      </c>
      <c r="F1422" s="24">
        <v>0.30889640396999996</v>
      </c>
      <c r="G1422" s="21">
        <v>12</v>
      </c>
      <c r="H1422" s="17">
        <v>14.7</v>
      </c>
      <c r="I1422" s="43" t="s">
        <v>3950</v>
      </c>
      <c r="J1422" s="26"/>
      <c r="K1422" s="17">
        <f t="shared" si="132"/>
        <v>0</v>
      </c>
      <c r="N1422" s="31" t="str">
        <f t="shared" si="135"/>
        <v>-</v>
      </c>
      <c r="O1422" s="31" t="str">
        <f t="shared" si="137"/>
        <v>-</v>
      </c>
      <c r="P1422" s="35" t="str">
        <f t="shared" si="136"/>
        <v>-</v>
      </c>
      <c r="Q1422" s="32" t="str">
        <f t="shared" si="133"/>
        <v>-</v>
      </c>
      <c r="S1422" s="32" t="str">
        <f t="shared" si="134"/>
        <v>-</v>
      </c>
    </row>
    <row r="1423" spans="1:19" x14ac:dyDescent="0.3">
      <c r="A1423" s="45" t="s">
        <v>3710</v>
      </c>
      <c r="B1423" s="40" t="s">
        <v>1011</v>
      </c>
      <c r="C1423" s="41" t="s">
        <v>2132</v>
      </c>
      <c r="D1423" s="21" t="s">
        <v>2223</v>
      </c>
      <c r="E1423" s="21" t="s">
        <v>2232</v>
      </c>
      <c r="F1423" s="24">
        <v>7.2075827592999991E-2</v>
      </c>
      <c r="G1423" s="21">
        <v>12</v>
      </c>
      <c r="H1423" s="17">
        <v>23.99</v>
      </c>
      <c r="I1423" s="43" t="s">
        <v>3950</v>
      </c>
      <c r="J1423" s="26"/>
      <c r="K1423" s="17">
        <f t="shared" si="132"/>
        <v>0</v>
      </c>
      <c r="N1423" s="31" t="str">
        <f t="shared" si="135"/>
        <v>-</v>
      </c>
      <c r="O1423" s="31" t="str">
        <f t="shared" si="137"/>
        <v>-</v>
      </c>
      <c r="P1423" s="35" t="str">
        <f t="shared" si="136"/>
        <v>-</v>
      </c>
      <c r="Q1423" s="32" t="str">
        <f t="shared" si="133"/>
        <v>-</v>
      </c>
      <c r="S1423" s="32" t="str">
        <f t="shared" si="134"/>
        <v>-</v>
      </c>
    </row>
    <row r="1424" spans="1:19" x14ac:dyDescent="0.3">
      <c r="A1424" s="45" t="s">
        <v>3711</v>
      </c>
      <c r="B1424" s="40" t="s">
        <v>320</v>
      </c>
      <c r="C1424" s="41" t="s">
        <v>2132</v>
      </c>
      <c r="D1424" s="21" t="s">
        <v>2224</v>
      </c>
      <c r="E1424" s="21" t="s">
        <v>2232</v>
      </c>
      <c r="F1424" s="24">
        <v>0.13385510838700002</v>
      </c>
      <c r="G1424" s="21">
        <v>12</v>
      </c>
      <c r="H1424" s="17">
        <v>47.1</v>
      </c>
      <c r="I1424" s="43" t="s">
        <v>3950</v>
      </c>
      <c r="J1424" s="26"/>
      <c r="K1424" s="17">
        <f t="shared" si="132"/>
        <v>0</v>
      </c>
      <c r="N1424" s="31" t="str">
        <f t="shared" si="135"/>
        <v>-</v>
      </c>
      <c r="O1424" s="31" t="str">
        <f t="shared" si="137"/>
        <v>-</v>
      </c>
      <c r="P1424" s="35" t="str">
        <f t="shared" si="136"/>
        <v>-</v>
      </c>
      <c r="Q1424" s="32" t="str">
        <f t="shared" si="133"/>
        <v>-</v>
      </c>
      <c r="S1424" s="32" t="str">
        <f t="shared" si="134"/>
        <v>-</v>
      </c>
    </row>
    <row r="1425" spans="1:19" x14ac:dyDescent="0.3">
      <c r="A1425" s="45" t="s">
        <v>3714</v>
      </c>
      <c r="B1425" s="40" t="s">
        <v>1308</v>
      </c>
      <c r="C1425" s="41" t="s">
        <v>2133</v>
      </c>
      <c r="D1425" s="21" t="s">
        <v>2225</v>
      </c>
      <c r="E1425" s="21" t="s">
        <v>2269</v>
      </c>
      <c r="F1425" s="24">
        <v>0.14500970075258335</v>
      </c>
      <c r="G1425" s="21">
        <v>12</v>
      </c>
      <c r="H1425" s="17">
        <v>37.79</v>
      </c>
      <c r="I1425" s="43" t="s">
        <v>3950</v>
      </c>
      <c r="J1425" s="26"/>
      <c r="K1425" s="17">
        <f t="shared" si="132"/>
        <v>0</v>
      </c>
      <c r="N1425" s="31" t="str">
        <f t="shared" si="135"/>
        <v>-</v>
      </c>
      <c r="O1425" s="31" t="str">
        <f t="shared" si="137"/>
        <v>-</v>
      </c>
      <c r="P1425" s="35" t="str">
        <f t="shared" si="136"/>
        <v>-</v>
      </c>
      <c r="Q1425" s="32" t="str">
        <f t="shared" si="133"/>
        <v>-</v>
      </c>
      <c r="S1425" s="32" t="str">
        <f t="shared" si="134"/>
        <v>-</v>
      </c>
    </row>
    <row r="1426" spans="1:19" x14ac:dyDescent="0.3">
      <c r="A1426" s="45" t="s">
        <v>3715</v>
      </c>
      <c r="B1426" s="40" t="s">
        <v>679</v>
      </c>
      <c r="C1426" s="41" t="s">
        <v>2134</v>
      </c>
      <c r="D1426" s="21" t="s">
        <v>2223</v>
      </c>
      <c r="E1426" s="21" t="s">
        <v>2277</v>
      </c>
      <c r="F1426" s="24">
        <v>5.1482733995000002E-2</v>
      </c>
      <c r="G1426" s="21">
        <v>12</v>
      </c>
      <c r="H1426" s="17">
        <v>5.39</v>
      </c>
      <c r="I1426" s="43" t="s">
        <v>3950</v>
      </c>
      <c r="J1426" s="26"/>
      <c r="K1426" s="17">
        <f t="shared" si="132"/>
        <v>0</v>
      </c>
      <c r="N1426" s="31" t="str">
        <f t="shared" si="135"/>
        <v>-</v>
      </c>
      <c r="O1426" s="31" t="str">
        <f t="shared" si="137"/>
        <v>-</v>
      </c>
      <c r="P1426" s="35" t="str">
        <f t="shared" si="136"/>
        <v>-</v>
      </c>
      <c r="Q1426" s="32" t="str">
        <f t="shared" si="133"/>
        <v>-</v>
      </c>
      <c r="S1426" s="32" t="str">
        <f t="shared" si="134"/>
        <v>-</v>
      </c>
    </row>
    <row r="1427" spans="1:19" x14ac:dyDescent="0.3">
      <c r="A1427" s="45" t="s">
        <v>3717</v>
      </c>
      <c r="B1427" s="40" t="s">
        <v>1076</v>
      </c>
      <c r="C1427" s="41" t="s">
        <v>2135</v>
      </c>
      <c r="D1427" s="21" t="s">
        <v>2223</v>
      </c>
      <c r="E1427" s="21" t="s">
        <v>2222</v>
      </c>
      <c r="F1427" s="24">
        <v>2.0593093598000003E-2</v>
      </c>
      <c r="G1427" s="21">
        <v>12</v>
      </c>
      <c r="H1427" s="17">
        <v>20.39</v>
      </c>
      <c r="I1427" s="43" t="s">
        <v>3950</v>
      </c>
      <c r="J1427" s="26"/>
      <c r="K1427" s="17">
        <f t="shared" si="132"/>
        <v>0</v>
      </c>
      <c r="N1427" s="31" t="str">
        <f t="shared" si="135"/>
        <v>-</v>
      </c>
      <c r="O1427" s="31" t="str">
        <f t="shared" si="137"/>
        <v>-</v>
      </c>
      <c r="P1427" s="35" t="str">
        <f t="shared" si="136"/>
        <v>-</v>
      </c>
      <c r="Q1427" s="32" t="str">
        <f t="shared" si="133"/>
        <v>-</v>
      </c>
      <c r="S1427" s="32" t="str">
        <f t="shared" si="134"/>
        <v>-</v>
      </c>
    </row>
    <row r="1428" spans="1:19" x14ac:dyDescent="0.3">
      <c r="A1428" s="45" t="s">
        <v>3718</v>
      </c>
      <c r="B1428" s="40" t="s">
        <v>1133</v>
      </c>
      <c r="C1428" s="41" t="s">
        <v>2135</v>
      </c>
      <c r="D1428" s="21" t="s">
        <v>2224</v>
      </c>
      <c r="E1428" s="21" t="s">
        <v>2222</v>
      </c>
      <c r="F1428" s="24">
        <v>4.1186187196000007E-2</v>
      </c>
      <c r="G1428" s="21">
        <v>12</v>
      </c>
      <c r="H1428" s="17">
        <v>39.590000000000003</v>
      </c>
      <c r="I1428" s="43" t="s">
        <v>3950</v>
      </c>
      <c r="J1428" s="26"/>
      <c r="K1428" s="17">
        <f t="shared" si="132"/>
        <v>0</v>
      </c>
      <c r="N1428" s="31" t="str">
        <f t="shared" si="135"/>
        <v>-</v>
      </c>
      <c r="O1428" s="31" t="str">
        <f t="shared" si="137"/>
        <v>-</v>
      </c>
      <c r="P1428" s="35" t="str">
        <f t="shared" si="136"/>
        <v>-</v>
      </c>
      <c r="Q1428" s="32" t="str">
        <f t="shared" si="133"/>
        <v>-</v>
      </c>
      <c r="S1428" s="32" t="str">
        <f t="shared" si="134"/>
        <v>-</v>
      </c>
    </row>
    <row r="1429" spans="1:19" x14ac:dyDescent="0.3">
      <c r="A1429" s="45" t="s">
        <v>3719</v>
      </c>
      <c r="B1429" s="40" t="s">
        <v>370</v>
      </c>
      <c r="C1429" s="41" t="s">
        <v>2136</v>
      </c>
      <c r="D1429" s="21" t="s">
        <v>2224</v>
      </c>
      <c r="E1429" s="21" t="s">
        <v>2222</v>
      </c>
      <c r="F1429" s="24">
        <v>5.1482733995000002E-2</v>
      </c>
      <c r="G1429" s="21">
        <v>12</v>
      </c>
      <c r="H1429" s="17">
        <v>8.39</v>
      </c>
      <c r="I1429" s="43" t="s">
        <v>3950</v>
      </c>
      <c r="J1429" s="26"/>
      <c r="K1429" s="17">
        <f t="shared" si="132"/>
        <v>0</v>
      </c>
      <c r="N1429" s="31" t="str">
        <f t="shared" si="135"/>
        <v>-</v>
      </c>
      <c r="O1429" s="31" t="str">
        <f t="shared" si="137"/>
        <v>-</v>
      </c>
      <c r="P1429" s="35" t="str">
        <f t="shared" si="136"/>
        <v>-</v>
      </c>
      <c r="Q1429" s="32" t="str">
        <f t="shared" si="133"/>
        <v>-</v>
      </c>
      <c r="S1429" s="32" t="str">
        <f t="shared" si="134"/>
        <v>-</v>
      </c>
    </row>
    <row r="1430" spans="1:19" x14ac:dyDescent="0.3">
      <c r="A1430" s="45" t="s">
        <v>3720</v>
      </c>
      <c r="B1430" s="40" t="s">
        <v>449</v>
      </c>
      <c r="C1430" s="41" t="s">
        <v>2136</v>
      </c>
      <c r="D1430" s="21" t="s">
        <v>2227</v>
      </c>
      <c r="E1430" s="21" t="s">
        <v>2222</v>
      </c>
      <c r="F1430" s="24">
        <v>5.1482733995000002E-2</v>
      </c>
      <c r="G1430" s="21">
        <v>12</v>
      </c>
      <c r="H1430" s="17">
        <v>15.75</v>
      </c>
      <c r="I1430" s="43" t="s">
        <v>3950</v>
      </c>
      <c r="J1430" s="26"/>
      <c r="K1430" s="17">
        <f t="shared" si="132"/>
        <v>0</v>
      </c>
      <c r="N1430" s="31" t="str">
        <f t="shared" si="135"/>
        <v>-</v>
      </c>
      <c r="O1430" s="31" t="str">
        <f t="shared" si="137"/>
        <v>-</v>
      </c>
      <c r="P1430" s="35" t="str">
        <f t="shared" si="136"/>
        <v>-</v>
      </c>
      <c r="Q1430" s="32" t="str">
        <f t="shared" si="133"/>
        <v>-</v>
      </c>
      <c r="S1430" s="32" t="str">
        <f t="shared" si="134"/>
        <v>-</v>
      </c>
    </row>
    <row r="1431" spans="1:19" x14ac:dyDescent="0.3">
      <c r="A1431" s="45" t="s">
        <v>3721</v>
      </c>
      <c r="B1431" s="40" t="s">
        <v>673</v>
      </c>
      <c r="C1431" s="41" t="s">
        <v>2136</v>
      </c>
      <c r="D1431" s="21" t="s">
        <v>2233</v>
      </c>
      <c r="E1431" s="21" t="s">
        <v>2222</v>
      </c>
      <c r="F1431" s="24">
        <v>9.2668921191000023E-2</v>
      </c>
      <c r="G1431" s="21">
        <v>12</v>
      </c>
      <c r="H1431" s="17">
        <v>30.15</v>
      </c>
      <c r="I1431" s="43" t="s">
        <v>3950</v>
      </c>
      <c r="J1431" s="26"/>
      <c r="K1431" s="17">
        <f t="shared" si="132"/>
        <v>0</v>
      </c>
      <c r="N1431" s="31" t="str">
        <f t="shared" si="135"/>
        <v>-</v>
      </c>
      <c r="O1431" s="31" t="str">
        <f t="shared" si="137"/>
        <v>-</v>
      </c>
      <c r="P1431" s="35" t="str">
        <f t="shared" si="136"/>
        <v>-</v>
      </c>
      <c r="Q1431" s="32" t="str">
        <f t="shared" si="133"/>
        <v>-</v>
      </c>
      <c r="S1431" s="32" t="str">
        <f t="shared" si="134"/>
        <v>-</v>
      </c>
    </row>
    <row r="1432" spans="1:19" x14ac:dyDescent="0.3">
      <c r="A1432" s="45" t="s">
        <v>3722</v>
      </c>
      <c r="B1432" s="40" t="s">
        <v>979</v>
      </c>
      <c r="C1432" s="41" t="s">
        <v>2137</v>
      </c>
      <c r="D1432" s="21" t="s">
        <v>2223</v>
      </c>
      <c r="E1432" s="21" t="s">
        <v>2234</v>
      </c>
      <c r="F1432" s="24">
        <v>5.6588105116170836E-2</v>
      </c>
      <c r="G1432" s="21">
        <v>12</v>
      </c>
      <c r="H1432" s="17">
        <v>11.99</v>
      </c>
      <c r="I1432" s="43" t="s">
        <v>3950</v>
      </c>
      <c r="J1432" s="26"/>
      <c r="K1432" s="17">
        <f t="shared" si="132"/>
        <v>0</v>
      </c>
      <c r="N1432" s="31" t="str">
        <f t="shared" si="135"/>
        <v>-</v>
      </c>
      <c r="O1432" s="31" t="str">
        <f t="shared" si="137"/>
        <v>-</v>
      </c>
      <c r="P1432" s="35" t="str">
        <f t="shared" si="136"/>
        <v>-</v>
      </c>
      <c r="Q1432" s="32" t="str">
        <f t="shared" si="133"/>
        <v>-</v>
      </c>
      <c r="S1432" s="32" t="str">
        <f t="shared" si="134"/>
        <v>-</v>
      </c>
    </row>
    <row r="1433" spans="1:19" x14ac:dyDescent="0.3">
      <c r="A1433" s="45" t="s">
        <v>3723</v>
      </c>
      <c r="B1433" s="40" t="s">
        <v>456</v>
      </c>
      <c r="C1433" s="41" t="s">
        <v>2137</v>
      </c>
      <c r="D1433" s="21" t="s">
        <v>2224</v>
      </c>
      <c r="E1433" s="21" t="s">
        <v>2234</v>
      </c>
      <c r="F1433" s="24">
        <v>0.1195686497033875</v>
      </c>
      <c r="G1433" s="21">
        <v>12</v>
      </c>
      <c r="H1433" s="17">
        <v>23.1</v>
      </c>
      <c r="I1433" s="43" t="s">
        <v>3950</v>
      </c>
      <c r="J1433" s="26"/>
      <c r="K1433" s="17">
        <f t="shared" si="132"/>
        <v>0</v>
      </c>
      <c r="N1433" s="31" t="str">
        <f t="shared" si="135"/>
        <v>-</v>
      </c>
      <c r="O1433" s="31" t="str">
        <f t="shared" si="137"/>
        <v>-</v>
      </c>
      <c r="P1433" s="35" t="str">
        <f t="shared" si="136"/>
        <v>-</v>
      </c>
      <c r="Q1433" s="32" t="str">
        <f t="shared" si="133"/>
        <v>-</v>
      </c>
      <c r="S1433" s="32" t="str">
        <f t="shared" si="134"/>
        <v>-</v>
      </c>
    </row>
    <row r="1434" spans="1:19" x14ac:dyDescent="0.3">
      <c r="A1434" s="45" t="s">
        <v>3724</v>
      </c>
      <c r="B1434" s="40" t="s">
        <v>371</v>
      </c>
      <c r="C1434" s="41" t="s">
        <v>2137</v>
      </c>
      <c r="D1434" s="21" t="s">
        <v>2227</v>
      </c>
      <c r="E1434" s="21" t="s">
        <v>2234</v>
      </c>
      <c r="F1434" s="24">
        <v>6.1779280794000004E-2</v>
      </c>
      <c r="G1434" s="21">
        <v>12</v>
      </c>
      <c r="H1434" s="17">
        <v>45.3</v>
      </c>
      <c r="I1434" s="43" t="s">
        <v>3950</v>
      </c>
      <c r="J1434" s="26"/>
      <c r="K1434" s="17">
        <f t="shared" si="132"/>
        <v>0</v>
      </c>
      <c r="N1434" s="31" t="str">
        <f t="shared" si="135"/>
        <v>-</v>
      </c>
      <c r="O1434" s="31" t="str">
        <f t="shared" si="137"/>
        <v>-</v>
      </c>
      <c r="P1434" s="35" t="str">
        <f t="shared" si="136"/>
        <v>-</v>
      </c>
      <c r="Q1434" s="32" t="str">
        <f t="shared" si="133"/>
        <v>-</v>
      </c>
      <c r="S1434" s="32" t="str">
        <f t="shared" si="134"/>
        <v>-</v>
      </c>
    </row>
    <row r="1435" spans="1:19" x14ac:dyDescent="0.3">
      <c r="A1435" s="45" t="s">
        <v>3725</v>
      </c>
      <c r="B1435" s="40" t="s">
        <v>1282</v>
      </c>
      <c r="C1435" s="41" t="s">
        <v>2114</v>
      </c>
      <c r="D1435" s="21" t="s">
        <v>2223</v>
      </c>
      <c r="E1435" s="21" t="s">
        <v>2222</v>
      </c>
      <c r="F1435" s="24">
        <v>8.2372374392000014E-2</v>
      </c>
      <c r="G1435" s="21">
        <v>12</v>
      </c>
      <c r="H1435" s="17">
        <v>8.85</v>
      </c>
      <c r="I1435" s="43" t="s">
        <v>3950</v>
      </c>
      <c r="J1435" s="26"/>
      <c r="K1435" s="17">
        <f t="shared" si="132"/>
        <v>0</v>
      </c>
      <c r="N1435" s="31" t="str">
        <f t="shared" si="135"/>
        <v>-</v>
      </c>
      <c r="O1435" s="31" t="str">
        <f t="shared" si="137"/>
        <v>-</v>
      </c>
      <c r="P1435" s="35" t="str">
        <f t="shared" si="136"/>
        <v>-</v>
      </c>
      <c r="Q1435" s="32" t="str">
        <f t="shared" si="133"/>
        <v>-</v>
      </c>
      <c r="S1435" s="32" t="str">
        <f t="shared" si="134"/>
        <v>-</v>
      </c>
    </row>
    <row r="1436" spans="1:19" x14ac:dyDescent="0.3">
      <c r="A1436" s="45" t="s">
        <v>3726</v>
      </c>
      <c r="B1436" s="40" t="s">
        <v>411</v>
      </c>
      <c r="C1436" s="41" t="s">
        <v>2114</v>
      </c>
      <c r="D1436" s="21" t="s">
        <v>2224</v>
      </c>
      <c r="E1436" s="21" t="s">
        <v>2222</v>
      </c>
      <c r="F1436" s="24">
        <v>0.16474474878400003</v>
      </c>
      <c r="G1436" s="21">
        <v>12</v>
      </c>
      <c r="H1436" s="17">
        <v>16.79</v>
      </c>
      <c r="I1436" s="43" t="s">
        <v>3950</v>
      </c>
      <c r="J1436" s="26"/>
      <c r="K1436" s="17">
        <f t="shared" si="132"/>
        <v>0</v>
      </c>
      <c r="N1436" s="31" t="str">
        <f t="shared" si="135"/>
        <v>-</v>
      </c>
      <c r="O1436" s="31" t="str">
        <f t="shared" si="137"/>
        <v>-</v>
      </c>
      <c r="P1436" s="35" t="str">
        <f t="shared" si="136"/>
        <v>-</v>
      </c>
      <c r="Q1436" s="32" t="str">
        <f t="shared" si="133"/>
        <v>-</v>
      </c>
      <c r="S1436" s="32" t="str">
        <f t="shared" si="134"/>
        <v>-</v>
      </c>
    </row>
    <row r="1437" spans="1:19" x14ac:dyDescent="0.3">
      <c r="A1437" s="45" t="s">
        <v>3727</v>
      </c>
      <c r="B1437" s="40" t="s">
        <v>1101</v>
      </c>
      <c r="C1437" s="41" t="s">
        <v>2114</v>
      </c>
      <c r="D1437" s="21" t="s">
        <v>2227</v>
      </c>
      <c r="E1437" s="21" t="s">
        <v>2222</v>
      </c>
      <c r="F1437" s="24">
        <v>0.21107920937949998</v>
      </c>
      <c r="G1437" s="21">
        <v>12</v>
      </c>
      <c r="H1437" s="17">
        <v>32.549999999999997</v>
      </c>
      <c r="I1437" s="43" t="s">
        <v>3950</v>
      </c>
      <c r="J1437" s="26"/>
      <c r="K1437" s="17">
        <f t="shared" si="132"/>
        <v>0</v>
      </c>
      <c r="N1437" s="31" t="str">
        <f t="shared" si="135"/>
        <v>-</v>
      </c>
      <c r="O1437" s="31" t="str">
        <f t="shared" si="137"/>
        <v>-</v>
      </c>
      <c r="P1437" s="35" t="str">
        <f t="shared" si="136"/>
        <v>-</v>
      </c>
      <c r="Q1437" s="32" t="str">
        <f t="shared" si="133"/>
        <v>-</v>
      </c>
      <c r="S1437" s="32" t="str">
        <f t="shared" si="134"/>
        <v>-</v>
      </c>
    </row>
    <row r="1438" spans="1:19" x14ac:dyDescent="0.3">
      <c r="A1438" s="45" t="s">
        <v>3728</v>
      </c>
      <c r="B1438" s="40" t="s">
        <v>160</v>
      </c>
      <c r="C1438" s="41" t="s">
        <v>2138</v>
      </c>
      <c r="D1438" s="21" t="s">
        <v>2224</v>
      </c>
      <c r="E1438" s="21" t="s">
        <v>2222</v>
      </c>
      <c r="F1438" s="24">
        <v>6.6927554193500008E-2</v>
      </c>
      <c r="G1438" s="21">
        <v>12</v>
      </c>
      <c r="H1438" s="17">
        <v>10.5</v>
      </c>
      <c r="I1438" s="43" t="s">
        <v>3950</v>
      </c>
      <c r="J1438" s="26"/>
      <c r="K1438" s="17">
        <f t="shared" si="132"/>
        <v>0</v>
      </c>
      <c r="N1438" s="31" t="str">
        <f t="shared" si="135"/>
        <v>-</v>
      </c>
      <c r="O1438" s="31" t="str">
        <f t="shared" si="137"/>
        <v>-</v>
      </c>
      <c r="P1438" s="35" t="str">
        <f t="shared" si="136"/>
        <v>-</v>
      </c>
      <c r="Q1438" s="32" t="str">
        <f t="shared" si="133"/>
        <v>-</v>
      </c>
      <c r="S1438" s="32" t="str">
        <f t="shared" si="134"/>
        <v>-</v>
      </c>
    </row>
    <row r="1439" spans="1:19" x14ac:dyDescent="0.3">
      <c r="A1439" s="45" t="s">
        <v>3729</v>
      </c>
      <c r="B1439" s="40" t="s">
        <v>1130</v>
      </c>
      <c r="C1439" s="41" t="s">
        <v>2138</v>
      </c>
      <c r="D1439" s="21" t="s">
        <v>2227</v>
      </c>
      <c r="E1439" s="21" t="s">
        <v>2222</v>
      </c>
      <c r="F1439" s="24">
        <v>0.16474474878400003</v>
      </c>
      <c r="G1439" s="21">
        <v>12</v>
      </c>
      <c r="H1439" s="17">
        <v>19.79</v>
      </c>
      <c r="I1439" s="43" t="s">
        <v>3950</v>
      </c>
      <c r="J1439" s="26"/>
      <c r="K1439" s="17">
        <f t="shared" si="132"/>
        <v>0</v>
      </c>
      <c r="N1439" s="31" t="str">
        <f t="shared" si="135"/>
        <v>-</v>
      </c>
      <c r="O1439" s="31" t="str">
        <f t="shared" si="137"/>
        <v>-</v>
      </c>
      <c r="P1439" s="35" t="str">
        <f t="shared" si="136"/>
        <v>-</v>
      </c>
      <c r="Q1439" s="32" t="str">
        <f t="shared" si="133"/>
        <v>-</v>
      </c>
      <c r="S1439" s="32" t="str">
        <f t="shared" si="134"/>
        <v>-</v>
      </c>
    </row>
    <row r="1440" spans="1:19" x14ac:dyDescent="0.3">
      <c r="A1440" s="45" t="s">
        <v>3730</v>
      </c>
      <c r="B1440" s="40" t="s">
        <v>459</v>
      </c>
      <c r="C1440" s="41" t="s">
        <v>2139</v>
      </c>
      <c r="D1440" s="21" t="s">
        <v>2224</v>
      </c>
      <c r="E1440" s="21" t="s">
        <v>2234</v>
      </c>
      <c r="F1440" s="24">
        <v>9.6959149023916669E-2</v>
      </c>
      <c r="G1440" s="21">
        <v>12</v>
      </c>
      <c r="H1440" s="17">
        <v>6.45</v>
      </c>
      <c r="I1440" s="43" t="s">
        <v>3950</v>
      </c>
      <c r="J1440" s="26"/>
      <c r="K1440" s="17">
        <f t="shared" si="132"/>
        <v>0</v>
      </c>
      <c r="N1440" s="31" t="str">
        <f t="shared" si="135"/>
        <v>-</v>
      </c>
      <c r="O1440" s="31" t="str">
        <f t="shared" si="137"/>
        <v>-</v>
      </c>
      <c r="P1440" s="35" t="str">
        <f t="shared" si="136"/>
        <v>-</v>
      </c>
      <c r="Q1440" s="32" t="str">
        <f t="shared" si="133"/>
        <v>-</v>
      </c>
      <c r="S1440" s="32" t="str">
        <f t="shared" si="134"/>
        <v>-</v>
      </c>
    </row>
    <row r="1441" spans="1:19" x14ac:dyDescent="0.3">
      <c r="A1441" s="45" t="s">
        <v>3731</v>
      </c>
      <c r="B1441" s="40" t="s">
        <v>1358</v>
      </c>
      <c r="C1441" s="41" t="s">
        <v>2139</v>
      </c>
      <c r="D1441" s="21" t="s">
        <v>2227</v>
      </c>
      <c r="E1441" s="21" t="s">
        <v>2234</v>
      </c>
      <c r="F1441" s="24">
        <v>0.16560279435058337</v>
      </c>
      <c r="G1441" s="21">
        <v>12</v>
      </c>
      <c r="H1441" s="17">
        <v>11.99</v>
      </c>
      <c r="I1441" s="43" t="s">
        <v>3950</v>
      </c>
      <c r="J1441" s="26"/>
      <c r="K1441" s="17">
        <f t="shared" si="132"/>
        <v>0</v>
      </c>
      <c r="N1441" s="31" t="str">
        <f t="shared" si="135"/>
        <v>-</v>
      </c>
      <c r="O1441" s="31" t="str">
        <f t="shared" si="137"/>
        <v>-</v>
      </c>
      <c r="P1441" s="35" t="str">
        <f t="shared" si="136"/>
        <v>-</v>
      </c>
      <c r="Q1441" s="32" t="str">
        <f t="shared" si="133"/>
        <v>-</v>
      </c>
      <c r="S1441" s="32" t="str">
        <f t="shared" si="134"/>
        <v>-</v>
      </c>
    </row>
    <row r="1442" spans="1:19" x14ac:dyDescent="0.3">
      <c r="A1442" s="45" t="s">
        <v>3733</v>
      </c>
      <c r="B1442" s="40" t="s">
        <v>1596</v>
      </c>
      <c r="C1442" s="41" t="s">
        <v>2140</v>
      </c>
      <c r="D1442" s="21" t="s">
        <v>2226</v>
      </c>
      <c r="E1442" s="21" t="s">
        <v>2234</v>
      </c>
      <c r="F1442" s="24">
        <v>0.27800676357300003</v>
      </c>
      <c r="G1442" s="21">
        <v>12</v>
      </c>
      <c r="H1442" s="17">
        <v>51.59</v>
      </c>
      <c r="I1442" s="43" t="s">
        <v>3950</v>
      </c>
      <c r="J1442" s="26"/>
      <c r="K1442" s="17">
        <f t="shared" si="132"/>
        <v>0</v>
      </c>
      <c r="N1442" s="31" t="str">
        <f t="shared" si="135"/>
        <v>-</v>
      </c>
      <c r="O1442" s="31" t="str">
        <f t="shared" si="137"/>
        <v>-</v>
      </c>
      <c r="P1442" s="35" t="str">
        <f t="shared" si="136"/>
        <v>-</v>
      </c>
      <c r="Q1442" s="32" t="str">
        <f t="shared" si="133"/>
        <v>-</v>
      </c>
      <c r="S1442" s="32" t="str">
        <f t="shared" si="134"/>
        <v>-</v>
      </c>
    </row>
    <row r="1443" spans="1:19" x14ac:dyDescent="0.3">
      <c r="A1443" s="45" t="s">
        <v>3734</v>
      </c>
      <c r="B1443" s="40" t="s">
        <v>826</v>
      </c>
      <c r="C1443" s="41" t="s">
        <v>2132</v>
      </c>
      <c r="D1443" s="21" t="s">
        <v>2225</v>
      </c>
      <c r="E1443" s="21" t="s">
        <v>2232</v>
      </c>
      <c r="F1443" s="24">
        <v>0.12870683498750002</v>
      </c>
      <c r="G1443" s="21">
        <v>12</v>
      </c>
      <c r="H1443" s="17">
        <v>69.59</v>
      </c>
      <c r="I1443" s="43" t="s">
        <v>3950</v>
      </c>
      <c r="J1443" s="26"/>
      <c r="K1443" s="17">
        <f t="shared" si="132"/>
        <v>0</v>
      </c>
      <c r="N1443" s="31" t="str">
        <f t="shared" si="135"/>
        <v>-</v>
      </c>
      <c r="O1443" s="31" t="str">
        <f t="shared" si="137"/>
        <v>-</v>
      </c>
      <c r="P1443" s="35" t="str">
        <f t="shared" si="136"/>
        <v>-</v>
      </c>
      <c r="Q1443" s="32" t="str">
        <f t="shared" si="133"/>
        <v>-</v>
      </c>
      <c r="S1443" s="32" t="str">
        <f t="shared" si="134"/>
        <v>-</v>
      </c>
    </row>
    <row r="1444" spans="1:19" x14ac:dyDescent="0.3">
      <c r="A1444" s="45" t="s">
        <v>3735</v>
      </c>
      <c r="B1444" s="40" t="s">
        <v>375</v>
      </c>
      <c r="C1444" s="41" t="s">
        <v>2141</v>
      </c>
      <c r="D1444" s="21" t="s">
        <v>2223</v>
      </c>
      <c r="E1444" s="21" t="s">
        <v>2222</v>
      </c>
      <c r="F1444" s="24">
        <v>3.8612050496249994E-2</v>
      </c>
      <c r="G1444" s="21">
        <v>12</v>
      </c>
      <c r="H1444" s="17">
        <v>22.35</v>
      </c>
      <c r="I1444" s="43" t="s">
        <v>3950</v>
      </c>
      <c r="J1444" s="26"/>
      <c r="K1444" s="17">
        <f t="shared" si="132"/>
        <v>0</v>
      </c>
      <c r="N1444" s="31" t="str">
        <f t="shared" si="135"/>
        <v>-</v>
      </c>
      <c r="O1444" s="31" t="str">
        <f t="shared" si="137"/>
        <v>-</v>
      </c>
      <c r="P1444" s="35" t="str">
        <f t="shared" si="136"/>
        <v>-</v>
      </c>
      <c r="Q1444" s="32" t="str">
        <f t="shared" si="133"/>
        <v>-</v>
      </c>
      <c r="S1444" s="32" t="str">
        <f t="shared" si="134"/>
        <v>-</v>
      </c>
    </row>
    <row r="1445" spans="1:19" x14ac:dyDescent="0.3">
      <c r="A1445" s="45" t="s">
        <v>3736</v>
      </c>
      <c r="B1445" s="40" t="s">
        <v>285</v>
      </c>
      <c r="C1445" s="41" t="s">
        <v>2141</v>
      </c>
      <c r="D1445" s="21" t="s">
        <v>2224</v>
      </c>
      <c r="E1445" s="21" t="s">
        <v>2222</v>
      </c>
      <c r="F1445" s="24">
        <v>4.8908597295249996E-2</v>
      </c>
      <c r="G1445" s="21">
        <v>12</v>
      </c>
      <c r="H1445" s="17">
        <v>43.5</v>
      </c>
      <c r="I1445" s="43" t="s">
        <v>3950</v>
      </c>
      <c r="J1445" s="26"/>
      <c r="K1445" s="17">
        <f t="shared" si="132"/>
        <v>0</v>
      </c>
      <c r="N1445" s="31" t="str">
        <f t="shared" si="135"/>
        <v>-</v>
      </c>
      <c r="O1445" s="31" t="str">
        <f t="shared" si="137"/>
        <v>-</v>
      </c>
      <c r="P1445" s="35" t="str">
        <f t="shared" si="136"/>
        <v>-</v>
      </c>
      <c r="Q1445" s="32" t="str">
        <f t="shared" si="133"/>
        <v>-</v>
      </c>
      <c r="S1445" s="32" t="str">
        <f t="shared" si="134"/>
        <v>-</v>
      </c>
    </row>
    <row r="1446" spans="1:19" x14ac:dyDescent="0.3">
      <c r="A1446" s="45" t="s">
        <v>3737</v>
      </c>
      <c r="B1446" s="40" t="s">
        <v>892</v>
      </c>
      <c r="C1446" s="41" t="s">
        <v>2142</v>
      </c>
      <c r="D1446" s="21" t="s">
        <v>2224</v>
      </c>
      <c r="E1446" s="21" t="s">
        <v>2234</v>
      </c>
      <c r="F1446" s="24">
        <v>0.11326201478900001</v>
      </c>
      <c r="G1446" s="21">
        <v>12</v>
      </c>
      <c r="H1446" s="17">
        <v>7.79</v>
      </c>
      <c r="I1446" s="43" t="s">
        <v>3950</v>
      </c>
      <c r="J1446" s="26"/>
      <c r="K1446" s="17">
        <f t="shared" si="132"/>
        <v>0</v>
      </c>
      <c r="N1446" s="31" t="str">
        <f t="shared" si="135"/>
        <v>-</v>
      </c>
      <c r="O1446" s="31" t="str">
        <f t="shared" si="137"/>
        <v>-</v>
      </c>
      <c r="P1446" s="35" t="str">
        <f t="shared" si="136"/>
        <v>-</v>
      </c>
      <c r="Q1446" s="32" t="str">
        <f t="shared" si="133"/>
        <v>-</v>
      </c>
      <c r="S1446" s="32" t="str">
        <f t="shared" si="134"/>
        <v>-</v>
      </c>
    </row>
    <row r="1447" spans="1:19" x14ac:dyDescent="0.3">
      <c r="A1447" s="45" t="s">
        <v>3738</v>
      </c>
      <c r="B1447" s="40" t="s">
        <v>1150</v>
      </c>
      <c r="C1447" s="41" t="s">
        <v>2142</v>
      </c>
      <c r="D1447" s="21" t="s">
        <v>2227</v>
      </c>
      <c r="E1447" s="21" t="s">
        <v>2234</v>
      </c>
      <c r="F1447" s="24">
        <v>0.22373538148660418</v>
      </c>
      <c r="G1447" s="21">
        <v>12</v>
      </c>
      <c r="H1447" s="17">
        <v>14.39</v>
      </c>
      <c r="I1447" s="43" t="s">
        <v>3950</v>
      </c>
      <c r="J1447" s="26"/>
      <c r="K1447" s="17">
        <f t="shared" si="132"/>
        <v>0</v>
      </c>
      <c r="N1447" s="31" t="str">
        <f t="shared" si="135"/>
        <v>-</v>
      </c>
      <c r="O1447" s="31" t="str">
        <f t="shared" si="137"/>
        <v>-</v>
      </c>
      <c r="P1447" s="35" t="str">
        <f t="shared" si="136"/>
        <v>-</v>
      </c>
      <c r="Q1447" s="32" t="str">
        <f t="shared" si="133"/>
        <v>-</v>
      </c>
      <c r="S1447" s="32" t="str">
        <f t="shared" si="134"/>
        <v>-</v>
      </c>
    </row>
    <row r="1448" spans="1:19" x14ac:dyDescent="0.3">
      <c r="A1448" s="45" t="s">
        <v>3739</v>
      </c>
      <c r="B1448" s="40" t="s">
        <v>477</v>
      </c>
      <c r="C1448" s="41" t="s">
        <v>2142</v>
      </c>
      <c r="D1448" s="21" t="s">
        <v>2233</v>
      </c>
      <c r="E1448" s="21" t="s">
        <v>2234</v>
      </c>
      <c r="F1448" s="24">
        <v>0.38612050496250006</v>
      </c>
      <c r="G1448" s="21">
        <v>12</v>
      </c>
      <c r="H1448" s="17">
        <v>27.59</v>
      </c>
      <c r="I1448" s="43" t="s">
        <v>3950</v>
      </c>
      <c r="J1448" s="26"/>
      <c r="K1448" s="17">
        <f t="shared" si="132"/>
        <v>0</v>
      </c>
      <c r="N1448" s="31" t="str">
        <f t="shared" si="135"/>
        <v>-</v>
      </c>
      <c r="O1448" s="31" t="str">
        <f t="shared" si="137"/>
        <v>-</v>
      </c>
      <c r="P1448" s="35" t="str">
        <f t="shared" si="136"/>
        <v>-</v>
      </c>
      <c r="Q1448" s="32" t="str">
        <f t="shared" si="133"/>
        <v>-</v>
      </c>
      <c r="S1448" s="32" t="str">
        <f t="shared" si="134"/>
        <v>-</v>
      </c>
    </row>
    <row r="1449" spans="1:19" x14ac:dyDescent="0.3">
      <c r="A1449" s="45" t="s">
        <v>3740</v>
      </c>
      <c r="B1449" s="40" t="s">
        <v>360</v>
      </c>
      <c r="C1449" s="41" t="s">
        <v>2143</v>
      </c>
      <c r="D1449" s="21" t="s">
        <v>2223</v>
      </c>
      <c r="E1449" s="21" t="s">
        <v>2222</v>
      </c>
      <c r="F1449" s="24">
        <v>3.0889640397000002E-2</v>
      </c>
      <c r="G1449" s="21">
        <v>12</v>
      </c>
      <c r="H1449" s="17">
        <v>13.19</v>
      </c>
      <c r="I1449" s="43" t="s">
        <v>3950</v>
      </c>
      <c r="J1449" s="26"/>
      <c r="K1449" s="17">
        <f t="shared" si="132"/>
        <v>0</v>
      </c>
      <c r="N1449" s="31" t="str">
        <f t="shared" si="135"/>
        <v>-</v>
      </c>
      <c r="O1449" s="31" t="str">
        <f t="shared" si="137"/>
        <v>-</v>
      </c>
      <c r="P1449" s="35" t="str">
        <f t="shared" si="136"/>
        <v>-</v>
      </c>
      <c r="Q1449" s="32" t="str">
        <f t="shared" si="133"/>
        <v>-</v>
      </c>
      <c r="S1449" s="32" t="str">
        <f t="shared" si="134"/>
        <v>-</v>
      </c>
    </row>
    <row r="1450" spans="1:19" x14ac:dyDescent="0.3">
      <c r="A1450" s="45" t="s">
        <v>3741</v>
      </c>
      <c r="B1450" s="40" t="s">
        <v>109</v>
      </c>
      <c r="C1450" s="41" t="s">
        <v>2143</v>
      </c>
      <c r="D1450" s="21" t="s">
        <v>2224</v>
      </c>
      <c r="E1450" s="21" t="s">
        <v>2222</v>
      </c>
      <c r="F1450" s="24">
        <v>4.1186187196000007E-2</v>
      </c>
      <c r="G1450" s="21">
        <v>12</v>
      </c>
      <c r="H1450" s="17">
        <v>25.5</v>
      </c>
      <c r="I1450" s="43" t="s">
        <v>3950</v>
      </c>
      <c r="J1450" s="26"/>
      <c r="K1450" s="17">
        <f t="shared" si="132"/>
        <v>0</v>
      </c>
      <c r="N1450" s="31" t="str">
        <f t="shared" si="135"/>
        <v>-</v>
      </c>
      <c r="O1450" s="31" t="str">
        <f t="shared" si="137"/>
        <v>-</v>
      </c>
      <c r="P1450" s="35" t="str">
        <f t="shared" si="136"/>
        <v>-</v>
      </c>
      <c r="Q1450" s="32" t="str">
        <f t="shared" si="133"/>
        <v>-</v>
      </c>
      <c r="S1450" s="32" t="str">
        <f t="shared" si="134"/>
        <v>-</v>
      </c>
    </row>
    <row r="1451" spans="1:19" x14ac:dyDescent="0.3">
      <c r="A1451" s="45" t="s">
        <v>3742</v>
      </c>
      <c r="B1451" s="40" t="s">
        <v>110</v>
      </c>
      <c r="C1451" s="41" t="s">
        <v>2144</v>
      </c>
      <c r="D1451" s="21" t="s">
        <v>2231</v>
      </c>
      <c r="E1451" s="21" t="s">
        <v>2222</v>
      </c>
      <c r="F1451" s="24">
        <v>7.7224100992499989E-2</v>
      </c>
      <c r="G1451" s="21">
        <v>12</v>
      </c>
      <c r="H1451" s="17">
        <v>10.19</v>
      </c>
      <c r="I1451" s="43" t="s">
        <v>3950</v>
      </c>
      <c r="J1451" s="26"/>
      <c r="K1451" s="17">
        <f t="shared" si="132"/>
        <v>0</v>
      </c>
      <c r="N1451" s="31" t="str">
        <f t="shared" si="135"/>
        <v>-</v>
      </c>
      <c r="O1451" s="31" t="str">
        <f t="shared" si="137"/>
        <v>-</v>
      </c>
      <c r="P1451" s="35" t="str">
        <f t="shared" si="136"/>
        <v>-</v>
      </c>
      <c r="Q1451" s="32" t="str">
        <f t="shared" si="133"/>
        <v>-</v>
      </c>
      <c r="S1451" s="32" t="str">
        <f t="shared" si="134"/>
        <v>-</v>
      </c>
    </row>
    <row r="1452" spans="1:19" x14ac:dyDescent="0.3">
      <c r="A1452" s="45" t="s">
        <v>3743</v>
      </c>
      <c r="B1452" s="40" t="s">
        <v>376</v>
      </c>
      <c r="C1452" s="41" t="s">
        <v>2144</v>
      </c>
      <c r="D1452" s="21" t="s">
        <v>2225</v>
      </c>
      <c r="E1452" s="21" t="s">
        <v>2222</v>
      </c>
      <c r="F1452" s="24">
        <v>0.21622748277900003</v>
      </c>
      <c r="G1452" s="21">
        <v>12</v>
      </c>
      <c r="H1452" s="17">
        <v>19.190000000000001</v>
      </c>
      <c r="I1452" s="43" t="s">
        <v>3950</v>
      </c>
      <c r="J1452" s="26"/>
      <c r="K1452" s="17">
        <f t="shared" si="132"/>
        <v>0</v>
      </c>
      <c r="N1452" s="31" t="str">
        <f t="shared" si="135"/>
        <v>-</v>
      </c>
      <c r="O1452" s="31" t="str">
        <f t="shared" si="137"/>
        <v>-</v>
      </c>
      <c r="P1452" s="35" t="str">
        <f t="shared" si="136"/>
        <v>-</v>
      </c>
      <c r="Q1452" s="32" t="str">
        <f t="shared" si="133"/>
        <v>-</v>
      </c>
      <c r="S1452" s="32" t="str">
        <f t="shared" si="134"/>
        <v>-</v>
      </c>
    </row>
    <row r="1453" spans="1:19" x14ac:dyDescent="0.3">
      <c r="A1453" s="45" t="s">
        <v>3744</v>
      </c>
      <c r="B1453" s="40" t="s">
        <v>627</v>
      </c>
      <c r="C1453" s="41" t="s">
        <v>2144</v>
      </c>
      <c r="D1453" s="21" t="s">
        <v>2226</v>
      </c>
      <c r="E1453" s="21" t="s">
        <v>2222</v>
      </c>
      <c r="F1453" s="24">
        <v>0.41186187196000001</v>
      </c>
      <c r="G1453" s="21">
        <v>12</v>
      </c>
      <c r="H1453" s="17">
        <v>37.19</v>
      </c>
      <c r="I1453" s="43" t="s">
        <v>3950</v>
      </c>
      <c r="J1453" s="26"/>
      <c r="K1453" s="17">
        <f t="shared" si="132"/>
        <v>0</v>
      </c>
      <c r="N1453" s="31" t="str">
        <f t="shared" si="135"/>
        <v>-</v>
      </c>
      <c r="O1453" s="31" t="str">
        <f t="shared" si="137"/>
        <v>-</v>
      </c>
      <c r="P1453" s="35" t="str">
        <f t="shared" si="136"/>
        <v>-</v>
      </c>
      <c r="Q1453" s="32" t="str">
        <f t="shared" si="133"/>
        <v>-</v>
      </c>
      <c r="S1453" s="32" t="str">
        <f t="shared" si="134"/>
        <v>-</v>
      </c>
    </row>
    <row r="1454" spans="1:19" x14ac:dyDescent="0.3">
      <c r="A1454" s="45" t="s">
        <v>3745</v>
      </c>
      <c r="B1454" s="40" t="s">
        <v>952</v>
      </c>
      <c r="C1454" s="41" t="s">
        <v>2145</v>
      </c>
      <c r="D1454" s="21" t="s">
        <v>2224</v>
      </c>
      <c r="E1454" s="21" t="s">
        <v>2234</v>
      </c>
      <c r="F1454" s="24">
        <v>8.7949670574791652E-2</v>
      </c>
      <c r="G1454" s="21">
        <v>12</v>
      </c>
      <c r="H1454" s="17">
        <v>10.95</v>
      </c>
      <c r="I1454" s="43" t="s">
        <v>3950</v>
      </c>
      <c r="J1454" s="26"/>
      <c r="K1454" s="17">
        <f t="shared" si="132"/>
        <v>0</v>
      </c>
      <c r="N1454" s="31" t="str">
        <f t="shared" si="135"/>
        <v>-</v>
      </c>
      <c r="O1454" s="31" t="str">
        <f t="shared" si="137"/>
        <v>-</v>
      </c>
      <c r="P1454" s="35" t="str">
        <f t="shared" si="136"/>
        <v>-</v>
      </c>
      <c r="Q1454" s="32" t="str">
        <f t="shared" si="133"/>
        <v>-</v>
      </c>
      <c r="S1454" s="32" t="str">
        <f t="shared" si="134"/>
        <v>-</v>
      </c>
    </row>
    <row r="1455" spans="1:19" x14ac:dyDescent="0.3">
      <c r="A1455" s="45" t="s">
        <v>3746</v>
      </c>
      <c r="B1455" s="40" t="s">
        <v>116</v>
      </c>
      <c r="C1455" s="41" t="s">
        <v>2145</v>
      </c>
      <c r="D1455" s="21" t="s">
        <v>2227</v>
      </c>
      <c r="E1455" s="21" t="s">
        <v>2234</v>
      </c>
      <c r="F1455" s="24">
        <v>0.15659331590145834</v>
      </c>
      <c r="G1455" s="21">
        <v>12</v>
      </c>
      <c r="H1455" s="17">
        <v>19.5</v>
      </c>
      <c r="I1455" s="43" t="s">
        <v>3950</v>
      </c>
      <c r="J1455" s="26"/>
      <c r="K1455" s="17">
        <f t="shared" ref="K1455:K1518" si="138">J1455*H1455</f>
        <v>0</v>
      </c>
      <c r="N1455" s="31" t="str">
        <f t="shared" si="135"/>
        <v>-</v>
      </c>
      <c r="O1455" s="31" t="str">
        <f t="shared" si="137"/>
        <v>-</v>
      </c>
      <c r="P1455" s="35" t="str">
        <f t="shared" si="136"/>
        <v>-</v>
      </c>
      <c r="Q1455" s="32" t="str">
        <f t="shared" si="133"/>
        <v>-</v>
      </c>
      <c r="S1455" s="32" t="str">
        <f t="shared" si="134"/>
        <v>-</v>
      </c>
    </row>
    <row r="1456" spans="1:19" x14ac:dyDescent="0.3">
      <c r="A1456" s="45" t="s">
        <v>3747</v>
      </c>
      <c r="B1456" s="40" t="s">
        <v>664</v>
      </c>
      <c r="C1456" s="41" t="s">
        <v>2146</v>
      </c>
      <c r="D1456" s="21" t="s">
        <v>2223</v>
      </c>
      <c r="E1456" s="21" t="s">
        <v>2232</v>
      </c>
      <c r="F1456" s="24">
        <v>3.7582395816349999E-2</v>
      </c>
      <c r="G1456" s="21">
        <v>12</v>
      </c>
      <c r="H1456" s="17">
        <v>16.79</v>
      </c>
      <c r="I1456" s="43" t="s">
        <v>3950</v>
      </c>
      <c r="J1456" s="26"/>
      <c r="K1456" s="17">
        <f t="shared" si="138"/>
        <v>0</v>
      </c>
      <c r="N1456" s="31" t="str">
        <f t="shared" si="135"/>
        <v>-</v>
      </c>
      <c r="O1456" s="31" t="str">
        <f t="shared" si="137"/>
        <v>-</v>
      </c>
      <c r="P1456" s="35" t="str">
        <f t="shared" si="136"/>
        <v>-</v>
      </c>
      <c r="Q1456" s="32" t="str">
        <f t="shared" ref="Q1456:Q1519" si="139">IFERROR(IF($N$2&gt;0, $N$2*P1456, "-"), "-")</f>
        <v>-</v>
      </c>
      <c r="S1456" s="32" t="str">
        <f t="shared" ref="S1456:S1519" si="140">IFERROR(IF(Q1456+K1456=0, "-", IF(Q1456&gt;0, Q1456+K1456, "-")), "-")</f>
        <v>-</v>
      </c>
    </row>
    <row r="1457" spans="1:19" x14ac:dyDescent="0.3">
      <c r="A1457" s="45" t="s">
        <v>3748</v>
      </c>
      <c r="B1457" s="40" t="s">
        <v>596</v>
      </c>
      <c r="C1457" s="41" t="s">
        <v>2146</v>
      </c>
      <c r="D1457" s="21" t="s">
        <v>2224</v>
      </c>
      <c r="E1457" s="21" t="s">
        <v>2232</v>
      </c>
      <c r="F1457" s="24">
        <v>0.10296546799</v>
      </c>
      <c r="G1457" s="21">
        <v>12</v>
      </c>
      <c r="H1457" s="17">
        <v>32.700000000000003</v>
      </c>
      <c r="I1457" s="43" t="s">
        <v>3950</v>
      </c>
      <c r="J1457" s="26"/>
      <c r="K1457" s="17">
        <f t="shared" si="138"/>
        <v>0</v>
      </c>
      <c r="N1457" s="31" t="str">
        <f t="shared" si="135"/>
        <v>-</v>
      </c>
      <c r="O1457" s="31" t="str">
        <f t="shared" si="137"/>
        <v>-</v>
      </c>
      <c r="P1457" s="35" t="str">
        <f t="shared" si="136"/>
        <v>-</v>
      </c>
      <c r="Q1457" s="32" t="str">
        <f t="shared" si="139"/>
        <v>-</v>
      </c>
      <c r="S1457" s="32" t="str">
        <f t="shared" si="140"/>
        <v>-</v>
      </c>
    </row>
    <row r="1458" spans="1:19" x14ac:dyDescent="0.3">
      <c r="A1458" s="45" t="s">
        <v>3749</v>
      </c>
      <c r="B1458" s="40" t="s">
        <v>381</v>
      </c>
      <c r="C1458" s="41" t="s">
        <v>2146</v>
      </c>
      <c r="D1458" s="21" t="s">
        <v>2225</v>
      </c>
      <c r="E1458" s="21" t="s">
        <v>2232</v>
      </c>
      <c r="F1458" s="24">
        <v>9.2668921191000023E-2</v>
      </c>
      <c r="G1458" s="21">
        <v>12</v>
      </c>
      <c r="H1458" s="17">
        <v>47.99</v>
      </c>
      <c r="I1458" s="43" t="s">
        <v>3950</v>
      </c>
      <c r="J1458" s="26"/>
      <c r="K1458" s="17">
        <f t="shared" si="138"/>
        <v>0</v>
      </c>
      <c r="N1458" s="31" t="str">
        <f t="shared" si="135"/>
        <v>-</v>
      </c>
      <c r="O1458" s="31" t="str">
        <f t="shared" si="137"/>
        <v>-</v>
      </c>
      <c r="P1458" s="35" t="str">
        <f t="shared" si="136"/>
        <v>-</v>
      </c>
      <c r="Q1458" s="32" t="str">
        <f t="shared" si="139"/>
        <v>-</v>
      </c>
      <c r="S1458" s="32" t="str">
        <f t="shared" si="140"/>
        <v>-</v>
      </c>
    </row>
    <row r="1459" spans="1:19" x14ac:dyDescent="0.3">
      <c r="A1459" s="45" t="s">
        <v>3750</v>
      </c>
      <c r="B1459" s="40" t="s">
        <v>173</v>
      </c>
      <c r="C1459" s="41" t="s">
        <v>2147</v>
      </c>
      <c r="D1459" s="21" t="s">
        <v>2223</v>
      </c>
      <c r="E1459" s="21" t="s">
        <v>2232</v>
      </c>
      <c r="F1459" s="24">
        <v>5.1482733995000002E-2</v>
      </c>
      <c r="G1459" s="21">
        <v>12</v>
      </c>
      <c r="H1459" s="17">
        <v>15.59</v>
      </c>
      <c r="I1459" s="43" t="s">
        <v>3950</v>
      </c>
      <c r="J1459" s="26"/>
      <c r="K1459" s="17">
        <f t="shared" si="138"/>
        <v>0</v>
      </c>
      <c r="N1459" s="31" t="str">
        <f t="shared" si="135"/>
        <v>-</v>
      </c>
      <c r="O1459" s="31" t="str">
        <f t="shared" si="137"/>
        <v>-</v>
      </c>
      <c r="P1459" s="35" t="str">
        <f t="shared" si="136"/>
        <v>-</v>
      </c>
      <c r="Q1459" s="32" t="str">
        <f t="shared" si="139"/>
        <v>-</v>
      </c>
      <c r="S1459" s="32" t="str">
        <f t="shared" si="140"/>
        <v>-</v>
      </c>
    </row>
    <row r="1460" spans="1:19" x14ac:dyDescent="0.3">
      <c r="A1460" s="45" t="s">
        <v>3751</v>
      </c>
      <c r="B1460" s="40" t="s">
        <v>1376</v>
      </c>
      <c r="C1460" s="41" t="s">
        <v>2147</v>
      </c>
      <c r="D1460" s="21" t="s">
        <v>2224</v>
      </c>
      <c r="E1460" s="21" t="s">
        <v>2232</v>
      </c>
      <c r="F1460" s="24">
        <v>7.7224100992499989E-2</v>
      </c>
      <c r="G1460" s="21">
        <v>12</v>
      </c>
      <c r="H1460" s="17">
        <v>29.99</v>
      </c>
      <c r="I1460" s="43" t="s">
        <v>3950</v>
      </c>
      <c r="J1460" s="26"/>
      <c r="K1460" s="17">
        <f t="shared" si="138"/>
        <v>0</v>
      </c>
      <c r="N1460" s="31" t="str">
        <f t="shared" si="135"/>
        <v>-</v>
      </c>
      <c r="O1460" s="31" t="str">
        <f t="shared" si="137"/>
        <v>-</v>
      </c>
      <c r="P1460" s="35" t="str">
        <f t="shared" si="136"/>
        <v>-</v>
      </c>
      <c r="Q1460" s="32" t="str">
        <f t="shared" si="139"/>
        <v>-</v>
      </c>
      <c r="S1460" s="32" t="str">
        <f t="shared" si="140"/>
        <v>-</v>
      </c>
    </row>
    <row r="1461" spans="1:19" x14ac:dyDescent="0.3">
      <c r="A1461" s="45" t="s">
        <v>3752</v>
      </c>
      <c r="B1461" s="40" t="s">
        <v>672</v>
      </c>
      <c r="C1461" s="41" t="s">
        <v>2147</v>
      </c>
      <c r="D1461" s="21" t="s">
        <v>2227</v>
      </c>
      <c r="E1461" s="21" t="s">
        <v>2232</v>
      </c>
      <c r="F1461" s="24">
        <v>0.15659331590145834</v>
      </c>
      <c r="G1461" s="21">
        <v>12</v>
      </c>
      <c r="H1461" s="17">
        <v>58.79</v>
      </c>
      <c r="I1461" s="43" t="s">
        <v>3950</v>
      </c>
      <c r="J1461" s="26"/>
      <c r="K1461" s="17">
        <f t="shared" si="138"/>
        <v>0</v>
      </c>
      <c r="N1461" s="31" t="str">
        <f t="shared" si="135"/>
        <v>-</v>
      </c>
      <c r="O1461" s="31" t="str">
        <f t="shared" si="137"/>
        <v>-</v>
      </c>
      <c r="P1461" s="35" t="str">
        <f t="shared" si="136"/>
        <v>-</v>
      </c>
      <c r="Q1461" s="32" t="str">
        <f t="shared" si="139"/>
        <v>-</v>
      </c>
      <c r="S1461" s="32" t="str">
        <f t="shared" si="140"/>
        <v>-</v>
      </c>
    </row>
    <row r="1462" spans="1:19" x14ac:dyDescent="0.3">
      <c r="A1462" s="45" t="s">
        <v>3753</v>
      </c>
      <c r="B1462" s="40" t="s">
        <v>597</v>
      </c>
      <c r="C1462" s="41" t="s">
        <v>1858</v>
      </c>
      <c r="D1462" s="21" t="s">
        <v>2223</v>
      </c>
      <c r="E1462" s="21" t="s">
        <v>2222</v>
      </c>
      <c r="F1462" s="24">
        <v>5.1482733995000002E-2</v>
      </c>
      <c r="G1462" s="21">
        <v>12</v>
      </c>
      <c r="H1462" s="17">
        <v>9.9</v>
      </c>
      <c r="I1462" s="43" t="s">
        <v>3950</v>
      </c>
      <c r="J1462" s="26"/>
      <c r="K1462" s="17">
        <f t="shared" si="138"/>
        <v>0</v>
      </c>
      <c r="N1462" s="31" t="str">
        <f t="shared" si="135"/>
        <v>-</v>
      </c>
      <c r="O1462" s="31" t="str">
        <f t="shared" si="137"/>
        <v>-</v>
      </c>
      <c r="P1462" s="35" t="str">
        <f t="shared" si="136"/>
        <v>-</v>
      </c>
      <c r="Q1462" s="32" t="str">
        <f t="shared" si="139"/>
        <v>-</v>
      </c>
      <c r="S1462" s="32" t="str">
        <f t="shared" si="140"/>
        <v>-</v>
      </c>
    </row>
    <row r="1463" spans="1:19" x14ac:dyDescent="0.3">
      <c r="A1463" s="45" t="s">
        <v>3754</v>
      </c>
      <c r="B1463" s="40" t="s">
        <v>169</v>
      </c>
      <c r="C1463" s="41" t="s">
        <v>2148</v>
      </c>
      <c r="D1463" s="21" t="s">
        <v>2223</v>
      </c>
      <c r="E1463" s="21" t="s">
        <v>2232</v>
      </c>
      <c r="F1463" s="24">
        <v>6.0921235227416673E-2</v>
      </c>
      <c r="G1463" s="21">
        <v>12</v>
      </c>
      <c r="H1463" s="17">
        <v>14.25</v>
      </c>
      <c r="I1463" s="43" t="s">
        <v>3950</v>
      </c>
      <c r="J1463" s="26"/>
      <c r="K1463" s="17">
        <f t="shared" si="138"/>
        <v>0</v>
      </c>
      <c r="N1463" s="31" t="str">
        <f t="shared" si="135"/>
        <v>-</v>
      </c>
      <c r="O1463" s="31" t="str">
        <f t="shared" si="137"/>
        <v>-</v>
      </c>
      <c r="P1463" s="35" t="str">
        <f t="shared" si="136"/>
        <v>-</v>
      </c>
      <c r="Q1463" s="32" t="str">
        <f t="shared" si="139"/>
        <v>-</v>
      </c>
      <c r="S1463" s="32" t="str">
        <f t="shared" si="140"/>
        <v>-</v>
      </c>
    </row>
    <row r="1464" spans="1:19" x14ac:dyDescent="0.3">
      <c r="A1464" s="45" t="s">
        <v>3755</v>
      </c>
      <c r="B1464" s="40" t="s">
        <v>948</v>
      </c>
      <c r="C1464" s="41" t="s">
        <v>2149</v>
      </c>
      <c r="D1464" s="21" t="s">
        <v>2224</v>
      </c>
      <c r="E1464" s="21" t="s">
        <v>2222</v>
      </c>
      <c r="F1464" s="24">
        <v>0.14844188301891667</v>
      </c>
      <c r="G1464" s="21">
        <v>12</v>
      </c>
      <c r="H1464" s="17">
        <v>8.39</v>
      </c>
      <c r="I1464" s="43" t="s">
        <v>3950</v>
      </c>
      <c r="J1464" s="26"/>
      <c r="K1464" s="17">
        <f t="shared" si="138"/>
        <v>0</v>
      </c>
      <c r="N1464" s="31" t="str">
        <f t="shared" si="135"/>
        <v>-</v>
      </c>
      <c r="O1464" s="31" t="str">
        <f t="shared" si="137"/>
        <v>-</v>
      </c>
      <c r="P1464" s="35" t="str">
        <f t="shared" si="136"/>
        <v>-</v>
      </c>
      <c r="Q1464" s="32" t="str">
        <f t="shared" si="139"/>
        <v>-</v>
      </c>
      <c r="S1464" s="32" t="str">
        <f t="shared" si="140"/>
        <v>-</v>
      </c>
    </row>
    <row r="1465" spans="1:19" x14ac:dyDescent="0.3">
      <c r="A1465" s="45" t="s">
        <v>3756</v>
      </c>
      <c r="B1465" s="40" t="s">
        <v>177</v>
      </c>
      <c r="C1465" s="41" t="s">
        <v>2150</v>
      </c>
      <c r="D1465" s="21" t="s">
        <v>2239</v>
      </c>
      <c r="E1465" s="21" t="s">
        <v>2222</v>
      </c>
      <c r="F1465" s="24">
        <v>6.1779280794000004E-2</v>
      </c>
      <c r="G1465" s="21">
        <v>12</v>
      </c>
      <c r="H1465" s="17">
        <v>8.99</v>
      </c>
      <c r="I1465" s="43" t="s">
        <v>3950</v>
      </c>
      <c r="J1465" s="26"/>
      <c r="K1465" s="17">
        <f t="shared" si="138"/>
        <v>0</v>
      </c>
      <c r="N1465" s="31" t="str">
        <f t="shared" si="135"/>
        <v>-</v>
      </c>
      <c r="O1465" s="31" t="str">
        <f t="shared" si="137"/>
        <v>-</v>
      </c>
      <c r="P1465" s="35" t="str">
        <f t="shared" si="136"/>
        <v>-</v>
      </c>
      <c r="Q1465" s="32" t="str">
        <f t="shared" si="139"/>
        <v>-</v>
      </c>
      <c r="S1465" s="32" t="str">
        <f t="shared" si="140"/>
        <v>-</v>
      </c>
    </row>
    <row r="1466" spans="1:19" x14ac:dyDescent="0.3">
      <c r="A1466" s="45" t="s">
        <v>3757</v>
      </c>
      <c r="B1466" s="40" t="s">
        <v>1092</v>
      </c>
      <c r="C1466" s="41" t="s">
        <v>2151</v>
      </c>
      <c r="D1466" s="21" t="s">
        <v>2223</v>
      </c>
      <c r="E1466" s="21" t="s">
        <v>2244</v>
      </c>
      <c r="F1466" s="24">
        <v>0.88550302471400011</v>
      </c>
      <c r="G1466" s="21">
        <v>12</v>
      </c>
      <c r="H1466" s="17">
        <v>13.5</v>
      </c>
      <c r="I1466" s="43" t="s">
        <v>3950</v>
      </c>
      <c r="J1466" s="26"/>
      <c r="K1466" s="17">
        <f t="shared" si="138"/>
        <v>0</v>
      </c>
      <c r="N1466" s="31" t="str">
        <f t="shared" ref="N1466:N1529" si="141">IFERROR(IF($N$2*F1466=0, "-", $N$2*F1466), "-")</f>
        <v>-</v>
      </c>
      <c r="O1466" s="31" t="str">
        <f t="shared" si="137"/>
        <v>-</v>
      </c>
      <c r="P1466" s="35" t="str">
        <f t="shared" ref="P1466:P1529" si="142">IF(J1466&gt;0,J1466*F1466, "-")</f>
        <v>-</v>
      </c>
      <c r="Q1466" s="32" t="str">
        <f t="shared" si="139"/>
        <v>-</v>
      </c>
      <c r="S1466" s="32" t="str">
        <f t="shared" si="140"/>
        <v>-</v>
      </c>
    </row>
    <row r="1467" spans="1:19" x14ac:dyDescent="0.3">
      <c r="A1467" s="45" t="s">
        <v>3758</v>
      </c>
      <c r="B1467" s="40" t="s">
        <v>1184</v>
      </c>
      <c r="C1467" s="41" t="s">
        <v>2152</v>
      </c>
      <c r="D1467" s="21" t="s">
        <v>2224</v>
      </c>
      <c r="E1467" s="21" t="s">
        <v>2222</v>
      </c>
      <c r="F1467" s="24">
        <v>0.19220220691466666</v>
      </c>
      <c r="G1467" s="21">
        <v>12</v>
      </c>
      <c r="H1467" s="17">
        <v>10.79</v>
      </c>
      <c r="I1467" s="43" t="s">
        <v>3950</v>
      </c>
      <c r="J1467" s="26"/>
      <c r="K1467" s="17">
        <f t="shared" si="138"/>
        <v>0</v>
      </c>
      <c r="N1467" s="31" t="str">
        <f t="shared" si="141"/>
        <v>-</v>
      </c>
      <c r="O1467" s="31" t="str">
        <f t="shared" si="137"/>
        <v>-</v>
      </c>
      <c r="P1467" s="35" t="str">
        <f t="shared" si="142"/>
        <v>-</v>
      </c>
      <c r="Q1467" s="32" t="str">
        <f t="shared" si="139"/>
        <v>-</v>
      </c>
      <c r="S1467" s="32" t="str">
        <f t="shared" si="140"/>
        <v>-</v>
      </c>
    </row>
    <row r="1468" spans="1:19" x14ac:dyDescent="0.3">
      <c r="A1468" s="45" t="s">
        <v>3760</v>
      </c>
      <c r="B1468" s="40" t="s">
        <v>292</v>
      </c>
      <c r="C1468" s="41" t="s">
        <v>2154</v>
      </c>
      <c r="D1468" s="21" t="s">
        <v>2224</v>
      </c>
      <c r="E1468" s="21" t="s">
        <v>2238</v>
      </c>
      <c r="F1468" s="24">
        <v>5.0624688428416671E-2</v>
      </c>
      <c r="G1468" s="21">
        <v>12</v>
      </c>
      <c r="H1468" s="17">
        <v>5.7</v>
      </c>
      <c r="I1468" s="43" t="s">
        <v>3950</v>
      </c>
      <c r="J1468" s="26"/>
      <c r="K1468" s="17">
        <f t="shared" si="138"/>
        <v>0</v>
      </c>
      <c r="N1468" s="31" t="str">
        <f t="shared" si="141"/>
        <v>-</v>
      </c>
      <c r="O1468" s="31" t="str">
        <f t="shared" si="137"/>
        <v>-</v>
      </c>
      <c r="P1468" s="35" t="str">
        <f t="shared" si="142"/>
        <v>-</v>
      </c>
      <c r="Q1468" s="32" t="str">
        <f t="shared" si="139"/>
        <v>-</v>
      </c>
      <c r="S1468" s="32" t="str">
        <f t="shared" si="140"/>
        <v>-</v>
      </c>
    </row>
    <row r="1469" spans="1:19" x14ac:dyDescent="0.3">
      <c r="A1469" s="45" t="s">
        <v>3761</v>
      </c>
      <c r="B1469" s="40" t="s">
        <v>1457</v>
      </c>
      <c r="C1469" s="41" t="s">
        <v>2155</v>
      </c>
      <c r="D1469" s="21" t="s">
        <v>2224</v>
      </c>
      <c r="E1469" s="21" t="s">
        <v>2244</v>
      </c>
      <c r="F1469" s="24">
        <v>5.0624688428416671E-2</v>
      </c>
      <c r="G1469" s="21">
        <v>12</v>
      </c>
      <c r="H1469" s="17">
        <v>5.7</v>
      </c>
      <c r="I1469" s="43" t="s">
        <v>3950</v>
      </c>
      <c r="J1469" s="26"/>
      <c r="K1469" s="17">
        <f t="shared" si="138"/>
        <v>0</v>
      </c>
      <c r="N1469" s="31" t="str">
        <f t="shared" si="141"/>
        <v>-</v>
      </c>
      <c r="O1469" s="31" t="str">
        <f t="shared" ref="O1469:O1532" si="143">IFERROR(IF(N1469&gt;0,H1469+N1469,"-"),"-")</f>
        <v>-</v>
      </c>
      <c r="P1469" s="35" t="str">
        <f t="shared" si="142"/>
        <v>-</v>
      </c>
      <c r="Q1469" s="32" t="str">
        <f t="shared" si="139"/>
        <v>-</v>
      </c>
      <c r="S1469" s="32" t="str">
        <f t="shared" si="140"/>
        <v>-</v>
      </c>
    </row>
    <row r="1470" spans="1:19" x14ac:dyDescent="0.3">
      <c r="A1470" s="45" t="s">
        <v>3762</v>
      </c>
      <c r="B1470" s="40" t="s">
        <v>1270</v>
      </c>
      <c r="C1470" s="41" t="s">
        <v>2156</v>
      </c>
      <c r="D1470" s="21" t="s">
        <v>2224</v>
      </c>
      <c r="E1470" s="21" t="s">
        <v>2222</v>
      </c>
      <c r="F1470" s="24">
        <v>0.12664752562770001</v>
      </c>
      <c r="G1470" s="21">
        <v>12</v>
      </c>
      <c r="H1470" s="17">
        <v>6.59</v>
      </c>
      <c r="I1470" s="43" t="s">
        <v>3950</v>
      </c>
      <c r="J1470" s="26"/>
      <c r="K1470" s="17">
        <f t="shared" si="138"/>
        <v>0</v>
      </c>
      <c r="N1470" s="31" t="str">
        <f t="shared" si="141"/>
        <v>-</v>
      </c>
      <c r="O1470" s="31" t="str">
        <f t="shared" si="143"/>
        <v>-</v>
      </c>
      <c r="P1470" s="35" t="str">
        <f t="shared" si="142"/>
        <v>-</v>
      </c>
      <c r="Q1470" s="32" t="str">
        <f t="shared" si="139"/>
        <v>-</v>
      </c>
      <c r="S1470" s="32" t="str">
        <f t="shared" si="140"/>
        <v>-</v>
      </c>
    </row>
    <row r="1471" spans="1:19" x14ac:dyDescent="0.3">
      <c r="A1471" s="45" t="s">
        <v>3763</v>
      </c>
      <c r="B1471" s="40" t="s">
        <v>321</v>
      </c>
      <c r="C1471" s="41" t="s">
        <v>2157</v>
      </c>
      <c r="D1471" s="21" t="s">
        <v>2223</v>
      </c>
      <c r="E1471" s="21" t="s">
        <v>2222</v>
      </c>
      <c r="F1471" s="24">
        <v>6.0921235227416673E-2</v>
      </c>
      <c r="G1471" s="21">
        <v>12</v>
      </c>
      <c r="H1471" s="17">
        <v>5.99</v>
      </c>
      <c r="I1471" s="43" t="s">
        <v>3950</v>
      </c>
      <c r="J1471" s="26"/>
      <c r="K1471" s="17">
        <f t="shared" si="138"/>
        <v>0</v>
      </c>
      <c r="N1471" s="31" t="str">
        <f t="shared" si="141"/>
        <v>-</v>
      </c>
      <c r="O1471" s="31" t="str">
        <f t="shared" si="143"/>
        <v>-</v>
      </c>
      <c r="P1471" s="35" t="str">
        <f t="shared" si="142"/>
        <v>-</v>
      </c>
      <c r="Q1471" s="32" t="str">
        <f t="shared" si="139"/>
        <v>-</v>
      </c>
      <c r="S1471" s="32" t="str">
        <f t="shared" si="140"/>
        <v>-</v>
      </c>
    </row>
    <row r="1472" spans="1:19" x14ac:dyDescent="0.3">
      <c r="A1472" s="45" t="s">
        <v>3764</v>
      </c>
      <c r="B1472" s="40" t="s">
        <v>1228</v>
      </c>
      <c r="C1472" s="41" t="s">
        <v>2157</v>
      </c>
      <c r="D1472" s="21" t="s">
        <v>2224</v>
      </c>
      <c r="E1472" s="21" t="s">
        <v>2222</v>
      </c>
      <c r="F1472" s="24">
        <v>0.10425253633987501</v>
      </c>
      <c r="G1472" s="21">
        <v>12</v>
      </c>
      <c r="H1472" s="17">
        <v>10.65</v>
      </c>
      <c r="I1472" s="43" t="s">
        <v>3950</v>
      </c>
      <c r="J1472" s="26"/>
      <c r="K1472" s="17">
        <f t="shared" si="138"/>
        <v>0</v>
      </c>
      <c r="N1472" s="31" t="str">
        <f t="shared" si="141"/>
        <v>-</v>
      </c>
      <c r="O1472" s="31" t="str">
        <f t="shared" si="143"/>
        <v>-</v>
      </c>
      <c r="P1472" s="35" t="str">
        <f t="shared" si="142"/>
        <v>-</v>
      </c>
      <c r="Q1472" s="32" t="str">
        <f t="shared" si="139"/>
        <v>-</v>
      </c>
      <c r="S1472" s="32" t="str">
        <f t="shared" si="140"/>
        <v>-</v>
      </c>
    </row>
    <row r="1473" spans="1:19" x14ac:dyDescent="0.3">
      <c r="A1473" s="45" t="s">
        <v>3765</v>
      </c>
      <c r="B1473" s="40" t="s">
        <v>343</v>
      </c>
      <c r="C1473" s="41" t="s">
        <v>2157</v>
      </c>
      <c r="D1473" s="21" t="s">
        <v>2227</v>
      </c>
      <c r="E1473" s="21" t="s">
        <v>2222</v>
      </c>
      <c r="F1473" s="24">
        <v>0.1091433960694</v>
      </c>
      <c r="G1473" s="21">
        <v>12</v>
      </c>
      <c r="H1473" s="17">
        <v>19.95</v>
      </c>
      <c r="I1473" s="43" t="s">
        <v>3950</v>
      </c>
      <c r="J1473" s="26"/>
      <c r="K1473" s="17">
        <f t="shared" si="138"/>
        <v>0</v>
      </c>
      <c r="N1473" s="31" t="str">
        <f t="shared" si="141"/>
        <v>-</v>
      </c>
      <c r="O1473" s="31" t="str">
        <f t="shared" si="143"/>
        <v>-</v>
      </c>
      <c r="P1473" s="35" t="str">
        <f t="shared" si="142"/>
        <v>-</v>
      </c>
      <c r="Q1473" s="32" t="str">
        <f t="shared" si="139"/>
        <v>-</v>
      </c>
      <c r="S1473" s="32" t="str">
        <f t="shared" si="140"/>
        <v>-</v>
      </c>
    </row>
    <row r="1474" spans="1:19" x14ac:dyDescent="0.3">
      <c r="A1474" s="45" t="s">
        <v>3766</v>
      </c>
      <c r="B1474" s="40" t="s">
        <v>122</v>
      </c>
      <c r="C1474" s="41" t="s">
        <v>2012</v>
      </c>
      <c r="D1474" s="21" t="s">
        <v>2227</v>
      </c>
      <c r="E1474" s="21" t="s">
        <v>2234</v>
      </c>
      <c r="F1474" s="24">
        <v>8.2372374392000014E-2</v>
      </c>
      <c r="G1474" s="21">
        <v>12</v>
      </c>
      <c r="H1474" s="17">
        <v>27.59</v>
      </c>
      <c r="I1474" s="43" t="s">
        <v>3950</v>
      </c>
      <c r="J1474" s="26"/>
      <c r="K1474" s="17">
        <f t="shared" si="138"/>
        <v>0</v>
      </c>
      <c r="N1474" s="31" t="str">
        <f t="shared" si="141"/>
        <v>-</v>
      </c>
      <c r="O1474" s="31" t="str">
        <f t="shared" si="143"/>
        <v>-</v>
      </c>
      <c r="P1474" s="35" t="str">
        <f t="shared" si="142"/>
        <v>-</v>
      </c>
      <c r="Q1474" s="32" t="str">
        <f t="shared" si="139"/>
        <v>-</v>
      </c>
      <c r="S1474" s="32" t="str">
        <f t="shared" si="140"/>
        <v>-</v>
      </c>
    </row>
    <row r="1475" spans="1:19" x14ac:dyDescent="0.3">
      <c r="A1475" s="45" t="s">
        <v>3770</v>
      </c>
      <c r="B1475" s="40" t="s">
        <v>1324</v>
      </c>
      <c r="C1475" s="41" t="s">
        <v>2159</v>
      </c>
      <c r="D1475" s="21" t="s">
        <v>2223</v>
      </c>
      <c r="E1475" s="21" t="s">
        <v>2232</v>
      </c>
      <c r="F1475" s="24">
        <v>6.1779280794000004E-2</v>
      </c>
      <c r="G1475" s="21">
        <v>12</v>
      </c>
      <c r="H1475" s="17">
        <v>13.19</v>
      </c>
      <c r="I1475" s="43" t="s">
        <v>3950</v>
      </c>
      <c r="J1475" s="26"/>
      <c r="K1475" s="17">
        <f t="shared" si="138"/>
        <v>0</v>
      </c>
      <c r="N1475" s="31" t="str">
        <f t="shared" si="141"/>
        <v>-</v>
      </c>
      <c r="O1475" s="31" t="str">
        <f t="shared" si="143"/>
        <v>-</v>
      </c>
      <c r="P1475" s="35" t="str">
        <f t="shared" si="142"/>
        <v>-</v>
      </c>
      <c r="Q1475" s="32" t="str">
        <f t="shared" si="139"/>
        <v>-</v>
      </c>
      <c r="S1475" s="32" t="str">
        <f t="shared" si="140"/>
        <v>-</v>
      </c>
    </row>
    <row r="1476" spans="1:19" x14ac:dyDescent="0.3">
      <c r="A1476" s="45" t="s">
        <v>3771</v>
      </c>
      <c r="B1476" s="40" t="s">
        <v>651</v>
      </c>
      <c r="C1476" s="41" t="s">
        <v>2160</v>
      </c>
      <c r="D1476" s="21" t="s">
        <v>2226</v>
      </c>
      <c r="E1476" s="21" t="s">
        <v>2222</v>
      </c>
      <c r="F1476" s="24">
        <v>6.1779280794000004E-2</v>
      </c>
      <c r="G1476" s="21">
        <v>12</v>
      </c>
      <c r="H1476" s="17">
        <v>11.1</v>
      </c>
      <c r="I1476" s="43" t="s">
        <v>3950</v>
      </c>
      <c r="J1476" s="26"/>
      <c r="K1476" s="17">
        <f t="shared" si="138"/>
        <v>0</v>
      </c>
      <c r="N1476" s="31" t="str">
        <f t="shared" si="141"/>
        <v>-</v>
      </c>
      <c r="O1476" s="31" t="str">
        <f t="shared" si="143"/>
        <v>-</v>
      </c>
      <c r="P1476" s="35" t="str">
        <f t="shared" si="142"/>
        <v>-</v>
      </c>
      <c r="Q1476" s="32" t="str">
        <f t="shared" si="139"/>
        <v>-</v>
      </c>
      <c r="S1476" s="32" t="str">
        <f t="shared" si="140"/>
        <v>-</v>
      </c>
    </row>
    <row r="1477" spans="1:19" x14ac:dyDescent="0.3">
      <c r="A1477" s="45" t="s">
        <v>3772</v>
      </c>
      <c r="B1477" s="40" t="s">
        <v>1174</v>
      </c>
      <c r="C1477" s="41" t="s">
        <v>2161</v>
      </c>
      <c r="D1477" s="21" t="s">
        <v>2224</v>
      </c>
      <c r="E1477" s="21" t="s">
        <v>2222</v>
      </c>
      <c r="F1477" s="24">
        <v>0.17066526319342501</v>
      </c>
      <c r="G1477" s="21">
        <v>12</v>
      </c>
      <c r="H1477" s="17">
        <v>13.35</v>
      </c>
      <c r="I1477" s="43" t="s">
        <v>3950</v>
      </c>
      <c r="J1477" s="26"/>
      <c r="K1477" s="17">
        <f t="shared" si="138"/>
        <v>0</v>
      </c>
      <c r="N1477" s="31" t="str">
        <f t="shared" si="141"/>
        <v>-</v>
      </c>
      <c r="O1477" s="31" t="str">
        <f t="shared" si="143"/>
        <v>-</v>
      </c>
      <c r="P1477" s="35" t="str">
        <f t="shared" si="142"/>
        <v>-</v>
      </c>
      <c r="Q1477" s="32" t="str">
        <f t="shared" si="139"/>
        <v>-</v>
      </c>
      <c r="S1477" s="32" t="str">
        <f t="shared" si="140"/>
        <v>-</v>
      </c>
    </row>
    <row r="1478" spans="1:19" x14ac:dyDescent="0.3">
      <c r="A1478" s="45" t="s">
        <v>3773</v>
      </c>
      <c r="B1478" s="40" t="s">
        <v>1185</v>
      </c>
      <c r="C1478" s="41" t="s">
        <v>2162</v>
      </c>
      <c r="D1478" s="21" t="s">
        <v>2224</v>
      </c>
      <c r="E1478" s="21" t="s">
        <v>2222</v>
      </c>
      <c r="F1478" s="24">
        <v>0.19747918714915416</v>
      </c>
      <c r="G1478" s="21">
        <v>12</v>
      </c>
      <c r="H1478" s="17">
        <v>16.5</v>
      </c>
      <c r="I1478" s="43" t="s">
        <v>3950</v>
      </c>
      <c r="J1478" s="26"/>
      <c r="K1478" s="17">
        <f t="shared" si="138"/>
        <v>0</v>
      </c>
      <c r="N1478" s="31" t="str">
        <f t="shared" si="141"/>
        <v>-</v>
      </c>
      <c r="O1478" s="31" t="str">
        <f t="shared" si="143"/>
        <v>-</v>
      </c>
      <c r="P1478" s="35" t="str">
        <f t="shared" si="142"/>
        <v>-</v>
      </c>
      <c r="Q1478" s="32" t="str">
        <f t="shared" si="139"/>
        <v>-</v>
      </c>
      <c r="S1478" s="32" t="str">
        <f t="shared" si="140"/>
        <v>-</v>
      </c>
    </row>
    <row r="1479" spans="1:19" x14ac:dyDescent="0.3">
      <c r="A1479" s="45" t="s">
        <v>3775</v>
      </c>
      <c r="B1479" s="40" t="s">
        <v>1450</v>
      </c>
      <c r="C1479" s="41" t="s">
        <v>2163</v>
      </c>
      <c r="D1479" s="21" t="s">
        <v>2227</v>
      </c>
      <c r="E1479" s="21" t="s">
        <v>2234</v>
      </c>
      <c r="F1479" s="24">
        <v>0.13385510838700002</v>
      </c>
      <c r="G1479" s="21">
        <v>12</v>
      </c>
      <c r="H1479" s="17">
        <v>26.1</v>
      </c>
      <c r="I1479" s="43" t="s">
        <v>3950</v>
      </c>
      <c r="J1479" s="26"/>
      <c r="K1479" s="17">
        <f t="shared" si="138"/>
        <v>0</v>
      </c>
      <c r="N1479" s="31" t="str">
        <f t="shared" si="141"/>
        <v>-</v>
      </c>
      <c r="O1479" s="31" t="str">
        <f t="shared" si="143"/>
        <v>-</v>
      </c>
      <c r="P1479" s="35" t="str">
        <f t="shared" si="142"/>
        <v>-</v>
      </c>
      <c r="Q1479" s="32" t="str">
        <f t="shared" si="139"/>
        <v>-</v>
      </c>
      <c r="S1479" s="32" t="str">
        <f t="shared" si="140"/>
        <v>-</v>
      </c>
    </row>
    <row r="1480" spans="1:19" x14ac:dyDescent="0.3">
      <c r="A1480" s="45" t="s">
        <v>3776</v>
      </c>
      <c r="B1480" s="40" t="s">
        <v>1239</v>
      </c>
      <c r="C1480" s="41" t="s">
        <v>2164</v>
      </c>
      <c r="D1480" s="21" t="s">
        <v>2224</v>
      </c>
      <c r="E1480" s="21" t="s">
        <v>2277</v>
      </c>
      <c r="F1480" s="24">
        <v>3.1198536800970005</v>
      </c>
      <c r="G1480" s="21">
        <v>12</v>
      </c>
      <c r="H1480" s="17">
        <v>5.39</v>
      </c>
      <c r="I1480" s="43" t="s">
        <v>3950</v>
      </c>
      <c r="J1480" s="26"/>
      <c r="K1480" s="17">
        <f t="shared" si="138"/>
        <v>0</v>
      </c>
      <c r="N1480" s="31" t="str">
        <f t="shared" si="141"/>
        <v>-</v>
      </c>
      <c r="O1480" s="31" t="str">
        <f t="shared" si="143"/>
        <v>-</v>
      </c>
      <c r="P1480" s="35" t="str">
        <f t="shared" si="142"/>
        <v>-</v>
      </c>
      <c r="Q1480" s="32" t="str">
        <f t="shared" si="139"/>
        <v>-</v>
      </c>
      <c r="S1480" s="32" t="str">
        <f t="shared" si="140"/>
        <v>-</v>
      </c>
    </row>
    <row r="1481" spans="1:19" x14ac:dyDescent="0.3">
      <c r="A1481" s="45" t="s">
        <v>3777</v>
      </c>
      <c r="B1481" s="40" t="s">
        <v>439</v>
      </c>
      <c r="C1481" s="41" t="s">
        <v>2164</v>
      </c>
      <c r="D1481" s="21" t="s">
        <v>2227</v>
      </c>
      <c r="E1481" s="21" t="s">
        <v>2277</v>
      </c>
      <c r="F1481" s="24">
        <v>5.5172329931308335E-2</v>
      </c>
      <c r="G1481" s="21">
        <v>12</v>
      </c>
      <c r="H1481" s="17">
        <v>9.9</v>
      </c>
      <c r="I1481" s="43" t="s">
        <v>3950</v>
      </c>
      <c r="J1481" s="26"/>
      <c r="K1481" s="17">
        <f t="shared" si="138"/>
        <v>0</v>
      </c>
      <c r="N1481" s="31" t="str">
        <f t="shared" si="141"/>
        <v>-</v>
      </c>
      <c r="O1481" s="31" t="str">
        <f t="shared" si="143"/>
        <v>-</v>
      </c>
      <c r="P1481" s="35" t="str">
        <f t="shared" si="142"/>
        <v>-</v>
      </c>
      <c r="Q1481" s="32" t="str">
        <f t="shared" si="139"/>
        <v>-</v>
      </c>
      <c r="S1481" s="32" t="str">
        <f t="shared" si="140"/>
        <v>-</v>
      </c>
    </row>
    <row r="1482" spans="1:19" x14ac:dyDescent="0.3">
      <c r="A1482" s="45" t="s">
        <v>3779</v>
      </c>
      <c r="B1482" s="40" t="s">
        <v>1099</v>
      </c>
      <c r="C1482" s="41" t="s">
        <v>2165</v>
      </c>
      <c r="D1482" s="21" t="s">
        <v>2227</v>
      </c>
      <c r="E1482" s="21" t="s">
        <v>2222</v>
      </c>
      <c r="F1482" s="24">
        <v>0.19220220691466666</v>
      </c>
      <c r="G1482" s="21">
        <v>12</v>
      </c>
      <c r="H1482" s="17">
        <v>28.79</v>
      </c>
      <c r="I1482" s="43" t="s">
        <v>3950</v>
      </c>
      <c r="J1482" s="26"/>
      <c r="K1482" s="17">
        <f t="shared" si="138"/>
        <v>0</v>
      </c>
      <c r="N1482" s="31" t="str">
        <f t="shared" si="141"/>
        <v>-</v>
      </c>
      <c r="O1482" s="31" t="str">
        <f t="shared" si="143"/>
        <v>-</v>
      </c>
      <c r="P1482" s="35" t="str">
        <f t="shared" si="142"/>
        <v>-</v>
      </c>
      <c r="Q1482" s="32" t="str">
        <f t="shared" si="139"/>
        <v>-</v>
      </c>
      <c r="S1482" s="32" t="str">
        <f t="shared" si="140"/>
        <v>-</v>
      </c>
    </row>
    <row r="1483" spans="1:19" x14ac:dyDescent="0.3">
      <c r="A1483" s="45" t="s">
        <v>3780</v>
      </c>
      <c r="B1483" s="40" t="s">
        <v>1449</v>
      </c>
      <c r="C1483" s="41" t="s">
        <v>2166</v>
      </c>
      <c r="D1483" s="21" t="s">
        <v>2223</v>
      </c>
      <c r="E1483" s="21" t="s">
        <v>2222</v>
      </c>
      <c r="F1483" s="24">
        <v>7.9455019465616672E-2</v>
      </c>
      <c r="G1483" s="21">
        <v>12</v>
      </c>
      <c r="H1483" s="17">
        <v>11.7</v>
      </c>
      <c r="I1483" s="43" t="s">
        <v>3950</v>
      </c>
      <c r="J1483" s="26"/>
      <c r="K1483" s="17">
        <f t="shared" si="138"/>
        <v>0</v>
      </c>
      <c r="N1483" s="31" t="str">
        <f t="shared" si="141"/>
        <v>-</v>
      </c>
      <c r="O1483" s="31" t="str">
        <f t="shared" si="143"/>
        <v>-</v>
      </c>
      <c r="P1483" s="35" t="str">
        <f t="shared" si="142"/>
        <v>-</v>
      </c>
      <c r="Q1483" s="32" t="str">
        <f t="shared" si="139"/>
        <v>-</v>
      </c>
      <c r="S1483" s="32" t="str">
        <f t="shared" si="140"/>
        <v>-</v>
      </c>
    </row>
    <row r="1484" spans="1:19" x14ac:dyDescent="0.3">
      <c r="A1484" s="45" t="s">
        <v>3781</v>
      </c>
      <c r="B1484" s="40" t="s">
        <v>502</v>
      </c>
      <c r="C1484" s="41" t="s">
        <v>2166</v>
      </c>
      <c r="D1484" s="21" t="s">
        <v>2224</v>
      </c>
      <c r="E1484" s="21" t="s">
        <v>2222</v>
      </c>
      <c r="F1484" s="24">
        <v>0.13896047950817084</v>
      </c>
      <c r="G1484" s="21">
        <v>12</v>
      </c>
      <c r="H1484" s="17">
        <v>22.19</v>
      </c>
      <c r="I1484" s="43" t="s">
        <v>3950</v>
      </c>
      <c r="J1484" s="26"/>
      <c r="K1484" s="17">
        <f t="shared" si="138"/>
        <v>0</v>
      </c>
      <c r="N1484" s="31" t="str">
        <f t="shared" si="141"/>
        <v>-</v>
      </c>
      <c r="O1484" s="31" t="str">
        <f t="shared" si="143"/>
        <v>-</v>
      </c>
      <c r="P1484" s="35" t="str">
        <f t="shared" si="142"/>
        <v>-</v>
      </c>
      <c r="Q1484" s="32" t="str">
        <f t="shared" si="139"/>
        <v>-</v>
      </c>
      <c r="S1484" s="32" t="str">
        <f t="shared" si="140"/>
        <v>-</v>
      </c>
    </row>
    <row r="1485" spans="1:19" x14ac:dyDescent="0.3">
      <c r="A1485" s="45" t="s">
        <v>3782</v>
      </c>
      <c r="B1485" s="40" t="s">
        <v>896</v>
      </c>
      <c r="C1485" s="41" t="s">
        <v>2166</v>
      </c>
      <c r="D1485" s="21" t="s">
        <v>2225</v>
      </c>
      <c r="E1485" s="21" t="s">
        <v>2222</v>
      </c>
      <c r="F1485" s="24">
        <v>0.19383249349117501</v>
      </c>
      <c r="G1485" s="21">
        <v>12</v>
      </c>
      <c r="H1485" s="17">
        <v>32.85</v>
      </c>
      <c r="I1485" s="43" t="s">
        <v>3950</v>
      </c>
      <c r="J1485" s="26"/>
      <c r="K1485" s="17">
        <f t="shared" si="138"/>
        <v>0</v>
      </c>
      <c r="N1485" s="31" t="str">
        <f t="shared" si="141"/>
        <v>-</v>
      </c>
      <c r="O1485" s="31" t="str">
        <f t="shared" si="143"/>
        <v>-</v>
      </c>
      <c r="P1485" s="35" t="str">
        <f t="shared" si="142"/>
        <v>-</v>
      </c>
      <c r="Q1485" s="32" t="str">
        <f t="shared" si="139"/>
        <v>-</v>
      </c>
      <c r="S1485" s="32" t="str">
        <f t="shared" si="140"/>
        <v>-</v>
      </c>
    </row>
    <row r="1486" spans="1:19" x14ac:dyDescent="0.3">
      <c r="A1486" s="45" t="s">
        <v>3783</v>
      </c>
      <c r="B1486" s="40" t="s">
        <v>1451</v>
      </c>
      <c r="C1486" s="41" t="s">
        <v>2167</v>
      </c>
      <c r="D1486" s="21" t="s">
        <v>2230</v>
      </c>
      <c r="E1486" s="21" t="s">
        <v>2229</v>
      </c>
      <c r="F1486" s="24">
        <v>0.17607095026290001</v>
      </c>
      <c r="G1486" s="21">
        <v>12</v>
      </c>
      <c r="H1486" s="17">
        <v>8.1</v>
      </c>
      <c r="I1486" s="43" t="s">
        <v>3950</v>
      </c>
      <c r="J1486" s="26"/>
      <c r="K1486" s="17">
        <f t="shared" si="138"/>
        <v>0</v>
      </c>
      <c r="N1486" s="31" t="str">
        <f t="shared" si="141"/>
        <v>-</v>
      </c>
      <c r="O1486" s="31" t="str">
        <f t="shared" si="143"/>
        <v>-</v>
      </c>
      <c r="P1486" s="35" t="str">
        <f t="shared" si="142"/>
        <v>-</v>
      </c>
      <c r="Q1486" s="32" t="str">
        <f t="shared" si="139"/>
        <v>-</v>
      </c>
      <c r="S1486" s="32" t="str">
        <f t="shared" si="140"/>
        <v>-</v>
      </c>
    </row>
    <row r="1487" spans="1:19" x14ac:dyDescent="0.3">
      <c r="A1487" s="45" t="s">
        <v>3784</v>
      </c>
      <c r="B1487" s="40" t="s">
        <v>468</v>
      </c>
      <c r="C1487" s="41" t="s">
        <v>2168</v>
      </c>
      <c r="D1487" s="21" t="s">
        <v>2223</v>
      </c>
      <c r="E1487" s="21" t="s">
        <v>2222</v>
      </c>
      <c r="F1487" s="24">
        <v>7.6344604286752091E-2</v>
      </c>
      <c r="G1487" s="21">
        <v>12</v>
      </c>
      <c r="H1487" s="17">
        <v>10.95</v>
      </c>
      <c r="I1487" s="43" t="s">
        <v>3950</v>
      </c>
      <c r="J1487" s="26"/>
      <c r="K1487" s="17">
        <f t="shared" si="138"/>
        <v>0</v>
      </c>
      <c r="N1487" s="31" t="str">
        <f t="shared" si="141"/>
        <v>-</v>
      </c>
      <c r="O1487" s="31" t="str">
        <f t="shared" si="143"/>
        <v>-</v>
      </c>
      <c r="P1487" s="35" t="str">
        <f t="shared" si="142"/>
        <v>-</v>
      </c>
      <c r="Q1487" s="32" t="str">
        <f t="shared" si="139"/>
        <v>-</v>
      </c>
      <c r="S1487" s="32" t="str">
        <f t="shared" si="140"/>
        <v>-</v>
      </c>
    </row>
    <row r="1488" spans="1:19" x14ac:dyDescent="0.3">
      <c r="A1488" s="45" t="s">
        <v>3785</v>
      </c>
      <c r="B1488" s="40" t="s">
        <v>898</v>
      </c>
      <c r="C1488" s="41" t="s">
        <v>2168</v>
      </c>
      <c r="D1488" s="21" t="s">
        <v>2224</v>
      </c>
      <c r="E1488" s="21" t="s">
        <v>2222</v>
      </c>
      <c r="F1488" s="24">
        <v>0.13299706282041668</v>
      </c>
      <c r="G1488" s="21">
        <v>12</v>
      </c>
      <c r="H1488" s="17">
        <v>20.99</v>
      </c>
      <c r="I1488" s="43" t="s">
        <v>3950</v>
      </c>
      <c r="J1488" s="26"/>
      <c r="K1488" s="17">
        <f t="shared" si="138"/>
        <v>0</v>
      </c>
      <c r="N1488" s="31" t="str">
        <f t="shared" si="141"/>
        <v>-</v>
      </c>
      <c r="O1488" s="31" t="str">
        <f t="shared" si="143"/>
        <v>-</v>
      </c>
      <c r="P1488" s="35" t="str">
        <f t="shared" si="142"/>
        <v>-</v>
      </c>
      <c r="Q1488" s="32" t="str">
        <f t="shared" si="139"/>
        <v>-</v>
      </c>
      <c r="S1488" s="32" t="str">
        <f t="shared" si="140"/>
        <v>-</v>
      </c>
    </row>
    <row r="1489" spans="1:19" x14ac:dyDescent="0.3">
      <c r="A1489" s="45" t="s">
        <v>3786</v>
      </c>
      <c r="B1489" s="40" t="s">
        <v>1292</v>
      </c>
      <c r="C1489" s="41" t="s">
        <v>2168</v>
      </c>
      <c r="D1489" s="21" t="s">
        <v>2225</v>
      </c>
      <c r="E1489" s="21" t="s">
        <v>2222</v>
      </c>
      <c r="F1489" s="24">
        <v>0.19177318413137498</v>
      </c>
      <c r="G1489" s="21">
        <v>12</v>
      </c>
      <c r="H1489" s="17">
        <v>31.05</v>
      </c>
      <c r="I1489" s="43" t="s">
        <v>3950</v>
      </c>
      <c r="J1489" s="26"/>
      <c r="K1489" s="17">
        <f t="shared" si="138"/>
        <v>0</v>
      </c>
      <c r="N1489" s="31" t="str">
        <f t="shared" si="141"/>
        <v>-</v>
      </c>
      <c r="O1489" s="31" t="str">
        <f t="shared" si="143"/>
        <v>-</v>
      </c>
      <c r="P1489" s="35" t="str">
        <f t="shared" si="142"/>
        <v>-</v>
      </c>
      <c r="Q1489" s="32" t="str">
        <f t="shared" si="139"/>
        <v>-</v>
      </c>
      <c r="S1489" s="32" t="str">
        <f t="shared" si="140"/>
        <v>-</v>
      </c>
    </row>
    <row r="1490" spans="1:19" x14ac:dyDescent="0.3">
      <c r="A1490" s="45" t="s">
        <v>3787</v>
      </c>
      <c r="B1490" s="40" t="s">
        <v>944</v>
      </c>
      <c r="C1490" s="41" t="s">
        <v>2169</v>
      </c>
      <c r="D1490" s="21" t="s">
        <v>2227</v>
      </c>
      <c r="E1490" s="21" t="s">
        <v>2222</v>
      </c>
      <c r="F1490" s="24">
        <v>0.20020348182305628</v>
      </c>
      <c r="G1490" s="21">
        <v>12</v>
      </c>
      <c r="H1490" s="17">
        <v>10.79</v>
      </c>
      <c r="I1490" s="43" t="s">
        <v>3950</v>
      </c>
      <c r="J1490" s="26"/>
      <c r="K1490" s="17">
        <f t="shared" si="138"/>
        <v>0</v>
      </c>
      <c r="N1490" s="31" t="str">
        <f t="shared" si="141"/>
        <v>-</v>
      </c>
      <c r="O1490" s="31" t="str">
        <f t="shared" si="143"/>
        <v>-</v>
      </c>
      <c r="P1490" s="35" t="str">
        <f t="shared" si="142"/>
        <v>-</v>
      </c>
      <c r="Q1490" s="32" t="str">
        <f t="shared" si="139"/>
        <v>-</v>
      </c>
      <c r="S1490" s="32" t="str">
        <f t="shared" si="140"/>
        <v>-</v>
      </c>
    </row>
    <row r="1491" spans="1:19" x14ac:dyDescent="0.3">
      <c r="A1491" s="45" t="s">
        <v>3788</v>
      </c>
      <c r="B1491" s="40" t="s">
        <v>1597</v>
      </c>
      <c r="C1491" s="41" t="s">
        <v>1868</v>
      </c>
      <c r="D1491" s="21" t="s">
        <v>2226</v>
      </c>
      <c r="E1491" s="21" t="s">
        <v>2222</v>
      </c>
      <c r="F1491" s="24">
        <v>0.40362463452079994</v>
      </c>
      <c r="G1491" s="21">
        <v>12</v>
      </c>
      <c r="H1491" s="17">
        <v>38.25</v>
      </c>
      <c r="I1491" s="43" t="s">
        <v>3950</v>
      </c>
      <c r="J1491" s="26"/>
      <c r="K1491" s="17">
        <f t="shared" si="138"/>
        <v>0</v>
      </c>
      <c r="N1491" s="31" t="str">
        <f t="shared" si="141"/>
        <v>-</v>
      </c>
      <c r="O1491" s="31" t="str">
        <f t="shared" si="143"/>
        <v>-</v>
      </c>
      <c r="P1491" s="35" t="str">
        <f t="shared" si="142"/>
        <v>-</v>
      </c>
      <c r="Q1491" s="32" t="str">
        <f t="shared" si="139"/>
        <v>-</v>
      </c>
      <c r="S1491" s="32" t="str">
        <f t="shared" si="140"/>
        <v>-</v>
      </c>
    </row>
    <row r="1492" spans="1:19" x14ac:dyDescent="0.3">
      <c r="A1492" s="45" t="s">
        <v>3789</v>
      </c>
      <c r="B1492" s="40" t="s">
        <v>359</v>
      </c>
      <c r="C1492" s="41" t="s">
        <v>2170</v>
      </c>
      <c r="D1492" s="21" t="s">
        <v>2223</v>
      </c>
      <c r="E1492" s="21" t="s">
        <v>2222</v>
      </c>
      <c r="F1492" s="24">
        <v>8.9880273099604183E-2</v>
      </c>
      <c r="G1492" s="21">
        <v>12</v>
      </c>
      <c r="H1492" s="17">
        <v>11.85</v>
      </c>
      <c r="I1492" s="43" t="s">
        <v>3950</v>
      </c>
      <c r="J1492" s="26"/>
      <c r="K1492" s="17">
        <f t="shared" si="138"/>
        <v>0</v>
      </c>
      <c r="N1492" s="31" t="str">
        <f t="shared" si="141"/>
        <v>-</v>
      </c>
      <c r="O1492" s="31" t="str">
        <f t="shared" si="143"/>
        <v>-</v>
      </c>
      <c r="P1492" s="35" t="str">
        <f t="shared" si="142"/>
        <v>-</v>
      </c>
      <c r="Q1492" s="32" t="str">
        <f t="shared" si="139"/>
        <v>-</v>
      </c>
      <c r="S1492" s="32" t="str">
        <f t="shared" si="140"/>
        <v>-</v>
      </c>
    </row>
    <row r="1493" spans="1:19" x14ac:dyDescent="0.3">
      <c r="A1493" s="45" t="s">
        <v>3790</v>
      </c>
      <c r="B1493" s="40" t="s">
        <v>640</v>
      </c>
      <c r="C1493" s="41" t="s">
        <v>2170</v>
      </c>
      <c r="D1493" s="21" t="s">
        <v>2224</v>
      </c>
      <c r="E1493" s="21" t="s">
        <v>2222</v>
      </c>
      <c r="F1493" s="24">
        <v>0.15123053111031251</v>
      </c>
      <c r="G1493" s="21">
        <v>12</v>
      </c>
      <c r="H1493" s="17">
        <v>22.65</v>
      </c>
      <c r="I1493" s="43" t="s">
        <v>3950</v>
      </c>
      <c r="J1493" s="26"/>
      <c r="K1493" s="17">
        <f t="shared" si="138"/>
        <v>0</v>
      </c>
      <c r="N1493" s="31" t="str">
        <f t="shared" si="141"/>
        <v>-</v>
      </c>
      <c r="O1493" s="31" t="str">
        <f t="shared" si="143"/>
        <v>-</v>
      </c>
      <c r="P1493" s="35" t="str">
        <f t="shared" si="142"/>
        <v>-</v>
      </c>
      <c r="Q1493" s="32" t="str">
        <f t="shared" si="139"/>
        <v>-</v>
      </c>
      <c r="S1493" s="32" t="str">
        <f t="shared" si="140"/>
        <v>-</v>
      </c>
    </row>
    <row r="1494" spans="1:19" x14ac:dyDescent="0.3">
      <c r="A1494" s="45" t="s">
        <v>3791</v>
      </c>
      <c r="B1494" s="40" t="s">
        <v>1344</v>
      </c>
      <c r="C1494" s="41" t="s">
        <v>2170</v>
      </c>
      <c r="D1494" s="21" t="s">
        <v>2227</v>
      </c>
      <c r="E1494" s="21" t="s">
        <v>2222</v>
      </c>
      <c r="F1494" s="24">
        <v>0.26852536006225419</v>
      </c>
      <c r="G1494" s="21">
        <v>12</v>
      </c>
      <c r="H1494" s="17">
        <v>44.39</v>
      </c>
      <c r="I1494" s="43" t="s">
        <v>3950</v>
      </c>
      <c r="J1494" s="26"/>
      <c r="K1494" s="17">
        <f t="shared" si="138"/>
        <v>0</v>
      </c>
      <c r="N1494" s="31" t="str">
        <f t="shared" si="141"/>
        <v>-</v>
      </c>
      <c r="O1494" s="31" t="str">
        <f t="shared" si="143"/>
        <v>-</v>
      </c>
      <c r="P1494" s="35" t="str">
        <f t="shared" si="142"/>
        <v>-</v>
      </c>
      <c r="Q1494" s="32" t="str">
        <f t="shared" si="139"/>
        <v>-</v>
      </c>
      <c r="S1494" s="32" t="str">
        <f t="shared" si="140"/>
        <v>-</v>
      </c>
    </row>
    <row r="1495" spans="1:19" x14ac:dyDescent="0.3">
      <c r="A1495" s="45" t="s">
        <v>3792</v>
      </c>
      <c r="B1495" s="40" t="s">
        <v>652</v>
      </c>
      <c r="C1495" s="41" t="s">
        <v>1916</v>
      </c>
      <c r="D1495" s="21" t="s">
        <v>2225</v>
      </c>
      <c r="E1495" s="21" t="s">
        <v>2232</v>
      </c>
      <c r="F1495" s="24">
        <v>0.15625009767482501</v>
      </c>
      <c r="G1495" s="21">
        <v>12</v>
      </c>
      <c r="H1495" s="17">
        <v>25.19</v>
      </c>
      <c r="I1495" s="43" t="s">
        <v>3950</v>
      </c>
      <c r="J1495" s="26"/>
      <c r="K1495" s="17">
        <f t="shared" si="138"/>
        <v>0</v>
      </c>
      <c r="N1495" s="31" t="str">
        <f t="shared" si="141"/>
        <v>-</v>
      </c>
      <c r="O1495" s="31" t="str">
        <f t="shared" si="143"/>
        <v>-</v>
      </c>
      <c r="P1495" s="35" t="str">
        <f t="shared" si="142"/>
        <v>-</v>
      </c>
      <c r="Q1495" s="32" t="str">
        <f t="shared" si="139"/>
        <v>-</v>
      </c>
      <c r="S1495" s="32" t="str">
        <f t="shared" si="140"/>
        <v>-</v>
      </c>
    </row>
    <row r="1496" spans="1:19" x14ac:dyDescent="0.3">
      <c r="A1496" s="45" t="s">
        <v>3793</v>
      </c>
      <c r="B1496" s="40" t="s">
        <v>154</v>
      </c>
      <c r="C1496" s="41" t="s">
        <v>1918</v>
      </c>
      <c r="D1496" s="21" t="s">
        <v>2233</v>
      </c>
      <c r="E1496" s="21" t="s">
        <v>2222</v>
      </c>
      <c r="F1496" s="24">
        <v>0.48020520133836253</v>
      </c>
      <c r="G1496" s="21">
        <v>12</v>
      </c>
      <c r="H1496" s="17">
        <v>23.39</v>
      </c>
      <c r="I1496" s="43" t="s">
        <v>3950</v>
      </c>
      <c r="J1496" s="26"/>
      <c r="K1496" s="17">
        <f t="shared" si="138"/>
        <v>0</v>
      </c>
      <c r="N1496" s="31" t="str">
        <f t="shared" si="141"/>
        <v>-</v>
      </c>
      <c r="O1496" s="31" t="str">
        <f t="shared" si="143"/>
        <v>-</v>
      </c>
      <c r="P1496" s="35" t="str">
        <f t="shared" si="142"/>
        <v>-</v>
      </c>
      <c r="Q1496" s="32" t="str">
        <f t="shared" si="139"/>
        <v>-</v>
      </c>
      <c r="S1496" s="32" t="str">
        <f t="shared" si="140"/>
        <v>-</v>
      </c>
    </row>
    <row r="1497" spans="1:19" x14ac:dyDescent="0.3">
      <c r="A1497" s="45" t="s">
        <v>3794</v>
      </c>
      <c r="B1497" s="40" t="s">
        <v>1038</v>
      </c>
      <c r="C1497" s="41" t="s">
        <v>2171</v>
      </c>
      <c r="D1497" s="21" t="s">
        <v>2224</v>
      </c>
      <c r="E1497" s="21" t="s">
        <v>2222</v>
      </c>
      <c r="F1497" s="24">
        <v>0.13775921571495417</v>
      </c>
      <c r="G1497" s="21">
        <v>12</v>
      </c>
      <c r="H1497" s="17">
        <v>5.99</v>
      </c>
      <c r="I1497" s="43" t="s">
        <v>3950</v>
      </c>
      <c r="J1497" s="26"/>
      <c r="K1497" s="17">
        <f t="shared" si="138"/>
        <v>0</v>
      </c>
      <c r="N1497" s="31" t="str">
        <f t="shared" si="141"/>
        <v>-</v>
      </c>
      <c r="O1497" s="31" t="str">
        <f t="shared" si="143"/>
        <v>-</v>
      </c>
      <c r="P1497" s="35" t="str">
        <f t="shared" si="142"/>
        <v>-</v>
      </c>
      <c r="Q1497" s="32" t="str">
        <f t="shared" si="139"/>
        <v>-</v>
      </c>
      <c r="S1497" s="32" t="str">
        <f t="shared" si="140"/>
        <v>-</v>
      </c>
    </row>
    <row r="1498" spans="1:19" x14ac:dyDescent="0.3">
      <c r="A1498" s="45" t="s">
        <v>3795</v>
      </c>
      <c r="B1498" s="40" t="s">
        <v>469</v>
      </c>
      <c r="C1498" s="41" t="s">
        <v>2171</v>
      </c>
      <c r="D1498" s="21" t="s">
        <v>2227</v>
      </c>
      <c r="E1498" s="21" t="s">
        <v>2222</v>
      </c>
      <c r="F1498" s="24">
        <v>0.26286225932280416</v>
      </c>
      <c r="G1498" s="21">
        <v>12</v>
      </c>
      <c r="H1498" s="17">
        <v>11.1</v>
      </c>
      <c r="I1498" s="43" t="s">
        <v>3950</v>
      </c>
      <c r="J1498" s="26"/>
      <c r="K1498" s="17">
        <f t="shared" si="138"/>
        <v>0</v>
      </c>
      <c r="N1498" s="31" t="str">
        <f t="shared" si="141"/>
        <v>-</v>
      </c>
      <c r="O1498" s="31" t="str">
        <f t="shared" si="143"/>
        <v>-</v>
      </c>
      <c r="P1498" s="35" t="str">
        <f t="shared" si="142"/>
        <v>-</v>
      </c>
      <c r="Q1498" s="32" t="str">
        <f t="shared" si="139"/>
        <v>-</v>
      </c>
      <c r="S1498" s="32" t="str">
        <f t="shared" si="140"/>
        <v>-</v>
      </c>
    </row>
    <row r="1499" spans="1:19" x14ac:dyDescent="0.3">
      <c r="A1499" s="45" t="s">
        <v>3796</v>
      </c>
      <c r="B1499" s="40" t="s">
        <v>167</v>
      </c>
      <c r="C1499" s="41" t="s">
        <v>2171</v>
      </c>
      <c r="D1499" s="21" t="s">
        <v>2233</v>
      </c>
      <c r="E1499" s="21" t="s">
        <v>2222</v>
      </c>
      <c r="F1499" s="24">
        <v>0.49466326913529174</v>
      </c>
      <c r="G1499" s="21">
        <v>12</v>
      </c>
      <c r="H1499" s="17">
        <v>20.99</v>
      </c>
      <c r="I1499" s="43" t="s">
        <v>3950</v>
      </c>
      <c r="J1499" s="26"/>
      <c r="K1499" s="17">
        <f t="shared" si="138"/>
        <v>0</v>
      </c>
      <c r="N1499" s="31" t="str">
        <f t="shared" si="141"/>
        <v>-</v>
      </c>
      <c r="O1499" s="31" t="str">
        <f t="shared" si="143"/>
        <v>-</v>
      </c>
      <c r="P1499" s="35" t="str">
        <f t="shared" si="142"/>
        <v>-</v>
      </c>
      <c r="Q1499" s="32" t="str">
        <f t="shared" si="139"/>
        <v>-</v>
      </c>
      <c r="S1499" s="32" t="str">
        <f t="shared" si="140"/>
        <v>-</v>
      </c>
    </row>
    <row r="1500" spans="1:19" x14ac:dyDescent="0.3">
      <c r="A1500" s="45" t="s">
        <v>3797</v>
      </c>
      <c r="B1500" s="40" t="s">
        <v>1269</v>
      </c>
      <c r="C1500" s="41" t="s">
        <v>1766</v>
      </c>
      <c r="D1500" s="21" t="s">
        <v>2241</v>
      </c>
      <c r="E1500" s="21" t="s">
        <v>2229</v>
      </c>
      <c r="F1500" s="24">
        <v>0.86932886578390434</v>
      </c>
      <c r="G1500" s="21">
        <v>12</v>
      </c>
      <c r="H1500" s="17">
        <v>52.79</v>
      </c>
      <c r="I1500" s="43" t="s">
        <v>3950</v>
      </c>
      <c r="J1500" s="26"/>
      <c r="K1500" s="17">
        <f t="shared" si="138"/>
        <v>0</v>
      </c>
      <c r="N1500" s="31" t="str">
        <f t="shared" si="141"/>
        <v>-</v>
      </c>
      <c r="O1500" s="31" t="str">
        <f t="shared" si="143"/>
        <v>-</v>
      </c>
      <c r="P1500" s="35" t="str">
        <f t="shared" si="142"/>
        <v>-</v>
      </c>
      <c r="Q1500" s="32" t="str">
        <f t="shared" si="139"/>
        <v>-</v>
      </c>
      <c r="S1500" s="32" t="str">
        <f t="shared" si="140"/>
        <v>-</v>
      </c>
    </row>
    <row r="1501" spans="1:19" x14ac:dyDescent="0.3">
      <c r="A1501" s="45" t="s">
        <v>3800</v>
      </c>
      <c r="B1501" s="40" t="s">
        <v>579</v>
      </c>
      <c r="C1501" s="41" t="s">
        <v>1998</v>
      </c>
      <c r="D1501" s="21" t="s">
        <v>2223</v>
      </c>
      <c r="E1501" s="21" t="s">
        <v>2244</v>
      </c>
      <c r="F1501" s="24">
        <v>4.8136356285325012E-2</v>
      </c>
      <c r="G1501" s="21">
        <v>12</v>
      </c>
      <c r="H1501" s="17">
        <v>9.59</v>
      </c>
      <c r="I1501" s="43" t="s">
        <v>3950</v>
      </c>
      <c r="J1501" s="26"/>
      <c r="K1501" s="17">
        <f t="shared" si="138"/>
        <v>0</v>
      </c>
      <c r="N1501" s="31" t="str">
        <f t="shared" si="141"/>
        <v>-</v>
      </c>
      <c r="O1501" s="31" t="str">
        <f t="shared" si="143"/>
        <v>-</v>
      </c>
      <c r="P1501" s="35" t="str">
        <f t="shared" si="142"/>
        <v>-</v>
      </c>
      <c r="Q1501" s="32" t="str">
        <f t="shared" si="139"/>
        <v>-</v>
      </c>
      <c r="S1501" s="32" t="str">
        <f t="shared" si="140"/>
        <v>-</v>
      </c>
    </row>
    <row r="1502" spans="1:19" x14ac:dyDescent="0.3">
      <c r="A1502" s="45" t="s">
        <v>3802</v>
      </c>
      <c r="B1502" s="40" t="s">
        <v>1031</v>
      </c>
      <c r="C1502" s="41" t="s">
        <v>2173</v>
      </c>
      <c r="D1502" s="21" t="s">
        <v>2221</v>
      </c>
      <c r="E1502" s="21" t="s">
        <v>2277</v>
      </c>
      <c r="F1502" s="24">
        <v>0.7362030961285001</v>
      </c>
      <c r="G1502" s="21">
        <v>12</v>
      </c>
      <c r="H1502" s="17">
        <v>5.99</v>
      </c>
      <c r="I1502" s="43" t="s">
        <v>3950</v>
      </c>
      <c r="J1502" s="26"/>
      <c r="K1502" s="17">
        <f t="shared" si="138"/>
        <v>0</v>
      </c>
      <c r="N1502" s="31" t="str">
        <f t="shared" si="141"/>
        <v>-</v>
      </c>
      <c r="O1502" s="31" t="str">
        <f t="shared" si="143"/>
        <v>-</v>
      </c>
      <c r="P1502" s="35" t="str">
        <f t="shared" si="142"/>
        <v>-</v>
      </c>
      <c r="Q1502" s="32" t="str">
        <f t="shared" si="139"/>
        <v>-</v>
      </c>
      <c r="S1502" s="32" t="str">
        <f t="shared" si="140"/>
        <v>-</v>
      </c>
    </row>
    <row r="1503" spans="1:19" x14ac:dyDescent="0.3">
      <c r="A1503" s="45" t="s">
        <v>3803</v>
      </c>
      <c r="B1503" s="40" t="s">
        <v>155</v>
      </c>
      <c r="C1503" s="41" t="s">
        <v>2173</v>
      </c>
      <c r="D1503" s="21" t="s">
        <v>2242</v>
      </c>
      <c r="E1503" s="21" t="s">
        <v>2277</v>
      </c>
      <c r="F1503" s="24">
        <v>1.2012637932166668</v>
      </c>
      <c r="G1503" s="21">
        <v>12</v>
      </c>
      <c r="H1503" s="17">
        <v>10.79</v>
      </c>
      <c r="I1503" s="43" t="s">
        <v>3950</v>
      </c>
      <c r="J1503" s="26"/>
      <c r="K1503" s="17">
        <f t="shared" si="138"/>
        <v>0</v>
      </c>
      <c r="N1503" s="31" t="str">
        <f t="shared" si="141"/>
        <v>-</v>
      </c>
      <c r="O1503" s="31" t="str">
        <f t="shared" si="143"/>
        <v>-</v>
      </c>
      <c r="P1503" s="35" t="str">
        <f t="shared" si="142"/>
        <v>-</v>
      </c>
      <c r="Q1503" s="32" t="str">
        <f t="shared" si="139"/>
        <v>-</v>
      </c>
      <c r="S1503" s="32" t="str">
        <f t="shared" si="140"/>
        <v>-</v>
      </c>
    </row>
    <row r="1504" spans="1:19" x14ac:dyDescent="0.3">
      <c r="A1504" s="45" t="s">
        <v>3804</v>
      </c>
      <c r="B1504" s="40" t="s">
        <v>648</v>
      </c>
      <c r="C1504" s="41" t="s">
        <v>2174</v>
      </c>
      <c r="D1504" s="21" t="s">
        <v>2223</v>
      </c>
      <c r="E1504" s="21" t="s">
        <v>2244</v>
      </c>
      <c r="F1504" s="24">
        <v>4.4875783132308333E-2</v>
      </c>
      <c r="G1504" s="21">
        <v>12</v>
      </c>
      <c r="H1504" s="17">
        <v>10.95</v>
      </c>
      <c r="I1504" s="43" t="s">
        <v>3950</v>
      </c>
      <c r="J1504" s="26"/>
      <c r="K1504" s="17">
        <f t="shared" si="138"/>
        <v>0</v>
      </c>
      <c r="N1504" s="31" t="str">
        <f t="shared" si="141"/>
        <v>-</v>
      </c>
      <c r="O1504" s="31" t="str">
        <f t="shared" si="143"/>
        <v>-</v>
      </c>
      <c r="P1504" s="35" t="str">
        <f t="shared" si="142"/>
        <v>-</v>
      </c>
      <c r="Q1504" s="32" t="str">
        <f t="shared" si="139"/>
        <v>-</v>
      </c>
      <c r="S1504" s="32" t="str">
        <f t="shared" si="140"/>
        <v>-</v>
      </c>
    </row>
    <row r="1505" spans="1:19" x14ac:dyDescent="0.3">
      <c r="A1505" s="45" t="s">
        <v>3805</v>
      </c>
      <c r="B1505" s="40" t="s">
        <v>619</v>
      </c>
      <c r="C1505" s="41" t="s">
        <v>2174</v>
      </c>
      <c r="D1505" s="21" t="s">
        <v>2224</v>
      </c>
      <c r="E1505" s="21" t="s">
        <v>2244</v>
      </c>
      <c r="F1505" s="24">
        <v>7.4435452901104163E-2</v>
      </c>
      <c r="G1505" s="21">
        <v>12</v>
      </c>
      <c r="H1505" s="17">
        <v>19.5</v>
      </c>
      <c r="I1505" s="43" t="s">
        <v>3950</v>
      </c>
      <c r="J1505" s="26"/>
      <c r="K1505" s="17">
        <f t="shared" si="138"/>
        <v>0</v>
      </c>
      <c r="N1505" s="31" t="str">
        <f t="shared" si="141"/>
        <v>-</v>
      </c>
      <c r="O1505" s="31" t="str">
        <f t="shared" si="143"/>
        <v>-</v>
      </c>
      <c r="P1505" s="35" t="str">
        <f t="shared" si="142"/>
        <v>-</v>
      </c>
      <c r="Q1505" s="32" t="str">
        <f t="shared" si="139"/>
        <v>-</v>
      </c>
      <c r="S1505" s="32" t="str">
        <f t="shared" si="140"/>
        <v>-</v>
      </c>
    </row>
    <row r="1506" spans="1:19" x14ac:dyDescent="0.3">
      <c r="A1506" s="45" t="s">
        <v>3806</v>
      </c>
      <c r="B1506" s="40" t="s">
        <v>1258</v>
      </c>
      <c r="C1506" s="41" t="s">
        <v>2174</v>
      </c>
      <c r="D1506" s="21" t="s">
        <v>2227</v>
      </c>
      <c r="E1506" s="21" t="s">
        <v>2244</v>
      </c>
      <c r="F1506" s="24">
        <v>0.13128097168725003</v>
      </c>
      <c r="G1506" s="21">
        <v>12</v>
      </c>
      <c r="H1506" s="17">
        <v>35.99</v>
      </c>
      <c r="I1506" s="43" t="s">
        <v>3950</v>
      </c>
      <c r="J1506" s="26"/>
      <c r="K1506" s="17">
        <f t="shared" si="138"/>
        <v>0</v>
      </c>
      <c r="N1506" s="31" t="str">
        <f t="shared" si="141"/>
        <v>-</v>
      </c>
      <c r="O1506" s="31" t="str">
        <f t="shared" si="143"/>
        <v>-</v>
      </c>
      <c r="P1506" s="35" t="str">
        <f t="shared" si="142"/>
        <v>-</v>
      </c>
      <c r="Q1506" s="32" t="str">
        <f t="shared" si="139"/>
        <v>-</v>
      </c>
      <c r="S1506" s="32" t="str">
        <f t="shared" si="140"/>
        <v>-</v>
      </c>
    </row>
    <row r="1507" spans="1:19" x14ac:dyDescent="0.3">
      <c r="A1507" s="45" t="s">
        <v>3807</v>
      </c>
      <c r="B1507" s="40" t="s">
        <v>649</v>
      </c>
      <c r="C1507" s="41" t="s">
        <v>1721</v>
      </c>
      <c r="D1507" s="21" t="s">
        <v>2225</v>
      </c>
      <c r="E1507" s="21" t="s">
        <v>2222</v>
      </c>
      <c r="F1507" s="24">
        <v>6.6498531410208339E-2</v>
      </c>
      <c r="G1507" s="21">
        <v>12</v>
      </c>
      <c r="H1507" s="17">
        <v>59.99</v>
      </c>
      <c r="I1507" s="43" t="s">
        <v>3950</v>
      </c>
      <c r="J1507" s="26"/>
      <c r="K1507" s="17">
        <f t="shared" si="138"/>
        <v>0</v>
      </c>
      <c r="N1507" s="31" t="str">
        <f t="shared" si="141"/>
        <v>-</v>
      </c>
      <c r="O1507" s="31" t="str">
        <f t="shared" si="143"/>
        <v>-</v>
      </c>
      <c r="P1507" s="35" t="str">
        <f t="shared" si="142"/>
        <v>-</v>
      </c>
      <c r="Q1507" s="32" t="str">
        <f t="shared" si="139"/>
        <v>-</v>
      </c>
      <c r="S1507" s="32" t="str">
        <f t="shared" si="140"/>
        <v>-</v>
      </c>
    </row>
    <row r="1508" spans="1:19" x14ac:dyDescent="0.3">
      <c r="A1508" s="45" t="s">
        <v>3808</v>
      </c>
      <c r="B1508" s="40" t="s">
        <v>1285</v>
      </c>
      <c r="C1508" s="41" t="s">
        <v>1721</v>
      </c>
      <c r="D1508" s="21" t="s">
        <v>2227</v>
      </c>
      <c r="E1508" s="21" t="s">
        <v>2222</v>
      </c>
      <c r="F1508" s="24">
        <v>8.666260222491666E-2</v>
      </c>
      <c r="G1508" s="21">
        <v>12</v>
      </c>
      <c r="H1508" s="17">
        <v>80.989999999999995</v>
      </c>
      <c r="I1508" s="43" t="s">
        <v>3950</v>
      </c>
      <c r="J1508" s="26"/>
      <c r="K1508" s="17">
        <f t="shared" si="138"/>
        <v>0</v>
      </c>
      <c r="N1508" s="31" t="str">
        <f t="shared" si="141"/>
        <v>-</v>
      </c>
      <c r="O1508" s="31" t="str">
        <f t="shared" si="143"/>
        <v>-</v>
      </c>
      <c r="P1508" s="35" t="str">
        <f t="shared" si="142"/>
        <v>-</v>
      </c>
      <c r="Q1508" s="32" t="str">
        <f t="shared" si="139"/>
        <v>-</v>
      </c>
      <c r="S1508" s="32" t="str">
        <f t="shared" si="140"/>
        <v>-</v>
      </c>
    </row>
    <row r="1509" spans="1:19" x14ac:dyDescent="0.3">
      <c r="A1509" s="45" t="s">
        <v>3809</v>
      </c>
      <c r="B1509" s="40" t="s">
        <v>161</v>
      </c>
      <c r="C1509" s="41" t="s">
        <v>2175</v>
      </c>
      <c r="D1509" s="21" t="s">
        <v>2223</v>
      </c>
      <c r="E1509" s="21" t="s">
        <v>2222</v>
      </c>
      <c r="F1509" s="24">
        <v>8.9558506012135414E-2</v>
      </c>
      <c r="G1509" s="21">
        <v>12</v>
      </c>
      <c r="H1509" s="17">
        <v>9.59</v>
      </c>
      <c r="I1509" s="43" t="s">
        <v>3950</v>
      </c>
      <c r="J1509" s="26"/>
      <c r="K1509" s="17">
        <f t="shared" si="138"/>
        <v>0</v>
      </c>
      <c r="N1509" s="31" t="str">
        <f t="shared" si="141"/>
        <v>-</v>
      </c>
      <c r="O1509" s="31" t="str">
        <f t="shared" si="143"/>
        <v>-</v>
      </c>
      <c r="P1509" s="35" t="str">
        <f t="shared" si="142"/>
        <v>-</v>
      </c>
      <c r="Q1509" s="32" t="str">
        <f t="shared" si="139"/>
        <v>-</v>
      </c>
      <c r="S1509" s="32" t="str">
        <f t="shared" si="140"/>
        <v>-</v>
      </c>
    </row>
    <row r="1510" spans="1:19" x14ac:dyDescent="0.3">
      <c r="A1510" s="45" t="s">
        <v>3810</v>
      </c>
      <c r="B1510" s="40" t="s">
        <v>1266</v>
      </c>
      <c r="C1510" s="41" t="s">
        <v>2175</v>
      </c>
      <c r="D1510" s="21" t="s">
        <v>2224</v>
      </c>
      <c r="E1510" s="21" t="s">
        <v>2222</v>
      </c>
      <c r="F1510" s="24">
        <v>0.14972895136879164</v>
      </c>
      <c r="G1510" s="21">
        <v>12</v>
      </c>
      <c r="H1510" s="17">
        <v>17.989999999999998</v>
      </c>
      <c r="I1510" s="43" t="s">
        <v>3950</v>
      </c>
      <c r="J1510" s="26"/>
      <c r="K1510" s="17">
        <f t="shared" si="138"/>
        <v>0</v>
      </c>
      <c r="N1510" s="31" t="str">
        <f t="shared" si="141"/>
        <v>-</v>
      </c>
      <c r="O1510" s="31" t="str">
        <f t="shared" si="143"/>
        <v>-</v>
      </c>
      <c r="P1510" s="35" t="str">
        <f t="shared" si="142"/>
        <v>-</v>
      </c>
      <c r="Q1510" s="32" t="str">
        <f t="shared" si="139"/>
        <v>-</v>
      </c>
      <c r="S1510" s="32" t="str">
        <f t="shared" si="140"/>
        <v>-</v>
      </c>
    </row>
    <row r="1511" spans="1:19" x14ac:dyDescent="0.3">
      <c r="A1511" s="45" t="s">
        <v>3811</v>
      </c>
      <c r="B1511" s="40" t="s">
        <v>1329</v>
      </c>
      <c r="C1511" s="41" t="s">
        <v>2175</v>
      </c>
      <c r="D1511" s="21" t="s">
        <v>2227</v>
      </c>
      <c r="E1511" s="21" t="s">
        <v>2222</v>
      </c>
      <c r="F1511" s="24">
        <v>0.27648373269231458</v>
      </c>
      <c r="G1511" s="21">
        <v>12</v>
      </c>
      <c r="H1511" s="17">
        <v>34.79</v>
      </c>
      <c r="I1511" s="43" t="s">
        <v>3950</v>
      </c>
      <c r="J1511" s="26"/>
      <c r="K1511" s="17">
        <f t="shared" si="138"/>
        <v>0</v>
      </c>
      <c r="N1511" s="31" t="str">
        <f t="shared" si="141"/>
        <v>-</v>
      </c>
      <c r="O1511" s="31" t="str">
        <f t="shared" si="143"/>
        <v>-</v>
      </c>
      <c r="P1511" s="35" t="str">
        <f t="shared" si="142"/>
        <v>-</v>
      </c>
      <c r="Q1511" s="32" t="str">
        <f t="shared" si="139"/>
        <v>-</v>
      </c>
      <c r="S1511" s="32" t="str">
        <f t="shared" si="140"/>
        <v>-</v>
      </c>
    </row>
    <row r="1512" spans="1:19" x14ac:dyDescent="0.3">
      <c r="A1512" s="45" t="s">
        <v>3812</v>
      </c>
      <c r="B1512" s="40" t="s">
        <v>1360</v>
      </c>
      <c r="C1512" s="41" t="s">
        <v>2176</v>
      </c>
      <c r="D1512" s="21" t="s">
        <v>2223</v>
      </c>
      <c r="E1512" s="21" t="s">
        <v>2234</v>
      </c>
      <c r="F1512" s="24">
        <v>8.5804556658333322E-2</v>
      </c>
      <c r="G1512" s="21">
        <v>12</v>
      </c>
      <c r="H1512" s="17">
        <v>15.9</v>
      </c>
      <c r="I1512" s="43" t="s">
        <v>3950</v>
      </c>
      <c r="J1512" s="26"/>
      <c r="K1512" s="17">
        <f t="shared" si="138"/>
        <v>0</v>
      </c>
      <c r="N1512" s="31" t="str">
        <f t="shared" si="141"/>
        <v>-</v>
      </c>
      <c r="O1512" s="31" t="str">
        <f t="shared" si="143"/>
        <v>-</v>
      </c>
      <c r="P1512" s="35" t="str">
        <f t="shared" si="142"/>
        <v>-</v>
      </c>
      <c r="Q1512" s="32" t="str">
        <f t="shared" si="139"/>
        <v>-</v>
      </c>
      <c r="S1512" s="32" t="str">
        <f t="shared" si="140"/>
        <v>-</v>
      </c>
    </row>
    <row r="1513" spans="1:19" x14ac:dyDescent="0.3">
      <c r="A1513" s="45" t="s">
        <v>3813</v>
      </c>
      <c r="B1513" s="40" t="s">
        <v>924</v>
      </c>
      <c r="C1513" s="41" t="s">
        <v>2176</v>
      </c>
      <c r="D1513" s="21" t="s">
        <v>2224</v>
      </c>
      <c r="E1513" s="21" t="s">
        <v>2234</v>
      </c>
      <c r="F1513" s="24">
        <v>8.4946511091750013E-2</v>
      </c>
      <c r="G1513" s="21">
        <v>12</v>
      </c>
      <c r="H1513" s="17">
        <v>30.75</v>
      </c>
      <c r="I1513" s="43" t="s">
        <v>3950</v>
      </c>
      <c r="J1513" s="26"/>
      <c r="K1513" s="17">
        <f t="shared" si="138"/>
        <v>0</v>
      </c>
      <c r="N1513" s="31" t="str">
        <f t="shared" si="141"/>
        <v>-</v>
      </c>
      <c r="O1513" s="31" t="str">
        <f t="shared" si="143"/>
        <v>-</v>
      </c>
      <c r="P1513" s="35" t="str">
        <f t="shared" si="142"/>
        <v>-</v>
      </c>
      <c r="Q1513" s="32" t="str">
        <f t="shared" si="139"/>
        <v>-</v>
      </c>
      <c r="S1513" s="32" t="str">
        <f t="shared" si="140"/>
        <v>-</v>
      </c>
    </row>
    <row r="1514" spans="1:19" x14ac:dyDescent="0.3">
      <c r="A1514" s="45" t="s">
        <v>3814</v>
      </c>
      <c r="B1514" s="40" t="s">
        <v>1255</v>
      </c>
      <c r="C1514" s="41" t="s">
        <v>1971</v>
      </c>
      <c r="D1514" s="21" t="s">
        <v>2227</v>
      </c>
      <c r="E1514" s="21" t="s">
        <v>2222</v>
      </c>
      <c r="F1514" s="24">
        <v>5.9762873712529169E-2</v>
      </c>
      <c r="G1514" s="21">
        <v>12</v>
      </c>
      <c r="H1514" s="17">
        <v>59.99</v>
      </c>
      <c r="I1514" s="43" t="s">
        <v>3950</v>
      </c>
      <c r="J1514" s="26"/>
      <c r="K1514" s="17">
        <f t="shared" si="138"/>
        <v>0</v>
      </c>
      <c r="N1514" s="31" t="str">
        <f t="shared" si="141"/>
        <v>-</v>
      </c>
      <c r="O1514" s="31" t="str">
        <f t="shared" si="143"/>
        <v>-</v>
      </c>
      <c r="P1514" s="35" t="str">
        <f t="shared" si="142"/>
        <v>-</v>
      </c>
      <c r="Q1514" s="32" t="str">
        <f t="shared" si="139"/>
        <v>-</v>
      </c>
      <c r="S1514" s="32" t="str">
        <f t="shared" si="140"/>
        <v>-</v>
      </c>
    </row>
    <row r="1515" spans="1:19" x14ac:dyDescent="0.3">
      <c r="A1515" s="45" t="s">
        <v>3815</v>
      </c>
      <c r="B1515" s="40" t="s">
        <v>152</v>
      </c>
      <c r="C1515" s="41" t="s">
        <v>2177</v>
      </c>
      <c r="D1515" s="21" t="s">
        <v>2223</v>
      </c>
      <c r="E1515" s="21" t="s">
        <v>2244</v>
      </c>
      <c r="F1515" s="24">
        <v>6.0492212444125004E-2</v>
      </c>
      <c r="G1515" s="21">
        <v>12</v>
      </c>
      <c r="H1515" s="17">
        <v>25.79</v>
      </c>
      <c r="I1515" s="43" t="s">
        <v>3950</v>
      </c>
      <c r="J1515" s="26"/>
      <c r="K1515" s="17">
        <f t="shared" si="138"/>
        <v>0</v>
      </c>
      <c r="N1515" s="31" t="str">
        <f t="shared" si="141"/>
        <v>-</v>
      </c>
      <c r="O1515" s="31" t="str">
        <f t="shared" si="143"/>
        <v>-</v>
      </c>
      <c r="P1515" s="35" t="str">
        <f t="shared" si="142"/>
        <v>-</v>
      </c>
      <c r="Q1515" s="32" t="str">
        <f t="shared" si="139"/>
        <v>-</v>
      </c>
      <c r="S1515" s="32" t="str">
        <f t="shared" si="140"/>
        <v>-</v>
      </c>
    </row>
    <row r="1516" spans="1:19" x14ac:dyDescent="0.3">
      <c r="A1516" s="45" t="s">
        <v>3816</v>
      </c>
      <c r="B1516" s="40" t="s">
        <v>573</v>
      </c>
      <c r="C1516" s="41" t="s">
        <v>2177</v>
      </c>
      <c r="D1516" s="21" t="s">
        <v>2224</v>
      </c>
      <c r="E1516" s="21" t="s">
        <v>2244</v>
      </c>
      <c r="F1516" s="24">
        <v>0.10004811306361668</v>
      </c>
      <c r="G1516" s="21">
        <v>12</v>
      </c>
      <c r="H1516" s="17">
        <v>50.39</v>
      </c>
      <c r="I1516" s="43" t="s">
        <v>3950</v>
      </c>
      <c r="J1516" s="26"/>
      <c r="K1516" s="17">
        <f t="shared" si="138"/>
        <v>0</v>
      </c>
      <c r="N1516" s="31" t="str">
        <f t="shared" si="141"/>
        <v>-</v>
      </c>
      <c r="O1516" s="31" t="str">
        <f t="shared" si="143"/>
        <v>-</v>
      </c>
      <c r="P1516" s="35" t="str">
        <f t="shared" si="142"/>
        <v>-</v>
      </c>
      <c r="Q1516" s="32" t="str">
        <f t="shared" si="139"/>
        <v>-</v>
      </c>
      <c r="S1516" s="32" t="str">
        <f t="shared" si="140"/>
        <v>-</v>
      </c>
    </row>
    <row r="1517" spans="1:19" x14ac:dyDescent="0.3">
      <c r="A1517" s="45" t="s">
        <v>3817</v>
      </c>
      <c r="B1517" s="40" t="s">
        <v>1243</v>
      </c>
      <c r="C1517" s="41" t="s">
        <v>2178</v>
      </c>
      <c r="D1517" s="21" t="s">
        <v>2223</v>
      </c>
      <c r="E1517" s="21" t="s">
        <v>2244</v>
      </c>
      <c r="F1517" s="24">
        <v>4.6334460595500011E-2</v>
      </c>
      <c r="G1517" s="21">
        <v>12</v>
      </c>
      <c r="H1517" s="17">
        <v>9.9</v>
      </c>
      <c r="I1517" s="43" t="s">
        <v>3950</v>
      </c>
      <c r="J1517" s="26"/>
      <c r="K1517" s="17">
        <f t="shared" si="138"/>
        <v>0</v>
      </c>
      <c r="N1517" s="31" t="str">
        <f t="shared" si="141"/>
        <v>-</v>
      </c>
      <c r="O1517" s="31" t="str">
        <f t="shared" si="143"/>
        <v>-</v>
      </c>
      <c r="P1517" s="35" t="str">
        <f t="shared" si="142"/>
        <v>-</v>
      </c>
      <c r="Q1517" s="32" t="str">
        <f t="shared" si="139"/>
        <v>-</v>
      </c>
      <c r="S1517" s="32" t="str">
        <f t="shared" si="140"/>
        <v>-</v>
      </c>
    </row>
    <row r="1518" spans="1:19" x14ac:dyDescent="0.3">
      <c r="A1518" s="45" t="s">
        <v>3818</v>
      </c>
      <c r="B1518" s="40" t="s">
        <v>135</v>
      </c>
      <c r="C1518" s="41" t="s">
        <v>2178</v>
      </c>
      <c r="D1518" s="21" t="s">
        <v>2224</v>
      </c>
      <c r="E1518" s="21" t="s">
        <v>2244</v>
      </c>
      <c r="F1518" s="24">
        <v>4.5665185053565004E-2</v>
      </c>
      <c r="G1518" s="21">
        <v>12</v>
      </c>
      <c r="H1518" s="17">
        <v>18.899999999999999</v>
      </c>
      <c r="I1518" s="43" t="s">
        <v>3950</v>
      </c>
      <c r="J1518" s="26"/>
      <c r="K1518" s="17">
        <f t="shared" si="138"/>
        <v>0</v>
      </c>
      <c r="N1518" s="31" t="str">
        <f t="shared" si="141"/>
        <v>-</v>
      </c>
      <c r="O1518" s="31" t="str">
        <f t="shared" si="143"/>
        <v>-</v>
      </c>
      <c r="P1518" s="35" t="str">
        <f t="shared" si="142"/>
        <v>-</v>
      </c>
      <c r="Q1518" s="32" t="str">
        <f t="shared" si="139"/>
        <v>-</v>
      </c>
      <c r="S1518" s="32" t="str">
        <f t="shared" si="140"/>
        <v>-</v>
      </c>
    </row>
    <row r="1519" spans="1:19" x14ac:dyDescent="0.3">
      <c r="A1519" s="45" t="s">
        <v>3819</v>
      </c>
      <c r="B1519" s="40" t="s">
        <v>1264</v>
      </c>
      <c r="C1519" s="41" t="s">
        <v>2178</v>
      </c>
      <c r="D1519" s="21" t="s">
        <v>2227</v>
      </c>
      <c r="E1519" s="21" t="s">
        <v>2244</v>
      </c>
      <c r="F1519" s="24">
        <v>0.1276771803076</v>
      </c>
      <c r="G1519" s="21">
        <v>12</v>
      </c>
      <c r="H1519" s="17">
        <v>36.9</v>
      </c>
      <c r="I1519" s="43" t="s">
        <v>3950</v>
      </c>
      <c r="J1519" s="26"/>
      <c r="K1519" s="17">
        <f t="shared" ref="K1519:K1581" si="144">J1519*H1519</f>
        <v>0</v>
      </c>
      <c r="N1519" s="31" t="str">
        <f t="shared" si="141"/>
        <v>-</v>
      </c>
      <c r="O1519" s="31" t="str">
        <f t="shared" si="143"/>
        <v>-</v>
      </c>
      <c r="P1519" s="35" t="str">
        <f t="shared" si="142"/>
        <v>-</v>
      </c>
      <c r="Q1519" s="32" t="str">
        <f t="shared" si="139"/>
        <v>-</v>
      </c>
      <c r="S1519" s="32" t="str">
        <f t="shared" si="140"/>
        <v>-</v>
      </c>
    </row>
    <row r="1520" spans="1:19" x14ac:dyDescent="0.3">
      <c r="A1520" s="45" t="s">
        <v>3820</v>
      </c>
      <c r="B1520" s="40" t="s">
        <v>412</v>
      </c>
      <c r="C1520" s="41" t="s">
        <v>2179</v>
      </c>
      <c r="D1520" s="21" t="s">
        <v>2224</v>
      </c>
      <c r="E1520" s="21" t="s">
        <v>2238</v>
      </c>
      <c r="F1520" s="24">
        <v>3.89981710012125E-2</v>
      </c>
      <c r="G1520" s="21">
        <v>12</v>
      </c>
      <c r="H1520" s="17">
        <v>6.45</v>
      </c>
      <c r="I1520" s="43" t="s">
        <v>3950</v>
      </c>
      <c r="J1520" s="26"/>
      <c r="K1520" s="17">
        <f t="shared" si="144"/>
        <v>0</v>
      </c>
      <c r="N1520" s="31" t="str">
        <f t="shared" si="141"/>
        <v>-</v>
      </c>
      <c r="O1520" s="31" t="str">
        <f t="shared" si="143"/>
        <v>-</v>
      </c>
      <c r="P1520" s="35" t="str">
        <f t="shared" si="142"/>
        <v>-</v>
      </c>
      <c r="Q1520" s="32" t="str">
        <f t="shared" ref="Q1520:Q1582" si="145">IFERROR(IF($N$2&gt;0, $N$2*P1520, "-"), "-")</f>
        <v>-</v>
      </c>
      <c r="S1520" s="32" t="str">
        <f t="shared" ref="S1520:S1582" si="146">IFERROR(IF(Q1520+K1520=0, "-", IF(Q1520&gt;0, Q1520+K1520, "-")), "-")</f>
        <v>-</v>
      </c>
    </row>
    <row r="1521" spans="1:19" x14ac:dyDescent="0.3">
      <c r="A1521" s="45" t="s">
        <v>3821</v>
      </c>
      <c r="B1521" s="40" t="s">
        <v>408</v>
      </c>
      <c r="C1521" s="41" t="s">
        <v>2179</v>
      </c>
      <c r="D1521" s="21" t="s">
        <v>2227</v>
      </c>
      <c r="E1521" s="21" t="s">
        <v>2238</v>
      </c>
      <c r="F1521" s="24">
        <v>0.93458323112256669</v>
      </c>
      <c r="G1521" s="21">
        <v>12</v>
      </c>
      <c r="H1521" s="17">
        <v>11.85</v>
      </c>
      <c r="I1521" s="43" t="s">
        <v>3950</v>
      </c>
      <c r="J1521" s="26"/>
      <c r="K1521" s="17">
        <f t="shared" si="144"/>
        <v>0</v>
      </c>
      <c r="N1521" s="31" t="str">
        <f t="shared" si="141"/>
        <v>-</v>
      </c>
      <c r="O1521" s="31" t="str">
        <f t="shared" si="143"/>
        <v>-</v>
      </c>
      <c r="P1521" s="35" t="str">
        <f t="shared" si="142"/>
        <v>-</v>
      </c>
      <c r="Q1521" s="32" t="str">
        <f t="shared" si="145"/>
        <v>-</v>
      </c>
      <c r="S1521" s="32" t="str">
        <f t="shared" si="146"/>
        <v>-</v>
      </c>
    </row>
    <row r="1522" spans="1:19" x14ac:dyDescent="0.3">
      <c r="A1522" s="45" t="s">
        <v>3822</v>
      </c>
      <c r="B1522" s="40" t="s">
        <v>427</v>
      </c>
      <c r="C1522" s="41" t="s">
        <v>2179</v>
      </c>
      <c r="D1522" s="21" t="s">
        <v>2233</v>
      </c>
      <c r="E1522" s="21" t="s">
        <v>2238</v>
      </c>
      <c r="F1522" s="24">
        <v>0.10039133129024999</v>
      </c>
      <c r="G1522" s="21">
        <v>12</v>
      </c>
      <c r="H1522" s="17">
        <v>22.65</v>
      </c>
      <c r="I1522" s="43" t="s">
        <v>3950</v>
      </c>
      <c r="J1522" s="26"/>
      <c r="K1522" s="17">
        <f t="shared" si="144"/>
        <v>0</v>
      </c>
      <c r="N1522" s="31" t="str">
        <f t="shared" si="141"/>
        <v>-</v>
      </c>
      <c r="O1522" s="31" t="str">
        <f t="shared" si="143"/>
        <v>-</v>
      </c>
      <c r="P1522" s="35" t="str">
        <f t="shared" si="142"/>
        <v>-</v>
      </c>
      <c r="Q1522" s="32" t="str">
        <f t="shared" si="145"/>
        <v>-</v>
      </c>
      <c r="S1522" s="32" t="str">
        <f t="shared" si="146"/>
        <v>-</v>
      </c>
    </row>
    <row r="1523" spans="1:19" x14ac:dyDescent="0.3">
      <c r="A1523" s="45" t="s">
        <v>3823</v>
      </c>
      <c r="B1523" s="40" t="s">
        <v>467</v>
      </c>
      <c r="C1523" s="41" t="s">
        <v>2180</v>
      </c>
      <c r="D1523" s="21" t="s">
        <v>2223</v>
      </c>
      <c r="E1523" s="21" t="s">
        <v>2234</v>
      </c>
      <c r="F1523" s="24">
        <v>4.1701014535950001E-2</v>
      </c>
      <c r="G1523" s="21">
        <v>12</v>
      </c>
      <c r="H1523" s="17">
        <v>7.5</v>
      </c>
      <c r="I1523" s="43" t="s">
        <v>3950</v>
      </c>
      <c r="J1523" s="26"/>
      <c r="K1523" s="17">
        <f t="shared" si="144"/>
        <v>0</v>
      </c>
      <c r="N1523" s="31" t="str">
        <f t="shared" si="141"/>
        <v>-</v>
      </c>
      <c r="O1523" s="31" t="str">
        <f t="shared" si="143"/>
        <v>-</v>
      </c>
      <c r="P1523" s="35" t="str">
        <f t="shared" si="142"/>
        <v>-</v>
      </c>
      <c r="Q1523" s="32" t="str">
        <f t="shared" si="145"/>
        <v>-</v>
      </c>
      <c r="S1523" s="32" t="str">
        <f t="shared" si="146"/>
        <v>-</v>
      </c>
    </row>
    <row r="1524" spans="1:19" x14ac:dyDescent="0.3">
      <c r="A1524" s="45" t="s">
        <v>3824</v>
      </c>
      <c r="B1524" s="40" t="s">
        <v>667</v>
      </c>
      <c r="C1524" s="41" t="s">
        <v>2180</v>
      </c>
      <c r="D1524" s="21" t="s">
        <v>2224</v>
      </c>
      <c r="E1524" s="21" t="s">
        <v>2234</v>
      </c>
      <c r="F1524" s="24">
        <v>6.3495371927166672E-2</v>
      </c>
      <c r="G1524" s="21">
        <v>12</v>
      </c>
      <c r="H1524" s="17">
        <v>13.79</v>
      </c>
      <c r="I1524" s="43" t="s">
        <v>3950</v>
      </c>
      <c r="J1524" s="26"/>
      <c r="K1524" s="17">
        <f t="shared" si="144"/>
        <v>0</v>
      </c>
      <c r="N1524" s="31" t="str">
        <f t="shared" si="141"/>
        <v>-</v>
      </c>
      <c r="O1524" s="31" t="str">
        <f t="shared" si="143"/>
        <v>-</v>
      </c>
      <c r="P1524" s="35" t="str">
        <f t="shared" si="142"/>
        <v>-</v>
      </c>
      <c r="Q1524" s="32" t="str">
        <f t="shared" si="145"/>
        <v>-</v>
      </c>
      <c r="S1524" s="32" t="str">
        <f t="shared" si="146"/>
        <v>-</v>
      </c>
    </row>
    <row r="1525" spans="1:19" x14ac:dyDescent="0.3">
      <c r="A1525" s="45" t="s">
        <v>3825</v>
      </c>
      <c r="B1525" s="40" t="s">
        <v>1009</v>
      </c>
      <c r="C1525" s="41" t="s">
        <v>2180</v>
      </c>
      <c r="D1525" s="21" t="s">
        <v>2227</v>
      </c>
      <c r="E1525" s="21" t="s">
        <v>2234</v>
      </c>
      <c r="F1525" s="24">
        <v>0.10339449077329169</v>
      </c>
      <c r="G1525" s="21">
        <v>12</v>
      </c>
      <c r="H1525" s="17">
        <v>25.19</v>
      </c>
      <c r="I1525" s="43" t="s">
        <v>3950</v>
      </c>
      <c r="J1525" s="26"/>
      <c r="K1525" s="17">
        <f t="shared" si="144"/>
        <v>0</v>
      </c>
      <c r="N1525" s="31" t="str">
        <f t="shared" si="141"/>
        <v>-</v>
      </c>
      <c r="O1525" s="31" t="str">
        <f t="shared" si="143"/>
        <v>-</v>
      </c>
      <c r="P1525" s="35" t="str">
        <f t="shared" si="142"/>
        <v>-</v>
      </c>
      <c r="Q1525" s="32" t="str">
        <f t="shared" si="145"/>
        <v>-</v>
      </c>
      <c r="S1525" s="32" t="str">
        <f t="shared" si="146"/>
        <v>-</v>
      </c>
    </row>
    <row r="1526" spans="1:19" x14ac:dyDescent="0.3">
      <c r="A1526" s="45" t="s">
        <v>3826</v>
      </c>
      <c r="B1526" s="40" t="s">
        <v>398</v>
      </c>
      <c r="C1526" s="41" t="s">
        <v>2181</v>
      </c>
      <c r="D1526" s="21" t="s">
        <v>2223</v>
      </c>
      <c r="E1526" s="21" t="s">
        <v>2222</v>
      </c>
      <c r="F1526" s="24">
        <v>7.7996342002425001E-2</v>
      </c>
      <c r="G1526" s="21">
        <v>12</v>
      </c>
      <c r="H1526" s="17">
        <v>8.99</v>
      </c>
      <c r="I1526" s="43" t="s">
        <v>3950</v>
      </c>
      <c r="J1526" s="26"/>
      <c r="K1526" s="17">
        <f t="shared" si="144"/>
        <v>0</v>
      </c>
      <c r="N1526" s="31" t="str">
        <f t="shared" si="141"/>
        <v>-</v>
      </c>
      <c r="O1526" s="31" t="str">
        <f t="shared" si="143"/>
        <v>-</v>
      </c>
      <c r="P1526" s="35" t="str">
        <f t="shared" si="142"/>
        <v>-</v>
      </c>
      <c r="Q1526" s="32" t="str">
        <f t="shared" si="145"/>
        <v>-</v>
      </c>
      <c r="S1526" s="32" t="str">
        <f t="shared" si="146"/>
        <v>-</v>
      </c>
    </row>
    <row r="1527" spans="1:19" x14ac:dyDescent="0.3">
      <c r="A1527" s="45" t="s">
        <v>3827</v>
      </c>
      <c r="B1527" s="40" t="s">
        <v>1278</v>
      </c>
      <c r="C1527" s="41" t="s">
        <v>2181</v>
      </c>
      <c r="D1527" s="21" t="s">
        <v>2224</v>
      </c>
      <c r="E1527" s="21" t="s">
        <v>2222</v>
      </c>
      <c r="F1527" s="24">
        <v>0.15702233868474999</v>
      </c>
      <c r="G1527" s="21">
        <v>12</v>
      </c>
      <c r="H1527" s="17">
        <v>17.100000000000001</v>
      </c>
      <c r="I1527" s="43" t="s">
        <v>3950</v>
      </c>
      <c r="J1527" s="26"/>
      <c r="K1527" s="17">
        <f t="shared" si="144"/>
        <v>0</v>
      </c>
      <c r="N1527" s="31" t="str">
        <f t="shared" si="141"/>
        <v>-</v>
      </c>
      <c r="O1527" s="31" t="str">
        <f t="shared" si="143"/>
        <v>-</v>
      </c>
      <c r="P1527" s="35" t="str">
        <f t="shared" si="142"/>
        <v>-</v>
      </c>
      <c r="Q1527" s="32" t="str">
        <f t="shared" si="145"/>
        <v>-</v>
      </c>
      <c r="S1527" s="32" t="str">
        <f t="shared" si="146"/>
        <v>-</v>
      </c>
    </row>
    <row r="1528" spans="1:19" x14ac:dyDescent="0.3">
      <c r="A1528" s="45" t="s">
        <v>3828</v>
      </c>
      <c r="B1528" s="40" t="s">
        <v>630</v>
      </c>
      <c r="C1528" s="41" t="s">
        <v>2181</v>
      </c>
      <c r="D1528" s="21" t="s">
        <v>2227</v>
      </c>
      <c r="E1528" s="21" t="s">
        <v>2222</v>
      </c>
      <c r="F1528" s="24">
        <v>0.29109195846339581</v>
      </c>
      <c r="G1528" s="21">
        <v>12</v>
      </c>
      <c r="H1528" s="17">
        <v>33.15</v>
      </c>
      <c r="I1528" s="43" t="s">
        <v>3950</v>
      </c>
      <c r="J1528" s="26"/>
      <c r="K1528" s="17">
        <f t="shared" si="144"/>
        <v>0</v>
      </c>
      <c r="N1528" s="31" t="str">
        <f t="shared" si="141"/>
        <v>-</v>
      </c>
      <c r="O1528" s="31" t="str">
        <f t="shared" si="143"/>
        <v>-</v>
      </c>
      <c r="P1528" s="35" t="str">
        <f t="shared" si="142"/>
        <v>-</v>
      </c>
      <c r="Q1528" s="32" t="str">
        <f t="shared" si="145"/>
        <v>-</v>
      </c>
      <c r="S1528" s="32" t="str">
        <f t="shared" si="146"/>
        <v>-</v>
      </c>
    </row>
    <row r="1529" spans="1:19" x14ac:dyDescent="0.3">
      <c r="A1529" s="45" t="s">
        <v>3829</v>
      </c>
      <c r="B1529" s="40" t="s">
        <v>760</v>
      </c>
      <c r="C1529" s="41" t="s">
        <v>2182</v>
      </c>
      <c r="D1529" s="21" t="s">
        <v>2235</v>
      </c>
      <c r="E1529" s="21" t="s">
        <v>2240</v>
      </c>
      <c r="F1529" s="24">
        <v>0.19563438918099998</v>
      </c>
      <c r="G1529" s="21">
        <v>12</v>
      </c>
      <c r="H1529" s="17">
        <v>15.59</v>
      </c>
      <c r="I1529" s="43" t="s">
        <v>3950</v>
      </c>
      <c r="J1529" s="26"/>
      <c r="K1529" s="17">
        <f t="shared" si="144"/>
        <v>0</v>
      </c>
      <c r="N1529" s="31" t="str">
        <f t="shared" si="141"/>
        <v>-</v>
      </c>
      <c r="O1529" s="31" t="str">
        <f t="shared" si="143"/>
        <v>-</v>
      </c>
      <c r="P1529" s="35" t="str">
        <f t="shared" si="142"/>
        <v>-</v>
      </c>
      <c r="Q1529" s="32" t="str">
        <f t="shared" si="145"/>
        <v>-</v>
      </c>
      <c r="S1529" s="32" t="str">
        <f t="shared" si="146"/>
        <v>-</v>
      </c>
    </row>
    <row r="1530" spans="1:19" x14ac:dyDescent="0.3">
      <c r="A1530" s="45" t="s">
        <v>3830</v>
      </c>
      <c r="B1530" s="40" t="s">
        <v>300</v>
      </c>
      <c r="C1530" s="41" t="s">
        <v>2182</v>
      </c>
      <c r="D1530" s="21" t="s">
        <v>2236</v>
      </c>
      <c r="E1530" s="21" t="s">
        <v>2240</v>
      </c>
      <c r="F1530" s="24">
        <v>0.33592483931737499</v>
      </c>
      <c r="G1530" s="21">
        <v>6</v>
      </c>
      <c r="H1530" s="17">
        <v>29.39</v>
      </c>
      <c r="I1530" s="43" t="s">
        <v>3950</v>
      </c>
      <c r="J1530" s="26"/>
      <c r="K1530" s="17">
        <f t="shared" si="144"/>
        <v>0</v>
      </c>
      <c r="N1530" s="31" t="str">
        <f t="shared" ref="N1530:N1593" si="147">IFERROR(IF($N$2*F1530=0, "-", $N$2*F1530), "-")</f>
        <v>-</v>
      </c>
      <c r="O1530" s="31" t="str">
        <f t="shared" si="143"/>
        <v>-</v>
      </c>
      <c r="P1530" s="35" t="str">
        <f t="shared" ref="P1530:P1593" si="148">IF(J1530&gt;0,J1530*F1530, "-")</f>
        <v>-</v>
      </c>
      <c r="Q1530" s="32" t="str">
        <f t="shared" si="145"/>
        <v>-</v>
      </c>
      <c r="S1530" s="32" t="str">
        <f t="shared" si="146"/>
        <v>-</v>
      </c>
    </row>
    <row r="1531" spans="1:19" x14ac:dyDescent="0.3">
      <c r="A1531" s="45" t="s">
        <v>3831</v>
      </c>
      <c r="B1531" s="40" t="s">
        <v>624</v>
      </c>
      <c r="C1531" s="41" t="s">
        <v>1669</v>
      </c>
      <c r="D1531" s="21" t="s">
        <v>2226</v>
      </c>
      <c r="E1531" s="21" t="s">
        <v>2222</v>
      </c>
      <c r="F1531" s="24">
        <v>0.40757164412708335</v>
      </c>
      <c r="G1531" s="21">
        <v>12</v>
      </c>
      <c r="H1531" s="17">
        <v>32.99</v>
      </c>
      <c r="I1531" s="43" t="s">
        <v>3950</v>
      </c>
      <c r="J1531" s="26"/>
      <c r="K1531" s="17">
        <f t="shared" si="144"/>
        <v>0</v>
      </c>
      <c r="N1531" s="31" t="str">
        <f t="shared" si="147"/>
        <v>-</v>
      </c>
      <c r="O1531" s="31" t="str">
        <f t="shared" si="143"/>
        <v>-</v>
      </c>
      <c r="P1531" s="35" t="str">
        <f t="shared" si="148"/>
        <v>-</v>
      </c>
      <c r="Q1531" s="32" t="str">
        <f t="shared" si="145"/>
        <v>-</v>
      </c>
      <c r="S1531" s="32" t="str">
        <f t="shared" si="146"/>
        <v>-</v>
      </c>
    </row>
    <row r="1532" spans="1:19" x14ac:dyDescent="0.3">
      <c r="A1532" s="45" t="s">
        <v>3832</v>
      </c>
      <c r="B1532" s="40" t="s">
        <v>472</v>
      </c>
      <c r="C1532" s="41" t="s">
        <v>1913</v>
      </c>
      <c r="D1532" s="21" t="s">
        <v>2233</v>
      </c>
      <c r="E1532" s="21" t="s">
        <v>2222</v>
      </c>
      <c r="F1532" s="24">
        <v>0.10384496469574794</v>
      </c>
      <c r="G1532" s="21">
        <v>12</v>
      </c>
      <c r="H1532" s="17">
        <v>24.59</v>
      </c>
      <c r="I1532" s="43" t="s">
        <v>3950</v>
      </c>
      <c r="J1532" s="26"/>
      <c r="K1532" s="17">
        <f t="shared" si="144"/>
        <v>0</v>
      </c>
      <c r="N1532" s="31" t="str">
        <f t="shared" si="147"/>
        <v>-</v>
      </c>
      <c r="O1532" s="31" t="str">
        <f t="shared" si="143"/>
        <v>-</v>
      </c>
      <c r="P1532" s="35" t="str">
        <f t="shared" si="148"/>
        <v>-</v>
      </c>
      <c r="Q1532" s="32" t="str">
        <f t="shared" si="145"/>
        <v>-</v>
      </c>
      <c r="S1532" s="32" t="str">
        <f t="shared" si="146"/>
        <v>-</v>
      </c>
    </row>
    <row r="1533" spans="1:19" x14ac:dyDescent="0.3">
      <c r="A1533" s="45" t="s">
        <v>3833</v>
      </c>
      <c r="B1533" s="40" t="s">
        <v>335</v>
      </c>
      <c r="C1533" s="41" t="s">
        <v>1889</v>
      </c>
      <c r="D1533" s="21" t="s">
        <v>2233</v>
      </c>
      <c r="E1533" s="21" t="s">
        <v>2238</v>
      </c>
      <c r="F1533" s="24">
        <v>0.10665506392630836</v>
      </c>
      <c r="G1533" s="21">
        <v>12</v>
      </c>
      <c r="H1533" s="17">
        <v>23.85</v>
      </c>
      <c r="I1533" s="43" t="s">
        <v>3950</v>
      </c>
      <c r="J1533" s="26"/>
      <c r="K1533" s="17">
        <f t="shared" si="144"/>
        <v>0</v>
      </c>
      <c r="N1533" s="31" t="str">
        <f t="shared" si="147"/>
        <v>-</v>
      </c>
      <c r="O1533" s="31" t="str">
        <f t="shared" ref="O1533:O1596" si="149">IFERROR(IF(N1533&gt;0,H1533+N1533,"-"),"-")</f>
        <v>-</v>
      </c>
      <c r="P1533" s="35" t="str">
        <f t="shared" si="148"/>
        <v>-</v>
      </c>
      <c r="Q1533" s="32" t="str">
        <f t="shared" si="145"/>
        <v>-</v>
      </c>
      <c r="S1533" s="32" t="str">
        <f t="shared" si="146"/>
        <v>-</v>
      </c>
    </row>
    <row r="1534" spans="1:19" x14ac:dyDescent="0.3">
      <c r="A1534" s="45" t="s">
        <v>3834</v>
      </c>
      <c r="B1534" s="40" t="s">
        <v>451</v>
      </c>
      <c r="C1534" s="41" t="s">
        <v>1655</v>
      </c>
      <c r="D1534" s="21" t="s">
        <v>2242</v>
      </c>
      <c r="E1534" s="21" t="s">
        <v>2222</v>
      </c>
      <c r="F1534" s="24">
        <v>0.43786065262747498</v>
      </c>
      <c r="G1534" s="21">
        <v>12</v>
      </c>
      <c r="H1534" s="17">
        <v>15.3</v>
      </c>
      <c r="I1534" s="43" t="s">
        <v>3950</v>
      </c>
      <c r="J1534" s="26"/>
      <c r="K1534" s="17">
        <f t="shared" si="144"/>
        <v>0</v>
      </c>
      <c r="N1534" s="31" t="str">
        <f t="shared" si="147"/>
        <v>-</v>
      </c>
      <c r="O1534" s="31" t="str">
        <f t="shared" si="149"/>
        <v>-</v>
      </c>
      <c r="P1534" s="35" t="str">
        <f t="shared" si="148"/>
        <v>-</v>
      </c>
      <c r="Q1534" s="32" t="str">
        <f t="shared" si="145"/>
        <v>-</v>
      </c>
      <c r="S1534" s="32" t="str">
        <f t="shared" si="146"/>
        <v>-</v>
      </c>
    </row>
    <row r="1535" spans="1:19" x14ac:dyDescent="0.3">
      <c r="A1535" s="45" t="s">
        <v>3835</v>
      </c>
      <c r="B1535" s="40" t="s">
        <v>704</v>
      </c>
      <c r="C1535" s="41" t="s">
        <v>2071</v>
      </c>
      <c r="D1535" s="21" t="s">
        <v>2252</v>
      </c>
      <c r="E1535" s="21" t="s">
        <v>2234</v>
      </c>
      <c r="F1535" s="24">
        <v>0.30906801308331661</v>
      </c>
      <c r="G1535" s="21">
        <v>12</v>
      </c>
      <c r="H1535" s="17">
        <v>17.100000000000001</v>
      </c>
      <c r="I1535" s="43" t="s">
        <v>3950</v>
      </c>
      <c r="J1535" s="26"/>
      <c r="K1535" s="17">
        <f t="shared" si="144"/>
        <v>0</v>
      </c>
      <c r="N1535" s="31" t="str">
        <f t="shared" si="147"/>
        <v>-</v>
      </c>
      <c r="O1535" s="31" t="str">
        <f t="shared" si="149"/>
        <v>-</v>
      </c>
      <c r="P1535" s="35" t="str">
        <f t="shared" si="148"/>
        <v>-</v>
      </c>
      <c r="Q1535" s="32" t="str">
        <f t="shared" si="145"/>
        <v>-</v>
      </c>
      <c r="S1535" s="32" t="str">
        <f t="shared" si="146"/>
        <v>-</v>
      </c>
    </row>
    <row r="1536" spans="1:19" x14ac:dyDescent="0.3">
      <c r="A1536" s="45" t="s">
        <v>3836</v>
      </c>
      <c r="B1536" s="40" t="s">
        <v>687</v>
      </c>
      <c r="C1536" s="41" t="s">
        <v>2183</v>
      </c>
      <c r="D1536" s="21" t="s">
        <v>2223</v>
      </c>
      <c r="E1536" s="21" t="s">
        <v>2222</v>
      </c>
      <c r="F1536" s="24">
        <v>4.1507954283468755E-2</v>
      </c>
      <c r="G1536" s="21">
        <v>12</v>
      </c>
      <c r="H1536" s="17">
        <v>10.19</v>
      </c>
      <c r="I1536" s="43" t="s">
        <v>3950</v>
      </c>
      <c r="J1536" s="26"/>
      <c r="K1536" s="17">
        <f t="shared" si="144"/>
        <v>0</v>
      </c>
      <c r="N1536" s="31" t="str">
        <f t="shared" si="147"/>
        <v>-</v>
      </c>
      <c r="O1536" s="31" t="str">
        <f t="shared" si="149"/>
        <v>-</v>
      </c>
      <c r="P1536" s="35" t="str">
        <f t="shared" si="148"/>
        <v>-</v>
      </c>
      <c r="Q1536" s="32" t="str">
        <f t="shared" si="145"/>
        <v>-</v>
      </c>
      <c r="S1536" s="32" t="str">
        <f t="shared" si="146"/>
        <v>-</v>
      </c>
    </row>
    <row r="1537" spans="1:19" x14ac:dyDescent="0.3">
      <c r="A1537" s="45" t="s">
        <v>3837</v>
      </c>
      <c r="B1537" s="40" t="s">
        <v>1256</v>
      </c>
      <c r="C1537" s="41" t="s">
        <v>2183</v>
      </c>
      <c r="D1537" s="21" t="s">
        <v>2224</v>
      </c>
      <c r="E1537" s="21" t="s">
        <v>2222</v>
      </c>
      <c r="F1537" s="24">
        <v>0.62500039069930002</v>
      </c>
      <c r="G1537" s="21">
        <v>12</v>
      </c>
      <c r="H1537" s="17">
        <v>19.190000000000001</v>
      </c>
      <c r="I1537" s="43" t="s">
        <v>3950</v>
      </c>
      <c r="J1537" s="26"/>
      <c r="K1537" s="17">
        <f t="shared" si="144"/>
        <v>0</v>
      </c>
      <c r="N1537" s="31" t="str">
        <f t="shared" si="147"/>
        <v>-</v>
      </c>
      <c r="O1537" s="31" t="str">
        <f t="shared" si="149"/>
        <v>-</v>
      </c>
      <c r="P1537" s="35" t="str">
        <f t="shared" si="148"/>
        <v>-</v>
      </c>
      <c r="Q1537" s="32" t="str">
        <f t="shared" si="145"/>
        <v>-</v>
      </c>
      <c r="S1537" s="32" t="str">
        <f t="shared" si="146"/>
        <v>-</v>
      </c>
    </row>
    <row r="1538" spans="1:19" x14ac:dyDescent="0.3">
      <c r="A1538" s="45" t="s">
        <v>3838</v>
      </c>
      <c r="B1538" s="40" t="s">
        <v>938</v>
      </c>
      <c r="C1538" s="41" t="s">
        <v>2183</v>
      </c>
      <c r="D1538" s="21" t="s">
        <v>2227</v>
      </c>
      <c r="E1538" s="21" t="s">
        <v>2222</v>
      </c>
      <c r="F1538" s="24">
        <v>8.0699185537162502E-2</v>
      </c>
      <c r="G1538" s="21">
        <v>12</v>
      </c>
      <c r="H1538" s="17">
        <v>33.9</v>
      </c>
      <c r="I1538" s="43" t="s">
        <v>3950</v>
      </c>
      <c r="J1538" s="26"/>
      <c r="K1538" s="17">
        <f t="shared" si="144"/>
        <v>0</v>
      </c>
      <c r="N1538" s="31" t="str">
        <f t="shared" si="147"/>
        <v>-</v>
      </c>
      <c r="O1538" s="31" t="str">
        <f t="shared" si="149"/>
        <v>-</v>
      </c>
      <c r="P1538" s="35" t="str">
        <f t="shared" si="148"/>
        <v>-</v>
      </c>
      <c r="Q1538" s="32" t="str">
        <f t="shared" si="145"/>
        <v>-</v>
      </c>
      <c r="S1538" s="32" t="str">
        <f t="shared" si="146"/>
        <v>-</v>
      </c>
    </row>
    <row r="1539" spans="1:19" x14ac:dyDescent="0.3">
      <c r="A1539" s="45" t="s">
        <v>3840</v>
      </c>
      <c r="B1539" s="40" t="s">
        <v>1244</v>
      </c>
      <c r="C1539" s="41" t="s">
        <v>2184</v>
      </c>
      <c r="D1539" s="21" t="s">
        <v>2224</v>
      </c>
      <c r="E1539" s="21" t="s">
        <v>2232</v>
      </c>
      <c r="F1539" s="24">
        <v>7.5615265555156255E-2</v>
      </c>
      <c r="G1539" s="21">
        <v>12</v>
      </c>
      <c r="H1539" s="17">
        <v>39.590000000000003</v>
      </c>
      <c r="I1539" s="43" t="s">
        <v>3950</v>
      </c>
      <c r="J1539" s="26"/>
      <c r="K1539" s="17">
        <f t="shared" si="144"/>
        <v>0</v>
      </c>
      <c r="N1539" s="31" t="str">
        <f t="shared" si="147"/>
        <v>-</v>
      </c>
      <c r="O1539" s="31" t="str">
        <f t="shared" si="149"/>
        <v>-</v>
      </c>
      <c r="P1539" s="35" t="str">
        <f t="shared" si="148"/>
        <v>-</v>
      </c>
      <c r="Q1539" s="32" t="str">
        <f t="shared" si="145"/>
        <v>-</v>
      </c>
      <c r="S1539" s="32" t="str">
        <f t="shared" si="146"/>
        <v>-</v>
      </c>
    </row>
    <row r="1540" spans="1:19" x14ac:dyDescent="0.3">
      <c r="A1540" s="45" t="s">
        <v>3841</v>
      </c>
      <c r="B1540" s="40" t="s">
        <v>455</v>
      </c>
      <c r="C1540" s="41" t="s">
        <v>2184</v>
      </c>
      <c r="D1540" s="21" t="s">
        <v>2225</v>
      </c>
      <c r="E1540" s="21" t="s">
        <v>2232</v>
      </c>
      <c r="F1540" s="24">
        <v>0.10571121380306668</v>
      </c>
      <c r="G1540" s="21">
        <v>12</v>
      </c>
      <c r="H1540" s="17">
        <v>58.79</v>
      </c>
      <c r="I1540" s="43" t="s">
        <v>3950</v>
      </c>
      <c r="J1540" s="26"/>
      <c r="K1540" s="17">
        <f t="shared" si="144"/>
        <v>0</v>
      </c>
      <c r="N1540" s="31" t="str">
        <f t="shared" si="147"/>
        <v>-</v>
      </c>
      <c r="O1540" s="31" t="str">
        <f t="shared" si="149"/>
        <v>-</v>
      </c>
      <c r="P1540" s="35" t="str">
        <f t="shared" si="148"/>
        <v>-</v>
      </c>
      <c r="Q1540" s="32" t="str">
        <f t="shared" si="145"/>
        <v>-</v>
      </c>
      <c r="S1540" s="32" t="str">
        <f t="shared" si="146"/>
        <v>-</v>
      </c>
    </row>
    <row r="1541" spans="1:19" x14ac:dyDescent="0.3">
      <c r="A1541" s="45" t="s">
        <v>3842</v>
      </c>
      <c r="B1541" s="40" t="s">
        <v>1252</v>
      </c>
      <c r="C1541" s="41" t="s">
        <v>1738</v>
      </c>
      <c r="D1541" s="21" t="s">
        <v>2242</v>
      </c>
      <c r="E1541" s="21" t="s">
        <v>2238</v>
      </c>
      <c r="F1541" s="24">
        <v>0.14651128049410417</v>
      </c>
      <c r="G1541" s="21">
        <v>12</v>
      </c>
      <c r="H1541" s="17">
        <v>23.39</v>
      </c>
      <c r="I1541" s="43" t="s">
        <v>3950</v>
      </c>
      <c r="J1541" s="26"/>
      <c r="K1541" s="17">
        <f t="shared" si="144"/>
        <v>0</v>
      </c>
      <c r="N1541" s="31" t="str">
        <f t="shared" si="147"/>
        <v>-</v>
      </c>
      <c r="O1541" s="31" t="str">
        <f t="shared" si="149"/>
        <v>-</v>
      </c>
      <c r="P1541" s="35" t="str">
        <f t="shared" si="148"/>
        <v>-</v>
      </c>
      <c r="Q1541" s="32" t="str">
        <f t="shared" si="145"/>
        <v>-</v>
      </c>
      <c r="S1541" s="32" t="str">
        <f t="shared" si="146"/>
        <v>-</v>
      </c>
    </row>
    <row r="1542" spans="1:19" x14ac:dyDescent="0.3">
      <c r="A1542" s="45" t="s">
        <v>3844</v>
      </c>
      <c r="B1542" s="40" t="s">
        <v>304</v>
      </c>
      <c r="C1542" s="41" t="s">
        <v>2048</v>
      </c>
      <c r="D1542" s="21" t="s">
        <v>2233</v>
      </c>
      <c r="E1542" s="21" t="s">
        <v>2222</v>
      </c>
      <c r="F1542" s="24">
        <v>0.12982229422405833</v>
      </c>
      <c r="G1542" s="21">
        <v>12</v>
      </c>
      <c r="H1542" s="17">
        <v>20.39</v>
      </c>
      <c r="I1542" s="43" t="s">
        <v>3950</v>
      </c>
      <c r="J1542" s="26"/>
      <c r="K1542" s="17">
        <f t="shared" si="144"/>
        <v>0</v>
      </c>
      <c r="N1542" s="31" t="str">
        <f t="shared" si="147"/>
        <v>-</v>
      </c>
      <c r="O1542" s="31" t="str">
        <f t="shared" si="149"/>
        <v>-</v>
      </c>
      <c r="P1542" s="35" t="str">
        <f t="shared" si="148"/>
        <v>-</v>
      </c>
      <c r="Q1542" s="32" t="str">
        <f t="shared" si="145"/>
        <v>-</v>
      </c>
      <c r="S1542" s="32" t="str">
        <f t="shared" si="146"/>
        <v>-</v>
      </c>
    </row>
    <row r="1543" spans="1:19" x14ac:dyDescent="0.3">
      <c r="A1543" s="45" t="s">
        <v>3845</v>
      </c>
      <c r="B1543" s="40" t="s">
        <v>1452</v>
      </c>
      <c r="C1543" s="41" t="s">
        <v>1962</v>
      </c>
      <c r="D1543" s="21" t="s">
        <v>2233</v>
      </c>
      <c r="E1543" s="21" t="s">
        <v>2222</v>
      </c>
      <c r="F1543" s="24">
        <v>0.3150743320494</v>
      </c>
      <c r="G1543" s="21">
        <v>12</v>
      </c>
      <c r="H1543" s="17">
        <v>64.790000000000006</v>
      </c>
      <c r="I1543" s="43" t="s">
        <v>3950</v>
      </c>
      <c r="J1543" s="26"/>
      <c r="K1543" s="17">
        <f t="shared" si="144"/>
        <v>0</v>
      </c>
      <c r="N1543" s="31" t="str">
        <f t="shared" si="147"/>
        <v>-</v>
      </c>
      <c r="O1543" s="31" t="str">
        <f t="shared" si="149"/>
        <v>-</v>
      </c>
      <c r="P1543" s="35" t="str">
        <f t="shared" si="148"/>
        <v>-</v>
      </c>
      <c r="Q1543" s="32" t="str">
        <f t="shared" si="145"/>
        <v>-</v>
      </c>
      <c r="S1543" s="32" t="str">
        <f t="shared" si="146"/>
        <v>-</v>
      </c>
    </row>
    <row r="1544" spans="1:19" x14ac:dyDescent="0.3">
      <c r="A1544" s="45" t="s">
        <v>3846</v>
      </c>
      <c r="B1544" s="40" t="s">
        <v>659</v>
      </c>
      <c r="C1544" s="41" t="s">
        <v>1984</v>
      </c>
      <c r="D1544" s="21" t="s">
        <v>2242</v>
      </c>
      <c r="E1544" s="21" t="s">
        <v>2222</v>
      </c>
      <c r="F1544" s="24">
        <v>0.11092384062006043</v>
      </c>
      <c r="G1544" s="21">
        <v>12</v>
      </c>
      <c r="H1544" s="17">
        <v>14.7</v>
      </c>
      <c r="I1544" s="43" t="s">
        <v>3950</v>
      </c>
      <c r="J1544" s="26"/>
      <c r="K1544" s="17">
        <f t="shared" si="144"/>
        <v>0</v>
      </c>
      <c r="N1544" s="31" t="str">
        <f t="shared" si="147"/>
        <v>-</v>
      </c>
      <c r="O1544" s="31" t="str">
        <f t="shared" si="149"/>
        <v>-</v>
      </c>
      <c r="P1544" s="35" t="str">
        <f t="shared" si="148"/>
        <v>-</v>
      </c>
      <c r="Q1544" s="32" t="str">
        <f t="shared" si="145"/>
        <v>-</v>
      </c>
      <c r="S1544" s="32" t="str">
        <f t="shared" si="146"/>
        <v>-</v>
      </c>
    </row>
    <row r="1545" spans="1:19" x14ac:dyDescent="0.3">
      <c r="A1545" s="45" t="s">
        <v>3847</v>
      </c>
      <c r="B1545" s="40" t="s">
        <v>810</v>
      </c>
      <c r="C1545" s="41" t="s">
        <v>2185</v>
      </c>
      <c r="D1545" s="21" t="s">
        <v>2224</v>
      </c>
      <c r="E1545" s="21" t="s">
        <v>2232</v>
      </c>
      <c r="F1545" s="24">
        <v>9.6465772823131249E-2</v>
      </c>
      <c r="G1545" s="21">
        <v>12</v>
      </c>
      <c r="H1545" s="17">
        <v>21.3</v>
      </c>
      <c r="I1545" s="43" t="s">
        <v>3950</v>
      </c>
      <c r="J1545" s="26"/>
      <c r="K1545" s="17">
        <f t="shared" si="144"/>
        <v>0</v>
      </c>
      <c r="N1545" s="31" t="str">
        <f t="shared" si="147"/>
        <v>-</v>
      </c>
      <c r="O1545" s="31" t="str">
        <f t="shared" si="149"/>
        <v>-</v>
      </c>
      <c r="P1545" s="35" t="str">
        <f t="shared" si="148"/>
        <v>-</v>
      </c>
      <c r="Q1545" s="32" t="str">
        <f t="shared" si="145"/>
        <v>-</v>
      </c>
      <c r="S1545" s="32" t="str">
        <f t="shared" si="146"/>
        <v>-</v>
      </c>
    </row>
    <row r="1546" spans="1:19" x14ac:dyDescent="0.3">
      <c r="A1546" s="45" t="s">
        <v>3850</v>
      </c>
      <c r="B1546" s="40" t="s">
        <v>1341</v>
      </c>
      <c r="C1546" s="41" t="s">
        <v>2186</v>
      </c>
      <c r="D1546" s="21" t="s">
        <v>2227</v>
      </c>
      <c r="E1546" s="21" t="s">
        <v>2222</v>
      </c>
      <c r="F1546" s="24">
        <v>7.9862591109743739E-2</v>
      </c>
      <c r="G1546" s="21">
        <v>12</v>
      </c>
      <c r="H1546" s="17">
        <v>37.19</v>
      </c>
      <c r="I1546" s="43" t="s">
        <v>3950</v>
      </c>
      <c r="J1546" s="26"/>
      <c r="K1546" s="17">
        <f t="shared" si="144"/>
        <v>0</v>
      </c>
      <c r="N1546" s="31" t="str">
        <f t="shared" si="147"/>
        <v>-</v>
      </c>
      <c r="O1546" s="31" t="str">
        <f t="shared" si="149"/>
        <v>-</v>
      </c>
      <c r="P1546" s="35" t="str">
        <f t="shared" si="148"/>
        <v>-</v>
      </c>
      <c r="Q1546" s="32" t="str">
        <f t="shared" si="145"/>
        <v>-</v>
      </c>
      <c r="S1546" s="32" t="str">
        <f t="shared" si="146"/>
        <v>-</v>
      </c>
    </row>
    <row r="1547" spans="1:19" x14ac:dyDescent="0.3">
      <c r="A1547" s="45" t="s">
        <v>3853</v>
      </c>
      <c r="B1547" s="40" t="s">
        <v>1281</v>
      </c>
      <c r="C1547" s="41" t="s">
        <v>2188</v>
      </c>
      <c r="D1547" s="21" t="s">
        <v>2224</v>
      </c>
      <c r="E1547" s="21" t="s">
        <v>2222</v>
      </c>
      <c r="F1547" s="24">
        <v>9.4385012324166684E-2</v>
      </c>
      <c r="G1547" s="21">
        <v>12</v>
      </c>
      <c r="H1547" s="17">
        <v>7.35</v>
      </c>
      <c r="I1547" s="43" t="s">
        <v>3950</v>
      </c>
      <c r="J1547" s="26"/>
      <c r="K1547" s="17">
        <f t="shared" si="144"/>
        <v>0</v>
      </c>
      <c r="N1547" s="31" t="str">
        <f t="shared" si="147"/>
        <v>-</v>
      </c>
      <c r="O1547" s="31" t="str">
        <f t="shared" si="149"/>
        <v>-</v>
      </c>
      <c r="P1547" s="35" t="str">
        <f t="shared" si="148"/>
        <v>-</v>
      </c>
      <c r="Q1547" s="32" t="str">
        <f t="shared" si="145"/>
        <v>-</v>
      </c>
      <c r="S1547" s="32" t="str">
        <f t="shared" si="146"/>
        <v>-</v>
      </c>
    </row>
    <row r="1548" spans="1:19" x14ac:dyDescent="0.3">
      <c r="A1548" s="45" t="s">
        <v>3854</v>
      </c>
      <c r="B1548" s="40" t="s">
        <v>479</v>
      </c>
      <c r="C1548" s="41" t="s">
        <v>2188</v>
      </c>
      <c r="D1548" s="21" t="s">
        <v>2227</v>
      </c>
      <c r="E1548" s="21" t="s">
        <v>2222</v>
      </c>
      <c r="F1548" s="24">
        <v>0.16474474878400003</v>
      </c>
      <c r="G1548" s="21">
        <v>12</v>
      </c>
      <c r="H1548" s="17">
        <v>13.65</v>
      </c>
      <c r="I1548" s="43" t="s">
        <v>3950</v>
      </c>
      <c r="J1548" s="26"/>
      <c r="K1548" s="17">
        <f t="shared" si="144"/>
        <v>0</v>
      </c>
      <c r="N1548" s="31" t="str">
        <f t="shared" si="147"/>
        <v>-</v>
      </c>
      <c r="O1548" s="31" t="str">
        <f t="shared" si="149"/>
        <v>-</v>
      </c>
      <c r="P1548" s="35" t="str">
        <f t="shared" si="148"/>
        <v>-</v>
      </c>
      <c r="Q1548" s="32" t="str">
        <f t="shared" si="145"/>
        <v>-</v>
      </c>
      <c r="S1548" s="32" t="str">
        <f t="shared" si="146"/>
        <v>-</v>
      </c>
    </row>
    <row r="1549" spans="1:19" x14ac:dyDescent="0.3">
      <c r="A1549" s="45" t="s">
        <v>3855</v>
      </c>
      <c r="B1549" s="40" t="s">
        <v>1102</v>
      </c>
      <c r="C1549" s="41" t="s">
        <v>2188</v>
      </c>
      <c r="D1549" s="21" t="s">
        <v>2233</v>
      </c>
      <c r="E1549" s="21" t="s">
        <v>2222</v>
      </c>
      <c r="F1549" s="24">
        <v>0.31318663180291667</v>
      </c>
      <c r="G1549" s="21">
        <v>12</v>
      </c>
      <c r="H1549" s="17">
        <v>25.79</v>
      </c>
      <c r="I1549" s="43" t="s">
        <v>3950</v>
      </c>
      <c r="J1549" s="26"/>
      <c r="K1549" s="17">
        <f t="shared" si="144"/>
        <v>0</v>
      </c>
      <c r="N1549" s="31" t="str">
        <f t="shared" si="147"/>
        <v>-</v>
      </c>
      <c r="O1549" s="31" t="str">
        <f t="shared" si="149"/>
        <v>-</v>
      </c>
      <c r="P1549" s="35" t="str">
        <f t="shared" si="148"/>
        <v>-</v>
      </c>
      <c r="Q1549" s="32" t="str">
        <f t="shared" si="145"/>
        <v>-</v>
      </c>
      <c r="S1549" s="32" t="str">
        <f t="shared" si="146"/>
        <v>-</v>
      </c>
    </row>
    <row r="1550" spans="1:19" x14ac:dyDescent="0.3">
      <c r="A1550" s="45" t="s">
        <v>3856</v>
      </c>
      <c r="B1550" s="40" t="s">
        <v>985</v>
      </c>
      <c r="C1550" s="41" t="s">
        <v>2015</v>
      </c>
      <c r="D1550" s="21" t="s">
        <v>2233</v>
      </c>
      <c r="E1550" s="21" t="s">
        <v>2222</v>
      </c>
      <c r="F1550" s="24">
        <v>0.58879086778948342</v>
      </c>
      <c r="G1550" s="21">
        <v>12</v>
      </c>
      <c r="H1550" s="17">
        <v>76.790000000000006</v>
      </c>
      <c r="I1550" s="43" t="s">
        <v>3950</v>
      </c>
      <c r="J1550" s="26"/>
      <c r="K1550" s="17">
        <f t="shared" si="144"/>
        <v>0</v>
      </c>
      <c r="N1550" s="31" t="str">
        <f t="shared" si="147"/>
        <v>-</v>
      </c>
      <c r="O1550" s="31" t="str">
        <f t="shared" si="149"/>
        <v>-</v>
      </c>
      <c r="P1550" s="35" t="str">
        <f t="shared" si="148"/>
        <v>-</v>
      </c>
      <c r="Q1550" s="32" t="str">
        <f t="shared" si="145"/>
        <v>-</v>
      </c>
      <c r="S1550" s="32" t="str">
        <f t="shared" si="146"/>
        <v>-</v>
      </c>
    </row>
    <row r="1551" spans="1:19" x14ac:dyDescent="0.3">
      <c r="A1551" s="45" t="s">
        <v>3857</v>
      </c>
      <c r="B1551" s="40" t="s">
        <v>635</v>
      </c>
      <c r="C1551" s="41" t="s">
        <v>2189</v>
      </c>
      <c r="D1551" s="21" t="s">
        <v>2223</v>
      </c>
      <c r="E1551" s="21" t="s">
        <v>2222</v>
      </c>
      <c r="F1551" s="24">
        <v>9.223989840770834E-2</v>
      </c>
      <c r="G1551" s="21">
        <v>12</v>
      </c>
      <c r="H1551" s="17">
        <v>19.190000000000001</v>
      </c>
      <c r="I1551" s="43" t="s">
        <v>3950</v>
      </c>
      <c r="J1551" s="26"/>
      <c r="K1551" s="17">
        <f t="shared" si="144"/>
        <v>0</v>
      </c>
      <c r="N1551" s="31" t="str">
        <f t="shared" si="147"/>
        <v>-</v>
      </c>
      <c r="O1551" s="31" t="str">
        <f t="shared" si="149"/>
        <v>-</v>
      </c>
      <c r="P1551" s="35" t="str">
        <f t="shared" si="148"/>
        <v>-</v>
      </c>
      <c r="Q1551" s="32" t="str">
        <f t="shared" si="145"/>
        <v>-</v>
      </c>
      <c r="S1551" s="32" t="str">
        <f t="shared" si="146"/>
        <v>-</v>
      </c>
    </row>
    <row r="1552" spans="1:19" x14ac:dyDescent="0.3">
      <c r="A1552" s="45" t="s">
        <v>3858</v>
      </c>
      <c r="B1552" s="40" t="s">
        <v>1349</v>
      </c>
      <c r="C1552" s="41" t="s">
        <v>2189</v>
      </c>
      <c r="D1552" s="21" t="s">
        <v>2224</v>
      </c>
      <c r="E1552" s="21" t="s">
        <v>2222</v>
      </c>
      <c r="F1552" s="24">
        <v>0.15359015641841667</v>
      </c>
      <c r="G1552" s="21">
        <v>12</v>
      </c>
      <c r="H1552" s="17">
        <v>37.19</v>
      </c>
      <c r="I1552" s="43" t="s">
        <v>3950</v>
      </c>
      <c r="J1552" s="26"/>
      <c r="K1552" s="17">
        <f t="shared" si="144"/>
        <v>0</v>
      </c>
      <c r="N1552" s="31" t="str">
        <f t="shared" si="147"/>
        <v>-</v>
      </c>
      <c r="O1552" s="31" t="str">
        <f t="shared" si="149"/>
        <v>-</v>
      </c>
      <c r="P1552" s="35" t="str">
        <f t="shared" si="148"/>
        <v>-</v>
      </c>
      <c r="Q1552" s="32" t="str">
        <f t="shared" si="145"/>
        <v>-</v>
      </c>
      <c r="S1552" s="32" t="str">
        <f t="shared" si="146"/>
        <v>-</v>
      </c>
    </row>
    <row r="1553" spans="1:19" x14ac:dyDescent="0.3">
      <c r="A1553" s="45" t="s">
        <v>3859</v>
      </c>
      <c r="B1553" s="40" t="s">
        <v>2305</v>
      </c>
      <c r="C1553" s="41" t="s">
        <v>2189</v>
      </c>
      <c r="D1553" s="21" t="s">
        <v>2225</v>
      </c>
      <c r="E1553" s="21" t="s">
        <v>2222</v>
      </c>
      <c r="F1553" s="24">
        <v>0.20593093598000001</v>
      </c>
      <c r="G1553" s="21">
        <v>12</v>
      </c>
      <c r="H1553" s="17">
        <v>55.19</v>
      </c>
      <c r="I1553" s="43" t="s">
        <v>3950</v>
      </c>
      <c r="J1553" s="26"/>
      <c r="K1553" s="17">
        <f t="shared" si="144"/>
        <v>0</v>
      </c>
      <c r="N1553" s="31" t="str">
        <f t="shared" si="147"/>
        <v>-</v>
      </c>
      <c r="O1553" s="31" t="str">
        <f t="shared" si="149"/>
        <v>-</v>
      </c>
      <c r="P1553" s="35" t="str">
        <f t="shared" si="148"/>
        <v>-</v>
      </c>
      <c r="Q1553" s="32" t="str">
        <f t="shared" si="145"/>
        <v>-</v>
      </c>
      <c r="S1553" s="32" t="str">
        <f t="shared" si="146"/>
        <v>-</v>
      </c>
    </row>
    <row r="1554" spans="1:19" x14ac:dyDescent="0.3">
      <c r="A1554" s="45" t="s">
        <v>3860</v>
      </c>
      <c r="B1554" s="40" t="s">
        <v>1454</v>
      </c>
      <c r="C1554" s="41" t="s">
        <v>2190</v>
      </c>
      <c r="D1554" s="21" t="s">
        <v>2230</v>
      </c>
      <c r="E1554" s="21" t="s">
        <v>2229</v>
      </c>
      <c r="F1554" s="24">
        <v>0.15972518221948748</v>
      </c>
      <c r="G1554" s="21">
        <v>12</v>
      </c>
      <c r="H1554" s="17">
        <v>9.59</v>
      </c>
      <c r="I1554" s="43" t="s">
        <v>3950</v>
      </c>
      <c r="J1554" s="26"/>
      <c r="K1554" s="17">
        <f t="shared" si="144"/>
        <v>0</v>
      </c>
      <c r="N1554" s="31" t="str">
        <f t="shared" si="147"/>
        <v>-</v>
      </c>
      <c r="O1554" s="31" t="str">
        <f t="shared" si="149"/>
        <v>-</v>
      </c>
      <c r="P1554" s="35" t="str">
        <f t="shared" si="148"/>
        <v>-</v>
      </c>
      <c r="Q1554" s="32" t="str">
        <f t="shared" si="145"/>
        <v>-</v>
      </c>
      <c r="S1554" s="32" t="str">
        <f t="shared" si="146"/>
        <v>-</v>
      </c>
    </row>
    <row r="1555" spans="1:19" x14ac:dyDescent="0.3">
      <c r="A1555" s="45" t="s">
        <v>3861</v>
      </c>
      <c r="B1555" s="40" t="s">
        <v>658</v>
      </c>
      <c r="C1555" s="41" t="s">
        <v>2190</v>
      </c>
      <c r="D1555" s="21" t="s">
        <v>2235</v>
      </c>
      <c r="E1555" s="21" t="s">
        <v>2229</v>
      </c>
      <c r="F1555" s="24">
        <v>0.2831550369725</v>
      </c>
      <c r="G1555" s="21">
        <v>12</v>
      </c>
      <c r="H1555" s="17">
        <v>17.989999999999998</v>
      </c>
      <c r="I1555" s="43" t="s">
        <v>3950</v>
      </c>
      <c r="J1555" s="26"/>
      <c r="K1555" s="17">
        <f t="shared" si="144"/>
        <v>0</v>
      </c>
      <c r="N1555" s="31" t="str">
        <f t="shared" si="147"/>
        <v>-</v>
      </c>
      <c r="O1555" s="31" t="str">
        <f t="shared" si="149"/>
        <v>-</v>
      </c>
      <c r="P1555" s="35" t="str">
        <f t="shared" si="148"/>
        <v>-</v>
      </c>
      <c r="Q1555" s="32" t="str">
        <f t="shared" si="145"/>
        <v>-</v>
      </c>
      <c r="S1555" s="32" t="str">
        <f t="shared" si="146"/>
        <v>-</v>
      </c>
    </row>
    <row r="1556" spans="1:19" x14ac:dyDescent="0.3">
      <c r="A1556" s="45" t="s">
        <v>3862</v>
      </c>
      <c r="B1556" s="40" t="s">
        <v>1005</v>
      </c>
      <c r="C1556" s="41" t="s">
        <v>2190</v>
      </c>
      <c r="D1556" s="21" t="s">
        <v>2236</v>
      </c>
      <c r="E1556" s="21" t="s">
        <v>2229</v>
      </c>
      <c r="F1556" s="24">
        <v>0.55601352714600005</v>
      </c>
      <c r="G1556" s="21">
        <v>12</v>
      </c>
      <c r="H1556" s="17">
        <v>33.590000000000003</v>
      </c>
      <c r="I1556" s="43" t="s">
        <v>3950</v>
      </c>
      <c r="J1556" s="26"/>
      <c r="K1556" s="17">
        <f t="shared" si="144"/>
        <v>0</v>
      </c>
      <c r="N1556" s="31" t="str">
        <f t="shared" si="147"/>
        <v>-</v>
      </c>
      <c r="O1556" s="31" t="str">
        <f t="shared" si="149"/>
        <v>-</v>
      </c>
      <c r="P1556" s="35" t="str">
        <f t="shared" si="148"/>
        <v>-</v>
      </c>
      <c r="Q1556" s="32" t="str">
        <f t="shared" si="145"/>
        <v>-</v>
      </c>
      <c r="S1556" s="32" t="str">
        <f t="shared" si="146"/>
        <v>-</v>
      </c>
    </row>
    <row r="1557" spans="1:19" x14ac:dyDescent="0.3">
      <c r="A1557" s="45" t="s">
        <v>3863</v>
      </c>
      <c r="B1557" s="40" t="s">
        <v>1015</v>
      </c>
      <c r="C1557" s="41" t="s">
        <v>2191</v>
      </c>
      <c r="D1557" s="21" t="s">
        <v>2224</v>
      </c>
      <c r="E1557" s="21" t="s">
        <v>2232</v>
      </c>
      <c r="F1557" s="24">
        <v>7.758877035829792E-2</v>
      </c>
      <c r="G1557" s="21">
        <v>12</v>
      </c>
      <c r="H1557" s="17">
        <v>7.19</v>
      </c>
      <c r="I1557" s="43" t="s">
        <v>3950</v>
      </c>
      <c r="J1557" s="26"/>
      <c r="K1557" s="17">
        <f t="shared" si="144"/>
        <v>0</v>
      </c>
      <c r="N1557" s="31" t="str">
        <f t="shared" si="147"/>
        <v>-</v>
      </c>
      <c r="O1557" s="31" t="str">
        <f t="shared" si="149"/>
        <v>-</v>
      </c>
      <c r="P1557" s="35" t="str">
        <f t="shared" si="148"/>
        <v>-</v>
      </c>
      <c r="Q1557" s="32" t="str">
        <f t="shared" si="145"/>
        <v>-</v>
      </c>
      <c r="S1557" s="32" t="str">
        <f t="shared" si="146"/>
        <v>-</v>
      </c>
    </row>
    <row r="1558" spans="1:19" x14ac:dyDescent="0.3">
      <c r="A1558" s="45" t="s">
        <v>3865</v>
      </c>
      <c r="B1558" s="40" t="s">
        <v>166</v>
      </c>
      <c r="C1558" s="41" t="s">
        <v>2191</v>
      </c>
      <c r="D1558" s="21" t="s">
        <v>2233</v>
      </c>
      <c r="E1558" s="21" t="s">
        <v>2232</v>
      </c>
      <c r="F1558" s="24">
        <v>0.25597644365097288</v>
      </c>
      <c r="G1558" s="21">
        <v>12</v>
      </c>
      <c r="H1558" s="17">
        <v>25.19</v>
      </c>
      <c r="I1558" s="43" t="s">
        <v>3950</v>
      </c>
      <c r="J1558" s="26"/>
      <c r="K1558" s="17">
        <f t="shared" si="144"/>
        <v>0</v>
      </c>
      <c r="N1558" s="31" t="str">
        <f t="shared" si="147"/>
        <v>-</v>
      </c>
      <c r="O1558" s="31" t="str">
        <f t="shared" si="149"/>
        <v>-</v>
      </c>
      <c r="P1558" s="35" t="str">
        <f t="shared" si="148"/>
        <v>-</v>
      </c>
      <c r="Q1558" s="32" t="str">
        <f t="shared" si="145"/>
        <v>-</v>
      </c>
      <c r="S1558" s="32" t="str">
        <f t="shared" si="146"/>
        <v>-</v>
      </c>
    </row>
    <row r="1559" spans="1:19" x14ac:dyDescent="0.3">
      <c r="A1559" s="45" t="s">
        <v>3867</v>
      </c>
      <c r="B1559" s="40" t="s">
        <v>1217</v>
      </c>
      <c r="C1559" s="41" t="s">
        <v>2192</v>
      </c>
      <c r="D1559" s="21" t="s">
        <v>2227</v>
      </c>
      <c r="E1559" s="21" t="s">
        <v>2222</v>
      </c>
      <c r="F1559" s="24">
        <v>0.16307155992916253</v>
      </c>
      <c r="G1559" s="21">
        <v>12</v>
      </c>
      <c r="H1559" s="17">
        <v>14.7</v>
      </c>
      <c r="I1559" s="43" t="s">
        <v>3950</v>
      </c>
      <c r="J1559" s="26"/>
      <c r="K1559" s="17">
        <f t="shared" si="144"/>
        <v>0</v>
      </c>
      <c r="N1559" s="31" t="str">
        <f t="shared" si="147"/>
        <v>-</v>
      </c>
      <c r="O1559" s="31" t="str">
        <f t="shared" si="149"/>
        <v>-</v>
      </c>
      <c r="P1559" s="35" t="str">
        <f t="shared" si="148"/>
        <v>-</v>
      </c>
      <c r="Q1559" s="32" t="str">
        <f t="shared" si="145"/>
        <v>-</v>
      </c>
      <c r="S1559" s="32" t="str">
        <f t="shared" si="146"/>
        <v>-</v>
      </c>
    </row>
    <row r="1560" spans="1:19" x14ac:dyDescent="0.3">
      <c r="A1560" s="45" t="s">
        <v>3868</v>
      </c>
      <c r="B1560" s="40" t="s">
        <v>174</v>
      </c>
      <c r="C1560" s="41" t="s">
        <v>2192</v>
      </c>
      <c r="D1560" s="21" t="s">
        <v>2233</v>
      </c>
      <c r="E1560" s="21" t="s">
        <v>2222</v>
      </c>
      <c r="F1560" s="24">
        <v>0.30610775587860423</v>
      </c>
      <c r="G1560" s="21">
        <v>12</v>
      </c>
      <c r="H1560" s="17">
        <v>28.19</v>
      </c>
      <c r="I1560" s="43" t="s">
        <v>3950</v>
      </c>
      <c r="J1560" s="26"/>
      <c r="K1560" s="17">
        <f t="shared" si="144"/>
        <v>0</v>
      </c>
      <c r="N1560" s="31" t="str">
        <f t="shared" si="147"/>
        <v>-</v>
      </c>
      <c r="O1560" s="31" t="str">
        <f t="shared" si="149"/>
        <v>-</v>
      </c>
      <c r="P1560" s="35" t="str">
        <f t="shared" si="148"/>
        <v>-</v>
      </c>
      <c r="Q1560" s="32" t="str">
        <f t="shared" si="145"/>
        <v>-</v>
      </c>
      <c r="S1560" s="32" t="str">
        <f t="shared" si="146"/>
        <v>-</v>
      </c>
    </row>
    <row r="1561" spans="1:19" x14ac:dyDescent="0.3">
      <c r="A1561" s="45" t="s">
        <v>3871</v>
      </c>
      <c r="B1561" s="40" t="s">
        <v>270</v>
      </c>
      <c r="C1561" s="41" t="s">
        <v>2193</v>
      </c>
      <c r="D1561" s="21" t="s">
        <v>2223</v>
      </c>
      <c r="E1561" s="21" t="s">
        <v>2222</v>
      </c>
      <c r="F1561" s="24">
        <v>8.1085306042125008E-2</v>
      </c>
      <c r="G1561" s="21">
        <v>12</v>
      </c>
      <c r="H1561" s="17">
        <v>8.39</v>
      </c>
      <c r="I1561" s="43" t="s">
        <v>3950</v>
      </c>
      <c r="J1561" s="26"/>
      <c r="K1561" s="17">
        <f t="shared" si="144"/>
        <v>0</v>
      </c>
      <c r="N1561" s="31" t="str">
        <f t="shared" si="147"/>
        <v>-</v>
      </c>
      <c r="O1561" s="31" t="str">
        <f t="shared" si="149"/>
        <v>-</v>
      </c>
      <c r="P1561" s="35" t="str">
        <f t="shared" si="148"/>
        <v>-</v>
      </c>
      <c r="Q1561" s="32" t="str">
        <f t="shared" si="145"/>
        <v>-</v>
      </c>
      <c r="S1561" s="32" t="str">
        <f t="shared" si="146"/>
        <v>-</v>
      </c>
    </row>
    <row r="1562" spans="1:19" x14ac:dyDescent="0.3">
      <c r="A1562" s="45" t="s">
        <v>3872</v>
      </c>
      <c r="B1562" s="40" t="s">
        <v>269</v>
      </c>
      <c r="C1562" s="41" t="s">
        <v>2193</v>
      </c>
      <c r="D1562" s="21" t="s">
        <v>2224</v>
      </c>
      <c r="E1562" s="21" t="s">
        <v>2222</v>
      </c>
      <c r="F1562" s="24">
        <v>0.13544249268517919</v>
      </c>
      <c r="G1562" s="21">
        <v>12</v>
      </c>
      <c r="H1562" s="17">
        <v>15.59</v>
      </c>
      <c r="I1562" s="43" t="s">
        <v>3950</v>
      </c>
      <c r="J1562" s="26"/>
      <c r="K1562" s="17">
        <f t="shared" si="144"/>
        <v>0</v>
      </c>
      <c r="N1562" s="31" t="str">
        <f t="shared" si="147"/>
        <v>-</v>
      </c>
      <c r="O1562" s="31" t="str">
        <f t="shared" si="149"/>
        <v>-</v>
      </c>
      <c r="P1562" s="35" t="str">
        <f t="shared" si="148"/>
        <v>-</v>
      </c>
      <c r="Q1562" s="32" t="str">
        <f t="shared" si="145"/>
        <v>-</v>
      </c>
      <c r="S1562" s="32" t="str">
        <f t="shared" si="146"/>
        <v>-</v>
      </c>
    </row>
    <row r="1563" spans="1:19" x14ac:dyDescent="0.3">
      <c r="A1563" s="45" t="s">
        <v>3873</v>
      </c>
      <c r="B1563" s="40" t="s">
        <v>1125</v>
      </c>
      <c r="C1563" s="41" t="s">
        <v>2193</v>
      </c>
      <c r="D1563" s="21" t="s">
        <v>2227</v>
      </c>
      <c r="E1563" s="21" t="s">
        <v>2222</v>
      </c>
      <c r="F1563" s="24">
        <v>0.25312344214208338</v>
      </c>
      <c r="G1563" s="21">
        <v>12</v>
      </c>
      <c r="H1563" s="17">
        <v>29.99</v>
      </c>
      <c r="I1563" s="43" t="s">
        <v>3950</v>
      </c>
      <c r="J1563" s="26"/>
      <c r="K1563" s="17">
        <f t="shared" si="144"/>
        <v>0</v>
      </c>
      <c r="N1563" s="31" t="str">
        <f t="shared" si="147"/>
        <v>-</v>
      </c>
      <c r="O1563" s="31" t="str">
        <f t="shared" si="149"/>
        <v>-</v>
      </c>
      <c r="P1563" s="35" t="str">
        <f t="shared" si="148"/>
        <v>-</v>
      </c>
      <c r="Q1563" s="32" t="str">
        <f t="shared" si="145"/>
        <v>-</v>
      </c>
      <c r="S1563" s="32" t="str">
        <f t="shared" si="146"/>
        <v>-</v>
      </c>
    </row>
    <row r="1564" spans="1:19" x14ac:dyDescent="0.3">
      <c r="A1564" s="45" t="s">
        <v>3874</v>
      </c>
      <c r="B1564" s="40" t="s">
        <v>418</v>
      </c>
      <c r="C1564" s="41" t="s">
        <v>2194</v>
      </c>
      <c r="D1564" s="21" t="s">
        <v>2233</v>
      </c>
      <c r="E1564" s="21" t="s">
        <v>2222</v>
      </c>
      <c r="F1564" s="24">
        <v>0.34042957854193756</v>
      </c>
      <c r="G1564" s="21">
        <v>12</v>
      </c>
      <c r="H1564" s="17">
        <v>15.59</v>
      </c>
      <c r="I1564" s="43" t="s">
        <v>3950</v>
      </c>
      <c r="J1564" s="26"/>
      <c r="K1564" s="17">
        <f t="shared" si="144"/>
        <v>0</v>
      </c>
      <c r="N1564" s="31" t="str">
        <f t="shared" si="147"/>
        <v>-</v>
      </c>
      <c r="O1564" s="31" t="str">
        <f t="shared" si="149"/>
        <v>-</v>
      </c>
      <c r="P1564" s="35" t="str">
        <f t="shared" si="148"/>
        <v>-</v>
      </c>
      <c r="Q1564" s="32" t="str">
        <f t="shared" si="145"/>
        <v>-</v>
      </c>
      <c r="S1564" s="32" t="str">
        <f t="shared" si="146"/>
        <v>-</v>
      </c>
    </row>
    <row r="1565" spans="1:19" x14ac:dyDescent="0.3">
      <c r="A1565" s="45" t="s">
        <v>3875</v>
      </c>
      <c r="B1565" s="40" t="s">
        <v>634</v>
      </c>
      <c r="C1565" s="41" t="s">
        <v>2195</v>
      </c>
      <c r="D1565" s="21" t="s">
        <v>2223</v>
      </c>
      <c r="E1565" s="21" t="s">
        <v>2222</v>
      </c>
      <c r="F1565" s="24">
        <v>9.0523807274541665E-2</v>
      </c>
      <c r="G1565" s="21">
        <v>12</v>
      </c>
      <c r="H1565" s="17">
        <v>9.3000000000000007</v>
      </c>
      <c r="I1565" s="43" t="s">
        <v>3950</v>
      </c>
      <c r="J1565" s="26"/>
      <c r="K1565" s="17">
        <f t="shared" si="144"/>
        <v>0</v>
      </c>
      <c r="N1565" s="31" t="str">
        <f t="shared" si="147"/>
        <v>-</v>
      </c>
      <c r="O1565" s="31" t="str">
        <f t="shared" si="149"/>
        <v>-</v>
      </c>
      <c r="P1565" s="35" t="str">
        <f t="shared" si="148"/>
        <v>-</v>
      </c>
      <c r="Q1565" s="32" t="str">
        <f t="shared" si="145"/>
        <v>-</v>
      </c>
      <c r="S1565" s="32" t="str">
        <f t="shared" si="146"/>
        <v>-</v>
      </c>
    </row>
    <row r="1566" spans="1:19" x14ac:dyDescent="0.3">
      <c r="A1566" s="45" t="s">
        <v>3876</v>
      </c>
      <c r="B1566" s="40" t="s">
        <v>404</v>
      </c>
      <c r="C1566" s="41" t="s">
        <v>2195</v>
      </c>
      <c r="D1566" s="21" t="s">
        <v>2224</v>
      </c>
      <c r="E1566" s="21" t="s">
        <v>2222</v>
      </c>
      <c r="F1566" s="24">
        <v>0.16517377156729171</v>
      </c>
      <c r="G1566" s="21">
        <v>12</v>
      </c>
      <c r="H1566" s="17">
        <v>17.7</v>
      </c>
      <c r="I1566" s="43" t="s">
        <v>3950</v>
      </c>
      <c r="J1566" s="26"/>
      <c r="K1566" s="17">
        <f t="shared" si="144"/>
        <v>0</v>
      </c>
      <c r="N1566" s="31" t="str">
        <f t="shared" si="147"/>
        <v>-</v>
      </c>
      <c r="O1566" s="31" t="str">
        <f t="shared" si="149"/>
        <v>-</v>
      </c>
      <c r="P1566" s="35" t="str">
        <f t="shared" si="148"/>
        <v>-</v>
      </c>
      <c r="Q1566" s="32" t="str">
        <f t="shared" si="145"/>
        <v>-</v>
      </c>
      <c r="S1566" s="32" t="str">
        <f t="shared" si="146"/>
        <v>-</v>
      </c>
    </row>
    <row r="1567" spans="1:19" x14ac:dyDescent="0.3">
      <c r="A1567" s="45" t="s">
        <v>3877</v>
      </c>
      <c r="B1567" s="40" t="s">
        <v>1346</v>
      </c>
      <c r="C1567" s="41" t="s">
        <v>2196</v>
      </c>
      <c r="D1567" s="21" t="s">
        <v>2224</v>
      </c>
      <c r="E1567" s="21" t="s">
        <v>2222</v>
      </c>
      <c r="F1567" s="24">
        <v>0.15485577362912711</v>
      </c>
      <c r="G1567" s="21">
        <v>12</v>
      </c>
      <c r="H1567" s="17">
        <v>5.7</v>
      </c>
      <c r="I1567" s="43" t="s">
        <v>3950</v>
      </c>
      <c r="J1567" s="26"/>
      <c r="K1567" s="17">
        <f t="shared" si="144"/>
        <v>0</v>
      </c>
      <c r="N1567" s="31" t="str">
        <f t="shared" si="147"/>
        <v>-</v>
      </c>
      <c r="O1567" s="31" t="str">
        <f t="shared" si="149"/>
        <v>-</v>
      </c>
      <c r="P1567" s="35" t="str">
        <f t="shared" si="148"/>
        <v>-</v>
      </c>
      <c r="Q1567" s="32" t="str">
        <f t="shared" si="145"/>
        <v>-</v>
      </c>
      <c r="S1567" s="32" t="str">
        <f t="shared" si="146"/>
        <v>-</v>
      </c>
    </row>
    <row r="1568" spans="1:19" x14ac:dyDescent="0.3">
      <c r="A1568" s="45" t="s">
        <v>3878</v>
      </c>
      <c r="B1568" s="40" t="s">
        <v>656</v>
      </c>
      <c r="C1568" s="41" t="s">
        <v>2196</v>
      </c>
      <c r="D1568" s="21" t="s">
        <v>2227</v>
      </c>
      <c r="E1568" s="21" t="s">
        <v>2222</v>
      </c>
      <c r="F1568" s="24">
        <v>0.36595643414779166</v>
      </c>
      <c r="G1568" s="21">
        <v>12</v>
      </c>
      <c r="H1568" s="17">
        <v>10.19</v>
      </c>
      <c r="I1568" s="43" t="s">
        <v>3950</v>
      </c>
      <c r="J1568" s="26"/>
      <c r="K1568" s="17">
        <f t="shared" si="144"/>
        <v>0</v>
      </c>
      <c r="N1568" s="31" t="str">
        <f t="shared" si="147"/>
        <v>-</v>
      </c>
      <c r="O1568" s="31" t="str">
        <f t="shared" si="149"/>
        <v>-</v>
      </c>
      <c r="P1568" s="35" t="str">
        <f t="shared" si="148"/>
        <v>-</v>
      </c>
      <c r="Q1568" s="32" t="str">
        <f t="shared" si="145"/>
        <v>-</v>
      </c>
      <c r="S1568" s="32" t="str">
        <f t="shared" si="146"/>
        <v>-</v>
      </c>
    </row>
    <row r="1569" spans="1:19" x14ac:dyDescent="0.3">
      <c r="A1569" s="45" t="s">
        <v>3879</v>
      </c>
      <c r="B1569" s="40" t="s">
        <v>1037</v>
      </c>
      <c r="C1569" s="41" t="s">
        <v>2196</v>
      </c>
      <c r="D1569" s="21" t="s">
        <v>2233</v>
      </c>
      <c r="E1569" s="21" t="s">
        <v>2222</v>
      </c>
      <c r="F1569" s="24">
        <v>0.50813458453064997</v>
      </c>
      <c r="G1569" s="21">
        <v>12</v>
      </c>
      <c r="H1569" s="17">
        <v>19.190000000000001</v>
      </c>
      <c r="I1569" s="43" t="s">
        <v>3950</v>
      </c>
      <c r="J1569" s="26"/>
      <c r="K1569" s="17">
        <f t="shared" si="144"/>
        <v>0</v>
      </c>
      <c r="N1569" s="31" t="str">
        <f t="shared" si="147"/>
        <v>-</v>
      </c>
      <c r="O1569" s="31" t="str">
        <f t="shared" si="149"/>
        <v>-</v>
      </c>
      <c r="P1569" s="35" t="str">
        <f t="shared" si="148"/>
        <v>-</v>
      </c>
      <c r="Q1569" s="32" t="str">
        <f t="shared" si="145"/>
        <v>-</v>
      </c>
      <c r="S1569" s="32" t="str">
        <f t="shared" si="146"/>
        <v>-</v>
      </c>
    </row>
    <row r="1570" spans="1:19" x14ac:dyDescent="0.3">
      <c r="A1570" s="45" t="s">
        <v>3883</v>
      </c>
      <c r="B1570" s="40" t="s">
        <v>668</v>
      </c>
      <c r="C1570" s="41" t="s">
        <v>2198</v>
      </c>
      <c r="D1570" s="21" t="s">
        <v>2230</v>
      </c>
      <c r="E1570" s="21" t="s">
        <v>2229</v>
      </c>
      <c r="F1570" s="24">
        <v>0.16860595383362498</v>
      </c>
      <c r="G1570" s="21">
        <v>12</v>
      </c>
      <c r="H1570" s="17">
        <v>6.3</v>
      </c>
      <c r="I1570" s="43" t="s">
        <v>3950</v>
      </c>
      <c r="J1570" s="26"/>
      <c r="K1570" s="17">
        <f t="shared" si="144"/>
        <v>0</v>
      </c>
      <c r="N1570" s="31" t="str">
        <f t="shared" si="147"/>
        <v>-</v>
      </c>
      <c r="O1570" s="31" t="str">
        <f t="shared" si="149"/>
        <v>-</v>
      </c>
      <c r="P1570" s="35" t="str">
        <f t="shared" si="148"/>
        <v>-</v>
      </c>
      <c r="Q1570" s="32" t="str">
        <f t="shared" si="145"/>
        <v>-</v>
      </c>
      <c r="S1570" s="32" t="str">
        <f t="shared" si="146"/>
        <v>-</v>
      </c>
    </row>
    <row r="1571" spans="1:19" x14ac:dyDescent="0.3">
      <c r="A1571" s="45" t="s">
        <v>3885</v>
      </c>
      <c r="B1571" s="40" t="s">
        <v>1248</v>
      </c>
      <c r="C1571" s="41" t="s">
        <v>2199</v>
      </c>
      <c r="D1571" s="21" t="s">
        <v>2227</v>
      </c>
      <c r="E1571" s="21" t="s">
        <v>2232</v>
      </c>
      <c r="F1571" s="24">
        <v>5.6201984611208351E-2</v>
      </c>
      <c r="G1571" s="21">
        <v>12</v>
      </c>
      <c r="H1571" s="17">
        <v>10.5</v>
      </c>
      <c r="I1571" s="43" t="s">
        <v>3950</v>
      </c>
      <c r="J1571" s="26"/>
      <c r="K1571" s="17">
        <f t="shared" si="144"/>
        <v>0</v>
      </c>
      <c r="N1571" s="31" t="str">
        <f t="shared" si="147"/>
        <v>-</v>
      </c>
      <c r="O1571" s="31" t="str">
        <f t="shared" si="149"/>
        <v>-</v>
      </c>
      <c r="P1571" s="35" t="str">
        <f t="shared" si="148"/>
        <v>-</v>
      </c>
      <c r="Q1571" s="32" t="str">
        <f t="shared" si="145"/>
        <v>-</v>
      </c>
      <c r="S1571" s="32" t="str">
        <f t="shared" si="146"/>
        <v>-</v>
      </c>
    </row>
    <row r="1572" spans="1:19" x14ac:dyDescent="0.3">
      <c r="A1572" s="45" t="s">
        <v>3887</v>
      </c>
      <c r="B1572" s="40" t="s">
        <v>1253</v>
      </c>
      <c r="C1572" s="41" t="s">
        <v>2200</v>
      </c>
      <c r="D1572" s="21" t="s">
        <v>2223</v>
      </c>
      <c r="E1572" s="21" t="s">
        <v>2222</v>
      </c>
      <c r="F1572" s="24">
        <v>9.1381852841125016E-2</v>
      </c>
      <c r="G1572" s="21">
        <v>12</v>
      </c>
      <c r="H1572" s="17">
        <v>8.39</v>
      </c>
      <c r="I1572" s="43" t="s">
        <v>3950</v>
      </c>
      <c r="J1572" s="26"/>
      <c r="K1572" s="17">
        <f t="shared" si="144"/>
        <v>0</v>
      </c>
      <c r="N1572" s="31" t="str">
        <f t="shared" si="147"/>
        <v>-</v>
      </c>
      <c r="O1572" s="31" t="str">
        <f t="shared" si="149"/>
        <v>-</v>
      </c>
      <c r="P1572" s="35" t="str">
        <f t="shared" si="148"/>
        <v>-</v>
      </c>
      <c r="Q1572" s="32" t="str">
        <f t="shared" si="145"/>
        <v>-</v>
      </c>
      <c r="S1572" s="32" t="str">
        <f t="shared" si="146"/>
        <v>-</v>
      </c>
    </row>
    <row r="1573" spans="1:19" x14ac:dyDescent="0.3">
      <c r="A1573" s="45" t="s">
        <v>3888</v>
      </c>
      <c r="B1573" s="40" t="s">
        <v>444</v>
      </c>
      <c r="C1573" s="41" t="s">
        <v>2200</v>
      </c>
      <c r="D1573" s="21" t="s">
        <v>2224</v>
      </c>
      <c r="E1573" s="21" t="s">
        <v>2222</v>
      </c>
      <c r="F1573" s="24">
        <v>0.15359015641841667</v>
      </c>
      <c r="G1573" s="21">
        <v>12</v>
      </c>
      <c r="H1573" s="17">
        <v>15.9</v>
      </c>
      <c r="I1573" s="43" t="s">
        <v>3950</v>
      </c>
      <c r="J1573" s="26"/>
      <c r="K1573" s="17">
        <f t="shared" si="144"/>
        <v>0</v>
      </c>
      <c r="N1573" s="31" t="str">
        <f t="shared" si="147"/>
        <v>-</v>
      </c>
      <c r="O1573" s="31" t="str">
        <f t="shared" si="149"/>
        <v>-</v>
      </c>
      <c r="P1573" s="35" t="str">
        <f t="shared" si="148"/>
        <v>-</v>
      </c>
      <c r="Q1573" s="32" t="str">
        <f t="shared" si="145"/>
        <v>-</v>
      </c>
      <c r="S1573" s="32" t="str">
        <f t="shared" si="146"/>
        <v>-</v>
      </c>
    </row>
    <row r="1574" spans="1:19" x14ac:dyDescent="0.3">
      <c r="A1574" s="45" t="s">
        <v>3889</v>
      </c>
      <c r="B1574" s="40" t="s">
        <v>1364</v>
      </c>
      <c r="C1574" s="41" t="s">
        <v>2201</v>
      </c>
      <c r="D1574" s="21" t="s">
        <v>2223</v>
      </c>
      <c r="E1574" s="21" t="s">
        <v>2222</v>
      </c>
      <c r="F1574" s="24">
        <v>3.6209522909816669E-3</v>
      </c>
      <c r="G1574" s="21">
        <v>12</v>
      </c>
      <c r="H1574" s="17">
        <v>4.95</v>
      </c>
      <c r="I1574" s="43" t="s">
        <v>3950</v>
      </c>
      <c r="J1574" s="26"/>
      <c r="K1574" s="17">
        <f t="shared" si="144"/>
        <v>0</v>
      </c>
      <c r="N1574" s="31" t="str">
        <f t="shared" si="147"/>
        <v>-</v>
      </c>
      <c r="O1574" s="31" t="str">
        <f t="shared" si="149"/>
        <v>-</v>
      </c>
      <c r="P1574" s="35" t="str">
        <f t="shared" si="148"/>
        <v>-</v>
      </c>
      <c r="Q1574" s="32" t="str">
        <f t="shared" si="145"/>
        <v>-</v>
      </c>
      <c r="S1574" s="32" t="str">
        <f t="shared" si="146"/>
        <v>-</v>
      </c>
    </row>
    <row r="1575" spans="1:19" x14ac:dyDescent="0.3">
      <c r="A1575" s="45" t="s">
        <v>3890</v>
      </c>
      <c r="B1575" s="40" t="s">
        <v>1052</v>
      </c>
      <c r="C1575" s="41" t="s">
        <v>2201</v>
      </c>
      <c r="D1575" s="21" t="s">
        <v>2224</v>
      </c>
      <c r="E1575" s="21" t="s">
        <v>2222</v>
      </c>
      <c r="F1575" s="24">
        <v>4.7085250466260421E-2</v>
      </c>
      <c r="G1575" s="21">
        <v>12</v>
      </c>
      <c r="H1575" s="17">
        <v>8.99</v>
      </c>
      <c r="I1575" s="43" t="s">
        <v>3950</v>
      </c>
      <c r="J1575" s="26"/>
      <c r="K1575" s="17">
        <f t="shared" si="144"/>
        <v>0</v>
      </c>
      <c r="N1575" s="31" t="str">
        <f t="shared" si="147"/>
        <v>-</v>
      </c>
      <c r="O1575" s="31" t="str">
        <f t="shared" si="149"/>
        <v>-</v>
      </c>
      <c r="P1575" s="35" t="str">
        <f t="shared" si="148"/>
        <v>-</v>
      </c>
      <c r="Q1575" s="32" t="str">
        <f t="shared" si="145"/>
        <v>-</v>
      </c>
      <c r="S1575" s="32" t="str">
        <f t="shared" si="146"/>
        <v>-</v>
      </c>
    </row>
    <row r="1576" spans="1:19" x14ac:dyDescent="0.3">
      <c r="A1576" s="45" t="s">
        <v>3892</v>
      </c>
      <c r="B1576" s="40" t="s">
        <v>1059</v>
      </c>
      <c r="C1576" s="41" t="s">
        <v>2202</v>
      </c>
      <c r="D1576" s="21" t="s">
        <v>2227</v>
      </c>
      <c r="E1576" s="21" t="s">
        <v>2222</v>
      </c>
      <c r="F1576" s="24">
        <v>0.17804445506604172</v>
      </c>
      <c r="G1576" s="21">
        <v>12</v>
      </c>
      <c r="H1576" s="17">
        <v>8.39</v>
      </c>
      <c r="I1576" s="43" t="s">
        <v>3950</v>
      </c>
      <c r="J1576" s="26"/>
      <c r="K1576" s="17">
        <f t="shared" si="144"/>
        <v>0</v>
      </c>
      <c r="N1576" s="31" t="str">
        <f t="shared" si="147"/>
        <v>-</v>
      </c>
      <c r="O1576" s="31" t="str">
        <f t="shared" si="149"/>
        <v>-</v>
      </c>
      <c r="P1576" s="35" t="str">
        <f t="shared" si="148"/>
        <v>-</v>
      </c>
      <c r="Q1576" s="32" t="str">
        <f t="shared" si="145"/>
        <v>-</v>
      </c>
      <c r="S1576" s="32" t="str">
        <f t="shared" si="146"/>
        <v>-</v>
      </c>
    </row>
    <row r="1577" spans="1:19" x14ac:dyDescent="0.3">
      <c r="A1577" s="45" t="s">
        <v>3893</v>
      </c>
      <c r="B1577" s="40" t="s">
        <v>1455</v>
      </c>
      <c r="C1577" s="41" t="s">
        <v>2202</v>
      </c>
      <c r="D1577" s="21" t="s">
        <v>2233</v>
      </c>
      <c r="E1577" s="21" t="s">
        <v>2222</v>
      </c>
      <c r="F1577" s="24">
        <v>0.51482733995000007</v>
      </c>
      <c r="G1577" s="21">
        <v>12</v>
      </c>
      <c r="H1577" s="17">
        <v>15.59</v>
      </c>
      <c r="I1577" s="43" t="s">
        <v>3950</v>
      </c>
      <c r="J1577" s="26"/>
      <c r="K1577" s="17">
        <f t="shared" si="144"/>
        <v>0</v>
      </c>
      <c r="N1577" s="31" t="str">
        <f t="shared" si="147"/>
        <v>-</v>
      </c>
      <c r="O1577" s="31" t="str">
        <f t="shared" si="149"/>
        <v>-</v>
      </c>
      <c r="P1577" s="35" t="str">
        <f t="shared" si="148"/>
        <v>-</v>
      </c>
      <c r="Q1577" s="32" t="str">
        <f t="shared" si="145"/>
        <v>-</v>
      </c>
      <c r="S1577" s="32" t="str">
        <f t="shared" si="146"/>
        <v>-</v>
      </c>
    </row>
    <row r="1578" spans="1:19" x14ac:dyDescent="0.3">
      <c r="A1578" s="45" t="s">
        <v>3894</v>
      </c>
      <c r="B1578" s="40" t="s">
        <v>485</v>
      </c>
      <c r="C1578" s="41" t="s">
        <v>2203</v>
      </c>
      <c r="D1578" s="21" t="s">
        <v>2223</v>
      </c>
      <c r="E1578" s="21" t="s">
        <v>2222</v>
      </c>
      <c r="F1578" s="24">
        <v>9.5822238648193753E-2</v>
      </c>
      <c r="G1578" s="21">
        <v>12</v>
      </c>
      <c r="H1578" s="17">
        <v>12.59</v>
      </c>
      <c r="I1578" s="43" t="s">
        <v>3950</v>
      </c>
      <c r="J1578" s="26"/>
      <c r="K1578" s="17">
        <f t="shared" si="144"/>
        <v>0</v>
      </c>
      <c r="N1578" s="31" t="str">
        <f t="shared" si="147"/>
        <v>-</v>
      </c>
      <c r="O1578" s="31" t="str">
        <f t="shared" si="149"/>
        <v>-</v>
      </c>
      <c r="P1578" s="35" t="str">
        <f t="shared" si="148"/>
        <v>-</v>
      </c>
      <c r="Q1578" s="32" t="str">
        <f t="shared" si="145"/>
        <v>-</v>
      </c>
      <c r="S1578" s="32" t="str">
        <f t="shared" si="146"/>
        <v>-</v>
      </c>
    </row>
    <row r="1579" spans="1:19" x14ac:dyDescent="0.3">
      <c r="A1579" s="45" t="s">
        <v>3895</v>
      </c>
      <c r="B1579" s="40" t="s">
        <v>626</v>
      </c>
      <c r="C1579" s="41" t="s">
        <v>2203</v>
      </c>
      <c r="D1579" s="21" t="s">
        <v>2224</v>
      </c>
      <c r="E1579" s="21" t="s">
        <v>2222</v>
      </c>
      <c r="F1579" s="24">
        <v>0.16684696042212915</v>
      </c>
      <c r="G1579" s="21">
        <v>12</v>
      </c>
      <c r="H1579" s="17">
        <v>23.99</v>
      </c>
      <c r="I1579" s="43" t="s">
        <v>3950</v>
      </c>
      <c r="J1579" s="26"/>
      <c r="K1579" s="17">
        <f t="shared" si="144"/>
        <v>0</v>
      </c>
      <c r="N1579" s="31" t="str">
        <f t="shared" si="147"/>
        <v>-</v>
      </c>
      <c r="O1579" s="31" t="str">
        <f t="shared" si="149"/>
        <v>-</v>
      </c>
      <c r="P1579" s="35" t="str">
        <f t="shared" si="148"/>
        <v>-</v>
      </c>
      <c r="Q1579" s="32" t="str">
        <f t="shared" si="145"/>
        <v>-</v>
      </c>
      <c r="S1579" s="32" t="str">
        <f t="shared" si="146"/>
        <v>-</v>
      </c>
    </row>
    <row r="1580" spans="1:19" x14ac:dyDescent="0.3">
      <c r="A1580" s="45" t="s">
        <v>3896</v>
      </c>
      <c r="B1580" s="40" t="s">
        <v>866</v>
      </c>
      <c r="C1580" s="41" t="s">
        <v>2203</v>
      </c>
      <c r="D1580" s="21" t="s">
        <v>2227</v>
      </c>
      <c r="E1580" s="21" t="s">
        <v>2222</v>
      </c>
      <c r="F1580" s="24">
        <v>0.28058090027275007</v>
      </c>
      <c r="G1580" s="21">
        <v>12</v>
      </c>
      <c r="H1580" s="17">
        <v>46.79</v>
      </c>
      <c r="I1580" s="43" t="s">
        <v>3950</v>
      </c>
      <c r="J1580" s="26"/>
      <c r="K1580" s="17">
        <f t="shared" si="144"/>
        <v>0</v>
      </c>
      <c r="N1580" s="31" t="str">
        <f t="shared" si="147"/>
        <v>-</v>
      </c>
      <c r="O1580" s="31" t="str">
        <f t="shared" si="149"/>
        <v>-</v>
      </c>
      <c r="P1580" s="35" t="str">
        <f t="shared" si="148"/>
        <v>-</v>
      </c>
      <c r="Q1580" s="32" t="str">
        <f t="shared" si="145"/>
        <v>-</v>
      </c>
      <c r="S1580" s="32" t="str">
        <f t="shared" si="146"/>
        <v>-</v>
      </c>
    </row>
    <row r="1581" spans="1:19" x14ac:dyDescent="0.3">
      <c r="A1581" s="45" t="s">
        <v>3897</v>
      </c>
      <c r="B1581" s="40" t="s">
        <v>303</v>
      </c>
      <c r="C1581" s="41" t="s">
        <v>2204</v>
      </c>
      <c r="D1581" s="21" t="s">
        <v>2223</v>
      </c>
      <c r="E1581" s="21" t="s">
        <v>2244</v>
      </c>
      <c r="F1581" s="24">
        <v>5.2126268169937505E-2</v>
      </c>
      <c r="G1581" s="21">
        <v>12</v>
      </c>
      <c r="H1581" s="17">
        <v>8.6999999999999993</v>
      </c>
      <c r="I1581" s="43" t="s">
        <v>3950</v>
      </c>
      <c r="J1581" s="26"/>
      <c r="K1581" s="17">
        <f t="shared" si="144"/>
        <v>0</v>
      </c>
      <c r="N1581" s="31" t="str">
        <f t="shared" si="147"/>
        <v>-</v>
      </c>
      <c r="O1581" s="31" t="str">
        <f t="shared" si="149"/>
        <v>-</v>
      </c>
      <c r="P1581" s="35" t="str">
        <f t="shared" si="148"/>
        <v>-</v>
      </c>
      <c r="Q1581" s="32" t="str">
        <f t="shared" si="145"/>
        <v>-</v>
      </c>
      <c r="S1581" s="32" t="str">
        <f t="shared" si="146"/>
        <v>-</v>
      </c>
    </row>
    <row r="1582" spans="1:19" x14ac:dyDescent="0.3">
      <c r="A1582" s="45" t="s">
        <v>3898</v>
      </c>
      <c r="B1582" s="40" t="s">
        <v>1365</v>
      </c>
      <c r="C1582" s="41" t="s">
        <v>2204</v>
      </c>
      <c r="D1582" s="21" t="s">
        <v>2224</v>
      </c>
      <c r="E1582" s="21" t="s">
        <v>2244</v>
      </c>
      <c r="F1582" s="24">
        <v>8.2029156165366671E-2</v>
      </c>
      <c r="G1582" s="21">
        <v>12</v>
      </c>
      <c r="H1582" s="17">
        <v>16.190000000000001</v>
      </c>
      <c r="I1582" s="43" t="s">
        <v>3950</v>
      </c>
      <c r="J1582" s="26"/>
      <c r="K1582" s="17">
        <f t="shared" ref="K1582:K1619" si="150">J1582*H1582</f>
        <v>0</v>
      </c>
      <c r="N1582" s="31" t="str">
        <f t="shared" si="147"/>
        <v>-</v>
      </c>
      <c r="O1582" s="31" t="str">
        <f t="shared" si="149"/>
        <v>-</v>
      </c>
      <c r="P1582" s="35" t="str">
        <f t="shared" si="148"/>
        <v>-</v>
      </c>
      <c r="Q1582" s="32" t="str">
        <f t="shared" si="145"/>
        <v>-</v>
      </c>
      <c r="S1582" s="32" t="str">
        <f t="shared" si="146"/>
        <v>-</v>
      </c>
    </row>
    <row r="1583" spans="1:19" x14ac:dyDescent="0.3">
      <c r="A1583" s="45" t="s">
        <v>3899</v>
      </c>
      <c r="B1583" s="40" t="s">
        <v>947</v>
      </c>
      <c r="C1583" s="41" t="s">
        <v>2205</v>
      </c>
      <c r="D1583" s="21" t="s">
        <v>2224</v>
      </c>
      <c r="E1583" s="21" t="s">
        <v>2278</v>
      </c>
      <c r="F1583" s="24">
        <v>0.28530015088895838</v>
      </c>
      <c r="G1583" s="21">
        <v>24</v>
      </c>
      <c r="H1583" s="17">
        <v>10.79</v>
      </c>
      <c r="I1583" s="43" t="s">
        <v>3950</v>
      </c>
      <c r="J1583" s="26"/>
      <c r="K1583" s="17">
        <f t="shared" si="150"/>
        <v>0</v>
      </c>
      <c r="N1583" s="31" t="str">
        <f t="shared" si="147"/>
        <v>-</v>
      </c>
      <c r="O1583" s="31" t="str">
        <f t="shared" si="149"/>
        <v>-</v>
      </c>
      <c r="P1583" s="35" t="str">
        <f t="shared" si="148"/>
        <v>-</v>
      </c>
      <c r="Q1583" s="32" t="str">
        <f t="shared" ref="Q1583:Q1619" si="151">IFERROR(IF($N$2&gt;0, $N$2*P1583, "-"), "-")</f>
        <v>-</v>
      </c>
      <c r="S1583" s="32" t="str">
        <f t="shared" ref="S1583:S1619" si="152">IFERROR(IF(Q1583+K1583=0, "-", IF(Q1583&gt;0, Q1583+K1583, "-")), "-")</f>
        <v>-</v>
      </c>
    </row>
    <row r="1584" spans="1:19" x14ac:dyDescent="0.3">
      <c r="A1584" s="45" t="s">
        <v>3900</v>
      </c>
      <c r="B1584" s="40" t="s">
        <v>475</v>
      </c>
      <c r="C1584" s="41" t="s">
        <v>1618</v>
      </c>
      <c r="D1584" s="21" t="s">
        <v>2224</v>
      </c>
      <c r="E1584" s="21" t="s">
        <v>2278</v>
      </c>
      <c r="F1584" s="24">
        <v>0.38397539104604167</v>
      </c>
      <c r="G1584" s="21">
        <v>12</v>
      </c>
      <c r="H1584" s="17">
        <v>11.99</v>
      </c>
      <c r="I1584" s="43" t="s">
        <v>3950</v>
      </c>
      <c r="J1584" s="26"/>
      <c r="K1584" s="17">
        <f t="shared" si="150"/>
        <v>0</v>
      </c>
      <c r="N1584" s="31" t="str">
        <f t="shared" si="147"/>
        <v>-</v>
      </c>
      <c r="O1584" s="31" t="str">
        <f t="shared" si="149"/>
        <v>-</v>
      </c>
      <c r="P1584" s="35" t="str">
        <f t="shared" si="148"/>
        <v>-</v>
      </c>
      <c r="Q1584" s="32" t="str">
        <f t="shared" si="151"/>
        <v>-</v>
      </c>
      <c r="S1584" s="32" t="str">
        <f t="shared" si="152"/>
        <v>-</v>
      </c>
    </row>
    <row r="1585" spans="1:19" x14ac:dyDescent="0.3">
      <c r="A1585" s="45" t="s">
        <v>3901</v>
      </c>
      <c r="B1585" s="40" t="s">
        <v>392</v>
      </c>
      <c r="C1585" s="41" t="s">
        <v>2206</v>
      </c>
      <c r="D1585" s="21" t="s">
        <v>2224</v>
      </c>
      <c r="E1585" s="21" t="s">
        <v>2244</v>
      </c>
      <c r="F1585" s="24">
        <v>4.6506069708816669E-2</v>
      </c>
      <c r="G1585" s="21">
        <v>12</v>
      </c>
      <c r="H1585" s="17">
        <v>11.1</v>
      </c>
      <c r="I1585" s="43" t="s">
        <v>3950</v>
      </c>
      <c r="J1585" s="26"/>
      <c r="K1585" s="17">
        <f t="shared" si="150"/>
        <v>0</v>
      </c>
      <c r="N1585" s="31" t="str">
        <f t="shared" si="147"/>
        <v>-</v>
      </c>
      <c r="O1585" s="31" t="str">
        <f t="shared" si="149"/>
        <v>-</v>
      </c>
      <c r="P1585" s="35" t="str">
        <f t="shared" si="148"/>
        <v>-</v>
      </c>
      <c r="Q1585" s="32" t="str">
        <f t="shared" si="151"/>
        <v>-</v>
      </c>
      <c r="S1585" s="32" t="str">
        <f t="shared" si="152"/>
        <v>-</v>
      </c>
    </row>
    <row r="1586" spans="1:19" x14ac:dyDescent="0.3">
      <c r="A1586" s="45" t="s">
        <v>3902</v>
      </c>
      <c r="B1586" s="40" t="s">
        <v>660</v>
      </c>
      <c r="C1586" s="41" t="s">
        <v>2206</v>
      </c>
      <c r="D1586" s="21" t="s">
        <v>2227</v>
      </c>
      <c r="E1586" s="21" t="s">
        <v>2244</v>
      </c>
      <c r="F1586" s="24">
        <v>0.17452646824304999</v>
      </c>
      <c r="G1586" s="21">
        <v>12</v>
      </c>
      <c r="H1586" s="17">
        <v>21.15</v>
      </c>
      <c r="I1586" s="43" t="s">
        <v>3950</v>
      </c>
      <c r="J1586" s="26"/>
      <c r="K1586" s="17">
        <f t="shared" si="150"/>
        <v>0</v>
      </c>
      <c r="N1586" s="31" t="str">
        <f t="shared" si="147"/>
        <v>-</v>
      </c>
      <c r="O1586" s="31" t="str">
        <f t="shared" si="149"/>
        <v>-</v>
      </c>
      <c r="P1586" s="35" t="str">
        <f t="shared" si="148"/>
        <v>-</v>
      </c>
      <c r="Q1586" s="32" t="str">
        <f t="shared" si="151"/>
        <v>-</v>
      </c>
      <c r="S1586" s="32" t="str">
        <f t="shared" si="152"/>
        <v>-</v>
      </c>
    </row>
    <row r="1587" spans="1:19" x14ac:dyDescent="0.3">
      <c r="A1587" s="45" t="s">
        <v>3903</v>
      </c>
      <c r="B1587" s="40" t="s">
        <v>1456</v>
      </c>
      <c r="C1587" s="41" t="s">
        <v>2207</v>
      </c>
      <c r="D1587" s="21" t="s">
        <v>2236</v>
      </c>
      <c r="E1587" s="21" t="s">
        <v>2240</v>
      </c>
      <c r="F1587" s="24">
        <v>0.37067568476400009</v>
      </c>
      <c r="G1587" s="21">
        <v>6</v>
      </c>
      <c r="H1587" s="17">
        <v>16.350000000000001</v>
      </c>
      <c r="I1587" s="43" t="s">
        <v>3950</v>
      </c>
      <c r="J1587" s="26"/>
      <c r="K1587" s="17">
        <f t="shared" si="150"/>
        <v>0</v>
      </c>
      <c r="N1587" s="31" t="str">
        <f t="shared" si="147"/>
        <v>-</v>
      </c>
      <c r="O1587" s="31" t="str">
        <f t="shared" si="149"/>
        <v>-</v>
      </c>
      <c r="P1587" s="35" t="str">
        <f t="shared" si="148"/>
        <v>-</v>
      </c>
      <c r="Q1587" s="32" t="str">
        <f t="shared" si="151"/>
        <v>-</v>
      </c>
      <c r="S1587" s="32" t="str">
        <f t="shared" si="152"/>
        <v>-</v>
      </c>
    </row>
    <row r="1588" spans="1:19" x14ac:dyDescent="0.3">
      <c r="A1588" s="45" t="s">
        <v>3904</v>
      </c>
      <c r="B1588" s="40" t="s">
        <v>853</v>
      </c>
      <c r="C1588" s="41" t="s">
        <v>2207</v>
      </c>
      <c r="D1588" s="21" t="s">
        <v>2231</v>
      </c>
      <c r="E1588" s="21" t="s">
        <v>2222</v>
      </c>
      <c r="F1588" s="24">
        <v>0.12613269828775001</v>
      </c>
      <c r="G1588" s="21">
        <v>12</v>
      </c>
      <c r="H1588" s="17">
        <v>6.3</v>
      </c>
      <c r="I1588" s="43" t="s">
        <v>3950</v>
      </c>
      <c r="J1588" s="26"/>
      <c r="K1588" s="17">
        <f t="shared" si="150"/>
        <v>0</v>
      </c>
      <c r="N1588" s="31" t="str">
        <f t="shared" si="147"/>
        <v>-</v>
      </c>
      <c r="O1588" s="31" t="str">
        <f t="shared" si="149"/>
        <v>-</v>
      </c>
      <c r="P1588" s="35" t="str">
        <f t="shared" si="148"/>
        <v>-</v>
      </c>
      <c r="Q1588" s="32" t="str">
        <f t="shared" si="151"/>
        <v>-</v>
      </c>
      <c r="S1588" s="32" t="str">
        <f t="shared" si="152"/>
        <v>-</v>
      </c>
    </row>
    <row r="1589" spans="1:19" x14ac:dyDescent="0.3">
      <c r="A1589" s="45" t="s">
        <v>3905</v>
      </c>
      <c r="B1589" s="40" t="s">
        <v>409</v>
      </c>
      <c r="C1589" s="41" t="s">
        <v>2207</v>
      </c>
      <c r="D1589" s="21" t="s">
        <v>2225</v>
      </c>
      <c r="E1589" s="21" t="s">
        <v>2222</v>
      </c>
      <c r="F1589" s="24">
        <v>0.23295937132737499</v>
      </c>
      <c r="G1589" s="21">
        <v>12</v>
      </c>
      <c r="H1589" s="17">
        <v>11.7</v>
      </c>
      <c r="I1589" s="43" t="s">
        <v>3950</v>
      </c>
      <c r="J1589" s="26"/>
      <c r="K1589" s="17">
        <f t="shared" si="150"/>
        <v>0</v>
      </c>
      <c r="N1589" s="31" t="str">
        <f t="shared" si="147"/>
        <v>-</v>
      </c>
      <c r="O1589" s="31" t="str">
        <f t="shared" si="149"/>
        <v>-</v>
      </c>
      <c r="P1589" s="35" t="str">
        <f t="shared" si="148"/>
        <v>-</v>
      </c>
      <c r="Q1589" s="32" t="str">
        <f t="shared" si="151"/>
        <v>-</v>
      </c>
      <c r="S1589" s="32" t="str">
        <f t="shared" si="152"/>
        <v>-</v>
      </c>
    </row>
    <row r="1590" spans="1:19" x14ac:dyDescent="0.3">
      <c r="A1590" s="45" t="s">
        <v>3906</v>
      </c>
      <c r="B1590" s="40" t="s">
        <v>148</v>
      </c>
      <c r="C1590" s="41" t="s">
        <v>3946</v>
      </c>
      <c r="D1590" s="21" t="s">
        <v>2223</v>
      </c>
      <c r="E1590" s="21" t="s">
        <v>2244</v>
      </c>
      <c r="F1590" s="24">
        <v>5.6588105116170836E-2</v>
      </c>
      <c r="G1590" s="21">
        <v>12</v>
      </c>
      <c r="H1590" s="17">
        <v>5.99</v>
      </c>
      <c r="I1590" s="43" t="s">
        <v>3950</v>
      </c>
      <c r="J1590" s="26"/>
      <c r="K1590" s="17">
        <f t="shared" si="150"/>
        <v>0</v>
      </c>
      <c r="N1590" s="31" t="str">
        <f t="shared" si="147"/>
        <v>-</v>
      </c>
      <c r="O1590" s="31" t="str">
        <f t="shared" si="149"/>
        <v>-</v>
      </c>
      <c r="P1590" s="35" t="str">
        <f t="shared" si="148"/>
        <v>-</v>
      </c>
      <c r="Q1590" s="32" t="str">
        <f t="shared" si="151"/>
        <v>-</v>
      </c>
      <c r="S1590" s="32" t="str">
        <f t="shared" si="152"/>
        <v>-</v>
      </c>
    </row>
    <row r="1591" spans="1:19" x14ac:dyDescent="0.3">
      <c r="A1591" s="45" t="s">
        <v>3907</v>
      </c>
      <c r="B1591" s="40" t="s">
        <v>150</v>
      </c>
      <c r="C1591" s="41" t="s">
        <v>3946</v>
      </c>
      <c r="D1591" s="21" t="s">
        <v>2224</v>
      </c>
      <c r="E1591" s="21" t="s">
        <v>2244</v>
      </c>
      <c r="F1591" s="24">
        <v>8.3659442741875006E-2</v>
      </c>
      <c r="G1591" s="21">
        <v>12</v>
      </c>
      <c r="H1591" s="17">
        <v>10.19</v>
      </c>
      <c r="I1591" s="43" t="s">
        <v>3950</v>
      </c>
      <c r="J1591" s="26"/>
      <c r="K1591" s="17">
        <f t="shared" si="150"/>
        <v>0</v>
      </c>
      <c r="N1591" s="31" t="str">
        <f t="shared" si="147"/>
        <v>-</v>
      </c>
      <c r="O1591" s="31" t="str">
        <f t="shared" si="149"/>
        <v>-</v>
      </c>
      <c r="P1591" s="35" t="str">
        <f t="shared" si="148"/>
        <v>-</v>
      </c>
      <c r="Q1591" s="32" t="str">
        <f t="shared" si="151"/>
        <v>-</v>
      </c>
      <c r="S1591" s="32" t="str">
        <f t="shared" si="152"/>
        <v>-</v>
      </c>
    </row>
    <row r="1592" spans="1:19" x14ac:dyDescent="0.3">
      <c r="A1592" s="45" t="s">
        <v>3908</v>
      </c>
      <c r="B1592" s="40" t="s">
        <v>190</v>
      </c>
      <c r="C1592" s="41" t="s">
        <v>3946</v>
      </c>
      <c r="D1592" s="21" t="s">
        <v>2227</v>
      </c>
      <c r="E1592" s="21" t="s">
        <v>2244</v>
      </c>
      <c r="F1592" s="24">
        <v>0.15367596097507499</v>
      </c>
      <c r="G1592" s="21">
        <v>12</v>
      </c>
      <c r="H1592" s="17">
        <v>18.59</v>
      </c>
      <c r="I1592" s="43" t="s">
        <v>3950</v>
      </c>
      <c r="J1592" s="26"/>
      <c r="K1592" s="17">
        <f t="shared" si="150"/>
        <v>0</v>
      </c>
      <c r="N1592" s="31" t="str">
        <f t="shared" si="147"/>
        <v>-</v>
      </c>
      <c r="O1592" s="31" t="str">
        <f t="shared" si="149"/>
        <v>-</v>
      </c>
      <c r="P1592" s="35" t="str">
        <f t="shared" si="148"/>
        <v>-</v>
      </c>
      <c r="Q1592" s="32" t="str">
        <f t="shared" si="151"/>
        <v>-</v>
      </c>
      <c r="S1592" s="32" t="str">
        <f t="shared" si="152"/>
        <v>-</v>
      </c>
    </row>
    <row r="1593" spans="1:19" x14ac:dyDescent="0.3">
      <c r="A1593" s="45" t="s">
        <v>3909</v>
      </c>
      <c r="B1593" s="40" t="s">
        <v>631</v>
      </c>
      <c r="C1593" s="41" t="s">
        <v>2208</v>
      </c>
      <c r="D1593" s="21" t="s">
        <v>2231</v>
      </c>
      <c r="E1593" s="21" t="s">
        <v>2244</v>
      </c>
      <c r="F1593" s="24">
        <v>7.2075827592999991E-2</v>
      </c>
      <c r="G1593" s="21">
        <v>12</v>
      </c>
      <c r="H1593" s="17">
        <v>7.05</v>
      </c>
      <c r="I1593" s="43" t="s">
        <v>3950</v>
      </c>
      <c r="J1593" s="26"/>
      <c r="K1593" s="17">
        <f t="shared" si="150"/>
        <v>0</v>
      </c>
      <c r="N1593" s="31" t="str">
        <f t="shared" si="147"/>
        <v>-</v>
      </c>
      <c r="O1593" s="31" t="str">
        <f t="shared" si="149"/>
        <v>-</v>
      </c>
      <c r="P1593" s="35" t="str">
        <f t="shared" si="148"/>
        <v>-</v>
      </c>
      <c r="Q1593" s="32" t="str">
        <f t="shared" si="151"/>
        <v>-</v>
      </c>
      <c r="S1593" s="32" t="str">
        <f t="shared" si="152"/>
        <v>-</v>
      </c>
    </row>
    <row r="1594" spans="1:19" x14ac:dyDescent="0.3">
      <c r="A1594" s="45" t="s">
        <v>3910</v>
      </c>
      <c r="B1594" s="40" t="s">
        <v>181</v>
      </c>
      <c r="C1594" s="41" t="s">
        <v>2208</v>
      </c>
      <c r="D1594" s="21" t="s">
        <v>2225</v>
      </c>
      <c r="E1594" s="21" t="s">
        <v>2244</v>
      </c>
      <c r="F1594" s="24">
        <v>0.10296546799</v>
      </c>
      <c r="G1594" s="21">
        <v>12</v>
      </c>
      <c r="H1594" s="17">
        <v>13.19</v>
      </c>
      <c r="I1594" s="43" t="s">
        <v>3950</v>
      </c>
      <c r="J1594" s="26"/>
      <c r="K1594" s="17">
        <f t="shared" si="150"/>
        <v>0</v>
      </c>
      <c r="N1594" s="31" t="str">
        <f t="shared" ref="N1594:N1619" si="153">IFERROR(IF($N$2*F1594=0, "-", $N$2*F1594), "-")</f>
        <v>-</v>
      </c>
      <c r="O1594" s="31" t="str">
        <f t="shared" si="149"/>
        <v>-</v>
      </c>
      <c r="P1594" s="35" t="str">
        <f t="shared" ref="P1594:P1619" si="154">IF(J1594&gt;0,J1594*F1594, "-")</f>
        <v>-</v>
      </c>
      <c r="Q1594" s="32" t="str">
        <f t="shared" si="151"/>
        <v>-</v>
      </c>
      <c r="S1594" s="32" t="str">
        <f t="shared" si="152"/>
        <v>-</v>
      </c>
    </row>
    <row r="1595" spans="1:19" x14ac:dyDescent="0.3">
      <c r="A1595" s="45" t="s">
        <v>3911</v>
      </c>
      <c r="B1595" s="40" t="s">
        <v>476</v>
      </c>
      <c r="C1595" s="41" t="s">
        <v>2208</v>
      </c>
      <c r="D1595" s="21" t="s">
        <v>2226</v>
      </c>
      <c r="E1595" s="21" t="s">
        <v>2244</v>
      </c>
      <c r="F1595" s="24">
        <v>0.24196884977650002</v>
      </c>
      <c r="G1595" s="21">
        <v>12</v>
      </c>
      <c r="H1595" s="17">
        <v>25.5</v>
      </c>
      <c r="I1595" s="43" t="s">
        <v>3950</v>
      </c>
      <c r="J1595" s="26"/>
      <c r="K1595" s="17">
        <f t="shared" si="150"/>
        <v>0</v>
      </c>
      <c r="N1595" s="31" t="str">
        <f t="shared" si="153"/>
        <v>-</v>
      </c>
      <c r="O1595" s="31" t="str">
        <f t="shared" si="149"/>
        <v>-</v>
      </c>
      <c r="P1595" s="35" t="str">
        <f t="shared" si="154"/>
        <v>-</v>
      </c>
      <c r="Q1595" s="32" t="str">
        <f t="shared" si="151"/>
        <v>-</v>
      </c>
      <c r="S1595" s="32" t="str">
        <f t="shared" si="152"/>
        <v>-</v>
      </c>
    </row>
    <row r="1596" spans="1:19" x14ac:dyDescent="0.3">
      <c r="A1596" s="45" t="s">
        <v>3912</v>
      </c>
      <c r="B1596" s="40" t="s">
        <v>182</v>
      </c>
      <c r="C1596" s="41" t="s">
        <v>2206</v>
      </c>
      <c r="D1596" s="21" t="s">
        <v>2223</v>
      </c>
      <c r="E1596" s="21" t="s">
        <v>2244</v>
      </c>
      <c r="F1596" s="24">
        <v>5.9634166877541667E-2</v>
      </c>
      <c r="G1596" s="21">
        <v>12</v>
      </c>
      <c r="H1596" s="17">
        <v>5.99</v>
      </c>
      <c r="I1596" s="43" t="s">
        <v>3950</v>
      </c>
      <c r="J1596" s="26"/>
      <c r="K1596" s="17">
        <f t="shared" si="150"/>
        <v>0</v>
      </c>
      <c r="N1596" s="31" t="str">
        <f t="shared" si="153"/>
        <v>-</v>
      </c>
      <c r="O1596" s="31" t="str">
        <f t="shared" si="149"/>
        <v>-</v>
      </c>
      <c r="P1596" s="35" t="str">
        <f t="shared" si="154"/>
        <v>-</v>
      </c>
      <c r="Q1596" s="32" t="str">
        <f t="shared" si="151"/>
        <v>-</v>
      </c>
      <c r="S1596" s="32" t="str">
        <f t="shared" si="152"/>
        <v>-</v>
      </c>
    </row>
    <row r="1597" spans="1:19" x14ac:dyDescent="0.3">
      <c r="A1597" s="45" t="s">
        <v>3918</v>
      </c>
      <c r="B1597" s="40" t="s">
        <v>403</v>
      </c>
      <c r="C1597" s="41" t="s">
        <v>2211</v>
      </c>
      <c r="D1597" s="21" t="s">
        <v>2223</v>
      </c>
      <c r="E1597" s="21" t="s">
        <v>2244</v>
      </c>
      <c r="F1597" s="24">
        <v>3.2948949756800003E-2</v>
      </c>
      <c r="G1597" s="21">
        <v>12</v>
      </c>
      <c r="H1597" s="17">
        <v>6.3</v>
      </c>
      <c r="I1597" s="43" t="s">
        <v>3950</v>
      </c>
      <c r="J1597" s="26"/>
      <c r="K1597" s="17">
        <f t="shared" si="150"/>
        <v>0</v>
      </c>
      <c r="N1597" s="31" t="str">
        <f t="shared" si="153"/>
        <v>-</v>
      </c>
      <c r="O1597" s="31" t="str">
        <f t="shared" ref="O1597:O1619" si="155">IFERROR(IF(N1597&gt;0,H1597+N1597,"-"),"-")</f>
        <v>-</v>
      </c>
      <c r="P1597" s="35" t="str">
        <f t="shared" si="154"/>
        <v>-</v>
      </c>
      <c r="Q1597" s="32" t="str">
        <f t="shared" si="151"/>
        <v>-</v>
      </c>
      <c r="S1597" s="32" t="str">
        <f t="shared" si="152"/>
        <v>-</v>
      </c>
    </row>
    <row r="1598" spans="1:19" x14ac:dyDescent="0.3">
      <c r="A1598" s="45" t="s">
        <v>3919</v>
      </c>
      <c r="B1598" s="40" t="s">
        <v>1265</v>
      </c>
      <c r="C1598" s="41" t="s">
        <v>2211</v>
      </c>
      <c r="D1598" s="21" t="s">
        <v>2224</v>
      </c>
      <c r="E1598" s="21" t="s">
        <v>2244</v>
      </c>
      <c r="F1598" s="24">
        <v>4.2988082885825001E-2</v>
      </c>
      <c r="G1598" s="21">
        <v>12</v>
      </c>
      <c r="H1598" s="17">
        <v>11.7</v>
      </c>
      <c r="I1598" s="43" t="s">
        <v>3950</v>
      </c>
      <c r="J1598" s="26"/>
      <c r="K1598" s="17">
        <f t="shared" si="150"/>
        <v>0</v>
      </c>
      <c r="N1598" s="31" t="str">
        <f t="shared" si="153"/>
        <v>-</v>
      </c>
      <c r="O1598" s="31" t="str">
        <f t="shared" si="155"/>
        <v>-</v>
      </c>
      <c r="P1598" s="35" t="str">
        <f t="shared" si="154"/>
        <v>-</v>
      </c>
      <c r="Q1598" s="32" t="str">
        <f t="shared" si="151"/>
        <v>-</v>
      </c>
      <c r="S1598" s="32" t="str">
        <f t="shared" si="152"/>
        <v>-</v>
      </c>
    </row>
    <row r="1599" spans="1:19" x14ac:dyDescent="0.3">
      <c r="A1599" s="45" t="s">
        <v>3920</v>
      </c>
      <c r="B1599" s="40" t="s">
        <v>470</v>
      </c>
      <c r="C1599" s="41" t="s">
        <v>2211</v>
      </c>
      <c r="D1599" s="21" t="s">
        <v>2227</v>
      </c>
      <c r="E1599" s="21" t="s">
        <v>2244</v>
      </c>
      <c r="F1599" s="24">
        <v>7.1861316201354164E-2</v>
      </c>
      <c r="G1599" s="21">
        <v>12</v>
      </c>
      <c r="H1599" s="17">
        <v>21.59</v>
      </c>
      <c r="I1599" s="43" t="s">
        <v>3950</v>
      </c>
      <c r="J1599" s="26"/>
      <c r="K1599" s="17">
        <f t="shared" si="150"/>
        <v>0</v>
      </c>
      <c r="N1599" s="31" t="str">
        <f t="shared" si="153"/>
        <v>-</v>
      </c>
      <c r="O1599" s="31" t="str">
        <f t="shared" si="155"/>
        <v>-</v>
      </c>
      <c r="P1599" s="35" t="str">
        <f t="shared" si="154"/>
        <v>-</v>
      </c>
      <c r="Q1599" s="32" t="str">
        <f t="shared" si="151"/>
        <v>-</v>
      </c>
      <c r="S1599" s="32" t="str">
        <f t="shared" si="152"/>
        <v>-</v>
      </c>
    </row>
    <row r="1600" spans="1:19" x14ac:dyDescent="0.3">
      <c r="A1600" s="45" t="s">
        <v>3921</v>
      </c>
      <c r="B1600" s="40" t="s">
        <v>183</v>
      </c>
      <c r="C1600" s="41" t="s">
        <v>2212</v>
      </c>
      <c r="D1600" s="21" t="s">
        <v>2223</v>
      </c>
      <c r="E1600" s="21" t="s">
        <v>2222</v>
      </c>
      <c r="F1600" s="24">
        <v>9.4385012324166684E-2</v>
      </c>
      <c r="G1600" s="21">
        <v>12</v>
      </c>
      <c r="H1600" s="17">
        <v>9.3000000000000007</v>
      </c>
      <c r="I1600" s="43" t="s">
        <v>3950</v>
      </c>
      <c r="J1600" s="26"/>
      <c r="K1600" s="17">
        <f t="shared" si="150"/>
        <v>0</v>
      </c>
      <c r="N1600" s="31" t="str">
        <f t="shared" si="153"/>
        <v>-</v>
      </c>
      <c r="O1600" s="31" t="str">
        <f t="shared" si="155"/>
        <v>-</v>
      </c>
      <c r="P1600" s="35" t="str">
        <f t="shared" si="154"/>
        <v>-</v>
      </c>
      <c r="Q1600" s="32" t="str">
        <f t="shared" si="151"/>
        <v>-</v>
      </c>
      <c r="S1600" s="32" t="str">
        <f t="shared" si="152"/>
        <v>-</v>
      </c>
    </row>
    <row r="1601" spans="1:19" x14ac:dyDescent="0.3">
      <c r="A1601" s="45" t="s">
        <v>3922</v>
      </c>
      <c r="B1601" s="40" t="s">
        <v>609</v>
      </c>
      <c r="C1601" s="41" t="s">
        <v>2212</v>
      </c>
      <c r="D1601" s="21" t="s">
        <v>2224</v>
      </c>
      <c r="E1601" s="21" t="s">
        <v>2222</v>
      </c>
      <c r="F1601" s="24">
        <v>0.15873842981791667</v>
      </c>
      <c r="G1601" s="21">
        <v>12</v>
      </c>
      <c r="H1601" s="17">
        <v>17.39</v>
      </c>
      <c r="I1601" s="43" t="s">
        <v>3950</v>
      </c>
      <c r="J1601" s="26"/>
      <c r="K1601" s="17">
        <f t="shared" si="150"/>
        <v>0</v>
      </c>
      <c r="N1601" s="31" t="str">
        <f t="shared" si="153"/>
        <v>-</v>
      </c>
      <c r="O1601" s="31" t="str">
        <f t="shared" si="155"/>
        <v>-</v>
      </c>
      <c r="P1601" s="35" t="str">
        <f t="shared" si="154"/>
        <v>-</v>
      </c>
      <c r="Q1601" s="32" t="str">
        <f t="shared" si="151"/>
        <v>-</v>
      </c>
      <c r="S1601" s="32" t="str">
        <f t="shared" si="152"/>
        <v>-</v>
      </c>
    </row>
    <row r="1602" spans="1:19" x14ac:dyDescent="0.3">
      <c r="A1602" s="45" t="s">
        <v>3923</v>
      </c>
      <c r="B1602" s="40" t="s">
        <v>1067</v>
      </c>
      <c r="C1602" s="41" t="s">
        <v>2212</v>
      </c>
      <c r="D1602" s="21" t="s">
        <v>2225</v>
      </c>
      <c r="E1602" s="21" t="s">
        <v>2222</v>
      </c>
      <c r="F1602" s="24">
        <v>0.2321013257607917</v>
      </c>
      <c r="G1602" s="21">
        <v>12</v>
      </c>
      <c r="H1602" s="17">
        <v>25.5</v>
      </c>
      <c r="I1602" s="43" t="s">
        <v>3950</v>
      </c>
      <c r="J1602" s="26"/>
      <c r="K1602" s="17">
        <f t="shared" si="150"/>
        <v>0</v>
      </c>
      <c r="N1602" s="31" t="str">
        <f t="shared" si="153"/>
        <v>-</v>
      </c>
      <c r="O1602" s="31" t="str">
        <f t="shared" si="155"/>
        <v>-</v>
      </c>
      <c r="P1602" s="35" t="str">
        <f t="shared" si="154"/>
        <v>-</v>
      </c>
      <c r="Q1602" s="32" t="str">
        <f t="shared" si="151"/>
        <v>-</v>
      </c>
      <c r="S1602" s="32" t="str">
        <f t="shared" si="152"/>
        <v>-</v>
      </c>
    </row>
    <row r="1603" spans="1:19" x14ac:dyDescent="0.3">
      <c r="A1603" s="45" t="s">
        <v>3925</v>
      </c>
      <c r="B1603" s="40" t="s">
        <v>803</v>
      </c>
      <c r="C1603" s="41" t="s">
        <v>2213</v>
      </c>
      <c r="D1603" s="21" t="s">
        <v>2224</v>
      </c>
      <c r="E1603" s="21" t="s">
        <v>2244</v>
      </c>
      <c r="F1603" s="24">
        <v>5.6201984611208351E-2</v>
      </c>
      <c r="G1603" s="21">
        <v>12</v>
      </c>
      <c r="H1603" s="17">
        <v>39.590000000000003</v>
      </c>
      <c r="I1603" s="43" t="s">
        <v>3950</v>
      </c>
      <c r="J1603" s="26"/>
      <c r="K1603" s="17">
        <f t="shared" si="150"/>
        <v>0</v>
      </c>
      <c r="N1603" s="31" t="str">
        <f t="shared" si="153"/>
        <v>-</v>
      </c>
      <c r="O1603" s="31" t="str">
        <f t="shared" si="155"/>
        <v>-</v>
      </c>
      <c r="P1603" s="35" t="str">
        <f t="shared" si="154"/>
        <v>-</v>
      </c>
      <c r="Q1603" s="32" t="str">
        <f t="shared" si="151"/>
        <v>-</v>
      </c>
      <c r="S1603" s="32" t="str">
        <f t="shared" si="152"/>
        <v>-</v>
      </c>
    </row>
    <row r="1604" spans="1:19" x14ac:dyDescent="0.3">
      <c r="A1604" s="45" t="s">
        <v>3926</v>
      </c>
      <c r="B1604" s="40" t="s">
        <v>2306</v>
      </c>
      <c r="C1604" s="41" t="s">
        <v>2316</v>
      </c>
      <c r="D1604" s="21" t="s">
        <v>2231</v>
      </c>
      <c r="E1604" s="21" t="s">
        <v>2244</v>
      </c>
      <c r="F1604" s="24">
        <v>7.8554071620704158E-2</v>
      </c>
      <c r="G1604" s="21">
        <v>12</v>
      </c>
      <c r="H1604" s="17">
        <v>12.3</v>
      </c>
      <c r="I1604" s="43" t="s">
        <v>3950</v>
      </c>
      <c r="J1604" s="26"/>
      <c r="K1604" s="17">
        <f t="shared" si="150"/>
        <v>0</v>
      </c>
      <c r="N1604" s="31" t="str">
        <f t="shared" si="153"/>
        <v>-</v>
      </c>
      <c r="O1604" s="31" t="str">
        <f t="shared" si="155"/>
        <v>-</v>
      </c>
      <c r="P1604" s="35" t="str">
        <f t="shared" si="154"/>
        <v>-</v>
      </c>
      <c r="Q1604" s="32" t="str">
        <f t="shared" si="151"/>
        <v>-</v>
      </c>
      <c r="S1604" s="32" t="str">
        <f t="shared" si="152"/>
        <v>-</v>
      </c>
    </row>
    <row r="1605" spans="1:19" x14ac:dyDescent="0.3">
      <c r="A1605" s="45" t="s">
        <v>3927</v>
      </c>
      <c r="B1605" s="40" t="s">
        <v>2307</v>
      </c>
      <c r="C1605" s="41" t="s">
        <v>2316</v>
      </c>
      <c r="D1605" s="21" t="s">
        <v>2225</v>
      </c>
      <c r="E1605" s="21" t="s">
        <v>2244</v>
      </c>
      <c r="F1605" s="24">
        <v>0.13986142735308335</v>
      </c>
      <c r="G1605" s="21">
        <v>12</v>
      </c>
      <c r="H1605" s="17">
        <v>23.7</v>
      </c>
      <c r="I1605" s="43" t="s">
        <v>3950</v>
      </c>
      <c r="J1605" s="26"/>
      <c r="K1605" s="17">
        <f t="shared" si="150"/>
        <v>0</v>
      </c>
      <c r="N1605" s="31" t="str">
        <f t="shared" si="153"/>
        <v>-</v>
      </c>
      <c r="O1605" s="31" t="str">
        <f t="shared" si="155"/>
        <v>-</v>
      </c>
      <c r="P1605" s="35" t="str">
        <f t="shared" si="154"/>
        <v>-</v>
      </c>
      <c r="Q1605" s="32" t="str">
        <f t="shared" si="151"/>
        <v>-</v>
      </c>
      <c r="S1605" s="32" t="str">
        <f t="shared" si="152"/>
        <v>-</v>
      </c>
    </row>
    <row r="1606" spans="1:19" x14ac:dyDescent="0.3">
      <c r="A1606" s="45" t="s">
        <v>3928</v>
      </c>
      <c r="B1606" s="40" t="s">
        <v>2308</v>
      </c>
      <c r="C1606" s="41" t="s">
        <v>2316</v>
      </c>
      <c r="D1606" s="21" t="s">
        <v>2226</v>
      </c>
      <c r="E1606" s="21" t="s">
        <v>2244</v>
      </c>
      <c r="F1606" s="24">
        <v>0.23090006196757498</v>
      </c>
      <c r="G1606" s="21">
        <v>12</v>
      </c>
      <c r="H1606" s="17">
        <v>45.59</v>
      </c>
      <c r="I1606" s="43" t="s">
        <v>3950</v>
      </c>
      <c r="J1606" s="26"/>
      <c r="K1606" s="17">
        <f t="shared" si="150"/>
        <v>0</v>
      </c>
      <c r="N1606" s="31" t="str">
        <f t="shared" si="153"/>
        <v>-</v>
      </c>
      <c r="O1606" s="31" t="str">
        <f t="shared" si="155"/>
        <v>-</v>
      </c>
      <c r="P1606" s="35" t="str">
        <f t="shared" si="154"/>
        <v>-</v>
      </c>
      <c r="Q1606" s="32" t="str">
        <f t="shared" si="151"/>
        <v>-</v>
      </c>
      <c r="S1606" s="32" t="str">
        <f t="shared" si="152"/>
        <v>-</v>
      </c>
    </row>
    <row r="1607" spans="1:19" x14ac:dyDescent="0.3">
      <c r="A1607" s="45" t="s">
        <v>3929</v>
      </c>
      <c r="B1607" s="40" t="s">
        <v>2317</v>
      </c>
      <c r="C1607" s="41" t="s">
        <v>2318</v>
      </c>
      <c r="D1607" s="21" t="s">
        <v>2223</v>
      </c>
      <c r="E1607" s="21" t="s">
        <v>2244</v>
      </c>
      <c r="F1607" s="24">
        <v>5.8797572450122917E-2</v>
      </c>
      <c r="G1607" s="21">
        <v>12</v>
      </c>
      <c r="H1607" s="17">
        <v>8.5500000000000007</v>
      </c>
      <c r="I1607" s="43" t="s">
        <v>3950</v>
      </c>
      <c r="J1607" s="26"/>
      <c r="K1607" s="17">
        <f t="shared" si="150"/>
        <v>0</v>
      </c>
      <c r="N1607" s="31" t="str">
        <f t="shared" si="153"/>
        <v>-</v>
      </c>
      <c r="O1607" s="31" t="str">
        <f t="shared" si="155"/>
        <v>-</v>
      </c>
      <c r="P1607" s="35" t="str">
        <f t="shared" si="154"/>
        <v>-</v>
      </c>
      <c r="Q1607" s="32" t="str">
        <f t="shared" si="151"/>
        <v>-</v>
      </c>
      <c r="S1607" s="32" t="str">
        <f t="shared" si="152"/>
        <v>-</v>
      </c>
    </row>
    <row r="1608" spans="1:19" x14ac:dyDescent="0.3">
      <c r="A1608" s="45" t="s">
        <v>3930</v>
      </c>
      <c r="B1608" s="40" t="s">
        <v>2319</v>
      </c>
      <c r="C1608" s="41" t="s">
        <v>2318</v>
      </c>
      <c r="D1608" s="21" t="s">
        <v>2224</v>
      </c>
      <c r="E1608" s="21" t="s">
        <v>2244</v>
      </c>
      <c r="F1608" s="24">
        <v>0.10052003812523751</v>
      </c>
      <c r="G1608" s="21">
        <v>12</v>
      </c>
      <c r="H1608" s="17">
        <v>15.9</v>
      </c>
      <c r="I1608" s="43" t="s">
        <v>3950</v>
      </c>
      <c r="J1608" s="26"/>
      <c r="K1608" s="17">
        <f t="shared" si="150"/>
        <v>0</v>
      </c>
      <c r="N1608" s="31" t="str">
        <f t="shared" si="153"/>
        <v>-</v>
      </c>
      <c r="O1608" s="31" t="str">
        <f t="shared" si="155"/>
        <v>-</v>
      </c>
      <c r="P1608" s="35" t="str">
        <f t="shared" si="154"/>
        <v>-</v>
      </c>
      <c r="Q1608" s="32" t="str">
        <f t="shared" si="151"/>
        <v>-</v>
      </c>
      <c r="S1608" s="32" t="str">
        <f t="shared" si="152"/>
        <v>-</v>
      </c>
    </row>
    <row r="1609" spans="1:19" x14ac:dyDescent="0.3">
      <c r="A1609" s="45" t="s">
        <v>3931</v>
      </c>
      <c r="B1609" s="40" t="s">
        <v>2320</v>
      </c>
      <c r="C1609" s="41" t="s">
        <v>2318</v>
      </c>
      <c r="D1609" s="21" t="s">
        <v>2227</v>
      </c>
      <c r="E1609" s="21" t="s">
        <v>2244</v>
      </c>
      <c r="F1609" s="24">
        <v>2.0603390144798999</v>
      </c>
      <c r="G1609" s="21">
        <v>1</v>
      </c>
      <c r="H1609" s="17">
        <v>30.59</v>
      </c>
      <c r="I1609" s="43" t="s">
        <v>3950</v>
      </c>
      <c r="J1609" s="26"/>
      <c r="K1609" s="17">
        <f t="shared" si="150"/>
        <v>0</v>
      </c>
      <c r="N1609" s="31" t="str">
        <f t="shared" si="153"/>
        <v>-</v>
      </c>
      <c r="O1609" s="31" t="str">
        <f t="shared" si="155"/>
        <v>-</v>
      </c>
      <c r="P1609" s="35" t="str">
        <f t="shared" si="154"/>
        <v>-</v>
      </c>
      <c r="Q1609" s="32" t="str">
        <f t="shared" si="151"/>
        <v>-</v>
      </c>
      <c r="S1609" s="32" t="str">
        <f t="shared" si="152"/>
        <v>-</v>
      </c>
    </row>
    <row r="1610" spans="1:19" x14ac:dyDescent="0.3">
      <c r="A1610" s="45" t="s">
        <v>3932</v>
      </c>
      <c r="B1610" s="40" t="s">
        <v>2321</v>
      </c>
      <c r="C1610" s="41" t="s">
        <v>2322</v>
      </c>
      <c r="D1610" s="21" t="s">
        <v>2223</v>
      </c>
      <c r="E1610" s="21" t="s">
        <v>2234</v>
      </c>
      <c r="F1610" s="24">
        <v>5.899063270260417E-2</v>
      </c>
      <c r="G1610" s="21">
        <v>12</v>
      </c>
      <c r="H1610" s="17">
        <v>9.3000000000000007</v>
      </c>
      <c r="I1610" s="43" t="s">
        <v>3950</v>
      </c>
      <c r="J1610" s="26"/>
      <c r="K1610" s="17">
        <f t="shared" si="150"/>
        <v>0</v>
      </c>
      <c r="N1610" s="31" t="str">
        <f t="shared" si="153"/>
        <v>-</v>
      </c>
      <c r="O1610" s="31" t="str">
        <f t="shared" si="155"/>
        <v>-</v>
      </c>
      <c r="P1610" s="35" t="str">
        <f t="shared" si="154"/>
        <v>-</v>
      </c>
      <c r="Q1610" s="32" t="str">
        <f t="shared" si="151"/>
        <v>-</v>
      </c>
      <c r="S1610" s="32" t="str">
        <f t="shared" si="152"/>
        <v>-</v>
      </c>
    </row>
    <row r="1611" spans="1:19" x14ac:dyDescent="0.3">
      <c r="A1611" s="45" t="s">
        <v>3933</v>
      </c>
      <c r="B1611" s="40" t="s">
        <v>2323</v>
      </c>
      <c r="C1611" s="41" t="s">
        <v>2322</v>
      </c>
      <c r="D1611" s="21" t="s">
        <v>2224</v>
      </c>
      <c r="E1611" s="21" t="s">
        <v>2244</v>
      </c>
      <c r="F1611" s="24">
        <v>1.2183388999916751</v>
      </c>
      <c r="G1611" s="21">
        <v>1</v>
      </c>
      <c r="H1611" s="17">
        <v>17.39</v>
      </c>
      <c r="I1611" s="43" t="s">
        <v>3950</v>
      </c>
      <c r="J1611" s="26"/>
      <c r="K1611" s="17">
        <f t="shared" si="150"/>
        <v>0</v>
      </c>
      <c r="N1611" s="31" t="str">
        <f t="shared" si="153"/>
        <v>-</v>
      </c>
      <c r="O1611" s="31" t="str">
        <f t="shared" si="155"/>
        <v>-</v>
      </c>
      <c r="P1611" s="35" t="str">
        <f t="shared" si="154"/>
        <v>-</v>
      </c>
      <c r="Q1611" s="32" t="str">
        <f t="shared" si="151"/>
        <v>-</v>
      </c>
      <c r="S1611" s="32" t="str">
        <f t="shared" si="152"/>
        <v>-</v>
      </c>
    </row>
    <row r="1612" spans="1:19" x14ac:dyDescent="0.3">
      <c r="A1612" s="45" t="s">
        <v>3934</v>
      </c>
      <c r="B1612" s="40" t="s">
        <v>2324</v>
      </c>
      <c r="C1612" s="41" t="s">
        <v>2322</v>
      </c>
      <c r="D1612" s="21" t="s">
        <v>2225</v>
      </c>
      <c r="E1612" s="21" t="s">
        <v>2244</v>
      </c>
      <c r="F1612" s="24">
        <v>0.14168477418207293</v>
      </c>
      <c r="G1612" s="21">
        <v>12</v>
      </c>
      <c r="H1612" s="17">
        <v>25.65</v>
      </c>
      <c r="I1612" s="43" t="s">
        <v>3950</v>
      </c>
      <c r="J1612" s="26"/>
      <c r="K1612" s="17">
        <f t="shared" si="150"/>
        <v>0</v>
      </c>
      <c r="N1612" s="31" t="str">
        <f t="shared" si="153"/>
        <v>-</v>
      </c>
      <c r="O1612" s="31" t="str">
        <f t="shared" si="155"/>
        <v>-</v>
      </c>
      <c r="P1612" s="35" t="str">
        <f t="shared" si="154"/>
        <v>-</v>
      </c>
      <c r="Q1612" s="32" t="str">
        <f t="shared" si="151"/>
        <v>-</v>
      </c>
      <c r="S1612" s="32" t="str">
        <f t="shared" si="152"/>
        <v>-</v>
      </c>
    </row>
    <row r="1613" spans="1:19" x14ac:dyDescent="0.3">
      <c r="A1613" s="45" t="s">
        <v>3939</v>
      </c>
      <c r="B1613" s="40" t="s">
        <v>1598</v>
      </c>
      <c r="C1613" s="41" t="s">
        <v>2214</v>
      </c>
      <c r="D1613" s="21" t="s">
        <v>2248</v>
      </c>
      <c r="E1613" s="21" t="s">
        <v>2279</v>
      </c>
      <c r="F1613" s="24">
        <v>7.6297411780589997</v>
      </c>
      <c r="G1613" s="21">
        <v>1</v>
      </c>
      <c r="H1613" s="17">
        <v>410.4</v>
      </c>
      <c r="I1613" s="43" t="s">
        <v>3950</v>
      </c>
      <c r="J1613" s="26"/>
      <c r="K1613" s="17">
        <f t="shared" si="150"/>
        <v>0</v>
      </c>
      <c r="N1613" s="31" t="str">
        <f t="shared" si="153"/>
        <v>-</v>
      </c>
      <c r="O1613" s="31" t="str">
        <f t="shared" si="155"/>
        <v>-</v>
      </c>
      <c r="P1613" s="35" t="str">
        <f t="shared" si="154"/>
        <v>-</v>
      </c>
      <c r="Q1613" s="32" t="str">
        <f t="shared" si="151"/>
        <v>-</v>
      </c>
      <c r="S1613" s="32" t="str">
        <f t="shared" si="152"/>
        <v>-</v>
      </c>
    </row>
    <row r="1614" spans="1:19" x14ac:dyDescent="0.3">
      <c r="A1614" s="45" t="s">
        <v>3940</v>
      </c>
      <c r="B1614" s="40" t="s">
        <v>500</v>
      </c>
      <c r="C1614" s="41" t="s">
        <v>501</v>
      </c>
      <c r="D1614" s="21" t="s">
        <v>2255</v>
      </c>
      <c r="E1614" s="21" t="s">
        <v>2279</v>
      </c>
      <c r="F1614" s="24">
        <v>0.46334460595500004</v>
      </c>
      <c r="G1614" s="21">
        <v>1</v>
      </c>
      <c r="H1614" s="17">
        <v>86.28</v>
      </c>
      <c r="I1614" s="43" t="s">
        <v>3950</v>
      </c>
      <c r="J1614" s="26"/>
      <c r="K1614" s="17">
        <f t="shared" si="150"/>
        <v>0</v>
      </c>
      <c r="N1614" s="31" t="str">
        <f t="shared" si="153"/>
        <v>-</v>
      </c>
      <c r="O1614" s="31" t="str">
        <f t="shared" si="155"/>
        <v>-</v>
      </c>
      <c r="P1614" s="35" t="str">
        <f t="shared" si="154"/>
        <v>-</v>
      </c>
      <c r="Q1614" s="32" t="str">
        <f t="shared" si="151"/>
        <v>-</v>
      </c>
      <c r="S1614" s="32" t="str">
        <f t="shared" si="152"/>
        <v>-</v>
      </c>
    </row>
    <row r="1615" spans="1:19" x14ac:dyDescent="0.3">
      <c r="A1615" s="45" t="s">
        <v>3941</v>
      </c>
      <c r="B1615" s="40" t="s">
        <v>1599</v>
      </c>
      <c r="C1615" s="41" t="s">
        <v>2215</v>
      </c>
      <c r="D1615" s="21" t="s">
        <v>2248</v>
      </c>
      <c r="E1615" s="21" t="s">
        <v>2279</v>
      </c>
      <c r="F1615" s="24">
        <v>7.1046172913100003</v>
      </c>
      <c r="G1615" s="21">
        <v>1</v>
      </c>
      <c r="H1615" s="17">
        <v>313.08</v>
      </c>
      <c r="I1615" s="43" t="s">
        <v>3950</v>
      </c>
      <c r="J1615" s="26"/>
      <c r="K1615" s="17">
        <f t="shared" si="150"/>
        <v>0</v>
      </c>
      <c r="N1615" s="31" t="str">
        <f t="shared" si="153"/>
        <v>-</v>
      </c>
      <c r="O1615" s="31" t="str">
        <f t="shared" si="155"/>
        <v>-</v>
      </c>
      <c r="P1615" s="35" t="str">
        <f t="shared" si="154"/>
        <v>-</v>
      </c>
      <c r="Q1615" s="32" t="str">
        <f t="shared" si="151"/>
        <v>-</v>
      </c>
      <c r="S1615" s="32" t="str">
        <f t="shared" si="152"/>
        <v>-</v>
      </c>
    </row>
    <row r="1616" spans="1:19" x14ac:dyDescent="0.3">
      <c r="A1616" s="45" t="s">
        <v>3942</v>
      </c>
      <c r="B1616" s="40" t="s">
        <v>1600</v>
      </c>
      <c r="C1616" s="41" t="s">
        <v>2216</v>
      </c>
      <c r="D1616" s="21" t="s">
        <v>2248</v>
      </c>
      <c r="E1616" s="21" t="s">
        <v>2279</v>
      </c>
      <c r="F1616" s="24">
        <v>6.7236450597470014</v>
      </c>
      <c r="G1616" s="21">
        <v>1</v>
      </c>
      <c r="H1616" s="17">
        <v>378</v>
      </c>
      <c r="I1616" s="43" t="s">
        <v>3950</v>
      </c>
      <c r="J1616" s="26"/>
      <c r="K1616" s="17">
        <f t="shared" si="150"/>
        <v>0</v>
      </c>
      <c r="N1616" s="31" t="str">
        <f t="shared" si="153"/>
        <v>-</v>
      </c>
      <c r="O1616" s="31" t="str">
        <f t="shared" si="155"/>
        <v>-</v>
      </c>
      <c r="P1616" s="35" t="str">
        <f t="shared" si="154"/>
        <v>-</v>
      </c>
      <c r="Q1616" s="32" t="str">
        <f t="shared" si="151"/>
        <v>-</v>
      </c>
      <c r="S1616" s="32" t="str">
        <f t="shared" si="152"/>
        <v>-</v>
      </c>
    </row>
    <row r="1617" spans="1:19" x14ac:dyDescent="0.3">
      <c r="A1617" s="45" t="s">
        <v>3943</v>
      </c>
      <c r="B1617" s="40" t="s">
        <v>1601</v>
      </c>
      <c r="C1617" s="41" t="s">
        <v>2217</v>
      </c>
      <c r="D1617" s="21" t="s">
        <v>2248</v>
      </c>
      <c r="E1617" s="21" t="s">
        <v>2279</v>
      </c>
      <c r="F1617" s="24">
        <v>6.5383072173649994</v>
      </c>
      <c r="G1617" s="21">
        <v>1</v>
      </c>
      <c r="H1617" s="17">
        <v>289.68</v>
      </c>
      <c r="I1617" s="43" t="s">
        <v>3950</v>
      </c>
      <c r="J1617" s="26"/>
      <c r="K1617" s="17">
        <f t="shared" si="150"/>
        <v>0</v>
      </c>
      <c r="N1617" s="31" t="str">
        <f t="shared" si="153"/>
        <v>-</v>
      </c>
      <c r="O1617" s="31" t="str">
        <f t="shared" si="155"/>
        <v>-</v>
      </c>
      <c r="P1617" s="35" t="str">
        <f t="shared" si="154"/>
        <v>-</v>
      </c>
      <c r="Q1617" s="32" t="str">
        <f t="shared" si="151"/>
        <v>-</v>
      </c>
      <c r="S1617" s="32" t="str">
        <f t="shared" si="152"/>
        <v>-</v>
      </c>
    </row>
    <row r="1618" spans="1:19" x14ac:dyDescent="0.3">
      <c r="A1618" s="45" t="s">
        <v>3944</v>
      </c>
      <c r="B1618" s="40" t="s">
        <v>2314</v>
      </c>
      <c r="C1618" s="41" t="s">
        <v>2315</v>
      </c>
      <c r="D1618" s="21" t="s">
        <v>2255</v>
      </c>
      <c r="E1618" s="21" t="s">
        <v>2279</v>
      </c>
      <c r="F1618" s="24">
        <v>1.7761543228275001</v>
      </c>
      <c r="G1618" s="21">
        <v>1</v>
      </c>
      <c r="H1618" s="17">
        <v>107.88</v>
      </c>
      <c r="I1618" s="43" t="s">
        <v>3950</v>
      </c>
      <c r="J1618" s="26"/>
      <c r="K1618" s="17">
        <f t="shared" si="150"/>
        <v>0</v>
      </c>
      <c r="N1618" s="31" t="str">
        <f t="shared" si="153"/>
        <v>-</v>
      </c>
      <c r="O1618" s="31" t="str">
        <f t="shared" si="155"/>
        <v>-</v>
      </c>
      <c r="P1618" s="35" t="str">
        <f t="shared" si="154"/>
        <v>-</v>
      </c>
      <c r="Q1618" s="32" t="str">
        <f t="shared" si="151"/>
        <v>-</v>
      </c>
      <c r="S1618" s="32" t="str">
        <f t="shared" si="152"/>
        <v>-</v>
      </c>
    </row>
    <row r="1619" spans="1:19" ht="15" thickBot="1" x14ac:dyDescent="0.35">
      <c r="A1619" s="46" t="s">
        <v>3945</v>
      </c>
      <c r="B1619" s="47" t="s">
        <v>1602</v>
      </c>
      <c r="C1619" s="48" t="s">
        <v>2218</v>
      </c>
      <c r="D1619" s="49" t="s">
        <v>2261</v>
      </c>
      <c r="E1619" s="49" t="s">
        <v>2279</v>
      </c>
      <c r="F1619" s="50">
        <v>1.8276370568225002</v>
      </c>
      <c r="G1619" s="49">
        <v>1</v>
      </c>
      <c r="H1619" s="51">
        <v>102</v>
      </c>
      <c r="I1619" s="52" t="s">
        <v>3950</v>
      </c>
      <c r="J1619" s="53"/>
      <c r="K1619" s="51">
        <f t="shared" si="150"/>
        <v>0</v>
      </c>
      <c r="N1619" s="31" t="str">
        <f t="shared" si="153"/>
        <v>-</v>
      </c>
      <c r="O1619" s="31" t="str">
        <f t="shared" si="155"/>
        <v>-</v>
      </c>
      <c r="P1619" s="35" t="str">
        <f t="shared" si="154"/>
        <v>-</v>
      </c>
      <c r="Q1619" s="32" t="str">
        <f t="shared" si="151"/>
        <v>-</v>
      </c>
      <c r="S1619" s="32" t="str">
        <f t="shared" si="152"/>
        <v>-</v>
      </c>
    </row>
    <row r="1621" spans="1:19" ht="15" thickBot="1" x14ac:dyDescent="0.35"/>
    <row r="1622" spans="1:19" ht="15" thickBot="1" x14ac:dyDescent="0.35">
      <c r="C1622" s="4" t="e" vm="1">
        <v>#VALUE!</v>
      </c>
      <c r="D1622" s="11"/>
      <c r="E1622" s="11"/>
      <c r="F1622" s="11"/>
      <c r="G1622" s="11"/>
      <c r="H1622" s="11"/>
      <c r="I1622" s="11"/>
    </row>
    <row r="1623" spans="1:19" x14ac:dyDescent="0.3">
      <c r="C1623" s="5" t="s">
        <v>1475</v>
      </c>
      <c r="D1623" s="12"/>
      <c r="E1623" s="12"/>
      <c r="F1623" s="12"/>
      <c r="G1623" s="12"/>
      <c r="H1623" s="12"/>
      <c r="I1623" s="12"/>
    </row>
    <row r="1624" spans="1:19" x14ac:dyDescent="0.3">
      <c r="C1624" s="6" t="s">
        <v>1476</v>
      </c>
      <c r="D1624" s="12"/>
      <c r="E1624" s="12"/>
      <c r="F1624" s="12"/>
      <c r="G1624" s="12"/>
      <c r="H1624" s="12"/>
      <c r="I1624" s="12"/>
    </row>
    <row r="1625" spans="1:19" ht="15" thickBot="1" x14ac:dyDescent="0.35">
      <c r="C1625" s="7" t="s">
        <v>1477</v>
      </c>
      <c r="D1625" s="12"/>
      <c r="E1625" s="12"/>
      <c r="F1625" s="12"/>
      <c r="G1625" s="12"/>
      <c r="H1625" s="12"/>
      <c r="I1625" s="12"/>
    </row>
    <row r="1626" spans="1:19" x14ac:dyDescent="0.3">
      <c r="C1626" s="8" t="s">
        <v>1478</v>
      </c>
      <c r="D1626" s="12"/>
      <c r="E1626" s="12"/>
      <c r="F1626" s="12"/>
      <c r="G1626" s="12"/>
      <c r="H1626" s="12"/>
      <c r="I1626" s="12"/>
    </row>
    <row r="1627" spans="1:19" ht="15" thickBot="1" x14ac:dyDescent="0.35">
      <c r="C1627" s="9" t="s">
        <v>1479</v>
      </c>
      <c r="D1627" s="12"/>
      <c r="E1627" s="12"/>
      <c r="F1627" s="12"/>
      <c r="G1627" s="12"/>
      <c r="H1627" s="12"/>
      <c r="I1627" s="12"/>
    </row>
  </sheetData>
  <sheetProtection algorithmName="SHA-512" hashValue="9QJIauBThhM2LCBCVn9ACesZ4aYBwcojYtjJGYX6n8QV6pAW8Nxizn6qIeHnTVoBYxhapwvOET77FzrbFp6YDA==" saltValue="d6p1ZHU4tPtS/pVk39rGJw==" spinCount="100000" sheet="1" formatCells="0" formatColumns="0" formatRows="0" insertColumns="0" insertRows="0" insertHyperlinks="0" deleteColumns="0" deleteRows="0" sort="0" autoFilter="0" pivotTables="0"/>
  <autoFilter ref="A2:S1619" xr:uid="{B25EFA2C-CEF0-41E6-B58E-0B834ECDDC78}"/>
  <mergeCells count="2">
    <mergeCell ref="A1:K1"/>
    <mergeCell ref="O1:O2"/>
  </mergeCells>
  <conditionalFormatting sqref="I2">
    <cfRule type="containsText" dxfId="4" priority="17" operator="containsText" text="Please">
      <formula>NOT(ISERROR(SEARCH("Please",I2)))</formula>
    </cfRule>
  </conditionalFormatting>
  <conditionalFormatting sqref="I3:I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619">
    <cfRule type="containsText" dxfId="3" priority="1" operator="containsText" text="В">
      <formula>NOT(ISERROR(SEARCH("В",I3)))</formula>
    </cfRule>
    <cfRule type="containsText" dxfId="2" priority="2" operator="containsText" text="А">
      <formula>NOT(ISERROR(SEARCH("А",I3)))</formula>
    </cfRule>
    <cfRule type="containsText" dxfId="1" priority="3" operator="containsText" text="С">
      <formula>NOT(ISERROR(SEARCH("С",I3)))</formula>
    </cfRule>
  </conditionalFormatting>
  <conditionalFormatting sqref="I6:I3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7:I1619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75:I1619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">
    <cfRule type="expression" dxfId="0" priority="18">
      <formula>"&gt;0"</formula>
    </cfRule>
  </conditionalFormatting>
  <dataValidations disablePrompts="1" count="1">
    <dataValidation type="custom" allowBlank="1" showInputMessage="1" showErrorMessage="1" error="Order quantity must be a multiple of Sales per Unit Case (See Column G)." prompt="Order quantity must be a multiple of Sales per Unit Case (See Column G)." sqref="J3:J1619" xr:uid="{A8CBE9BD-3DD0-4D2C-9DA1-FC09C9B365FE}">
      <formula1>MOD(J3,G3)=0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(Source Naturals)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Денис Хомик</cp:lastModifiedBy>
  <dcterms:created xsi:type="dcterms:W3CDTF">2023-10-21T22:56:39Z</dcterms:created>
  <dcterms:modified xsi:type="dcterms:W3CDTF">2026-05-18T10:03:27Z</dcterms:modified>
</cp:coreProperties>
</file>