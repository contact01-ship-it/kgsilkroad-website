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Acer\Desktop\Prices\Nature's Life\Продаж\"/>
    </mc:Choice>
  </mc:AlternateContent>
  <xr:revisionPtr revIDLastSave="0" documentId="13_ncr:1_{7CD3E06A-E32B-4708-81BC-364010AC2A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SN GROUP (Nature's Life)" sheetId="1" r:id="rId1"/>
  </sheets>
  <definedNames>
    <definedName name="_xlnm._FilterDatabase" localSheetId="0" hidden="1">'DSN GROUP (Nature''s Life)'!$A$2:$M$173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" i="1" l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3" i="1"/>
  <c r="N2" i="1" l="1"/>
</calcChain>
</file>

<file path=xl/sharedStrings.xml><?xml version="1.0" encoding="utf-8"?>
<sst xmlns="http://schemas.openxmlformats.org/spreadsheetml/2006/main" count="1039" uniqueCount="481">
  <si>
    <t>Nutra #</t>
  </si>
  <si>
    <t>Prod #</t>
  </si>
  <si>
    <t>WIP #</t>
  </si>
  <si>
    <t>UPC</t>
  </si>
  <si>
    <t>Description</t>
  </si>
  <si>
    <t>Size</t>
  </si>
  <si>
    <t>Group</t>
  </si>
  <si>
    <t>Form</t>
  </si>
  <si>
    <t>Flavor</t>
  </si>
  <si>
    <t>Case
Qty</t>
  </si>
  <si>
    <t>040647004375</t>
  </si>
  <si>
    <t>magnesium</t>
  </si>
  <si>
    <t>100ct 500mg</t>
  </si>
  <si>
    <t>Magnesium - Supplements</t>
  </si>
  <si>
    <t>Capsule</t>
  </si>
  <si>
    <t xml:space="preserve"> </t>
  </si>
  <si>
    <t>040647004382</t>
  </si>
  <si>
    <t>250ct 500mg</t>
  </si>
  <si>
    <t>040647834590</t>
  </si>
  <si>
    <t>Magnesium 500mg</t>
  </si>
  <si>
    <t>180ct 500mg</t>
  </si>
  <si>
    <t>040647782273</t>
  </si>
  <si>
    <t>B-12 Drops, Methylcobalamin</t>
  </si>
  <si>
    <t>2oz 5000mcg</t>
  </si>
  <si>
    <t>B Vitamins</t>
  </si>
  <si>
    <t>Liquid</t>
  </si>
  <si>
    <t>Wildberry</t>
  </si>
  <si>
    <t>040647477339</t>
  </si>
  <si>
    <t>B-12 Drops, Methlycobalamin</t>
  </si>
  <si>
    <t>4 oz 5000 mcg</t>
  </si>
  <si>
    <t>010043861445</t>
  </si>
  <si>
    <t>Monolaurin From Raw Coconuts</t>
  </si>
  <si>
    <t>90ct 990mg</t>
  </si>
  <si>
    <t>Immunity</t>
  </si>
  <si>
    <t>010043390723</t>
  </si>
  <si>
    <t>180ct 990mg</t>
  </si>
  <si>
    <t>040647004351</t>
  </si>
  <si>
    <t>Zinc 30 mg Pico</t>
  </si>
  <si>
    <t>100ct 30mg</t>
  </si>
  <si>
    <t>Minerals - Single</t>
  </si>
  <si>
    <t>040647004344</t>
  </si>
  <si>
    <t>50ct 30mg</t>
  </si>
  <si>
    <t>040647004368</t>
  </si>
  <si>
    <t>250ct 30mg</t>
  </si>
  <si>
    <t>040647002975</t>
  </si>
  <si>
    <t>Zinc</t>
  </si>
  <si>
    <t>100ct 50mg</t>
  </si>
  <si>
    <t>Tablet</t>
  </si>
  <si>
    <t>040647002982</t>
  </si>
  <si>
    <t>250ct 50mg</t>
  </si>
  <si>
    <t>040647006157</t>
  </si>
  <si>
    <t>600 Prostate Main</t>
  </si>
  <si>
    <t>100ct</t>
  </si>
  <si>
    <t>Men's Health</t>
  </si>
  <si>
    <t>040647006164</t>
  </si>
  <si>
    <t>602 Prostate Main</t>
  </si>
  <si>
    <t>250ct</t>
  </si>
  <si>
    <t>040647002302</t>
  </si>
  <si>
    <t>Icelandic Kelp</t>
  </si>
  <si>
    <t>250ct 41mg</t>
  </si>
  <si>
    <t>Greens - Algae</t>
  </si>
  <si>
    <t>040647002319</t>
  </si>
  <si>
    <t>500ct 41mg</t>
  </si>
  <si>
    <t>040647002326</t>
  </si>
  <si>
    <t>1000ct 41mg</t>
  </si>
  <si>
    <t>040647001169</t>
  </si>
  <si>
    <t>Apple Cider Vinegar</t>
  </si>
  <si>
    <t>250ct 250mg</t>
  </si>
  <si>
    <t>Cleansing</t>
  </si>
  <si>
    <t>040647001152</t>
  </si>
  <si>
    <t>100ct 250mg</t>
  </si>
  <si>
    <t>099496754504</t>
  </si>
  <si>
    <t>MigraSoothe Roll-On</t>
  </si>
  <si>
    <t>3ml</t>
  </si>
  <si>
    <t>Brain Health</t>
  </si>
  <si>
    <t>Peppermint Lavender</t>
  </si>
  <si>
    <t>040647001213</t>
  </si>
  <si>
    <t>Vitamin B-2</t>
  </si>
  <si>
    <t>50ct 250mg</t>
  </si>
  <si>
    <t>040647001220</t>
  </si>
  <si>
    <t>040647006850</t>
  </si>
  <si>
    <t>Saw Palmetto</t>
  </si>
  <si>
    <t>100ct 580mg</t>
  </si>
  <si>
    <t>041954638260</t>
  </si>
  <si>
    <t>Saw Palmetto Berries</t>
  </si>
  <si>
    <t>Herbs - Whole</t>
  </si>
  <si>
    <t>041954490318</t>
  </si>
  <si>
    <t>040647006706</t>
  </si>
  <si>
    <t>Quercetin 400 mg</t>
  </si>
  <si>
    <t>100ct 400mg</t>
  </si>
  <si>
    <t>Bioflavonoids</t>
  </si>
  <si>
    <t>040647004313</t>
  </si>
  <si>
    <t>Cal/Mag/Zinc Mineral</t>
  </si>
  <si>
    <t>Calcium</t>
  </si>
  <si>
    <t>040647004306</t>
  </si>
  <si>
    <t>040647120938</t>
  </si>
  <si>
    <t>D-3 2000 IU</t>
  </si>
  <si>
    <t>120ct 50mcg</t>
  </si>
  <si>
    <t>D Vitamins</t>
  </si>
  <si>
    <t>Softgel</t>
  </si>
  <si>
    <t>040647104570</t>
  </si>
  <si>
    <t>240ct 50mcg</t>
  </si>
  <si>
    <t>040647006591</t>
  </si>
  <si>
    <t>Magnesium Malate</t>
  </si>
  <si>
    <t>100ct 200mg</t>
  </si>
  <si>
    <t>040647006874</t>
  </si>
  <si>
    <t>250ct 1300mg</t>
  </si>
  <si>
    <t>040647006256</t>
  </si>
  <si>
    <t>Herbs &amp; Prunes</t>
  </si>
  <si>
    <t>040647006263</t>
  </si>
  <si>
    <t>040647121874</t>
  </si>
  <si>
    <t>SoftMag</t>
  </si>
  <si>
    <t>60ct 500mg</t>
  </si>
  <si>
    <t>010043164003</t>
  </si>
  <si>
    <t>MCT Powder, Coconut</t>
  </si>
  <si>
    <t>14oz 10g</t>
  </si>
  <si>
    <t>Diet</t>
  </si>
  <si>
    <t>Powder</t>
  </si>
  <si>
    <t>Coconut</t>
  </si>
  <si>
    <t>040647006522</t>
  </si>
  <si>
    <t>Potassium</t>
  </si>
  <si>
    <t>250ct 99mg</t>
  </si>
  <si>
    <t>040647006515</t>
  </si>
  <si>
    <t>100ct 99mg</t>
  </si>
  <si>
    <t>010043483128</t>
  </si>
  <si>
    <t>Black Seed Oil, Cold Prsd</t>
  </si>
  <si>
    <t>4oz 118ml</t>
  </si>
  <si>
    <t>EFA's - Plant Oils</t>
  </si>
  <si>
    <t>Natural</t>
  </si>
  <si>
    <t>010043854966</t>
  </si>
  <si>
    <t>Black Seed Oil Cld Prs</t>
  </si>
  <si>
    <t>8oz 236ml</t>
  </si>
  <si>
    <t>040647001541</t>
  </si>
  <si>
    <t>Lemon Bioflavinoid</t>
  </si>
  <si>
    <t>100ct 1000mg</t>
  </si>
  <si>
    <t>Lemon</t>
  </si>
  <si>
    <t>040647001558</t>
  </si>
  <si>
    <t>250ct 1000mg</t>
  </si>
  <si>
    <t>040647002654</t>
  </si>
  <si>
    <t>Niacinamide</t>
  </si>
  <si>
    <t>040647914179</t>
  </si>
  <si>
    <t>Strontium</t>
  </si>
  <si>
    <t>60ct 680mg</t>
  </si>
  <si>
    <t>010043941888</t>
  </si>
  <si>
    <t>Green Lipped Mussel</t>
  </si>
  <si>
    <t>90ct 1500mg</t>
  </si>
  <si>
    <t>Bone &amp; Joint Health</t>
  </si>
  <si>
    <t>040647912250</t>
  </si>
  <si>
    <t>Tart Cherry</t>
  </si>
  <si>
    <t>30ct 1200mg</t>
  </si>
  <si>
    <t>040647002623</t>
  </si>
  <si>
    <t>010043377939</t>
  </si>
  <si>
    <t>Black Seed Oil, Cold Pressed</t>
  </si>
  <si>
    <t>90ct 1g</t>
  </si>
  <si>
    <t>040647004092</t>
  </si>
  <si>
    <t>Betaine HCI</t>
  </si>
  <si>
    <t>100ct 648mg</t>
  </si>
  <si>
    <t>Digestive Health</t>
  </si>
  <si>
    <t>040647004108</t>
  </si>
  <si>
    <t>250ct 648mg</t>
  </si>
  <si>
    <t>040647360846</t>
  </si>
  <si>
    <t>Calcium Magnesium</t>
  </si>
  <si>
    <t>16oz</t>
  </si>
  <si>
    <t>Orange</t>
  </si>
  <si>
    <t>040647001176</t>
  </si>
  <si>
    <t>100ct 350mg</t>
  </si>
  <si>
    <t>040647004481</t>
  </si>
  <si>
    <t>MalicAcid 800 mg</t>
  </si>
  <si>
    <t>100ct 800mg</t>
  </si>
  <si>
    <t>040647005716</t>
  </si>
  <si>
    <t>250ct 800mg</t>
  </si>
  <si>
    <t>040647177116</t>
  </si>
  <si>
    <t>Vitamin K-2 5,000 mcg</t>
  </si>
  <si>
    <t>60ct 5000mcg</t>
  </si>
  <si>
    <t>K Vitamins</t>
  </si>
  <si>
    <t>040647001015</t>
  </si>
  <si>
    <t>Vitamin A</t>
  </si>
  <si>
    <t>100ct 3000mcg</t>
  </si>
  <si>
    <t>A Vitamins</t>
  </si>
  <si>
    <t>040647292376</t>
  </si>
  <si>
    <t>Marine Magnesium</t>
  </si>
  <si>
    <t>040647007413</t>
  </si>
  <si>
    <t>Lutein</t>
  </si>
  <si>
    <t>60ct 20mg</t>
  </si>
  <si>
    <t>Eye Health</t>
  </si>
  <si>
    <t>040647007420</t>
  </si>
  <si>
    <t>100ct 20mg</t>
  </si>
  <si>
    <t>040647833272</t>
  </si>
  <si>
    <t>Drop of Sunshine D-3</t>
  </si>
  <si>
    <t>2oz 125mcg</t>
  </si>
  <si>
    <t>Unflavored</t>
  </si>
  <si>
    <t>041954396917</t>
  </si>
  <si>
    <t>Bitter Melon</t>
  </si>
  <si>
    <t>Herbs - Herbal Extracts</t>
  </si>
  <si>
    <t>040647001190</t>
  </si>
  <si>
    <t>Vitamin B-1</t>
  </si>
  <si>
    <t>50ct 500mg</t>
  </si>
  <si>
    <t>040647003217</t>
  </si>
  <si>
    <t>Vitamin C</t>
  </si>
  <si>
    <t>C Vitamins</t>
  </si>
  <si>
    <t>040647003224</t>
  </si>
  <si>
    <t>040647005495</t>
  </si>
  <si>
    <t>Taurine</t>
  </si>
  <si>
    <t>Amino Acids</t>
  </si>
  <si>
    <t>040647004887</t>
  </si>
  <si>
    <t>Iron-Free Mega Min</t>
  </si>
  <si>
    <t>Minerals - Multiple</t>
  </si>
  <si>
    <t>040647004320</t>
  </si>
  <si>
    <t>DGL Licorice (Chewable)</t>
  </si>
  <si>
    <t>100ct 380mg</t>
  </si>
  <si>
    <t>Licorice</t>
  </si>
  <si>
    <t>040647707269</t>
  </si>
  <si>
    <t>Super D-3</t>
  </si>
  <si>
    <t>100ct 100mcg</t>
  </si>
  <si>
    <t>040647006652</t>
  </si>
  <si>
    <t>Bromelain Sinus Ease</t>
  </si>
  <si>
    <t>100ct 1200mg</t>
  </si>
  <si>
    <t>Respiratory &amp; Sinus Health</t>
  </si>
  <si>
    <t>040647317321</t>
  </si>
  <si>
    <t>Mighty Mini Vite</t>
  </si>
  <si>
    <t>240ct</t>
  </si>
  <si>
    <t>Multivitamins</t>
  </si>
  <si>
    <t>040647003927</t>
  </si>
  <si>
    <t>Soft Gelatin Multi</t>
  </si>
  <si>
    <t>120ct</t>
  </si>
  <si>
    <t>040647003934</t>
  </si>
  <si>
    <t>180ct</t>
  </si>
  <si>
    <t>040647001336</t>
  </si>
  <si>
    <t>Vitamin B-12</t>
  </si>
  <si>
    <t>100ct 1000mcg</t>
  </si>
  <si>
    <t>040647001343</t>
  </si>
  <si>
    <t>250ct 1000mcg</t>
  </si>
  <si>
    <t>010043361624</t>
  </si>
  <si>
    <t>Monolaurin + Zinc Raw Cocnt</t>
  </si>
  <si>
    <t>90 ct 1000 mg</t>
  </si>
  <si>
    <t>040647003552</t>
  </si>
  <si>
    <t>Bromelain &amp; Papain</t>
  </si>
  <si>
    <t>Enzymes</t>
  </si>
  <si>
    <t>040647003569</t>
  </si>
  <si>
    <t>010043010867</t>
  </si>
  <si>
    <t>Evening Primrose Oil</t>
  </si>
  <si>
    <t>60ct 1300mg</t>
  </si>
  <si>
    <t>040647004801</t>
  </si>
  <si>
    <t>Zinc Lozenges</t>
  </si>
  <si>
    <t>50ct 12.5mg</t>
  </si>
  <si>
    <t>Lozenge</t>
  </si>
  <si>
    <t>Orange Mint</t>
  </si>
  <si>
    <t>040647004832</t>
  </si>
  <si>
    <t>25ct 12.5mg</t>
  </si>
  <si>
    <t>040647001787</t>
  </si>
  <si>
    <t>C-Complex</t>
  </si>
  <si>
    <t>040647005532</t>
  </si>
  <si>
    <t>Beta Carotene</t>
  </si>
  <si>
    <t>040647993716</t>
  </si>
  <si>
    <t>K Drops</t>
  </si>
  <si>
    <t>2 oz 500 mcg</t>
  </si>
  <si>
    <t>Blueberry</t>
  </si>
  <si>
    <t>040647001930</t>
  </si>
  <si>
    <t>Cal Mag Zinc Complex</t>
  </si>
  <si>
    <t>040647004405</t>
  </si>
  <si>
    <t>B-100 High Folic Acid</t>
  </si>
  <si>
    <t>100ct 100mg</t>
  </si>
  <si>
    <t>B Vitamins - Complex</t>
  </si>
  <si>
    <t>040647857209</t>
  </si>
  <si>
    <t>Strontium Plus D&amp;K</t>
  </si>
  <si>
    <t>60ct</t>
  </si>
  <si>
    <t>041954179725</t>
  </si>
  <si>
    <t>Aloe Vera</t>
  </si>
  <si>
    <t>040647002371</t>
  </si>
  <si>
    <t>Policosanol 23mg</t>
  </si>
  <si>
    <t>60ct 23mg</t>
  </si>
  <si>
    <t>Cardiovascular Health</t>
  </si>
  <si>
    <t>040647006775</t>
  </si>
  <si>
    <t>Turmeric&amp;Ginger Jnt Ease</t>
  </si>
  <si>
    <t>040647132368</t>
  </si>
  <si>
    <t>Vitamin D-2 2,000 IU</t>
  </si>
  <si>
    <t>90ct 50mcg</t>
  </si>
  <si>
    <t>040647002265</t>
  </si>
  <si>
    <t>Iron Complex</t>
  </si>
  <si>
    <t>50ct 25mg</t>
  </si>
  <si>
    <t>040647002272</t>
  </si>
  <si>
    <t>100ct 25mg</t>
  </si>
  <si>
    <t>040647004504</t>
  </si>
  <si>
    <t>Mega Minerals</t>
  </si>
  <si>
    <t>040647004764</t>
  </si>
  <si>
    <t>VitaminC</t>
  </si>
  <si>
    <t>010043050948</t>
  </si>
  <si>
    <t>The Total EFA Fish/Borage/EPO</t>
  </si>
  <si>
    <t>180ct 1200mg</t>
  </si>
  <si>
    <t>EFA's - Fish Oils</t>
  </si>
  <si>
    <t>010043050924</t>
  </si>
  <si>
    <t>90ct 1200mg</t>
  </si>
  <si>
    <t>010043931308</t>
  </si>
  <si>
    <t>Pumpkin Seed Oil, Vegetarian</t>
  </si>
  <si>
    <t>90ct 1000mg</t>
  </si>
  <si>
    <t>040647138759</t>
  </si>
  <si>
    <t>Vitamin K 1,000 mcg</t>
  </si>
  <si>
    <t>50ct 1000mcg</t>
  </si>
  <si>
    <t>010043012243</t>
  </si>
  <si>
    <t>Black Currant Oil</t>
  </si>
  <si>
    <t>60ct 1000mg</t>
  </si>
  <si>
    <t>040647001251</t>
  </si>
  <si>
    <t>Vitamin B-6</t>
  </si>
  <si>
    <t>040647512306</t>
  </si>
  <si>
    <t>L-Lysine Powder</t>
  </si>
  <si>
    <t>200g 435mg</t>
  </si>
  <si>
    <t>040647006492</t>
  </si>
  <si>
    <t>Biotin</t>
  </si>
  <si>
    <t>100ct 2500mcg</t>
  </si>
  <si>
    <t>040647006553</t>
  </si>
  <si>
    <t>Biotin 2500mcg</t>
  </si>
  <si>
    <t>200ct 2500mcg</t>
  </si>
  <si>
    <t>040647005099</t>
  </si>
  <si>
    <t>PureC Crystals</t>
  </si>
  <si>
    <t>8oz 5000mg</t>
  </si>
  <si>
    <t>040647906679</t>
  </si>
  <si>
    <t>Marine Collagen</t>
  </si>
  <si>
    <t>60ct 1100mg</t>
  </si>
  <si>
    <t>Collagen</t>
  </si>
  <si>
    <t>040647006454</t>
  </si>
  <si>
    <t>Reinforce Bone Formula</t>
  </si>
  <si>
    <t>040647002821</t>
  </si>
  <si>
    <t>040647002036</t>
  </si>
  <si>
    <t>Vitamin E</t>
  </si>
  <si>
    <t>100ct 268mg</t>
  </si>
  <si>
    <t>E Vitamins</t>
  </si>
  <si>
    <t>040647002043</t>
  </si>
  <si>
    <t>250ct 268mg</t>
  </si>
  <si>
    <t>010043640934</t>
  </si>
  <si>
    <t>MCT Oil, Coconut</t>
  </si>
  <si>
    <t>12oz 13g</t>
  </si>
  <si>
    <t>040647189645</t>
  </si>
  <si>
    <t>Benfotiamine</t>
  </si>
  <si>
    <t>60ct 150mg</t>
  </si>
  <si>
    <t>040647004740</t>
  </si>
  <si>
    <t>Cod Liver Oil Concen</t>
  </si>
  <si>
    <t>180ct 800mg</t>
  </si>
  <si>
    <t>010043535896</t>
  </si>
  <si>
    <t>MigraSoothe Quick- Caps</t>
  </si>
  <si>
    <t>Lavender Mint</t>
  </si>
  <si>
    <t>040647005389</t>
  </si>
  <si>
    <t>L-Lysine</t>
  </si>
  <si>
    <t>040647002098</t>
  </si>
  <si>
    <t>50ct 670mg</t>
  </si>
  <si>
    <t>040647002104</t>
  </si>
  <si>
    <t>Vitamin E 1,000 IU</t>
  </si>
  <si>
    <t>100ct 670mg</t>
  </si>
  <si>
    <t>041954210336</t>
  </si>
  <si>
    <t>Maca Root</t>
  </si>
  <si>
    <t>040647006423</t>
  </si>
  <si>
    <t>One Daily Multiple</t>
  </si>
  <si>
    <t>040647176430</t>
  </si>
  <si>
    <t>Liquid Zinc Drops</t>
  </si>
  <si>
    <t>2oz</t>
  </si>
  <si>
    <t>Minerals - Liquids</t>
  </si>
  <si>
    <t>Cherry</t>
  </si>
  <si>
    <t>040647002425</t>
  </si>
  <si>
    <t>Lipotropic Complex</t>
  </si>
  <si>
    <t>90ct</t>
  </si>
  <si>
    <t>040647002432</t>
  </si>
  <si>
    <t>010043570446</t>
  </si>
  <si>
    <t>Evening Primrose Cld Prs Veg</t>
  </si>
  <si>
    <t>040647001510</t>
  </si>
  <si>
    <t>040647005525</t>
  </si>
  <si>
    <t>L-Tyrosine</t>
  </si>
  <si>
    <t>040647203662</t>
  </si>
  <si>
    <t>Taurine Powder</t>
  </si>
  <si>
    <t>335g 1000mg</t>
  </si>
  <si>
    <t>010043940430</t>
  </si>
  <si>
    <t>Flax Oil, Cold Pressed Vegetar</t>
  </si>
  <si>
    <t>040647005563</t>
  </si>
  <si>
    <t>040647293595</t>
  </si>
  <si>
    <t>Ultra D-3</t>
  </si>
  <si>
    <t>100ct 250mcg</t>
  </si>
  <si>
    <t>040647006928</t>
  </si>
  <si>
    <t>Lycopene 30 mg</t>
  </si>
  <si>
    <t>30ct 30mg</t>
  </si>
  <si>
    <t>Antioxidants</t>
  </si>
  <si>
    <t>040647964211</t>
  </si>
  <si>
    <t>Apple Cider Vinegar, 1000 mg A</t>
  </si>
  <si>
    <t>040647001763</t>
  </si>
  <si>
    <t>C-Complex 500 mg</t>
  </si>
  <si>
    <t>040647001749</t>
  </si>
  <si>
    <t>040647182516</t>
  </si>
  <si>
    <t>L-Theanine</t>
  </si>
  <si>
    <t>60ct 400mg</t>
  </si>
  <si>
    <t>040647001732</t>
  </si>
  <si>
    <t>MegaC 1,000</t>
  </si>
  <si>
    <t>040647004047</t>
  </si>
  <si>
    <t>250ct 7500mcg</t>
  </si>
  <si>
    <t>040647003682</t>
  </si>
  <si>
    <t>L-Arginine</t>
  </si>
  <si>
    <t>041954232710</t>
  </si>
  <si>
    <t>Celery Seed</t>
  </si>
  <si>
    <t>040647002708</t>
  </si>
  <si>
    <t>Pancreatin 4X Strength</t>
  </si>
  <si>
    <t>250ct 1400mg</t>
  </si>
  <si>
    <t>040647002692</t>
  </si>
  <si>
    <t>100ct 1400mg</t>
  </si>
  <si>
    <t>040647006546</t>
  </si>
  <si>
    <t>Enzyme Aid Digest Cap</t>
  </si>
  <si>
    <t>040647003637</t>
  </si>
  <si>
    <t>L-Cysteine</t>
  </si>
  <si>
    <t>010043934033</t>
  </si>
  <si>
    <t>Krill Oil Minis</t>
  </si>
  <si>
    <t>90ct 500mg</t>
  </si>
  <si>
    <t>040647157354</t>
  </si>
  <si>
    <t>Lutein I Care</t>
  </si>
  <si>
    <t>040647157347</t>
  </si>
  <si>
    <t>30ct</t>
  </si>
  <si>
    <t>010043435981</t>
  </si>
  <si>
    <t>Black Currant Oil, Vegetarian</t>
  </si>
  <si>
    <t>040647001824</t>
  </si>
  <si>
    <t>100ct 1500mg</t>
  </si>
  <si>
    <t>040647006584</t>
  </si>
  <si>
    <t>800+ Prostate Support</t>
  </si>
  <si>
    <t>040647282605</t>
  </si>
  <si>
    <t>Glycine Powder</t>
  </si>
  <si>
    <t>400g 1000mg</t>
  </si>
  <si>
    <t>010043811587</t>
  </si>
  <si>
    <t>Borage Oil, Cold Pressed Veget</t>
  </si>
  <si>
    <t>010043010713</t>
  </si>
  <si>
    <t>Evening Primrose Minis Cld Prs</t>
  </si>
  <si>
    <t>041954547432</t>
  </si>
  <si>
    <t>Pau D Arco Innerbark</t>
  </si>
  <si>
    <t>040647006478</t>
  </si>
  <si>
    <t>Stress B with C</t>
  </si>
  <si>
    <t>50ct</t>
  </si>
  <si>
    <t>041954615148</t>
  </si>
  <si>
    <t>Nettle Root-Power</t>
  </si>
  <si>
    <t>010043050511</t>
  </si>
  <si>
    <t>Borage Oil, Cold Pressed</t>
  </si>
  <si>
    <t>040647007482</t>
  </si>
  <si>
    <t>Cal Citrate &amp; Malate</t>
  </si>
  <si>
    <t>120ct 1000mg</t>
  </si>
  <si>
    <t>041954264728</t>
  </si>
  <si>
    <t>Wild Yam</t>
  </si>
  <si>
    <t>040647001381</t>
  </si>
  <si>
    <t>High Folic Acid B-50</t>
  </si>
  <si>
    <t>50ct 50mg</t>
  </si>
  <si>
    <t>040647004221</t>
  </si>
  <si>
    <t>Mega Pak Multiple</t>
  </si>
  <si>
    <t>30pkt</t>
  </si>
  <si>
    <t>Other</t>
  </si>
  <si>
    <t>040647003729</t>
  </si>
  <si>
    <t>Dry E</t>
  </si>
  <si>
    <t>040647001862</t>
  </si>
  <si>
    <t>C-1,000 mg Ascorbate</t>
  </si>
  <si>
    <t>040647002142</t>
  </si>
  <si>
    <t>Enzyme Aid Digest Tab</t>
  </si>
  <si>
    <t>041954810390</t>
  </si>
  <si>
    <t>Cascara Sagrada</t>
  </si>
  <si>
    <t>010043012205</t>
  </si>
  <si>
    <t>Black Currant Oil Mini</t>
  </si>
  <si>
    <t>010043671792</t>
  </si>
  <si>
    <t>Coconut Oil Vegetarian</t>
  </si>
  <si>
    <t>180ct 1000mg</t>
  </si>
  <si>
    <t>041954149209</t>
  </si>
  <si>
    <t>Ginger Root</t>
  </si>
  <si>
    <t>040647004597</t>
  </si>
  <si>
    <t>American Ginseng</t>
  </si>
  <si>
    <t>50ct 480mg</t>
  </si>
  <si>
    <t>Energy</t>
  </si>
  <si>
    <t>041954598601</t>
  </si>
  <si>
    <t>Dandelion Root</t>
  </si>
  <si>
    <t>041954443789</t>
  </si>
  <si>
    <t>Reishi Mushroom</t>
  </si>
  <si>
    <t>041954498161</t>
  </si>
  <si>
    <t>Silica-Power</t>
  </si>
  <si>
    <t>010043062019</t>
  </si>
  <si>
    <t>The Total EFA, Fish/Borage/EPO</t>
  </si>
  <si>
    <t>180ct 1300mg</t>
  </si>
  <si>
    <t>Price</t>
  </si>
  <si>
    <t>Total</t>
  </si>
  <si>
    <t>Order</t>
  </si>
  <si>
    <r>
      <rPr>
        <b/>
        <sz val="9"/>
        <color rgb="FFFF0000"/>
        <rFont val="Calibri"/>
        <family val="2"/>
        <charset val="204"/>
        <scheme val="minor"/>
      </rPr>
      <t>Importantly!</t>
    </r>
    <r>
      <rPr>
        <sz val="9"/>
        <color theme="1"/>
        <rFont val="Calibri"/>
        <family val="2"/>
        <scheme val="minor"/>
      </rPr>
      <t xml:space="preserve">
- The minimum order amount is € / $ 5,000 per brand
- delivery EX Work from the Poland / US warehouse! 
- this offer is valid within the current month
- order is possible only rounded by boxes
- due to the raw material crisis in the market, prices could be changed without prior notice</t>
    </r>
  </si>
  <si>
    <t>WhatsApp → +380-9871-54085</t>
  </si>
  <si>
    <t>E-mail → info@dsn.group</t>
  </si>
  <si>
    <t>Instagram → https://www.instagram.com/dsngroup.official/</t>
  </si>
  <si>
    <t>USA → +13-322-093-910</t>
  </si>
  <si>
    <t>Poland → +48-459-568-603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</si>
</sst>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2809]* #,##0.00_-;\-[$$-2809]* #,##0.00_-;_-[$$-2809]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52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0" fontId="0" fillId="0" borderId="2" xfId="0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2" xfId="0" applyBorder="1"/>
    <xf numFmtId="0" fontId="0" fillId="0" borderId="0" xfId="0" applyAlignment="1" applyProtection="1">
      <alignment horizontal="center"/>
      <protection locked="0"/>
    </xf>
    <xf numFmtId="0" fontId="3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/>
    <xf numFmtId="164" fontId="0" fillId="0" borderId="3" xfId="0" applyNumberFormat="1" applyBorder="1"/>
    <xf numFmtId="164" fontId="0" fillId="0" borderId="10" xfId="0" applyNumberFormat="1" applyBorder="1"/>
    <xf numFmtId="0" fontId="3" fillId="0" borderId="15" xfId="0" applyFont="1" applyBorder="1" applyAlignment="1">
      <alignment horizontal="center"/>
    </xf>
    <xf numFmtId="164" fontId="0" fillId="0" borderId="16" xfId="0" applyNumberFormat="1" applyBorder="1"/>
    <xf numFmtId="0" fontId="3" fillId="0" borderId="17" xfId="0" applyFont="1" applyBorder="1" applyAlignment="1">
      <alignment horizontal="center"/>
    </xf>
    <xf numFmtId="164" fontId="0" fillId="0" borderId="18" xfId="0" applyNumberFormat="1" applyBorder="1"/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0" xfId="0" applyBorder="1"/>
    <xf numFmtId="164" fontId="0" fillId="0" borderId="21" xfId="0" applyNumberFormat="1" applyBorder="1"/>
    <xf numFmtId="164" fontId="0" fillId="0" borderId="22" xfId="0" applyNumberFormat="1" applyBorder="1"/>
    <xf numFmtId="14" fontId="2" fillId="0" borderId="0" xfId="0" applyNumberFormat="1" applyFont="1" applyAlignment="1">
      <alignment horizontal="center" vertical="center"/>
    </xf>
    <xf numFmtId="0" fontId="0" fillId="0" borderId="12" xfId="0" applyBorder="1" applyAlignment="1" applyProtection="1">
      <alignment horizontal="center"/>
      <protection locked="0"/>
    </xf>
    <xf numFmtId="0" fontId="0" fillId="0" borderId="13" xfId="0" applyBorder="1" applyAlignment="1" applyProtection="1">
      <alignment horizontal="center"/>
      <protection locked="0"/>
    </xf>
    <xf numFmtId="0" fontId="0" fillId="0" borderId="14" xfId="0" applyBorder="1" applyAlignment="1" applyProtection="1">
      <alignment horizontal="center"/>
      <protection locked="0"/>
    </xf>
    <xf numFmtId="0" fontId="2" fillId="2" borderId="6" xfId="1" applyNumberFormat="1" applyFont="1" applyFill="1" applyBorder="1" applyAlignment="1" applyProtection="1">
      <alignment horizontal="center" vertical="center" wrapText="1"/>
    </xf>
    <xf numFmtId="0" fontId="2" fillId="2" borderId="7" xfId="1" applyNumberFormat="1" applyFont="1" applyFill="1" applyBorder="1" applyAlignment="1" applyProtection="1">
      <alignment horizontal="center" vertical="center" wrapText="1"/>
    </xf>
    <xf numFmtId="164" fontId="2" fillId="2" borderId="9" xfId="1" applyNumberFormat="1" applyFont="1" applyFill="1" applyBorder="1" applyAlignment="1" applyProtection="1">
      <alignment horizontal="center" vertical="center" wrapText="1"/>
    </xf>
    <xf numFmtId="0" fontId="2" fillId="2" borderId="4" xfId="1" applyNumberFormat="1" applyFont="1" applyFill="1" applyBorder="1" applyAlignment="1" applyProtection="1">
      <alignment horizontal="center" vertical="center" wrapText="1"/>
      <protection locked="0"/>
    </xf>
    <xf numFmtId="0" fontId="2" fillId="2" borderId="11" xfId="1" applyNumberFormat="1" applyFont="1" applyFill="1" applyBorder="1" applyAlignment="1" applyProtection="1">
      <alignment horizontal="center" vertical="center" wrapText="1"/>
    </xf>
    <xf numFmtId="164" fontId="2" fillId="2" borderId="4" xfId="1" applyNumberFormat="1" applyFont="1" applyFill="1" applyBorder="1" applyAlignment="1" applyProtection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7" xfId="0" applyBorder="1" applyAlignment="1">
      <alignment horizontal="center"/>
    </xf>
    <xf numFmtId="0" fontId="6" fillId="0" borderId="0" xfId="0" applyFont="1" applyAlignment="1">
      <alignment horizontal="left" wrapText="1"/>
    </xf>
    <xf numFmtId="0" fontId="4" fillId="0" borderId="0" xfId="0" applyFont="1" applyAlignment="1">
      <alignment horizontal="left"/>
    </xf>
  </cellXfs>
  <cellStyles count="2">
    <cellStyle name="Заголовок 3" xfId="1" builtinId="18"/>
    <cellStyle name="Звичайний" xfId="0" builtinId="0"/>
  </cellStyles>
  <dxfs count="0"/>
  <tableStyles count="0" defaultTableStyle="TableStyleMedium2" defaultPivotStyle="PivotStyleLight16"/>
  <colors>
    <mruColors>
      <color rgb="FFF4E274"/>
      <color rgb="FFF6DA32"/>
      <color rgb="FFF8FB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480060</xdr:colOff>
      <xdr:row>0</xdr:row>
      <xdr:rowOff>0</xdr:rowOff>
    </xdr:from>
    <xdr:to>
      <xdr:col>10</xdr:col>
      <xdr:colOff>419099</xdr:colOff>
      <xdr:row>0</xdr:row>
      <xdr:rowOff>935945</xdr:rowOff>
    </xdr:to>
    <xdr:pic>
      <xdr:nvPicPr>
        <xdr:cNvPr id="2" name="Рисунок 1" descr="Nature's Life">
          <a:extLst>
            <a:ext uri="{FF2B5EF4-FFF2-40B4-BE49-F238E27FC236}">
              <a16:creationId xmlns:a16="http://schemas.microsoft.com/office/drawing/2014/main" id="{7193222C-9EBF-4062-B4A8-62156BBB84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7980" y="0"/>
          <a:ext cx="1645919" cy="9359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121920</xdr:colOff>
      <xdr:row>174</xdr:row>
      <xdr:rowOff>45720</xdr:rowOff>
    </xdr:from>
    <xdr:to>
      <xdr:col>4</xdr:col>
      <xdr:colOff>1722120</xdr:colOff>
      <xdr:row>174</xdr:row>
      <xdr:rowOff>358593</xdr:rowOff>
    </xdr:to>
    <xdr:pic>
      <xdr:nvPicPr>
        <xdr:cNvPr id="3" name="image1.png">
          <a:extLst>
            <a:ext uri="{FF2B5EF4-FFF2-40B4-BE49-F238E27FC236}">
              <a16:creationId xmlns:a16="http://schemas.microsoft.com/office/drawing/2014/main" id="{57213C3E-F3E0-4981-9C21-1A69A8014907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9880" y="32880300"/>
          <a:ext cx="1600200" cy="312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0"/>
  <sheetViews>
    <sheetView tabSelected="1" workbookViewId="0">
      <pane ySplit="2" topLeftCell="A3" activePane="bottomLeft" state="frozen"/>
      <selection pane="bottomLeft" activeCell="I180" sqref="I180"/>
    </sheetView>
  </sheetViews>
  <sheetFormatPr defaultRowHeight="14.4" x14ac:dyDescent="0.3"/>
  <cols>
    <col min="4" max="4" width="13.109375" bestFit="1" customWidth="1"/>
    <col min="5" max="5" width="27.6640625" bestFit="1" customWidth="1"/>
    <col min="6" max="6" width="13.44140625" bestFit="1" customWidth="1"/>
    <col min="7" max="7" width="22.77734375" hidden="1" customWidth="1"/>
    <col min="8" max="8" width="9.77734375" bestFit="1" customWidth="1"/>
    <col min="9" max="9" width="16" customWidth="1"/>
    <col min="10" max="10" width="8.88671875" style="1"/>
    <col min="11" max="11" width="10.44140625" style="2" bestFit="1" customWidth="1"/>
    <col min="12" max="12" width="8.88671875" style="6"/>
    <col min="14" max="14" width="12.21875" customWidth="1"/>
  </cols>
  <sheetData>
    <row r="1" spans="1:14" ht="78" customHeight="1" thickBot="1" x14ac:dyDescent="0.35">
      <c r="A1" s="50" t="s">
        <v>475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22">
        <v>45330</v>
      </c>
    </row>
    <row r="2" spans="1:14" ht="29.4" thickBot="1" x14ac:dyDescent="0.35">
      <c r="A2" s="26" t="s">
        <v>0</v>
      </c>
      <c r="B2" s="27" t="s">
        <v>1</v>
      </c>
      <c r="C2" s="27" t="s">
        <v>2</v>
      </c>
      <c r="D2" s="27" t="s">
        <v>3</v>
      </c>
      <c r="E2" s="27" t="s">
        <v>4</v>
      </c>
      <c r="F2" s="27" t="s">
        <v>5</v>
      </c>
      <c r="G2" s="27" t="s">
        <v>6</v>
      </c>
      <c r="H2" s="27" t="s">
        <v>7</v>
      </c>
      <c r="I2" s="27" t="s">
        <v>8</v>
      </c>
      <c r="J2" s="27" t="s">
        <v>9</v>
      </c>
      <c r="K2" s="28" t="s">
        <v>472</v>
      </c>
      <c r="L2" s="29" t="s">
        <v>474</v>
      </c>
      <c r="M2" s="30" t="s">
        <v>473</v>
      </c>
      <c r="N2" s="31">
        <f>SUM(M3:M172)</f>
        <v>0</v>
      </c>
    </row>
    <row r="3" spans="1:14" x14ac:dyDescent="0.3">
      <c r="A3" s="12">
        <v>2822717</v>
      </c>
      <c r="B3" s="7">
        <v>437</v>
      </c>
      <c r="C3" s="8">
        <v>8542188</v>
      </c>
      <c r="D3" s="9" t="s">
        <v>10</v>
      </c>
      <c r="E3" s="9" t="s">
        <v>11</v>
      </c>
      <c r="F3" s="9" t="s">
        <v>12</v>
      </c>
      <c r="G3" s="9" t="s">
        <v>13</v>
      </c>
      <c r="H3" s="9" t="s">
        <v>14</v>
      </c>
      <c r="I3" s="9" t="s">
        <v>15</v>
      </c>
      <c r="J3" s="8">
        <v>6</v>
      </c>
      <c r="K3" s="10">
        <v>7.08</v>
      </c>
      <c r="L3" s="23"/>
      <c r="M3" s="13">
        <f>L3*K3</f>
        <v>0</v>
      </c>
    </row>
    <row r="4" spans="1:14" x14ac:dyDescent="0.3">
      <c r="A4" s="14">
        <v>5579164</v>
      </c>
      <c r="B4" s="4">
        <v>438</v>
      </c>
      <c r="C4" s="3">
        <v>8542188</v>
      </c>
      <c r="D4" s="5" t="s">
        <v>16</v>
      </c>
      <c r="E4" s="5" t="s">
        <v>11</v>
      </c>
      <c r="F4" s="5" t="s">
        <v>17</v>
      </c>
      <c r="G4" s="5" t="s">
        <v>13</v>
      </c>
      <c r="H4" s="5" t="s">
        <v>14</v>
      </c>
      <c r="I4" s="5" t="s">
        <v>15</v>
      </c>
      <c r="J4" s="3">
        <v>6</v>
      </c>
      <c r="K4" s="11">
        <v>15.6</v>
      </c>
      <c r="L4" s="24"/>
      <c r="M4" s="15">
        <f>L4*K4</f>
        <v>0</v>
      </c>
    </row>
    <row r="5" spans="1:14" x14ac:dyDescent="0.3">
      <c r="A5" s="14">
        <v>2230161</v>
      </c>
      <c r="B5" s="4">
        <v>83459</v>
      </c>
      <c r="C5" s="3">
        <v>8542188</v>
      </c>
      <c r="D5" s="5" t="s">
        <v>18</v>
      </c>
      <c r="E5" s="5" t="s">
        <v>19</v>
      </c>
      <c r="F5" s="5" t="s">
        <v>20</v>
      </c>
      <c r="G5" s="5" t="s">
        <v>13</v>
      </c>
      <c r="H5" s="5" t="s">
        <v>14</v>
      </c>
      <c r="I5" s="5" t="s">
        <v>15</v>
      </c>
      <c r="J5" s="3">
        <v>6</v>
      </c>
      <c r="K5" s="11">
        <v>11.66</v>
      </c>
      <c r="L5" s="24"/>
      <c r="M5" s="15">
        <f>L5*K5</f>
        <v>0</v>
      </c>
    </row>
    <row r="6" spans="1:14" x14ac:dyDescent="0.3">
      <c r="A6" s="14">
        <v>1699844</v>
      </c>
      <c r="B6" s="4">
        <v>78227</v>
      </c>
      <c r="C6" s="3">
        <v>9710035</v>
      </c>
      <c r="D6" s="5" t="s">
        <v>21</v>
      </c>
      <c r="E6" s="5" t="s">
        <v>22</v>
      </c>
      <c r="F6" s="5" t="s">
        <v>23</v>
      </c>
      <c r="G6" s="5" t="s">
        <v>24</v>
      </c>
      <c r="H6" s="5" t="s">
        <v>25</v>
      </c>
      <c r="I6" s="5" t="s">
        <v>26</v>
      </c>
      <c r="J6" s="3">
        <v>6</v>
      </c>
      <c r="K6" s="11">
        <v>13.5</v>
      </c>
      <c r="L6" s="24"/>
      <c r="M6" s="15">
        <f>L6*K6</f>
        <v>0</v>
      </c>
    </row>
    <row r="7" spans="1:14" x14ac:dyDescent="0.3">
      <c r="A7" s="14">
        <v>6856421</v>
      </c>
      <c r="B7" s="4">
        <v>47733</v>
      </c>
      <c r="C7" s="3">
        <v>9710035</v>
      </c>
      <c r="D7" s="5" t="s">
        <v>27</v>
      </c>
      <c r="E7" s="5" t="s">
        <v>28</v>
      </c>
      <c r="F7" s="5" t="s">
        <v>29</v>
      </c>
      <c r="G7" s="5" t="s">
        <v>24</v>
      </c>
      <c r="H7" s="5" t="s">
        <v>25</v>
      </c>
      <c r="I7" s="5" t="s">
        <v>26</v>
      </c>
      <c r="J7" s="3">
        <v>6</v>
      </c>
      <c r="K7" s="11">
        <v>21.27</v>
      </c>
      <c r="L7" s="24"/>
      <c r="M7" s="15">
        <f>L7*K7</f>
        <v>0</v>
      </c>
    </row>
    <row r="8" spans="1:14" x14ac:dyDescent="0.3">
      <c r="A8" s="14">
        <v>1028445</v>
      </c>
      <c r="B8" s="4">
        <v>86144</v>
      </c>
      <c r="C8" s="3">
        <v>5397486</v>
      </c>
      <c r="D8" s="5" t="s">
        <v>30</v>
      </c>
      <c r="E8" s="5" t="s">
        <v>31</v>
      </c>
      <c r="F8" s="5" t="s">
        <v>32</v>
      </c>
      <c r="G8" s="5" t="s">
        <v>33</v>
      </c>
      <c r="H8" s="5" t="s">
        <v>14</v>
      </c>
      <c r="I8" s="5" t="s">
        <v>15</v>
      </c>
      <c r="J8" s="3">
        <v>6</v>
      </c>
      <c r="K8" s="11">
        <v>10.98</v>
      </c>
      <c r="L8" s="24"/>
      <c r="M8" s="15">
        <f>L8*K8</f>
        <v>0</v>
      </c>
    </row>
    <row r="9" spans="1:14" x14ac:dyDescent="0.3">
      <c r="A9" s="14">
        <v>8621728</v>
      </c>
      <c r="B9" s="4">
        <v>39072</v>
      </c>
      <c r="C9" s="3">
        <v>5397486</v>
      </c>
      <c r="D9" s="5" t="s">
        <v>34</v>
      </c>
      <c r="E9" s="5" t="s">
        <v>31</v>
      </c>
      <c r="F9" s="5" t="s">
        <v>35</v>
      </c>
      <c r="G9" s="5" t="s">
        <v>33</v>
      </c>
      <c r="H9" s="5" t="s">
        <v>14</v>
      </c>
      <c r="I9" s="5" t="s">
        <v>15</v>
      </c>
      <c r="J9" s="3">
        <v>6</v>
      </c>
      <c r="K9" s="11">
        <v>20.22</v>
      </c>
      <c r="L9" s="24"/>
      <c r="M9" s="15">
        <f>L9*K9</f>
        <v>0</v>
      </c>
    </row>
    <row r="10" spans="1:14" x14ac:dyDescent="0.3">
      <c r="A10" s="14">
        <v>1521907</v>
      </c>
      <c r="B10" s="4">
        <v>435</v>
      </c>
      <c r="C10" s="3">
        <v>2869052</v>
      </c>
      <c r="D10" s="5" t="s">
        <v>36</v>
      </c>
      <c r="E10" s="5" t="s">
        <v>37</v>
      </c>
      <c r="F10" s="5" t="s">
        <v>38</v>
      </c>
      <c r="G10" s="5" t="s">
        <v>39</v>
      </c>
      <c r="H10" s="5" t="s">
        <v>14</v>
      </c>
      <c r="I10" s="5" t="s">
        <v>15</v>
      </c>
      <c r="J10" s="3">
        <v>12</v>
      </c>
      <c r="K10" s="11">
        <v>7.41</v>
      </c>
      <c r="L10" s="24"/>
      <c r="M10" s="15">
        <f>L10*K10</f>
        <v>0</v>
      </c>
    </row>
    <row r="11" spans="1:14" x14ac:dyDescent="0.3">
      <c r="A11" s="14">
        <v>5783446</v>
      </c>
      <c r="B11" s="4">
        <v>434</v>
      </c>
      <c r="C11" s="3">
        <v>2869052</v>
      </c>
      <c r="D11" s="5" t="s">
        <v>40</v>
      </c>
      <c r="E11" s="5" t="s">
        <v>37</v>
      </c>
      <c r="F11" s="5" t="s">
        <v>41</v>
      </c>
      <c r="G11" s="5" t="s">
        <v>39</v>
      </c>
      <c r="H11" s="5" t="s">
        <v>14</v>
      </c>
      <c r="I11" s="5" t="s">
        <v>15</v>
      </c>
      <c r="J11" s="3">
        <v>12</v>
      </c>
      <c r="K11" s="11">
        <v>4.26</v>
      </c>
      <c r="L11" s="24"/>
      <c r="M11" s="15">
        <f>L11*K11</f>
        <v>0</v>
      </c>
    </row>
    <row r="12" spans="1:14" x14ac:dyDescent="0.3">
      <c r="A12" s="14">
        <v>7828967</v>
      </c>
      <c r="B12" s="4">
        <v>436</v>
      </c>
      <c r="C12" s="3">
        <v>2869052</v>
      </c>
      <c r="D12" s="5" t="s">
        <v>42</v>
      </c>
      <c r="E12" s="5" t="s">
        <v>37</v>
      </c>
      <c r="F12" s="5" t="s">
        <v>43</v>
      </c>
      <c r="G12" s="5" t="s">
        <v>39</v>
      </c>
      <c r="H12" s="5" t="s">
        <v>14</v>
      </c>
      <c r="I12" s="5" t="s">
        <v>15</v>
      </c>
      <c r="J12" s="3">
        <v>6</v>
      </c>
      <c r="K12" s="11">
        <v>15.9</v>
      </c>
      <c r="L12" s="24"/>
      <c r="M12" s="15">
        <f>L12*K12</f>
        <v>0</v>
      </c>
    </row>
    <row r="13" spans="1:14" x14ac:dyDescent="0.3">
      <c r="A13" s="14">
        <v>1231418</v>
      </c>
      <c r="B13" s="4">
        <v>297</v>
      </c>
      <c r="C13" s="3">
        <v>8015297</v>
      </c>
      <c r="D13" s="5" t="s">
        <v>44</v>
      </c>
      <c r="E13" s="5" t="s">
        <v>45</v>
      </c>
      <c r="F13" s="5" t="s">
        <v>46</v>
      </c>
      <c r="G13" s="5" t="s">
        <v>39</v>
      </c>
      <c r="H13" s="5" t="s">
        <v>47</v>
      </c>
      <c r="I13" s="5" t="s">
        <v>15</v>
      </c>
      <c r="J13" s="3">
        <v>12</v>
      </c>
      <c r="K13" s="11">
        <v>6.01</v>
      </c>
      <c r="L13" s="24"/>
      <c r="M13" s="15">
        <f>L13*K13</f>
        <v>0</v>
      </c>
    </row>
    <row r="14" spans="1:14" x14ac:dyDescent="0.3">
      <c r="A14" s="14">
        <v>6729591</v>
      </c>
      <c r="B14" s="4">
        <v>298</v>
      </c>
      <c r="C14" s="3">
        <v>8015297</v>
      </c>
      <c r="D14" s="5" t="s">
        <v>48</v>
      </c>
      <c r="E14" s="5" t="s">
        <v>45</v>
      </c>
      <c r="F14" s="5" t="s">
        <v>49</v>
      </c>
      <c r="G14" s="5" t="s">
        <v>39</v>
      </c>
      <c r="H14" s="5" t="s">
        <v>47</v>
      </c>
      <c r="I14" s="5" t="s">
        <v>15</v>
      </c>
      <c r="J14" s="3">
        <v>6</v>
      </c>
      <c r="K14" s="11">
        <v>11.54</v>
      </c>
      <c r="L14" s="24"/>
      <c r="M14" s="15">
        <f>L14*K14</f>
        <v>0</v>
      </c>
    </row>
    <row r="15" spans="1:14" x14ac:dyDescent="0.3">
      <c r="A15" s="14">
        <v>5361122</v>
      </c>
      <c r="B15" s="4">
        <v>615</v>
      </c>
      <c r="C15" s="3">
        <v>1023555</v>
      </c>
      <c r="D15" s="5" t="s">
        <v>50</v>
      </c>
      <c r="E15" s="5" t="s">
        <v>51</v>
      </c>
      <c r="F15" s="5" t="s">
        <v>52</v>
      </c>
      <c r="G15" s="5" t="s">
        <v>53</v>
      </c>
      <c r="H15" s="5" t="s">
        <v>14</v>
      </c>
      <c r="I15" s="5" t="s">
        <v>15</v>
      </c>
      <c r="J15" s="3">
        <v>6</v>
      </c>
      <c r="K15" s="11">
        <v>11.93</v>
      </c>
      <c r="L15" s="24"/>
      <c r="M15" s="15">
        <f>L15*K15</f>
        <v>0</v>
      </c>
    </row>
    <row r="16" spans="1:14" x14ac:dyDescent="0.3">
      <c r="A16" s="14">
        <v>9070762</v>
      </c>
      <c r="B16" s="4">
        <v>616</v>
      </c>
      <c r="C16" s="3">
        <v>1023555</v>
      </c>
      <c r="D16" s="5" t="s">
        <v>54</v>
      </c>
      <c r="E16" s="5" t="s">
        <v>55</v>
      </c>
      <c r="F16" s="5" t="s">
        <v>56</v>
      </c>
      <c r="G16" s="5" t="s">
        <v>53</v>
      </c>
      <c r="H16" s="5" t="s">
        <v>14</v>
      </c>
      <c r="I16" s="5" t="s">
        <v>15</v>
      </c>
      <c r="J16" s="3">
        <v>6</v>
      </c>
      <c r="K16" s="11">
        <v>26.77</v>
      </c>
      <c r="L16" s="24"/>
      <c r="M16" s="15">
        <f>L16*K16</f>
        <v>0</v>
      </c>
    </row>
    <row r="17" spans="1:13" x14ac:dyDescent="0.3">
      <c r="A17" s="14">
        <v>9533545</v>
      </c>
      <c r="B17" s="4">
        <v>230</v>
      </c>
      <c r="C17" s="3">
        <v>103434</v>
      </c>
      <c r="D17" s="5" t="s">
        <v>57</v>
      </c>
      <c r="E17" s="5" t="s">
        <v>58</v>
      </c>
      <c r="F17" s="5" t="s">
        <v>59</v>
      </c>
      <c r="G17" s="5" t="s">
        <v>60</v>
      </c>
      <c r="H17" s="5" t="s">
        <v>47</v>
      </c>
      <c r="I17" s="5" t="s">
        <v>15</v>
      </c>
      <c r="J17" s="3">
        <v>12</v>
      </c>
      <c r="K17" s="11">
        <v>5.38</v>
      </c>
      <c r="L17" s="24"/>
      <c r="M17" s="15">
        <f>L17*K17</f>
        <v>0</v>
      </c>
    </row>
    <row r="18" spans="1:13" x14ac:dyDescent="0.3">
      <c r="A18" s="14">
        <v>9644811</v>
      </c>
      <c r="B18" s="4">
        <v>231</v>
      </c>
      <c r="C18" s="3">
        <v>103434</v>
      </c>
      <c r="D18" s="5" t="s">
        <v>61</v>
      </c>
      <c r="E18" s="5" t="s">
        <v>58</v>
      </c>
      <c r="F18" s="5" t="s">
        <v>62</v>
      </c>
      <c r="G18" s="5" t="s">
        <v>60</v>
      </c>
      <c r="H18" s="5" t="s">
        <v>47</v>
      </c>
      <c r="I18" s="5" t="s">
        <v>15</v>
      </c>
      <c r="J18" s="3">
        <v>6</v>
      </c>
      <c r="K18" s="11">
        <v>7.73</v>
      </c>
      <c r="L18" s="24"/>
      <c r="M18" s="15">
        <f>L18*K18</f>
        <v>0</v>
      </c>
    </row>
    <row r="19" spans="1:13" x14ac:dyDescent="0.3">
      <c r="A19" s="14">
        <v>9455968</v>
      </c>
      <c r="B19" s="4">
        <v>232</v>
      </c>
      <c r="C19" s="3">
        <v>103434</v>
      </c>
      <c r="D19" s="5" t="s">
        <v>63</v>
      </c>
      <c r="E19" s="5" t="s">
        <v>58</v>
      </c>
      <c r="F19" s="5" t="s">
        <v>64</v>
      </c>
      <c r="G19" s="5" t="s">
        <v>60</v>
      </c>
      <c r="H19" s="5" t="s">
        <v>47</v>
      </c>
      <c r="I19" s="5" t="s">
        <v>15</v>
      </c>
      <c r="J19" s="3">
        <v>6</v>
      </c>
      <c r="K19" s="11">
        <v>23.06</v>
      </c>
      <c r="L19" s="24"/>
      <c r="M19" s="15">
        <f>L19*K19</f>
        <v>0</v>
      </c>
    </row>
    <row r="20" spans="1:13" x14ac:dyDescent="0.3">
      <c r="A20" s="14">
        <v>9047260</v>
      </c>
      <c r="B20" s="4">
        <v>116</v>
      </c>
      <c r="C20" s="3">
        <v>102668</v>
      </c>
      <c r="D20" s="5" t="s">
        <v>65</v>
      </c>
      <c r="E20" s="5" t="s">
        <v>66</v>
      </c>
      <c r="F20" s="5" t="s">
        <v>67</v>
      </c>
      <c r="G20" s="5" t="s">
        <v>68</v>
      </c>
      <c r="H20" s="5" t="s">
        <v>47</v>
      </c>
      <c r="I20" s="5" t="s">
        <v>15</v>
      </c>
      <c r="J20" s="3">
        <v>6</v>
      </c>
      <c r="K20" s="11">
        <v>10.54</v>
      </c>
      <c r="L20" s="24"/>
      <c r="M20" s="15">
        <f>L20*K20</f>
        <v>0</v>
      </c>
    </row>
    <row r="21" spans="1:13" x14ac:dyDescent="0.3">
      <c r="A21" s="14">
        <v>4313863</v>
      </c>
      <c r="B21" s="4">
        <v>115</v>
      </c>
      <c r="C21" s="3">
        <v>102668</v>
      </c>
      <c r="D21" s="5" t="s">
        <v>69</v>
      </c>
      <c r="E21" s="5" t="s">
        <v>66</v>
      </c>
      <c r="F21" s="5" t="s">
        <v>70</v>
      </c>
      <c r="G21" s="5" t="s">
        <v>68</v>
      </c>
      <c r="H21" s="5" t="s">
        <v>47</v>
      </c>
      <c r="I21" s="5" t="s">
        <v>15</v>
      </c>
      <c r="J21" s="3">
        <v>12</v>
      </c>
      <c r="K21" s="11">
        <v>5.21</v>
      </c>
      <c r="L21" s="24"/>
      <c r="M21" s="15">
        <f>L21*K21</f>
        <v>0</v>
      </c>
    </row>
    <row r="22" spans="1:13" x14ac:dyDescent="0.3">
      <c r="A22" s="14">
        <v>3884178</v>
      </c>
      <c r="B22" s="4">
        <v>75450</v>
      </c>
      <c r="C22" s="3">
        <v>9408054</v>
      </c>
      <c r="D22" s="5" t="s">
        <v>71</v>
      </c>
      <c r="E22" s="5" t="s">
        <v>72</v>
      </c>
      <c r="F22" s="5" t="s">
        <v>73</v>
      </c>
      <c r="G22" s="5" t="s">
        <v>74</v>
      </c>
      <c r="H22" s="5" t="s">
        <v>25</v>
      </c>
      <c r="I22" s="5" t="s">
        <v>75</v>
      </c>
      <c r="J22" s="3">
        <v>12</v>
      </c>
      <c r="K22" s="11">
        <v>10.25</v>
      </c>
      <c r="L22" s="24"/>
      <c r="M22" s="15">
        <f>L22*K22</f>
        <v>0</v>
      </c>
    </row>
    <row r="23" spans="1:13" x14ac:dyDescent="0.3">
      <c r="A23" s="14">
        <v>8246755</v>
      </c>
      <c r="B23" s="4">
        <v>121</v>
      </c>
      <c r="C23" s="3">
        <v>100828</v>
      </c>
      <c r="D23" s="5" t="s">
        <v>76</v>
      </c>
      <c r="E23" s="5" t="s">
        <v>77</v>
      </c>
      <c r="F23" s="5" t="s">
        <v>78</v>
      </c>
      <c r="G23" s="5" t="s">
        <v>24</v>
      </c>
      <c r="H23" s="5" t="s">
        <v>47</v>
      </c>
      <c r="I23" s="5" t="s">
        <v>15</v>
      </c>
      <c r="J23" s="3">
        <v>12</v>
      </c>
      <c r="K23" s="11">
        <v>6.62</v>
      </c>
      <c r="L23" s="24"/>
      <c r="M23" s="15">
        <f>L23*K23</f>
        <v>0</v>
      </c>
    </row>
    <row r="24" spans="1:13" x14ac:dyDescent="0.3">
      <c r="A24" s="14">
        <v>2152708</v>
      </c>
      <c r="B24" s="4">
        <v>122</v>
      </c>
      <c r="C24" s="3">
        <v>100828</v>
      </c>
      <c r="D24" s="5" t="s">
        <v>79</v>
      </c>
      <c r="E24" s="5" t="s">
        <v>77</v>
      </c>
      <c r="F24" s="5" t="s">
        <v>70</v>
      </c>
      <c r="G24" s="5" t="s">
        <v>24</v>
      </c>
      <c r="H24" s="5" t="s">
        <v>47</v>
      </c>
      <c r="I24" s="5" t="s">
        <v>15</v>
      </c>
      <c r="J24" s="3">
        <v>12</v>
      </c>
      <c r="K24" s="11">
        <v>11.07</v>
      </c>
      <c r="L24" s="24"/>
      <c r="M24" s="15">
        <f>L24*K24</f>
        <v>0</v>
      </c>
    </row>
    <row r="25" spans="1:13" x14ac:dyDescent="0.3">
      <c r="A25" s="14">
        <v>5782873</v>
      </c>
      <c r="B25" s="4">
        <v>685</v>
      </c>
      <c r="C25" s="3">
        <v>2675729</v>
      </c>
      <c r="D25" s="5" t="s">
        <v>80</v>
      </c>
      <c r="E25" s="5" t="s">
        <v>81</v>
      </c>
      <c r="F25" s="5" t="s">
        <v>82</v>
      </c>
      <c r="G25" s="5" t="s">
        <v>53</v>
      </c>
      <c r="H25" s="5" t="s">
        <v>14</v>
      </c>
      <c r="I25" s="5" t="s">
        <v>15</v>
      </c>
      <c r="J25" s="3">
        <v>6</v>
      </c>
      <c r="K25" s="11">
        <v>7.95</v>
      </c>
      <c r="L25" s="24"/>
      <c r="M25" s="15">
        <f>L25*K25</f>
        <v>0</v>
      </c>
    </row>
    <row r="26" spans="1:13" x14ac:dyDescent="0.3">
      <c r="A26" s="14">
        <v>5392940</v>
      </c>
      <c r="B26" s="4">
        <v>63826</v>
      </c>
      <c r="C26" s="3">
        <v>2675729</v>
      </c>
      <c r="D26" s="5" t="s">
        <v>83</v>
      </c>
      <c r="E26" s="5" t="s">
        <v>84</v>
      </c>
      <c r="F26" s="5" t="s">
        <v>52</v>
      </c>
      <c r="G26" s="5" t="s">
        <v>85</v>
      </c>
      <c r="H26" s="5" t="s">
        <v>14</v>
      </c>
      <c r="I26" s="5" t="s">
        <v>15</v>
      </c>
      <c r="J26" s="3">
        <v>6</v>
      </c>
      <c r="K26" s="11">
        <v>10.29</v>
      </c>
      <c r="L26" s="24"/>
      <c r="M26" s="15">
        <f>L26*K26</f>
        <v>0</v>
      </c>
    </row>
    <row r="27" spans="1:13" x14ac:dyDescent="0.3">
      <c r="A27" s="14">
        <v>3413451</v>
      </c>
      <c r="B27" s="4">
        <v>49031</v>
      </c>
      <c r="C27" s="3">
        <v>2675729</v>
      </c>
      <c r="D27" s="5" t="s">
        <v>86</v>
      </c>
      <c r="E27" s="5" t="s">
        <v>84</v>
      </c>
      <c r="F27" s="5" t="s">
        <v>56</v>
      </c>
      <c r="G27" s="5" t="s">
        <v>85</v>
      </c>
      <c r="H27" s="5" t="s">
        <v>14</v>
      </c>
      <c r="I27" s="5" t="s">
        <v>15</v>
      </c>
      <c r="J27" s="3">
        <v>6</v>
      </c>
      <c r="K27" s="11">
        <v>23.73</v>
      </c>
      <c r="L27" s="24"/>
      <c r="M27" s="15">
        <f>L27*K27</f>
        <v>0</v>
      </c>
    </row>
    <row r="28" spans="1:13" x14ac:dyDescent="0.3">
      <c r="A28" s="14">
        <v>4528885</v>
      </c>
      <c r="B28" s="4">
        <v>670</v>
      </c>
      <c r="C28" s="3">
        <v>4044502</v>
      </c>
      <c r="D28" s="5" t="s">
        <v>87</v>
      </c>
      <c r="E28" s="5" t="s">
        <v>88</v>
      </c>
      <c r="F28" s="5" t="s">
        <v>89</v>
      </c>
      <c r="G28" s="5" t="s">
        <v>90</v>
      </c>
      <c r="H28" s="5" t="s">
        <v>14</v>
      </c>
      <c r="I28" s="5" t="s">
        <v>15</v>
      </c>
      <c r="J28" s="3">
        <v>6</v>
      </c>
      <c r="K28" s="11">
        <v>18.649999999999999</v>
      </c>
      <c r="L28" s="24"/>
      <c r="M28" s="15">
        <f>L28*K28</f>
        <v>0</v>
      </c>
    </row>
    <row r="29" spans="1:13" x14ac:dyDescent="0.3">
      <c r="A29" s="14">
        <v>5724454</v>
      </c>
      <c r="B29" s="4">
        <v>431</v>
      </c>
      <c r="C29" s="3">
        <v>2426479</v>
      </c>
      <c r="D29" s="5" t="s">
        <v>91</v>
      </c>
      <c r="E29" s="5" t="s">
        <v>92</v>
      </c>
      <c r="F29" s="5" t="s">
        <v>56</v>
      </c>
      <c r="G29" s="5" t="s">
        <v>93</v>
      </c>
      <c r="H29" s="5" t="s">
        <v>14</v>
      </c>
      <c r="I29" s="5" t="s">
        <v>15</v>
      </c>
      <c r="J29" s="3">
        <v>6</v>
      </c>
      <c r="K29" s="11">
        <v>15.86</v>
      </c>
      <c r="L29" s="24"/>
      <c r="M29" s="15">
        <f>L29*K29</f>
        <v>0</v>
      </c>
    </row>
    <row r="30" spans="1:13" x14ac:dyDescent="0.3">
      <c r="A30" s="14">
        <v>7754977</v>
      </c>
      <c r="B30" s="4">
        <v>430</v>
      </c>
      <c r="C30" s="3">
        <v>2426479</v>
      </c>
      <c r="D30" s="5" t="s">
        <v>94</v>
      </c>
      <c r="E30" s="5" t="s">
        <v>92</v>
      </c>
      <c r="F30" s="5" t="s">
        <v>52</v>
      </c>
      <c r="G30" s="5" t="s">
        <v>93</v>
      </c>
      <c r="H30" s="5" t="s">
        <v>14</v>
      </c>
      <c r="I30" s="5" t="s">
        <v>15</v>
      </c>
      <c r="J30" s="3">
        <v>6</v>
      </c>
      <c r="K30" s="11">
        <v>8.25</v>
      </c>
      <c r="L30" s="24"/>
      <c r="M30" s="15">
        <f>L30*K30</f>
        <v>0</v>
      </c>
    </row>
    <row r="31" spans="1:13" x14ac:dyDescent="0.3">
      <c r="A31" s="14">
        <v>1572496</v>
      </c>
      <c r="B31" s="4">
        <v>12093</v>
      </c>
      <c r="C31" s="3">
        <v>6272114</v>
      </c>
      <c r="D31" s="5" t="s">
        <v>95</v>
      </c>
      <c r="E31" s="5" t="s">
        <v>96</v>
      </c>
      <c r="F31" s="5" t="s">
        <v>97</v>
      </c>
      <c r="G31" s="5" t="s">
        <v>98</v>
      </c>
      <c r="H31" s="5" t="s">
        <v>99</v>
      </c>
      <c r="I31" s="5" t="s">
        <v>15</v>
      </c>
      <c r="J31" s="3">
        <v>12</v>
      </c>
      <c r="K31" s="11">
        <v>6.41</v>
      </c>
      <c r="L31" s="24"/>
      <c r="M31" s="15">
        <f>L31*K31</f>
        <v>0</v>
      </c>
    </row>
    <row r="32" spans="1:13" x14ac:dyDescent="0.3">
      <c r="A32" s="14">
        <v>3390220</v>
      </c>
      <c r="B32" s="4">
        <v>10457</v>
      </c>
      <c r="C32" s="3">
        <v>6272114</v>
      </c>
      <c r="D32" s="5" t="s">
        <v>100</v>
      </c>
      <c r="E32" s="5" t="s">
        <v>96</v>
      </c>
      <c r="F32" s="5" t="s">
        <v>101</v>
      </c>
      <c r="G32" s="5" t="s">
        <v>98</v>
      </c>
      <c r="H32" s="5" t="s">
        <v>99</v>
      </c>
      <c r="I32" s="5" t="s">
        <v>15</v>
      </c>
      <c r="J32" s="3">
        <v>6</v>
      </c>
      <c r="K32" s="11">
        <v>11.76</v>
      </c>
      <c r="L32" s="24"/>
      <c r="M32" s="15">
        <f>L32*K32</f>
        <v>0</v>
      </c>
    </row>
    <row r="33" spans="1:13" x14ac:dyDescent="0.3">
      <c r="A33" s="14">
        <v>3341432</v>
      </c>
      <c r="B33" s="4">
        <v>659</v>
      </c>
      <c r="C33" s="3">
        <v>8081309</v>
      </c>
      <c r="D33" s="5" t="s">
        <v>102</v>
      </c>
      <c r="E33" s="5" t="s">
        <v>103</v>
      </c>
      <c r="F33" s="5" t="s">
        <v>104</v>
      </c>
      <c r="G33" s="5" t="s">
        <v>13</v>
      </c>
      <c r="H33" s="5" t="s">
        <v>47</v>
      </c>
      <c r="I33" s="5" t="s">
        <v>15</v>
      </c>
      <c r="J33" s="3">
        <v>6</v>
      </c>
      <c r="K33" s="11">
        <v>10.65</v>
      </c>
      <c r="L33" s="24"/>
      <c r="M33" s="15">
        <f>L33*K33</f>
        <v>0</v>
      </c>
    </row>
    <row r="34" spans="1:13" x14ac:dyDescent="0.3">
      <c r="A34" s="14">
        <v>1789895</v>
      </c>
      <c r="B34" s="4">
        <v>687</v>
      </c>
      <c r="C34" s="3">
        <v>8081309</v>
      </c>
      <c r="D34" s="5" t="s">
        <v>105</v>
      </c>
      <c r="E34" s="5" t="s">
        <v>103</v>
      </c>
      <c r="F34" s="5" t="s">
        <v>106</v>
      </c>
      <c r="G34" s="5" t="s">
        <v>13</v>
      </c>
      <c r="H34" s="5" t="s">
        <v>47</v>
      </c>
      <c r="I34" s="5" t="s">
        <v>15</v>
      </c>
      <c r="J34" s="3">
        <v>6</v>
      </c>
      <c r="K34" s="11">
        <v>24.84</v>
      </c>
      <c r="L34" s="24"/>
      <c r="M34" s="15">
        <f>L34*K34</f>
        <v>0</v>
      </c>
    </row>
    <row r="35" spans="1:13" x14ac:dyDescent="0.3">
      <c r="A35" s="14">
        <v>7159358</v>
      </c>
      <c r="B35" s="4">
        <v>625</v>
      </c>
      <c r="C35" s="3">
        <v>1153400</v>
      </c>
      <c r="D35" s="5" t="s">
        <v>107</v>
      </c>
      <c r="E35" s="5" t="s">
        <v>108</v>
      </c>
      <c r="F35" s="5" t="s">
        <v>52</v>
      </c>
      <c r="G35" s="5" t="s">
        <v>68</v>
      </c>
      <c r="H35" s="5" t="s">
        <v>47</v>
      </c>
      <c r="I35" s="5" t="s">
        <v>15</v>
      </c>
      <c r="J35" s="3">
        <v>12</v>
      </c>
      <c r="K35" s="11">
        <v>7.64</v>
      </c>
      <c r="L35" s="24"/>
      <c r="M35" s="15">
        <f>L35*K35</f>
        <v>0</v>
      </c>
    </row>
    <row r="36" spans="1:13" x14ac:dyDescent="0.3">
      <c r="A36" s="14">
        <v>3117400</v>
      </c>
      <c r="B36" s="4">
        <v>626</v>
      </c>
      <c r="C36" s="3">
        <v>1153400</v>
      </c>
      <c r="D36" s="5" t="s">
        <v>109</v>
      </c>
      <c r="E36" s="5" t="s">
        <v>108</v>
      </c>
      <c r="F36" s="5" t="s">
        <v>56</v>
      </c>
      <c r="G36" s="5" t="s">
        <v>68</v>
      </c>
      <c r="H36" s="5" t="s">
        <v>47</v>
      </c>
      <c r="I36" s="5" t="s">
        <v>15</v>
      </c>
      <c r="J36" s="3">
        <v>6</v>
      </c>
      <c r="K36" s="11">
        <v>15.34</v>
      </c>
      <c r="L36" s="24"/>
      <c r="M36" s="15">
        <f>L36*K36</f>
        <v>0</v>
      </c>
    </row>
    <row r="37" spans="1:13" x14ac:dyDescent="0.3">
      <c r="A37" s="14">
        <v>8284632</v>
      </c>
      <c r="B37" s="4">
        <v>12187</v>
      </c>
      <c r="C37" s="3">
        <v>6012187</v>
      </c>
      <c r="D37" s="5" t="s">
        <v>110</v>
      </c>
      <c r="E37" s="5" t="s">
        <v>111</v>
      </c>
      <c r="F37" s="5" t="s">
        <v>112</v>
      </c>
      <c r="G37" s="5" t="s">
        <v>13</v>
      </c>
      <c r="H37" s="5" t="s">
        <v>99</v>
      </c>
      <c r="I37" s="5" t="s">
        <v>15</v>
      </c>
      <c r="J37" s="3">
        <v>6</v>
      </c>
      <c r="K37" s="11">
        <v>10.43</v>
      </c>
      <c r="L37" s="24"/>
      <c r="M37" s="15">
        <f>L37*K37</f>
        <v>0</v>
      </c>
    </row>
    <row r="38" spans="1:13" x14ac:dyDescent="0.3">
      <c r="A38" s="14">
        <v>9910391</v>
      </c>
      <c r="B38" s="4">
        <v>16400</v>
      </c>
      <c r="C38" s="3">
        <v>9077714</v>
      </c>
      <c r="D38" s="5" t="s">
        <v>113</v>
      </c>
      <c r="E38" s="5" t="s">
        <v>114</v>
      </c>
      <c r="F38" s="5" t="s">
        <v>115</v>
      </c>
      <c r="G38" s="5" t="s">
        <v>116</v>
      </c>
      <c r="H38" s="5" t="s">
        <v>117</v>
      </c>
      <c r="I38" s="5" t="s">
        <v>118</v>
      </c>
      <c r="J38" s="3">
        <v>3</v>
      </c>
      <c r="K38" s="11">
        <v>37.86</v>
      </c>
      <c r="L38" s="24"/>
      <c r="M38" s="15">
        <f>L38*K38</f>
        <v>0</v>
      </c>
    </row>
    <row r="39" spans="1:13" x14ac:dyDescent="0.3">
      <c r="A39" s="14">
        <v>7333084</v>
      </c>
      <c r="B39" s="4">
        <v>652</v>
      </c>
      <c r="C39" s="3">
        <v>9691736</v>
      </c>
      <c r="D39" s="5" t="s">
        <v>119</v>
      </c>
      <c r="E39" s="5" t="s">
        <v>120</v>
      </c>
      <c r="F39" s="5" t="s">
        <v>121</v>
      </c>
      <c r="G39" s="5" t="s">
        <v>39</v>
      </c>
      <c r="H39" s="5" t="s">
        <v>14</v>
      </c>
      <c r="I39" s="5" t="s">
        <v>15</v>
      </c>
      <c r="J39" s="3">
        <v>6</v>
      </c>
      <c r="K39" s="11">
        <v>10.65</v>
      </c>
      <c r="L39" s="24"/>
      <c r="M39" s="15">
        <f>L39*K39</f>
        <v>0</v>
      </c>
    </row>
    <row r="40" spans="1:13" x14ac:dyDescent="0.3">
      <c r="A40" s="14">
        <v>3743669</v>
      </c>
      <c r="B40" s="4">
        <v>651</v>
      </c>
      <c r="C40" s="3">
        <v>9691736</v>
      </c>
      <c r="D40" s="5" t="s">
        <v>122</v>
      </c>
      <c r="E40" s="5" t="s">
        <v>120</v>
      </c>
      <c r="F40" s="5" t="s">
        <v>123</v>
      </c>
      <c r="G40" s="5" t="s">
        <v>39</v>
      </c>
      <c r="H40" s="5" t="s">
        <v>14</v>
      </c>
      <c r="I40" s="5" t="s">
        <v>15</v>
      </c>
      <c r="J40" s="3">
        <v>12</v>
      </c>
      <c r="K40" s="11">
        <v>5.31</v>
      </c>
      <c r="L40" s="24"/>
      <c r="M40" s="15">
        <f>L40*K40</f>
        <v>0</v>
      </c>
    </row>
    <row r="41" spans="1:13" x14ac:dyDescent="0.3">
      <c r="A41" s="14">
        <v>5750826</v>
      </c>
      <c r="B41" s="4">
        <v>48312</v>
      </c>
      <c r="C41" s="3">
        <v>8054106</v>
      </c>
      <c r="D41" s="5" t="s">
        <v>124</v>
      </c>
      <c r="E41" s="5" t="s">
        <v>125</v>
      </c>
      <c r="F41" s="5" t="s">
        <v>126</v>
      </c>
      <c r="G41" s="5" t="s">
        <v>127</v>
      </c>
      <c r="H41" s="5" t="s">
        <v>25</v>
      </c>
      <c r="I41" s="5" t="s">
        <v>128</v>
      </c>
      <c r="J41" s="3">
        <v>6</v>
      </c>
      <c r="K41" s="11">
        <v>14.85</v>
      </c>
      <c r="L41" s="24"/>
      <c r="M41" s="15">
        <f>L41*K41</f>
        <v>0</v>
      </c>
    </row>
    <row r="42" spans="1:13" x14ac:dyDescent="0.3">
      <c r="A42" s="14">
        <v>6342035</v>
      </c>
      <c r="B42" s="4">
        <v>85496</v>
      </c>
      <c r="C42" s="3">
        <v>8054106</v>
      </c>
      <c r="D42" s="5" t="s">
        <v>129</v>
      </c>
      <c r="E42" s="5" t="s">
        <v>130</v>
      </c>
      <c r="F42" s="5" t="s">
        <v>131</v>
      </c>
      <c r="G42" s="5" t="s">
        <v>127</v>
      </c>
      <c r="H42" s="5" t="s">
        <v>25</v>
      </c>
      <c r="I42" s="5" t="s">
        <v>128</v>
      </c>
      <c r="J42" s="3">
        <v>6</v>
      </c>
      <c r="K42" s="11">
        <v>18.309999999999999</v>
      </c>
      <c r="L42" s="24"/>
      <c r="M42" s="15">
        <f>L42*K42</f>
        <v>0</v>
      </c>
    </row>
    <row r="43" spans="1:13" x14ac:dyDescent="0.3">
      <c r="A43" s="14">
        <v>4890310</v>
      </c>
      <c r="B43" s="4">
        <v>154</v>
      </c>
      <c r="C43" s="3">
        <v>100813</v>
      </c>
      <c r="D43" s="5" t="s">
        <v>132</v>
      </c>
      <c r="E43" s="5" t="s">
        <v>133</v>
      </c>
      <c r="F43" s="5" t="s">
        <v>134</v>
      </c>
      <c r="G43" s="5" t="s">
        <v>90</v>
      </c>
      <c r="H43" s="5" t="s">
        <v>47</v>
      </c>
      <c r="I43" s="5" t="s">
        <v>135</v>
      </c>
      <c r="J43" s="3">
        <v>6</v>
      </c>
      <c r="K43" s="11">
        <v>14.11</v>
      </c>
      <c r="L43" s="24"/>
      <c r="M43" s="15">
        <f>L43*K43</f>
        <v>0</v>
      </c>
    </row>
    <row r="44" spans="1:13" x14ac:dyDescent="0.3">
      <c r="A44" s="14">
        <v>7477948</v>
      </c>
      <c r="B44" s="4">
        <v>155</v>
      </c>
      <c r="C44" s="3">
        <v>100813</v>
      </c>
      <c r="D44" s="5" t="s">
        <v>136</v>
      </c>
      <c r="E44" s="5" t="s">
        <v>133</v>
      </c>
      <c r="F44" s="5" t="s">
        <v>137</v>
      </c>
      <c r="G44" s="5" t="s">
        <v>90</v>
      </c>
      <c r="H44" s="5" t="s">
        <v>47</v>
      </c>
      <c r="I44" s="5" t="s">
        <v>135</v>
      </c>
      <c r="J44" s="3">
        <v>6</v>
      </c>
      <c r="K44" s="11">
        <v>35.42</v>
      </c>
      <c r="L44" s="24"/>
      <c r="M44" s="15">
        <f>L44*K44</f>
        <v>0</v>
      </c>
    </row>
    <row r="45" spans="1:13" x14ac:dyDescent="0.3">
      <c r="A45" s="14">
        <v>6471355</v>
      </c>
      <c r="B45" s="4">
        <v>265</v>
      </c>
      <c r="C45" s="3">
        <v>8032206</v>
      </c>
      <c r="D45" s="5" t="s">
        <v>138</v>
      </c>
      <c r="E45" s="5" t="s">
        <v>139</v>
      </c>
      <c r="F45" s="5" t="s">
        <v>134</v>
      </c>
      <c r="G45" s="5" t="s">
        <v>24</v>
      </c>
      <c r="H45" s="5" t="s">
        <v>47</v>
      </c>
      <c r="I45" s="5" t="s">
        <v>15</v>
      </c>
      <c r="J45" s="3">
        <v>6</v>
      </c>
      <c r="K45" s="11">
        <v>8.01</v>
      </c>
      <c r="L45" s="24"/>
      <c r="M45" s="15">
        <f>L45*K45</f>
        <v>0</v>
      </c>
    </row>
    <row r="46" spans="1:13" x14ac:dyDescent="0.3">
      <c r="A46" s="14">
        <v>9433050</v>
      </c>
      <c r="B46" s="4">
        <v>91417</v>
      </c>
      <c r="C46" s="3">
        <v>3825935</v>
      </c>
      <c r="D46" s="5" t="s">
        <v>140</v>
      </c>
      <c r="E46" s="5" t="s">
        <v>141</v>
      </c>
      <c r="F46" s="5" t="s">
        <v>142</v>
      </c>
      <c r="G46" s="5" t="s">
        <v>39</v>
      </c>
      <c r="H46" s="5" t="s">
        <v>47</v>
      </c>
      <c r="I46" s="5" t="s">
        <v>15</v>
      </c>
      <c r="J46" s="3">
        <v>6</v>
      </c>
      <c r="K46" s="11">
        <v>13.29</v>
      </c>
      <c r="L46" s="24"/>
      <c r="M46" s="15">
        <f>L46*K46</f>
        <v>0</v>
      </c>
    </row>
    <row r="47" spans="1:13" x14ac:dyDescent="0.3">
      <c r="A47" s="14">
        <v>7295764</v>
      </c>
      <c r="B47" s="4">
        <v>94188</v>
      </c>
      <c r="C47" s="3">
        <v>4720041</v>
      </c>
      <c r="D47" s="5" t="s">
        <v>143</v>
      </c>
      <c r="E47" s="5" t="s">
        <v>144</v>
      </c>
      <c r="F47" s="5" t="s">
        <v>145</v>
      </c>
      <c r="G47" s="5" t="s">
        <v>146</v>
      </c>
      <c r="H47" s="5" t="s">
        <v>14</v>
      </c>
      <c r="I47" s="5" t="s">
        <v>15</v>
      </c>
      <c r="J47" s="3">
        <v>6</v>
      </c>
      <c r="K47" s="11">
        <v>10.65</v>
      </c>
      <c r="L47" s="24"/>
      <c r="M47" s="15">
        <f>L47*K47</f>
        <v>0</v>
      </c>
    </row>
    <row r="48" spans="1:13" x14ac:dyDescent="0.3">
      <c r="A48" s="14">
        <v>2456209</v>
      </c>
      <c r="B48" s="4">
        <v>91225</v>
      </c>
      <c r="C48" s="3">
        <v>6955944</v>
      </c>
      <c r="D48" s="5" t="s">
        <v>147</v>
      </c>
      <c r="E48" s="5" t="s">
        <v>148</v>
      </c>
      <c r="F48" s="5" t="s">
        <v>149</v>
      </c>
      <c r="G48" s="5" t="s">
        <v>148</v>
      </c>
      <c r="H48" s="5" t="s">
        <v>47</v>
      </c>
      <c r="I48" s="5" t="s">
        <v>15</v>
      </c>
      <c r="J48" s="3">
        <v>12</v>
      </c>
      <c r="K48" s="11">
        <v>15.2</v>
      </c>
      <c r="L48" s="24"/>
      <c r="M48" s="15">
        <f>L48*K48</f>
        <v>0</v>
      </c>
    </row>
    <row r="49" spans="1:13" x14ac:dyDescent="0.3">
      <c r="A49" s="14">
        <v>1247683</v>
      </c>
      <c r="B49" s="4">
        <v>262</v>
      </c>
      <c r="C49" s="3">
        <v>307546</v>
      </c>
      <c r="D49" s="5" t="s">
        <v>150</v>
      </c>
      <c r="E49" s="5" t="s">
        <v>139</v>
      </c>
      <c r="F49" s="5" t="s">
        <v>12</v>
      </c>
      <c r="G49" s="5" t="s">
        <v>24</v>
      </c>
      <c r="H49" s="5" t="s">
        <v>47</v>
      </c>
      <c r="I49" s="5" t="s">
        <v>15</v>
      </c>
      <c r="J49" s="3">
        <v>12</v>
      </c>
      <c r="K49" s="11">
        <v>5.49</v>
      </c>
      <c r="L49" s="24"/>
      <c r="M49" s="15">
        <f>L49*K49</f>
        <v>0</v>
      </c>
    </row>
    <row r="50" spans="1:13" x14ac:dyDescent="0.3">
      <c r="A50" s="14">
        <v>6864637</v>
      </c>
      <c r="B50" s="4">
        <v>37793</v>
      </c>
      <c r="C50" s="3">
        <v>3992965</v>
      </c>
      <c r="D50" s="5" t="s">
        <v>151</v>
      </c>
      <c r="E50" s="5" t="s">
        <v>152</v>
      </c>
      <c r="F50" s="5" t="s">
        <v>153</v>
      </c>
      <c r="G50" s="5" t="s">
        <v>127</v>
      </c>
      <c r="H50" s="5" t="s">
        <v>99</v>
      </c>
      <c r="I50" s="5" t="s">
        <v>15</v>
      </c>
      <c r="J50" s="3">
        <v>6</v>
      </c>
      <c r="K50" s="11">
        <v>18.420000000000002</v>
      </c>
      <c r="L50" s="24"/>
      <c r="M50" s="15">
        <f>L50*K50</f>
        <v>0</v>
      </c>
    </row>
    <row r="51" spans="1:13" x14ac:dyDescent="0.3">
      <c r="A51" s="14">
        <v>6317580</v>
      </c>
      <c r="B51" s="4">
        <v>409</v>
      </c>
      <c r="C51" s="3">
        <v>9466592</v>
      </c>
      <c r="D51" s="5" t="s">
        <v>154</v>
      </c>
      <c r="E51" s="5" t="s">
        <v>155</v>
      </c>
      <c r="F51" s="5" t="s">
        <v>156</v>
      </c>
      <c r="G51" s="5" t="s">
        <v>157</v>
      </c>
      <c r="H51" s="5" t="s">
        <v>14</v>
      </c>
      <c r="I51" s="5" t="s">
        <v>15</v>
      </c>
      <c r="J51" s="3">
        <v>6</v>
      </c>
      <c r="K51" s="11">
        <v>17.14</v>
      </c>
      <c r="L51" s="24"/>
      <c r="M51" s="15">
        <f>L51*K51</f>
        <v>0</v>
      </c>
    </row>
    <row r="52" spans="1:13" x14ac:dyDescent="0.3">
      <c r="A52" s="14">
        <v>5293621</v>
      </c>
      <c r="B52" s="4">
        <v>410</v>
      </c>
      <c r="C52" s="3">
        <v>9466592</v>
      </c>
      <c r="D52" s="5" t="s">
        <v>158</v>
      </c>
      <c r="E52" s="5" t="s">
        <v>155</v>
      </c>
      <c r="F52" s="5" t="s">
        <v>159</v>
      </c>
      <c r="G52" s="5" t="s">
        <v>157</v>
      </c>
      <c r="H52" s="5" t="s">
        <v>14</v>
      </c>
      <c r="I52" s="5" t="s">
        <v>15</v>
      </c>
      <c r="J52" s="3">
        <v>6</v>
      </c>
      <c r="K52" s="11">
        <v>39.340000000000003</v>
      </c>
      <c r="L52" s="24"/>
      <c r="M52" s="15">
        <f>L52*K52</f>
        <v>0</v>
      </c>
    </row>
    <row r="53" spans="1:13" x14ac:dyDescent="0.3">
      <c r="A53" s="14">
        <v>4485547</v>
      </c>
      <c r="B53" s="4">
        <v>36084</v>
      </c>
      <c r="C53" s="3">
        <v>7540929</v>
      </c>
      <c r="D53" s="5" t="s">
        <v>160</v>
      </c>
      <c r="E53" s="5" t="s">
        <v>161</v>
      </c>
      <c r="F53" s="5" t="s">
        <v>162</v>
      </c>
      <c r="G53" s="5" t="s">
        <v>93</v>
      </c>
      <c r="H53" s="5" t="s">
        <v>25</v>
      </c>
      <c r="I53" s="5" t="s">
        <v>163</v>
      </c>
      <c r="J53" s="3">
        <v>12</v>
      </c>
      <c r="K53" s="11">
        <v>11.87</v>
      </c>
      <c r="L53" s="24"/>
      <c r="M53" s="15">
        <f>L53*K53</f>
        <v>0</v>
      </c>
    </row>
    <row r="54" spans="1:13" x14ac:dyDescent="0.3">
      <c r="A54" s="14">
        <v>6220793</v>
      </c>
      <c r="B54" s="4">
        <v>117</v>
      </c>
      <c r="C54" s="3">
        <v>8838213</v>
      </c>
      <c r="D54" s="5" t="s">
        <v>164</v>
      </c>
      <c r="E54" s="5" t="s">
        <v>155</v>
      </c>
      <c r="F54" s="5" t="s">
        <v>165</v>
      </c>
      <c r="G54" s="5" t="s">
        <v>157</v>
      </c>
      <c r="H54" s="5" t="s">
        <v>47</v>
      </c>
      <c r="I54" s="5" t="s">
        <v>15</v>
      </c>
      <c r="J54" s="3">
        <v>12</v>
      </c>
      <c r="K54" s="11">
        <v>8.82</v>
      </c>
      <c r="L54" s="24"/>
      <c r="M54" s="15">
        <f>L54*K54</f>
        <v>0</v>
      </c>
    </row>
    <row r="55" spans="1:13" x14ac:dyDescent="0.3">
      <c r="A55" s="14">
        <v>8343140</v>
      </c>
      <c r="B55" s="4">
        <v>448</v>
      </c>
      <c r="C55" s="3">
        <v>601865</v>
      </c>
      <c r="D55" s="5" t="s">
        <v>166</v>
      </c>
      <c r="E55" s="5" t="s">
        <v>167</v>
      </c>
      <c r="F55" s="5" t="s">
        <v>168</v>
      </c>
      <c r="G55" s="5" t="s">
        <v>39</v>
      </c>
      <c r="H55" s="5" t="s">
        <v>14</v>
      </c>
      <c r="I55" s="5" t="s">
        <v>15</v>
      </c>
      <c r="J55" s="3">
        <v>6</v>
      </c>
      <c r="K55" s="11">
        <v>6.72</v>
      </c>
      <c r="L55" s="24"/>
      <c r="M55" s="15">
        <f>L55*K55</f>
        <v>0</v>
      </c>
    </row>
    <row r="56" spans="1:13" x14ac:dyDescent="0.3">
      <c r="A56" s="14">
        <v>5704695</v>
      </c>
      <c r="B56" s="4">
        <v>571</v>
      </c>
      <c r="C56" s="3">
        <v>601865</v>
      </c>
      <c r="D56" s="5" t="s">
        <v>169</v>
      </c>
      <c r="E56" s="5" t="s">
        <v>167</v>
      </c>
      <c r="F56" s="5" t="s">
        <v>170</v>
      </c>
      <c r="G56" s="5" t="s">
        <v>39</v>
      </c>
      <c r="H56" s="5" t="s">
        <v>14</v>
      </c>
      <c r="I56" s="5" t="s">
        <v>15</v>
      </c>
      <c r="J56" s="3">
        <v>6</v>
      </c>
      <c r="K56" s="11">
        <v>14.97</v>
      </c>
      <c r="L56" s="24"/>
      <c r="M56" s="15">
        <f>L56*K56</f>
        <v>0</v>
      </c>
    </row>
    <row r="57" spans="1:13" x14ac:dyDescent="0.3">
      <c r="A57" s="14">
        <v>2960611</v>
      </c>
      <c r="B57" s="4">
        <v>17711</v>
      </c>
      <c r="C57" s="3">
        <v>7773256</v>
      </c>
      <c r="D57" s="5" t="s">
        <v>171</v>
      </c>
      <c r="E57" s="5" t="s">
        <v>172</v>
      </c>
      <c r="F57" s="5" t="s">
        <v>173</v>
      </c>
      <c r="G57" s="5" t="s">
        <v>174</v>
      </c>
      <c r="H57" s="5" t="s">
        <v>47</v>
      </c>
      <c r="I57" s="5" t="s">
        <v>15</v>
      </c>
      <c r="J57" s="3">
        <v>12</v>
      </c>
      <c r="K57" s="11">
        <v>17.850000000000001</v>
      </c>
      <c r="L57" s="24"/>
      <c r="M57" s="15">
        <f>L57*K57</f>
        <v>0</v>
      </c>
    </row>
    <row r="58" spans="1:13" x14ac:dyDescent="0.3">
      <c r="A58" s="14">
        <v>9711280</v>
      </c>
      <c r="B58" s="4">
        <v>101</v>
      </c>
      <c r="C58" s="3">
        <v>2028907</v>
      </c>
      <c r="D58" s="5" t="s">
        <v>175</v>
      </c>
      <c r="E58" s="5" t="s">
        <v>176</v>
      </c>
      <c r="F58" s="5" t="s">
        <v>177</v>
      </c>
      <c r="G58" s="5" t="s">
        <v>178</v>
      </c>
      <c r="H58" s="5" t="s">
        <v>14</v>
      </c>
      <c r="I58" s="5" t="s">
        <v>15</v>
      </c>
      <c r="J58" s="3">
        <v>12</v>
      </c>
      <c r="K58" s="11">
        <v>5.31</v>
      </c>
      <c r="L58" s="24"/>
      <c r="M58" s="15">
        <f>L58*K58</f>
        <v>0</v>
      </c>
    </row>
    <row r="59" spans="1:13" x14ac:dyDescent="0.3">
      <c r="A59" s="14">
        <v>9036900</v>
      </c>
      <c r="B59" s="4">
        <v>29237</v>
      </c>
      <c r="C59" s="3">
        <v>6326010</v>
      </c>
      <c r="D59" s="5" t="s">
        <v>179</v>
      </c>
      <c r="E59" s="5" t="s">
        <v>180</v>
      </c>
      <c r="F59" s="5" t="s">
        <v>52</v>
      </c>
      <c r="G59" s="5" t="s">
        <v>13</v>
      </c>
      <c r="H59" s="5" t="s">
        <v>14</v>
      </c>
      <c r="I59" s="5" t="s">
        <v>15</v>
      </c>
      <c r="J59" s="3">
        <v>6</v>
      </c>
      <c r="K59" s="11">
        <v>8.1300000000000008</v>
      </c>
      <c r="L59" s="24"/>
      <c r="M59" s="15">
        <f>L59*K59</f>
        <v>0</v>
      </c>
    </row>
    <row r="60" spans="1:13" x14ac:dyDescent="0.3">
      <c r="A60" s="14">
        <v>7689952</v>
      </c>
      <c r="B60" s="4">
        <v>741</v>
      </c>
      <c r="C60" s="3">
        <v>50388</v>
      </c>
      <c r="D60" s="5" t="s">
        <v>181</v>
      </c>
      <c r="E60" s="5" t="s">
        <v>182</v>
      </c>
      <c r="F60" s="5" t="s">
        <v>183</v>
      </c>
      <c r="G60" s="5" t="s">
        <v>184</v>
      </c>
      <c r="H60" s="5" t="s">
        <v>99</v>
      </c>
      <c r="I60" s="5" t="s">
        <v>15</v>
      </c>
      <c r="J60" s="3">
        <v>12</v>
      </c>
      <c r="K60" s="11">
        <v>19.010000000000002</v>
      </c>
      <c r="L60" s="24"/>
      <c r="M60" s="15">
        <f>L60*K60</f>
        <v>0</v>
      </c>
    </row>
    <row r="61" spans="1:13" x14ac:dyDescent="0.3">
      <c r="A61" s="14">
        <v>2033773</v>
      </c>
      <c r="B61" s="4">
        <v>742</v>
      </c>
      <c r="C61" s="3">
        <v>50388</v>
      </c>
      <c r="D61" s="5" t="s">
        <v>185</v>
      </c>
      <c r="E61" s="5" t="s">
        <v>182</v>
      </c>
      <c r="F61" s="5" t="s">
        <v>186</v>
      </c>
      <c r="G61" s="5" t="s">
        <v>184</v>
      </c>
      <c r="H61" s="5" t="s">
        <v>99</v>
      </c>
      <c r="I61" s="5" t="s">
        <v>15</v>
      </c>
      <c r="J61" s="3">
        <v>6</v>
      </c>
      <c r="K61" s="11">
        <v>31.14</v>
      </c>
      <c r="L61" s="24"/>
      <c r="M61" s="15">
        <f>L61*K61</f>
        <v>0</v>
      </c>
    </row>
    <row r="62" spans="1:13" x14ac:dyDescent="0.3">
      <c r="A62" s="14">
        <v>3004360</v>
      </c>
      <c r="B62" s="4">
        <v>83327</v>
      </c>
      <c r="C62" s="3">
        <v>5369725</v>
      </c>
      <c r="D62" s="5" t="s">
        <v>187</v>
      </c>
      <c r="E62" s="5" t="s">
        <v>188</v>
      </c>
      <c r="F62" s="5" t="s">
        <v>189</v>
      </c>
      <c r="G62" s="5" t="s">
        <v>98</v>
      </c>
      <c r="H62" s="5" t="s">
        <v>25</v>
      </c>
      <c r="I62" s="5" t="s">
        <v>190</v>
      </c>
      <c r="J62" s="3">
        <v>6</v>
      </c>
      <c r="K62" s="11">
        <v>11.34</v>
      </c>
      <c r="L62" s="24"/>
      <c r="M62" s="15">
        <f>L62*K62</f>
        <v>0</v>
      </c>
    </row>
    <row r="63" spans="1:13" x14ac:dyDescent="0.3">
      <c r="A63" s="14">
        <v>6083094</v>
      </c>
      <c r="B63" s="4">
        <v>39691</v>
      </c>
      <c r="C63" s="3">
        <v>1170327</v>
      </c>
      <c r="D63" s="5" t="s">
        <v>191</v>
      </c>
      <c r="E63" s="5" t="s">
        <v>192</v>
      </c>
      <c r="F63" s="5" t="s">
        <v>52</v>
      </c>
      <c r="G63" s="5" t="s">
        <v>193</v>
      </c>
      <c r="H63" s="5" t="s">
        <v>14</v>
      </c>
      <c r="I63" s="5" t="s">
        <v>15</v>
      </c>
      <c r="J63" s="3">
        <v>6</v>
      </c>
      <c r="K63" s="11">
        <v>10.5</v>
      </c>
      <c r="L63" s="24"/>
      <c r="M63" s="15">
        <f>L63*K63</f>
        <v>0</v>
      </c>
    </row>
    <row r="64" spans="1:13" x14ac:dyDescent="0.3">
      <c r="A64" s="14">
        <v>9452227</v>
      </c>
      <c r="B64" s="4">
        <v>119</v>
      </c>
      <c r="C64" s="3">
        <v>101866</v>
      </c>
      <c r="D64" s="5" t="s">
        <v>194</v>
      </c>
      <c r="E64" s="5" t="s">
        <v>195</v>
      </c>
      <c r="F64" s="5" t="s">
        <v>196</v>
      </c>
      <c r="G64" s="5" t="s">
        <v>24</v>
      </c>
      <c r="H64" s="5" t="s">
        <v>47</v>
      </c>
      <c r="I64" s="5" t="s">
        <v>15</v>
      </c>
      <c r="J64" s="3">
        <v>12</v>
      </c>
      <c r="K64" s="11">
        <v>6.51</v>
      </c>
      <c r="L64" s="24"/>
      <c r="M64" s="15">
        <f>L64*K64</f>
        <v>0</v>
      </c>
    </row>
    <row r="65" spans="1:13" x14ac:dyDescent="0.3">
      <c r="A65" s="14">
        <v>9364864</v>
      </c>
      <c r="B65" s="4">
        <v>321</v>
      </c>
      <c r="C65" s="3">
        <v>104224</v>
      </c>
      <c r="D65" s="5" t="s">
        <v>197</v>
      </c>
      <c r="E65" s="5" t="s">
        <v>198</v>
      </c>
      <c r="F65" s="5" t="s">
        <v>134</v>
      </c>
      <c r="G65" s="5" t="s">
        <v>199</v>
      </c>
      <c r="H65" s="5" t="s">
        <v>14</v>
      </c>
      <c r="I65" s="5" t="s">
        <v>15</v>
      </c>
      <c r="J65" s="3">
        <v>6</v>
      </c>
      <c r="K65" s="11">
        <v>11.13</v>
      </c>
      <c r="L65" s="24"/>
      <c r="M65" s="15">
        <f>L65*K65</f>
        <v>0</v>
      </c>
    </row>
    <row r="66" spans="1:13" x14ac:dyDescent="0.3">
      <c r="A66" s="14">
        <v>8698182</v>
      </c>
      <c r="B66" s="4">
        <v>322</v>
      </c>
      <c r="C66" s="3">
        <v>104224</v>
      </c>
      <c r="D66" s="5" t="s">
        <v>200</v>
      </c>
      <c r="E66" s="5" t="s">
        <v>198</v>
      </c>
      <c r="F66" s="5" t="s">
        <v>137</v>
      </c>
      <c r="G66" s="5" t="s">
        <v>199</v>
      </c>
      <c r="H66" s="5" t="s">
        <v>14</v>
      </c>
      <c r="I66" s="5" t="s">
        <v>15</v>
      </c>
      <c r="J66" s="3">
        <v>6</v>
      </c>
      <c r="K66" s="11">
        <v>20.85</v>
      </c>
      <c r="L66" s="24"/>
      <c r="M66" s="15">
        <f>L66*K66</f>
        <v>0</v>
      </c>
    </row>
    <row r="67" spans="1:13" x14ac:dyDescent="0.3">
      <c r="A67" s="14">
        <v>2747581</v>
      </c>
      <c r="B67" s="4">
        <v>549</v>
      </c>
      <c r="C67" s="3">
        <v>6015549</v>
      </c>
      <c r="D67" s="5" t="s">
        <v>201</v>
      </c>
      <c r="E67" s="5" t="s">
        <v>202</v>
      </c>
      <c r="F67" s="5" t="s">
        <v>12</v>
      </c>
      <c r="G67" s="5" t="s">
        <v>203</v>
      </c>
      <c r="H67" s="5" t="s">
        <v>14</v>
      </c>
      <c r="I67" s="5" t="s">
        <v>15</v>
      </c>
      <c r="J67" s="3">
        <v>6</v>
      </c>
      <c r="K67" s="11">
        <v>6.33</v>
      </c>
      <c r="L67" s="24"/>
      <c r="M67" s="15">
        <f>L67*K67</f>
        <v>0</v>
      </c>
    </row>
    <row r="68" spans="1:13" x14ac:dyDescent="0.3">
      <c r="A68" s="14">
        <v>1895155</v>
      </c>
      <c r="B68" s="4">
        <v>488</v>
      </c>
      <c r="C68" s="3">
        <v>100978</v>
      </c>
      <c r="D68" s="5" t="s">
        <v>204</v>
      </c>
      <c r="E68" s="5" t="s">
        <v>205</v>
      </c>
      <c r="F68" s="5" t="s">
        <v>52</v>
      </c>
      <c r="G68" s="5" t="s">
        <v>206</v>
      </c>
      <c r="H68" s="5" t="s">
        <v>14</v>
      </c>
      <c r="I68" s="5" t="s">
        <v>15</v>
      </c>
      <c r="J68" s="3">
        <v>6</v>
      </c>
      <c r="K68" s="11">
        <v>8.57</v>
      </c>
      <c r="L68" s="24"/>
      <c r="M68" s="15">
        <f>L68*K68</f>
        <v>0</v>
      </c>
    </row>
    <row r="69" spans="1:13" x14ac:dyDescent="0.3">
      <c r="A69" s="14">
        <v>6187555</v>
      </c>
      <c r="B69" s="4">
        <v>432</v>
      </c>
      <c r="C69" s="3">
        <v>103302</v>
      </c>
      <c r="D69" s="5" t="s">
        <v>207</v>
      </c>
      <c r="E69" s="5" t="s">
        <v>208</v>
      </c>
      <c r="F69" s="5" t="s">
        <v>209</v>
      </c>
      <c r="G69" s="5" t="s">
        <v>157</v>
      </c>
      <c r="H69" s="5" t="s">
        <v>47</v>
      </c>
      <c r="I69" s="5" t="s">
        <v>210</v>
      </c>
      <c r="J69" s="3">
        <v>6</v>
      </c>
      <c r="K69" s="11">
        <v>10.3</v>
      </c>
      <c r="L69" s="24"/>
      <c r="M69" s="15">
        <f>L69*K69</f>
        <v>0</v>
      </c>
    </row>
    <row r="70" spans="1:13" x14ac:dyDescent="0.3">
      <c r="A70" s="14">
        <v>1514873</v>
      </c>
      <c r="B70" s="4">
        <v>70726</v>
      </c>
      <c r="C70" s="3">
        <v>4567641</v>
      </c>
      <c r="D70" s="5" t="s">
        <v>211</v>
      </c>
      <c r="E70" s="5" t="s">
        <v>212</v>
      </c>
      <c r="F70" s="5" t="s">
        <v>213</v>
      </c>
      <c r="G70" s="5" t="s">
        <v>98</v>
      </c>
      <c r="H70" s="5" t="s">
        <v>99</v>
      </c>
      <c r="I70" s="5" t="s">
        <v>15</v>
      </c>
      <c r="J70" s="3">
        <v>12</v>
      </c>
      <c r="K70" s="11">
        <v>8.67</v>
      </c>
      <c r="L70" s="24"/>
      <c r="M70" s="15">
        <f>L70*K70</f>
        <v>0</v>
      </c>
    </row>
    <row r="71" spans="1:13" x14ac:dyDescent="0.3">
      <c r="A71" s="14">
        <v>3758863</v>
      </c>
      <c r="B71" s="4">
        <v>665</v>
      </c>
      <c r="C71" s="3">
        <v>271563</v>
      </c>
      <c r="D71" s="5" t="s">
        <v>214</v>
      </c>
      <c r="E71" s="5" t="s">
        <v>215</v>
      </c>
      <c r="F71" s="5" t="s">
        <v>216</v>
      </c>
      <c r="G71" s="5" t="s">
        <v>217</v>
      </c>
      <c r="H71" s="5" t="s">
        <v>14</v>
      </c>
      <c r="I71" s="5" t="s">
        <v>15</v>
      </c>
      <c r="J71" s="3">
        <v>6</v>
      </c>
      <c r="K71" s="11">
        <v>20.22</v>
      </c>
      <c r="L71" s="24"/>
      <c r="M71" s="15">
        <f>L71*K71</f>
        <v>0</v>
      </c>
    </row>
    <row r="72" spans="1:13" x14ac:dyDescent="0.3">
      <c r="A72" s="14">
        <v>8953529</v>
      </c>
      <c r="B72" s="4">
        <v>31732</v>
      </c>
      <c r="C72" s="3">
        <v>5199318</v>
      </c>
      <c r="D72" s="5" t="s">
        <v>218</v>
      </c>
      <c r="E72" s="5" t="s">
        <v>219</v>
      </c>
      <c r="F72" s="5" t="s">
        <v>220</v>
      </c>
      <c r="G72" s="5" t="s">
        <v>221</v>
      </c>
      <c r="H72" s="5" t="s">
        <v>47</v>
      </c>
      <c r="I72" s="5" t="s">
        <v>15</v>
      </c>
      <c r="J72" s="3">
        <v>6</v>
      </c>
      <c r="K72" s="11">
        <v>13.61</v>
      </c>
      <c r="L72" s="24"/>
      <c r="M72" s="15">
        <f>L72*K72</f>
        <v>0</v>
      </c>
    </row>
    <row r="73" spans="1:13" x14ac:dyDescent="0.3">
      <c r="A73" s="14">
        <v>5280188</v>
      </c>
      <c r="B73" s="4">
        <v>392</v>
      </c>
      <c r="C73" s="3">
        <v>50385</v>
      </c>
      <c r="D73" s="5" t="s">
        <v>222</v>
      </c>
      <c r="E73" s="5" t="s">
        <v>223</v>
      </c>
      <c r="F73" s="5" t="s">
        <v>224</v>
      </c>
      <c r="G73" s="5" t="s">
        <v>221</v>
      </c>
      <c r="H73" s="5" t="s">
        <v>99</v>
      </c>
      <c r="I73" s="5" t="s">
        <v>15</v>
      </c>
      <c r="J73" s="3">
        <v>6</v>
      </c>
      <c r="K73" s="11">
        <v>32.58</v>
      </c>
      <c r="L73" s="24"/>
      <c r="M73" s="15">
        <f>L73*K73</f>
        <v>0</v>
      </c>
    </row>
    <row r="74" spans="1:13" x14ac:dyDescent="0.3">
      <c r="A74" s="14">
        <v>1159831</v>
      </c>
      <c r="B74" s="4">
        <v>393</v>
      </c>
      <c r="C74" s="3">
        <v>50385</v>
      </c>
      <c r="D74" s="5" t="s">
        <v>225</v>
      </c>
      <c r="E74" s="5" t="s">
        <v>223</v>
      </c>
      <c r="F74" s="5" t="s">
        <v>226</v>
      </c>
      <c r="G74" s="5" t="s">
        <v>221</v>
      </c>
      <c r="H74" s="5" t="s">
        <v>99</v>
      </c>
      <c r="I74" s="5" t="s">
        <v>15</v>
      </c>
      <c r="J74" s="3">
        <v>6</v>
      </c>
      <c r="K74" s="11">
        <v>49.2</v>
      </c>
      <c r="L74" s="24"/>
      <c r="M74" s="15">
        <f>L74*K74</f>
        <v>0</v>
      </c>
    </row>
    <row r="75" spans="1:13" x14ac:dyDescent="0.3">
      <c r="A75" s="14">
        <v>6405058</v>
      </c>
      <c r="B75" s="4">
        <v>133</v>
      </c>
      <c r="C75" s="3">
        <v>100796</v>
      </c>
      <c r="D75" s="5" t="s">
        <v>227</v>
      </c>
      <c r="E75" s="5" t="s">
        <v>228</v>
      </c>
      <c r="F75" s="5" t="s">
        <v>229</v>
      </c>
      <c r="G75" s="5" t="s">
        <v>24</v>
      </c>
      <c r="H75" s="5" t="s">
        <v>47</v>
      </c>
      <c r="I75" s="5" t="s">
        <v>15</v>
      </c>
      <c r="J75" s="3">
        <v>12</v>
      </c>
      <c r="K75" s="11">
        <v>6.83</v>
      </c>
      <c r="L75" s="24"/>
      <c r="M75" s="15">
        <f>L75*K75</f>
        <v>0</v>
      </c>
    </row>
    <row r="76" spans="1:13" x14ac:dyDescent="0.3">
      <c r="A76" s="14">
        <v>9170896</v>
      </c>
      <c r="B76" s="4">
        <v>134</v>
      </c>
      <c r="C76" s="3">
        <v>100796</v>
      </c>
      <c r="D76" s="5" t="s">
        <v>230</v>
      </c>
      <c r="E76" s="5" t="s">
        <v>228</v>
      </c>
      <c r="F76" s="5" t="s">
        <v>231</v>
      </c>
      <c r="G76" s="5" t="s">
        <v>24</v>
      </c>
      <c r="H76" s="5" t="s">
        <v>47</v>
      </c>
      <c r="I76" s="5" t="s">
        <v>15</v>
      </c>
      <c r="J76" s="3">
        <v>6</v>
      </c>
      <c r="K76" s="11">
        <v>13.01</v>
      </c>
      <c r="L76" s="24"/>
      <c r="M76" s="15">
        <f>L76*K76</f>
        <v>0</v>
      </c>
    </row>
    <row r="77" spans="1:13" x14ac:dyDescent="0.3">
      <c r="A77" s="14">
        <v>3632370</v>
      </c>
      <c r="B77" s="4">
        <v>36162</v>
      </c>
      <c r="C77" s="3">
        <v>9480666</v>
      </c>
      <c r="D77" s="5" t="s">
        <v>232</v>
      </c>
      <c r="E77" s="5" t="s">
        <v>233</v>
      </c>
      <c r="F77" s="5" t="s">
        <v>234</v>
      </c>
      <c r="G77" s="5" t="s">
        <v>33</v>
      </c>
      <c r="H77" s="5" t="s">
        <v>14</v>
      </c>
      <c r="I77" s="5" t="s">
        <v>15</v>
      </c>
      <c r="J77" s="3">
        <v>6</v>
      </c>
      <c r="K77" s="11">
        <v>11.87</v>
      </c>
      <c r="L77" s="24"/>
      <c r="M77" s="15">
        <f>L77*K77</f>
        <v>0</v>
      </c>
    </row>
    <row r="78" spans="1:13" x14ac:dyDescent="0.3">
      <c r="A78" s="14">
        <v>6259194</v>
      </c>
      <c r="B78" s="4">
        <v>355</v>
      </c>
      <c r="C78" s="3">
        <v>50250</v>
      </c>
      <c r="D78" s="5" t="s">
        <v>235</v>
      </c>
      <c r="E78" s="5" t="s">
        <v>236</v>
      </c>
      <c r="F78" s="5" t="s">
        <v>52</v>
      </c>
      <c r="G78" s="5" t="s">
        <v>237</v>
      </c>
      <c r="H78" s="5" t="s">
        <v>14</v>
      </c>
      <c r="I78" s="5" t="s">
        <v>15</v>
      </c>
      <c r="J78" s="3">
        <v>6</v>
      </c>
      <c r="K78" s="11">
        <v>14.9</v>
      </c>
      <c r="L78" s="24"/>
      <c r="M78" s="15">
        <f>L78*K78</f>
        <v>0</v>
      </c>
    </row>
    <row r="79" spans="1:13" x14ac:dyDescent="0.3">
      <c r="A79" s="14">
        <v>9415639</v>
      </c>
      <c r="B79" s="4">
        <v>356</v>
      </c>
      <c r="C79" s="3">
        <v>50250</v>
      </c>
      <c r="D79" s="5" t="s">
        <v>238</v>
      </c>
      <c r="E79" s="5" t="s">
        <v>236</v>
      </c>
      <c r="F79" s="5" t="s">
        <v>56</v>
      </c>
      <c r="G79" s="5" t="s">
        <v>237</v>
      </c>
      <c r="H79" s="5" t="s">
        <v>14</v>
      </c>
      <c r="I79" s="5" t="s">
        <v>15</v>
      </c>
      <c r="J79" s="3">
        <v>6</v>
      </c>
      <c r="K79" s="11">
        <v>35.56</v>
      </c>
      <c r="L79" s="24"/>
      <c r="M79" s="15">
        <f>L79*K79</f>
        <v>0</v>
      </c>
    </row>
    <row r="80" spans="1:13" x14ac:dyDescent="0.3">
      <c r="A80" s="14">
        <v>2652616</v>
      </c>
      <c r="B80" s="4">
        <v>1086</v>
      </c>
      <c r="C80" s="3">
        <v>4649601</v>
      </c>
      <c r="D80" s="5" t="s">
        <v>239</v>
      </c>
      <c r="E80" s="5" t="s">
        <v>240</v>
      </c>
      <c r="F80" s="5" t="s">
        <v>241</v>
      </c>
      <c r="G80" s="5" t="s">
        <v>127</v>
      </c>
      <c r="H80" s="5" t="s">
        <v>99</v>
      </c>
      <c r="I80" s="5" t="s">
        <v>15</v>
      </c>
      <c r="J80" s="3">
        <v>6</v>
      </c>
      <c r="K80" s="11">
        <v>11.96</v>
      </c>
      <c r="L80" s="24"/>
      <c r="M80" s="15">
        <f>L80*K80</f>
        <v>0</v>
      </c>
    </row>
    <row r="81" spans="1:13" x14ac:dyDescent="0.3">
      <c r="A81" s="14">
        <v>2129147</v>
      </c>
      <c r="B81" s="4">
        <v>480</v>
      </c>
      <c r="C81" s="3">
        <v>6089122</v>
      </c>
      <c r="D81" s="5" t="s">
        <v>242</v>
      </c>
      <c r="E81" s="5" t="s">
        <v>243</v>
      </c>
      <c r="F81" s="5" t="s">
        <v>244</v>
      </c>
      <c r="G81" s="5" t="s">
        <v>33</v>
      </c>
      <c r="H81" s="5" t="s">
        <v>245</v>
      </c>
      <c r="I81" s="5" t="s">
        <v>246</v>
      </c>
      <c r="J81" s="3">
        <v>6</v>
      </c>
      <c r="K81" s="11">
        <v>7.06</v>
      </c>
      <c r="L81" s="24"/>
      <c r="M81" s="15">
        <f>L81*K81</f>
        <v>0</v>
      </c>
    </row>
    <row r="82" spans="1:13" x14ac:dyDescent="0.3">
      <c r="A82" s="14">
        <v>6725317</v>
      </c>
      <c r="B82" s="4">
        <v>483</v>
      </c>
      <c r="C82" s="3">
        <v>6089122</v>
      </c>
      <c r="D82" s="5" t="s">
        <v>247</v>
      </c>
      <c r="E82" s="5" t="s">
        <v>243</v>
      </c>
      <c r="F82" s="5" t="s">
        <v>248</v>
      </c>
      <c r="G82" s="5" t="s">
        <v>33</v>
      </c>
      <c r="H82" s="5" t="s">
        <v>245</v>
      </c>
      <c r="I82" s="5" t="s">
        <v>246</v>
      </c>
      <c r="J82" s="3">
        <v>12</v>
      </c>
      <c r="K82" s="11">
        <v>3.43</v>
      </c>
      <c r="L82" s="24"/>
      <c r="M82" s="15">
        <f>L82*K82</f>
        <v>0</v>
      </c>
    </row>
    <row r="83" spans="1:13" x14ac:dyDescent="0.3">
      <c r="A83" s="14">
        <v>6746841</v>
      </c>
      <c r="B83" s="4">
        <v>178</v>
      </c>
      <c r="C83" s="3">
        <v>5676083</v>
      </c>
      <c r="D83" s="5" t="s">
        <v>249</v>
      </c>
      <c r="E83" s="5" t="s">
        <v>250</v>
      </c>
      <c r="F83" s="5" t="s">
        <v>134</v>
      </c>
      <c r="G83" s="5" t="s">
        <v>199</v>
      </c>
      <c r="H83" s="5" t="s">
        <v>47</v>
      </c>
      <c r="I83" s="5" t="s">
        <v>15</v>
      </c>
      <c r="J83" s="3">
        <v>6</v>
      </c>
      <c r="K83" s="11">
        <v>11.52</v>
      </c>
      <c r="L83" s="24"/>
      <c r="M83" s="15">
        <f>L83*K83</f>
        <v>0</v>
      </c>
    </row>
    <row r="84" spans="1:13" x14ac:dyDescent="0.3">
      <c r="A84" s="14">
        <v>7642009</v>
      </c>
      <c r="B84" s="4">
        <v>553</v>
      </c>
      <c r="C84" s="3">
        <v>7500254</v>
      </c>
      <c r="D84" s="5" t="s">
        <v>251</v>
      </c>
      <c r="E84" s="5" t="s">
        <v>252</v>
      </c>
      <c r="F84" s="5" t="s">
        <v>177</v>
      </c>
      <c r="G84" s="5" t="s">
        <v>178</v>
      </c>
      <c r="H84" s="5" t="s">
        <v>14</v>
      </c>
      <c r="I84" s="5" t="s">
        <v>15</v>
      </c>
      <c r="J84" s="3">
        <v>12</v>
      </c>
      <c r="K84" s="11">
        <v>9.18</v>
      </c>
      <c r="L84" s="24"/>
      <c r="M84" s="15">
        <f>L84*K84</f>
        <v>0</v>
      </c>
    </row>
    <row r="85" spans="1:13" x14ac:dyDescent="0.3">
      <c r="A85" s="14">
        <v>5131132</v>
      </c>
      <c r="B85" s="4">
        <v>99371</v>
      </c>
      <c r="C85" s="3">
        <v>4716487</v>
      </c>
      <c r="D85" s="5" t="s">
        <v>253</v>
      </c>
      <c r="E85" s="5" t="s">
        <v>254</v>
      </c>
      <c r="F85" s="5" t="s">
        <v>255</v>
      </c>
      <c r="G85" s="5" t="s">
        <v>174</v>
      </c>
      <c r="H85" s="5" t="s">
        <v>25</v>
      </c>
      <c r="I85" s="5" t="s">
        <v>256</v>
      </c>
      <c r="J85" s="3">
        <v>6</v>
      </c>
      <c r="K85" s="11">
        <v>14.84</v>
      </c>
      <c r="L85" s="24"/>
      <c r="M85" s="15">
        <f>L85*K85</f>
        <v>0</v>
      </c>
    </row>
    <row r="86" spans="1:13" x14ac:dyDescent="0.3">
      <c r="A86" s="14">
        <v>5322630</v>
      </c>
      <c r="B86" s="4">
        <v>193</v>
      </c>
      <c r="C86" s="3">
        <v>5324237</v>
      </c>
      <c r="D86" s="5" t="s">
        <v>257</v>
      </c>
      <c r="E86" s="5" t="s">
        <v>258</v>
      </c>
      <c r="F86" s="5" t="s">
        <v>56</v>
      </c>
      <c r="G86" s="5" t="s">
        <v>93</v>
      </c>
      <c r="H86" s="5" t="s">
        <v>47</v>
      </c>
      <c r="I86" s="5" t="s">
        <v>15</v>
      </c>
      <c r="J86" s="3">
        <v>6</v>
      </c>
      <c r="K86" s="11">
        <v>16.46</v>
      </c>
      <c r="L86" s="24"/>
      <c r="M86" s="15">
        <f>L86*K86</f>
        <v>0</v>
      </c>
    </row>
    <row r="87" spans="1:13" x14ac:dyDescent="0.3">
      <c r="A87" s="14">
        <v>2218709</v>
      </c>
      <c r="B87" s="4">
        <v>440</v>
      </c>
      <c r="C87" s="3">
        <v>100839</v>
      </c>
      <c r="D87" s="5" t="s">
        <v>259</v>
      </c>
      <c r="E87" s="5" t="s">
        <v>260</v>
      </c>
      <c r="F87" s="5" t="s">
        <v>261</v>
      </c>
      <c r="G87" s="5" t="s">
        <v>262</v>
      </c>
      <c r="H87" s="5" t="s">
        <v>14</v>
      </c>
      <c r="I87" s="5" t="s">
        <v>15</v>
      </c>
      <c r="J87" s="3">
        <v>6</v>
      </c>
      <c r="K87" s="11">
        <v>13.86</v>
      </c>
      <c r="L87" s="24"/>
      <c r="M87" s="15">
        <f>L87*K87</f>
        <v>0</v>
      </c>
    </row>
    <row r="88" spans="1:13" x14ac:dyDescent="0.3">
      <c r="A88" s="14">
        <v>9989740</v>
      </c>
      <c r="B88" s="4">
        <v>85720</v>
      </c>
      <c r="C88" s="3">
        <v>6824960</v>
      </c>
      <c r="D88" s="5" t="s">
        <v>263</v>
      </c>
      <c r="E88" s="5" t="s">
        <v>264</v>
      </c>
      <c r="F88" s="5" t="s">
        <v>265</v>
      </c>
      <c r="G88" s="5" t="s">
        <v>39</v>
      </c>
      <c r="H88" s="5" t="s">
        <v>47</v>
      </c>
      <c r="I88" s="5" t="s">
        <v>15</v>
      </c>
      <c r="J88" s="3">
        <v>6</v>
      </c>
      <c r="K88" s="11">
        <v>14.18</v>
      </c>
      <c r="L88" s="24"/>
      <c r="M88" s="15">
        <f>L88*K88</f>
        <v>0</v>
      </c>
    </row>
    <row r="89" spans="1:13" x14ac:dyDescent="0.3">
      <c r="A89" s="14">
        <v>9888675</v>
      </c>
      <c r="B89" s="4">
        <v>17972</v>
      </c>
      <c r="C89" s="3">
        <v>1284135</v>
      </c>
      <c r="D89" s="5" t="s">
        <v>266</v>
      </c>
      <c r="E89" s="5" t="s">
        <v>267</v>
      </c>
      <c r="F89" s="5" t="s">
        <v>52</v>
      </c>
      <c r="G89" s="5" t="s">
        <v>85</v>
      </c>
      <c r="H89" s="5" t="s">
        <v>14</v>
      </c>
      <c r="I89" s="5" t="s">
        <v>15</v>
      </c>
      <c r="J89" s="3">
        <v>6</v>
      </c>
      <c r="K89" s="11">
        <v>11.07</v>
      </c>
      <c r="L89" s="24"/>
      <c r="M89" s="15">
        <f>L89*K89</f>
        <v>0</v>
      </c>
    </row>
    <row r="90" spans="1:13" x14ac:dyDescent="0.3">
      <c r="A90" s="14">
        <v>9784049</v>
      </c>
      <c r="B90" s="4">
        <v>237</v>
      </c>
      <c r="C90" s="3">
        <v>6011068</v>
      </c>
      <c r="D90" s="5" t="s">
        <v>268</v>
      </c>
      <c r="E90" s="5" t="s">
        <v>269</v>
      </c>
      <c r="F90" s="5" t="s">
        <v>270</v>
      </c>
      <c r="G90" s="5" t="s">
        <v>271</v>
      </c>
      <c r="H90" s="5" t="s">
        <v>47</v>
      </c>
      <c r="I90" s="5" t="s">
        <v>15</v>
      </c>
      <c r="J90" s="3">
        <v>6</v>
      </c>
      <c r="K90" s="11">
        <v>17.7</v>
      </c>
      <c r="L90" s="24"/>
      <c r="M90" s="15">
        <f>L90*K90</f>
        <v>0</v>
      </c>
    </row>
    <row r="91" spans="1:13" x14ac:dyDescent="0.3">
      <c r="A91" s="14">
        <v>8071053</v>
      </c>
      <c r="B91" s="4">
        <v>677</v>
      </c>
      <c r="C91" s="3">
        <v>100896</v>
      </c>
      <c r="D91" s="5" t="s">
        <v>272</v>
      </c>
      <c r="E91" s="5" t="s">
        <v>273</v>
      </c>
      <c r="F91" s="5" t="s">
        <v>52</v>
      </c>
      <c r="G91" s="5" t="s">
        <v>146</v>
      </c>
      <c r="H91" s="5" t="s">
        <v>14</v>
      </c>
      <c r="I91" s="5" t="s">
        <v>15</v>
      </c>
      <c r="J91" s="3">
        <v>6</v>
      </c>
      <c r="K91" s="11">
        <v>18.09</v>
      </c>
      <c r="L91" s="24"/>
      <c r="M91" s="15">
        <f>L91*K91</f>
        <v>0</v>
      </c>
    </row>
    <row r="92" spans="1:13" x14ac:dyDescent="0.3">
      <c r="A92" s="14">
        <v>9362380</v>
      </c>
      <c r="B92" s="4">
        <v>13236</v>
      </c>
      <c r="C92" s="3">
        <v>102765</v>
      </c>
      <c r="D92" s="5" t="s">
        <v>274</v>
      </c>
      <c r="E92" s="5" t="s">
        <v>275</v>
      </c>
      <c r="F92" s="5" t="s">
        <v>276</v>
      </c>
      <c r="G92" s="5" t="s">
        <v>98</v>
      </c>
      <c r="H92" s="5" t="s">
        <v>14</v>
      </c>
      <c r="I92" s="5" t="s">
        <v>15</v>
      </c>
      <c r="J92" s="3">
        <v>12</v>
      </c>
      <c r="K92" s="11">
        <v>7.08</v>
      </c>
      <c r="L92" s="24"/>
      <c r="M92" s="15">
        <f>L92*K92</f>
        <v>0</v>
      </c>
    </row>
    <row r="93" spans="1:13" x14ac:dyDescent="0.3">
      <c r="A93" s="14">
        <v>3343510</v>
      </c>
      <c r="B93" s="4">
        <v>226</v>
      </c>
      <c r="C93" s="3">
        <v>103915</v>
      </c>
      <c r="D93" s="5" t="s">
        <v>277</v>
      </c>
      <c r="E93" s="5" t="s">
        <v>278</v>
      </c>
      <c r="F93" s="5" t="s">
        <v>279</v>
      </c>
      <c r="G93" s="5" t="s">
        <v>39</v>
      </c>
      <c r="H93" s="5" t="s">
        <v>14</v>
      </c>
      <c r="I93" s="5" t="s">
        <v>15</v>
      </c>
      <c r="J93" s="3">
        <v>12</v>
      </c>
      <c r="K93" s="11">
        <v>4.26</v>
      </c>
      <c r="L93" s="24"/>
      <c r="M93" s="15">
        <f>L93*K93</f>
        <v>0</v>
      </c>
    </row>
    <row r="94" spans="1:13" x14ac:dyDescent="0.3">
      <c r="A94" s="14">
        <v>2580779</v>
      </c>
      <c r="B94" s="4">
        <v>227</v>
      </c>
      <c r="C94" s="3">
        <v>103915</v>
      </c>
      <c r="D94" s="5" t="s">
        <v>280</v>
      </c>
      <c r="E94" s="5" t="s">
        <v>278</v>
      </c>
      <c r="F94" s="5" t="s">
        <v>281</v>
      </c>
      <c r="G94" s="5" t="s">
        <v>39</v>
      </c>
      <c r="H94" s="5" t="s">
        <v>14</v>
      </c>
      <c r="I94" s="5" t="s">
        <v>15</v>
      </c>
      <c r="J94" s="3">
        <v>6</v>
      </c>
      <c r="K94" s="11">
        <v>6.8</v>
      </c>
      <c r="L94" s="24"/>
      <c r="M94" s="15">
        <f>L94*K94</f>
        <v>0</v>
      </c>
    </row>
    <row r="95" spans="1:13" x14ac:dyDescent="0.3">
      <c r="A95" s="14">
        <v>8493809</v>
      </c>
      <c r="B95" s="4">
        <v>450</v>
      </c>
      <c r="C95" s="3">
        <v>857305</v>
      </c>
      <c r="D95" s="5" t="s">
        <v>282</v>
      </c>
      <c r="E95" s="5" t="s">
        <v>283</v>
      </c>
      <c r="F95" s="5" t="s">
        <v>56</v>
      </c>
      <c r="G95" s="5" t="s">
        <v>206</v>
      </c>
      <c r="H95" s="5" t="s">
        <v>14</v>
      </c>
      <c r="I95" s="5" t="s">
        <v>15</v>
      </c>
      <c r="J95" s="3">
        <v>6</v>
      </c>
      <c r="K95" s="11">
        <v>17.329999999999998</v>
      </c>
      <c r="L95" s="24"/>
      <c r="M95" s="15">
        <f>L95*K95</f>
        <v>0</v>
      </c>
    </row>
    <row r="96" spans="1:13" x14ac:dyDescent="0.3">
      <c r="A96" s="14">
        <v>8634758</v>
      </c>
      <c r="B96" s="4">
        <v>476</v>
      </c>
      <c r="C96" s="3">
        <v>9420877</v>
      </c>
      <c r="D96" s="5" t="s">
        <v>284</v>
      </c>
      <c r="E96" s="5" t="s">
        <v>285</v>
      </c>
      <c r="F96" s="5" t="s">
        <v>12</v>
      </c>
      <c r="G96" s="5" t="s">
        <v>199</v>
      </c>
      <c r="H96" s="5" t="s">
        <v>14</v>
      </c>
      <c r="I96" s="5" t="s">
        <v>15</v>
      </c>
      <c r="J96" s="3">
        <v>6</v>
      </c>
      <c r="K96" s="11">
        <v>7.08</v>
      </c>
      <c r="L96" s="24"/>
      <c r="M96" s="15">
        <f>L96*K96</f>
        <v>0</v>
      </c>
    </row>
    <row r="97" spans="1:13" x14ac:dyDescent="0.3">
      <c r="A97" s="14">
        <v>5490874</v>
      </c>
      <c r="B97" s="4">
        <v>5094</v>
      </c>
      <c r="C97" s="3">
        <v>8883475</v>
      </c>
      <c r="D97" s="5" t="s">
        <v>286</v>
      </c>
      <c r="E97" s="5" t="s">
        <v>287</v>
      </c>
      <c r="F97" s="5" t="s">
        <v>288</v>
      </c>
      <c r="G97" s="5" t="s">
        <v>289</v>
      </c>
      <c r="H97" s="5" t="s">
        <v>99</v>
      </c>
      <c r="I97" s="5" t="s">
        <v>15</v>
      </c>
      <c r="J97" s="3">
        <v>6</v>
      </c>
      <c r="K97" s="11">
        <v>34.340000000000003</v>
      </c>
      <c r="L97" s="24"/>
      <c r="M97" s="15">
        <f>L97*K97</f>
        <v>0</v>
      </c>
    </row>
    <row r="98" spans="1:13" x14ac:dyDescent="0.3">
      <c r="A98" s="14">
        <v>9217280</v>
      </c>
      <c r="B98" s="4">
        <v>5092</v>
      </c>
      <c r="C98" s="3">
        <v>8883475</v>
      </c>
      <c r="D98" s="5" t="s">
        <v>290</v>
      </c>
      <c r="E98" s="5" t="s">
        <v>287</v>
      </c>
      <c r="F98" s="5" t="s">
        <v>291</v>
      </c>
      <c r="G98" s="5" t="s">
        <v>289</v>
      </c>
      <c r="H98" s="5" t="s">
        <v>99</v>
      </c>
      <c r="I98" s="5" t="s">
        <v>15</v>
      </c>
      <c r="J98" s="3">
        <v>6</v>
      </c>
      <c r="K98" s="11">
        <v>18.420000000000002</v>
      </c>
      <c r="L98" s="24"/>
      <c r="M98" s="15">
        <f>L98*K98</f>
        <v>0</v>
      </c>
    </row>
    <row r="99" spans="1:13" x14ac:dyDescent="0.3">
      <c r="A99" s="14">
        <v>2695693</v>
      </c>
      <c r="B99" s="4">
        <v>93130</v>
      </c>
      <c r="C99" s="3">
        <v>7281650</v>
      </c>
      <c r="D99" s="5" t="s">
        <v>292</v>
      </c>
      <c r="E99" s="5" t="s">
        <v>293</v>
      </c>
      <c r="F99" s="5" t="s">
        <v>294</v>
      </c>
      <c r="G99" s="5" t="s">
        <v>127</v>
      </c>
      <c r="H99" s="5" t="s">
        <v>99</v>
      </c>
      <c r="I99" s="5" t="s">
        <v>15</v>
      </c>
      <c r="J99" s="3">
        <v>6</v>
      </c>
      <c r="K99" s="11">
        <v>20.64</v>
      </c>
      <c r="L99" s="24"/>
      <c r="M99" s="15">
        <f>L99*K99</f>
        <v>0</v>
      </c>
    </row>
    <row r="100" spans="1:13" x14ac:dyDescent="0.3">
      <c r="A100" s="14">
        <v>5170706</v>
      </c>
      <c r="B100" s="4">
        <v>13875</v>
      </c>
      <c r="C100" s="3">
        <v>103910</v>
      </c>
      <c r="D100" s="5" t="s">
        <v>295</v>
      </c>
      <c r="E100" s="5" t="s">
        <v>296</v>
      </c>
      <c r="F100" s="5" t="s">
        <v>297</v>
      </c>
      <c r="G100" s="5" t="s">
        <v>174</v>
      </c>
      <c r="H100" s="5" t="s">
        <v>14</v>
      </c>
      <c r="I100" s="5" t="s">
        <v>15</v>
      </c>
      <c r="J100" s="3">
        <v>12</v>
      </c>
      <c r="K100" s="11">
        <v>6.15</v>
      </c>
      <c r="L100" s="24"/>
      <c r="M100" s="15">
        <f>L100*K100</f>
        <v>0</v>
      </c>
    </row>
    <row r="101" spans="1:13" x14ac:dyDescent="0.3">
      <c r="A101" s="14">
        <v>7267948</v>
      </c>
      <c r="B101" s="4">
        <v>1224</v>
      </c>
      <c r="C101" s="3">
        <v>3878188</v>
      </c>
      <c r="D101" s="5" t="s">
        <v>298</v>
      </c>
      <c r="E101" s="5" t="s">
        <v>299</v>
      </c>
      <c r="F101" s="5" t="s">
        <v>300</v>
      </c>
      <c r="G101" s="5" t="s">
        <v>127</v>
      </c>
      <c r="H101" s="5" t="s">
        <v>99</v>
      </c>
      <c r="I101" s="5" t="s">
        <v>15</v>
      </c>
      <c r="J101" s="3">
        <v>6</v>
      </c>
      <c r="K101" s="11">
        <v>22.37</v>
      </c>
      <c r="L101" s="24"/>
      <c r="M101" s="15">
        <f>L101*K101</f>
        <v>0</v>
      </c>
    </row>
    <row r="102" spans="1:13" x14ac:dyDescent="0.3">
      <c r="A102" s="14">
        <v>6365305</v>
      </c>
      <c r="B102" s="4">
        <v>125</v>
      </c>
      <c r="C102" s="3">
        <v>100586</v>
      </c>
      <c r="D102" s="5" t="s">
        <v>301</v>
      </c>
      <c r="E102" s="5" t="s">
        <v>302</v>
      </c>
      <c r="F102" s="5" t="s">
        <v>261</v>
      </c>
      <c r="G102" s="5" t="s">
        <v>24</v>
      </c>
      <c r="H102" s="5" t="s">
        <v>47</v>
      </c>
      <c r="I102" s="5" t="s">
        <v>15</v>
      </c>
      <c r="J102" s="3">
        <v>12</v>
      </c>
      <c r="K102" s="11">
        <v>4.66</v>
      </c>
      <c r="L102" s="24"/>
      <c r="M102" s="15">
        <f>L102*K102</f>
        <v>0</v>
      </c>
    </row>
    <row r="103" spans="1:13" x14ac:dyDescent="0.3">
      <c r="A103" s="14">
        <v>6069990</v>
      </c>
      <c r="B103" s="4">
        <v>51230</v>
      </c>
      <c r="C103" s="3">
        <v>7827807</v>
      </c>
      <c r="D103" s="5" t="s">
        <v>303</v>
      </c>
      <c r="E103" s="5" t="s">
        <v>304</v>
      </c>
      <c r="F103" s="5" t="s">
        <v>305</v>
      </c>
      <c r="G103" s="5" t="s">
        <v>203</v>
      </c>
      <c r="H103" s="5" t="s">
        <v>117</v>
      </c>
      <c r="I103" s="5" t="s">
        <v>190</v>
      </c>
      <c r="J103" s="3">
        <v>6</v>
      </c>
      <c r="K103" s="11">
        <v>6.83</v>
      </c>
      <c r="L103" s="24"/>
      <c r="M103" s="15">
        <f>L103*K103</f>
        <v>0</v>
      </c>
    </row>
    <row r="104" spans="1:13" x14ac:dyDescent="0.3">
      <c r="A104" s="14">
        <v>2842624</v>
      </c>
      <c r="B104" s="4">
        <v>649</v>
      </c>
      <c r="C104" s="3">
        <v>6440743</v>
      </c>
      <c r="D104" s="5" t="s">
        <v>306</v>
      </c>
      <c r="E104" s="5" t="s">
        <v>307</v>
      </c>
      <c r="F104" s="5" t="s">
        <v>308</v>
      </c>
      <c r="G104" s="5" t="s">
        <v>24</v>
      </c>
      <c r="H104" s="5" t="s">
        <v>14</v>
      </c>
      <c r="I104" s="5" t="s">
        <v>15</v>
      </c>
      <c r="J104" s="3">
        <v>12</v>
      </c>
      <c r="K104" s="11">
        <v>10.65</v>
      </c>
      <c r="L104" s="24"/>
      <c r="M104" s="15">
        <f>L104*K104</f>
        <v>0</v>
      </c>
    </row>
    <row r="105" spans="1:13" x14ac:dyDescent="0.3">
      <c r="A105" s="14">
        <v>8067622</v>
      </c>
      <c r="B105" s="4">
        <v>655</v>
      </c>
      <c r="C105" s="3">
        <v>6440743</v>
      </c>
      <c r="D105" s="5" t="s">
        <v>309</v>
      </c>
      <c r="E105" s="5" t="s">
        <v>310</v>
      </c>
      <c r="F105" s="5" t="s">
        <v>311</v>
      </c>
      <c r="G105" s="5" t="s">
        <v>24</v>
      </c>
      <c r="H105" s="5" t="s">
        <v>14</v>
      </c>
      <c r="I105" s="5" t="s">
        <v>15</v>
      </c>
      <c r="J105" s="3">
        <v>6</v>
      </c>
      <c r="K105" s="11">
        <v>18.899999999999999</v>
      </c>
      <c r="L105" s="24"/>
      <c r="M105" s="15">
        <f>L105*K105</f>
        <v>0</v>
      </c>
    </row>
    <row r="106" spans="1:13" x14ac:dyDescent="0.3">
      <c r="A106" s="14">
        <v>3835786</v>
      </c>
      <c r="B106" s="4">
        <v>509</v>
      </c>
      <c r="C106" s="3">
        <v>3721123</v>
      </c>
      <c r="D106" s="5" t="s">
        <v>312</v>
      </c>
      <c r="E106" s="5" t="s">
        <v>313</v>
      </c>
      <c r="F106" s="5" t="s">
        <v>314</v>
      </c>
      <c r="G106" s="5" t="s">
        <v>199</v>
      </c>
      <c r="H106" s="5" t="s">
        <v>117</v>
      </c>
      <c r="I106" s="5" t="s">
        <v>190</v>
      </c>
      <c r="J106" s="3">
        <v>6</v>
      </c>
      <c r="K106" s="11">
        <v>13.71</v>
      </c>
      <c r="L106" s="24"/>
      <c r="M106" s="15">
        <f>L106*K106</f>
        <v>0</v>
      </c>
    </row>
    <row r="107" spans="1:13" x14ac:dyDescent="0.3">
      <c r="A107" s="14">
        <v>7733131</v>
      </c>
      <c r="B107" s="4">
        <v>90667</v>
      </c>
      <c r="C107" s="3">
        <v>5559904</v>
      </c>
      <c r="D107" s="5" t="s">
        <v>315</v>
      </c>
      <c r="E107" s="5" t="s">
        <v>316</v>
      </c>
      <c r="F107" s="5" t="s">
        <v>317</v>
      </c>
      <c r="G107" s="5" t="s">
        <v>318</v>
      </c>
      <c r="H107" s="5" t="s">
        <v>14</v>
      </c>
      <c r="I107" s="5" t="s">
        <v>15</v>
      </c>
      <c r="J107" s="3">
        <v>12</v>
      </c>
      <c r="K107" s="11">
        <v>11.03</v>
      </c>
      <c r="L107" s="24"/>
      <c r="M107" s="15">
        <f>L107*K107</f>
        <v>0</v>
      </c>
    </row>
    <row r="108" spans="1:13" x14ac:dyDescent="0.3">
      <c r="A108" s="14">
        <v>6496269</v>
      </c>
      <c r="B108" s="4">
        <v>645</v>
      </c>
      <c r="C108" s="3">
        <v>2630063</v>
      </c>
      <c r="D108" s="5" t="s">
        <v>319</v>
      </c>
      <c r="E108" s="5" t="s">
        <v>320</v>
      </c>
      <c r="F108" s="5" t="s">
        <v>56</v>
      </c>
      <c r="G108" s="5" t="s">
        <v>146</v>
      </c>
      <c r="H108" s="5" t="s">
        <v>14</v>
      </c>
      <c r="I108" s="5" t="s">
        <v>15</v>
      </c>
      <c r="J108" s="3">
        <v>6</v>
      </c>
      <c r="K108" s="11">
        <v>19.47</v>
      </c>
      <c r="L108" s="24"/>
      <c r="M108" s="15">
        <f>L108*K108</f>
        <v>0</v>
      </c>
    </row>
    <row r="109" spans="1:13" x14ac:dyDescent="0.3">
      <c r="A109" s="14">
        <v>2164743</v>
      </c>
      <c r="B109" s="4">
        <v>282</v>
      </c>
      <c r="C109" s="3">
        <v>100805</v>
      </c>
      <c r="D109" s="5" t="s">
        <v>321</v>
      </c>
      <c r="E109" s="5" t="s">
        <v>120</v>
      </c>
      <c r="F109" s="5" t="s">
        <v>121</v>
      </c>
      <c r="G109" s="5" t="s">
        <v>39</v>
      </c>
      <c r="H109" s="5" t="s">
        <v>47</v>
      </c>
      <c r="I109" s="5" t="s">
        <v>15</v>
      </c>
      <c r="J109" s="3">
        <v>6</v>
      </c>
      <c r="K109" s="11">
        <v>10.15</v>
      </c>
      <c r="L109" s="24"/>
      <c r="M109" s="15">
        <f>L109*K109</f>
        <v>0</v>
      </c>
    </row>
    <row r="110" spans="1:13" x14ac:dyDescent="0.3">
      <c r="A110" s="14">
        <v>6113161</v>
      </c>
      <c r="B110" s="4">
        <v>203</v>
      </c>
      <c r="C110" s="3">
        <v>604162</v>
      </c>
      <c r="D110" s="5" t="s">
        <v>322</v>
      </c>
      <c r="E110" s="5" t="s">
        <v>323</v>
      </c>
      <c r="F110" s="5" t="s">
        <v>324</v>
      </c>
      <c r="G110" s="5" t="s">
        <v>325</v>
      </c>
      <c r="H110" s="5" t="s">
        <v>99</v>
      </c>
      <c r="I110" s="5" t="s">
        <v>15</v>
      </c>
      <c r="J110" s="3">
        <v>12</v>
      </c>
      <c r="K110" s="11">
        <v>16.86</v>
      </c>
      <c r="L110" s="24"/>
      <c r="M110" s="15">
        <f>L110*K110</f>
        <v>0</v>
      </c>
    </row>
    <row r="111" spans="1:13" x14ac:dyDescent="0.3">
      <c r="A111" s="14">
        <v>4122935</v>
      </c>
      <c r="B111" s="4">
        <v>204</v>
      </c>
      <c r="C111" s="3">
        <v>604162</v>
      </c>
      <c r="D111" s="5" t="s">
        <v>326</v>
      </c>
      <c r="E111" s="5" t="s">
        <v>323</v>
      </c>
      <c r="F111" s="5" t="s">
        <v>327</v>
      </c>
      <c r="G111" s="5" t="s">
        <v>325</v>
      </c>
      <c r="H111" s="5" t="s">
        <v>99</v>
      </c>
      <c r="I111" s="5" t="s">
        <v>15</v>
      </c>
      <c r="J111" s="3">
        <v>6</v>
      </c>
      <c r="K111" s="11">
        <v>38.33</v>
      </c>
      <c r="L111" s="24"/>
      <c r="M111" s="15">
        <f>L111*K111</f>
        <v>0</v>
      </c>
    </row>
    <row r="112" spans="1:13" x14ac:dyDescent="0.3">
      <c r="A112" s="14">
        <v>3228126</v>
      </c>
      <c r="B112" s="4">
        <v>64093</v>
      </c>
      <c r="C112" s="3">
        <v>7756217</v>
      </c>
      <c r="D112" s="5" t="s">
        <v>328</v>
      </c>
      <c r="E112" s="5" t="s">
        <v>329</v>
      </c>
      <c r="F112" s="5" t="s">
        <v>330</v>
      </c>
      <c r="G112" s="5" t="s">
        <v>116</v>
      </c>
      <c r="H112" s="5" t="s">
        <v>25</v>
      </c>
      <c r="I112" s="5" t="s">
        <v>118</v>
      </c>
      <c r="J112" s="3">
        <v>6</v>
      </c>
      <c r="K112" s="11">
        <v>14.84</v>
      </c>
      <c r="L112" s="24"/>
      <c r="M112" s="15">
        <f>L112*K112</f>
        <v>0</v>
      </c>
    </row>
    <row r="113" spans="1:13" x14ac:dyDescent="0.3">
      <c r="A113" s="14">
        <v>3513774</v>
      </c>
      <c r="B113" s="4">
        <v>18964</v>
      </c>
      <c r="C113" s="3">
        <v>7215489</v>
      </c>
      <c r="D113" s="5" t="s">
        <v>331</v>
      </c>
      <c r="E113" s="5" t="s">
        <v>332</v>
      </c>
      <c r="F113" s="5" t="s">
        <v>333</v>
      </c>
      <c r="G113" s="5" t="s">
        <v>24</v>
      </c>
      <c r="H113" s="5" t="s">
        <v>14</v>
      </c>
      <c r="I113" s="5" t="s">
        <v>15</v>
      </c>
      <c r="J113" s="3">
        <v>12</v>
      </c>
      <c r="K113" s="11">
        <v>14.22</v>
      </c>
      <c r="L113" s="24"/>
      <c r="M113" s="15">
        <f>L113*K113</f>
        <v>0</v>
      </c>
    </row>
    <row r="114" spans="1:13" x14ac:dyDescent="0.3">
      <c r="A114" s="14">
        <v>7786258</v>
      </c>
      <c r="B114" s="4">
        <v>474</v>
      </c>
      <c r="C114" s="3">
        <v>808294</v>
      </c>
      <c r="D114" s="5" t="s">
        <v>334</v>
      </c>
      <c r="E114" s="5" t="s">
        <v>335</v>
      </c>
      <c r="F114" s="5" t="s">
        <v>336</v>
      </c>
      <c r="G114" s="5" t="s">
        <v>289</v>
      </c>
      <c r="H114" s="5" t="s">
        <v>99</v>
      </c>
      <c r="I114" s="5" t="s">
        <v>15</v>
      </c>
      <c r="J114" s="3">
        <v>6</v>
      </c>
      <c r="K114" s="11">
        <v>34.799999999999997</v>
      </c>
      <c r="L114" s="24"/>
      <c r="M114" s="15">
        <f>L114*K114</f>
        <v>0</v>
      </c>
    </row>
    <row r="115" spans="1:13" x14ac:dyDescent="0.3">
      <c r="A115" s="14">
        <v>4143446</v>
      </c>
      <c r="B115" s="4">
        <v>53589</v>
      </c>
      <c r="C115" s="3">
        <v>8408948</v>
      </c>
      <c r="D115" s="5" t="s">
        <v>337</v>
      </c>
      <c r="E115" s="5" t="s">
        <v>338</v>
      </c>
      <c r="F115" s="5" t="s">
        <v>265</v>
      </c>
      <c r="G115" s="5" t="s">
        <v>74</v>
      </c>
      <c r="H115" s="5" t="s">
        <v>14</v>
      </c>
      <c r="I115" s="5" t="s">
        <v>339</v>
      </c>
      <c r="J115" s="3">
        <v>6</v>
      </c>
      <c r="K115" s="11">
        <v>13.5</v>
      </c>
      <c r="L115" s="24"/>
      <c r="M115" s="15">
        <f>L115*K115</f>
        <v>0</v>
      </c>
    </row>
    <row r="116" spans="1:13" x14ac:dyDescent="0.3">
      <c r="A116" s="14">
        <v>9419793</v>
      </c>
      <c r="B116" s="4">
        <v>538</v>
      </c>
      <c r="C116" s="3">
        <v>2658058</v>
      </c>
      <c r="D116" s="5" t="s">
        <v>340</v>
      </c>
      <c r="E116" s="5" t="s">
        <v>341</v>
      </c>
      <c r="F116" s="5" t="s">
        <v>17</v>
      </c>
      <c r="G116" s="5" t="s">
        <v>203</v>
      </c>
      <c r="H116" s="5" t="s">
        <v>14</v>
      </c>
      <c r="I116" s="5" t="s">
        <v>15</v>
      </c>
      <c r="J116" s="3">
        <v>6</v>
      </c>
      <c r="K116" s="11">
        <v>15.33</v>
      </c>
      <c r="L116" s="24"/>
      <c r="M116" s="15">
        <f>L116*K116</f>
        <v>0</v>
      </c>
    </row>
    <row r="117" spans="1:13" x14ac:dyDescent="0.3">
      <c r="A117" s="14">
        <v>7775094</v>
      </c>
      <c r="B117" s="4">
        <v>209</v>
      </c>
      <c r="C117" s="3">
        <v>604204</v>
      </c>
      <c r="D117" s="5" t="s">
        <v>342</v>
      </c>
      <c r="E117" s="5" t="s">
        <v>323</v>
      </c>
      <c r="F117" s="5" t="s">
        <v>343</v>
      </c>
      <c r="G117" s="5" t="s">
        <v>325</v>
      </c>
      <c r="H117" s="5" t="s">
        <v>99</v>
      </c>
      <c r="I117" s="5" t="s">
        <v>15</v>
      </c>
      <c r="J117" s="3">
        <v>12</v>
      </c>
      <c r="K117" s="11">
        <v>23.42</v>
      </c>
      <c r="L117" s="24"/>
      <c r="M117" s="15">
        <f>L117*K117</f>
        <v>0</v>
      </c>
    </row>
    <row r="118" spans="1:13" x14ac:dyDescent="0.3">
      <c r="A118" s="14">
        <v>8538109</v>
      </c>
      <c r="B118" s="4">
        <v>210</v>
      </c>
      <c r="C118" s="3">
        <v>604204</v>
      </c>
      <c r="D118" s="5" t="s">
        <v>344</v>
      </c>
      <c r="E118" s="5" t="s">
        <v>345</v>
      </c>
      <c r="F118" s="5" t="s">
        <v>346</v>
      </c>
      <c r="G118" s="5" t="s">
        <v>325</v>
      </c>
      <c r="H118" s="5" t="s">
        <v>99</v>
      </c>
      <c r="I118" s="5" t="s">
        <v>15</v>
      </c>
      <c r="J118" s="3">
        <v>6</v>
      </c>
      <c r="K118" s="11">
        <v>41.9</v>
      </c>
      <c r="L118" s="24"/>
      <c r="M118" s="15">
        <f>L118*K118</f>
        <v>0</v>
      </c>
    </row>
    <row r="119" spans="1:13" x14ac:dyDescent="0.3">
      <c r="A119" s="14">
        <v>4912627</v>
      </c>
      <c r="B119" s="4">
        <v>21033</v>
      </c>
      <c r="C119" s="3">
        <v>9136426</v>
      </c>
      <c r="D119" s="5" t="s">
        <v>347</v>
      </c>
      <c r="E119" s="5" t="s">
        <v>348</v>
      </c>
      <c r="F119" s="5" t="s">
        <v>52</v>
      </c>
      <c r="G119" s="5" t="s">
        <v>85</v>
      </c>
      <c r="H119" s="5" t="s">
        <v>14</v>
      </c>
      <c r="I119" s="5" t="s">
        <v>15</v>
      </c>
      <c r="J119" s="3">
        <v>6</v>
      </c>
      <c r="K119" s="11">
        <v>11.45</v>
      </c>
      <c r="L119" s="24"/>
      <c r="M119" s="15">
        <f>L119*K119</f>
        <v>0</v>
      </c>
    </row>
    <row r="120" spans="1:13" x14ac:dyDescent="0.3">
      <c r="A120" s="14">
        <v>3304144</v>
      </c>
      <c r="B120" s="4">
        <v>642</v>
      </c>
      <c r="C120" s="3">
        <v>103074</v>
      </c>
      <c r="D120" s="5" t="s">
        <v>349</v>
      </c>
      <c r="E120" s="5" t="s">
        <v>350</v>
      </c>
      <c r="F120" s="5" t="s">
        <v>265</v>
      </c>
      <c r="G120" s="5" t="s">
        <v>221</v>
      </c>
      <c r="H120" s="5" t="s">
        <v>14</v>
      </c>
      <c r="I120" s="5" t="s">
        <v>15</v>
      </c>
      <c r="J120" s="3">
        <v>6</v>
      </c>
      <c r="K120" s="11">
        <v>14.39</v>
      </c>
      <c r="L120" s="24"/>
      <c r="M120" s="15">
        <f>L120*K120</f>
        <v>0</v>
      </c>
    </row>
    <row r="121" spans="1:13" x14ac:dyDescent="0.3">
      <c r="A121" s="14">
        <v>1522660</v>
      </c>
      <c r="B121" s="4">
        <v>17643</v>
      </c>
      <c r="C121" s="3">
        <v>5860784</v>
      </c>
      <c r="D121" s="5" t="s">
        <v>351</v>
      </c>
      <c r="E121" s="5" t="s">
        <v>352</v>
      </c>
      <c r="F121" s="5" t="s">
        <v>353</v>
      </c>
      <c r="G121" s="5" t="s">
        <v>354</v>
      </c>
      <c r="H121" s="5" t="s">
        <v>25</v>
      </c>
      <c r="I121" s="5" t="s">
        <v>355</v>
      </c>
      <c r="J121" s="3">
        <v>6</v>
      </c>
      <c r="K121" s="11">
        <v>11.76</v>
      </c>
      <c r="L121" s="24"/>
      <c r="M121" s="15">
        <f>L121*K121</f>
        <v>0</v>
      </c>
    </row>
    <row r="122" spans="1:13" x14ac:dyDescent="0.3">
      <c r="A122" s="14">
        <v>3325105</v>
      </c>
      <c r="B122" s="4">
        <v>242</v>
      </c>
      <c r="C122" s="3">
        <v>103848</v>
      </c>
      <c r="D122" s="5" t="s">
        <v>356</v>
      </c>
      <c r="E122" s="5" t="s">
        <v>357</v>
      </c>
      <c r="F122" s="5" t="s">
        <v>358</v>
      </c>
      <c r="G122" s="5" t="s">
        <v>116</v>
      </c>
      <c r="H122" s="5" t="s">
        <v>47</v>
      </c>
      <c r="I122" s="5" t="s">
        <v>15</v>
      </c>
      <c r="J122" s="3">
        <v>6</v>
      </c>
      <c r="K122" s="11">
        <v>15.86</v>
      </c>
      <c r="L122" s="24"/>
      <c r="M122" s="15">
        <f>L122*K122</f>
        <v>0</v>
      </c>
    </row>
    <row r="123" spans="1:13" x14ac:dyDescent="0.3">
      <c r="A123" s="14">
        <v>1535795</v>
      </c>
      <c r="B123" s="4">
        <v>243</v>
      </c>
      <c r="C123" s="3">
        <v>103848</v>
      </c>
      <c r="D123" s="5" t="s">
        <v>359</v>
      </c>
      <c r="E123" s="5" t="s">
        <v>357</v>
      </c>
      <c r="F123" s="5" t="s">
        <v>226</v>
      </c>
      <c r="G123" s="5" t="s">
        <v>116</v>
      </c>
      <c r="H123" s="5" t="s">
        <v>47</v>
      </c>
      <c r="I123" s="5" t="s">
        <v>15</v>
      </c>
      <c r="J123" s="3">
        <v>6</v>
      </c>
      <c r="K123" s="11">
        <v>29.72</v>
      </c>
      <c r="L123" s="24"/>
      <c r="M123" s="15">
        <f>L123*K123</f>
        <v>0</v>
      </c>
    </row>
    <row r="124" spans="1:13" x14ac:dyDescent="0.3">
      <c r="A124" s="14">
        <v>7639661</v>
      </c>
      <c r="B124" s="4">
        <v>57044</v>
      </c>
      <c r="C124" s="3">
        <v>8456764</v>
      </c>
      <c r="D124" s="5" t="s">
        <v>360</v>
      </c>
      <c r="E124" s="5" t="s">
        <v>361</v>
      </c>
      <c r="F124" s="5" t="s">
        <v>294</v>
      </c>
      <c r="G124" s="5" t="s">
        <v>127</v>
      </c>
      <c r="H124" s="5" t="s">
        <v>99</v>
      </c>
      <c r="I124" s="5" t="s">
        <v>15</v>
      </c>
      <c r="J124" s="3">
        <v>6</v>
      </c>
      <c r="K124" s="11">
        <v>24.36</v>
      </c>
      <c r="L124" s="24"/>
      <c r="M124" s="15">
        <f>L124*K124</f>
        <v>0</v>
      </c>
    </row>
    <row r="125" spans="1:13" x14ac:dyDescent="0.3">
      <c r="A125" s="14">
        <v>5982033</v>
      </c>
      <c r="B125" s="4">
        <v>151</v>
      </c>
      <c r="C125" s="3">
        <v>100826</v>
      </c>
      <c r="D125" s="5" t="s">
        <v>362</v>
      </c>
      <c r="E125" s="5" t="s">
        <v>133</v>
      </c>
      <c r="F125" s="5" t="s">
        <v>12</v>
      </c>
      <c r="G125" s="5" t="s">
        <v>90</v>
      </c>
      <c r="H125" s="5" t="s">
        <v>47</v>
      </c>
      <c r="I125" s="5" t="s">
        <v>135</v>
      </c>
      <c r="J125" s="3">
        <v>12</v>
      </c>
      <c r="K125" s="11">
        <v>8.48</v>
      </c>
      <c r="L125" s="24"/>
      <c r="M125" s="15">
        <f>L125*K125</f>
        <v>0</v>
      </c>
    </row>
    <row r="126" spans="1:13" x14ac:dyDescent="0.3">
      <c r="A126" s="14">
        <v>1964605</v>
      </c>
      <c r="B126" s="4">
        <v>552</v>
      </c>
      <c r="C126" s="3">
        <v>9931220</v>
      </c>
      <c r="D126" s="5" t="s">
        <v>363</v>
      </c>
      <c r="E126" s="5" t="s">
        <v>364</v>
      </c>
      <c r="F126" s="5" t="s">
        <v>12</v>
      </c>
      <c r="G126" s="5" t="s">
        <v>203</v>
      </c>
      <c r="H126" s="5" t="s">
        <v>14</v>
      </c>
      <c r="I126" s="5" t="s">
        <v>15</v>
      </c>
      <c r="J126" s="3">
        <v>6</v>
      </c>
      <c r="K126" s="11">
        <v>10.14</v>
      </c>
      <c r="L126" s="24"/>
      <c r="M126" s="15">
        <f>L126*K126</f>
        <v>0</v>
      </c>
    </row>
    <row r="127" spans="1:13" x14ac:dyDescent="0.3">
      <c r="A127" s="14">
        <v>4908858</v>
      </c>
      <c r="B127" s="4">
        <v>20366</v>
      </c>
      <c r="C127" s="3">
        <v>4693760</v>
      </c>
      <c r="D127" s="5" t="s">
        <v>365</v>
      </c>
      <c r="E127" s="5" t="s">
        <v>366</v>
      </c>
      <c r="F127" s="5" t="s">
        <v>367</v>
      </c>
      <c r="G127" s="5" t="s">
        <v>203</v>
      </c>
      <c r="H127" s="5" t="s">
        <v>117</v>
      </c>
      <c r="I127" s="5" t="s">
        <v>190</v>
      </c>
      <c r="J127" s="3">
        <v>6</v>
      </c>
      <c r="K127" s="11">
        <v>12.73</v>
      </c>
      <c r="L127" s="24"/>
      <c r="M127" s="15">
        <f>L127*K127</f>
        <v>0</v>
      </c>
    </row>
    <row r="128" spans="1:13" x14ac:dyDescent="0.3">
      <c r="A128" s="14">
        <v>4900134</v>
      </c>
      <c r="B128" s="4">
        <v>94043</v>
      </c>
      <c r="C128" s="3">
        <v>9922535</v>
      </c>
      <c r="D128" s="5" t="s">
        <v>368</v>
      </c>
      <c r="E128" s="5" t="s">
        <v>369</v>
      </c>
      <c r="F128" s="5" t="s">
        <v>294</v>
      </c>
      <c r="G128" s="5" t="s">
        <v>127</v>
      </c>
      <c r="H128" s="5" t="s">
        <v>99</v>
      </c>
      <c r="I128" s="5" t="s">
        <v>15</v>
      </c>
      <c r="J128" s="3">
        <v>6</v>
      </c>
      <c r="K128" s="11">
        <v>14.28</v>
      </c>
      <c r="L128" s="24"/>
      <c r="M128" s="15">
        <f>L128*K128</f>
        <v>0</v>
      </c>
    </row>
    <row r="129" spans="1:13" x14ac:dyDescent="0.3">
      <c r="A129" s="14">
        <v>4026829</v>
      </c>
      <c r="B129" s="4">
        <v>556</v>
      </c>
      <c r="C129" s="3">
        <v>50390</v>
      </c>
      <c r="D129" s="5" t="s">
        <v>370</v>
      </c>
      <c r="E129" s="5" t="s">
        <v>341</v>
      </c>
      <c r="F129" s="5" t="s">
        <v>137</v>
      </c>
      <c r="G129" s="5" t="s">
        <v>203</v>
      </c>
      <c r="H129" s="5" t="s">
        <v>47</v>
      </c>
      <c r="I129" s="5" t="s">
        <v>15</v>
      </c>
      <c r="J129" s="3">
        <v>6</v>
      </c>
      <c r="K129" s="11">
        <v>18.38</v>
      </c>
      <c r="L129" s="24"/>
      <c r="M129" s="15">
        <f>L129*K129</f>
        <v>0</v>
      </c>
    </row>
    <row r="130" spans="1:13" x14ac:dyDescent="0.3">
      <c r="A130" s="14">
        <v>9569010</v>
      </c>
      <c r="B130" s="4">
        <v>29359</v>
      </c>
      <c r="C130" s="3">
        <v>7351436</v>
      </c>
      <c r="D130" s="5" t="s">
        <v>371</v>
      </c>
      <c r="E130" s="5" t="s">
        <v>372</v>
      </c>
      <c r="F130" s="5" t="s">
        <v>373</v>
      </c>
      <c r="G130" s="5" t="s">
        <v>98</v>
      </c>
      <c r="H130" s="5" t="s">
        <v>99</v>
      </c>
      <c r="I130" s="5" t="s">
        <v>15</v>
      </c>
      <c r="J130" s="3">
        <v>12</v>
      </c>
      <c r="K130" s="11">
        <v>11.97</v>
      </c>
      <c r="L130" s="24"/>
      <c r="M130" s="15">
        <f>L130*K130</f>
        <v>0</v>
      </c>
    </row>
    <row r="131" spans="1:13" x14ac:dyDescent="0.3">
      <c r="A131" s="14">
        <v>1213802</v>
      </c>
      <c r="B131" s="4">
        <v>692</v>
      </c>
      <c r="C131" s="3">
        <v>138970</v>
      </c>
      <c r="D131" s="5" t="s">
        <v>374</v>
      </c>
      <c r="E131" s="5" t="s">
        <v>375</v>
      </c>
      <c r="F131" s="5" t="s">
        <v>376</v>
      </c>
      <c r="G131" s="5" t="s">
        <v>377</v>
      </c>
      <c r="H131" s="5" t="s">
        <v>47</v>
      </c>
      <c r="I131" s="5" t="s">
        <v>15</v>
      </c>
      <c r="J131" s="3">
        <v>12</v>
      </c>
      <c r="K131" s="11">
        <v>26.19</v>
      </c>
      <c r="L131" s="24"/>
      <c r="M131" s="15">
        <f>L131*K131</f>
        <v>0</v>
      </c>
    </row>
    <row r="132" spans="1:13" x14ac:dyDescent="0.3">
      <c r="A132" s="14">
        <v>4856060</v>
      </c>
      <c r="B132" s="4">
        <v>96421</v>
      </c>
      <c r="C132" s="3">
        <v>8725979</v>
      </c>
      <c r="D132" s="5" t="s">
        <v>378</v>
      </c>
      <c r="E132" s="5" t="s">
        <v>379</v>
      </c>
      <c r="F132" s="5" t="s">
        <v>137</v>
      </c>
      <c r="G132" s="5" t="s">
        <v>68</v>
      </c>
      <c r="H132" s="5" t="s">
        <v>47</v>
      </c>
      <c r="I132" s="5" t="s">
        <v>15</v>
      </c>
      <c r="J132" s="3">
        <v>6</v>
      </c>
      <c r="K132" s="11">
        <v>15.37</v>
      </c>
      <c r="L132" s="24"/>
      <c r="M132" s="15">
        <f>L132*K132</f>
        <v>0</v>
      </c>
    </row>
    <row r="133" spans="1:13" x14ac:dyDescent="0.3">
      <c r="A133" s="14">
        <v>1470168</v>
      </c>
      <c r="B133" s="4">
        <v>176</v>
      </c>
      <c r="C133" s="3">
        <v>100844</v>
      </c>
      <c r="D133" s="5" t="s">
        <v>380</v>
      </c>
      <c r="E133" s="5" t="s">
        <v>381</v>
      </c>
      <c r="F133" s="5" t="s">
        <v>17</v>
      </c>
      <c r="G133" s="5" t="s">
        <v>199</v>
      </c>
      <c r="H133" s="5" t="s">
        <v>47</v>
      </c>
      <c r="I133" s="5" t="s">
        <v>15</v>
      </c>
      <c r="J133" s="3">
        <v>6</v>
      </c>
      <c r="K133" s="11">
        <v>12.63</v>
      </c>
      <c r="L133" s="24"/>
      <c r="M133" s="15">
        <f>L133*K133</f>
        <v>0</v>
      </c>
    </row>
    <row r="134" spans="1:13" x14ac:dyDescent="0.3">
      <c r="A134" s="14">
        <v>7789361</v>
      </c>
      <c r="B134" s="4">
        <v>174</v>
      </c>
      <c r="C134" s="3">
        <v>100844</v>
      </c>
      <c r="D134" s="5" t="s">
        <v>382</v>
      </c>
      <c r="E134" s="5" t="s">
        <v>381</v>
      </c>
      <c r="F134" s="5" t="s">
        <v>196</v>
      </c>
      <c r="G134" s="5" t="s">
        <v>199</v>
      </c>
      <c r="H134" s="5" t="s">
        <v>47</v>
      </c>
      <c r="I134" s="5" t="s">
        <v>15</v>
      </c>
      <c r="J134" s="3">
        <v>12</v>
      </c>
      <c r="K134" s="11">
        <v>3.78</v>
      </c>
      <c r="L134" s="24"/>
      <c r="M134" s="15">
        <f>L134*K134</f>
        <v>0</v>
      </c>
    </row>
    <row r="135" spans="1:13" x14ac:dyDescent="0.3">
      <c r="A135" s="14">
        <v>8681203</v>
      </c>
      <c r="B135" s="4">
        <v>18251</v>
      </c>
      <c r="C135" s="3">
        <v>4327086</v>
      </c>
      <c r="D135" s="5" t="s">
        <v>383</v>
      </c>
      <c r="E135" s="5" t="s">
        <v>384</v>
      </c>
      <c r="F135" s="5" t="s">
        <v>385</v>
      </c>
      <c r="G135" s="5" t="s">
        <v>203</v>
      </c>
      <c r="H135" s="5" t="s">
        <v>14</v>
      </c>
      <c r="I135" s="5" t="s">
        <v>15</v>
      </c>
      <c r="J135" s="3">
        <v>12</v>
      </c>
      <c r="K135" s="11">
        <v>19.850000000000001</v>
      </c>
      <c r="L135" s="24"/>
      <c r="M135" s="15">
        <f>L135*K135</f>
        <v>0</v>
      </c>
    </row>
    <row r="136" spans="1:13" x14ac:dyDescent="0.3">
      <c r="A136" s="14">
        <v>2606085</v>
      </c>
      <c r="B136" s="4">
        <v>173</v>
      </c>
      <c r="C136" s="3">
        <v>101731</v>
      </c>
      <c r="D136" s="5" t="s">
        <v>386</v>
      </c>
      <c r="E136" s="5" t="s">
        <v>387</v>
      </c>
      <c r="F136" s="5" t="s">
        <v>137</v>
      </c>
      <c r="G136" s="5" t="s">
        <v>199</v>
      </c>
      <c r="H136" s="5" t="s">
        <v>47</v>
      </c>
      <c r="I136" s="5" t="s">
        <v>15</v>
      </c>
      <c r="J136" s="3">
        <v>6</v>
      </c>
      <c r="K136" s="11">
        <v>18.2</v>
      </c>
      <c r="L136" s="24"/>
      <c r="M136" s="15">
        <f>L136*K136</f>
        <v>0</v>
      </c>
    </row>
    <row r="137" spans="1:13" x14ac:dyDescent="0.3">
      <c r="A137" s="14">
        <v>3964935</v>
      </c>
      <c r="B137" s="4">
        <v>404</v>
      </c>
      <c r="C137" s="3">
        <v>8788827</v>
      </c>
      <c r="D137" s="5" t="s">
        <v>388</v>
      </c>
      <c r="E137" s="5" t="s">
        <v>252</v>
      </c>
      <c r="F137" s="5" t="s">
        <v>389</v>
      </c>
      <c r="G137" s="5" t="s">
        <v>178</v>
      </c>
      <c r="H137" s="5" t="s">
        <v>99</v>
      </c>
      <c r="I137" s="5" t="s">
        <v>15</v>
      </c>
      <c r="J137" s="3">
        <v>12</v>
      </c>
      <c r="K137" s="11">
        <v>23.28</v>
      </c>
      <c r="L137" s="24"/>
      <c r="M137" s="15">
        <f>L137*K137</f>
        <v>0</v>
      </c>
    </row>
    <row r="138" spans="1:13" x14ac:dyDescent="0.3">
      <c r="A138" s="14">
        <v>1593100</v>
      </c>
      <c r="B138" s="4">
        <v>368</v>
      </c>
      <c r="C138" s="3">
        <v>604898</v>
      </c>
      <c r="D138" s="5" t="s">
        <v>390</v>
      </c>
      <c r="E138" s="5" t="s">
        <v>391</v>
      </c>
      <c r="F138" s="5" t="s">
        <v>12</v>
      </c>
      <c r="G138" s="5" t="s">
        <v>203</v>
      </c>
      <c r="H138" s="5" t="s">
        <v>14</v>
      </c>
      <c r="I138" s="5" t="s">
        <v>15</v>
      </c>
      <c r="J138" s="3">
        <v>6</v>
      </c>
      <c r="K138" s="11">
        <v>9</v>
      </c>
      <c r="L138" s="24"/>
      <c r="M138" s="15">
        <f>L138*K138</f>
        <v>0</v>
      </c>
    </row>
    <row r="139" spans="1:13" x14ac:dyDescent="0.3">
      <c r="A139" s="14">
        <v>7202871</v>
      </c>
      <c r="B139" s="4">
        <v>23271</v>
      </c>
      <c r="C139" s="3">
        <v>8031091</v>
      </c>
      <c r="D139" s="5" t="s">
        <v>392</v>
      </c>
      <c r="E139" s="5" t="s">
        <v>393</v>
      </c>
      <c r="F139" s="5" t="s">
        <v>52</v>
      </c>
      <c r="G139" s="5" t="s">
        <v>85</v>
      </c>
      <c r="H139" s="5" t="s">
        <v>14</v>
      </c>
      <c r="I139" s="5" t="s">
        <v>15</v>
      </c>
      <c r="J139" s="3">
        <v>6</v>
      </c>
      <c r="K139" s="11">
        <v>9.24</v>
      </c>
      <c r="L139" s="24"/>
      <c r="M139" s="15">
        <f>L139*K139</f>
        <v>0</v>
      </c>
    </row>
    <row r="140" spans="1:13" x14ac:dyDescent="0.3">
      <c r="A140" s="14">
        <v>6394359</v>
      </c>
      <c r="B140" s="4">
        <v>270</v>
      </c>
      <c r="C140" s="3">
        <v>8269432</v>
      </c>
      <c r="D140" s="5" t="s">
        <v>394</v>
      </c>
      <c r="E140" s="5" t="s">
        <v>395</v>
      </c>
      <c r="F140" s="5" t="s">
        <v>396</v>
      </c>
      <c r="G140" s="5" t="s">
        <v>237</v>
      </c>
      <c r="H140" s="5" t="s">
        <v>47</v>
      </c>
      <c r="I140" s="5" t="s">
        <v>15</v>
      </c>
      <c r="J140" s="3">
        <v>6</v>
      </c>
      <c r="K140" s="11">
        <v>24.09</v>
      </c>
      <c r="L140" s="24"/>
      <c r="M140" s="15">
        <f>L140*K140</f>
        <v>0</v>
      </c>
    </row>
    <row r="141" spans="1:13" x14ac:dyDescent="0.3">
      <c r="A141" s="14">
        <v>7866128</v>
      </c>
      <c r="B141" s="4">
        <v>269</v>
      </c>
      <c r="C141" s="3">
        <v>8269432</v>
      </c>
      <c r="D141" s="5" t="s">
        <v>397</v>
      </c>
      <c r="E141" s="5" t="s">
        <v>395</v>
      </c>
      <c r="F141" s="5" t="s">
        <v>398</v>
      </c>
      <c r="G141" s="5" t="s">
        <v>237</v>
      </c>
      <c r="H141" s="5" t="s">
        <v>47</v>
      </c>
      <c r="I141" s="5" t="s">
        <v>15</v>
      </c>
      <c r="J141" s="3">
        <v>12</v>
      </c>
      <c r="K141" s="11">
        <v>11.14</v>
      </c>
      <c r="L141" s="24"/>
      <c r="M141" s="15">
        <f>L141*K141</f>
        <v>0</v>
      </c>
    </row>
    <row r="142" spans="1:13" x14ac:dyDescent="0.3">
      <c r="A142" s="14">
        <v>3664046</v>
      </c>
      <c r="B142" s="4">
        <v>654</v>
      </c>
      <c r="C142" s="3">
        <v>101874</v>
      </c>
      <c r="D142" s="5" t="s">
        <v>399</v>
      </c>
      <c r="E142" s="5" t="s">
        <v>400</v>
      </c>
      <c r="F142" s="5" t="s">
        <v>52</v>
      </c>
      <c r="G142" s="5" t="s">
        <v>237</v>
      </c>
      <c r="H142" s="5" t="s">
        <v>14</v>
      </c>
      <c r="I142" s="5" t="s">
        <v>15</v>
      </c>
      <c r="J142" s="3">
        <v>6</v>
      </c>
      <c r="K142" s="11">
        <v>26.31</v>
      </c>
      <c r="L142" s="24"/>
      <c r="M142" s="15">
        <f>L142*K142</f>
        <v>0</v>
      </c>
    </row>
    <row r="143" spans="1:13" x14ac:dyDescent="0.3">
      <c r="A143" s="14">
        <v>6162512</v>
      </c>
      <c r="B143" s="4">
        <v>363</v>
      </c>
      <c r="C143" s="3">
        <v>604910</v>
      </c>
      <c r="D143" s="5" t="s">
        <v>401</v>
      </c>
      <c r="E143" s="5" t="s">
        <v>402</v>
      </c>
      <c r="F143" s="5" t="s">
        <v>12</v>
      </c>
      <c r="G143" s="5" t="s">
        <v>203</v>
      </c>
      <c r="H143" s="5" t="s">
        <v>14</v>
      </c>
      <c r="I143" s="5" t="s">
        <v>15</v>
      </c>
      <c r="J143" s="3">
        <v>6</v>
      </c>
      <c r="K143" s="11">
        <v>13.71</v>
      </c>
      <c r="L143" s="24"/>
      <c r="M143" s="15">
        <f>L143*K143</f>
        <v>0</v>
      </c>
    </row>
    <row r="144" spans="1:13" x14ac:dyDescent="0.3">
      <c r="A144" s="14">
        <v>1666562</v>
      </c>
      <c r="B144" s="4">
        <v>93403</v>
      </c>
      <c r="C144" s="3">
        <v>2170141</v>
      </c>
      <c r="D144" s="5" t="s">
        <v>403</v>
      </c>
      <c r="E144" s="5" t="s">
        <v>404</v>
      </c>
      <c r="F144" s="5" t="s">
        <v>405</v>
      </c>
      <c r="G144" s="5" t="s">
        <v>289</v>
      </c>
      <c r="H144" s="5" t="s">
        <v>99</v>
      </c>
      <c r="I144" s="5" t="s">
        <v>15</v>
      </c>
      <c r="J144" s="3">
        <v>6</v>
      </c>
      <c r="K144" s="11">
        <v>39.42</v>
      </c>
      <c r="L144" s="24"/>
      <c r="M144" s="15">
        <f>L144*K144</f>
        <v>0</v>
      </c>
    </row>
    <row r="145" spans="1:13" x14ac:dyDescent="0.3">
      <c r="A145" s="14">
        <v>1404774</v>
      </c>
      <c r="B145" s="4">
        <v>15735</v>
      </c>
      <c r="C145" s="3">
        <v>3159248</v>
      </c>
      <c r="D145" s="5" t="s">
        <v>406</v>
      </c>
      <c r="E145" s="5" t="s">
        <v>407</v>
      </c>
      <c r="F145" s="5" t="s">
        <v>265</v>
      </c>
      <c r="G145" s="5" t="s">
        <v>184</v>
      </c>
      <c r="H145" s="5" t="s">
        <v>14</v>
      </c>
      <c r="I145" s="5" t="s">
        <v>15</v>
      </c>
      <c r="J145" s="3">
        <v>12</v>
      </c>
      <c r="K145" s="11">
        <v>13.41</v>
      </c>
      <c r="L145" s="24"/>
      <c r="M145" s="15">
        <f>L145*K145</f>
        <v>0</v>
      </c>
    </row>
    <row r="146" spans="1:13" x14ac:dyDescent="0.3">
      <c r="A146" s="14">
        <v>3208657</v>
      </c>
      <c r="B146" s="4">
        <v>15734</v>
      </c>
      <c r="C146" s="3">
        <v>3159248</v>
      </c>
      <c r="D146" s="5" t="s">
        <v>408</v>
      </c>
      <c r="E146" s="5" t="s">
        <v>407</v>
      </c>
      <c r="F146" s="5" t="s">
        <v>409</v>
      </c>
      <c r="G146" s="5" t="s">
        <v>184</v>
      </c>
      <c r="H146" s="5" t="s">
        <v>14</v>
      </c>
      <c r="I146" s="5" t="s">
        <v>15</v>
      </c>
      <c r="J146" s="3">
        <v>12</v>
      </c>
      <c r="K146" s="11">
        <v>9.1999999999999993</v>
      </c>
      <c r="L146" s="24"/>
      <c r="M146" s="15">
        <f>L146*K146</f>
        <v>0</v>
      </c>
    </row>
    <row r="147" spans="1:13" x14ac:dyDescent="0.3">
      <c r="A147" s="14">
        <v>8660431</v>
      </c>
      <c r="B147" s="4">
        <v>43598</v>
      </c>
      <c r="C147" s="3">
        <v>5312482</v>
      </c>
      <c r="D147" s="5" t="s">
        <v>410</v>
      </c>
      <c r="E147" s="5" t="s">
        <v>411</v>
      </c>
      <c r="F147" s="5" t="s">
        <v>300</v>
      </c>
      <c r="G147" s="5" t="s">
        <v>127</v>
      </c>
      <c r="H147" s="5" t="s">
        <v>99</v>
      </c>
      <c r="I147" s="5" t="s">
        <v>15</v>
      </c>
      <c r="J147" s="3">
        <v>6</v>
      </c>
      <c r="K147" s="11">
        <v>23.31</v>
      </c>
      <c r="L147" s="24"/>
      <c r="M147" s="15">
        <f>L147*K147</f>
        <v>0</v>
      </c>
    </row>
    <row r="148" spans="1:13" x14ac:dyDescent="0.3">
      <c r="A148" s="14">
        <v>9301625</v>
      </c>
      <c r="B148" s="4">
        <v>182</v>
      </c>
      <c r="C148" s="3">
        <v>6895704</v>
      </c>
      <c r="D148" s="5" t="s">
        <v>412</v>
      </c>
      <c r="E148" s="5" t="s">
        <v>250</v>
      </c>
      <c r="F148" s="5" t="s">
        <v>413</v>
      </c>
      <c r="G148" s="5" t="s">
        <v>199</v>
      </c>
      <c r="H148" s="5" t="s">
        <v>47</v>
      </c>
      <c r="I148" s="5" t="s">
        <v>15</v>
      </c>
      <c r="J148" s="3">
        <v>6</v>
      </c>
      <c r="K148" s="11">
        <v>11.89</v>
      </c>
      <c r="L148" s="24"/>
      <c r="M148" s="15">
        <f>L148*K148</f>
        <v>0</v>
      </c>
    </row>
    <row r="149" spans="1:13" x14ac:dyDescent="0.3">
      <c r="A149" s="14">
        <v>7013770</v>
      </c>
      <c r="B149" s="4">
        <v>658</v>
      </c>
      <c r="C149" s="3">
        <v>5525067</v>
      </c>
      <c r="D149" s="5" t="s">
        <v>414</v>
      </c>
      <c r="E149" s="5" t="s">
        <v>415</v>
      </c>
      <c r="F149" s="5" t="s">
        <v>224</v>
      </c>
      <c r="G149" s="5" t="s">
        <v>53</v>
      </c>
      <c r="H149" s="5" t="s">
        <v>99</v>
      </c>
      <c r="I149" s="5" t="s">
        <v>15</v>
      </c>
      <c r="J149" s="3">
        <v>6</v>
      </c>
      <c r="K149" s="11">
        <v>30.6</v>
      </c>
      <c r="L149" s="24"/>
      <c r="M149" s="15">
        <f>L149*K149</f>
        <v>0</v>
      </c>
    </row>
    <row r="150" spans="1:13" x14ac:dyDescent="0.3">
      <c r="A150" s="14">
        <v>4054376</v>
      </c>
      <c r="B150" s="4">
        <v>28260</v>
      </c>
      <c r="C150" s="3">
        <v>104330</v>
      </c>
      <c r="D150" s="5" t="s">
        <v>416</v>
      </c>
      <c r="E150" s="5" t="s">
        <v>417</v>
      </c>
      <c r="F150" s="5" t="s">
        <v>418</v>
      </c>
      <c r="G150" s="5" t="s">
        <v>203</v>
      </c>
      <c r="H150" s="5" t="s">
        <v>117</v>
      </c>
      <c r="I150" s="5" t="s">
        <v>190</v>
      </c>
      <c r="J150" s="3">
        <v>6</v>
      </c>
      <c r="K150" s="11">
        <v>14.7</v>
      </c>
      <c r="L150" s="24"/>
      <c r="M150" s="15">
        <f>L150*K150</f>
        <v>0</v>
      </c>
    </row>
    <row r="151" spans="1:13" x14ac:dyDescent="0.3">
      <c r="A151" s="14">
        <v>1018389</v>
      </c>
      <c r="B151" s="4">
        <v>81158</v>
      </c>
      <c r="C151" s="3">
        <v>3363063</v>
      </c>
      <c r="D151" s="5" t="s">
        <v>419</v>
      </c>
      <c r="E151" s="5" t="s">
        <v>420</v>
      </c>
      <c r="F151" s="5" t="s">
        <v>300</v>
      </c>
      <c r="G151" s="5" t="s">
        <v>127</v>
      </c>
      <c r="H151" s="5" t="s">
        <v>99</v>
      </c>
      <c r="I151" s="5" t="s">
        <v>15</v>
      </c>
      <c r="J151" s="3">
        <v>6</v>
      </c>
      <c r="K151" s="11">
        <v>24.36</v>
      </c>
      <c r="L151" s="24"/>
      <c r="M151" s="15">
        <f>L151*K151</f>
        <v>0</v>
      </c>
    </row>
    <row r="152" spans="1:13" x14ac:dyDescent="0.3">
      <c r="A152" s="14">
        <v>7363369</v>
      </c>
      <c r="B152" s="4">
        <v>1071</v>
      </c>
      <c r="C152" s="3">
        <v>4236580</v>
      </c>
      <c r="D152" s="5" t="s">
        <v>421</v>
      </c>
      <c r="E152" s="5" t="s">
        <v>422</v>
      </c>
      <c r="F152" s="5" t="s">
        <v>20</v>
      </c>
      <c r="G152" s="5" t="s">
        <v>127</v>
      </c>
      <c r="H152" s="5" t="s">
        <v>99</v>
      </c>
      <c r="I152" s="5" t="s">
        <v>15</v>
      </c>
      <c r="J152" s="3">
        <v>6</v>
      </c>
      <c r="K152" s="11">
        <v>18.489999999999998</v>
      </c>
      <c r="L152" s="24"/>
      <c r="M152" s="15">
        <f>L152*K152</f>
        <v>0</v>
      </c>
    </row>
    <row r="153" spans="1:13" x14ac:dyDescent="0.3">
      <c r="A153" s="14">
        <v>6214483</v>
      </c>
      <c r="B153" s="4">
        <v>54743</v>
      </c>
      <c r="C153" s="3">
        <v>6464403</v>
      </c>
      <c r="D153" s="5" t="s">
        <v>423</v>
      </c>
      <c r="E153" s="5" t="s">
        <v>424</v>
      </c>
      <c r="F153" s="5" t="s">
        <v>52</v>
      </c>
      <c r="G153" s="5" t="s">
        <v>85</v>
      </c>
      <c r="H153" s="5" t="s">
        <v>14</v>
      </c>
      <c r="I153" s="5" t="s">
        <v>15</v>
      </c>
      <c r="J153" s="3">
        <v>6</v>
      </c>
      <c r="K153" s="11">
        <v>9.93</v>
      </c>
      <c r="L153" s="24"/>
      <c r="M153" s="15">
        <f>L153*K153</f>
        <v>0</v>
      </c>
    </row>
    <row r="154" spans="1:13" x14ac:dyDescent="0.3">
      <c r="A154" s="14">
        <v>3379519</v>
      </c>
      <c r="B154" s="4">
        <v>647</v>
      </c>
      <c r="C154" s="3">
        <v>5201164</v>
      </c>
      <c r="D154" s="5" t="s">
        <v>425</v>
      </c>
      <c r="E154" s="5" t="s">
        <v>426</v>
      </c>
      <c r="F154" s="5" t="s">
        <v>427</v>
      </c>
      <c r="G154" s="5" t="s">
        <v>262</v>
      </c>
      <c r="H154" s="5" t="s">
        <v>14</v>
      </c>
      <c r="I154" s="5" t="s">
        <v>15</v>
      </c>
      <c r="J154" s="3">
        <v>12</v>
      </c>
      <c r="K154" s="11">
        <v>6.92</v>
      </c>
      <c r="L154" s="24"/>
      <c r="M154" s="15">
        <f>L154*K154</f>
        <v>0</v>
      </c>
    </row>
    <row r="155" spans="1:13" x14ac:dyDescent="0.3">
      <c r="A155" s="14">
        <v>1667551</v>
      </c>
      <c r="B155" s="4">
        <v>61514</v>
      </c>
      <c r="C155" s="3">
        <v>9264423</v>
      </c>
      <c r="D155" s="5" t="s">
        <v>428</v>
      </c>
      <c r="E155" s="5" t="s">
        <v>429</v>
      </c>
      <c r="F155" s="5" t="s">
        <v>265</v>
      </c>
      <c r="G155" s="5" t="s">
        <v>193</v>
      </c>
      <c r="H155" s="5" t="s">
        <v>14</v>
      </c>
      <c r="I155" s="5" t="s">
        <v>15</v>
      </c>
      <c r="J155" s="3">
        <v>12</v>
      </c>
      <c r="K155" s="11">
        <v>14.5</v>
      </c>
      <c r="L155" s="24"/>
      <c r="M155" s="15">
        <f>L155*K155</f>
        <v>0</v>
      </c>
    </row>
    <row r="156" spans="1:13" x14ac:dyDescent="0.3">
      <c r="A156" s="14">
        <v>7247764</v>
      </c>
      <c r="B156" s="4">
        <v>5051</v>
      </c>
      <c r="C156" s="3">
        <v>60834</v>
      </c>
      <c r="D156" s="5" t="s">
        <v>430</v>
      </c>
      <c r="E156" s="5" t="s">
        <v>431</v>
      </c>
      <c r="F156" s="5" t="s">
        <v>300</v>
      </c>
      <c r="G156" s="5" t="s">
        <v>127</v>
      </c>
      <c r="H156" s="5" t="s">
        <v>99</v>
      </c>
      <c r="I156" s="5" t="s">
        <v>15</v>
      </c>
      <c r="J156" s="3">
        <v>6</v>
      </c>
      <c r="K156" s="11">
        <v>22.2</v>
      </c>
      <c r="L156" s="24"/>
      <c r="M156" s="15">
        <f>L156*K156</f>
        <v>0</v>
      </c>
    </row>
    <row r="157" spans="1:13" x14ac:dyDescent="0.3">
      <c r="A157" s="14">
        <v>8080628</v>
      </c>
      <c r="B157" s="4">
        <v>748</v>
      </c>
      <c r="C157" s="3">
        <v>103201</v>
      </c>
      <c r="D157" s="5" t="s">
        <v>432</v>
      </c>
      <c r="E157" s="5" t="s">
        <v>433</v>
      </c>
      <c r="F157" s="5" t="s">
        <v>434</v>
      </c>
      <c r="G157" s="5" t="s">
        <v>93</v>
      </c>
      <c r="H157" s="5" t="s">
        <v>47</v>
      </c>
      <c r="I157" s="5" t="s">
        <v>15</v>
      </c>
      <c r="J157" s="3">
        <v>6</v>
      </c>
      <c r="K157" s="11">
        <v>9.24</v>
      </c>
      <c r="L157" s="24"/>
      <c r="M157" s="15">
        <f>L157*K157</f>
        <v>0</v>
      </c>
    </row>
    <row r="158" spans="1:13" x14ac:dyDescent="0.3">
      <c r="A158" s="14">
        <v>9493130</v>
      </c>
      <c r="B158" s="4">
        <v>26472</v>
      </c>
      <c r="C158" s="3">
        <v>8628114</v>
      </c>
      <c r="D158" s="5" t="s">
        <v>435</v>
      </c>
      <c r="E158" s="5" t="s">
        <v>436</v>
      </c>
      <c r="F158" s="5" t="s">
        <v>52</v>
      </c>
      <c r="G158" s="5" t="s">
        <v>85</v>
      </c>
      <c r="H158" s="5" t="s">
        <v>14</v>
      </c>
      <c r="I158" s="5" t="s">
        <v>15</v>
      </c>
      <c r="J158" s="3">
        <v>6</v>
      </c>
      <c r="K158" s="11">
        <v>10.81</v>
      </c>
      <c r="L158" s="24"/>
      <c r="M158" s="15">
        <f>L158*K158</f>
        <v>0</v>
      </c>
    </row>
    <row r="159" spans="1:13" x14ac:dyDescent="0.3">
      <c r="A159" s="14">
        <v>5317546</v>
      </c>
      <c r="B159" s="4">
        <v>138</v>
      </c>
      <c r="C159" s="3">
        <v>100832</v>
      </c>
      <c r="D159" s="5" t="s">
        <v>437</v>
      </c>
      <c r="E159" s="5" t="s">
        <v>438</v>
      </c>
      <c r="F159" s="5" t="s">
        <v>439</v>
      </c>
      <c r="G159" s="5" t="s">
        <v>262</v>
      </c>
      <c r="H159" s="5" t="s">
        <v>14</v>
      </c>
      <c r="I159" s="5" t="s">
        <v>15</v>
      </c>
      <c r="J159" s="3">
        <v>12</v>
      </c>
      <c r="K159" s="11">
        <v>4.9800000000000004</v>
      </c>
      <c r="L159" s="24"/>
      <c r="M159" s="15">
        <f>L159*K159</f>
        <v>0</v>
      </c>
    </row>
    <row r="160" spans="1:13" x14ac:dyDescent="0.3">
      <c r="A160" s="14">
        <v>3438378</v>
      </c>
      <c r="B160" s="4">
        <v>422</v>
      </c>
      <c r="C160" s="3">
        <v>1312620</v>
      </c>
      <c r="D160" s="5" t="s">
        <v>440</v>
      </c>
      <c r="E160" s="5" t="s">
        <v>441</v>
      </c>
      <c r="F160" s="5" t="s">
        <v>442</v>
      </c>
      <c r="G160" s="5" t="s">
        <v>221</v>
      </c>
      <c r="H160" s="5" t="s">
        <v>443</v>
      </c>
      <c r="I160" s="5" t="s">
        <v>15</v>
      </c>
      <c r="J160" s="3">
        <v>3</v>
      </c>
      <c r="K160" s="11">
        <v>29.08</v>
      </c>
      <c r="L160" s="24"/>
      <c r="M160" s="15">
        <f>L160*K160</f>
        <v>0</v>
      </c>
    </row>
    <row r="161" spans="1:13" x14ac:dyDescent="0.3">
      <c r="A161" s="14">
        <v>5440048</v>
      </c>
      <c r="B161" s="4">
        <v>372</v>
      </c>
      <c r="C161" s="3">
        <v>604180</v>
      </c>
      <c r="D161" s="5" t="s">
        <v>444</v>
      </c>
      <c r="E161" s="5" t="s">
        <v>445</v>
      </c>
      <c r="F161" s="5" t="s">
        <v>324</v>
      </c>
      <c r="G161" s="5" t="s">
        <v>325</v>
      </c>
      <c r="H161" s="5" t="s">
        <v>14</v>
      </c>
      <c r="I161" s="5" t="s">
        <v>15</v>
      </c>
      <c r="J161" s="3">
        <v>6</v>
      </c>
      <c r="K161" s="11">
        <v>16.23</v>
      </c>
      <c r="L161" s="24"/>
      <c r="M161" s="15">
        <f>L161*K161</f>
        <v>0</v>
      </c>
    </row>
    <row r="162" spans="1:13" x14ac:dyDescent="0.3">
      <c r="A162" s="14">
        <v>2816475</v>
      </c>
      <c r="B162" s="4">
        <v>186</v>
      </c>
      <c r="C162" s="3">
        <v>103817</v>
      </c>
      <c r="D162" s="5" t="s">
        <v>446</v>
      </c>
      <c r="E162" s="5" t="s">
        <v>447</v>
      </c>
      <c r="F162" s="5" t="s">
        <v>137</v>
      </c>
      <c r="G162" s="5" t="s">
        <v>199</v>
      </c>
      <c r="H162" s="5" t="s">
        <v>47</v>
      </c>
      <c r="I162" s="5" t="s">
        <v>15</v>
      </c>
      <c r="J162" s="3">
        <v>6</v>
      </c>
      <c r="K162" s="11">
        <v>22.74</v>
      </c>
      <c r="L162" s="24"/>
      <c r="M162" s="15">
        <f>L162*K162</f>
        <v>0</v>
      </c>
    </row>
    <row r="163" spans="1:13" x14ac:dyDescent="0.3">
      <c r="A163" s="14">
        <v>2284001</v>
      </c>
      <c r="B163" s="4">
        <v>214</v>
      </c>
      <c r="C163" s="3">
        <v>103003</v>
      </c>
      <c r="D163" s="5" t="s">
        <v>448</v>
      </c>
      <c r="E163" s="5" t="s">
        <v>449</v>
      </c>
      <c r="F163" s="5" t="s">
        <v>56</v>
      </c>
      <c r="G163" s="5" t="s">
        <v>237</v>
      </c>
      <c r="H163" s="5" t="s">
        <v>47</v>
      </c>
      <c r="I163" s="5" t="s">
        <v>15</v>
      </c>
      <c r="J163" s="3">
        <v>6</v>
      </c>
      <c r="K163" s="11">
        <v>47.53</v>
      </c>
      <c r="L163" s="24"/>
      <c r="M163" s="15">
        <f>L163*K163</f>
        <v>0</v>
      </c>
    </row>
    <row r="164" spans="1:13" x14ac:dyDescent="0.3">
      <c r="A164" s="14">
        <v>7214584</v>
      </c>
      <c r="B164" s="4">
        <v>81039</v>
      </c>
      <c r="C164" s="3">
        <v>7494924</v>
      </c>
      <c r="D164" s="5" t="s">
        <v>450</v>
      </c>
      <c r="E164" s="5" t="s">
        <v>451</v>
      </c>
      <c r="F164" s="5" t="s">
        <v>52</v>
      </c>
      <c r="G164" s="5" t="s">
        <v>85</v>
      </c>
      <c r="H164" s="5" t="s">
        <v>14</v>
      </c>
      <c r="I164" s="5" t="s">
        <v>15</v>
      </c>
      <c r="J164" s="3">
        <v>6</v>
      </c>
      <c r="K164" s="11">
        <v>9.31</v>
      </c>
      <c r="L164" s="24"/>
      <c r="M164" s="15">
        <f>L164*K164</f>
        <v>0</v>
      </c>
    </row>
    <row r="165" spans="1:13" x14ac:dyDescent="0.3">
      <c r="A165" s="14">
        <v>8672757</v>
      </c>
      <c r="B165" s="4">
        <v>1220</v>
      </c>
      <c r="C165" s="3">
        <v>7838221</v>
      </c>
      <c r="D165" s="5" t="s">
        <v>452</v>
      </c>
      <c r="E165" s="5" t="s">
        <v>453</v>
      </c>
      <c r="F165" s="5" t="s">
        <v>405</v>
      </c>
      <c r="G165" s="5" t="s">
        <v>127</v>
      </c>
      <c r="H165" s="5" t="s">
        <v>99</v>
      </c>
      <c r="I165" s="5" t="s">
        <v>15</v>
      </c>
      <c r="J165" s="3">
        <v>6</v>
      </c>
      <c r="K165" s="11">
        <v>20.059999999999999</v>
      </c>
      <c r="L165" s="24"/>
      <c r="M165" s="15">
        <f>L165*K165</f>
        <v>0</v>
      </c>
    </row>
    <row r="166" spans="1:13" x14ac:dyDescent="0.3">
      <c r="A166" s="14">
        <v>9217838</v>
      </c>
      <c r="B166" s="4">
        <v>67179</v>
      </c>
      <c r="C166" s="3">
        <v>9917037</v>
      </c>
      <c r="D166" s="5" t="s">
        <v>454</v>
      </c>
      <c r="E166" s="5" t="s">
        <v>455</v>
      </c>
      <c r="F166" s="5" t="s">
        <v>456</v>
      </c>
      <c r="G166" s="5" t="s">
        <v>127</v>
      </c>
      <c r="H166" s="5" t="s">
        <v>99</v>
      </c>
      <c r="I166" s="5" t="s">
        <v>15</v>
      </c>
      <c r="J166" s="3">
        <v>6</v>
      </c>
      <c r="K166" s="11">
        <v>26.73</v>
      </c>
      <c r="L166" s="24"/>
      <c r="M166" s="15">
        <f>L166*K166</f>
        <v>0</v>
      </c>
    </row>
    <row r="167" spans="1:13" x14ac:dyDescent="0.3">
      <c r="A167" s="14">
        <v>4938144</v>
      </c>
      <c r="B167" s="4">
        <v>14920</v>
      </c>
      <c r="C167" s="3">
        <v>6019300</v>
      </c>
      <c r="D167" s="5" t="s">
        <v>457</v>
      </c>
      <c r="E167" s="5" t="s">
        <v>458</v>
      </c>
      <c r="F167" s="5" t="s">
        <v>52</v>
      </c>
      <c r="G167" s="5" t="s">
        <v>85</v>
      </c>
      <c r="H167" s="5" t="s">
        <v>14</v>
      </c>
      <c r="I167" s="5" t="s">
        <v>15</v>
      </c>
      <c r="J167" s="3">
        <v>6</v>
      </c>
      <c r="K167" s="11">
        <v>8.4700000000000006</v>
      </c>
      <c r="L167" s="24"/>
      <c r="M167" s="15">
        <f>L167*K167</f>
        <v>0</v>
      </c>
    </row>
    <row r="168" spans="1:13" x14ac:dyDescent="0.3">
      <c r="A168" s="14">
        <v>5857730</v>
      </c>
      <c r="B168" s="4">
        <v>459</v>
      </c>
      <c r="C168" s="3">
        <v>3522129</v>
      </c>
      <c r="D168" s="5" t="s">
        <v>459</v>
      </c>
      <c r="E168" s="5" t="s">
        <v>460</v>
      </c>
      <c r="F168" s="5" t="s">
        <v>461</v>
      </c>
      <c r="G168" s="5" t="s">
        <v>462</v>
      </c>
      <c r="H168" s="5" t="s">
        <v>14</v>
      </c>
      <c r="I168" s="5" t="s">
        <v>15</v>
      </c>
      <c r="J168" s="3">
        <v>12</v>
      </c>
      <c r="K168" s="11">
        <v>11.59</v>
      </c>
      <c r="L168" s="24"/>
      <c r="M168" s="15">
        <f>L168*K168</f>
        <v>0</v>
      </c>
    </row>
    <row r="169" spans="1:13" x14ac:dyDescent="0.3">
      <c r="A169" s="14">
        <v>7542107</v>
      </c>
      <c r="B169" s="4">
        <v>59860</v>
      </c>
      <c r="C169" s="3">
        <v>5653722</v>
      </c>
      <c r="D169" s="5" t="s">
        <v>463</v>
      </c>
      <c r="E169" s="5" t="s">
        <v>464</v>
      </c>
      <c r="F169" s="5" t="s">
        <v>52</v>
      </c>
      <c r="G169" s="5" t="s">
        <v>85</v>
      </c>
      <c r="H169" s="5" t="s">
        <v>14</v>
      </c>
      <c r="I169" s="5" t="s">
        <v>15</v>
      </c>
      <c r="J169" s="3">
        <v>6</v>
      </c>
      <c r="K169" s="11">
        <v>9.27</v>
      </c>
      <c r="L169" s="24"/>
      <c r="M169" s="15">
        <f>L169*K169</f>
        <v>0</v>
      </c>
    </row>
    <row r="170" spans="1:13" x14ac:dyDescent="0.3">
      <c r="A170" s="14">
        <v>4491576</v>
      </c>
      <c r="B170" s="4">
        <v>44378</v>
      </c>
      <c r="C170" s="3">
        <v>4769173</v>
      </c>
      <c r="D170" s="5" t="s">
        <v>465</v>
      </c>
      <c r="E170" s="5" t="s">
        <v>466</v>
      </c>
      <c r="F170" s="5" t="s">
        <v>52</v>
      </c>
      <c r="G170" s="5" t="s">
        <v>85</v>
      </c>
      <c r="H170" s="5" t="s">
        <v>14</v>
      </c>
      <c r="I170" s="5" t="s">
        <v>15</v>
      </c>
      <c r="J170" s="3">
        <v>6</v>
      </c>
      <c r="K170" s="11">
        <v>16.53</v>
      </c>
      <c r="L170" s="24"/>
      <c r="M170" s="15">
        <f>L170*K170</f>
        <v>0</v>
      </c>
    </row>
    <row r="171" spans="1:13" x14ac:dyDescent="0.3">
      <c r="A171" s="14">
        <v>5665298</v>
      </c>
      <c r="B171" s="4">
        <v>49816</v>
      </c>
      <c r="C171" s="3">
        <v>2702156</v>
      </c>
      <c r="D171" s="5" t="s">
        <v>467</v>
      </c>
      <c r="E171" s="5" t="s">
        <v>468</v>
      </c>
      <c r="F171" s="5" t="s">
        <v>265</v>
      </c>
      <c r="G171" s="5" t="s">
        <v>193</v>
      </c>
      <c r="H171" s="5" t="s">
        <v>14</v>
      </c>
      <c r="I171" s="5" t="s">
        <v>15</v>
      </c>
      <c r="J171" s="3">
        <v>12</v>
      </c>
      <c r="K171" s="11">
        <v>9.98</v>
      </c>
      <c r="L171" s="24"/>
      <c r="M171" s="15">
        <f>L171*K171</f>
        <v>0</v>
      </c>
    </row>
    <row r="172" spans="1:13" ht="15" thickBot="1" x14ac:dyDescent="0.35">
      <c r="A172" s="16">
        <v>5363824</v>
      </c>
      <c r="B172" s="17">
        <v>6201</v>
      </c>
      <c r="C172" s="18">
        <v>3267792</v>
      </c>
      <c r="D172" s="19" t="s">
        <v>469</v>
      </c>
      <c r="E172" s="19" t="s">
        <v>470</v>
      </c>
      <c r="F172" s="19" t="s">
        <v>471</v>
      </c>
      <c r="G172" s="19" t="s">
        <v>289</v>
      </c>
      <c r="H172" s="19" t="s">
        <v>99</v>
      </c>
      <c r="I172" s="19" t="s">
        <v>15</v>
      </c>
      <c r="J172" s="18">
        <v>6</v>
      </c>
      <c r="K172" s="20">
        <v>41.1</v>
      </c>
      <c r="L172" s="25"/>
      <c r="M172" s="21">
        <f>L172*K172</f>
        <v>0</v>
      </c>
    </row>
    <row r="174" spans="1:13" ht="15" thickBot="1" x14ac:dyDescent="0.35"/>
    <row r="175" spans="1:13" ht="31.8" customHeight="1" thickBot="1" x14ac:dyDescent="0.35">
      <c r="D175" s="32"/>
      <c r="E175" s="33"/>
      <c r="F175" s="34"/>
    </row>
    <row r="176" spans="1:13" x14ac:dyDescent="0.3">
      <c r="D176" s="35" t="s">
        <v>479</v>
      </c>
      <c r="E176" s="36"/>
      <c r="F176" s="37"/>
    </row>
    <row r="177" spans="4:6" x14ac:dyDescent="0.3">
      <c r="D177" s="38" t="s">
        <v>480</v>
      </c>
      <c r="E177" s="39"/>
      <c r="F177" s="40"/>
    </row>
    <row r="178" spans="4:6" ht="15" thickBot="1" x14ac:dyDescent="0.35">
      <c r="D178" s="41" t="s">
        <v>476</v>
      </c>
      <c r="E178" s="42"/>
      <c r="F178" s="43"/>
    </row>
    <row r="179" spans="4:6" x14ac:dyDescent="0.3">
      <c r="D179" s="44" t="s">
        <v>477</v>
      </c>
      <c r="E179" s="45"/>
      <c r="F179" s="46"/>
    </row>
    <row r="180" spans="4:6" ht="15" thickBot="1" x14ac:dyDescent="0.35">
      <c r="D180" s="47" t="s">
        <v>478</v>
      </c>
      <c r="E180" s="48"/>
      <c r="F180" s="49"/>
    </row>
  </sheetData>
  <sheetProtection algorithmName="SHA-512" hashValue="q2PHajWMm2L0eP2yW/ItyIFOkAZ13yTr2YDVB6JIDU1fmCzA3c8bZXlyBDwKwWpnzrdAA1qgnYKS4wzyYT9okw==" saltValue="XvFkluF9jiReY3glxbm/ug==" spinCount="100000" sheet="1" formatCells="0" formatColumns="0" formatRows="0" insertColumns="0" insertRows="0" insertHyperlinks="0" deleteColumns="0" deleteRows="0" sort="0" autoFilter="0" pivotTables="0"/>
  <autoFilter ref="A2:M173" xr:uid="{00000000-0001-0000-0000-000000000000}"/>
  <mergeCells count="7">
    <mergeCell ref="D180:F180"/>
    <mergeCell ref="A1:M1"/>
    <mergeCell ref="D175:F175"/>
    <mergeCell ref="D176:F176"/>
    <mergeCell ref="D177:F177"/>
    <mergeCell ref="D178:F178"/>
    <mergeCell ref="D179:F17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DSN GROUP (Nature's Life)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Tkachuk Valia</cp:lastModifiedBy>
  <dcterms:created xsi:type="dcterms:W3CDTF">2015-06-05T18:17:20Z</dcterms:created>
  <dcterms:modified xsi:type="dcterms:W3CDTF">2024-07-23T08:45:15Z</dcterms:modified>
</cp:coreProperties>
</file>