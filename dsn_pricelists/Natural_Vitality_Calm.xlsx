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8"/>
  <workbookPr/>
  <mc:AlternateContent xmlns:mc="http://schemas.openxmlformats.org/markup-compatibility/2006">
    <mc:Choice Requires="x15">
      <x15ac:absPath xmlns:x15ac="http://schemas.microsoft.com/office/spreadsheetml/2010/11/ac" url="C:\Users\Acer\Desktop\Prices\Natural Vitality Calm\Продаж\"/>
    </mc:Choice>
  </mc:AlternateContent>
  <xr:revisionPtr revIDLastSave="0" documentId="13_ncr:1_{FECDCD18-AE5E-4783-A59C-83182FC27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TURAL VITALITY CALM" sheetId="2" r:id="rId1"/>
  </sheets>
  <definedNames>
    <definedName name="_xlnm._FilterDatabase" localSheetId="0" hidden="1">'NATURAL VITALITY CALM'!$A$2:$K$36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N20" i="2"/>
  <c r="O20" i="2"/>
  <c r="P20" i="2"/>
  <c r="Q20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P3" i="2"/>
  <c r="S5" i="2" l="1"/>
  <c r="N3" i="2"/>
  <c r="Q3" i="2"/>
  <c r="Q2" i="2" s="1"/>
  <c r="K4" i="2"/>
  <c r="S4" i="2" s="1"/>
  <c r="K5" i="2"/>
  <c r="K6" i="2"/>
  <c r="S6" i="2" s="1"/>
  <c r="K7" i="2"/>
  <c r="S7" i="2" s="1"/>
  <c r="K8" i="2"/>
  <c r="S8" i="2" s="1"/>
  <c r="K9" i="2"/>
  <c r="S9" i="2" s="1"/>
  <c r="K10" i="2"/>
  <c r="S10" i="2" s="1"/>
  <c r="K11" i="2"/>
  <c r="S11" i="2" s="1"/>
  <c r="K12" i="2"/>
  <c r="S12" i="2" s="1"/>
  <c r="K13" i="2"/>
  <c r="S13" i="2" s="1"/>
  <c r="K14" i="2"/>
  <c r="S14" i="2" s="1"/>
  <c r="K15" i="2"/>
  <c r="S15" i="2" s="1"/>
  <c r="K16" i="2"/>
  <c r="S16" i="2" s="1"/>
  <c r="K17" i="2"/>
  <c r="S17" i="2" s="1"/>
  <c r="K18" i="2"/>
  <c r="S18" i="2" s="1"/>
  <c r="K19" i="2"/>
  <c r="S19" i="2" s="1"/>
  <c r="K20" i="2"/>
  <c r="S20" i="2" s="1"/>
  <c r="K21" i="2"/>
  <c r="S21" i="2" s="1"/>
  <c r="K22" i="2"/>
  <c r="S22" i="2" s="1"/>
  <c r="K23" i="2"/>
  <c r="S23" i="2" s="1"/>
  <c r="K24" i="2"/>
  <c r="S24" i="2" s="1"/>
  <c r="K25" i="2"/>
  <c r="S25" i="2" s="1"/>
  <c r="K26" i="2"/>
  <c r="S26" i="2" s="1"/>
  <c r="K27" i="2"/>
  <c r="S27" i="2" s="1"/>
  <c r="K28" i="2"/>
  <c r="S28" i="2" s="1"/>
  <c r="K29" i="2"/>
  <c r="S29" i="2" s="1"/>
  <c r="K30" i="2"/>
  <c r="S30" i="2" s="1"/>
  <c r="K31" i="2"/>
  <c r="S31" i="2" s="1"/>
  <c r="K32" i="2"/>
  <c r="S32" i="2" s="1"/>
  <c r="K33" i="2"/>
  <c r="S33" i="2" s="1"/>
  <c r="K34" i="2"/>
  <c r="S34" i="2" s="1"/>
  <c r="K35" i="2"/>
  <c r="S35" i="2" s="1"/>
  <c r="K36" i="2"/>
  <c r="S36" i="2" s="1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" i="2"/>
  <c r="P2" i="2" s="1"/>
  <c r="O3" i="2" l="1"/>
  <c r="S3" i="2"/>
  <c r="S1" i="2" s="1"/>
  <c r="L2" i="2"/>
</calcChain>
</file>

<file path=xl/sharedStrings.xml><?xml version="1.0" encoding="utf-8"?>
<sst xmlns="http://schemas.openxmlformats.org/spreadsheetml/2006/main" count="141" uniqueCount="75">
  <si>
    <t>PRODUCT #</t>
  </si>
  <si>
    <t>PRODUCT DESCRIPTION</t>
  </si>
  <si>
    <t>SIZE</t>
  </si>
  <si>
    <t>FORM</t>
  </si>
  <si>
    <t>WHLSLE</t>
  </si>
  <si>
    <t xml:space="preserve"> UPC</t>
  </si>
  <si>
    <t>Capsules</t>
  </si>
  <si>
    <t>Gummies</t>
  </si>
  <si>
    <t>Powder</t>
  </si>
  <si>
    <t>NV4349</t>
  </si>
  <si>
    <t>CALM Original Unflavored</t>
  </si>
  <si>
    <t>8 oz</t>
  </si>
  <si>
    <t>NV545</t>
  </si>
  <si>
    <t>16 oz</t>
  </si>
  <si>
    <t>NV4416</t>
  </si>
  <si>
    <t>CALM Raspberry Lemon Stick Packs</t>
  </si>
  <si>
    <t>Stick Packs</t>
  </si>
  <si>
    <t>NV4350</t>
  </si>
  <si>
    <t>CALM Raspberry Lemon</t>
  </si>
  <si>
    <t>NV2739</t>
  </si>
  <si>
    <t>NV4353</t>
  </si>
  <si>
    <t>CALM Cherry</t>
  </si>
  <si>
    <t>NV3704</t>
  </si>
  <si>
    <t>NV4352</t>
  </si>
  <si>
    <t>CALM Sweet Lemon</t>
  </si>
  <si>
    <t>NV2742</t>
  </si>
  <si>
    <t>NV4351</t>
  </si>
  <si>
    <t>CALM Orange</t>
  </si>
  <si>
    <t>NV2743</t>
  </si>
  <si>
    <t>NV4356</t>
  </si>
  <si>
    <t>CALM Watermelon</t>
  </si>
  <si>
    <t>NV4415</t>
  </si>
  <si>
    <t>NV4354</t>
  </si>
  <si>
    <t>CALM Plus Calcium Original Unflavored</t>
  </si>
  <si>
    <t>NV2966</t>
  </si>
  <si>
    <t>NV4355</t>
  </si>
  <si>
    <t>CALM Plus Calcium Raspberry Lemon</t>
  </si>
  <si>
    <t>NV3227</t>
  </si>
  <si>
    <t>NV4341</t>
  </si>
  <si>
    <t>CALM Raspberry Lemon Trial/Travel Pack</t>
  </si>
  <si>
    <t>NV4165</t>
  </si>
  <si>
    <t xml:space="preserve">CALM Raspberry Lemon </t>
  </si>
  <si>
    <t>NV4308</t>
  </si>
  <si>
    <t>NV4446</t>
  </si>
  <si>
    <t>CALM Sleep</t>
  </si>
  <si>
    <t>NV4399</t>
  </si>
  <si>
    <t>CALM Magnesium Glycinate</t>
  </si>
  <si>
    <t>NV4408</t>
  </si>
  <si>
    <t>CALM Mind Unflavored</t>
  </si>
  <si>
    <t>6 oz</t>
  </si>
  <si>
    <t>NV4404</t>
  </si>
  <si>
    <t>CALM Mind Honey Chamomile</t>
  </si>
  <si>
    <t>NV3952</t>
  </si>
  <si>
    <t>NV4360</t>
  </si>
  <si>
    <t>NV4361</t>
  </si>
  <si>
    <t>NV4370</t>
  </si>
  <si>
    <t>CALM Kids Yummy Berry</t>
  </si>
  <si>
    <t>NV3992</t>
  </si>
  <si>
    <t>NV4382</t>
  </si>
  <si>
    <t>CALM Kids Sleep Berry</t>
  </si>
  <si>
    <t>NV4383</t>
  </si>
  <si>
    <t>NV4380</t>
  </si>
  <si>
    <t>CALM Kids Sweet Citrus</t>
  </si>
  <si>
    <t>NV4381</t>
  </si>
  <si>
    <t>Order</t>
  </si>
  <si>
    <t>Total</t>
  </si>
  <si>
    <t>Total with discount</t>
  </si>
  <si>
    <t>26.06.2025</t>
  </si>
  <si>
    <t>Price 15% OFF
(Total 432 qty~)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</si>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</sst>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&quot;$&quot;#,##0.00;[Red]&quot;$&quot;#,##0.00"/>
    <numFmt numFmtId="166" formatCode="_-[$$-1009]* #,##0.00_-;\-[$$-1009]* #,##0.00_-;_-[$$-1009]* &quot;-&quot;??_-;_-@_-"/>
    <numFmt numFmtId="167" formatCode="_-[$$-409]* #,##0.00_ ;_-[$$-409]* \-#,##0.00\ ;_-[$$-409]* &quot;-&quot;??_ ;_-@_ "/>
    <numFmt numFmtId="168" formatCode="[$$-409]#,##0.00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165" fontId="0" fillId="0" borderId="2" xfId="0" applyNumberForma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8" fillId="0" borderId="2" xfId="0" applyNumberFormat="1" applyFont="1" applyBorder="1"/>
    <xf numFmtId="165" fontId="0" fillId="0" borderId="3" xfId="0" applyNumberFormat="1" applyBorder="1" applyAlignment="1">
      <alignment horizontal="center" vertical="center"/>
    </xf>
    <xf numFmtId="164" fontId="8" fillId="0" borderId="3" xfId="0" applyNumberFormat="1" applyFont="1" applyBorder="1"/>
    <xf numFmtId="0" fontId="4" fillId="0" borderId="6" xfId="0" applyFont="1" applyBorder="1" applyAlignment="1">
      <alignment horizontal="center" vertical="center"/>
    </xf>
    <xf numFmtId="164" fontId="8" fillId="0" borderId="6" xfId="0" applyNumberFormat="1" applyFont="1" applyBorder="1"/>
    <xf numFmtId="166" fontId="0" fillId="0" borderId="3" xfId="0" applyNumberFormat="1" applyBorder="1"/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  <xf numFmtId="166" fontId="0" fillId="0" borderId="4" xfId="0" applyNumberFormat="1" applyBorder="1"/>
    <xf numFmtId="166" fontId="0" fillId="0" borderId="5" xfId="0" applyNumberFormat="1" applyBorder="1"/>
    <xf numFmtId="166" fontId="0" fillId="0" borderId="7" xfId="0" applyNumberFormat="1" applyBorder="1"/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65" fontId="4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166" fontId="2" fillId="3" borderId="8" xfId="0" applyNumberFormat="1" applyFont="1" applyFill="1" applyBorder="1" applyAlignment="1">
      <alignment horizontal="center" vertical="center"/>
    </xf>
    <xf numFmtId="166" fontId="2" fillId="3" borderId="10" xfId="0" applyNumberFormat="1" applyFont="1" applyFill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7" fontId="13" fillId="4" borderId="1" xfId="0" applyNumberFormat="1" applyFont="1" applyFill="1" applyBorder="1" applyAlignment="1" applyProtection="1">
      <alignment horizontal="center" vertical="center" wrapText="1" readingOrder="1"/>
      <protection hidden="1"/>
    </xf>
    <xf numFmtId="168" fontId="6" fillId="4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 readingOrder="1"/>
      <protection locked="0"/>
    </xf>
    <xf numFmtId="4" fontId="6" fillId="2" borderId="15" xfId="0" applyNumberFormat="1" applyFont="1" applyFill="1" applyBorder="1" applyAlignment="1">
      <alignment horizontal="center" vertical="center"/>
    </xf>
    <xf numFmtId="167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67" fontId="13" fillId="0" borderId="0" xfId="0" applyNumberFormat="1" applyFont="1" applyAlignment="1" applyProtection="1">
      <alignment vertical="center" wrapText="1" readingOrder="1"/>
      <protection hidden="1"/>
    </xf>
    <xf numFmtId="0" fontId="6" fillId="5" borderId="1" xfId="0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64" fontId="8" fillId="0" borderId="19" xfId="1" applyFont="1" applyBorder="1" applyAlignment="1">
      <alignment vertical="center"/>
    </xf>
    <xf numFmtId="164" fontId="8" fillId="0" borderId="20" xfId="1" applyFont="1" applyBorder="1" applyAlignment="1">
      <alignment vertical="center"/>
    </xf>
    <xf numFmtId="164" fontId="8" fillId="0" borderId="20" xfId="1" applyFont="1" applyFill="1" applyBorder="1" applyAlignment="1">
      <alignment vertical="center"/>
    </xf>
    <xf numFmtId="164" fontId="8" fillId="0" borderId="20" xfId="0" applyNumberFormat="1" applyFont="1" applyBorder="1" applyAlignment="1">
      <alignment vertical="center"/>
    </xf>
    <xf numFmtId="164" fontId="8" fillId="0" borderId="21" xfId="1" applyFont="1" applyFill="1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12" fillId="0" borderId="14" xfId="0" applyFont="1" applyBorder="1" applyAlignment="1">
      <alignment horizontal="left" wrapText="1"/>
    </xf>
    <xf numFmtId="0" fontId="10" fillId="0" borderId="14" xfId="0" applyFont="1" applyBorder="1" applyAlignment="1">
      <alignment horizontal="left"/>
    </xf>
    <xf numFmtId="14" fontId="6" fillId="4" borderId="10" xfId="0" applyNumberFormat="1" applyFont="1" applyFill="1" applyBorder="1" applyAlignment="1">
      <alignment horizontal="center" vertical="center" wrapText="1"/>
    </xf>
    <xf numFmtId="14" fontId="6" fillId="4" borderId="15" xfId="0" applyNumberFormat="1" applyFont="1" applyFill="1" applyBorder="1" applyAlignment="1">
      <alignment horizontal="center" vertical="center" wrapText="1"/>
    </xf>
  </cellXfs>
  <cellStyles count="2">
    <cellStyle name="Грошовий" xfId="1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779585</xdr:colOff>
      <xdr:row>0</xdr:row>
      <xdr:rowOff>38100</xdr:rowOff>
    </xdr:from>
    <xdr:to>
      <xdr:col>8</xdr:col>
      <xdr:colOff>83821</xdr:colOff>
      <xdr:row>0</xdr:row>
      <xdr:rowOff>842703</xdr:rowOff>
    </xdr:to>
    <xdr:pic>
      <xdr:nvPicPr>
        <xdr:cNvPr id="2" name="Рисунок 1" descr="Amazon.com: Natural Vitality: Calm">
          <a:extLst>
            <a:ext uri="{FF2B5EF4-FFF2-40B4-BE49-F238E27FC236}">
              <a16:creationId xmlns:a16="http://schemas.microsoft.com/office/drawing/2014/main" id="{AEEB0445-BA8B-7735-CE94-8E96639EB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765" y="38100"/>
          <a:ext cx="1361636" cy="804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tabSelected="1" zoomScale="60" zoomScaleNormal="60" workbookViewId="0">
      <pane ySplit="2" topLeftCell="A3" activePane="bottomLeft" state="frozen"/>
      <selection pane="bottomLeft" activeCell="N2" sqref="N2"/>
    </sheetView>
  </sheetViews>
  <sheetFormatPr defaultColWidth="11.59765625" defaultRowHeight="15.6"/>
  <cols>
    <col min="1" max="1" width="9.69921875" bestFit="1" customWidth="1"/>
    <col min="2" max="2" width="32.09765625" bestFit="1" customWidth="1"/>
    <col min="4" max="4" width="13.69921875" customWidth="1"/>
    <col min="5" max="5" width="16.796875" customWidth="1"/>
    <col min="6" max="6" width="15.8984375" bestFit="1" customWidth="1"/>
    <col min="8" max="8" width="15.3984375" customWidth="1"/>
    <col min="9" max="9" width="11.59765625" style="29"/>
    <col min="10" max="11" width="11.59765625" style="13"/>
  </cols>
  <sheetData>
    <row r="1" spans="1:19" ht="73.2" customHeight="1" thickBot="1">
      <c r="A1" s="67" t="s">
        <v>69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30" t="s">
        <v>67</v>
      </c>
      <c r="N1" s="43" t="s">
        <v>70</v>
      </c>
      <c r="O1" s="69" t="s">
        <v>71</v>
      </c>
      <c r="P1" s="44" t="s">
        <v>72</v>
      </c>
      <c r="Q1" s="45" t="s">
        <v>73</v>
      </c>
      <c r="S1" s="46" t="str">
        <f>IFERROR(IF(SUM(S3:S277)=0, "-", L2+Q2), "-")</f>
        <v>-</v>
      </c>
    </row>
    <row r="2" spans="1:19" ht="29.4" thickBot="1">
      <c r="A2" s="32" t="s">
        <v>0</v>
      </c>
      <c r="B2" s="31" t="s">
        <v>1</v>
      </c>
      <c r="C2" s="32" t="s">
        <v>2</v>
      </c>
      <c r="D2" s="32" t="s">
        <v>3</v>
      </c>
      <c r="E2" s="33" t="s">
        <v>5</v>
      </c>
      <c r="F2" s="33" t="s">
        <v>72</v>
      </c>
      <c r="G2" s="34" t="s">
        <v>4</v>
      </c>
      <c r="H2" s="35" t="s">
        <v>68</v>
      </c>
      <c r="I2" s="36" t="s">
        <v>64</v>
      </c>
      <c r="J2" s="37" t="s">
        <v>65</v>
      </c>
      <c r="K2" s="38" t="s">
        <v>66</v>
      </c>
      <c r="L2" s="39">
        <f>SUM(K3:K36)</f>
        <v>0</v>
      </c>
      <c r="N2" s="47"/>
      <c r="O2" s="70"/>
      <c r="P2" s="48" t="str">
        <f>IF(SUM(P3:P277)=0, "-", SUM(P3:P277))</f>
        <v>-</v>
      </c>
      <c r="Q2" s="49" t="str">
        <f>IF(SUM(Q3:Q277)=0, "-", SUM(Q3:Q277))</f>
        <v>-</v>
      </c>
      <c r="R2" s="50"/>
      <c r="S2" s="51" t="s">
        <v>74</v>
      </c>
    </row>
    <row r="3" spans="1:19">
      <c r="A3" s="20" t="s">
        <v>9</v>
      </c>
      <c r="B3" s="21" t="s">
        <v>10</v>
      </c>
      <c r="C3" s="6" t="s">
        <v>11</v>
      </c>
      <c r="D3" s="6" t="s">
        <v>8</v>
      </c>
      <c r="E3" s="55">
        <v>183405043497</v>
      </c>
      <c r="F3" s="64">
        <v>0.28999999999999998</v>
      </c>
      <c r="G3" s="59">
        <v>17.55</v>
      </c>
      <c r="H3" s="7">
        <v>14.9175</v>
      </c>
      <c r="I3" s="40"/>
      <c r="J3" s="10">
        <f>I3*G3</f>
        <v>0</v>
      </c>
      <c r="K3" s="14">
        <f>IF(I3&gt;431,I3*H3,I3*G3)</f>
        <v>0</v>
      </c>
      <c r="N3" s="52" t="str">
        <f>IFERROR(IF($N$2*F3=0, "-", $N$2*F3), "-")</f>
        <v>-</v>
      </c>
      <c r="O3" s="52" t="str">
        <f>IF(I3&gt;0,K3/I3+F3*I3/$P$2*$Q$2/I3,"-")</f>
        <v>-</v>
      </c>
      <c r="P3" s="53" t="str">
        <f>IF(I3&gt;0,I3*F3*1.113, "-")</f>
        <v>-</v>
      </c>
      <c r="Q3" s="54" t="str">
        <f>IFERROR(IF($N$2&gt;0, $N$2*P3, "-"), "-")</f>
        <v>-</v>
      </c>
      <c r="S3" s="54" t="str">
        <f>IFERROR(IF(Q3+K3=0, "-", IF(Q3&gt;0, Q3+K3, "-")), "-")</f>
        <v>-</v>
      </c>
    </row>
    <row r="4" spans="1:19">
      <c r="A4" s="22" t="s">
        <v>12</v>
      </c>
      <c r="B4" s="17" t="s">
        <v>10</v>
      </c>
      <c r="C4" s="1" t="s">
        <v>13</v>
      </c>
      <c r="D4" s="1" t="s">
        <v>8</v>
      </c>
      <c r="E4" s="56">
        <v>183405000025</v>
      </c>
      <c r="F4" s="65">
        <v>0.56999999999999995</v>
      </c>
      <c r="G4" s="60">
        <v>27.95</v>
      </c>
      <c r="H4" s="5">
        <v>23.7575</v>
      </c>
      <c r="I4" s="41"/>
      <c r="J4" s="11">
        <f t="shared" ref="J4:J36" si="0">I4*G4</f>
        <v>0</v>
      </c>
      <c r="K4" s="15">
        <f t="shared" ref="K4:K36" si="1">IF(I4&gt;431,I4*H4,I4*G4)</f>
        <v>0</v>
      </c>
      <c r="N4" s="52" t="str">
        <f t="shared" ref="N4:N36" si="2">IFERROR(IF($N$2*F4=0, "-", $N$2*F4), "-")</f>
        <v>-</v>
      </c>
      <c r="O4" s="52" t="str">
        <f t="shared" ref="O4:O36" si="3">IF(I4&gt;0,K4/I4+F4*I4/$P$2*$Q$2/I4,"-")</f>
        <v>-</v>
      </c>
      <c r="P4" s="53" t="str">
        <f t="shared" ref="P4:P36" si="4">IF(I4&gt;0,I4*F4*1.113, "-")</f>
        <v>-</v>
      </c>
      <c r="Q4" s="54" t="str">
        <f t="shared" ref="Q4:Q36" si="5">IFERROR(IF($N$2&gt;0, $N$2*P4, "-"), "-")</f>
        <v>-</v>
      </c>
      <c r="S4" s="54" t="str">
        <f t="shared" ref="S4:S36" si="6">IFERROR(IF(Q4+K4=0, "-", IF(Q4&gt;0, Q4+K4, "-")), "-")</f>
        <v>-</v>
      </c>
    </row>
    <row r="5" spans="1:19">
      <c r="A5" s="23" t="s">
        <v>14</v>
      </c>
      <c r="B5" s="17" t="s">
        <v>15</v>
      </c>
      <c r="C5" s="3">
        <v>30</v>
      </c>
      <c r="D5" s="1" t="s">
        <v>16</v>
      </c>
      <c r="E5" s="56">
        <v>840230344167</v>
      </c>
      <c r="F5" s="65">
        <v>0.24</v>
      </c>
      <c r="G5" s="60">
        <v>19.5</v>
      </c>
      <c r="H5" s="5">
        <v>16.574999999999999</v>
      </c>
      <c r="I5" s="41"/>
      <c r="J5" s="11">
        <f t="shared" si="0"/>
        <v>0</v>
      </c>
      <c r="K5" s="15">
        <f t="shared" si="1"/>
        <v>0</v>
      </c>
      <c r="N5" s="52" t="str">
        <f t="shared" si="2"/>
        <v>-</v>
      </c>
      <c r="O5" s="52" t="str">
        <f t="shared" si="3"/>
        <v>-</v>
      </c>
      <c r="P5" s="53" t="str">
        <f t="shared" si="4"/>
        <v>-</v>
      </c>
      <c r="Q5" s="54" t="str">
        <f t="shared" si="5"/>
        <v>-</v>
      </c>
      <c r="S5" s="54" t="str">
        <f t="shared" si="6"/>
        <v>-</v>
      </c>
    </row>
    <row r="6" spans="1:19">
      <c r="A6" s="23" t="s">
        <v>17</v>
      </c>
      <c r="B6" s="17" t="s">
        <v>18</v>
      </c>
      <c r="C6" s="1" t="s">
        <v>11</v>
      </c>
      <c r="D6" s="1" t="s">
        <v>8</v>
      </c>
      <c r="E6" s="56">
        <v>183405043503</v>
      </c>
      <c r="F6" s="65">
        <v>0.28999999999999998</v>
      </c>
      <c r="G6" s="60">
        <v>17.55</v>
      </c>
      <c r="H6" s="5">
        <v>14.9175</v>
      </c>
      <c r="I6" s="41"/>
      <c r="J6" s="11">
        <f t="shared" si="0"/>
        <v>0</v>
      </c>
      <c r="K6" s="15">
        <f t="shared" si="1"/>
        <v>0</v>
      </c>
      <c r="N6" s="52" t="str">
        <f t="shared" si="2"/>
        <v>-</v>
      </c>
      <c r="O6" s="52" t="str">
        <f t="shared" si="3"/>
        <v>-</v>
      </c>
      <c r="P6" s="53" t="str">
        <f t="shared" si="4"/>
        <v>-</v>
      </c>
      <c r="Q6" s="54" t="str">
        <f t="shared" si="5"/>
        <v>-</v>
      </c>
      <c r="S6" s="54" t="str">
        <f t="shared" si="6"/>
        <v>-</v>
      </c>
    </row>
    <row r="7" spans="1:19">
      <c r="A7" s="23" t="s">
        <v>19</v>
      </c>
      <c r="B7" s="17" t="s">
        <v>18</v>
      </c>
      <c r="C7" s="1" t="s">
        <v>13</v>
      </c>
      <c r="D7" s="1" t="s">
        <v>8</v>
      </c>
      <c r="E7" s="56">
        <v>183405000117</v>
      </c>
      <c r="F7" s="65">
        <v>0.55000000000000004</v>
      </c>
      <c r="G7" s="60">
        <v>27.95</v>
      </c>
      <c r="H7" s="5">
        <v>23.7575</v>
      </c>
      <c r="I7" s="41"/>
      <c r="J7" s="11">
        <f t="shared" si="0"/>
        <v>0</v>
      </c>
      <c r="K7" s="15">
        <f t="shared" si="1"/>
        <v>0</v>
      </c>
      <c r="N7" s="52" t="str">
        <f t="shared" si="2"/>
        <v>-</v>
      </c>
      <c r="O7" s="52" t="str">
        <f t="shared" si="3"/>
        <v>-</v>
      </c>
      <c r="P7" s="53" t="str">
        <f t="shared" si="4"/>
        <v>-</v>
      </c>
      <c r="Q7" s="54" t="str">
        <f t="shared" si="5"/>
        <v>-</v>
      </c>
      <c r="S7" s="54" t="str">
        <f t="shared" si="6"/>
        <v>-</v>
      </c>
    </row>
    <row r="8" spans="1:19">
      <c r="A8" s="23" t="s">
        <v>20</v>
      </c>
      <c r="B8" s="17" t="s">
        <v>21</v>
      </c>
      <c r="C8" s="1" t="s">
        <v>11</v>
      </c>
      <c r="D8" s="1" t="s">
        <v>8</v>
      </c>
      <c r="E8" s="56">
        <v>183405043534</v>
      </c>
      <c r="F8" s="65">
        <v>0.28999999999999998</v>
      </c>
      <c r="G8" s="60">
        <v>17.55</v>
      </c>
      <c r="H8" s="5">
        <v>14.9175</v>
      </c>
      <c r="I8" s="41"/>
      <c r="J8" s="11">
        <f t="shared" si="0"/>
        <v>0</v>
      </c>
      <c r="K8" s="15">
        <f t="shared" si="1"/>
        <v>0</v>
      </c>
      <c r="N8" s="52" t="str">
        <f t="shared" si="2"/>
        <v>-</v>
      </c>
      <c r="O8" s="52" t="str">
        <f t="shared" si="3"/>
        <v>-</v>
      </c>
      <c r="P8" s="53" t="str">
        <f t="shared" si="4"/>
        <v>-</v>
      </c>
      <c r="Q8" s="54" t="str">
        <f t="shared" si="5"/>
        <v>-</v>
      </c>
      <c r="S8" s="54" t="str">
        <f t="shared" si="6"/>
        <v>-</v>
      </c>
    </row>
    <row r="9" spans="1:19">
      <c r="A9" s="23" t="s">
        <v>22</v>
      </c>
      <c r="B9" s="17" t="s">
        <v>21</v>
      </c>
      <c r="C9" s="1" t="s">
        <v>13</v>
      </c>
      <c r="D9" s="1" t="s">
        <v>8</v>
      </c>
      <c r="E9" s="56">
        <v>875534001959</v>
      </c>
      <c r="F9" s="65">
        <v>0</v>
      </c>
      <c r="G9" s="60">
        <v>27.95</v>
      </c>
      <c r="H9" s="5">
        <v>23.7575</v>
      </c>
      <c r="I9" s="41"/>
      <c r="J9" s="11">
        <f t="shared" si="0"/>
        <v>0</v>
      </c>
      <c r="K9" s="15">
        <f t="shared" si="1"/>
        <v>0</v>
      </c>
      <c r="N9" s="52" t="str">
        <f t="shared" si="2"/>
        <v>-</v>
      </c>
      <c r="O9" s="52" t="str">
        <f t="shared" si="3"/>
        <v>-</v>
      </c>
      <c r="P9" s="53" t="str">
        <f t="shared" si="4"/>
        <v>-</v>
      </c>
      <c r="Q9" s="54" t="str">
        <f t="shared" si="5"/>
        <v>-</v>
      </c>
      <c r="S9" s="54" t="str">
        <f t="shared" si="6"/>
        <v>-</v>
      </c>
    </row>
    <row r="10" spans="1:19">
      <c r="A10" s="23" t="s">
        <v>23</v>
      </c>
      <c r="B10" s="17" t="s">
        <v>24</v>
      </c>
      <c r="C10" s="1" t="s">
        <v>11</v>
      </c>
      <c r="D10" s="1" t="s">
        <v>8</v>
      </c>
      <c r="E10" s="56">
        <v>183405043527</v>
      </c>
      <c r="F10" s="65">
        <v>0.28999999999999998</v>
      </c>
      <c r="G10" s="61">
        <v>17.55</v>
      </c>
      <c r="H10" s="5">
        <v>14.9175</v>
      </c>
      <c r="I10" s="41"/>
      <c r="J10" s="11">
        <f t="shared" si="0"/>
        <v>0</v>
      </c>
      <c r="K10" s="15">
        <f t="shared" si="1"/>
        <v>0</v>
      </c>
      <c r="N10" s="52" t="str">
        <f t="shared" si="2"/>
        <v>-</v>
      </c>
      <c r="O10" s="52" t="str">
        <f t="shared" si="3"/>
        <v>-</v>
      </c>
      <c r="P10" s="53" t="str">
        <f t="shared" si="4"/>
        <v>-</v>
      </c>
      <c r="Q10" s="54" t="str">
        <f t="shared" si="5"/>
        <v>-</v>
      </c>
      <c r="S10" s="54" t="str">
        <f t="shared" si="6"/>
        <v>-</v>
      </c>
    </row>
    <row r="11" spans="1:19">
      <c r="A11" s="23" t="s">
        <v>25</v>
      </c>
      <c r="B11" s="17" t="s">
        <v>24</v>
      </c>
      <c r="C11" s="1" t="s">
        <v>13</v>
      </c>
      <c r="D11" s="1" t="s">
        <v>8</v>
      </c>
      <c r="E11" s="56">
        <v>183405000148</v>
      </c>
      <c r="F11" s="65">
        <v>0.56999999999999995</v>
      </c>
      <c r="G11" s="61">
        <v>27.95</v>
      </c>
      <c r="H11" s="5">
        <v>23.7575</v>
      </c>
      <c r="I11" s="41"/>
      <c r="J11" s="11">
        <f t="shared" si="0"/>
        <v>0</v>
      </c>
      <c r="K11" s="15">
        <f t="shared" si="1"/>
        <v>0</v>
      </c>
      <c r="N11" s="52" t="str">
        <f t="shared" si="2"/>
        <v>-</v>
      </c>
      <c r="O11" s="52" t="str">
        <f t="shared" si="3"/>
        <v>-</v>
      </c>
      <c r="P11" s="53" t="str">
        <f t="shared" si="4"/>
        <v>-</v>
      </c>
      <c r="Q11" s="54" t="str">
        <f t="shared" si="5"/>
        <v>-</v>
      </c>
      <c r="S11" s="54" t="str">
        <f t="shared" si="6"/>
        <v>-</v>
      </c>
    </row>
    <row r="12" spans="1:19">
      <c r="A12" s="23" t="s">
        <v>26</v>
      </c>
      <c r="B12" s="17" t="s">
        <v>27</v>
      </c>
      <c r="C12" s="1" t="s">
        <v>11</v>
      </c>
      <c r="D12" s="1" t="s">
        <v>8</v>
      </c>
      <c r="E12" s="56">
        <v>183405043510</v>
      </c>
      <c r="F12" s="65">
        <v>0.28999999999999998</v>
      </c>
      <c r="G12" s="61">
        <v>17.55</v>
      </c>
      <c r="H12" s="5">
        <v>14.9175</v>
      </c>
      <c r="I12" s="41"/>
      <c r="J12" s="11">
        <f t="shared" si="0"/>
        <v>0</v>
      </c>
      <c r="K12" s="15">
        <f t="shared" si="1"/>
        <v>0</v>
      </c>
      <c r="N12" s="52" t="str">
        <f t="shared" si="2"/>
        <v>-</v>
      </c>
      <c r="O12" s="52" t="str">
        <f t="shared" si="3"/>
        <v>-</v>
      </c>
      <c r="P12" s="53" t="str">
        <f t="shared" si="4"/>
        <v>-</v>
      </c>
      <c r="Q12" s="54" t="str">
        <f t="shared" si="5"/>
        <v>-</v>
      </c>
      <c r="S12" s="54" t="str">
        <f t="shared" si="6"/>
        <v>-</v>
      </c>
    </row>
    <row r="13" spans="1:19">
      <c r="A13" s="23" t="s">
        <v>28</v>
      </c>
      <c r="B13" s="17" t="s">
        <v>27</v>
      </c>
      <c r="C13" s="1" t="s">
        <v>13</v>
      </c>
      <c r="D13" s="1" t="s">
        <v>8</v>
      </c>
      <c r="E13" s="56">
        <v>183405000087</v>
      </c>
      <c r="F13" s="65">
        <v>0.56999999999999995</v>
      </c>
      <c r="G13" s="61">
        <v>27.95</v>
      </c>
      <c r="H13" s="5">
        <v>23.7575</v>
      </c>
      <c r="I13" s="41"/>
      <c r="J13" s="11">
        <f t="shared" si="0"/>
        <v>0</v>
      </c>
      <c r="K13" s="15">
        <f t="shared" si="1"/>
        <v>0</v>
      </c>
      <c r="N13" s="52" t="str">
        <f t="shared" si="2"/>
        <v>-</v>
      </c>
      <c r="O13" s="52" t="str">
        <f t="shared" si="3"/>
        <v>-</v>
      </c>
      <c r="P13" s="53" t="str">
        <f t="shared" si="4"/>
        <v>-</v>
      </c>
      <c r="Q13" s="54" t="str">
        <f t="shared" si="5"/>
        <v>-</v>
      </c>
      <c r="S13" s="54" t="str">
        <f t="shared" si="6"/>
        <v>-</v>
      </c>
    </row>
    <row r="14" spans="1:19">
      <c r="A14" s="23" t="s">
        <v>29</v>
      </c>
      <c r="B14" s="17" t="s">
        <v>30</v>
      </c>
      <c r="C14" s="1" t="s">
        <v>11</v>
      </c>
      <c r="D14" s="1" t="s">
        <v>8</v>
      </c>
      <c r="E14" s="56">
        <v>183405043565</v>
      </c>
      <c r="F14" s="65">
        <v>0.28999999999999998</v>
      </c>
      <c r="G14" s="61">
        <v>17.55</v>
      </c>
      <c r="H14" s="5">
        <v>14.9175</v>
      </c>
      <c r="I14" s="41"/>
      <c r="J14" s="11">
        <f t="shared" si="0"/>
        <v>0</v>
      </c>
      <c r="K14" s="15">
        <f t="shared" si="1"/>
        <v>0</v>
      </c>
      <c r="N14" s="52" t="str">
        <f t="shared" si="2"/>
        <v>-</v>
      </c>
      <c r="O14" s="52" t="str">
        <f t="shared" si="3"/>
        <v>-</v>
      </c>
      <c r="P14" s="53" t="str">
        <f t="shared" si="4"/>
        <v>-</v>
      </c>
      <c r="Q14" s="54" t="str">
        <f t="shared" si="5"/>
        <v>-</v>
      </c>
      <c r="S14" s="54" t="str">
        <f t="shared" si="6"/>
        <v>-</v>
      </c>
    </row>
    <row r="15" spans="1:19">
      <c r="A15" s="23" t="s">
        <v>31</v>
      </c>
      <c r="B15" s="17" t="s">
        <v>30</v>
      </c>
      <c r="C15" s="1" t="s">
        <v>13</v>
      </c>
      <c r="D15" s="1" t="s">
        <v>8</v>
      </c>
      <c r="E15" s="56">
        <v>840230344150</v>
      </c>
      <c r="F15" s="65">
        <v>0</v>
      </c>
      <c r="G15" s="61">
        <v>27.95</v>
      </c>
      <c r="H15" s="5">
        <v>23.7575</v>
      </c>
      <c r="I15" s="41"/>
      <c r="J15" s="11">
        <f t="shared" si="0"/>
        <v>0</v>
      </c>
      <c r="K15" s="15">
        <f t="shared" si="1"/>
        <v>0</v>
      </c>
      <c r="N15" s="52" t="str">
        <f t="shared" si="2"/>
        <v>-</v>
      </c>
      <c r="O15" s="52" t="str">
        <f t="shared" si="3"/>
        <v>-</v>
      </c>
      <c r="P15" s="53" t="str">
        <f t="shared" si="4"/>
        <v>-</v>
      </c>
      <c r="Q15" s="54" t="str">
        <f t="shared" si="5"/>
        <v>-</v>
      </c>
      <c r="S15" s="54" t="str">
        <f t="shared" si="6"/>
        <v>-</v>
      </c>
    </row>
    <row r="16" spans="1:19">
      <c r="A16" s="24" t="s">
        <v>32</v>
      </c>
      <c r="B16" s="18" t="s">
        <v>33</v>
      </c>
      <c r="C16" s="2" t="s">
        <v>11</v>
      </c>
      <c r="D16" s="2" t="s">
        <v>8</v>
      </c>
      <c r="E16" s="57">
        <v>183405043541</v>
      </c>
      <c r="F16" s="65">
        <v>0.28999999999999998</v>
      </c>
      <c r="G16" s="61">
        <v>18.225999999999999</v>
      </c>
      <c r="H16" s="5">
        <v>15.492100000000001</v>
      </c>
      <c r="I16" s="41"/>
      <c r="J16" s="11">
        <f t="shared" si="0"/>
        <v>0</v>
      </c>
      <c r="K16" s="15">
        <f t="shared" si="1"/>
        <v>0</v>
      </c>
      <c r="N16" s="52" t="str">
        <f t="shared" si="2"/>
        <v>-</v>
      </c>
      <c r="O16" s="52" t="str">
        <f t="shared" si="3"/>
        <v>-</v>
      </c>
      <c r="P16" s="53" t="str">
        <f t="shared" si="4"/>
        <v>-</v>
      </c>
      <c r="Q16" s="54" t="str">
        <f t="shared" si="5"/>
        <v>-</v>
      </c>
      <c r="S16" s="54" t="str">
        <f t="shared" si="6"/>
        <v>-</v>
      </c>
    </row>
    <row r="17" spans="1:19">
      <c r="A17" s="24" t="s">
        <v>34</v>
      </c>
      <c r="B17" s="18" t="s">
        <v>33</v>
      </c>
      <c r="C17" s="2" t="s">
        <v>13</v>
      </c>
      <c r="D17" s="2" t="s">
        <v>8</v>
      </c>
      <c r="E17" s="57">
        <v>183405000988</v>
      </c>
      <c r="F17" s="65">
        <v>0.55000000000000004</v>
      </c>
      <c r="G17" s="61">
        <v>31.225999999999999</v>
      </c>
      <c r="H17" s="5">
        <v>26.542099999999998</v>
      </c>
      <c r="I17" s="41"/>
      <c r="J17" s="11">
        <f t="shared" si="0"/>
        <v>0</v>
      </c>
      <c r="K17" s="15">
        <f t="shared" si="1"/>
        <v>0</v>
      </c>
      <c r="N17" s="52" t="str">
        <f t="shared" si="2"/>
        <v>-</v>
      </c>
      <c r="O17" s="52" t="str">
        <f t="shared" si="3"/>
        <v>-</v>
      </c>
      <c r="P17" s="53" t="str">
        <f t="shared" si="4"/>
        <v>-</v>
      </c>
      <c r="Q17" s="54" t="str">
        <f t="shared" si="5"/>
        <v>-</v>
      </c>
      <c r="S17" s="54" t="str">
        <f t="shared" si="6"/>
        <v>-</v>
      </c>
    </row>
    <row r="18" spans="1:19">
      <c r="A18" s="24" t="s">
        <v>35</v>
      </c>
      <c r="B18" s="18" t="s">
        <v>36</v>
      </c>
      <c r="C18" s="2" t="s">
        <v>11</v>
      </c>
      <c r="D18" s="2" t="s">
        <v>8</v>
      </c>
      <c r="E18" s="57">
        <v>183405043558</v>
      </c>
      <c r="F18" s="65">
        <v>0.28999999999999998</v>
      </c>
      <c r="G18" s="60">
        <v>18.225999999999999</v>
      </c>
      <c r="H18" s="5">
        <v>15.492100000000001</v>
      </c>
      <c r="I18" s="41"/>
      <c r="J18" s="11">
        <f t="shared" si="0"/>
        <v>0</v>
      </c>
      <c r="K18" s="15">
        <f t="shared" si="1"/>
        <v>0</v>
      </c>
      <c r="N18" s="52" t="str">
        <f t="shared" si="2"/>
        <v>-</v>
      </c>
      <c r="O18" s="52" t="str">
        <f t="shared" si="3"/>
        <v>-</v>
      </c>
      <c r="P18" s="53" t="str">
        <f t="shared" si="4"/>
        <v>-</v>
      </c>
      <c r="Q18" s="54" t="str">
        <f t="shared" si="5"/>
        <v>-</v>
      </c>
      <c r="S18" s="54" t="str">
        <f t="shared" si="6"/>
        <v>-</v>
      </c>
    </row>
    <row r="19" spans="1:19">
      <c r="A19" s="24" t="s">
        <v>37</v>
      </c>
      <c r="B19" s="18" t="s">
        <v>36</v>
      </c>
      <c r="C19" s="2" t="s">
        <v>13</v>
      </c>
      <c r="D19" s="2" t="s">
        <v>8</v>
      </c>
      <c r="E19" s="57">
        <v>875534001461</v>
      </c>
      <c r="F19" s="65">
        <v>0.56999999999999995</v>
      </c>
      <c r="G19" s="60">
        <v>31.225999999999999</v>
      </c>
      <c r="H19" s="5">
        <v>26.542099999999998</v>
      </c>
      <c r="I19" s="41"/>
      <c r="J19" s="11">
        <f t="shared" si="0"/>
        <v>0</v>
      </c>
      <c r="K19" s="15">
        <f t="shared" si="1"/>
        <v>0</v>
      </c>
      <c r="N19" s="52" t="str">
        <f t="shared" si="2"/>
        <v>-</v>
      </c>
      <c r="O19" s="52" t="str">
        <f t="shared" si="3"/>
        <v>-</v>
      </c>
      <c r="P19" s="53" t="str">
        <f t="shared" si="4"/>
        <v>-</v>
      </c>
      <c r="Q19" s="54" t="str">
        <f t="shared" si="5"/>
        <v>-</v>
      </c>
      <c r="S19" s="54" t="str">
        <f t="shared" si="6"/>
        <v>-</v>
      </c>
    </row>
    <row r="20" spans="1:19">
      <c r="A20" s="24" t="s">
        <v>38</v>
      </c>
      <c r="B20" s="18" t="s">
        <v>39</v>
      </c>
      <c r="C20" s="4">
        <v>20</v>
      </c>
      <c r="D20" s="2" t="s">
        <v>7</v>
      </c>
      <c r="E20" s="57">
        <v>183405043411</v>
      </c>
      <c r="F20" s="65">
        <v>0</v>
      </c>
      <c r="G20" s="60">
        <v>7.1370000000000005</v>
      </c>
      <c r="H20" s="5">
        <v>6.0664500000000006</v>
      </c>
      <c r="I20" s="41"/>
      <c r="J20" s="11">
        <f t="shared" si="0"/>
        <v>0</v>
      </c>
      <c r="K20" s="15">
        <f t="shared" si="1"/>
        <v>0</v>
      </c>
      <c r="N20" s="52" t="str">
        <f t="shared" si="2"/>
        <v>-</v>
      </c>
      <c r="O20" s="52" t="str">
        <f t="shared" si="3"/>
        <v>-</v>
      </c>
      <c r="P20" s="53" t="str">
        <f t="shared" si="4"/>
        <v>-</v>
      </c>
      <c r="Q20" s="54" t="str">
        <f t="shared" si="5"/>
        <v>-</v>
      </c>
      <c r="S20" s="54" t="str">
        <f t="shared" si="6"/>
        <v>-</v>
      </c>
    </row>
    <row r="21" spans="1:19">
      <c r="A21" s="24" t="s">
        <v>40</v>
      </c>
      <c r="B21" s="18" t="s">
        <v>41</v>
      </c>
      <c r="C21" s="4">
        <v>120</v>
      </c>
      <c r="D21" s="2" t="s">
        <v>7</v>
      </c>
      <c r="E21" s="57">
        <v>875534002406</v>
      </c>
      <c r="F21" s="65">
        <v>0.36</v>
      </c>
      <c r="G21" s="60">
        <v>21.515000000000001</v>
      </c>
      <c r="H21" s="5">
        <v>18.287750000000003</v>
      </c>
      <c r="I21" s="41"/>
      <c r="J21" s="11">
        <f t="shared" si="0"/>
        <v>0</v>
      </c>
      <c r="K21" s="15">
        <f t="shared" si="1"/>
        <v>0</v>
      </c>
      <c r="N21" s="52" t="str">
        <f t="shared" si="2"/>
        <v>-</v>
      </c>
      <c r="O21" s="52" t="str">
        <f t="shared" si="3"/>
        <v>-</v>
      </c>
      <c r="P21" s="53" t="str">
        <f t="shared" si="4"/>
        <v>-</v>
      </c>
      <c r="Q21" s="54" t="str">
        <f t="shared" si="5"/>
        <v>-</v>
      </c>
      <c r="S21" s="54" t="str">
        <f t="shared" si="6"/>
        <v>-</v>
      </c>
    </row>
    <row r="22" spans="1:19">
      <c r="A22" s="24" t="s">
        <v>42</v>
      </c>
      <c r="B22" s="18" t="s">
        <v>27</v>
      </c>
      <c r="C22" s="4">
        <v>120</v>
      </c>
      <c r="D22" s="2" t="s">
        <v>7</v>
      </c>
      <c r="E22" s="57">
        <v>183405043084</v>
      </c>
      <c r="F22" s="65">
        <v>0.39</v>
      </c>
      <c r="G22" s="60">
        <v>21.515000000000001</v>
      </c>
      <c r="H22" s="5">
        <v>18.287750000000003</v>
      </c>
      <c r="I22" s="41"/>
      <c r="J22" s="11">
        <f t="shared" si="0"/>
        <v>0</v>
      </c>
      <c r="K22" s="15">
        <f t="shared" si="1"/>
        <v>0</v>
      </c>
      <c r="N22" s="52" t="str">
        <f t="shared" si="2"/>
        <v>-</v>
      </c>
      <c r="O22" s="52" t="str">
        <f t="shared" si="3"/>
        <v>-</v>
      </c>
      <c r="P22" s="53" t="str">
        <f t="shared" si="4"/>
        <v>-</v>
      </c>
      <c r="Q22" s="54" t="str">
        <f t="shared" si="5"/>
        <v>-</v>
      </c>
      <c r="S22" s="54" t="str">
        <f t="shared" si="6"/>
        <v>-</v>
      </c>
    </row>
    <row r="23" spans="1:19">
      <c r="A23" s="24" t="s">
        <v>43</v>
      </c>
      <c r="B23" s="18" t="s">
        <v>44</v>
      </c>
      <c r="C23" s="4">
        <v>120</v>
      </c>
      <c r="D23" s="2" t="s">
        <v>7</v>
      </c>
      <c r="E23" s="57">
        <v>183405043459</v>
      </c>
      <c r="F23" s="65">
        <v>0.43</v>
      </c>
      <c r="G23" s="60">
        <v>21.515000000000001</v>
      </c>
      <c r="H23" s="5">
        <v>18.287750000000003</v>
      </c>
      <c r="I23" s="41"/>
      <c r="J23" s="11">
        <f t="shared" si="0"/>
        <v>0</v>
      </c>
      <c r="K23" s="15">
        <f t="shared" si="1"/>
        <v>0</v>
      </c>
      <c r="N23" s="52" t="str">
        <f t="shared" si="2"/>
        <v>-</v>
      </c>
      <c r="O23" s="52" t="str">
        <f t="shared" si="3"/>
        <v>-</v>
      </c>
      <c r="P23" s="53" t="str">
        <f t="shared" si="4"/>
        <v>-</v>
      </c>
      <c r="Q23" s="54" t="str">
        <f t="shared" si="5"/>
        <v>-</v>
      </c>
      <c r="S23" s="54" t="str">
        <f t="shared" si="6"/>
        <v>-</v>
      </c>
    </row>
    <row r="24" spans="1:19">
      <c r="A24" s="23" t="s">
        <v>45</v>
      </c>
      <c r="B24" s="17" t="s">
        <v>46</v>
      </c>
      <c r="C24" s="3">
        <v>120</v>
      </c>
      <c r="D24" s="1" t="s">
        <v>6</v>
      </c>
      <c r="E24" s="56">
        <v>183405043992</v>
      </c>
      <c r="F24" s="65">
        <v>0.17</v>
      </c>
      <c r="G24" s="61">
        <v>20.787000000000003</v>
      </c>
      <c r="H24" s="5">
        <v>17.668949999999999</v>
      </c>
      <c r="I24" s="41"/>
      <c r="J24" s="11">
        <f t="shared" si="0"/>
        <v>0</v>
      </c>
      <c r="K24" s="15">
        <f t="shared" si="1"/>
        <v>0</v>
      </c>
      <c r="N24" s="52" t="str">
        <f t="shared" si="2"/>
        <v>-</v>
      </c>
      <c r="O24" s="52" t="str">
        <f t="shared" si="3"/>
        <v>-</v>
      </c>
      <c r="P24" s="53" t="str">
        <f t="shared" si="4"/>
        <v>-</v>
      </c>
      <c r="Q24" s="54" t="str">
        <f t="shared" si="5"/>
        <v>-</v>
      </c>
      <c r="S24" s="54" t="str">
        <f t="shared" si="6"/>
        <v>-</v>
      </c>
    </row>
    <row r="25" spans="1:19">
      <c r="A25" s="24" t="s">
        <v>47</v>
      </c>
      <c r="B25" s="19" t="s">
        <v>48</v>
      </c>
      <c r="C25" s="4" t="s">
        <v>49</v>
      </c>
      <c r="D25" s="4" t="s">
        <v>8</v>
      </c>
      <c r="E25" s="57">
        <v>840230344082</v>
      </c>
      <c r="F25" s="65">
        <v>0.24</v>
      </c>
      <c r="G25" s="62">
        <v>18.2</v>
      </c>
      <c r="H25" s="5">
        <v>15.47</v>
      </c>
      <c r="I25" s="41"/>
      <c r="J25" s="11">
        <f t="shared" si="0"/>
        <v>0</v>
      </c>
      <c r="K25" s="15">
        <f t="shared" si="1"/>
        <v>0</v>
      </c>
      <c r="N25" s="52" t="str">
        <f t="shared" si="2"/>
        <v>-</v>
      </c>
      <c r="O25" s="52" t="str">
        <f t="shared" si="3"/>
        <v>-</v>
      </c>
      <c r="P25" s="53" t="str">
        <f t="shared" si="4"/>
        <v>-</v>
      </c>
      <c r="Q25" s="54" t="str">
        <f t="shared" si="5"/>
        <v>-</v>
      </c>
      <c r="S25" s="54" t="str">
        <f t="shared" si="6"/>
        <v>-</v>
      </c>
    </row>
    <row r="26" spans="1:19">
      <c r="A26" s="24" t="s">
        <v>50</v>
      </c>
      <c r="B26" s="19" t="s">
        <v>51</v>
      </c>
      <c r="C26" s="4" t="s">
        <v>49</v>
      </c>
      <c r="D26" s="4" t="s">
        <v>8</v>
      </c>
      <c r="E26" s="57">
        <v>840230344044</v>
      </c>
      <c r="F26" s="65">
        <v>0.27</v>
      </c>
      <c r="G26" s="62">
        <v>18.2</v>
      </c>
      <c r="H26" s="5">
        <v>15.47</v>
      </c>
      <c r="I26" s="41"/>
      <c r="J26" s="11">
        <f t="shared" si="0"/>
        <v>0</v>
      </c>
      <c r="K26" s="15">
        <f t="shared" si="1"/>
        <v>0</v>
      </c>
      <c r="N26" s="52" t="str">
        <f t="shared" si="2"/>
        <v>-</v>
      </c>
      <c r="O26" s="52" t="str">
        <f t="shared" si="3"/>
        <v>-</v>
      </c>
      <c r="P26" s="53" t="str">
        <f t="shared" si="4"/>
        <v>-</v>
      </c>
      <c r="Q26" s="54" t="str">
        <f t="shared" si="5"/>
        <v>-</v>
      </c>
      <c r="S26" s="54" t="str">
        <f t="shared" si="6"/>
        <v>-</v>
      </c>
    </row>
    <row r="27" spans="1:19">
      <c r="A27" s="25" t="s">
        <v>52</v>
      </c>
      <c r="B27" s="17" t="s">
        <v>44</v>
      </c>
      <c r="C27" s="2" t="s">
        <v>49</v>
      </c>
      <c r="D27" s="2" t="s">
        <v>8</v>
      </c>
      <c r="E27" s="57">
        <v>875534002260</v>
      </c>
      <c r="F27" s="65">
        <v>0.22</v>
      </c>
      <c r="G27" s="60">
        <v>20.761000000000003</v>
      </c>
      <c r="H27" s="5">
        <v>17.646850000000001</v>
      </c>
      <c r="I27" s="41"/>
      <c r="J27" s="11">
        <f t="shared" si="0"/>
        <v>0</v>
      </c>
      <c r="K27" s="15">
        <f t="shared" si="1"/>
        <v>0</v>
      </c>
      <c r="N27" s="52" t="str">
        <f t="shared" si="2"/>
        <v>-</v>
      </c>
      <c r="O27" s="52" t="str">
        <f t="shared" si="3"/>
        <v>-</v>
      </c>
      <c r="P27" s="53" t="str">
        <f t="shared" si="4"/>
        <v>-</v>
      </c>
      <c r="Q27" s="54" t="str">
        <f t="shared" si="5"/>
        <v>-</v>
      </c>
      <c r="S27" s="54" t="str">
        <f t="shared" si="6"/>
        <v>-</v>
      </c>
    </row>
    <row r="28" spans="1:19">
      <c r="A28" s="25" t="s">
        <v>53</v>
      </c>
      <c r="B28" s="17" t="s">
        <v>44</v>
      </c>
      <c r="C28" s="4">
        <v>60</v>
      </c>
      <c r="D28" s="2" t="s">
        <v>6</v>
      </c>
      <c r="E28" s="57">
        <v>183405043602</v>
      </c>
      <c r="F28" s="65">
        <v>0</v>
      </c>
      <c r="G28" s="60">
        <v>11.700000000000001</v>
      </c>
      <c r="H28" s="5">
        <v>9.9450000000000003</v>
      </c>
      <c r="I28" s="41"/>
      <c r="J28" s="11">
        <f t="shared" si="0"/>
        <v>0</v>
      </c>
      <c r="K28" s="15">
        <f t="shared" si="1"/>
        <v>0</v>
      </c>
      <c r="N28" s="52" t="str">
        <f t="shared" si="2"/>
        <v>-</v>
      </c>
      <c r="O28" s="52" t="str">
        <f t="shared" si="3"/>
        <v>-</v>
      </c>
      <c r="P28" s="53" t="str">
        <f t="shared" si="4"/>
        <v>-</v>
      </c>
      <c r="Q28" s="54" t="str">
        <f t="shared" si="5"/>
        <v>-</v>
      </c>
      <c r="S28" s="54" t="str">
        <f t="shared" si="6"/>
        <v>-</v>
      </c>
    </row>
    <row r="29" spans="1:19">
      <c r="A29" s="25" t="s">
        <v>54</v>
      </c>
      <c r="B29" s="17" t="s">
        <v>44</v>
      </c>
      <c r="C29" s="4">
        <v>120</v>
      </c>
      <c r="D29" s="2" t="s">
        <v>6</v>
      </c>
      <c r="E29" s="57">
        <v>183405043619</v>
      </c>
      <c r="F29" s="65">
        <v>0.13</v>
      </c>
      <c r="G29" s="60">
        <v>20.8</v>
      </c>
      <c r="H29" s="5">
        <v>17.68</v>
      </c>
      <c r="I29" s="41"/>
      <c r="J29" s="11">
        <f t="shared" si="0"/>
        <v>0</v>
      </c>
      <c r="K29" s="15">
        <f t="shared" si="1"/>
        <v>0</v>
      </c>
      <c r="N29" s="52" t="str">
        <f t="shared" si="2"/>
        <v>-</v>
      </c>
      <c r="O29" s="52" t="str">
        <f t="shared" si="3"/>
        <v>-</v>
      </c>
      <c r="P29" s="53" t="str">
        <f t="shared" si="4"/>
        <v>-</v>
      </c>
      <c r="Q29" s="54" t="str">
        <f t="shared" si="5"/>
        <v>-</v>
      </c>
      <c r="S29" s="54" t="str">
        <f t="shared" si="6"/>
        <v>-</v>
      </c>
    </row>
    <row r="30" spans="1:19">
      <c r="A30" s="25" t="s">
        <v>43</v>
      </c>
      <c r="B30" s="17" t="s">
        <v>44</v>
      </c>
      <c r="C30" s="4">
        <v>120</v>
      </c>
      <c r="D30" s="2" t="s">
        <v>7</v>
      </c>
      <c r="E30" s="57">
        <v>183405043459</v>
      </c>
      <c r="F30" s="65">
        <v>0.43</v>
      </c>
      <c r="G30" s="60">
        <v>21.515000000000001</v>
      </c>
      <c r="H30" s="5">
        <v>18.287750000000003</v>
      </c>
      <c r="I30" s="41"/>
      <c r="J30" s="11">
        <f t="shared" si="0"/>
        <v>0</v>
      </c>
      <c r="K30" s="15">
        <f t="shared" si="1"/>
        <v>0</v>
      </c>
      <c r="N30" s="52" t="str">
        <f t="shared" si="2"/>
        <v>-</v>
      </c>
      <c r="O30" s="52" t="str">
        <f t="shared" si="3"/>
        <v>-</v>
      </c>
      <c r="P30" s="53" t="str">
        <f t="shared" si="4"/>
        <v>-</v>
      </c>
      <c r="Q30" s="54" t="str">
        <f t="shared" si="5"/>
        <v>-</v>
      </c>
      <c r="S30" s="54" t="str">
        <f t="shared" si="6"/>
        <v>-</v>
      </c>
    </row>
    <row r="31" spans="1:19">
      <c r="A31" s="24" t="s">
        <v>55</v>
      </c>
      <c r="B31" s="17" t="s">
        <v>56</v>
      </c>
      <c r="C31" s="2" t="s">
        <v>49</v>
      </c>
      <c r="D31" s="2" t="s">
        <v>8</v>
      </c>
      <c r="E31" s="57">
        <v>875534041948</v>
      </c>
      <c r="F31" s="65">
        <v>0</v>
      </c>
      <c r="G31" s="61">
        <v>19.434999999999999</v>
      </c>
      <c r="H31" s="5">
        <v>16.519749999999998</v>
      </c>
      <c r="I31" s="41"/>
      <c r="J31" s="11">
        <f t="shared" si="0"/>
        <v>0</v>
      </c>
      <c r="K31" s="15">
        <f t="shared" si="1"/>
        <v>0</v>
      </c>
      <c r="N31" s="52" t="str">
        <f t="shared" si="2"/>
        <v>-</v>
      </c>
      <c r="O31" s="52" t="str">
        <f t="shared" si="3"/>
        <v>-</v>
      </c>
      <c r="P31" s="53" t="str">
        <f t="shared" si="4"/>
        <v>-</v>
      </c>
      <c r="Q31" s="54" t="str">
        <f t="shared" si="5"/>
        <v>-</v>
      </c>
      <c r="S31" s="54" t="str">
        <f t="shared" si="6"/>
        <v>-</v>
      </c>
    </row>
    <row r="32" spans="1:19">
      <c r="A32" s="24" t="s">
        <v>57</v>
      </c>
      <c r="B32" s="17" t="s">
        <v>56</v>
      </c>
      <c r="C32" s="2" t="s">
        <v>13</v>
      </c>
      <c r="D32" s="2" t="s">
        <v>8</v>
      </c>
      <c r="E32" s="57">
        <v>875534002451</v>
      </c>
      <c r="F32" s="65">
        <v>0</v>
      </c>
      <c r="G32" s="61">
        <v>31.225999999999999</v>
      </c>
      <c r="H32" s="5">
        <v>26.542099999999998</v>
      </c>
      <c r="I32" s="41"/>
      <c r="J32" s="11">
        <f t="shared" si="0"/>
        <v>0</v>
      </c>
      <c r="K32" s="15">
        <f t="shared" si="1"/>
        <v>0</v>
      </c>
      <c r="N32" s="52" t="str">
        <f t="shared" si="2"/>
        <v>-</v>
      </c>
      <c r="O32" s="52" t="str">
        <f t="shared" si="3"/>
        <v>-</v>
      </c>
      <c r="P32" s="53" t="str">
        <f t="shared" si="4"/>
        <v>-</v>
      </c>
      <c r="Q32" s="54" t="str">
        <f t="shared" si="5"/>
        <v>-</v>
      </c>
      <c r="S32" s="54" t="str">
        <f t="shared" si="6"/>
        <v>-</v>
      </c>
    </row>
    <row r="33" spans="1:19">
      <c r="A33" s="24" t="s">
        <v>58</v>
      </c>
      <c r="B33" s="17" t="s">
        <v>59</v>
      </c>
      <c r="C33" s="4">
        <v>60</v>
      </c>
      <c r="D33" s="2" t="s">
        <v>7</v>
      </c>
      <c r="E33" s="57">
        <v>183405043824</v>
      </c>
      <c r="F33" s="65">
        <v>0.16</v>
      </c>
      <c r="G33" s="61">
        <v>12.792</v>
      </c>
      <c r="H33" s="5">
        <v>10.873199999999999</v>
      </c>
      <c r="I33" s="41"/>
      <c r="J33" s="11">
        <f t="shared" si="0"/>
        <v>0</v>
      </c>
      <c r="K33" s="15">
        <f t="shared" si="1"/>
        <v>0</v>
      </c>
      <c r="N33" s="52" t="str">
        <f t="shared" si="2"/>
        <v>-</v>
      </c>
      <c r="O33" s="52" t="str">
        <f t="shared" si="3"/>
        <v>-</v>
      </c>
      <c r="P33" s="53" t="str">
        <f t="shared" si="4"/>
        <v>-</v>
      </c>
      <c r="Q33" s="54" t="str">
        <f t="shared" si="5"/>
        <v>-</v>
      </c>
      <c r="S33" s="54" t="str">
        <f t="shared" si="6"/>
        <v>-</v>
      </c>
    </row>
    <row r="34" spans="1:19">
      <c r="A34" s="24" t="s">
        <v>60</v>
      </c>
      <c r="B34" s="17" t="s">
        <v>59</v>
      </c>
      <c r="C34" s="4">
        <v>120</v>
      </c>
      <c r="D34" s="2" t="s">
        <v>7</v>
      </c>
      <c r="E34" s="57">
        <v>183405043831</v>
      </c>
      <c r="F34" s="65">
        <v>0.31</v>
      </c>
      <c r="G34" s="61">
        <v>21.515000000000001</v>
      </c>
      <c r="H34" s="5">
        <v>18.287750000000003</v>
      </c>
      <c r="I34" s="41"/>
      <c r="J34" s="11">
        <f t="shared" si="0"/>
        <v>0</v>
      </c>
      <c r="K34" s="15">
        <f t="shared" si="1"/>
        <v>0</v>
      </c>
      <c r="N34" s="52" t="str">
        <f t="shared" si="2"/>
        <v>-</v>
      </c>
      <c r="O34" s="52" t="str">
        <f t="shared" si="3"/>
        <v>-</v>
      </c>
      <c r="P34" s="53" t="str">
        <f t="shared" si="4"/>
        <v>-</v>
      </c>
      <c r="Q34" s="54" t="str">
        <f t="shared" si="5"/>
        <v>-</v>
      </c>
      <c r="S34" s="54" t="str">
        <f t="shared" si="6"/>
        <v>-</v>
      </c>
    </row>
    <row r="35" spans="1:19">
      <c r="A35" s="24" t="s">
        <v>61</v>
      </c>
      <c r="B35" s="17" t="s">
        <v>62</v>
      </c>
      <c r="C35" s="4">
        <v>60</v>
      </c>
      <c r="D35" s="2" t="s">
        <v>7</v>
      </c>
      <c r="E35" s="57">
        <v>183405043800</v>
      </c>
      <c r="F35" s="65">
        <v>0.2</v>
      </c>
      <c r="G35" s="61">
        <v>12.792</v>
      </c>
      <c r="H35" s="5">
        <v>10.873199999999999</v>
      </c>
      <c r="I35" s="41"/>
      <c r="J35" s="11">
        <f t="shared" si="0"/>
        <v>0</v>
      </c>
      <c r="K35" s="15">
        <f t="shared" si="1"/>
        <v>0</v>
      </c>
      <c r="N35" s="52" t="str">
        <f t="shared" si="2"/>
        <v>-</v>
      </c>
      <c r="O35" s="52" t="str">
        <f t="shared" si="3"/>
        <v>-</v>
      </c>
      <c r="P35" s="53" t="str">
        <f t="shared" si="4"/>
        <v>-</v>
      </c>
      <c r="Q35" s="54" t="str">
        <f t="shared" si="5"/>
        <v>-</v>
      </c>
      <c r="S35" s="54" t="str">
        <f t="shared" si="6"/>
        <v>-</v>
      </c>
    </row>
    <row r="36" spans="1:19" ht="16.2" thickBot="1">
      <c r="A36" s="26" t="s">
        <v>63</v>
      </c>
      <c r="B36" s="27" t="s">
        <v>62</v>
      </c>
      <c r="C36" s="8">
        <v>120</v>
      </c>
      <c r="D36" s="28" t="s">
        <v>7</v>
      </c>
      <c r="E36" s="58">
        <v>183405043817</v>
      </c>
      <c r="F36" s="66">
        <v>0.38</v>
      </c>
      <c r="G36" s="63">
        <v>21.515000000000001</v>
      </c>
      <c r="H36" s="9">
        <v>18.287750000000003</v>
      </c>
      <c r="I36" s="42"/>
      <c r="J36" s="12">
        <f t="shared" si="0"/>
        <v>0</v>
      </c>
      <c r="K36" s="16">
        <f t="shared" si="1"/>
        <v>0</v>
      </c>
      <c r="N36" s="52" t="str">
        <f t="shared" si="2"/>
        <v>-</v>
      </c>
      <c r="O36" s="52" t="str">
        <f t="shared" si="3"/>
        <v>-</v>
      </c>
      <c r="P36" s="53" t="str">
        <f t="shared" si="4"/>
        <v>-</v>
      </c>
      <c r="Q36" s="54" t="str">
        <f t="shared" si="5"/>
        <v>-</v>
      </c>
      <c r="S36" s="54" t="str">
        <f t="shared" si="6"/>
        <v>-</v>
      </c>
    </row>
  </sheetData>
  <sheetProtection algorithmName="SHA-512" hashValue="YK4VW2KJipGGMDOgDL+BrlGqZna6r/EdTkpNC8iu4JN65LpCIHeSDAST5WBK496783NmcqzdHo7u1X4zIgopdw==" saltValue="iPh4SSQzvp5PNLrQHrpAIA==" spinCount="100000" sheet="1" formatCells="0" formatColumns="0" formatRows="0" insertColumns="0" insertRows="0" insertHyperlinks="0" deleteColumns="0" deleteRows="0" sort="0" autoFilter="0" pivotTables="0"/>
  <autoFilter ref="A2:K36" xr:uid="{00000000-0001-0000-0100-000000000000}"/>
  <mergeCells count="2">
    <mergeCell ref="A1:K1"/>
    <mergeCell ref="O1:O2"/>
  </mergeCells>
  <phoneticPr fontId="5" type="noConversion"/>
  <conditionalFormatting sqref="S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NATURAL VITALITY CALM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Tkachuk Valia</cp:lastModifiedBy>
  <dcterms:created xsi:type="dcterms:W3CDTF">2025-05-30T14:35:39Z</dcterms:created>
  <dcterms:modified xsi:type="dcterms:W3CDTF">2025-12-03T06:21:30Z</dcterms:modified>
</cp:coreProperties>
</file>