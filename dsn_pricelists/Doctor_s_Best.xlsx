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\Всяке\прайсики\Project X\Міжнародка\"/>
    </mc:Choice>
  </mc:AlternateContent>
  <xr:revisionPtr revIDLastSave="0" documentId="13_ncr:1_{91F36AB7-0289-46B8-AD3B-3839AA351865}" xr6:coauthVersionLast="47" xr6:coauthVersionMax="47" xr10:uidLastSave="{00000000-0000-0000-0000-000000000000}"/>
  <bookViews>
    <workbookView xWindow="-108" yWindow="-108" windowWidth="23256" windowHeight="13896" xr2:uid="{928728A5-7C04-460A-AAE1-E7ED32991725}"/>
  </bookViews>
  <sheets>
    <sheet name="DSN GROUP (Doctor's Best)" sheetId="1" r:id="rId1"/>
  </sheets>
  <definedNames>
    <definedName name="_xlnm._FilterDatabase" localSheetId="0" hidden="1">'DSN GROUP (Doctor''s Best)'!$A$2:$I$201</definedName>
    <definedName name="_xlnm.Print_Titles" localSheetId="0">'DSN GROUP (Doctor''s Best)'!$2:$2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L164" i="1"/>
  <c r="M164" i="1"/>
  <c r="N164" i="1"/>
  <c r="O164" i="1"/>
  <c r="I50" i="1"/>
  <c r="L165" i="1"/>
  <c r="M165" i="1"/>
  <c r="N165" i="1"/>
  <c r="O165" i="1"/>
  <c r="I51" i="1"/>
  <c r="L166" i="1"/>
  <c r="M166" i="1"/>
  <c r="N166" i="1"/>
  <c r="O166" i="1"/>
  <c r="I174" i="1"/>
  <c r="L167" i="1"/>
  <c r="M167" i="1"/>
  <c r="N167" i="1"/>
  <c r="O167" i="1"/>
  <c r="I175" i="1"/>
  <c r="L168" i="1"/>
  <c r="M168" i="1"/>
  <c r="N168" i="1"/>
  <c r="O168" i="1"/>
  <c r="I93" i="1"/>
  <c r="L169" i="1"/>
  <c r="M169" i="1"/>
  <c r="N169" i="1"/>
  <c r="O169" i="1"/>
  <c r="I176" i="1"/>
  <c r="L170" i="1"/>
  <c r="M170" i="1"/>
  <c r="N170" i="1"/>
  <c r="O170" i="1"/>
  <c r="I177" i="1"/>
  <c r="L171" i="1"/>
  <c r="M171" i="1"/>
  <c r="N171" i="1"/>
  <c r="O171" i="1"/>
  <c r="I94" i="1"/>
  <c r="L172" i="1"/>
  <c r="M172" i="1"/>
  <c r="N172" i="1"/>
  <c r="O172" i="1"/>
  <c r="I178" i="1"/>
  <c r="L173" i="1"/>
  <c r="M173" i="1"/>
  <c r="N173" i="1"/>
  <c r="O173" i="1"/>
  <c r="I179" i="1"/>
  <c r="L174" i="1"/>
  <c r="M174" i="1"/>
  <c r="N174" i="1"/>
  <c r="O174" i="1"/>
  <c r="I95" i="1"/>
  <c r="L175" i="1"/>
  <c r="M175" i="1"/>
  <c r="N175" i="1"/>
  <c r="O175" i="1"/>
  <c r="I180" i="1"/>
  <c r="L176" i="1"/>
  <c r="M176" i="1"/>
  <c r="N176" i="1"/>
  <c r="O176" i="1"/>
  <c r="I181" i="1"/>
  <c r="L177" i="1"/>
  <c r="M177" i="1"/>
  <c r="N177" i="1"/>
  <c r="O177" i="1"/>
  <c r="I52" i="1"/>
  <c r="L178" i="1"/>
  <c r="M178" i="1"/>
  <c r="N178" i="1"/>
  <c r="O178" i="1"/>
  <c r="I182" i="1"/>
  <c r="L179" i="1"/>
  <c r="M179" i="1"/>
  <c r="N179" i="1"/>
  <c r="O179" i="1"/>
  <c r="I183" i="1"/>
  <c r="L180" i="1"/>
  <c r="M180" i="1"/>
  <c r="N180" i="1"/>
  <c r="O180" i="1"/>
  <c r="Q180" i="1" s="1"/>
  <c r="I96" i="1"/>
  <c r="L181" i="1"/>
  <c r="M181" i="1"/>
  <c r="N181" i="1"/>
  <c r="O181" i="1"/>
  <c r="I97" i="1"/>
  <c r="L182" i="1"/>
  <c r="M182" i="1"/>
  <c r="N182" i="1"/>
  <c r="O182" i="1"/>
  <c r="I184" i="1"/>
  <c r="L183" i="1"/>
  <c r="M183" i="1"/>
  <c r="N183" i="1"/>
  <c r="O183" i="1"/>
  <c r="I185" i="1"/>
  <c r="L184" i="1"/>
  <c r="M184" i="1"/>
  <c r="N184" i="1"/>
  <c r="O184" i="1"/>
  <c r="I186" i="1"/>
  <c r="L185" i="1"/>
  <c r="M185" i="1"/>
  <c r="N185" i="1"/>
  <c r="O185" i="1"/>
  <c r="I187" i="1"/>
  <c r="L186" i="1"/>
  <c r="M186" i="1"/>
  <c r="N186" i="1"/>
  <c r="O186" i="1"/>
  <c r="Q186" i="1"/>
  <c r="I188" i="1"/>
  <c r="L187" i="1"/>
  <c r="M187" i="1"/>
  <c r="N187" i="1"/>
  <c r="O187" i="1"/>
  <c r="I98" i="1"/>
  <c r="L188" i="1"/>
  <c r="M188" i="1"/>
  <c r="N188" i="1"/>
  <c r="O188" i="1"/>
  <c r="I189" i="1"/>
  <c r="L189" i="1"/>
  <c r="M189" i="1"/>
  <c r="N189" i="1"/>
  <c r="O189" i="1"/>
  <c r="Q189" i="1"/>
  <c r="I190" i="1"/>
  <c r="L190" i="1"/>
  <c r="M190" i="1"/>
  <c r="N190" i="1"/>
  <c r="O190" i="1"/>
  <c r="I191" i="1"/>
  <c r="L191" i="1"/>
  <c r="M191" i="1"/>
  <c r="N191" i="1"/>
  <c r="O191" i="1"/>
  <c r="Q188" i="1" l="1"/>
  <c r="Q191" i="1"/>
  <c r="Q183" i="1"/>
  <c r="Q175" i="1"/>
  <c r="Q190" i="1"/>
  <c r="Q178" i="1"/>
  <c r="Q181" i="1"/>
  <c r="Q187" i="1"/>
  <c r="Q184" i="1"/>
  <c r="Q179" i="1"/>
  <c r="Q176" i="1"/>
  <c r="Q177" i="1"/>
  <c r="Q174" i="1"/>
  <c r="Q185" i="1"/>
  <c r="Q18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3" i="1"/>
  <c r="O3" i="1" s="1"/>
  <c r="O163" i="1"/>
  <c r="M163" i="1"/>
  <c r="L163" i="1"/>
  <c r="O162" i="1"/>
  <c r="M162" i="1"/>
  <c r="L162" i="1"/>
  <c r="O161" i="1"/>
  <c r="M161" i="1"/>
  <c r="L161" i="1"/>
  <c r="O160" i="1"/>
  <c r="M160" i="1"/>
  <c r="L160" i="1"/>
  <c r="O159" i="1"/>
  <c r="M159" i="1"/>
  <c r="L159" i="1"/>
  <c r="O158" i="1"/>
  <c r="M158" i="1"/>
  <c r="L158" i="1"/>
  <c r="O157" i="1"/>
  <c r="M157" i="1"/>
  <c r="L157" i="1"/>
  <c r="O156" i="1"/>
  <c r="M156" i="1"/>
  <c r="L156" i="1"/>
  <c r="O155" i="1"/>
  <c r="M155" i="1"/>
  <c r="L155" i="1"/>
  <c r="O154" i="1"/>
  <c r="M154" i="1"/>
  <c r="L154" i="1"/>
  <c r="O153" i="1"/>
  <c r="M153" i="1"/>
  <c r="L153" i="1"/>
  <c r="O152" i="1"/>
  <c r="M152" i="1"/>
  <c r="L152" i="1"/>
  <c r="O151" i="1"/>
  <c r="M151" i="1"/>
  <c r="L151" i="1"/>
  <c r="O150" i="1"/>
  <c r="M150" i="1"/>
  <c r="L150" i="1"/>
  <c r="O149" i="1"/>
  <c r="M149" i="1"/>
  <c r="L149" i="1"/>
  <c r="O148" i="1"/>
  <c r="M148" i="1"/>
  <c r="L148" i="1"/>
  <c r="O147" i="1"/>
  <c r="M147" i="1"/>
  <c r="L147" i="1"/>
  <c r="O146" i="1"/>
  <c r="M146" i="1"/>
  <c r="L146" i="1"/>
  <c r="O145" i="1"/>
  <c r="M145" i="1"/>
  <c r="L145" i="1"/>
  <c r="O144" i="1"/>
  <c r="M144" i="1"/>
  <c r="L144" i="1"/>
  <c r="O143" i="1"/>
  <c r="M143" i="1"/>
  <c r="L143" i="1"/>
  <c r="O142" i="1"/>
  <c r="M142" i="1"/>
  <c r="L142" i="1"/>
  <c r="O141" i="1"/>
  <c r="M141" i="1"/>
  <c r="L141" i="1"/>
  <c r="O140" i="1"/>
  <c r="M140" i="1"/>
  <c r="L140" i="1"/>
  <c r="O139" i="1"/>
  <c r="M139" i="1"/>
  <c r="L139" i="1"/>
  <c r="O138" i="1"/>
  <c r="M138" i="1"/>
  <c r="L138" i="1"/>
  <c r="O137" i="1"/>
  <c r="M137" i="1"/>
  <c r="L137" i="1"/>
  <c r="O136" i="1"/>
  <c r="M136" i="1"/>
  <c r="L136" i="1"/>
  <c r="O135" i="1"/>
  <c r="M135" i="1"/>
  <c r="L135" i="1"/>
  <c r="O134" i="1"/>
  <c r="M134" i="1"/>
  <c r="L134" i="1"/>
  <c r="O133" i="1"/>
  <c r="M133" i="1"/>
  <c r="L133" i="1"/>
  <c r="O132" i="1"/>
  <c r="M132" i="1"/>
  <c r="L132" i="1"/>
  <c r="O131" i="1"/>
  <c r="M131" i="1"/>
  <c r="L131" i="1"/>
  <c r="O130" i="1"/>
  <c r="M130" i="1"/>
  <c r="L130" i="1"/>
  <c r="O129" i="1"/>
  <c r="M129" i="1"/>
  <c r="L129" i="1"/>
  <c r="O128" i="1"/>
  <c r="M128" i="1"/>
  <c r="L128" i="1"/>
  <c r="O127" i="1"/>
  <c r="M127" i="1"/>
  <c r="L127" i="1"/>
  <c r="O126" i="1"/>
  <c r="M126" i="1"/>
  <c r="L126" i="1"/>
  <c r="O125" i="1"/>
  <c r="M125" i="1"/>
  <c r="L125" i="1"/>
  <c r="O124" i="1"/>
  <c r="M124" i="1"/>
  <c r="L124" i="1"/>
  <c r="O123" i="1"/>
  <c r="M123" i="1"/>
  <c r="L123" i="1"/>
  <c r="O122" i="1"/>
  <c r="M122" i="1"/>
  <c r="L122" i="1"/>
  <c r="O121" i="1"/>
  <c r="M121" i="1"/>
  <c r="L121" i="1"/>
  <c r="O120" i="1"/>
  <c r="M120" i="1"/>
  <c r="L120" i="1"/>
  <c r="O119" i="1"/>
  <c r="M119" i="1"/>
  <c r="L119" i="1"/>
  <c r="O118" i="1"/>
  <c r="M118" i="1"/>
  <c r="L118" i="1"/>
  <c r="O117" i="1"/>
  <c r="M117" i="1"/>
  <c r="L117" i="1"/>
  <c r="O116" i="1"/>
  <c r="M116" i="1"/>
  <c r="L116" i="1"/>
  <c r="O115" i="1"/>
  <c r="M115" i="1"/>
  <c r="L115" i="1"/>
  <c r="O114" i="1"/>
  <c r="M114" i="1"/>
  <c r="L114" i="1"/>
  <c r="O113" i="1"/>
  <c r="M113" i="1"/>
  <c r="L113" i="1"/>
  <c r="O112" i="1"/>
  <c r="M112" i="1"/>
  <c r="L112" i="1"/>
  <c r="O111" i="1"/>
  <c r="M111" i="1"/>
  <c r="L111" i="1"/>
  <c r="O110" i="1"/>
  <c r="M110" i="1"/>
  <c r="L110" i="1"/>
  <c r="O109" i="1"/>
  <c r="M109" i="1"/>
  <c r="L109" i="1"/>
  <c r="O108" i="1"/>
  <c r="M108" i="1"/>
  <c r="L108" i="1"/>
  <c r="O107" i="1"/>
  <c r="M107" i="1"/>
  <c r="L107" i="1"/>
  <c r="O106" i="1"/>
  <c r="M106" i="1"/>
  <c r="L106" i="1"/>
  <c r="O105" i="1"/>
  <c r="M105" i="1"/>
  <c r="L105" i="1"/>
  <c r="O104" i="1"/>
  <c r="M104" i="1"/>
  <c r="L104" i="1"/>
  <c r="O103" i="1"/>
  <c r="M103" i="1"/>
  <c r="L103" i="1"/>
  <c r="O102" i="1"/>
  <c r="M102" i="1"/>
  <c r="L102" i="1"/>
  <c r="O101" i="1"/>
  <c r="M101" i="1"/>
  <c r="L101" i="1"/>
  <c r="O100" i="1"/>
  <c r="M100" i="1"/>
  <c r="L100" i="1"/>
  <c r="O99" i="1"/>
  <c r="M99" i="1"/>
  <c r="L99" i="1"/>
  <c r="O98" i="1"/>
  <c r="M98" i="1"/>
  <c r="L98" i="1"/>
  <c r="O97" i="1"/>
  <c r="M97" i="1"/>
  <c r="L97" i="1"/>
  <c r="O96" i="1"/>
  <c r="M96" i="1"/>
  <c r="L96" i="1"/>
  <c r="O95" i="1"/>
  <c r="M95" i="1"/>
  <c r="L95" i="1"/>
  <c r="O94" i="1"/>
  <c r="M94" i="1"/>
  <c r="L94" i="1"/>
  <c r="O93" i="1"/>
  <c r="M93" i="1"/>
  <c r="L93" i="1"/>
  <c r="O92" i="1"/>
  <c r="M92" i="1"/>
  <c r="L92" i="1"/>
  <c r="O91" i="1"/>
  <c r="M91" i="1"/>
  <c r="L91" i="1"/>
  <c r="O90" i="1"/>
  <c r="M90" i="1"/>
  <c r="L90" i="1"/>
  <c r="O89" i="1"/>
  <c r="M89" i="1"/>
  <c r="L89" i="1"/>
  <c r="O88" i="1"/>
  <c r="M88" i="1"/>
  <c r="L88" i="1"/>
  <c r="O87" i="1"/>
  <c r="M87" i="1"/>
  <c r="L87" i="1"/>
  <c r="O86" i="1"/>
  <c r="M86" i="1"/>
  <c r="L86" i="1"/>
  <c r="O85" i="1"/>
  <c r="M85" i="1"/>
  <c r="L85" i="1"/>
  <c r="O84" i="1"/>
  <c r="M84" i="1"/>
  <c r="L84" i="1"/>
  <c r="O83" i="1"/>
  <c r="M83" i="1"/>
  <c r="L83" i="1"/>
  <c r="O82" i="1"/>
  <c r="M82" i="1"/>
  <c r="L82" i="1"/>
  <c r="O81" i="1"/>
  <c r="M81" i="1"/>
  <c r="L81" i="1"/>
  <c r="O80" i="1"/>
  <c r="M80" i="1"/>
  <c r="L80" i="1"/>
  <c r="O79" i="1"/>
  <c r="M79" i="1"/>
  <c r="L79" i="1"/>
  <c r="O78" i="1"/>
  <c r="M78" i="1"/>
  <c r="L78" i="1"/>
  <c r="O77" i="1"/>
  <c r="M77" i="1"/>
  <c r="L77" i="1"/>
  <c r="O76" i="1"/>
  <c r="M76" i="1"/>
  <c r="L76" i="1"/>
  <c r="O75" i="1"/>
  <c r="M75" i="1"/>
  <c r="L75" i="1"/>
  <c r="O74" i="1"/>
  <c r="M74" i="1"/>
  <c r="L74" i="1"/>
  <c r="O73" i="1"/>
  <c r="M73" i="1"/>
  <c r="L73" i="1"/>
  <c r="O72" i="1"/>
  <c r="M72" i="1"/>
  <c r="L72" i="1"/>
  <c r="O71" i="1"/>
  <c r="M71" i="1"/>
  <c r="L71" i="1"/>
  <c r="O70" i="1"/>
  <c r="M70" i="1"/>
  <c r="L70" i="1"/>
  <c r="O69" i="1"/>
  <c r="M69" i="1"/>
  <c r="L69" i="1"/>
  <c r="O68" i="1"/>
  <c r="M68" i="1"/>
  <c r="L68" i="1"/>
  <c r="O67" i="1"/>
  <c r="M67" i="1"/>
  <c r="L67" i="1"/>
  <c r="O66" i="1"/>
  <c r="M66" i="1"/>
  <c r="L66" i="1"/>
  <c r="O65" i="1"/>
  <c r="M65" i="1"/>
  <c r="L65" i="1"/>
  <c r="O64" i="1"/>
  <c r="M64" i="1"/>
  <c r="L64" i="1"/>
  <c r="O63" i="1"/>
  <c r="M63" i="1"/>
  <c r="L63" i="1"/>
  <c r="O62" i="1"/>
  <c r="M62" i="1"/>
  <c r="L62" i="1"/>
  <c r="O61" i="1"/>
  <c r="M61" i="1"/>
  <c r="L61" i="1"/>
  <c r="O60" i="1"/>
  <c r="M60" i="1"/>
  <c r="L60" i="1"/>
  <c r="O59" i="1"/>
  <c r="M59" i="1"/>
  <c r="L59" i="1"/>
  <c r="O58" i="1"/>
  <c r="M58" i="1"/>
  <c r="L58" i="1"/>
  <c r="O57" i="1"/>
  <c r="M57" i="1"/>
  <c r="L57" i="1"/>
  <c r="O56" i="1"/>
  <c r="M56" i="1"/>
  <c r="L56" i="1"/>
  <c r="O55" i="1"/>
  <c r="M55" i="1"/>
  <c r="L55" i="1"/>
  <c r="O54" i="1"/>
  <c r="M54" i="1"/>
  <c r="L54" i="1"/>
  <c r="O53" i="1"/>
  <c r="M53" i="1"/>
  <c r="L53" i="1"/>
  <c r="O52" i="1"/>
  <c r="M52" i="1"/>
  <c r="L52" i="1"/>
  <c r="O51" i="1"/>
  <c r="M51" i="1"/>
  <c r="L51" i="1"/>
  <c r="O50" i="1"/>
  <c r="M50" i="1"/>
  <c r="L50" i="1"/>
  <c r="O49" i="1"/>
  <c r="M49" i="1"/>
  <c r="L49" i="1"/>
  <c r="O48" i="1"/>
  <c r="M48" i="1"/>
  <c r="L48" i="1"/>
  <c r="O47" i="1"/>
  <c r="M47" i="1"/>
  <c r="L47" i="1"/>
  <c r="O46" i="1"/>
  <c r="M46" i="1"/>
  <c r="L46" i="1"/>
  <c r="O45" i="1"/>
  <c r="M45" i="1"/>
  <c r="L45" i="1"/>
  <c r="O44" i="1"/>
  <c r="M44" i="1"/>
  <c r="L44" i="1"/>
  <c r="O43" i="1"/>
  <c r="M43" i="1"/>
  <c r="L43" i="1"/>
  <c r="O42" i="1"/>
  <c r="M42" i="1"/>
  <c r="L42" i="1"/>
  <c r="O41" i="1"/>
  <c r="M41" i="1"/>
  <c r="L41" i="1"/>
  <c r="O40" i="1"/>
  <c r="M40" i="1"/>
  <c r="L40" i="1"/>
  <c r="O39" i="1"/>
  <c r="M39" i="1"/>
  <c r="L39" i="1"/>
  <c r="O38" i="1"/>
  <c r="M38" i="1"/>
  <c r="L38" i="1"/>
  <c r="O37" i="1"/>
  <c r="M37" i="1"/>
  <c r="L37" i="1"/>
  <c r="O36" i="1"/>
  <c r="M36" i="1"/>
  <c r="L36" i="1"/>
  <c r="O35" i="1"/>
  <c r="M35" i="1"/>
  <c r="L35" i="1"/>
  <c r="O34" i="1"/>
  <c r="M34" i="1"/>
  <c r="L34" i="1"/>
  <c r="O33" i="1"/>
  <c r="M33" i="1"/>
  <c r="L33" i="1"/>
  <c r="O32" i="1"/>
  <c r="M32" i="1"/>
  <c r="L32" i="1"/>
  <c r="O31" i="1"/>
  <c r="M31" i="1"/>
  <c r="L31" i="1"/>
  <c r="O30" i="1"/>
  <c r="M30" i="1"/>
  <c r="L30" i="1"/>
  <c r="O29" i="1"/>
  <c r="M29" i="1"/>
  <c r="L29" i="1"/>
  <c r="O28" i="1"/>
  <c r="M28" i="1"/>
  <c r="L28" i="1"/>
  <c r="O27" i="1"/>
  <c r="M27" i="1"/>
  <c r="L27" i="1"/>
  <c r="O26" i="1"/>
  <c r="M26" i="1"/>
  <c r="L26" i="1"/>
  <c r="O25" i="1"/>
  <c r="M25" i="1"/>
  <c r="L25" i="1"/>
  <c r="O24" i="1"/>
  <c r="M24" i="1"/>
  <c r="L24" i="1"/>
  <c r="O23" i="1"/>
  <c r="M23" i="1"/>
  <c r="L23" i="1"/>
  <c r="O22" i="1"/>
  <c r="M22" i="1"/>
  <c r="L22" i="1"/>
  <c r="O21" i="1"/>
  <c r="M21" i="1"/>
  <c r="L21" i="1"/>
  <c r="O20" i="1"/>
  <c r="M20" i="1"/>
  <c r="L20" i="1"/>
  <c r="O19" i="1"/>
  <c r="M19" i="1"/>
  <c r="L19" i="1"/>
  <c r="O18" i="1"/>
  <c r="M18" i="1"/>
  <c r="L18" i="1"/>
  <c r="O17" i="1"/>
  <c r="M17" i="1"/>
  <c r="L17" i="1"/>
  <c r="O16" i="1"/>
  <c r="M16" i="1"/>
  <c r="L16" i="1"/>
  <c r="O15" i="1"/>
  <c r="M15" i="1"/>
  <c r="L15" i="1"/>
  <c r="O14" i="1"/>
  <c r="M14" i="1"/>
  <c r="L14" i="1"/>
  <c r="O13" i="1"/>
  <c r="M13" i="1"/>
  <c r="L13" i="1"/>
  <c r="O12" i="1"/>
  <c r="M12" i="1"/>
  <c r="L12" i="1"/>
  <c r="O11" i="1"/>
  <c r="M11" i="1"/>
  <c r="L11" i="1"/>
  <c r="O10" i="1"/>
  <c r="M10" i="1"/>
  <c r="L10" i="1"/>
  <c r="O9" i="1"/>
  <c r="M9" i="1"/>
  <c r="L9" i="1"/>
  <c r="O8" i="1"/>
  <c r="M8" i="1"/>
  <c r="L8" i="1"/>
  <c r="O7" i="1"/>
  <c r="M7" i="1"/>
  <c r="L7" i="1"/>
  <c r="O6" i="1"/>
  <c r="M6" i="1"/>
  <c r="L6" i="1"/>
  <c r="O5" i="1"/>
  <c r="M5" i="1"/>
  <c r="L5" i="1"/>
  <c r="O4" i="1"/>
  <c r="M4" i="1"/>
  <c r="L4" i="1"/>
  <c r="L3" i="1"/>
  <c r="O2" i="1" l="1"/>
  <c r="N2" i="1"/>
  <c r="I99" i="1"/>
  <c r="I53" i="1"/>
  <c r="I4" i="1"/>
  <c r="I30" i="1"/>
  <c r="I54" i="1"/>
  <c r="I31" i="1"/>
  <c r="Q9" i="1" s="1"/>
  <c r="I5" i="1"/>
  <c r="Q10" i="1" s="1"/>
  <c r="I6" i="1"/>
  <c r="I32" i="1"/>
  <c r="I100" i="1"/>
  <c r="I101" i="1"/>
  <c r="Q14" i="1" s="1"/>
  <c r="I102" i="1"/>
  <c r="Q15" i="1" s="1"/>
  <c r="I7" i="1"/>
  <c r="Q16" i="1" s="1"/>
  <c r="I8" i="1"/>
  <c r="Q17" i="1" s="1"/>
  <c r="I9" i="1"/>
  <c r="I103" i="1"/>
  <c r="I10" i="1"/>
  <c r="I55" i="1"/>
  <c r="I33" i="1"/>
  <c r="I104" i="1"/>
  <c r="I105" i="1"/>
  <c r="Q24" i="1" s="1"/>
  <c r="I56" i="1"/>
  <c r="Q25" i="1" s="1"/>
  <c r="I57" i="1"/>
  <c r="Q26" i="1" s="1"/>
  <c r="I106" i="1"/>
  <c r="I34" i="1"/>
  <c r="I11" i="1"/>
  <c r="Q29" i="1" s="1"/>
  <c r="I107" i="1"/>
  <c r="Q30" i="1" s="1"/>
  <c r="I108" i="1"/>
  <c r="Q31" i="1" s="1"/>
  <c r="I12" i="1"/>
  <c r="Q32" i="1" s="1"/>
  <c r="I13" i="1"/>
  <c r="Q33" i="1" s="1"/>
  <c r="I35" i="1"/>
  <c r="I14" i="1"/>
  <c r="Q35" i="1" s="1"/>
  <c r="I109" i="1"/>
  <c r="I58" i="1"/>
  <c r="I110" i="1"/>
  <c r="Q38" i="1" s="1"/>
  <c r="I15" i="1"/>
  <c r="I111" i="1"/>
  <c r="I112" i="1"/>
  <c r="Q41" i="1" s="1"/>
  <c r="I113" i="1"/>
  <c r="I114" i="1"/>
  <c r="I115" i="1"/>
  <c r="I116" i="1"/>
  <c r="Q45" i="1" s="1"/>
  <c r="I117" i="1"/>
  <c r="Q46" i="1" s="1"/>
  <c r="I118" i="1"/>
  <c r="Q47" i="1" s="1"/>
  <c r="I119" i="1"/>
  <c r="Q48" i="1" s="1"/>
  <c r="I36" i="1"/>
  <c r="Q49" i="1" s="1"/>
  <c r="I59" i="1"/>
  <c r="Q50" i="1" s="1"/>
  <c r="I37" i="1"/>
  <c r="Q51" i="1" s="1"/>
  <c r="I38" i="1"/>
  <c r="Q52" i="1" s="1"/>
  <c r="I120" i="1"/>
  <c r="Q53" i="1" s="1"/>
  <c r="I121" i="1"/>
  <c r="I39" i="1"/>
  <c r="Q55" i="1" s="1"/>
  <c r="I122" i="1"/>
  <c r="I16" i="1"/>
  <c r="I17" i="1"/>
  <c r="Q58" i="1" s="1"/>
  <c r="I60" i="1"/>
  <c r="Q59" i="1" s="1"/>
  <c r="I123" i="1"/>
  <c r="I61" i="1"/>
  <c r="Q61" i="1" s="1"/>
  <c r="I40" i="1"/>
  <c r="Q62" i="1" s="1"/>
  <c r="I124" i="1"/>
  <c r="Q63" i="1" s="1"/>
  <c r="I125" i="1"/>
  <c r="Q64" i="1" s="1"/>
  <c r="I126" i="1"/>
  <c r="Q65" i="1" s="1"/>
  <c r="I62" i="1"/>
  <c r="I18" i="1"/>
  <c r="I63" i="1"/>
  <c r="Q68" i="1" s="1"/>
  <c r="I127" i="1"/>
  <c r="I41" i="1"/>
  <c r="I64" i="1"/>
  <c r="I128" i="1"/>
  <c r="I129" i="1"/>
  <c r="I19" i="1"/>
  <c r="Q74" i="1" s="1"/>
  <c r="I65" i="1"/>
  <c r="Q75" i="1" s="1"/>
  <c r="I130" i="1"/>
  <c r="I42" i="1"/>
  <c r="I66" i="1"/>
  <c r="I20" i="1"/>
  <c r="Q79" i="1" s="1"/>
  <c r="I67" i="1"/>
  <c r="Q80" i="1" s="1"/>
  <c r="I131" i="1"/>
  <c r="Q81" i="1" s="1"/>
  <c r="I68" i="1"/>
  <c r="I132" i="1"/>
  <c r="I133" i="1"/>
  <c r="I21" i="1"/>
  <c r="I22" i="1"/>
  <c r="I69" i="1"/>
  <c r="I134" i="1"/>
  <c r="I70" i="1"/>
  <c r="Q89" i="1" s="1"/>
  <c r="I135" i="1"/>
  <c r="Q90" i="1" s="1"/>
  <c r="I71" i="1"/>
  <c r="I72" i="1"/>
  <c r="I136" i="1"/>
  <c r="Q93" i="1" s="1"/>
  <c r="I43" i="1"/>
  <c r="Q94" i="1" s="1"/>
  <c r="I73" i="1"/>
  <c r="Q95" i="1" s="1"/>
  <c r="I23" i="1"/>
  <c r="Q96" i="1" s="1"/>
  <c r="I137" i="1"/>
  <c r="Q97" i="1" s="1"/>
  <c r="I24" i="1"/>
  <c r="Q98" i="1" s="1"/>
  <c r="I74" i="1"/>
  <c r="I138" i="1"/>
  <c r="I139" i="1"/>
  <c r="I140" i="1"/>
  <c r="I25" i="1"/>
  <c r="Q103" i="1" s="1"/>
  <c r="I141" i="1"/>
  <c r="Q104" i="1" s="1"/>
  <c r="I75" i="1"/>
  <c r="Q105" i="1" s="1"/>
  <c r="I142" i="1"/>
  <c r="I76" i="1"/>
  <c r="I143" i="1"/>
  <c r="I144" i="1"/>
  <c r="Q109" i="1" s="1"/>
  <c r="I77" i="1"/>
  <c r="Q110" i="1" s="1"/>
  <c r="I145" i="1"/>
  <c r="Q111" i="1" s="1"/>
  <c r="I78" i="1"/>
  <c r="Q112" i="1" s="1"/>
  <c r="I146" i="1"/>
  <c r="Q113" i="1" s="1"/>
  <c r="I147" i="1"/>
  <c r="I79" i="1"/>
  <c r="I80" i="1"/>
  <c r="I148" i="1"/>
  <c r="I81" i="1"/>
  <c r="I26" i="1"/>
  <c r="I149" i="1"/>
  <c r="Q120" i="1" s="1"/>
  <c r="I150" i="1"/>
  <c r="Q121" i="1" s="1"/>
  <c r="I151" i="1"/>
  <c r="Q122" i="1" s="1"/>
  <c r="I82" i="1"/>
  <c r="I83" i="1"/>
  <c r="I152" i="1"/>
  <c r="I84" i="1"/>
  <c r="I153" i="1"/>
  <c r="Q127" i="1" s="1"/>
  <c r="I44" i="1"/>
  <c r="Q128" i="1" s="1"/>
  <c r="I154" i="1"/>
  <c r="Q129" i="1" s="1"/>
  <c r="I155" i="1"/>
  <c r="I156" i="1"/>
  <c r="I157" i="1"/>
  <c r="Q132" i="1" s="1"/>
  <c r="I158" i="1"/>
  <c r="I159" i="1"/>
  <c r="I45" i="1"/>
  <c r="I85" i="1"/>
  <c r="I86" i="1"/>
  <c r="I87" i="1"/>
  <c r="Q138" i="1" s="1"/>
  <c r="I88" i="1"/>
  <c r="Q139" i="1" s="1"/>
  <c r="I160" i="1"/>
  <c r="Q140" i="1" s="1"/>
  <c r="I161" i="1"/>
  <c r="Q141" i="1" s="1"/>
  <c r="I162" i="1"/>
  <c r="Q142" i="1" s="1"/>
  <c r="I27" i="1"/>
  <c r="Q143" i="1" s="1"/>
  <c r="I28" i="1"/>
  <c r="Q144" i="1" s="1"/>
  <c r="I163" i="1"/>
  <c r="Q145" i="1" s="1"/>
  <c r="I164" i="1"/>
  <c r="I165" i="1"/>
  <c r="I46" i="1"/>
  <c r="I89" i="1"/>
  <c r="I166" i="1"/>
  <c r="I47" i="1"/>
  <c r="I90" i="1"/>
  <c r="I167" i="1"/>
  <c r="I168" i="1"/>
  <c r="I169" i="1"/>
  <c r="I170" i="1"/>
  <c r="I48" i="1"/>
  <c r="Q157" i="1" s="1"/>
  <c r="I49" i="1"/>
  <c r="Q158" i="1" s="1"/>
  <c r="I171" i="1"/>
  <c r="I91" i="1"/>
  <c r="Q160" i="1" s="1"/>
  <c r="I92" i="1"/>
  <c r="Q161" i="1" s="1"/>
  <c r="I172" i="1"/>
  <c r="I173" i="1"/>
  <c r="I3" i="1"/>
  <c r="M3" i="1" l="1"/>
  <c r="Q148" i="1"/>
  <c r="Q133" i="1"/>
  <c r="Q123" i="1"/>
  <c r="Q11" i="1"/>
  <c r="Q99" i="1"/>
  <c r="Q78" i="1"/>
  <c r="Q13" i="1"/>
  <c r="Q156" i="1"/>
  <c r="Q170" i="1"/>
  <c r="Q124" i="1"/>
  <c r="Q108" i="1"/>
  <c r="Q92" i="1"/>
  <c r="Q76" i="1"/>
  <c r="Q60" i="1"/>
  <c r="Q44" i="1"/>
  <c r="Q28" i="1"/>
  <c r="Q12" i="1"/>
  <c r="Q8" i="1"/>
  <c r="Q91" i="1"/>
  <c r="Q106" i="1"/>
  <c r="Q7" i="1"/>
  <c r="Q77" i="1"/>
  <c r="Q73" i="1"/>
  <c r="Q40" i="1"/>
  <c r="Q87" i="1"/>
  <c r="Q118" i="1"/>
  <c r="Q54" i="1"/>
  <c r="Q22" i="1"/>
  <c r="Q6" i="1"/>
  <c r="Q155" i="1"/>
  <c r="Q169" i="1"/>
  <c r="Q154" i="1"/>
  <c r="Q168" i="1"/>
  <c r="Q137" i="1"/>
  <c r="Q136" i="1"/>
  <c r="Q72" i="1"/>
  <c r="Q135" i="1"/>
  <c r="Q23" i="1"/>
  <c r="Q134" i="1"/>
  <c r="Q117" i="1"/>
  <c r="Q101" i="1"/>
  <c r="Q85" i="1"/>
  <c r="Q69" i="1"/>
  <c r="Q37" i="1"/>
  <c r="Q21" i="1"/>
  <c r="Q5" i="1"/>
  <c r="Q126" i="1"/>
  <c r="Q107" i="1"/>
  <c r="Q27" i="1"/>
  <c r="Q42" i="1"/>
  <c r="Q152" i="1"/>
  <c r="Q88" i="1"/>
  <c r="Q56" i="1"/>
  <c r="Q39" i="1"/>
  <c r="Q150" i="1"/>
  <c r="Q166" i="1"/>
  <c r="Q102" i="1"/>
  <c r="Q116" i="1"/>
  <c r="Q100" i="1"/>
  <c r="Q84" i="1"/>
  <c r="Q36" i="1"/>
  <c r="Q20" i="1"/>
  <c r="Q4" i="1"/>
  <c r="Q125" i="1"/>
  <c r="Q43" i="1"/>
  <c r="Q57" i="1"/>
  <c r="Q119" i="1"/>
  <c r="Q71" i="1"/>
  <c r="Q70" i="1"/>
  <c r="Q163" i="1"/>
  <c r="Q173" i="1"/>
  <c r="Q131" i="1"/>
  <c r="Q115" i="1"/>
  <c r="Q83" i="1"/>
  <c r="Q67" i="1"/>
  <c r="Q19" i="1"/>
  <c r="Q159" i="1"/>
  <c r="Q171" i="1"/>
  <c r="Q153" i="1"/>
  <c r="Q167" i="1"/>
  <c r="Q151" i="1"/>
  <c r="Q86" i="1"/>
  <c r="Q149" i="1"/>
  <c r="Q147" i="1"/>
  <c r="Q165" i="1"/>
  <c r="Q162" i="1"/>
  <c r="Q172" i="1"/>
  <c r="Q146" i="1"/>
  <c r="Q164" i="1"/>
  <c r="Q130" i="1"/>
  <c r="Q114" i="1"/>
  <c r="Q82" i="1"/>
  <c r="Q66" i="1"/>
  <c r="Q34" i="1"/>
  <c r="Q18" i="1"/>
  <c r="Q3" i="1"/>
  <c r="J2" i="1"/>
  <c r="Q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<sst xmlns="http://schemas.openxmlformats.org/spreadsheetml/2006/main" count="776" uniqueCount="415">
  <si>
    <t>DRB Item #</t>
  </si>
  <si>
    <t>UPC</t>
  </si>
  <si>
    <t>Product Name</t>
  </si>
  <si>
    <t>Count</t>
  </si>
  <si>
    <t>DRB-00025</t>
  </si>
  <si>
    <t xml:space="preserve">Hi Abs 100% Chelated Magnesium </t>
  </si>
  <si>
    <t>120T</t>
  </si>
  <si>
    <t>DRB-00029</t>
  </si>
  <si>
    <t>Quercetin Bromelain</t>
  </si>
  <si>
    <t>180VC</t>
  </si>
  <si>
    <t>DRB-00047</t>
  </si>
  <si>
    <t>Digestive Enzymes</t>
  </si>
  <si>
    <t>90VC</t>
  </si>
  <si>
    <t>DRB-00064</t>
  </si>
  <si>
    <t>MSM 1000 mg</t>
  </si>
  <si>
    <t>180C</t>
  </si>
  <si>
    <t>DRB-00069</t>
  </si>
  <si>
    <t xml:space="preserve">Hi Abs CoQ10 100mg  </t>
  </si>
  <si>
    <t>60VC</t>
  </si>
  <si>
    <t>DRB-00070</t>
  </si>
  <si>
    <t>Synergistic Glucosamine/MSM Formula</t>
  </si>
  <si>
    <t>DRB-00076</t>
  </si>
  <si>
    <t xml:space="preserve">MSM Powder </t>
  </si>
  <si>
    <t>250G</t>
  </si>
  <si>
    <t>DRB-00077</t>
  </si>
  <si>
    <t xml:space="preserve">5-HTP 100mg      </t>
  </si>
  <si>
    <t>DRB-00080</t>
  </si>
  <si>
    <t xml:space="preserve">Glucosamine/Chondroitin/MSM    </t>
  </si>
  <si>
    <t>120C</t>
  </si>
  <si>
    <t>120VC</t>
  </si>
  <si>
    <t>DRB-00081</t>
  </si>
  <si>
    <t>240C</t>
  </si>
  <si>
    <t>DRB-00082</t>
  </si>
  <si>
    <t>Saw Palmetto 320mg</t>
  </si>
  <si>
    <t>60S/G</t>
  </si>
  <si>
    <t>DRB-00085</t>
  </si>
  <si>
    <t>Comprehensive Prostate Formula</t>
  </si>
  <si>
    <t>DRB-00086</t>
  </si>
  <si>
    <t>Glucosamine Sulfate 750mg</t>
  </si>
  <si>
    <t>DRB-00087</t>
  </si>
  <si>
    <t>240T</t>
  </si>
  <si>
    <t>DRB-00088</t>
  </si>
  <si>
    <t xml:space="preserve">Hi Abs CoQ10 100mg   </t>
  </si>
  <si>
    <t>DRB-00091</t>
  </si>
  <si>
    <t>Extra Strength Ginkgo 120mg</t>
  </si>
  <si>
    <t>DRB-00096</t>
  </si>
  <si>
    <t>Noni Concentrate 650mg</t>
  </si>
  <si>
    <t>DRB-00097</t>
  </si>
  <si>
    <t>MSM 1500 1500 mg</t>
  </si>
  <si>
    <t>DRB-00103</t>
  </si>
  <si>
    <t>Ultra Cordyceps  750mg</t>
  </si>
  <si>
    <t>DRB-00104</t>
  </si>
  <si>
    <t>Alpha-Lipoic Acid 150mg</t>
  </si>
  <si>
    <t>DRB-00105</t>
  </si>
  <si>
    <t>Acetyl-L-Carnitine</t>
  </si>
  <si>
    <t>DRB-00106</t>
  </si>
  <si>
    <t>L-Carnitine Fumarate 500mg</t>
  </si>
  <si>
    <t>DRB-00107</t>
  </si>
  <si>
    <t xml:space="preserve">High Absortion Curcumin from Turmeric Root with C3 and Bioperine 500mg </t>
  </si>
  <si>
    <t>DRB-00111</t>
  </si>
  <si>
    <t xml:space="preserve">Hi Abs CoQ10 200mg  </t>
  </si>
  <si>
    <t>DRB-00120</t>
  </si>
  <si>
    <t xml:space="preserve">5-HTP Enhanced with Vitamins B6 and C  </t>
  </si>
  <si>
    <t>DRB-00123</t>
  </si>
  <si>
    <t>Stabilized R-Lipoic Acid 100mg</t>
  </si>
  <si>
    <t>DRB-00125</t>
  </si>
  <si>
    <t>Nattokinase 2,000FU</t>
  </si>
  <si>
    <t>DRB-00126</t>
  </si>
  <si>
    <t xml:space="preserve">L-Tryptophan 500mg  </t>
  </si>
  <si>
    <t>DRB-00129</t>
  </si>
  <si>
    <t>Benfotiamine 150mg</t>
  </si>
  <si>
    <t>DRB-00133</t>
  </si>
  <si>
    <t xml:space="preserve">Alpha-Lipoic Acid 600mg    </t>
  </si>
  <si>
    <t>DRB-00136</t>
  </si>
  <si>
    <t>PepZinGI</t>
  </si>
  <si>
    <t>DRB-00143</t>
  </si>
  <si>
    <t xml:space="preserve">Lutein with Optilut 10mg </t>
  </si>
  <si>
    <t>120 VC</t>
  </si>
  <si>
    <t>60C</t>
  </si>
  <si>
    <t xml:space="preserve">Hyaluronic Acid with Chondroitin Sulfate   </t>
  </si>
  <si>
    <t>DRB-00149</t>
  </si>
  <si>
    <t xml:space="preserve">Serrapeptase </t>
  </si>
  <si>
    <t>SAM-e 400mg</t>
  </si>
  <si>
    <t>DRB-00152</t>
  </si>
  <si>
    <t xml:space="preserve">Acetyl-L-Carnitine </t>
  </si>
  <si>
    <t>DRB-00154</t>
  </si>
  <si>
    <t xml:space="preserve">L-Carnitine Fumarate 500mg </t>
  </si>
  <si>
    <t>DRB-00157</t>
  </si>
  <si>
    <t xml:space="preserve">Hi Abs CoQ10 400mg  </t>
  </si>
  <si>
    <t>DRB-00163</t>
  </si>
  <si>
    <t>Betaine HCl Pepsin &amp; Gentian Bitters</t>
  </si>
  <si>
    <t>DRB-00165</t>
  </si>
  <si>
    <t>Fucoidan</t>
  </si>
  <si>
    <t>DRB-00170</t>
  </si>
  <si>
    <t>Artemisinin 100mg</t>
  </si>
  <si>
    <t>DRB-00171</t>
  </si>
  <si>
    <t>Trans-Resveratrol 100mg with ResVinol-25™ 100MG</t>
  </si>
  <si>
    <t>DRB-00173</t>
  </si>
  <si>
    <t>D-Ribose Powder</t>
  </si>
  <si>
    <t>DRB-00177</t>
  </si>
  <si>
    <t xml:space="preserve">EpiCor® 500mg     </t>
  </si>
  <si>
    <t>DRB-00178</t>
  </si>
  <si>
    <t>Ubiquinol 50mg</t>
  </si>
  <si>
    <t>90S/G</t>
  </si>
  <si>
    <t>DRB-00181</t>
  </si>
  <si>
    <t>Lumbrokinase 20mg</t>
  </si>
  <si>
    <t>DRB-00183</t>
  </si>
  <si>
    <t xml:space="preserve">Hi Abs CoQ10 100mg </t>
  </si>
  <si>
    <t>120S/G</t>
  </si>
  <si>
    <t>DRB-00184</t>
  </si>
  <si>
    <t>Proteolytic Enzymes</t>
  </si>
  <si>
    <t>DRB-00185</t>
  </si>
  <si>
    <t xml:space="preserve">Vein Support with DiosVein® and MenaQ7®  </t>
  </si>
  <si>
    <t>DRB-00188</t>
  </si>
  <si>
    <t>DRB-00191</t>
  </si>
  <si>
    <t xml:space="preserve">Sustained Release Vitamin C with PureWay- C® </t>
  </si>
  <si>
    <t>60T</t>
  </si>
  <si>
    <t>DRB-00192</t>
  </si>
  <si>
    <t>Lutein with FloraGLO 20mg</t>
  </si>
  <si>
    <t>DRB-00195</t>
  </si>
  <si>
    <t>High Absorption Curcumin C3 1000mg</t>
  </si>
  <si>
    <t>DRB-00197</t>
  </si>
  <si>
    <t xml:space="preserve">L-Theanine with Suntheanine® </t>
  </si>
  <si>
    <t>DRB-00198</t>
  </si>
  <si>
    <t>Natural Vitamin K2 MenaQ7®</t>
  </si>
  <si>
    <t>DRB-00200</t>
  </si>
  <si>
    <t xml:space="preserve">Sustained + Immediate Release L-Arginine </t>
  </si>
  <si>
    <t>DRB-00203</t>
  </si>
  <si>
    <t>Collagen Types 1 &amp; 3 Powder</t>
  </si>
  <si>
    <t>200G</t>
  </si>
  <si>
    <t>DRB-00204</t>
  </si>
  <si>
    <t>Collagen Types 1 and 3 with Vitamin C</t>
  </si>
  <si>
    <t>180T</t>
  </si>
  <si>
    <t>DRB-00205</t>
  </si>
  <si>
    <t>DRB-00206</t>
  </si>
  <si>
    <t>SAMe 200mg</t>
  </si>
  <si>
    <t>DRB-00209</t>
  </si>
  <si>
    <t>Vitamin D3 1000IU</t>
  </si>
  <si>
    <t>180S/G</t>
  </si>
  <si>
    <t>DRB-00210</t>
  </si>
  <si>
    <t>Vitamin D3 2000IU</t>
  </si>
  <si>
    <t>DRB-00211</t>
  </si>
  <si>
    <t xml:space="preserve">Trans-Resveratrol 200mg with ResVinol-25™ </t>
  </si>
  <si>
    <t>DRB-00214</t>
  </si>
  <si>
    <t>Natural Brain Enhancers</t>
  </si>
  <si>
    <t>DRB-00215</t>
  </si>
  <si>
    <t>High Potency Bromelain 3000GDU</t>
  </si>
  <si>
    <t>DRB-00216</t>
  </si>
  <si>
    <t>Tocotrienols with EVNol SupraBio 50mg</t>
  </si>
  <si>
    <t>DRB-00218</t>
  </si>
  <si>
    <t>Vitamin D3 5000IU</t>
  </si>
  <si>
    <t>DRB-00220</t>
  </si>
  <si>
    <t>Phosphatidyl Serine 100mg</t>
  </si>
  <si>
    <t>DRB-00224</t>
  </si>
  <si>
    <t>Real Krill 350mg</t>
  </si>
  <si>
    <t>DRB-00225</t>
  </si>
  <si>
    <t>Curcumin Phytosome with Meriva®</t>
  </si>
  <si>
    <t>DRB-00227</t>
  </si>
  <si>
    <t>Fisetin featuring Novusetin™ 100MG</t>
  </si>
  <si>
    <t>30VC</t>
  </si>
  <si>
    <t>DRB-00229</t>
  </si>
  <si>
    <t>DRB-00230</t>
  </si>
  <si>
    <t>DRB-00231</t>
  </si>
  <si>
    <t>High Potency Serrapeptase</t>
  </si>
  <si>
    <t>DRB-00234</t>
  </si>
  <si>
    <t>Enhanced Krill plus Omega 3s 400mg</t>
  </si>
  <si>
    <t>DRB-00242</t>
  </si>
  <si>
    <t>Sustained Release Niacin with Niaxtend</t>
  </si>
  <si>
    <t>DRB-00245</t>
  </si>
  <si>
    <t>Calcium Bone Maker® Complex</t>
  </si>
  <si>
    <t>DRB-00249</t>
  </si>
  <si>
    <t>180 VC</t>
  </si>
  <si>
    <t>DRB-00250</t>
  </si>
  <si>
    <t>360S/G</t>
  </si>
  <si>
    <t>DRB-00251</t>
  </si>
  <si>
    <t xml:space="preserve">Benfotiamine 150 + Alpha-Lipoic Acid 300 </t>
  </si>
  <si>
    <t>DRB-00252</t>
  </si>
  <si>
    <t>DRB-00253</t>
  </si>
  <si>
    <t>270VC</t>
  </si>
  <si>
    <t>DRB-00256</t>
  </si>
  <si>
    <t>Vitamin C with Q-C 500mg</t>
  </si>
  <si>
    <t>DRB-00257</t>
  </si>
  <si>
    <t xml:space="preserve">Vitamin C with Q-C 1000mg </t>
  </si>
  <si>
    <t>DRB-00262</t>
  </si>
  <si>
    <t xml:space="preserve">Fully Active Folate with Quatrefolic 400mcg </t>
  </si>
  <si>
    <t>DRB-00263</t>
  </si>
  <si>
    <t>DRB-00265</t>
  </si>
  <si>
    <t>DRB-00269</t>
  </si>
  <si>
    <t>360VC</t>
  </si>
  <si>
    <t>DRB-00270</t>
  </si>
  <si>
    <t>Benfotiamine 300mg</t>
  </si>
  <si>
    <t>DRB-00272</t>
  </si>
  <si>
    <t>DRB-00273</t>
  </si>
  <si>
    <t>DRB-00274</t>
  </si>
  <si>
    <t>Ubiquinol 200mg</t>
  </si>
  <si>
    <t>30S/G</t>
  </si>
  <si>
    <t>DRB-00275</t>
  </si>
  <si>
    <t>DRB-00277</t>
  </si>
  <si>
    <t xml:space="preserve">Alpha-Lipoic Acid 300mg    </t>
  </si>
  <si>
    <t>DRB-00278</t>
  </si>
  <si>
    <t>Stabilized R-Lipoic Acid 200mg</t>
  </si>
  <si>
    <t>DRB-00279</t>
  </si>
  <si>
    <t>NAC Detox Regulators</t>
  </si>
  <si>
    <t>DRB-00283</t>
  </si>
  <si>
    <t>Brain Magnesium</t>
  </si>
  <si>
    <t>DRB-00286</t>
  </si>
  <si>
    <t xml:space="preserve">Fully Active B12 1500mcg </t>
  </si>
  <si>
    <t>DRB-00294</t>
  </si>
  <si>
    <t xml:space="preserve">Natto-Serra </t>
  </si>
  <si>
    <t>DRB-00295</t>
  </si>
  <si>
    <t xml:space="preserve">PQQ with BioPQQ 20mg </t>
  </si>
  <si>
    <t>DRB-00296</t>
  </si>
  <si>
    <t xml:space="preserve">Vegan DHA 200mg </t>
  </si>
  <si>
    <t>60VSG</t>
  </si>
  <si>
    <t>DRB-00297</t>
  </si>
  <si>
    <t>Menopause Spectrum with EstroG</t>
  </si>
  <si>
    <t>DRB-00299</t>
  </si>
  <si>
    <t xml:space="preserve">Fully Active B Complex </t>
  </si>
  <si>
    <t>DRB-00300</t>
  </si>
  <si>
    <t>Multi-Vitamin</t>
  </si>
  <si>
    <t>DRB-00301</t>
  </si>
  <si>
    <t xml:space="preserve">Biotin 5,000 mcg </t>
  </si>
  <si>
    <t>DRB-00302</t>
  </si>
  <si>
    <t>Vegan D3 2500IU</t>
  </si>
  <si>
    <t>DRB-00304</t>
  </si>
  <si>
    <t>Ashwagandha with Sensoril 125mg</t>
  </si>
  <si>
    <t>DRB-00307</t>
  </si>
  <si>
    <t xml:space="preserve">High Potency Serrapeptase </t>
  </si>
  <si>
    <t>DRB-00311</t>
  </si>
  <si>
    <t>Natural Vision Enhancers</t>
  </si>
  <si>
    <t>DRB-00312</t>
  </si>
  <si>
    <t xml:space="preserve">5-HTP 100 mg      </t>
  </si>
  <si>
    <t>DRB-00315</t>
  </si>
  <si>
    <t>360C</t>
  </si>
  <si>
    <t>DRB-00316</t>
  </si>
  <si>
    <t xml:space="preserve">L-Tyrosine 500mg </t>
  </si>
  <si>
    <t>DRB-00317</t>
  </si>
  <si>
    <t>DRB-00327</t>
  </si>
  <si>
    <t>Vitamin C with Q-C 1000mg</t>
  </si>
  <si>
    <t>DRB-00329</t>
  </si>
  <si>
    <t>DRB-00331</t>
  </si>
  <si>
    <t>DRB-00332</t>
  </si>
  <si>
    <t xml:space="preserve">Hi Abs CoQ10 400 mg  </t>
  </si>
  <si>
    <t>DRB-00333</t>
  </si>
  <si>
    <t>Vitamin C Powder with Q-C</t>
  </si>
  <si>
    <t>DRB-00334</t>
  </si>
  <si>
    <t>Natural Vitamin K2 MK-7 with MenaQ7 100mcg</t>
  </si>
  <si>
    <t>DRB-00356</t>
  </si>
  <si>
    <t>Natural Vitamin K2 MK-7 with MenaQ7 45mcg</t>
  </si>
  <si>
    <t>DRB-00358</t>
  </si>
  <si>
    <t>540T</t>
  </si>
  <si>
    <t>DRB-00362</t>
  </si>
  <si>
    <t>Digestive Probiotic 20B</t>
  </si>
  <si>
    <t>DRB-00363</t>
  </si>
  <si>
    <t>720S/G</t>
  </si>
  <si>
    <t>DRB-00364</t>
  </si>
  <si>
    <t>DRB-00367</t>
  </si>
  <si>
    <t xml:space="preserve">Astaxanthin with AstaReal® 6mg </t>
  </si>
  <si>
    <t>DRB-00369</t>
  </si>
  <si>
    <t>Lutein with Lutemax</t>
  </si>
  <si>
    <t>DRB-00370</t>
  </si>
  <si>
    <t>DRB-00373</t>
  </si>
  <si>
    <t xml:space="preserve">Biotin 10,000mcg </t>
  </si>
  <si>
    <t>DRB-00374</t>
  </si>
  <si>
    <t xml:space="preserve">L-Arginine Powder </t>
  </si>
  <si>
    <t>300G</t>
  </si>
  <si>
    <t>DRB-00401</t>
  </si>
  <si>
    <t>Gluten Rescue with Glutalytic</t>
  </si>
  <si>
    <t>DRB-00404</t>
  </si>
  <si>
    <t>Natural Vitamin K2 MK-7 with MenaQ7 Plus D3 180mcg</t>
  </si>
  <si>
    <t>DRB-00405</t>
  </si>
  <si>
    <t>DRB-00406</t>
  </si>
  <si>
    <t>Fast Acting Arginine Complex with Nitrosigine 750mg</t>
  </si>
  <si>
    <t>DRB-00407</t>
  </si>
  <si>
    <t>Melatonin 5mg</t>
  </si>
  <si>
    <t>DRB-00408</t>
  </si>
  <si>
    <t>Hi Abs 100% Chelated Magnesium Powder</t>
  </si>
  <si>
    <t>DRB-00412</t>
  </si>
  <si>
    <t>DRB-00416</t>
  </si>
  <si>
    <t>Trans-Resveratrol 600mg</t>
  </si>
  <si>
    <t>DRB-00428</t>
  </si>
  <si>
    <t>High Absorption CoQ10 plus PQQ</t>
  </si>
  <si>
    <t>DRB-00437</t>
  </si>
  <si>
    <t>L-Citrulline</t>
  </si>
  <si>
    <t>DRB-00451</t>
  </si>
  <si>
    <t>Vegan Glucosamine Sulfate with Greengrown</t>
  </si>
  <si>
    <t>DRB-00454</t>
  </si>
  <si>
    <t xml:space="preserve">Bacopa 320mg </t>
  </si>
  <si>
    <t>DRB-00456</t>
  </si>
  <si>
    <t xml:space="preserve">Calm 25mg </t>
  </si>
  <si>
    <t>DRB-00458</t>
  </si>
  <si>
    <t xml:space="preserve">Folate 800mcg </t>
  </si>
  <si>
    <t>DRB-00459</t>
  </si>
  <si>
    <t>High Absorption Iron 100% Chelated with Ferrochel</t>
  </si>
  <si>
    <t>DRB-00463</t>
  </si>
  <si>
    <t>Cinnamon Extract with CinSulin 500mg</t>
  </si>
  <si>
    <t>DRB-00464</t>
  </si>
  <si>
    <t xml:space="preserve">Digestive Health Probiotic </t>
  </si>
  <si>
    <t>DRB-00477</t>
  </si>
  <si>
    <t>Mag/CoQ10/Carnitine</t>
  </si>
  <si>
    <t xml:space="preserve"> 90VC</t>
  </si>
  <si>
    <t>DRB-00478</t>
  </si>
  <si>
    <t>Purified &amp; Clear Omega 3 Fish Oil 1000mg</t>
  </si>
  <si>
    <t>120SG</t>
  </si>
  <si>
    <t>DRB-00491</t>
  </si>
  <si>
    <t xml:space="preserve">L-Glutamine Powder </t>
  </si>
  <si>
    <t>DRB-00500</t>
  </si>
  <si>
    <t>Vegan Glucosamine / Chondroitin / MSM</t>
  </si>
  <si>
    <t>DRB-00501</t>
  </si>
  <si>
    <t>DRB-00516</t>
  </si>
  <si>
    <t xml:space="preserve">Fully Active B12 </t>
  </si>
  <si>
    <t>DRB-00517</t>
  </si>
  <si>
    <t xml:space="preserve">NAC Detox Regulators </t>
  </si>
  <si>
    <t>DRB-00518</t>
  </si>
  <si>
    <t>High Absorption Magnesium Powder</t>
  </si>
  <si>
    <t>347G</t>
  </si>
  <si>
    <t xml:space="preserve">CoQ10 300mg </t>
  </si>
  <si>
    <t>DRB-00527</t>
  </si>
  <si>
    <t>90SG</t>
  </si>
  <si>
    <t>DRB-00545</t>
  </si>
  <si>
    <t xml:space="preserve">Keratin 500mg </t>
  </si>
  <si>
    <t>DRB-00565</t>
  </si>
  <si>
    <t>High Absorption Magnesium Lysinate Glycinate</t>
  </si>
  <si>
    <t>DRB-00573</t>
  </si>
  <si>
    <t>High Absorption Zinc Bisglycinate 50mg</t>
  </si>
  <si>
    <t>Ubiquinol 100mg</t>
  </si>
  <si>
    <t>DRB-00592</t>
  </si>
  <si>
    <t>Glucosamine Chondroitin MSM + UCII</t>
  </si>
  <si>
    <t>DRB-00597</t>
  </si>
  <si>
    <t>NMN 200mg</t>
  </si>
  <si>
    <t>DRB-00599</t>
  </si>
  <si>
    <t>NMN Complex</t>
  </si>
  <si>
    <t>DRB-00601</t>
  </si>
  <si>
    <t>Boswellia Extract + UC-II</t>
  </si>
  <si>
    <t>DRB-00602</t>
  </si>
  <si>
    <t>Glutathione with Milk Thistle</t>
  </si>
  <si>
    <t xml:space="preserve"> WHSL</t>
  </si>
  <si>
    <t>Order</t>
  </si>
  <si>
    <t>Total</t>
  </si>
  <si>
    <t>WhatsApp → +380-9871-54085</t>
  </si>
  <si>
    <t>E-mail → info@dsn.group</t>
  </si>
  <si>
    <t>Instagram → https://www.instagram.com/dsngroup.official/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</si>
  <si>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</si>
  <si>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USA → +13-322-093-910</t>
  </si>
  <si>
    <t>Poland → +48-459-568-603</t>
  </si>
  <si>
    <t>Weight, kg</t>
  </si>
  <si>
    <t>Unіt Freight Cost</t>
  </si>
  <si>
    <t>unit, key</t>
  </si>
  <si>
    <t>Logistic Price</t>
  </si>
  <si>
    <t>Landed Cost</t>
  </si>
  <si>
    <t>Category</t>
  </si>
  <si>
    <t>DRB-00080V</t>
  </si>
  <si>
    <t>DRB-00081V</t>
  </si>
  <si>
    <t>240VC</t>
  </si>
  <si>
    <t>DRB-00146V</t>
  </si>
  <si>
    <t>DRB-00228V</t>
  </si>
  <si>
    <t>DRB-00271V</t>
  </si>
  <si>
    <t xml:space="preserve">Glucosamine Chondroitin MSM + Hyaluronic Acid    </t>
  </si>
  <si>
    <t>150VC</t>
  </si>
  <si>
    <t>DRB-00364V</t>
  </si>
  <si>
    <t>DRB-00535</t>
  </si>
  <si>
    <t xml:space="preserve">Vitamin D3 2000IU </t>
  </si>
  <si>
    <t>180VSG</t>
  </si>
  <si>
    <t>DRB-00536</t>
  </si>
  <si>
    <t xml:space="preserve">Vitamin D3 5000IU </t>
  </si>
  <si>
    <t>DRB-00596</t>
  </si>
  <si>
    <t>NMN + CoQ10</t>
  </si>
  <si>
    <t>DRB-00607</t>
  </si>
  <si>
    <t>Probiotic with Cranberry and PreforPro 30vc</t>
  </si>
  <si>
    <t>DRB-00608</t>
  </si>
  <si>
    <t>Vitamin B12 5000mcg Chewable 6</t>
  </si>
  <si>
    <t>DRB-00609</t>
  </si>
  <si>
    <t>Women's Menopause Formula 60vc</t>
  </si>
  <si>
    <t>DRB-00610</t>
  </si>
  <si>
    <t>Women's Hair Skin &amp; Nail Formu</t>
  </si>
  <si>
    <t>DRB-00611</t>
  </si>
  <si>
    <t>Women's Beauty Sleep Formula 6</t>
  </si>
  <si>
    <t>DRB-00613</t>
  </si>
  <si>
    <t>Women's Multivitamin 120T</t>
  </si>
  <si>
    <t>DRB-00620</t>
  </si>
  <si>
    <t>L-Theanine w/AlphaWave 200mg 60vc</t>
  </si>
  <si>
    <t>DRB-00624</t>
  </si>
  <si>
    <t>Hi Abs Magnesium Powder Fruit Punch 340grams</t>
  </si>
  <si>
    <t>340G</t>
  </si>
  <si>
    <t>DRB-00625</t>
  </si>
  <si>
    <t>Sunfiber Powder 210grams</t>
  </si>
  <si>
    <t>210GM</t>
  </si>
  <si>
    <t>DRB-00626</t>
  </si>
  <si>
    <t>Vitamin D3 5000IU + MK7 K2 100mcg 60vc</t>
  </si>
  <si>
    <t>DRB-00627</t>
  </si>
  <si>
    <t>Hi Abs Postbiotic Butyrate with Corebiome 30vc</t>
  </si>
  <si>
    <t>DRB-00628</t>
  </si>
  <si>
    <t>CoQ10 + Nattokinase 60vc</t>
  </si>
  <si>
    <t>DRB-00630</t>
  </si>
  <si>
    <t>Collagen Complex Powder 417 grams</t>
  </si>
  <si>
    <t>417GM</t>
  </si>
  <si>
    <t>DRB-00632</t>
  </si>
  <si>
    <t>Lustriva and Saw Palmetto 60vc</t>
  </si>
  <si>
    <t>DRB-00633</t>
  </si>
  <si>
    <t>Concentrated Omega 3 Fish Oil 1500mg 100sg</t>
  </si>
  <si>
    <t>100SG</t>
  </si>
  <si>
    <t>DRB-00634</t>
  </si>
  <si>
    <t>Vitamin D3 5000IU + Vitamin K2 100mcg 180sg</t>
  </si>
  <si>
    <t>180SG</t>
  </si>
  <si>
    <t>DRB-00637</t>
  </si>
  <si>
    <t>Creatine Powder 500grams</t>
  </si>
  <si>
    <t>500GM</t>
  </si>
  <si>
    <t>DRB-00638</t>
  </si>
  <si>
    <t>Magnesium Citrate 125mg 120vc</t>
  </si>
  <si>
    <t>DRB-00640</t>
  </si>
  <si>
    <t>Hi Abs Magnesium Powder Strawberry Lime 12.35oz</t>
  </si>
  <si>
    <t>350G</t>
  </si>
  <si>
    <t>А</t>
  </si>
  <si>
    <t>С</t>
  </si>
  <si>
    <t>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</si>
</sst>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1009]* #,##0.00_-;\-[$$-1009]* #,##0.00_-;_-[$$-1009]* &quot;-&quot;??_-;_-@_-"/>
    <numFmt numFmtId="165" formatCode="_-[$$-409]* #,##0.00_ ;_-[$$-409]* \-#,##0.00\ ;_-[$$-409]* &quot;-&quot;??_ ;_-@_ "/>
    <numFmt numFmtId="166" formatCode="[$$-409]#,##0.00"/>
  </numFmts>
  <fonts count="1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EB9C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5" fillId="0" borderId="0"/>
  </cellStyleXfs>
  <cellXfs count="65">
    <xf numFmtId="0" fontId="0" fillId="0" borderId="0" xfId="0"/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0" fillId="0" borderId="5" xfId="1" applyFont="1" applyFill="1" applyBorder="1" applyAlignment="1">
      <alignment horizontal="center"/>
    </xf>
    <xf numFmtId="1" fontId="0" fillId="0" borderId="1" xfId="1" applyNumberFormat="1" applyFont="1" applyFill="1" applyBorder="1" applyAlignment="1">
      <alignment horizontal="center"/>
    </xf>
    <xf numFmtId="0" fontId="0" fillId="0" borderId="1" xfId="1" applyFont="1" applyFill="1" applyBorder="1"/>
    <xf numFmtId="0" fontId="0" fillId="0" borderId="2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3" xfId="0" applyBorder="1"/>
    <xf numFmtId="0" fontId="0" fillId="0" borderId="5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7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64" fontId="0" fillId="0" borderId="0" xfId="0" applyNumberFormat="1"/>
    <xf numFmtId="164" fontId="1" fillId="2" borderId="13" xfId="0" applyNumberFormat="1" applyFont="1" applyFill="1" applyBorder="1" applyAlignment="1">
      <alignment horizontal="center" vertical="center" wrapText="1"/>
    </xf>
    <xf numFmtId="164" fontId="0" fillId="0" borderId="4" xfId="0" applyNumberFormat="1" applyBorder="1"/>
    <xf numFmtId="164" fontId="0" fillId="0" borderId="6" xfId="0" applyNumberFormat="1" applyBorder="1"/>
    <xf numFmtId="164" fontId="0" fillId="0" borderId="6" xfId="1" applyNumberFormat="1" applyFont="1" applyFill="1" applyBorder="1"/>
    <xf numFmtId="164" fontId="0" fillId="0" borderId="9" xfId="0" applyNumberFormat="1" applyBorder="1"/>
    <xf numFmtId="0" fontId="4" fillId="0" borderId="14" xfId="0" applyFont="1" applyBorder="1" applyAlignment="1" applyProtection="1">
      <alignment horizontal="center"/>
      <protection hidden="1"/>
    </xf>
    <xf numFmtId="0" fontId="6" fillId="0" borderId="15" xfId="2" applyFont="1" applyBorder="1" applyAlignment="1" applyProtection="1">
      <alignment horizontal="center"/>
      <protection hidden="1"/>
    </xf>
    <xf numFmtId="0" fontId="6" fillId="0" borderId="16" xfId="2" applyFont="1" applyBorder="1" applyAlignment="1" applyProtection="1">
      <alignment horizontal="center"/>
      <protection hidden="1"/>
    </xf>
    <xf numFmtId="0" fontId="6" fillId="0" borderId="17" xfId="2" applyFont="1" applyBorder="1" applyAlignment="1" applyProtection="1">
      <alignment horizontal="center"/>
      <protection hidden="1"/>
    </xf>
    <xf numFmtId="0" fontId="6" fillId="0" borderId="18" xfId="2" applyFont="1" applyBorder="1" applyAlignment="1" applyProtection="1">
      <alignment horizontal="center"/>
      <protection hidden="1"/>
    </xf>
    <xf numFmtId="0" fontId="6" fillId="0" borderId="19" xfId="2" applyFont="1" applyBorder="1" applyAlignment="1" applyProtection="1">
      <alignment horizontal="center"/>
      <protection hidden="1"/>
    </xf>
    <xf numFmtId="14" fontId="3" fillId="0" borderId="0" xfId="0" quotePrefix="1" applyNumberFormat="1" applyFont="1" applyAlignment="1">
      <alignment horizontal="center" vertical="center"/>
    </xf>
    <xf numFmtId="0" fontId="0" fillId="0" borderId="4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6" xfId="1" applyFont="1" applyFill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1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24" xfId="0" applyNumberFormat="1" applyBorder="1"/>
    <xf numFmtId="164" fontId="0" fillId="0" borderId="25" xfId="0" applyNumberFormat="1" applyBorder="1"/>
    <xf numFmtId="164" fontId="0" fillId="0" borderId="25" xfId="1" applyNumberFormat="1" applyFont="1" applyFill="1" applyBorder="1"/>
    <xf numFmtId="164" fontId="0" fillId="0" borderId="26" xfId="0" applyNumberFormat="1" applyBorder="1"/>
    <xf numFmtId="0" fontId="1" fillId="2" borderId="27" xfId="0" applyFont="1" applyFill="1" applyBorder="1" applyAlignment="1">
      <alignment horizontal="center" vertical="center" wrapText="1"/>
    </xf>
    <xf numFmtId="14" fontId="3" fillId="4" borderId="14" xfId="0" applyNumberFormat="1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165" fontId="10" fillId="4" borderId="14" xfId="0" applyNumberFormat="1" applyFont="1" applyFill="1" applyBorder="1" applyAlignment="1" applyProtection="1">
      <alignment horizontal="center" vertical="center" wrapText="1" readingOrder="1"/>
      <protection hidden="1"/>
    </xf>
    <xf numFmtId="166" fontId="3" fillId="4" borderId="14" xfId="0" applyNumberFormat="1" applyFont="1" applyFill="1" applyBorder="1" applyAlignment="1">
      <alignment horizontal="center" vertical="center"/>
    </xf>
    <xf numFmtId="0" fontId="11" fillId="5" borderId="14" xfId="0" applyFont="1" applyFill="1" applyBorder="1" applyAlignment="1" applyProtection="1">
      <alignment horizontal="center" vertical="center" wrapText="1" readingOrder="1"/>
      <protection locked="0"/>
    </xf>
    <xf numFmtId="4" fontId="3" fillId="5" borderId="29" xfId="0" applyNumberFormat="1" applyFont="1" applyFill="1" applyBorder="1" applyAlignment="1">
      <alignment horizontal="center" vertical="center"/>
    </xf>
    <xf numFmtId="165" fontId="10" fillId="5" borderId="14" xfId="0" applyNumberFormat="1" applyFont="1" applyFill="1" applyBorder="1" applyAlignment="1" applyProtection="1">
      <alignment horizontal="center" vertical="center" wrapText="1" readingOrder="1"/>
      <protection hidden="1"/>
    </xf>
    <xf numFmtId="165" fontId="10" fillId="0" borderId="0" xfId="0" applyNumberFormat="1" applyFont="1" applyAlignment="1" applyProtection="1">
      <alignment vertical="center" wrapText="1" readingOrder="1"/>
      <protection hidden="1"/>
    </xf>
    <xf numFmtId="0" fontId="3" fillId="6" borderId="14" xfId="0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0" fillId="0" borderId="18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9" fillId="0" borderId="20" xfId="0" applyFont="1" applyBorder="1" applyAlignment="1">
      <alignment horizontal="left" wrapText="1"/>
    </xf>
    <xf numFmtId="0" fontId="7" fillId="0" borderId="20" xfId="0" applyFont="1" applyBorder="1" applyAlignment="1">
      <alignment horizontal="left"/>
    </xf>
    <xf numFmtId="14" fontId="3" fillId="4" borderId="28" xfId="0" applyNumberFormat="1" applyFont="1" applyFill="1" applyBorder="1" applyAlignment="1">
      <alignment horizontal="center" vertical="center" wrapText="1"/>
    </xf>
    <xf numFmtId="14" fontId="3" fillId="4" borderId="29" xfId="0" applyNumberFormat="1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</cellXfs>
  <cellStyles count="3">
    <cellStyle name="Excel Built-in Normal" xfId="2" xr:uid="{826DFFD0-3408-4DD2-BB2E-E867A1B0733B}"/>
    <cellStyle name="Звичайний" xfId="0" builtinId="0"/>
    <cellStyle name="Нейтральний" xfId="1" builtinId="28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144780</xdr:rowOff>
    </xdr:from>
    <xdr:to>
      <xdr:col>7</xdr:col>
      <xdr:colOff>655955</xdr:colOff>
      <xdr:row>0</xdr:row>
      <xdr:rowOff>784860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CECC53-65D1-4726-9C36-E87A744AB5E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4565" y="144780"/>
          <a:ext cx="1318895" cy="64008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529FB-C2DE-4468-8F05-DBB5721FF694}">
  <sheetPr>
    <pageSetUpPr fitToPage="1"/>
  </sheetPr>
  <dimension ref="A1:Q739"/>
  <sheetViews>
    <sheetView tabSelected="1" topLeftCell="B1" zoomScale="85" zoomScaleNormal="85" workbookViewId="0">
      <pane ySplit="2" topLeftCell="A3" activePane="bottomLeft" state="frozen"/>
      <selection pane="bottomLeft" activeCell="J5" sqref="J5"/>
    </sheetView>
  </sheetViews>
  <sheetFormatPr defaultRowHeight="14.4" x14ac:dyDescent="0.3"/>
  <cols>
    <col min="1" max="2" width="15.6640625" bestFit="1" customWidth="1"/>
    <col min="3" max="3" width="69" bestFit="1" customWidth="1"/>
    <col min="4" max="4" width="11.6640625" style="16" bestFit="1" customWidth="1"/>
    <col min="5" max="6" width="10.21875" style="16" customWidth="1"/>
    <col min="7" max="7" width="9.6640625" style="17" customWidth="1"/>
    <col min="8" max="8" width="10" style="34" customWidth="1"/>
    <col min="9" max="9" width="11.21875" style="17" bestFit="1" customWidth="1"/>
    <col min="10" max="10" width="17.77734375" customWidth="1"/>
    <col min="11" max="11" width="5.77734375" customWidth="1"/>
    <col min="12" max="13" width="11.109375" customWidth="1"/>
    <col min="14" max="14" width="11.5546875" customWidth="1"/>
    <col min="15" max="15" width="13.88671875" customWidth="1"/>
    <col min="16" max="16" width="5.5546875" customWidth="1"/>
    <col min="17" max="17" width="13.88671875" customWidth="1"/>
  </cols>
  <sheetData>
    <row r="1" spans="1:17" ht="74.400000000000006" customHeight="1" thickBot="1" x14ac:dyDescent="0.35">
      <c r="A1" s="59" t="s">
        <v>342</v>
      </c>
      <c r="B1" s="60"/>
      <c r="C1" s="60"/>
      <c r="D1" s="60"/>
      <c r="E1" s="60"/>
      <c r="F1" s="60"/>
      <c r="G1" s="60"/>
      <c r="H1" s="60"/>
      <c r="I1" s="60"/>
      <c r="J1" s="29">
        <v>46056</v>
      </c>
      <c r="L1" s="44" t="s">
        <v>346</v>
      </c>
      <c r="M1" s="61" t="s">
        <v>347</v>
      </c>
      <c r="N1" s="45" t="s">
        <v>345</v>
      </c>
      <c r="O1" s="46" t="s">
        <v>348</v>
      </c>
      <c r="Q1" s="47" t="str">
        <f>IFERROR(IF(SUM(Q3:Q288)=0, "-", J2+O2), "-")</f>
        <v>-</v>
      </c>
    </row>
    <row r="2" spans="1:17" ht="26.4" customHeight="1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43" t="s">
        <v>345</v>
      </c>
      <c r="F2" s="43" t="s">
        <v>350</v>
      </c>
      <c r="G2" s="18" t="s">
        <v>336</v>
      </c>
      <c r="H2" s="3" t="s">
        <v>337</v>
      </c>
      <c r="I2" s="18" t="s">
        <v>338</v>
      </c>
      <c r="J2" s="18">
        <f>SUM(I3:I191)</f>
        <v>0</v>
      </c>
      <c r="L2" s="48"/>
      <c r="M2" s="62"/>
      <c r="N2" s="49" t="str">
        <f>IF(SUM(N3:N288)=0, "-", SUM(N3:N288))</f>
        <v>-</v>
      </c>
      <c r="O2" s="50" t="str">
        <f>IF(SUM(O3:O288)=0, "-", SUM(O3:O288))</f>
        <v>-</v>
      </c>
      <c r="P2" s="51"/>
      <c r="Q2" s="52" t="s">
        <v>349</v>
      </c>
    </row>
    <row r="3" spans="1:17" x14ac:dyDescent="0.3">
      <c r="A3" s="7" t="s">
        <v>4</v>
      </c>
      <c r="B3" s="8">
        <v>753950000254</v>
      </c>
      <c r="C3" s="9" t="s">
        <v>5</v>
      </c>
      <c r="D3" s="35" t="s">
        <v>6</v>
      </c>
      <c r="E3" s="56">
        <v>0.22722256182780001</v>
      </c>
      <c r="F3" s="63" t="s">
        <v>412</v>
      </c>
      <c r="G3" s="39">
        <v>12.762750000000002</v>
      </c>
      <c r="H3" s="30"/>
      <c r="I3" s="19">
        <f>H3*G3</f>
        <v>0</v>
      </c>
      <c r="L3" s="53" t="str">
        <f t="shared" ref="L3:L34" si="0">IFERROR(IF($L$2*E3=0, "-", $L$2*E3), "-")</f>
        <v>-</v>
      </c>
      <c r="M3" s="53" t="str">
        <f t="shared" ref="M3:M34" si="1">IF(H3&gt;0,G3+E3*H3/$N$2*$O$2/H3,"-")</f>
        <v>-</v>
      </c>
      <c r="N3" s="54" t="str">
        <f>IF(H3&gt;0,H3*E3, "-")</f>
        <v>-</v>
      </c>
      <c r="O3" s="55" t="str">
        <f>IFERROR(IF($L$2&gt;0, $L$2*N3, "-"), "-")</f>
        <v>-</v>
      </c>
      <c r="Q3" s="55" t="str">
        <f>IFERROR(IF(O3+I3=0, "-", IF(O3&gt;0, O3+I3, "-")), "-")</f>
        <v>-</v>
      </c>
    </row>
    <row r="4" spans="1:17" x14ac:dyDescent="0.3">
      <c r="A4" s="10" t="s">
        <v>13</v>
      </c>
      <c r="B4" s="11">
        <v>753950000643</v>
      </c>
      <c r="C4" s="12" t="s">
        <v>14</v>
      </c>
      <c r="D4" s="36" t="s">
        <v>15</v>
      </c>
      <c r="E4" s="57">
        <v>0.32316097682176004</v>
      </c>
      <c r="F4" s="63" t="s">
        <v>412</v>
      </c>
      <c r="G4" s="40">
        <v>17.431049999999999</v>
      </c>
      <c r="H4" s="31"/>
      <c r="I4" s="20">
        <f>H4*G4</f>
        <v>0</v>
      </c>
      <c r="L4" s="53" t="str">
        <f t="shared" si="0"/>
        <v>-</v>
      </c>
      <c r="M4" s="53" t="str">
        <f t="shared" si="1"/>
        <v>-</v>
      </c>
      <c r="N4" s="54" t="str">
        <f>IF(H4&gt;0,H4*E4, "-")</f>
        <v>-</v>
      </c>
      <c r="O4" s="55" t="str">
        <f>IFERROR(IF($L$2&gt;0, $L$2*N4, "-"), "-")</f>
        <v>-</v>
      </c>
      <c r="Q4" s="55" t="str">
        <f t="shared" ref="Q4:Q62" si="2">IFERROR(IF(O4+I4=0, "-", IF(O4&gt;0, O4+I4, "-")), "-")</f>
        <v>-</v>
      </c>
    </row>
    <row r="5" spans="1:17" x14ac:dyDescent="0.3">
      <c r="A5" s="10" t="s">
        <v>24</v>
      </c>
      <c r="B5" s="11">
        <v>753950000773</v>
      </c>
      <c r="C5" s="12" t="s">
        <v>25</v>
      </c>
      <c r="D5" s="36" t="s">
        <v>18</v>
      </c>
      <c r="E5" s="57">
        <v>0.36860548918732</v>
      </c>
      <c r="F5" s="63" t="s">
        <v>412</v>
      </c>
      <c r="G5" s="40">
        <v>10.933650000000002</v>
      </c>
      <c r="H5" s="31"/>
      <c r="I5" s="20">
        <f>H5*G5</f>
        <v>0</v>
      </c>
      <c r="L5" s="53" t="str">
        <f t="shared" si="0"/>
        <v>-</v>
      </c>
      <c r="M5" s="53" t="str">
        <f t="shared" si="1"/>
        <v>-</v>
      </c>
      <c r="N5" s="54" t="str">
        <f>IF(H5&gt;0,H5*E5, "-")</f>
        <v>-</v>
      </c>
      <c r="O5" s="55" t="str">
        <f>IFERROR(IF($L$2&gt;0, $L$2*N5, "-"), "-")</f>
        <v>-</v>
      </c>
      <c r="Q5" s="55" t="str">
        <f t="shared" si="2"/>
        <v>-</v>
      </c>
    </row>
    <row r="6" spans="1:17" x14ac:dyDescent="0.3">
      <c r="A6" s="4" t="s">
        <v>26</v>
      </c>
      <c r="B6" s="5">
        <v>753950000803</v>
      </c>
      <c r="C6" s="6" t="s">
        <v>27</v>
      </c>
      <c r="D6" s="37" t="s">
        <v>28</v>
      </c>
      <c r="E6" s="57">
        <v>0.26761768393051999</v>
      </c>
      <c r="F6" s="63" t="s">
        <v>412</v>
      </c>
      <c r="G6" s="41">
        <v>21.921900000000001</v>
      </c>
      <c r="H6" s="32"/>
      <c r="I6" s="21">
        <f>H6*G6</f>
        <v>0</v>
      </c>
      <c r="L6" s="53" t="str">
        <f t="shared" si="0"/>
        <v>-</v>
      </c>
      <c r="M6" s="53" t="str">
        <f t="shared" si="1"/>
        <v>-</v>
      </c>
      <c r="N6" s="54" t="str">
        <f>IF(H6&gt;0,H6*E6, "-")</f>
        <v>-</v>
      </c>
      <c r="O6" s="55" t="str">
        <f>IFERROR(IF($L$2&gt;0, $L$2*N6, "-"), "-")</f>
        <v>-</v>
      </c>
      <c r="Q6" s="55" t="str">
        <f t="shared" si="2"/>
        <v>-</v>
      </c>
    </row>
    <row r="7" spans="1:17" x14ac:dyDescent="0.3">
      <c r="A7" s="10" t="s">
        <v>39</v>
      </c>
      <c r="B7" s="11">
        <v>753950000872</v>
      </c>
      <c r="C7" s="12" t="s">
        <v>5</v>
      </c>
      <c r="D7" s="36" t="s">
        <v>40</v>
      </c>
      <c r="E7" s="57">
        <v>0.44434634312992</v>
      </c>
      <c r="F7" s="63" t="s">
        <v>412</v>
      </c>
      <c r="G7" s="40">
        <v>22.358699999999999</v>
      </c>
      <c r="H7" s="31"/>
      <c r="I7" s="20">
        <f>H7*G7</f>
        <v>0</v>
      </c>
      <c r="L7" s="53" t="str">
        <f t="shared" si="0"/>
        <v>-</v>
      </c>
      <c r="M7" s="53" t="str">
        <f t="shared" si="1"/>
        <v>-</v>
      </c>
      <c r="N7" s="54" t="str">
        <f>IF(H7&gt;0,H7*E7, "-")</f>
        <v>-</v>
      </c>
      <c r="O7" s="55" t="str">
        <f>IFERROR(IF($L$2&gt;0, $L$2*N7, "-"), "-")</f>
        <v>-</v>
      </c>
      <c r="Q7" s="55" t="str">
        <f t="shared" si="2"/>
        <v>-</v>
      </c>
    </row>
    <row r="8" spans="1:17" x14ac:dyDescent="0.3">
      <c r="A8" s="10" t="s">
        <v>41</v>
      </c>
      <c r="B8" s="11">
        <v>753950000889</v>
      </c>
      <c r="C8" s="12" t="s">
        <v>42</v>
      </c>
      <c r="D8" s="36" t="s">
        <v>34</v>
      </c>
      <c r="E8" s="57">
        <v>0.22722256182780001</v>
      </c>
      <c r="F8" s="63" t="s">
        <v>412</v>
      </c>
      <c r="G8" s="40">
        <v>15.042300000000001</v>
      </c>
      <c r="H8" s="31"/>
      <c r="I8" s="20">
        <f>H8*G8</f>
        <v>0</v>
      </c>
      <c r="L8" s="53" t="str">
        <f t="shared" si="0"/>
        <v>-</v>
      </c>
      <c r="M8" s="53" t="str">
        <f t="shared" si="1"/>
        <v>-</v>
      </c>
      <c r="N8" s="54" t="str">
        <f>IF(H8&gt;0,H8*E8, "-")</f>
        <v>-</v>
      </c>
      <c r="O8" s="55" t="str">
        <f>IFERROR(IF($L$2&gt;0, $L$2*N8, "-"), "-")</f>
        <v>-</v>
      </c>
      <c r="Q8" s="55" t="str">
        <f t="shared" si="2"/>
        <v>-</v>
      </c>
    </row>
    <row r="9" spans="1:17" x14ac:dyDescent="0.3">
      <c r="A9" s="10" t="s">
        <v>43</v>
      </c>
      <c r="B9" s="11">
        <v>753950000919</v>
      </c>
      <c r="C9" s="12" t="s">
        <v>44</v>
      </c>
      <c r="D9" s="36" t="s">
        <v>29</v>
      </c>
      <c r="E9" s="57">
        <v>0.15148170788519999</v>
      </c>
      <c r="F9" s="63" t="s">
        <v>412</v>
      </c>
      <c r="G9" s="40">
        <v>13.923</v>
      </c>
      <c r="H9" s="31"/>
      <c r="I9" s="20">
        <f>H9*G9</f>
        <v>0</v>
      </c>
      <c r="L9" s="53" t="str">
        <f t="shared" si="0"/>
        <v>-</v>
      </c>
      <c r="M9" s="53" t="str">
        <f t="shared" si="1"/>
        <v>-</v>
      </c>
      <c r="N9" s="54" t="str">
        <f>IF(H9&gt;0,H9*E9, "-")</f>
        <v>-</v>
      </c>
      <c r="O9" s="55" t="str">
        <f>IFERROR(IF($L$2&gt;0, $L$2*N9, "-"), "-")</f>
        <v>-</v>
      </c>
      <c r="Q9" s="55" t="str">
        <f t="shared" si="2"/>
        <v>-</v>
      </c>
    </row>
    <row r="10" spans="1:17" x14ac:dyDescent="0.3">
      <c r="A10" s="10" t="s">
        <v>47</v>
      </c>
      <c r="B10" s="11">
        <v>753950000971</v>
      </c>
      <c r="C10" s="12" t="s">
        <v>48</v>
      </c>
      <c r="D10" s="36" t="s">
        <v>6</v>
      </c>
      <c r="E10" s="57">
        <v>0.45444512365560003</v>
      </c>
      <c r="F10" s="63" t="s">
        <v>412</v>
      </c>
      <c r="G10" s="40">
        <v>12.476100000000002</v>
      </c>
      <c r="H10" s="31"/>
      <c r="I10" s="20">
        <f>H10*G10</f>
        <v>0</v>
      </c>
      <c r="L10" s="53" t="str">
        <f t="shared" si="0"/>
        <v>-</v>
      </c>
      <c r="M10" s="53" t="str">
        <f t="shared" si="1"/>
        <v>-</v>
      </c>
      <c r="N10" s="54" t="str">
        <f>IF(H10&gt;0,H10*E10, "-")</f>
        <v>-</v>
      </c>
      <c r="O10" s="55" t="str">
        <f>IFERROR(IF($L$2&gt;0, $L$2*N10, "-"), "-")</f>
        <v>-</v>
      </c>
      <c r="Q10" s="55" t="str">
        <f t="shared" si="2"/>
        <v>-</v>
      </c>
    </row>
    <row r="11" spans="1:17" x14ac:dyDescent="0.3">
      <c r="A11" s="10" t="s">
        <v>65</v>
      </c>
      <c r="B11" s="11">
        <v>753950001251</v>
      </c>
      <c r="C11" s="12" t="s">
        <v>66</v>
      </c>
      <c r="D11" s="36" t="s">
        <v>12</v>
      </c>
      <c r="E11" s="57">
        <v>0.14138292735952002</v>
      </c>
      <c r="F11" s="63" t="s">
        <v>412</v>
      </c>
      <c r="G11" s="40">
        <v>17.581200000000003</v>
      </c>
      <c r="H11" s="31"/>
      <c r="I11" s="20">
        <f>H11*G11</f>
        <v>0</v>
      </c>
      <c r="L11" s="53" t="str">
        <f t="shared" si="0"/>
        <v>-</v>
      </c>
      <c r="M11" s="53" t="str">
        <f t="shared" si="1"/>
        <v>-</v>
      </c>
      <c r="N11" s="54" t="str">
        <f>IF(H11&gt;0,H11*E11, "-")</f>
        <v>-</v>
      </c>
      <c r="O11" s="55" t="str">
        <f>IFERROR(IF($L$2&gt;0, $L$2*N11, "-"), "-")</f>
        <v>-</v>
      </c>
      <c r="Q11" s="55" t="str">
        <f t="shared" si="2"/>
        <v>-</v>
      </c>
    </row>
    <row r="12" spans="1:17" x14ac:dyDescent="0.3">
      <c r="A12" s="10" t="s">
        <v>71</v>
      </c>
      <c r="B12" s="11">
        <v>753950001336</v>
      </c>
      <c r="C12" s="12" t="s">
        <v>72</v>
      </c>
      <c r="D12" s="36" t="s">
        <v>18</v>
      </c>
      <c r="E12" s="57">
        <v>0.16158048841088002</v>
      </c>
      <c r="F12" s="63" t="s">
        <v>412</v>
      </c>
      <c r="G12" s="40">
        <v>17.745000000000001</v>
      </c>
      <c r="H12" s="31"/>
      <c r="I12" s="20">
        <f>H12*G12</f>
        <v>0</v>
      </c>
      <c r="L12" s="53" t="str">
        <f t="shared" si="0"/>
        <v>-</v>
      </c>
      <c r="M12" s="53" t="str">
        <f t="shared" si="1"/>
        <v>-</v>
      </c>
      <c r="N12" s="54" t="str">
        <f>IF(H12&gt;0,H12*E12, "-")</f>
        <v>-</v>
      </c>
      <c r="O12" s="55" t="str">
        <f>IFERROR(IF($L$2&gt;0, $L$2*N12, "-"), "-")</f>
        <v>-</v>
      </c>
      <c r="Q12" s="55" t="str">
        <f t="shared" si="2"/>
        <v>-</v>
      </c>
    </row>
    <row r="13" spans="1:17" x14ac:dyDescent="0.3">
      <c r="A13" s="10" t="s">
        <v>73</v>
      </c>
      <c r="B13" s="11">
        <v>753950001367</v>
      </c>
      <c r="C13" s="12" t="s">
        <v>74</v>
      </c>
      <c r="D13" s="36" t="s">
        <v>29</v>
      </c>
      <c r="E13" s="57">
        <v>7.0691463679760008E-2</v>
      </c>
      <c r="F13" s="63" t="s">
        <v>412</v>
      </c>
      <c r="G13" s="40">
        <v>24.952200000000005</v>
      </c>
      <c r="H13" s="31"/>
      <c r="I13" s="20">
        <f>H13*G13</f>
        <v>0</v>
      </c>
      <c r="L13" s="53" t="str">
        <f t="shared" si="0"/>
        <v>-</v>
      </c>
      <c r="M13" s="53" t="str">
        <f t="shared" si="1"/>
        <v>-</v>
      </c>
      <c r="N13" s="54" t="str">
        <f>IF(H13&gt;0,H13*E13, "-")</f>
        <v>-</v>
      </c>
      <c r="O13" s="55" t="str">
        <f>IFERROR(IF($L$2&gt;0, $L$2*N13, "-"), "-")</f>
        <v>-</v>
      </c>
      <c r="Q13" s="55" t="str">
        <f t="shared" si="2"/>
        <v>-</v>
      </c>
    </row>
    <row r="14" spans="1:17" x14ac:dyDescent="0.3">
      <c r="A14" s="10" t="s">
        <v>80</v>
      </c>
      <c r="B14" s="11">
        <v>753950001497</v>
      </c>
      <c r="C14" s="12" t="s">
        <v>81</v>
      </c>
      <c r="D14" s="36" t="s">
        <v>12</v>
      </c>
      <c r="E14" s="57">
        <v>8.583963446828001E-2</v>
      </c>
      <c r="F14" s="63" t="s">
        <v>412</v>
      </c>
      <c r="G14" s="40">
        <v>17.772300000000001</v>
      </c>
      <c r="H14" s="31"/>
      <c r="I14" s="20">
        <f>H14*G14</f>
        <v>0</v>
      </c>
      <c r="L14" s="53" t="str">
        <f t="shared" si="0"/>
        <v>-</v>
      </c>
      <c r="M14" s="53" t="str">
        <f t="shared" si="1"/>
        <v>-</v>
      </c>
      <c r="N14" s="54" t="str">
        <f>IF(H14&gt;0,H14*E14, "-")</f>
        <v>-</v>
      </c>
      <c r="O14" s="55" t="str">
        <f>IFERROR(IF($L$2&gt;0, $L$2*N14, "-"), "-")</f>
        <v>-</v>
      </c>
      <c r="Q14" s="55" t="str">
        <f t="shared" si="2"/>
        <v>-</v>
      </c>
    </row>
    <row r="15" spans="1:17" x14ac:dyDescent="0.3">
      <c r="A15" s="10" t="s">
        <v>89</v>
      </c>
      <c r="B15" s="11">
        <v>753950001633</v>
      </c>
      <c r="C15" s="12" t="s">
        <v>90</v>
      </c>
      <c r="D15" s="36" t="s">
        <v>28</v>
      </c>
      <c r="E15" s="57">
        <v>0.15148170788519999</v>
      </c>
      <c r="F15" s="63" t="s">
        <v>412</v>
      </c>
      <c r="G15" s="40">
        <v>17.280900000000003</v>
      </c>
      <c r="H15" s="31"/>
      <c r="I15" s="20">
        <f>H15*G15</f>
        <v>0</v>
      </c>
      <c r="L15" s="53" t="str">
        <f t="shared" si="0"/>
        <v>-</v>
      </c>
      <c r="M15" s="53" t="str">
        <f t="shared" si="1"/>
        <v>-</v>
      </c>
      <c r="N15" s="54" t="str">
        <f>IF(H15&gt;0,H15*E15, "-")</f>
        <v>-</v>
      </c>
      <c r="O15" s="55" t="str">
        <f>IFERROR(IF($L$2&gt;0, $L$2*N15, "-"), "-")</f>
        <v>-</v>
      </c>
      <c r="Q15" s="55" t="str">
        <f t="shared" si="2"/>
        <v>-</v>
      </c>
    </row>
    <row r="16" spans="1:17" x14ac:dyDescent="0.3">
      <c r="A16" s="10" t="s">
        <v>127</v>
      </c>
      <c r="B16" s="11">
        <v>753950002036</v>
      </c>
      <c r="C16" s="12" t="s">
        <v>128</v>
      </c>
      <c r="D16" s="36" t="s">
        <v>129</v>
      </c>
      <c r="E16" s="57">
        <v>0.29665167794185004</v>
      </c>
      <c r="F16" s="63" t="s">
        <v>412</v>
      </c>
      <c r="G16" s="40">
        <v>13.65</v>
      </c>
      <c r="H16" s="31"/>
      <c r="I16" s="20">
        <f>H16*G16</f>
        <v>0</v>
      </c>
      <c r="L16" s="53" t="str">
        <f t="shared" si="0"/>
        <v>-</v>
      </c>
      <c r="M16" s="53" t="str">
        <f t="shared" si="1"/>
        <v>-</v>
      </c>
      <c r="N16" s="54" t="str">
        <f>IF(H16&gt;0,H16*E16, "-")</f>
        <v>-</v>
      </c>
      <c r="O16" s="55" t="str">
        <f>IFERROR(IF($L$2&gt;0, $L$2*N16, "-"), "-")</f>
        <v>-</v>
      </c>
      <c r="Q16" s="55" t="str">
        <f t="shared" si="2"/>
        <v>-</v>
      </c>
    </row>
    <row r="17" spans="1:17" x14ac:dyDescent="0.3">
      <c r="A17" s="10" t="s">
        <v>130</v>
      </c>
      <c r="B17" s="11">
        <v>753950002043</v>
      </c>
      <c r="C17" s="12" t="s">
        <v>131</v>
      </c>
      <c r="D17" s="36" t="s">
        <v>132</v>
      </c>
      <c r="E17" s="57">
        <v>0.28781524498188005</v>
      </c>
      <c r="F17" s="63" t="s">
        <v>412</v>
      </c>
      <c r="G17" s="40">
        <v>18.018000000000001</v>
      </c>
      <c r="H17" s="31"/>
      <c r="I17" s="20">
        <f>H17*G17</f>
        <v>0</v>
      </c>
      <c r="L17" s="53" t="str">
        <f t="shared" si="0"/>
        <v>-</v>
      </c>
      <c r="M17" s="53" t="str">
        <f t="shared" si="1"/>
        <v>-</v>
      </c>
      <c r="N17" s="54" t="str">
        <f>IF(H17&gt;0,H17*E17, "-")</f>
        <v>-</v>
      </c>
      <c r="O17" s="55" t="str">
        <f>IFERROR(IF($L$2&gt;0, $L$2*N17, "-"), "-")</f>
        <v>-</v>
      </c>
      <c r="Q17" s="55" t="str">
        <f t="shared" si="2"/>
        <v>-</v>
      </c>
    </row>
    <row r="18" spans="1:17" x14ac:dyDescent="0.3">
      <c r="A18" s="10" t="s">
        <v>149</v>
      </c>
      <c r="B18" s="11">
        <v>753950002180</v>
      </c>
      <c r="C18" s="12" t="s">
        <v>150</v>
      </c>
      <c r="D18" s="36" t="s">
        <v>138</v>
      </c>
      <c r="E18" s="57">
        <v>6.5642073416920008E-2</v>
      </c>
      <c r="F18" s="63" t="s">
        <v>412</v>
      </c>
      <c r="G18" s="40">
        <v>7.3027499999999996</v>
      </c>
      <c r="H18" s="31"/>
      <c r="I18" s="20">
        <f>H18*G18</f>
        <v>0</v>
      </c>
      <c r="L18" s="53" t="str">
        <f t="shared" si="0"/>
        <v>-</v>
      </c>
      <c r="M18" s="53" t="str">
        <f t="shared" si="1"/>
        <v>-</v>
      </c>
      <c r="N18" s="54" t="str">
        <f>IF(H18&gt;0,H18*E18, "-")</f>
        <v>-</v>
      </c>
      <c r="O18" s="55" t="str">
        <f>IFERROR(IF($L$2&gt;0, $L$2*N18, "-"), "-")</f>
        <v>-</v>
      </c>
      <c r="Q18" s="55" t="str">
        <f t="shared" si="2"/>
        <v>-</v>
      </c>
    </row>
    <row r="19" spans="1:17" x14ac:dyDescent="0.3">
      <c r="A19" s="10" t="s">
        <v>162</v>
      </c>
      <c r="B19" s="11">
        <v>753950002319</v>
      </c>
      <c r="C19" s="12" t="s">
        <v>163</v>
      </c>
      <c r="D19" s="36" t="s">
        <v>12</v>
      </c>
      <c r="E19" s="57">
        <v>8.0790244205440009E-2</v>
      </c>
      <c r="F19" s="63" t="s">
        <v>412</v>
      </c>
      <c r="G19" s="40">
        <v>35.039550000000006</v>
      </c>
      <c r="H19" s="31"/>
      <c r="I19" s="20">
        <f>H19*G19</f>
        <v>0</v>
      </c>
      <c r="L19" s="53" t="str">
        <f t="shared" si="0"/>
        <v>-</v>
      </c>
      <c r="M19" s="53" t="str">
        <f t="shared" si="1"/>
        <v>-</v>
      </c>
      <c r="N19" s="54" t="str">
        <f>IF(H19&gt;0,H19*E19, "-")</f>
        <v>-</v>
      </c>
      <c r="O19" s="55" t="str">
        <f>IFERROR(IF($L$2&gt;0, $L$2*N19, "-"), "-")</f>
        <v>-</v>
      </c>
      <c r="Q19" s="55" t="str">
        <f t="shared" si="2"/>
        <v>-</v>
      </c>
    </row>
    <row r="20" spans="1:17" x14ac:dyDescent="0.3">
      <c r="A20" s="10" t="s">
        <v>172</v>
      </c>
      <c r="B20" s="11">
        <v>753950002500</v>
      </c>
      <c r="C20" s="12" t="s">
        <v>150</v>
      </c>
      <c r="D20" s="36" t="s">
        <v>173</v>
      </c>
      <c r="E20" s="57">
        <v>0.13633353709668003</v>
      </c>
      <c r="F20" s="63" t="s">
        <v>412</v>
      </c>
      <c r="G20" s="40">
        <v>12.189450000000001</v>
      </c>
      <c r="H20" s="31"/>
      <c r="I20" s="20">
        <f>H20*G20</f>
        <v>0</v>
      </c>
      <c r="L20" s="53" t="str">
        <f t="shared" si="0"/>
        <v>-</v>
      </c>
      <c r="M20" s="53" t="str">
        <f t="shared" si="1"/>
        <v>-</v>
      </c>
      <c r="N20" s="54" t="str">
        <f>IF(H20&gt;0,H20*E20, "-")</f>
        <v>-</v>
      </c>
      <c r="O20" s="55" t="str">
        <f>IFERROR(IF($L$2&gt;0, $L$2*N20, "-"), "-")</f>
        <v>-</v>
      </c>
      <c r="Q20" s="55" t="str">
        <f t="shared" si="2"/>
        <v>-</v>
      </c>
    </row>
    <row r="21" spans="1:17" x14ac:dyDescent="0.3">
      <c r="A21" s="10" t="s">
        <v>183</v>
      </c>
      <c r="B21" s="11">
        <v>753950002623</v>
      </c>
      <c r="C21" s="12" t="s">
        <v>184</v>
      </c>
      <c r="D21" s="36" t="s">
        <v>12</v>
      </c>
      <c r="E21" s="57">
        <v>6.059268315408E-2</v>
      </c>
      <c r="F21" s="63" t="s">
        <v>412</v>
      </c>
      <c r="G21" s="40">
        <v>10.551450000000001</v>
      </c>
      <c r="H21" s="31"/>
      <c r="I21" s="20">
        <f>H21*G21</f>
        <v>0</v>
      </c>
      <c r="L21" s="53" t="str">
        <f t="shared" si="0"/>
        <v>-</v>
      </c>
      <c r="M21" s="53" t="str">
        <f t="shared" si="1"/>
        <v>-</v>
      </c>
      <c r="N21" s="54" t="str">
        <f>IF(H21&gt;0,H21*E21, "-")</f>
        <v>-</v>
      </c>
      <c r="O21" s="55" t="str">
        <f>IFERROR(IF($L$2&gt;0, $L$2*N21, "-"), "-")</f>
        <v>-</v>
      </c>
      <c r="Q21" s="55" t="str">
        <f t="shared" si="2"/>
        <v>-</v>
      </c>
    </row>
    <row r="22" spans="1:17" x14ac:dyDescent="0.3">
      <c r="A22" s="10" t="s">
        <v>185</v>
      </c>
      <c r="B22" s="11">
        <v>753950002630</v>
      </c>
      <c r="C22" s="12" t="s">
        <v>131</v>
      </c>
      <c r="D22" s="36" t="s">
        <v>31</v>
      </c>
      <c r="E22" s="57">
        <v>0.26256829366768003</v>
      </c>
      <c r="F22" s="63" t="s">
        <v>412</v>
      </c>
      <c r="G22" s="40">
        <v>18.372900000000001</v>
      </c>
      <c r="H22" s="31"/>
      <c r="I22" s="20">
        <f>H22*G22</f>
        <v>0</v>
      </c>
      <c r="L22" s="53" t="str">
        <f t="shared" si="0"/>
        <v>-</v>
      </c>
      <c r="M22" s="53" t="str">
        <f t="shared" si="1"/>
        <v>-</v>
      </c>
      <c r="N22" s="54" t="str">
        <f>IF(H22&gt;0,H22*E22, "-")</f>
        <v>-</v>
      </c>
      <c r="O22" s="55" t="str">
        <f>IFERROR(IF($L$2&gt;0, $L$2*N22, "-"), "-")</f>
        <v>-</v>
      </c>
      <c r="Q22" s="55" t="str">
        <f t="shared" si="2"/>
        <v>-</v>
      </c>
    </row>
    <row r="23" spans="1:17" x14ac:dyDescent="0.3">
      <c r="A23" s="10" t="s">
        <v>201</v>
      </c>
      <c r="B23" s="11">
        <v>753950002791</v>
      </c>
      <c r="C23" s="12" t="s">
        <v>202</v>
      </c>
      <c r="D23" s="36" t="s">
        <v>18</v>
      </c>
      <c r="E23" s="57">
        <v>9.0889024731120011E-2</v>
      </c>
      <c r="F23" s="63" t="s">
        <v>412</v>
      </c>
      <c r="G23" s="40">
        <v>11.206650000000003</v>
      </c>
      <c r="H23" s="31"/>
      <c r="I23" s="20">
        <f>H23*G23</f>
        <v>0</v>
      </c>
      <c r="L23" s="53" t="str">
        <f t="shared" si="0"/>
        <v>-</v>
      </c>
      <c r="M23" s="53" t="str">
        <f t="shared" si="1"/>
        <v>-</v>
      </c>
      <c r="N23" s="54" t="str">
        <f>IF(H23&gt;0,H23*E23, "-")</f>
        <v>-</v>
      </c>
      <c r="O23" s="55" t="str">
        <f>IFERROR(IF($L$2&gt;0, $L$2*N23, "-"), "-")</f>
        <v>-</v>
      </c>
      <c r="Q23" s="55" t="str">
        <f t="shared" si="2"/>
        <v>-</v>
      </c>
    </row>
    <row r="24" spans="1:17" x14ac:dyDescent="0.3">
      <c r="A24" s="10" t="s">
        <v>205</v>
      </c>
      <c r="B24" s="11">
        <v>753950002869</v>
      </c>
      <c r="C24" s="12" t="s">
        <v>206</v>
      </c>
      <c r="D24" s="36" t="s">
        <v>18</v>
      </c>
      <c r="E24" s="57">
        <v>0.35345731839879996</v>
      </c>
      <c r="F24" s="63" t="s">
        <v>412</v>
      </c>
      <c r="G24" s="40">
        <v>6.592950000000001</v>
      </c>
      <c r="H24" s="31"/>
      <c r="I24" s="20">
        <f>H24*G24</f>
        <v>0</v>
      </c>
      <c r="L24" s="53" t="str">
        <f t="shared" si="0"/>
        <v>-</v>
      </c>
      <c r="M24" s="53" t="str">
        <f t="shared" si="1"/>
        <v>-</v>
      </c>
      <c r="N24" s="54" t="str">
        <f>IF(H24&gt;0,H24*E24, "-")</f>
        <v>-</v>
      </c>
      <c r="O24" s="55" t="str">
        <f>IFERROR(IF($L$2&gt;0, $L$2*N24, "-"), "-")</f>
        <v>-</v>
      </c>
      <c r="Q24" s="55" t="str">
        <f t="shared" si="2"/>
        <v>-</v>
      </c>
    </row>
    <row r="25" spans="1:17" x14ac:dyDescent="0.3">
      <c r="A25" s="10" t="s">
        <v>216</v>
      </c>
      <c r="B25" s="11">
        <v>753950002999</v>
      </c>
      <c r="C25" s="12" t="s">
        <v>217</v>
      </c>
      <c r="D25" s="36" t="s">
        <v>159</v>
      </c>
      <c r="E25" s="57">
        <v>5.0493902628400013E-2</v>
      </c>
      <c r="F25" s="63" t="s">
        <v>412</v>
      </c>
      <c r="G25" s="40">
        <v>10.865400000000001</v>
      </c>
      <c r="H25" s="31"/>
      <c r="I25" s="20">
        <f>H25*G25</f>
        <v>0</v>
      </c>
      <c r="L25" s="53" t="str">
        <f t="shared" si="0"/>
        <v>-</v>
      </c>
      <c r="M25" s="53" t="str">
        <f t="shared" si="1"/>
        <v>-</v>
      </c>
      <c r="N25" s="54" t="str">
        <f>IF(H25&gt;0,H25*E25, "-")</f>
        <v>-</v>
      </c>
      <c r="O25" s="55" t="str">
        <f>IFERROR(IF($L$2&gt;0, $L$2*N25, "-"), "-")</f>
        <v>-</v>
      </c>
      <c r="Q25" s="55" t="str">
        <f t="shared" si="2"/>
        <v>-</v>
      </c>
    </row>
    <row r="26" spans="1:17" x14ac:dyDescent="0.3">
      <c r="A26" s="10" t="s">
        <v>245</v>
      </c>
      <c r="B26" s="11">
        <v>753950003347</v>
      </c>
      <c r="C26" s="12" t="s">
        <v>246</v>
      </c>
      <c r="D26" s="36" t="s">
        <v>18</v>
      </c>
      <c r="E26" s="57">
        <v>5.0493902628400013E-2</v>
      </c>
      <c r="F26" s="63" t="s">
        <v>412</v>
      </c>
      <c r="G26" s="40">
        <v>15.042300000000001</v>
      </c>
      <c r="H26" s="31"/>
      <c r="I26" s="20">
        <f>H26*G26</f>
        <v>0</v>
      </c>
      <c r="L26" s="53" t="str">
        <f t="shared" si="0"/>
        <v>-</v>
      </c>
      <c r="M26" s="53" t="str">
        <f t="shared" si="1"/>
        <v>-</v>
      </c>
      <c r="N26" s="54" t="str">
        <f>IF(H26&gt;0,H26*E26, "-")</f>
        <v>-</v>
      </c>
      <c r="O26" s="55" t="str">
        <f>IFERROR(IF($L$2&gt;0, $L$2*N26, "-"), "-")</f>
        <v>-</v>
      </c>
      <c r="Q26" s="55" t="str">
        <f t="shared" si="2"/>
        <v>-</v>
      </c>
    </row>
    <row r="27" spans="1:17" x14ac:dyDescent="0.3">
      <c r="A27" s="10" t="s">
        <v>290</v>
      </c>
      <c r="B27" s="11">
        <v>753950004580</v>
      </c>
      <c r="C27" s="12" t="s">
        <v>291</v>
      </c>
      <c r="D27" s="36" t="s">
        <v>18</v>
      </c>
      <c r="E27" s="57">
        <v>4.0395122102720005E-2</v>
      </c>
      <c r="F27" s="63" t="s">
        <v>412</v>
      </c>
      <c r="G27" s="40">
        <v>11.602500000000001</v>
      </c>
      <c r="H27" s="31"/>
      <c r="I27" s="20">
        <f>H27*G27</f>
        <v>0</v>
      </c>
      <c r="L27" s="53" t="str">
        <f t="shared" si="0"/>
        <v>-</v>
      </c>
      <c r="M27" s="53" t="str">
        <f t="shared" si="1"/>
        <v>-</v>
      </c>
      <c r="N27" s="54" t="str">
        <f>IF(H27&gt;0,H27*E27, "-")</f>
        <v>-</v>
      </c>
      <c r="O27" s="55" t="str">
        <f>IFERROR(IF($L$2&gt;0, $L$2*N27, "-"), "-")</f>
        <v>-</v>
      </c>
      <c r="Q27" s="55" t="str">
        <f t="shared" si="2"/>
        <v>-</v>
      </c>
    </row>
    <row r="28" spans="1:17" x14ac:dyDescent="0.3">
      <c r="A28" s="10" t="s">
        <v>292</v>
      </c>
      <c r="B28" s="11">
        <v>753950004597</v>
      </c>
      <c r="C28" s="12" t="s">
        <v>293</v>
      </c>
      <c r="D28" s="36" t="s">
        <v>6</v>
      </c>
      <c r="E28" s="57">
        <v>9.0889024731120011E-2</v>
      </c>
      <c r="F28" s="63" t="s">
        <v>412</v>
      </c>
      <c r="G28" s="40">
        <v>10.46955</v>
      </c>
      <c r="H28" s="31"/>
      <c r="I28" s="20">
        <f>H28*G28</f>
        <v>0</v>
      </c>
      <c r="L28" s="53" t="str">
        <f t="shared" si="0"/>
        <v>-</v>
      </c>
      <c r="M28" s="53" t="str">
        <f t="shared" si="1"/>
        <v>-</v>
      </c>
      <c r="N28" s="54" t="str">
        <f>IF(H28&gt;0,H28*E28, "-")</f>
        <v>-</v>
      </c>
      <c r="O28" s="55" t="str">
        <f>IFERROR(IF($L$2&gt;0, $L$2*N28, "-"), "-")</f>
        <v>-</v>
      </c>
      <c r="Q28" s="55" t="str">
        <f t="shared" si="2"/>
        <v>-</v>
      </c>
    </row>
    <row r="29" spans="1:17" x14ac:dyDescent="0.3">
      <c r="A29" s="10" t="s">
        <v>351</v>
      </c>
      <c r="B29" s="11">
        <v>753950000803</v>
      </c>
      <c r="C29" s="12" t="s">
        <v>27</v>
      </c>
      <c r="D29" s="36" t="s">
        <v>29</v>
      </c>
      <c r="E29" s="57">
        <v>0.20197561051360005</v>
      </c>
      <c r="F29" s="63" t="s">
        <v>412</v>
      </c>
      <c r="G29" s="40">
        <v>21.498750000000001</v>
      </c>
      <c r="H29" s="31"/>
      <c r="I29" s="20">
        <f>H29*G29</f>
        <v>0</v>
      </c>
      <c r="L29" s="53" t="str">
        <f t="shared" si="0"/>
        <v>-</v>
      </c>
      <c r="M29" s="53" t="str">
        <f t="shared" si="1"/>
        <v>-</v>
      </c>
      <c r="N29" s="54" t="str">
        <f>IF(H29&gt;0,H29*E29, "-")</f>
        <v>-</v>
      </c>
      <c r="O29" s="55" t="str">
        <f>IFERROR(IF($L$2&gt;0, $L$2*N29, "-"), "-")</f>
        <v>-</v>
      </c>
      <c r="Q29" s="55" t="str">
        <f t="shared" si="2"/>
        <v>-</v>
      </c>
    </row>
    <row r="30" spans="1:17" x14ac:dyDescent="0.3">
      <c r="A30" s="10" t="s">
        <v>16</v>
      </c>
      <c r="B30" s="11">
        <v>753950000698</v>
      </c>
      <c r="C30" s="12" t="s">
        <v>17</v>
      </c>
      <c r="D30" s="36" t="s">
        <v>18</v>
      </c>
      <c r="E30" s="57">
        <v>8.0790244205440009E-2</v>
      </c>
      <c r="F30" s="63" t="s">
        <v>414</v>
      </c>
      <c r="G30" s="40">
        <v>15.042300000000001</v>
      </c>
      <c r="H30" s="31"/>
      <c r="I30" s="20">
        <f>H30*G30</f>
        <v>0</v>
      </c>
      <c r="L30" s="53" t="str">
        <f t="shared" si="0"/>
        <v>-</v>
      </c>
      <c r="M30" s="53" t="str">
        <f t="shared" si="1"/>
        <v>-</v>
      </c>
      <c r="N30" s="54" t="str">
        <f>IF(H30&gt;0,H30*E30, "-")</f>
        <v>-</v>
      </c>
      <c r="O30" s="55" t="str">
        <f>IFERROR(IF($L$2&gt;0, $L$2*N30, "-"), "-")</f>
        <v>-</v>
      </c>
      <c r="Q30" s="55" t="str">
        <f t="shared" si="2"/>
        <v>-</v>
      </c>
    </row>
    <row r="31" spans="1:17" x14ac:dyDescent="0.3">
      <c r="A31" s="10" t="s">
        <v>21</v>
      </c>
      <c r="B31" s="11">
        <v>753950000766</v>
      </c>
      <c r="C31" s="12" t="s">
        <v>22</v>
      </c>
      <c r="D31" s="36" t="s">
        <v>23</v>
      </c>
      <c r="E31" s="57">
        <v>0.34840792813595994</v>
      </c>
      <c r="F31" s="63" t="s">
        <v>414</v>
      </c>
      <c r="G31" s="40">
        <v>13.144950000000001</v>
      </c>
      <c r="H31" s="31"/>
      <c r="I31" s="20">
        <f>H31*G31</f>
        <v>0</v>
      </c>
      <c r="L31" s="53" t="str">
        <f t="shared" si="0"/>
        <v>-</v>
      </c>
      <c r="M31" s="53" t="str">
        <f t="shared" si="1"/>
        <v>-</v>
      </c>
      <c r="N31" s="54" t="str">
        <f>IF(H31&gt;0,H31*E31, "-")</f>
        <v>-</v>
      </c>
      <c r="O31" s="55" t="str">
        <f>IFERROR(IF($L$2&gt;0, $L$2*N31, "-"), "-")</f>
        <v>-</v>
      </c>
      <c r="Q31" s="55" t="str">
        <f t="shared" si="2"/>
        <v>-</v>
      </c>
    </row>
    <row r="32" spans="1:17" x14ac:dyDescent="0.3">
      <c r="A32" s="4" t="s">
        <v>30</v>
      </c>
      <c r="B32" s="5">
        <v>753950000810</v>
      </c>
      <c r="C32" s="6" t="s">
        <v>27</v>
      </c>
      <c r="D32" s="37" t="s">
        <v>31</v>
      </c>
      <c r="E32" s="57">
        <v>0.37113018431873995</v>
      </c>
      <c r="F32" s="63" t="s">
        <v>414</v>
      </c>
      <c r="G32" s="41">
        <v>36.527400000000007</v>
      </c>
      <c r="H32" s="32"/>
      <c r="I32" s="21">
        <f>H32*G32</f>
        <v>0</v>
      </c>
      <c r="L32" s="53" t="str">
        <f t="shared" si="0"/>
        <v>-</v>
      </c>
      <c r="M32" s="53" t="str">
        <f t="shared" si="1"/>
        <v>-</v>
      </c>
      <c r="N32" s="54" t="str">
        <f>IF(H32&gt;0,H32*E32, "-")</f>
        <v>-</v>
      </c>
      <c r="O32" s="55" t="str">
        <f>IFERROR(IF($L$2&gt;0, $L$2*N32, "-"), "-")</f>
        <v>-</v>
      </c>
      <c r="Q32" s="55" t="str">
        <f t="shared" si="2"/>
        <v>-</v>
      </c>
    </row>
    <row r="33" spans="1:17" x14ac:dyDescent="0.3">
      <c r="A33" s="10" t="s">
        <v>51</v>
      </c>
      <c r="B33" s="11">
        <v>753950001046</v>
      </c>
      <c r="C33" s="12" t="s">
        <v>52</v>
      </c>
      <c r="D33" s="36" t="s">
        <v>28</v>
      </c>
      <c r="E33" s="57">
        <v>8.583963446828001E-2</v>
      </c>
      <c r="F33" s="63" t="s">
        <v>414</v>
      </c>
      <c r="G33" s="40">
        <v>15.015000000000001</v>
      </c>
      <c r="H33" s="31"/>
      <c r="I33" s="20">
        <f>H33*G33</f>
        <v>0</v>
      </c>
      <c r="L33" s="53" t="str">
        <f t="shared" si="0"/>
        <v>-</v>
      </c>
      <c r="M33" s="53" t="str">
        <f t="shared" si="1"/>
        <v>-</v>
      </c>
      <c r="N33" s="54" t="str">
        <f>IF(H33&gt;0,H33*E33, "-")</f>
        <v>-</v>
      </c>
      <c r="O33" s="55" t="str">
        <f>IFERROR(IF($L$2&gt;0, $L$2*N33, "-"), "-")</f>
        <v>-</v>
      </c>
      <c r="Q33" s="55" t="str">
        <f t="shared" si="2"/>
        <v>-</v>
      </c>
    </row>
    <row r="34" spans="1:17" x14ac:dyDescent="0.3">
      <c r="A34" s="10" t="s">
        <v>63</v>
      </c>
      <c r="B34" s="11">
        <v>753950001237</v>
      </c>
      <c r="C34" s="12" t="s">
        <v>64</v>
      </c>
      <c r="D34" s="36" t="s">
        <v>18</v>
      </c>
      <c r="E34" s="57">
        <v>0.14138292735952002</v>
      </c>
      <c r="F34" s="63" t="s">
        <v>414</v>
      </c>
      <c r="G34" s="40">
        <v>23.437050000000003</v>
      </c>
      <c r="H34" s="31"/>
      <c r="I34" s="20">
        <f>H34*G34</f>
        <v>0</v>
      </c>
      <c r="L34" s="53" t="str">
        <f t="shared" si="0"/>
        <v>-</v>
      </c>
      <c r="M34" s="53" t="str">
        <f t="shared" si="1"/>
        <v>-</v>
      </c>
      <c r="N34" s="54" t="str">
        <f>IF(H34&gt;0,H34*E34, "-")</f>
        <v>-</v>
      </c>
      <c r="O34" s="55" t="str">
        <f>IFERROR(IF($L$2&gt;0, $L$2*N34, "-"), "-")</f>
        <v>-</v>
      </c>
      <c r="Q34" s="55" t="str">
        <f t="shared" si="2"/>
        <v>-</v>
      </c>
    </row>
    <row r="35" spans="1:17" x14ac:dyDescent="0.3">
      <c r="A35" s="10" t="s">
        <v>75</v>
      </c>
      <c r="B35" s="11">
        <v>753950001435</v>
      </c>
      <c r="C35" s="12" t="s">
        <v>76</v>
      </c>
      <c r="D35" s="36" t="s">
        <v>77</v>
      </c>
      <c r="E35" s="57">
        <v>6.5642073416920008E-2</v>
      </c>
      <c r="F35" s="63" t="s">
        <v>414</v>
      </c>
      <c r="G35" s="40">
        <v>16.721250000000001</v>
      </c>
      <c r="H35" s="31"/>
      <c r="I35" s="20">
        <f>H35*G35</f>
        <v>0</v>
      </c>
      <c r="L35" s="53" t="str">
        <f>IFERROR(IF($L$2*E35=0, "-", $L$2*E35), "-")</f>
        <v>-</v>
      </c>
      <c r="M35" s="53" t="str">
        <f>IF(H35&gt;0,G35+E35*H35/$N$2*$O$2/H35,"-")</f>
        <v>-</v>
      </c>
      <c r="N35" s="54" t="str">
        <f>IF(H35&gt;0,H35*E35, "-")</f>
        <v>-</v>
      </c>
      <c r="O35" s="55" t="str">
        <f>IFERROR(IF($L$2&gt;0, $L$2*N35, "-"), "-")</f>
        <v>-</v>
      </c>
      <c r="Q35" s="55" t="str">
        <f t="shared" si="2"/>
        <v>-</v>
      </c>
    </row>
    <row r="36" spans="1:17" x14ac:dyDescent="0.3">
      <c r="A36" s="10" t="s">
        <v>111</v>
      </c>
      <c r="B36" s="11">
        <v>753950001855</v>
      </c>
      <c r="C36" s="12" t="s">
        <v>112</v>
      </c>
      <c r="D36" s="36" t="s">
        <v>18</v>
      </c>
      <c r="E36" s="57">
        <v>0.16662987867372001</v>
      </c>
      <c r="F36" s="63" t="s">
        <v>414</v>
      </c>
      <c r="G36" s="40">
        <v>20.475000000000001</v>
      </c>
      <c r="H36" s="31"/>
      <c r="I36" s="20">
        <f>H36*G36</f>
        <v>0</v>
      </c>
      <c r="L36" s="53" t="str">
        <f>IFERROR(IF($L$2*E36=0, "-", $L$2*E36), "-")</f>
        <v>-</v>
      </c>
      <c r="M36" s="53" t="str">
        <f>IF(H36&gt;0,G36+E36*H36/$N$2*$O$2/H36,"-")</f>
        <v>-</v>
      </c>
      <c r="N36" s="54" t="str">
        <f>IF(H36&gt;0,H36*E36, "-")</f>
        <v>-</v>
      </c>
      <c r="O36" s="55" t="str">
        <f>IFERROR(IF($L$2&gt;0, $L$2*N36, "-"), "-")</f>
        <v>-</v>
      </c>
      <c r="Q36" s="55" t="str">
        <f t="shared" si="2"/>
        <v>-</v>
      </c>
    </row>
    <row r="37" spans="1:17" x14ac:dyDescent="0.3">
      <c r="A37" s="10" t="s">
        <v>114</v>
      </c>
      <c r="B37" s="11">
        <v>753950001916</v>
      </c>
      <c r="C37" s="12" t="s">
        <v>115</v>
      </c>
      <c r="D37" s="36" t="s">
        <v>116</v>
      </c>
      <c r="E37" s="57">
        <v>8.583963446828001E-2</v>
      </c>
      <c r="F37" s="63" t="s">
        <v>414</v>
      </c>
      <c r="G37" s="40">
        <v>10.3194</v>
      </c>
      <c r="H37" s="31"/>
      <c r="I37" s="20">
        <f>H37*G37</f>
        <v>0</v>
      </c>
      <c r="L37" s="53" t="str">
        <f>IFERROR(IF($L$2*E37=0, "-", $L$2*E37), "-")</f>
        <v>-</v>
      </c>
      <c r="M37" s="53" t="str">
        <f>IF(H37&gt;0,G37+E37*H37/$N$2*$O$2/H37,"-")</f>
        <v>-</v>
      </c>
      <c r="N37" s="54" t="str">
        <f>IF(H37&gt;0,H37*E37, "-")</f>
        <v>-</v>
      </c>
      <c r="O37" s="55" t="str">
        <f>IFERROR(IF($L$2&gt;0, $L$2*N37, "-"), "-")</f>
        <v>-</v>
      </c>
      <c r="Q37" s="55" t="str">
        <f t="shared" si="2"/>
        <v>-</v>
      </c>
    </row>
    <row r="38" spans="1:17" x14ac:dyDescent="0.3">
      <c r="A38" s="10" t="s">
        <v>117</v>
      </c>
      <c r="B38" s="11">
        <v>753950001923</v>
      </c>
      <c r="C38" s="12" t="s">
        <v>118</v>
      </c>
      <c r="D38" s="36" t="s">
        <v>34</v>
      </c>
      <c r="E38" s="57">
        <v>6.5642073416920008E-2</v>
      </c>
      <c r="F38" s="63" t="s">
        <v>414</v>
      </c>
      <c r="G38" s="40">
        <v>11.288550000000001</v>
      </c>
      <c r="H38" s="31"/>
      <c r="I38" s="20">
        <f>H38*G38</f>
        <v>0</v>
      </c>
      <c r="L38" s="53" t="str">
        <f>IFERROR(IF($L$2*E38=0, "-", $L$2*E38), "-")</f>
        <v>-</v>
      </c>
      <c r="M38" s="53" t="str">
        <f>IF(H38&gt;0,G38+E38*H38/$N$2*$O$2/H38,"-")</f>
        <v>-</v>
      </c>
      <c r="N38" s="54" t="str">
        <f>IF(H38&gt;0,H38*E38, "-")</f>
        <v>-</v>
      </c>
      <c r="O38" s="55" t="str">
        <f>IFERROR(IF($L$2&gt;0, $L$2*N38, "-"), "-")</f>
        <v>-</v>
      </c>
      <c r="Q38" s="55" t="str">
        <f t="shared" si="2"/>
        <v>-</v>
      </c>
    </row>
    <row r="39" spans="1:17" x14ac:dyDescent="0.3">
      <c r="A39" s="10" t="s">
        <v>123</v>
      </c>
      <c r="B39" s="11">
        <v>753950001985</v>
      </c>
      <c r="C39" s="12" t="s">
        <v>124</v>
      </c>
      <c r="D39" s="36" t="s">
        <v>18</v>
      </c>
      <c r="E39" s="57">
        <v>6.059268315408E-2</v>
      </c>
      <c r="F39" s="63" t="s">
        <v>414</v>
      </c>
      <c r="G39" s="40">
        <v>11.2203</v>
      </c>
      <c r="H39" s="31"/>
      <c r="I39" s="20">
        <f>H39*G39</f>
        <v>0</v>
      </c>
      <c r="L39" s="53" t="str">
        <f>IFERROR(IF($L$2*E39=0, "-", $L$2*E39), "-")</f>
        <v>-</v>
      </c>
      <c r="M39" s="53" t="str">
        <f>IF(H39&gt;0,G39+E39*H39/$N$2*$O$2/H39,"-")</f>
        <v>-</v>
      </c>
      <c r="N39" s="54" t="str">
        <f>IF(H39&gt;0,H39*E39, "-")</f>
        <v>-</v>
      </c>
      <c r="O39" s="55" t="str">
        <f>IFERROR(IF($L$2&gt;0, $L$2*N39, "-"), "-")</f>
        <v>-</v>
      </c>
      <c r="Q39" s="55" t="str">
        <f t="shared" si="2"/>
        <v>-</v>
      </c>
    </row>
    <row r="40" spans="1:17" x14ac:dyDescent="0.3">
      <c r="A40" s="10" t="s">
        <v>139</v>
      </c>
      <c r="B40" s="11">
        <v>753950002104</v>
      </c>
      <c r="C40" s="12" t="s">
        <v>140</v>
      </c>
      <c r="D40" s="36" t="s">
        <v>138</v>
      </c>
      <c r="E40" s="57">
        <v>6.5642073416920008E-2</v>
      </c>
      <c r="F40" s="63" t="s">
        <v>414</v>
      </c>
      <c r="G40" s="40">
        <v>7.0161000000000007</v>
      </c>
      <c r="H40" s="31"/>
      <c r="I40" s="20">
        <f>H40*G40</f>
        <v>0</v>
      </c>
      <c r="L40" s="53" t="str">
        <f>IFERROR(IF($L$2*E40=0, "-", $L$2*E40), "-")</f>
        <v>-</v>
      </c>
      <c r="M40" s="53" t="str">
        <f>IF(H40&gt;0,G40+E40*H40/$N$2*$O$2/H40,"-")</f>
        <v>-</v>
      </c>
      <c r="N40" s="54" t="str">
        <f>IF(H40&gt;0,H40*E40, "-")</f>
        <v>-</v>
      </c>
      <c r="O40" s="55" t="str">
        <f>IFERROR(IF($L$2&gt;0, $L$2*N40, "-"), "-")</f>
        <v>-</v>
      </c>
      <c r="Q40" s="55" t="str">
        <f t="shared" si="2"/>
        <v>-</v>
      </c>
    </row>
    <row r="41" spans="1:17" x14ac:dyDescent="0.3">
      <c r="A41" s="10" t="s">
        <v>155</v>
      </c>
      <c r="B41" s="11">
        <v>753950002258</v>
      </c>
      <c r="C41" s="12" t="s">
        <v>156</v>
      </c>
      <c r="D41" s="36" t="s">
        <v>18</v>
      </c>
      <c r="E41" s="57">
        <v>7.0691463679760008E-2</v>
      </c>
      <c r="F41" s="63" t="s">
        <v>414</v>
      </c>
      <c r="G41" s="40">
        <v>26.3445</v>
      </c>
      <c r="H41" s="31"/>
      <c r="I41" s="20">
        <f>H41*G41</f>
        <v>0</v>
      </c>
      <c r="L41" s="53" t="str">
        <f>IFERROR(IF($L$2*E41=0, "-", $L$2*E41), "-")</f>
        <v>-</v>
      </c>
      <c r="M41" s="53" t="str">
        <f>IF(H41&gt;0,G41+E41*H41/$N$2*$O$2/H41,"-")</f>
        <v>-</v>
      </c>
      <c r="N41" s="54" t="str">
        <f>IF(H41&gt;0,H41*E41, "-")</f>
        <v>-</v>
      </c>
      <c r="O41" s="55" t="str">
        <f>IFERROR(IF($L$2&gt;0, $L$2*N41, "-"), "-")</f>
        <v>-</v>
      </c>
      <c r="Q41" s="55" t="str">
        <f t="shared" si="2"/>
        <v>-</v>
      </c>
    </row>
    <row r="42" spans="1:17" x14ac:dyDescent="0.3">
      <c r="A42" s="10" t="s">
        <v>168</v>
      </c>
      <c r="B42" s="11">
        <v>753950002456</v>
      </c>
      <c r="C42" s="12" t="s">
        <v>169</v>
      </c>
      <c r="D42" s="36" t="s">
        <v>15</v>
      </c>
      <c r="E42" s="57">
        <v>0.252469513142</v>
      </c>
      <c r="F42" s="63" t="s">
        <v>414</v>
      </c>
      <c r="G42" s="40">
        <v>19.396650000000005</v>
      </c>
      <c r="H42" s="31"/>
      <c r="I42" s="20">
        <f>H42*G42</f>
        <v>0</v>
      </c>
      <c r="L42" s="53" t="str">
        <f>IFERROR(IF($L$2*E42=0, "-", $L$2*E42), "-")</f>
        <v>-</v>
      </c>
      <c r="M42" s="53" t="str">
        <f>IF(H42&gt;0,G42+E42*H42/$N$2*$O$2/H42,"-")</f>
        <v>-</v>
      </c>
      <c r="N42" s="54" t="str">
        <f>IF(H42&gt;0,H42*E42, "-")</f>
        <v>-</v>
      </c>
      <c r="O42" s="55" t="str">
        <f>IFERROR(IF($L$2&gt;0, $L$2*N42, "-"), "-")</f>
        <v>-</v>
      </c>
      <c r="Q42" s="55" t="str">
        <f t="shared" si="2"/>
        <v>-</v>
      </c>
    </row>
    <row r="43" spans="1:17" x14ac:dyDescent="0.3">
      <c r="A43" s="10" t="s">
        <v>197</v>
      </c>
      <c r="B43" s="11">
        <v>753950002777</v>
      </c>
      <c r="C43" s="12" t="s">
        <v>198</v>
      </c>
      <c r="D43" s="36" t="s">
        <v>9</v>
      </c>
      <c r="E43" s="57">
        <v>0.15653109814804</v>
      </c>
      <c r="F43" s="63" t="s">
        <v>414</v>
      </c>
      <c r="G43" s="40">
        <v>29.484000000000005</v>
      </c>
      <c r="H43" s="31"/>
      <c r="I43" s="20">
        <f>H43*G43</f>
        <v>0</v>
      </c>
      <c r="L43" s="53" t="str">
        <f>IFERROR(IF($L$2*E43=0, "-", $L$2*E43), "-")</f>
        <v>-</v>
      </c>
      <c r="M43" s="53" t="str">
        <f>IF(H43&gt;0,G43+E43*H43/$N$2*$O$2/H43,"-")</f>
        <v>-</v>
      </c>
      <c r="N43" s="54" t="str">
        <f>IF(H43&gt;0,H43*E43, "-")</f>
        <v>-</v>
      </c>
      <c r="O43" s="55" t="str">
        <f>IFERROR(IF($L$2&gt;0, $L$2*N43, "-"), "-")</f>
        <v>-</v>
      </c>
      <c r="Q43" s="55" t="str">
        <f t="shared" si="2"/>
        <v>-</v>
      </c>
    </row>
    <row r="44" spans="1:17" x14ac:dyDescent="0.3">
      <c r="A44" s="10" t="s">
        <v>261</v>
      </c>
      <c r="B44" s="11">
        <v>753950003736</v>
      </c>
      <c r="C44" s="12" t="s">
        <v>262</v>
      </c>
      <c r="D44" s="36" t="s">
        <v>29</v>
      </c>
      <c r="E44" s="57">
        <v>4.0395122102720005E-2</v>
      </c>
      <c r="F44" s="63" t="s">
        <v>414</v>
      </c>
      <c r="G44" s="40">
        <v>12.285000000000002</v>
      </c>
      <c r="H44" s="31"/>
      <c r="I44" s="20">
        <f>H44*G44</f>
        <v>0</v>
      </c>
      <c r="L44" s="53" t="str">
        <f>IFERROR(IF($L$2*E44=0, "-", $L$2*E44), "-")</f>
        <v>-</v>
      </c>
      <c r="M44" s="53" t="str">
        <f>IF(H44&gt;0,G44+E44*H44/$N$2*$O$2/H44,"-")</f>
        <v>-</v>
      </c>
      <c r="N44" s="54" t="str">
        <f>IF(H44&gt;0,H44*E44, "-")</f>
        <v>-</v>
      </c>
      <c r="O44" s="55" t="str">
        <f>IFERROR(IF($L$2&gt;0, $L$2*N44, "-"), "-")</f>
        <v>-</v>
      </c>
      <c r="Q44" s="55" t="str">
        <f t="shared" si="2"/>
        <v>-</v>
      </c>
    </row>
    <row r="45" spans="1:17" x14ac:dyDescent="0.3">
      <c r="A45" s="10" t="s">
        <v>275</v>
      </c>
      <c r="B45" s="11">
        <v>753950004085</v>
      </c>
      <c r="C45" s="12" t="s">
        <v>276</v>
      </c>
      <c r="D45" s="36" t="s">
        <v>129</v>
      </c>
      <c r="E45" s="57">
        <v>0.29033994011330005</v>
      </c>
      <c r="F45" s="63" t="s">
        <v>414</v>
      </c>
      <c r="G45" s="40">
        <v>21.075600000000001</v>
      </c>
      <c r="H45" s="31"/>
      <c r="I45" s="20">
        <f>H45*G45</f>
        <v>0</v>
      </c>
      <c r="L45" s="53" t="str">
        <f>IFERROR(IF($L$2*E45=0, "-", $L$2*E45), "-")</f>
        <v>-</v>
      </c>
      <c r="M45" s="53" t="str">
        <f>IF(H45&gt;0,G45+E45*H45/$N$2*$O$2/H45,"-")</f>
        <v>-</v>
      </c>
      <c r="N45" s="54" t="str">
        <f>IF(H45&gt;0,H45*E45, "-")</f>
        <v>-</v>
      </c>
      <c r="O45" s="55" t="str">
        <f>IFERROR(IF($L$2&gt;0, $L$2*N45, "-"), "-")</f>
        <v>-</v>
      </c>
      <c r="Q45" s="55" t="str">
        <f t="shared" si="2"/>
        <v>-</v>
      </c>
    </row>
    <row r="46" spans="1:17" x14ac:dyDescent="0.3">
      <c r="A46" s="10" t="s">
        <v>301</v>
      </c>
      <c r="B46" s="11">
        <v>753950004788</v>
      </c>
      <c r="C46" s="12" t="s">
        <v>302</v>
      </c>
      <c r="D46" s="36" t="s">
        <v>303</v>
      </c>
      <c r="E46" s="57">
        <v>0.22722256182780001</v>
      </c>
      <c r="F46" s="63" t="s">
        <v>414</v>
      </c>
      <c r="G46" s="40">
        <v>29.961749999999999</v>
      </c>
      <c r="H46" s="31"/>
      <c r="I46" s="20">
        <f>H46*G46</f>
        <v>0</v>
      </c>
      <c r="L46" s="53" t="str">
        <f>IFERROR(IF($L$2*E46=0, "-", $L$2*E46), "-")</f>
        <v>-</v>
      </c>
      <c r="M46" s="53" t="str">
        <f>IF(H46&gt;0,G46+E46*H46/$N$2*$O$2/H46,"-")</f>
        <v>-</v>
      </c>
      <c r="N46" s="54" t="str">
        <f>IF(H46&gt;0,H46*E46, "-")</f>
        <v>-</v>
      </c>
      <c r="O46" s="55" t="str">
        <f>IFERROR(IF($L$2&gt;0, $L$2*N46, "-"), "-")</f>
        <v>-</v>
      </c>
      <c r="Q46" s="55" t="str">
        <f t="shared" si="2"/>
        <v>-</v>
      </c>
    </row>
    <row r="47" spans="1:17" x14ac:dyDescent="0.3">
      <c r="A47" s="10" t="s">
        <v>308</v>
      </c>
      <c r="B47" s="11">
        <v>753950005013</v>
      </c>
      <c r="C47" s="12" t="s">
        <v>217</v>
      </c>
      <c r="D47" s="36" t="s">
        <v>18</v>
      </c>
      <c r="E47" s="57">
        <v>6.7661829522056002E-2</v>
      </c>
      <c r="F47" s="63" t="s">
        <v>414</v>
      </c>
      <c r="G47" s="40">
        <v>18.632250000000003</v>
      </c>
      <c r="H47" s="31"/>
      <c r="I47" s="20">
        <f>H47*G47</f>
        <v>0</v>
      </c>
      <c r="L47" s="53" t="str">
        <f>IFERROR(IF($L$2*E47=0, "-", $L$2*E47), "-")</f>
        <v>-</v>
      </c>
      <c r="M47" s="53" t="str">
        <f>IF(H47&gt;0,G47+E47*H47/$N$2*$O$2/H47,"-")</f>
        <v>-</v>
      </c>
      <c r="N47" s="54" t="str">
        <f>IF(H47&gt;0,H47*E47, "-")</f>
        <v>-</v>
      </c>
      <c r="O47" s="55" t="str">
        <f>IFERROR(IF($L$2&gt;0, $L$2*N47, "-"), "-")</f>
        <v>-</v>
      </c>
      <c r="Q47" s="55" t="str">
        <f t="shared" si="2"/>
        <v>-</v>
      </c>
    </row>
    <row r="48" spans="1:17" x14ac:dyDescent="0.3">
      <c r="A48" s="10" t="s">
        <v>321</v>
      </c>
      <c r="B48" s="11">
        <v>753950005655</v>
      </c>
      <c r="C48" s="12" t="s">
        <v>322</v>
      </c>
      <c r="D48" s="36" t="s">
        <v>29</v>
      </c>
      <c r="E48" s="57">
        <v>0.12865846389716321</v>
      </c>
      <c r="F48" s="63" t="s">
        <v>414</v>
      </c>
      <c r="G48" s="40">
        <v>14.905800000000001</v>
      </c>
      <c r="H48" s="31"/>
      <c r="I48" s="20">
        <f>H48*G48</f>
        <v>0</v>
      </c>
      <c r="L48" s="53" t="str">
        <f>IFERROR(IF($L$2*E48=0, "-", $L$2*E48), "-")</f>
        <v>-</v>
      </c>
      <c r="M48" s="53" t="str">
        <f>IF(H48&gt;0,G48+E48*H48/$N$2*$O$2/H48,"-")</f>
        <v>-</v>
      </c>
      <c r="N48" s="54" t="str">
        <f>IF(H48&gt;0,H48*E48, "-")</f>
        <v>-</v>
      </c>
      <c r="O48" s="55" t="str">
        <f>IFERROR(IF($L$2&gt;0, $L$2*N48, "-"), "-")</f>
        <v>-</v>
      </c>
      <c r="Q48" s="55" t="str">
        <f t="shared" si="2"/>
        <v>-</v>
      </c>
    </row>
    <row r="49" spans="1:17" x14ac:dyDescent="0.3">
      <c r="A49" s="10" t="s">
        <v>323</v>
      </c>
      <c r="B49" s="11">
        <v>753950005730</v>
      </c>
      <c r="C49" s="12" t="s">
        <v>324</v>
      </c>
      <c r="D49" s="36" t="s">
        <v>12</v>
      </c>
      <c r="E49" s="57">
        <v>8.583963446828001E-2</v>
      </c>
      <c r="F49" s="63" t="s">
        <v>414</v>
      </c>
      <c r="G49" s="40">
        <v>10.701599999999999</v>
      </c>
      <c r="H49" s="31"/>
      <c r="I49" s="20">
        <f>H49*G49</f>
        <v>0</v>
      </c>
      <c r="L49" s="53" t="str">
        <f>IFERROR(IF($L$2*E49=0, "-", $L$2*E49), "-")</f>
        <v>-</v>
      </c>
      <c r="M49" s="53" t="str">
        <f>IF(H49&gt;0,G49+E49*H49/$N$2*$O$2/H49,"-")</f>
        <v>-</v>
      </c>
      <c r="N49" s="54" t="str">
        <f>IF(H49&gt;0,H49*E49, "-")</f>
        <v>-</v>
      </c>
      <c r="O49" s="55" t="str">
        <f>IFERROR(IF($L$2&gt;0, $L$2*N49, "-"), "-")</f>
        <v>-</v>
      </c>
      <c r="Q49" s="55" t="str">
        <f t="shared" si="2"/>
        <v>-</v>
      </c>
    </row>
    <row r="50" spans="1:17" x14ac:dyDescent="0.3">
      <c r="A50" s="10" t="s">
        <v>352</v>
      </c>
      <c r="B50" s="11">
        <v>753950000810</v>
      </c>
      <c r="C50" s="12" t="s">
        <v>27</v>
      </c>
      <c r="D50" s="36" t="s">
        <v>353</v>
      </c>
      <c r="E50" s="57">
        <v>0.39385244050152002</v>
      </c>
      <c r="F50" s="63" t="s">
        <v>414</v>
      </c>
      <c r="G50" s="40">
        <v>35.831250000000004</v>
      </c>
      <c r="H50" s="31"/>
      <c r="I50" s="20">
        <f>H50*G50</f>
        <v>0</v>
      </c>
      <c r="L50" s="53" t="str">
        <f>IFERROR(IF($L$2*E50=0, "-", $L$2*E50), "-")</f>
        <v>-</v>
      </c>
      <c r="M50" s="53" t="str">
        <f>IF(H50&gt;0,G50+E50*H50/$N$2*$O$2/H50,"-")</f>
        <v>-</v>
      </c>
      <c r="N50" s="54" t="str">
        <f>IF(H50&gt;0,H50*E50, "-")</f>
        <v>-</v>
      </c>
      <c r="O50" s="55" t="str">
        <f>IFERROR(IF($L$2&gt;0, $L$2*N50, "-"), "-")</f>
        <v>-</v>
      </c>
      <c r="Q50" s="55" t="str">
        <f t="shared" si="2"/>
        <v>-</v>
      </c>
    </row>
    <row r="51" spans="1:17" x14ac:dyDescent="0.3">
      <c r="A51" s="10" t="s">
        <v>354</v>
      </c>
      <c r="B51" s="11">
        <v>753950001466</v>
      </c>
      <c r="C51" s="12" t="s">
        <v>79</v>
      </c>
      <c r="D51" s="36" t="s">
        <v>18</v>
      </c>
      <c r="E51" s="57">
        <v>8.0790244205440009E-2</v>
      </c>
      <c r="F51" s="63" t="s">
        <v>414</v>
      </c>
      <c r="G51" s="40">
        <v>19.901700000000002</v>
      </c>
      <c r="H51" s="31"/>
      <c r="I51" s="20">
        <f>H51*G51</f>
        <v>0</v>
      </c>
      <c r="L51" s="53" t="str">
        <f>IFERROR(IF($L$2*E51=0, "-", $L$2*E51), "-")</f>
        <v>-</v>
      </c>
      <c r="M51" s="53" t="str">
        <f>IF(H51&gt;0,G51+E51*H51/$N$2*$O$2/H51,"-")</f>
        <v>-</v>
      </c>
      <c r="N51" s="54" t="str">
        <f>IF(H51&gt;0,H51*E51, "-")</f>
        <v>-</v>
      </c>
      <c r="O51" s="55" t="str">
        <f>IFERROR(IF($L$2&gt;0, $L$2*N51, "-"), "-")</f>
        <v>-</v>
      </c>
      <c r="Q51" s="55" t="str">
        <f t="shared" si="2"/>
        <v>-</v>
      </c>
    </row>
    <row r="52" spans="1:17" x14ac:dyDescent="0.3">
      <c r="A52" s="10" t="s">
        <v>377</v>
      </c>
      <c r="B52" s="11">
        <v>753950006133</v>
      </c>
      <c r="C52" s="12" t="s">
        <v>378</v>
      </c>
      <c r="D52" s="36" t="s">
        <v>6</v>
      </c>
      <c r="E52" s="57">
        <v>0.24237073261632</v>
      </c>
      <c r="F52" s="63" t="s">
        <v>414</v>
      </c>
      <c r="G52" s="40">
        <v>15.356250000000001</v>
      </c>
      <c r="H52" s="31"/>
      <c r="I52" s="20">
        <f>H52*G52</f>
        <v>0</v>
      </c>
      <c r="L52" s="53" t="str">
        <f>IFERROR(IF($L$2*E52=0, "-", $L$2*E52), "-")</f>
        <v>-</v>
      </c>
      <c r="M52" s="53" t="str">
        <f>IF(H52&gt;0,G52+E52*H52/$N$2*$O$2/H52,"-")</f>
        <v>-</v>
      </c>
      <c r="N52" s="54" t="str">
        <f>IF(H52&gt;0,H52*E52, "-")</f>
        <v>-</v>
      </c>
      <c r="O52" s="55" t="str">
        <f>IFERROR(IF($L$2&gt;0, $L$2*N52, "-"), "-")</f>
        <v>-</v>
      </c>
      <c r="Q52" s="55" t="str">
        <f t="shared" si="2"/>
        <v>-</v>
      </c>
    </row>
    <row r="53" spans="1:17" x14ac:dyDescent="0.3">
      <c r="A53" s="10" t="s">
        <v>10</v>
      </c>
      <c r="B53" s="11">
        <v>753950000476</v>
      </c>
      <c r="C53" s="12" t="s">
        <v>11</v>
      </c>
      <c r="D53" s="36" t="s">
        <v>12</v>
      </c>
      <c r="E53" s="57">
        <v>0.10098780525680003</v>
      </c>
      <c r="F53" s="63" t="s">
        <v>413</v>
      </c>
      <c r="G53" s="40">
        <v>31.749900000000004</v>
      </c>
      <c r="H53" s="31"/>
      <c r="I53" s="20">
        <f>H53*G53</f>
        <v>0</v>
      </c>
      <c r="L53" s="53" t="str">
        <f>IFERROR(IF($L$2*E53=0, "-", $L$2*E53), "-")</f>
        <v>-</v>
      </c>
      <c r="M53" s="53" t="str">
        <f>IF(H53&gt;0,G53+E53*H53/$N$2*$O$2/H53,"-")</f>
        <v>-</v>
      </c>
      <c r="N53" s="54" t="str">
        <f>IF(H53&gt;0,H53*E53, "-")</f>
        <v>-</v>
      </c>
      <c r="O53" s="55" t="str">
        <f>IFERROR(IF($L$2&gt;0, $L$2*N53, "-"), "-")</f>
        <v>-</v>
      </c>
      <c r="Q53" s="55" t="str">
        <f t="shared" si="2"/>
        <v>-</v>
      </c>
    </row>
    <row r="54" spans="1:17" x14ac:dyDescent="0.3">
      <c r="A54" s="10" t="s">
        <v>19</v>
      </c>
      <c r="B54" s="11">
        <v>753950000704</v>
      </c>
      <c r="C54" s="12" t="s">
        <v>20</v>
      </c>
      <c r="D54" s="36" t="s">
        <v>15</v>
      </c>
      <c r="E54" s="57">
        <v>0.31811158655892002</v>
      </c>
      <c r="F54" s="63" t="s">
        <v>413</v>
      </c>
      <c r="G54" s="40">
        <v>15.2334</v>
      </c>
      <c r="H54" s="31"/>
      <c r="I54" s="20">
        <f>H54*G54</f>
        <v>0</v>
      </c>
      <c r="L54" s="53" t="str">
        <f>IFERROR(IF($L$2*E54=0, "-", $L$2*E54), "-")</f>
        <v>-</v>
      </c>
      <c r="M54" s="53" t="str">
        <f>IF(H54&gt;0,G54+E54*H54/$N$2*$O$2/H54,"-")</f>
        <v>-</v>
      </c>
      <c r="N54" s="54" t="str">
        <f>IF(H54&gt;0,H54*E54, "-")</f>
        <v>-</v>
      </c>
      <c r="O54" s="55" t="str">
        <f>IFERROR(IF($L$2&gt;0, $L$2*N54, "-"), "-")</f>
        <v>-</v>
      </c>
      <c r="Q54" s="55" t="str">
        <f t="shared" si="2"/>
        <v>-</v>
      </c>
    </row>
    <row r="55" spans="1:17" x14ac:dyDescent="0.3">
      <c r="A55" s="10" t="s">
        <v>49</v>
      </c>
      <c r="B55" s="11">
        <v>753950001039</v>
      </c>
      <c r="C55" s="12" t="s">
        <v>50</v>
      </c>
      <c r="D55" s="36" t="s">
        <v>18</v>
      </c>
      <c r="E55" s="57">
        <v>0.10098780525680003</v>
      </c>
      <c r="F55" s="63" t="s">
        <v>413</v>
      </c>
      <c r="G55" s="40">
        <v>16.270800000000001</v>
      </c>
      <c r="H55" s="31"/>
      <c r="I55" s="20">
        <f>H55*G55</f>
        <v>0</v>
      </c>
      <c r="L55" s="53" t="str">
        <f>IFERROR(IF($L$2*E55=0, "-", $L$2*E55), "-")</f>
        <v>-</v>
      </c>
      <c r="M55" s="53" t="str">
        <f>IF(H55&gt;0,G55+E55*H55/$N$2*$O$2/H55,"-")</f>
        <v>-</v>
      </c>
      <c r="N55" s="54" t="str">
        <f>IF(H55&gt;0,H55*E55, "-")</f>
        <v>-</v>
      </c>
      <c r="O55" s="55" t="str">
        <f>IFERROR(IF($L$2&gt;0, $L$2*N55, "-"), "-")</f>
        <v>-</v>
      </c>
      <c r="Q55" s="55" t="str">
        <f t="shared" si="2"/>
        <v>-</v>
      </c>
    </row>
    <row r="56" spans="1:17" x14ac:dyDescent="0.3">
      <c r="A56" s="10" t="s">
        <v>57</v>
      </c>
      <c r="B56" s="11">
        <v>753950001077</v>
      </c>
      <c r="C56" s="12" t="s">
        <v>58</v>
      </c>
      <c r="D56" s="36" t="s">
        <v>28</v>
      </c>
      <c r="E56" s="57">
        <v>0.14138292735952002</v>
      </c>
      <c r="F56" s="63" t="s">
        <v>413</v>
      </c>
      <c r="G56" s="40">
        <v>41.796300000000009</v>
      </c>
      <c r="H56" s="31"/>
      <c r="I56" s="20">
        <f>H56*G56</f>
        <v>0</v>
      </c>
      <c r="L56" s="53" t="str">
        <f>IFERROR(IF($L$2*E56=0, "-", $L$2*E56), "-")</f>
        <v>-</v>
      </c>
      <c r="M56" s="53" t="str">
        <f>IF(H56&gt;0,G56+E56*H56/$N$2*$O$2/H56,"-")</f>
        <v>-</v>
      </c>
      <c r="N56" s="54" t="str">
        <f>IF(H56&gt;0,H56*E56, "-")</f>
        <v>-</v>
      </c>
      <c r="O56" s="55" t="str">
        <f>IFERROR(IF($L$2&gt;0, $L$2*N56, "-"), "-")</f>
        <v>-</v>
      </c>
      <c r="Q56" s="55" t="str">
        <f t="shared" si="2"/>
        <v>-</v>
      </c>
    </row>
    <row r="57" spans="1:17" x14ac:dyDescent="0.3">
      <c r="A57" s="10" t="s">
        <v>59</v>
      </c>
      <c r="B57" s="11">
        <v>753950001114</v>
      </c>
      <c r="C57" s="12" t="s">
        <v>60</v>
      </c>
      <c r="D57" s="36" t="s">
        <v>18</v>
      </c>
      <c r="E57" s="57">
        <v>0.10098780525680003</v>
      </c>
      <c r="F57" s="63" t="s">
        <v>413</v>
      </c>
      <c r="G57" s="40">
        <v>24.488100000000006</v>
      </c>
      <c r="H57" s="31"/>
      <c r="I57" s="20">
        <f>H57*G57</f>
        <v>0</v>
      </c>
      <c r="L57" s="53" t="str">
        <f>IFERROR(IF($L$2*E57=0, "-", $L$2*E57), "-")</f>
        <v>-</v>
      </c>
      <c r="M57" s="53" t="str">
        <f>IF(H57&gt;0,G57+E57*H57/$N$2*$O$2/H57,"-")</f>
        <v>-</v>
      </c>
      <c r="N57" s="54" t="str">
        <f>IF(H57&gt;0,H57*E57, "-")</f>
        <v>-</v>
      </c>
      <c r="O57" s="55" t="str">
        <f>IFERROR(IF($L$2&gt;0, $L$2*N57, "-"), "-")</f>
        <v>-</v>
      </c>
      <c r="Q57" s="55" t="str">
        <f t="shared" si="2"/>
        <v>-</v>
      </c>
    </row>
    <row r="58" spans="1:17" x14ac:dyDescent="0.3">
      <c r="A58" s="10" t="s">
        <v>85</v>
      </c>
      <c r="B58" s="11">
        <v>753950001541</v>
      </c>
      <c r="C58" s="12" t="s">
        <v>86</v>
      </c>
      <c r="D58" s="36" t="s">
        <v>9</v>
      </c>
      <c r="E58" s="57">
        <v>0.32316097682176004</v>
      </c>
      <c r="F58" s="63" t="s">
        <v>413</v>
      </c>
      <c r="G58" s="40">
        <v>51.1875</v>
      </c>
      <c r="H58" s="31"/>
      <c r="I58" s="20">
        <f>H58*G58</f>
        <v>0</v>
      </c>
      <c r="L58" s="53" t="str">
        <f>IFERROR(IF($L$2*E58=0, "-", $L$2*E58), "-")</f>
        <v>-</v>
      </c>
      <c r="M58" s="53" t="str">
        <f>IF(H58&gt;0,G58+E58*H58/$N$2*$O$2/H58,"-")</f>
        <v>-</v>
      </c>
      <c r="N58" s="54" t="str">
        <f>IF(H58&gt;0,H58*E58, "-")</f>
        <v>-</v>
      </c>
      <c r="O58" s="55" t="str">
        <f>IFERROR(IF($L$2&gt;0, $L$2*N58, "-"), "-")</f>
        <v>-</v>
      </c>
      <c r="Q58" s="55" t="str">
        <f t="shared" si="2"/>
        <v>-</v>
      </c>
    </row>
    <row r="59" spans="1:17" x14ac:dyDescent="0.3">
      <c r="A59" s="10" t="s">
        <v>113</v>
      </c>
      <c r="B59" s="11">
        <v>753950001886</v>
      </c>
      <c r="C59" s="12" t="s">
        <v>17</v>
      </c>
      <c r="D59" s="36" t="s">
        <v>29</v>
      </c>
      <c r="E59" s="57">
        <v>0.11108658578248</v>
      </c>
      <c r="F59" s="63" t="s">
        <v>413</v>
      </c>
      <c r="G59" s="40">
        <v>25.252500000000001</v>
      </c>
      <c r="H59" s="31"/>
      <c r="I59" s="20">
        <f>H59*G59</f>
        <v>0</v>
      </c>
      <c r="L59" s="53" t="str">
        <f>IFERROR(IF($L$2*E59=0, "-", $L$2*E59), "-")</f>
        <v>-</v>
      </c>
      <c r="M59" s="53" t="str">
        <f>IF(H59&gt;0,G59+E59*H59/$N$2*$O$2/H59,"-")</f>
        <v>-</v>
      </c>
      <c r="N59" s="54" t="str">
        <f>IF(H59&gt;0,H59*E59, "-")</f>
        <v>-</v>
      </c>
      <c r="O59" s="55" t="str">
        <f>IFERROR(IF($L$2&gt;0, $L$2*N59, "-"), "-")</f>
        <v>-</v>
      </c>
      <c r="Q59" s="55" t="str">
        <f t="shared" si="2"/>
        <v>-</v>
      </c>
    </row>
    <row r="60" spans="1:17" x14ac:dyDescent="0.3">
      <c r="A60" s="10" t="s">
        <v>133</v>
      </c>
      <c r="B60" s="11">
        <v>753950002050</v>
      </c>
      <c r="C60" s="12" t="s">
        <v>325</v>
      </c>
      <c r="D60" s="36" t="s">
        <v>34</v>
      </c>
      <c r="E60" s="57">
        <v>0.13633353709668003</v>
      </c>
      <c r="F60" s="63" t="s">
        <v>413</v>
      </c>
      <c r="G60" s="40">
        <v>41.291250000000005</v>
      </c>
      <c r="H60" s="31"/>
      <c r="I60" s="20">
        <f>H60*G60</f>
        <v>0</v>
      </c>
      <c r="L60" s="53" t="str">
        <f>IFERROR(IF($L$2*E60=0, "-", $L$2*E60), "-")</f>
        <v>-</v>
      </c>
      <c r="M60" s="53" t="str">
        <f>IF(H60&gt;0,G60+E60*H60/$N$2*$O$2/H60,"-")</f>
        <v>-</v>
      </c>
      <c r="N60" s="54" t="str">
        <f>IF(H60&gt;0,H60*E60, "-")</f>
        <v>-</v>
      </c>
      <c r="O60" s="55" t="str">
        <f>IFERROR(IF($L$2&gt;0, $L$2*N60, "-"), "-")</f>
        <v>-</v>
      </c>
      <c r="Q60" s="55" t="str">
        <f t="shared" si="2"/>
        <v>-</v>
      </c>
    </row>
    <row r="61" spans="1:17" x14ac:dyDescent="0.3">
      <c r="A61" s="10" t="s">
        <v>136</v>
      </c>
      <c r="B61" s="11">
        <v>753950002098</v>
      </c>
      <c r="C61" s="12" t="s">
        <v>137</v>
      </c>
      <c r="D61" s="36" t="s">
        <v>138</v>
      </c>
      <c r="E61" s="57">
        <v>6.5642073416920008E-2</v>
      </c>
      <c r="F61" s="63" t="s">
        <v>413</v>
      </c>
      <c r="G61" s="40">
        <v>7.4802000000000008</v>
      </c>
      <c r="H61" s="31"/>
      <c r="I61" s="20">
        <f>H61*G61</f>
        <v>0</v>
      </c>
      <c r="L61" s="53" t="str">
        <f>IFERROR(IF($L$2*E61=0, "-", $L$2*E61), "-")</f>
        <v>-</v>
      </c>
      <c r="M61" s="53" t="str">
        <f>IF(H61&gt;0,G61+E61*H61/$N$2*$O$2/H61,"-")</f>
        <v>-</v>
      </c>
      <c r="N61" s="54" t="str">
        <f>IF(H61&gt;0,H61*E61, "-")</f>
        <v>-</v>
      </c>
      <c r="O61" s="55" t="str">
        <f>IFERROR(IF($L$2&gt;0, $L$2*N61, "-"), "-")</f>
        <v>-</v>
      </c>
      <c r="Q61" s="55" t="str">
        <f t="shared" si="2"/>
        <v>-</v>
      </c>
    </row>
    <row r="62" spans="1:17" x14ac:dyDescent="0.3">
      <c r="A62" s="10" t="s">
        <v>147</v>
      </c>
      <c r="B62" s="11">
        <v>753950002166</v>
      </c>
      <c r="C62" s="12" t="s">
        <v>148</v>
      </c>
      <c r="D62" s="36" t="s">
        <v>34</v>
      </c>
      <c r="E62" s="57">
        <v>7.0691463679760008E-2</v>
      </c>
      <c r="F62" s="63" t="s">
        <v>413</v>
      </c>
      <c r="G62" s="40">
        <v>21.68985</v>
      </c>
      <c r="H62" s="31"/>
      <c r="I62" s="20">
        <f>H62*G62</f>
        <v>0</v>
      </c>
      <c r="L62" s="53" t="str">
        <f>IFERROR(IF($L$2*E62=0, "-", $L$2*E62), "-")</f>
        <v>-</v>
      </c>
      <c r="M62" s="53" t="str">
        <f>IF(H62&gt;0,G62+E62*H62/$N$2*$O$2/H62,"-")</f>
        <v>-</v>
      </c>
      <c r="N62" s="54" t="str">
        <f>IF(H62&gt;0,H62*E62, "-")</f>
        <v>-</v>
      </c>
      <c r="O62" s="55" t="str">
        <f>IFERROR(IF($L$2&gt;0, $L$2*N62, "-"), "-")</f>
        <v>-</v>
      </c>
      <c r="Q62" s="55" t="str">
        <f t="shared" si="2"/>
        <v>-</v>
      </c>
    </row>
    <row r="63" spans="1:17" x14ac:dyDescent="0.3">
      <c r="A63" s="10" t="s">
        <v>151</v>
      </c>
      <c r="B63" s="11">
        <v>753950002203</v>
      </c>
      <c r="C63" s="12" t="s">
        <v>152</v>
      </c>
      <c r="D63" s="36" t="s">
        <v>29</v>
      </c>
      <c r="E63" s="57">
        <v>0.11108658578248</v>
      </c>
      <c r="F63" s="63" t="s">
        <v>413</v>
      </c>
      <c r="G63" s="40">
        <v>33.360600000000005</v>
      </c>
      <c r="H63" s="31"/>
      <c r="I63" s="20">
        <f>H63*G63</f>
        <v>0</v>
      </c>
      <c r="L63" s="53" t="str">
        <f>IFERROR(IF($L$2*E63=0, "-", $L$2*E63), "-")</f>
        <v>-</v>
      </c>
      <c r="M63" s="53" t="str">
        <f>IF(H63&gt;0,G63+E63*H63/$N$2*$O$2/H63,"-")</f>
        <v>-</v>
      </c>
      <c r="N63" s="54" t="str">
        <f>IF(H63&gt;0,H63*E63, "-")</f>
        <v>-</v>
      </c>
      <c r="O63" s="55" t="str">
        <f>IFERROR(IF($L$2&gt;0, $L$2*N63, "-"), "-")</f>
        <v>-</v>
      </c>
      <c r="Q63" s="55" t="str">
        <f t="shared" ref="Q63:Q123" si="3">IFERROR(IF(O63+I63=0, "-", IF(O63&gt;0, O63+I63, "-")), "-")</f>
        <v>-</v>
      </c>
    </row>
    <row r="64" spans="1:17" x14ac:dyDescent="0.3">
      <c r="A64" s="10" t="s">
        <v>157</v>
      </c>
      <c r="B64" s="11">
        <v>753950002272</v>
      </c>
      <c r="C64" s="12" t="s">
        <v>158</v>
      </c>
      <c r="D64" s="36" t="s">
        <v>159</v>
      </c>
      <c r="E64" s="57">
        <v>6.059268315408E-2</v>
      </c>
      <c r="F64" s="63" t="s">
        <v>413</v>
      </c>
      <c r="G64" s="40">
        <v>24.365250000000007</v>
      </c>
      <c r="H64" s="31"/>
      <c r="I64" s="20">
        <f>H64*G64</f>
        <v>0</v>
      </c>
      <c r="L64" s="53" t="str">
        <f>IFERROR(IF($L$2*E64=0, "-", $L$2*E64), "-")</f>
        <v>-</v>
      </c>
      <c r="M64" s="53" t="str">
        <f>IF(H64&gt;0,G64+E64*H64/$N$2*$O$2/H64,"-")</f>
        <v>-</v>
      </c>
      <c r="N64" s="54" t="str">
        <f>IF(H64&gt;0,H64*E64, "-")</f>
        <v>-</v>
      </c>
      <c r="O64" s="55" t="str">
        <f>IFERROR(IF($L$2&gt;0, $L$2*N64, "-"), "-")</f>
        <v>-</v>
      </c>
      <c r="Q64" s="55" t="str">
        <f t="shared" si="3"/>
        <v>-</v>
      </c>
    </row>
    <row r="65" spans="1:17" x14ac:dyDescent="0.3">
      <c r="A65" s="10" t="s">
        <v>164</v>
      </c>
      <c r="B65" s="11">
        <v>753950002340</v>
      </c>
      <c r="C65" s="12" t="s">
        <v>165</v>
      </c>
      <c r="D65" s="36" t="s">
        <v>34</v>
      </c>
      <c r="E65" s="57">
        <v>0.12118536630816</v>
      </c>
      <c r="F65" s="63" t="s">
        <v>413</v>
      </c>
      <c r="G65" s="40">
        <v>23.396100000000001</v>
      </c>
      <c r="H65" s="31"/>
      <c r="I65" s="20">
        <f>H65*G65</f>
        <v>0</v>
      </c>
      <c r="L65" s="53" t="str">
        <f>IFERROR(IF($L$2*E65=0, "-", $L$2*E65), "-")</f>
        <v>-</v>
      </c>
      <c r="M65" s="53" t="str">
        <f>IF(H65&gt;0,G65+E65*H65/$N$2*$O$2/H65,"-")</f>
        <v>-</v>
      </c>
      <c r="N65" s="54" t="str">
        <f>IF(H65&gt;0,H65*E65, "-")</f>
        <v>-</v>
      </c>
      <c r="O65" s="55" t="str">
        <f>IFERROR(IF($L$2&gt;0, $L$2*N65, "-"), "-")</f>
        <v>-</v>
      </c>
      <c r="Q65" s="55" t="str">
        <f t="shared" si="3"/>
        <v>-</v>
      </c>
    </row>
    <row r="66" spans="1:17" x14ac:dyDescent="0.3">
      <c r="A66" s="10" t="s">
        <v>170</v>
      </c>
      <c r="B66" s="11">
        <v>753950002494</v>
      </c>
      <c r="C66" s="12" t="s">
        <v>72</v>
      </c>
      <c r="D66" s="36" t="s">
        <v>171</v>
      </c>
      <c r="E66" s="57">
        <v>0.32316097682176004</v>
      </c>
      <c r="F66" s="63" t="s">
        <v>413</v>
      </c>
      <c r="G66" s="40">
        <v>41.359500000000004</v>
      </c>
      <c r="H66" s="31"/>
      <c r="I66" s="20">
        <f>H66*G66</f>
        <v>0</v>
      </c>
      <c r="L66" s="53" t="str">
        <f>IFERROR(IF($L$2*E66=0, "-", $L$2*E66), "-")</f>
        <v>-</v>
      </c>
      <c r="M66" s="53" t="str">
        <f>IF(H66&gt;0,G66+E66*H66/$N$2*$O$2/H66,"-")</f>
        <v>-</v>
      </c>
      <c r="N66" s="54" t="str">
        <f>IF(H66&gt;0,H66*E66, "-")</f>
        <v>-</v>
      </c>
      <c r="O66" s="55" t="str">
        <f>IFERROR(IF($L$2&gt;0, $L$2*N66, "-"), "-")</f>
        <v>-</v>
      </c>
      <c r="Q66" s="55" t="str">
        <f t="shared" si="3"/>
        <v>-</v>
      </c>
    </row>
    <row r="67" spans="1:17" x14ac:dyDescent="0.3">
      <c r="A67" s="10" t="s">
        <v>174</v>
      </c>
      <c r="B67" s="11">
        <v>753950002517</v>
      </c>
      <c r="C67" s="12" t="s">
        <v>175</v>
      </c>
      <c r="D67" s="36" t="s">
        <v>18</v>
      </c>
      <c r="E67" s="57">
        <v>7.5740853942599995E-2</v>
      </c>
      <c r="F67" s="63" t="s">
        <v>413</v>
      </c>
      <c r="G67" s="40">
        <v>21.703500000000002</v>
      </c>
      <c r="H67" s="31"/>
      <c r="I67" s="20">
        <f>H67*G67</f>
        <v>0</v>
      </c>
      <c r="L67" s="53" t="str">
        <f>IFERROR(IF($L$2*E67=0, "-", $L$2*E67), "-")</f>
        <v>-</v>
      </c>
      <c r="M67" s="53" t="str">
        <f>IF(H67&gt;0,G67+E67*H67/$N$2*$O$2/H67,"-")</f>
        <v>-</v>
      </c>
      <c r="N67" s="54" t="str">
        <f>IF(H67&gt;0,H67*E67, "-")</f>
        <v>-</v>
      </c>
      <c r="O67" s="55" t="str">
        <f>IFERROR(IF($L$2&gt;0, $L$2*N67, "-"), "-")</f>
        <v>-</v>
      </c>
      <c r="Q67" s="55" t="str">
        <f t="shared" si="3"/>
        <v>-</v>
      </c>
    </row>
    <row r="68" spans="1:17" x14ac:dyDescent="0.3">
      <c r="A68" s="10" t="s">
        <v>177</v>
      </c>
      <c r="B68" s="11">
        <v>753950002531</v>
      </c>
      <c r="C68" s="12" t="s">
        <v>66</v>
      </c>
      <c r="D68" s="36" t="s">
        <v>178</v>
      </c>
      <c r="E68" s="57">
        <v>0.15148170788519999</v>
      </c>
      <c r="F68" s="63" t="s">
        <v>413</v>
      </c>
      <c r="G68" s="40">
        <v>43.120350000000002</v>
      </c>
      <c r="H68" s="31"/>
      <c r="I68" s="20">
        <f>H68*G68</f>
        <v>0</v>
      </c>
      <c r="L68" s="53" t="str">
        <f>IFERROR(IF($L$2*E68=0, "-", $L$2*E68), "-")</f>
        <v>-</v>
      </c>
      <c r="M68" s="53" t="str">
        <f>IF(H68&gt;0,G68+E68*H68/$N$2*$O$2/H68,"-")</f>
        <v>-</v>
      </c>
      <c r="N68" s="54" t="str">
        <f>IF(H68&gt;0,H68*E68, "-")</f>
        <v>-</v>
      </c>
      <c r="O68" s="55" t="str">
        <f>IFERROR(IF($L$2&gt;0, $L$2*N68, "-"), "-")</f>
        <v>-</v>
      </c>
      <c r="Q68" s="55" t="str">
        <f t="shared" si="3"/>
        <v>-</v>
      </c>
    </row>
    <row r="69" spans="1:17" x14ac:dyDescent="0.3">
      <c r="A69" s="10" t="s">
        <v>186</v>
      </c>
      <c r="B69" s="11">
        <v>753950002654</v>
      </c>
      <c r="C69" s="12" t="s">
        <v>79</v>
      </c>
      <c r="D69" s="36" t="s">
        <v>116</v>
      </c>
      <c r="E69" s="57">
        <v>0.12118536630816</v>
      </c>
      <c r="F69" s="63" t="s">
        <v>413</v>
      </c>
      <c r="G69" s="40">
        <v>28.337400000000002</v>
      </c>
      <c r="H69" s="31"/>
      <c r="I69" s="20">
        <f>H69*G69</f>
        <v>0</v>
      </c>
      <c r="L69" s="53" t="str">
        <f>IFERROR(IF($L$2*E69=0, "-", $L$2*E69), "-")</f>
        <v>-</v>
      </c>
      <c r="M69" s="53" t="str">
        <f>IF(H69&gt;0,G69+E69*H69/$N$2*$O$2/H69,"-")</f>
        <v>-</v>
      </c>
      <c r="N69" s="54" t="str">
        <f>IF(H69&gt;0,H69*E69, "-")</f>
        <v>-</v>
      </c>
      <c r="O69" s="55" t="str">
        <f>IFERROR(IF($L$2&gt;0, $L$2*N69, "-"), "-")</f>
        <v>-</v>
      </c>
      <c r="Q69" s="55" t="str">
        <f t="shared" si="3"/>
        <v>-</v>
      </c>
    </row>
    <row r="70" spans="1:17" x14ac:dyDescent="0.3">
      <c r="A70" s="10" t="s">
        <v>189</v>
      </c>
      <c r="B70" s="11">
        <v>753950002708</v>
      </c>
      <c r="C70" s="12" t="s">
        <v>190</v>
      </c>
      <c r="D70" s="36" t="s">
        <v>18</v>
      </c>
      <c r="E70" s="57">
        <v>6.5642073416920008E-2</v>
      </c>
      <c r="F70" s="63" t="s">
        <v>413</v>
      </c>
      <c r="G70" s="40">
        <v>19.219200000000001</v>
      </c>
      <c r="H70" s="31"/>
      <c r="I70" s="20">
        <f>H70*G70</f>
        <v>0</v>
      </c>
      <c r="L70" s="53" t="str">
        <f>IFERROR(IF($L$2*E70=0, "-", $L$2*E70), "-")</f>
        <v>-</v>
      </c>
      <c r="M70" s="53" t="str">
        <f>IF(H70&gt;0,G70+E70*H70/$N$2*$O$2/H70,"-")</f>
        <v>-</v>
      </c>
      <c r="N70" s="54" t="str">
        <f>IF(H70&gt;0,H70*E70, "-")</f>
        <v>-</v>
      </c>
      <c r="O70" s="55" t="str">
        <f>IFERROR(IF($L$2&gt;0, $L$2*N70, "-"), "-")</f>
        <v>-</v>
      </c>
      <c r="Q70" s="55" t="str">
        <f t="shared" si="3"/>
        <v>-</v>
      </c>
    </row>
    <row r="71" spans="1:17" x14ac:dyDescent="0.3">
      <c r="A71" s="10" t="s">
        <v>192</v>
      </c>
      <c r="B71" s="11">
        <v>753950002739</v>
      </c>
      <c r="C71" s="12" t="s">
        <v>44</v>
      </c>
      <c r="D71" s="36" t="s">
        <v>188</v>
      </c>
      <c r="E71" s="57">
        <v>0.32316097682176004</v>
      </c>
      <c r="F71" s="63" t="s">
        <v>413</v>
      </c>
      <c r="G71" s="40">
        <v>33.183150000000005</v>
      </c>
      <c r="H71" s="31"/>
      <c r="I71" s="20">
        <f>H71*G71</f>
        <v>0</v>
      </c>
      <c r="L71" s="53" t="str">
        <f>IFERROR(IF($L$2*E71=0, "-", $L$2*E71), "-")</f>
        <v>-</v>
      </c>
      <c r="M71" s="53" t="str">
        <f>IF(H71&gt;0,G71+E71*H71/$N$2*$O$2/H71,"-")</f>
        <v>-</v>
      </c>
      <c r="N71" s="54" t="str">
        <f>IF(H71&gt;0,H71*E71, "-")</f>
        <v>-</v>
      </c>
      <c r="O71" s="55" t="str">
        <f>IFERROR(IF($L$2&gt;0, $L$2*N71, "-"), "-")</f>
        <v>-</v>
      </c>
      <c r="Q71" s="55" t="str">
        <f t="shared" si="3"/>
        <v>-</v>
      </c>
    </row>
    <row r="72" spans="1:17" x14ac:dyDescent="0.3">
      <c r="A72" s="10" t="s">
        <v>193</v>
      </c>
      <c r="B72" s="11">
        <v>753950002746</v>
      </c>
      <c r="C72" s="12" t="s">
        <v>194</v>
      </c>
      <c r="D72" s="36" t="s">
        <v>195</v>
      </c>
      <c r="E72" s="57">
        <v>8.3819878363144015E-2</v>
      </c>
      <c r="F72" s="63" t="s">
        <v>413</v>
      </c>
      <c r="G72" s="40">
        <v>38.301900000000003</v>
      </c>
      <c r="H72" s="31"/>
      <c r="I72" s="20">
        <f>H72*G72</f>
        <v>0</v>
      </c>
      <c r="L72" s="53" t="str">
        <f>IFERROR(IF($L$2*E72=0, "-", $L$2*E72), "-")</f>
        <v>-</v>
      </c>
      <c r="M72" s="53" t="str">
        <f>IF(H72&gt;0,G72+E72*H72/$N$2*$O$2/H72,"-")</f>
        <v>-</v>
      </c>
      <c r="N72" s="54" t="str">
        <f>IF(H72&gt;0,H72*E72, "-")</f>
        <v>-</v>
      </c>
      <c r="O72" s="55" t="str">
        <f>IFERROR(IF($L$2&gt;0, $L$2*N72, "-"), "-")</f>
        <v>-</v>
      </c>
      <c r="Q72" s="55" t="str">
        <f t="shared" si="3"/>
        <v>-</v>
      </c>
    </row>
    <row r="73" spans="1:17" x14ac:dyDescent="0.3">
      <c r="A73" s="10" t="s">
        <v>199</v>
      </c>
      <c r="B73" s="11">
        <v>753950002784</v>
      </c>
      <c r="C73" s="12" t="s">
        <v>200</v>
      </c>
      <c r="D73" s="36" t="s">
        <v>18</v>
      </c>
      <c r="E73" s="57">
        <v>6.5642073416920008E-2</v>
      </c>
      <c r="F73" s="63" t="s">
        <v>413</v>
      </c>
      <c r="G73" s="40">
        <v>37.537500000000001</v>
      </c>
      <c r="H73" s="31"/>
      <c r="I73" s="20">
        <f>H73*G73</f>
        <v>0</v>
      </c>
      <c r="L73" s="53" t="str">
        <f>IFERROR(IF($L$2*E73=0, "-", $L$2*E73), "-")</f>
        <v>-</v>
      </c>
      <c r="M73" s="53" t="str">
        <f>IF(H73&gt;0,G73+E73*H73/$N$2*$O$2/H73,"-")</f>
        <v>-</v>
      </c>
      <c r="N73" s="54" t="str">
        <f>IF(H73&gt;0,H73*E73, "-")</f>
        <v>-</v>
      </c>
      <c r="O73" s="55" t="str">
        <f>IFERROR(IF($L$2&gt;0, $L$2*N73, "-"), "-")</f>
        <v>-</v>
      </c>
      <c r="Q73" s="55" t="str">
        <f t="shared" si="3"/>
        <v>-</v>
      </c>
    </row>
    <row r="74" spans="1:17" x14ac:dyDescent="0.3">
      <c r="A74" s="10" t="s">
        <v>207</v>
      </c>
      <c r="B74" s="11">
        <v>753950002944</v>
      </c>
      <c r="C74" s="12" t="s">
        <v>208</v>
      </c>
      <c r="D74" s="36" t="s">
        <v>12</v>
      </c>
      <c r="E74" s="57">
        <v>7.5740853942599995E-2</v>
      </c>
      <c r="F74" s="63" t="s">
        <v>413</v>
      </c>
      <c r="G74" s="40">
        <v>27.313650000000006</v>
      </c>
      <c r="H74" s="31"/>
      <c r="I74" s="20">
        <f>H74*G74</f>
        <v>0</v>
      </c>
      <c r="L74" s="53" t="str">
        <f>IFERROR(IF($L$2*E74=0, "-", $L$2*E74), "-")</f>
        <v>-</v>
      </c>
      <c r="M74" s="53" t="str">
        <f>IF(H74&gt;0,G74+E74*H74/$N$2*$O$2/H74,"-")</f>
        <v>-</v>
      </c>
      <c r="N74" s="54" t="str">
        <f>IF(H74&gt;0,H74*E74, "-")</f>
        <v>-</v>
      </c>
      <c r="O74" s="55" t="str">
        <f>IFERROR(IF($L$2&gt;0, $L$2*N74, "-"), "-")</f>
        <v>-</v>
      </c>
      <c r="Q74" s="55" t="str">
        <f t="shared" si="3"/>
        <v>-</v>
      </c>
    </row>
    <row r="75" spans="1:17" x14ac:dyDescent="0.3">
      <c r="A75" s="10" t="s">
        <v>220</v>
      </c>
      <c r="B75" s="11">
        <v>753950003019</v>
      </c>
      <c r="C75" s="12" t="s">
        <v>221</v>
      </c>
      <c r="D75" s="36" t="s">
        <v>29</v>
      </c>
      <c r="E75" s="57">
        <v>5.0493902628400013E-2</v>
      </c>
      <c r="F75" s="63" t="s">
        <v>413</v>
      </c>
      <c r="G75" s="40">
        <v>11.793600000000001</v>
      </c>
      <c r="H75" s="31"/>
      <c r="I75" s="20">
        <f>H75*G75</f>
        <v>0</v>
      </c>
      <c r="L75" s="53" t="str">
        <f>IFERROR(IF($L$2*E75=0, "-", $L$2*E75), "-")</f>
        <v>-</v>
      </c>
      <c r="M75" s="53" t="str">
        <f>IF(H75&gt;0,G75+E75*H75/$N$2*$O$2/H75,"-")</f>
        <v>-</v>
      </c>
      <c r="N75" s="54" t="str">
        <f>IF(H75&gt;0,H75*E75, "-")</f>
        <v>-</v>
      </c>
      <c r="O75" s="55" t="str">
        <f>IFERROR(IF($L$2&gt;0, $L$2*N75, "-"), "-")</f>
        <v>-</v>
      </c>
      <c r="Q75" s="55" t="str">
        <f t="shared" si="3"/>
        <v>-</v>
      </c>
    </row>
    <row r="76" spans="1:17" x14ac:dyDescent="0.3">
      <c r="A76" s="10" t="s">
        <v>224</v>
      </c>
      <c r="B76" s="11">
        <v>753950003040</v>
      </c>
      <c r="C76" s="12" t="s">
        <v>225</v>
      </c>
      <c r="D76" s="36" t="s">
        <v>18</v>
      </c>
      <c r="E76" s="57">
        <v>5.0493902628400013E-2</v>
      </c>
      <c r="F76" s="63" t="s">
        <v>413</v>
      </c>
      <c r="G76" s="40">
        <v>13.035750000000002</v>
      </c>
      <c r="H76" s="31"/>
      <c r="I76" s="20">
        <f>H76*G76</f>
        <v>0</v>
      </c>
      <c r="L76" s="53" t="str">
        <f>IFERROR(IF($L$2*E76=0, "-", $L$2*E76), "-")</f>
        <v>-</v>
      </c>
      <c r="M76" s="53" t="str">
        <f>IF(H76&gt;0,G76+E76*H76/$N$2*$O$2/H76,"-")</f>
        <v>-</v>
      </c>
      <c r="N76" s="54" t="str">
        <f>IF(H76&gt;0,H76*E76, "-")</f>
        <v>-</v>
      </c>
      <c r="O76" s="55" t="str">
        <f>IFERROR(IF($L$2&gt;0, $L$2*N76, "-"), "-")</f>
        <v>-</v>
      </c>
      <c r="Q76" s="55" t="str">
        <f t="shared" si="3"/>
        <v>-</v>
      </c>
    </row>
    <row r="77" spans="1:17" x14ac:dyDescent="0.3">
      <c r="A77" s="10" t="s">
        <v>230</v>
      </c>
      <c r="B77" s="11">
        <v>753950003125</v>
      </c>
      <c r="C77" s="12" t="s">
        <v>231</v>
      </c>
      <c r="D77" s="36" t="s">
        <v>9</v>
      </c>
      <c r="E77" s="57">
        <v>9.5938414993960011E-2</v>
      </c>
      <c r="F77" s="63" t="s">
        <v>413</v>
      </c>
      <c r="G77" s="40">
        <v>23.887499999999999</v>
      </c>
      <c r="H77" s="31"/>
      <c r="I77" s="20">
        <f>H77*G77</f>
        <v>0</v>
      </c>
      <c r="L77" s="53" t="str">
        <f>IFERROR(IF($L$2*E77=0, "-", $L$2*E77), "-")</f>
        <v>-</v>
      </c>
      <c r="M77" s="53" t="str">
        <f>IF(H77&gt;0,G77+E77*H77/$N$2*$O$2/H77,"-")</f>
        <v>-</v>
      </c>
      <c r="N77" s="54" t="str">
        <f>IF(H77&gt;0,H77*E77, "-")</f>
        <v>-</v>
      </c>
      <c r="O77" s="55" t="str">
        <f>IFERROR(IF($L$2&gt;0, $L$2*N77, "-"), "-")</f>
        <v>-</v>
      </c>
      <c r="Q77" s="55" t="str">
        <f t="shared" si="3"/>
        <v>-</v>
      </c>
    </row>
    <row r="78" spans="1:17" x14ac:dyDescent="0.3">
      <c r="A78" s="10" t="s">
        <v>234</v>
      </c>
      <c r="B78" s="11">
        <v>753950003163</v>
      </c>
      <c r="C78" s="12" t="s">
        <v>235</v>
      </c>
      <c r="D78" s="36" t="s">
        <v>29</v>
      </c>
      <c r="E78" s="57">
        <v>0.11108658578248</v>
      </c>
      <c r="F78" s="63" t="s">
        <v>413</v>
      </c>
      <c r="G78" s="40">
        <v>13.3224</v>
      </c>
      <c r="H78" s="31"/>
      <c r="I78" s="20">
        <f>H78*G78</f>
        <v>0</v>
      </c>
      <c r="L78" s="53" t="str">
        <f>IFERROR(IF($L$2*E78=0, "-", $L$2*E78), "-")</f>
        <v>-</v>
      </c>
      <c r="M78" s="53" t="str">
        <f>IF(H78&gt;0,G78+E78*H78/$N$2*$O$2/H78,"-")</f>
        <v>-</v>
      </c>
      <c r="N78" s="54" t="str">
        <f>IF(H78&gt;0,H78*E78, "-")</f>
        <v>-</v>
      </c>
      <c r="O78" s="55" t="str">
        <f>IFERROR(IF($L$2&gt;0, $L$2*N78, "-"), "-")</f>
        <v>-</v>
      </c>
      <c r="Q78" s="55" t="str">
        <f t="shared" si="3"/>
        <v>-</v>
      </c>
    </row>
    <row r="79" spans="1:17" x14ac:dyDescent="0.3">
      <c r="A79" s="10" t="s">
        <v>239</v>
      </c>
      <c r="B79" s="11">
        <v>753950003293</v>
      </c>
      <c r="C79" s="12" t="s">
        <v>60</v>
      </c>
      <c r="D79" s="36" t="s">
        <v>9</v>
      </c>
      <c r="E79" s="57">
        <v>0.16662987867372001</v>
      </c>
      <c r="F79" s="63" t="s">
        <v>413</v>
      </c>
      <c r="G79" s="40">
        <v>57.330000000000005</v>
      </c>
      <c r="H79" s="31"/>
      <c r="I79" s="20">
        <f>H79*G79</f>
        <v>0</v>
      </c>
      <c r="L79" s="53" t="str">
        <f>IFERROR(IF($L$2*E79=0, "-", $L$2*E79), "-")</f>
        <v>-</v>
      </c>
      <c r="M79" s="53" t="str">
        <f>IF(H79&gt;0,G79+E79*H79/$N$2*$O$2/H79,"-")</f>
        <v>-</v>
      </c>
      <c r="N79" s="54" t="str">
        <f>IF(H79&gt;0,H79*E79, "-")</f>
        <v>-</v>
      </c>
      <c r="O79" s="55" t="str">
        <f>IFERROR(IF($L$2&gt;0, $L$2*N79, "-"), "-")</f>
        <v>-</v>
      </c>
      <c r="Q79" s="55" t="str">
        <f t="shared" si="3"/>
        <v>-</v>
      </c>
    </row>
    <row r="80" spans="1:17" x14ac:dyDescent="0.3">
      <c r="A80" s="10" t="s">
        <v>240</v>
      </c>
      <c r="B80" s="11">
        <v>753950003316</v>
      </c>
      <c r="C80" s="12" t="s">
        <v>14</v>
      </c>
      <c r="D80" s="36" t="s">
        <v>9</v>
      </c>
      <c r="E80" s="57">
        <v>0.27771646445620002</v>
      </c>
      <c r="F80" s="63" t="s">
        <v>413</v>
      </c>
      <c r="G80" s="40">
        <v>19.478549999999998</v>
      </c>
      <c r="H80" s="31"/>
      <c r="I80" s="20">
        <f>H80*G80</f>
        <v>0</v>
      </c>
      <c r="L80" s="53" t="str">
        <f>IFERROR(IF($L$2*E80=0, "-", $L$2*E80), "-")</f>
        <v>-</v>
      </c>
      <c r="M80" s="53" t="str">
        <f>IF(H80&gt;0,G80+E80*H80/$N$2*$O$2/H80,"-")</f>
        <v>-</v>
      </c>
      <c r="N80" s="54" t="str">
        <f>IF(H80&gt;0,H80*E80, "-")</f>
        <v>-</v>
      </c>
      <c r="O80" s="55" t="str">
        <f>IFERROR(IF($L$2&gt;0, $L$2*N80, "-"), "-")</f>
        <v>-</v>
      </c>
      <c r="Q80" s="55" t="str">
        <f t="shared" si="3"/>
        <v>-</v>
      </c>
    </row>
    <row r="81" spans="1:17" x14ac:dyDescent="0.3">
      <c r="A81" s="10" t="s">
        <v>243</v>
      </c>
      <c r="B81" s="11">
        <v>753950003330</v>
      </c>
      <c r="C81" s="12" t="s">
        <v>244</v>
      </c>
      <c r="D81" s="36" t="s">
        <v>23</v>
      </c>
      <c r="E81" s="57">
        <v>0.29286463524472001</v>
      </c>
      <c r="F81" s="63" t="s">
        <v>413</v>
      </c>
      <c r="G81" s="40">
        <v>23.0139</v>
      </c>
      <c r="H81" s="31"/>
      <c r="I81" s="20">
        <f>H81*G81</f>
        <v>0</v>
      </c>
      <c r="L81" s="53" t="str">
        <f>IFERROR(IF($L$2*E81=0, "-", $L$2*E81), "-")</f>
        <v>-</v>
      </c>
      <c r="M81" s="53" t="str">
        <f>IF(H81&gt;0,G81+E81*H81/$N$2*$O$2/H81,"-")</f>
        <v>-</v>
      </c>
      <c r="N81" s="54" t="str">
        <f>IF(H81&gt;0,H81*E81, "-")</f>
        <v>-</v>
      </c>
      <c r="O81" s="55" t="str">
        <f>IFERROR(IF($L$2&gt;0, $L$2*N81, "-"), "-")</f>
        <v>-</v>
      </c>
      <c r="Q81" s="55" t="str">
        <f t="shared" si="3"/>
        <v>-</v>
      </c>
    </row>
    <row r="82" spans="1:17" x14ac:dyDescent="0.3">
      <c r="A82" s="10" t="s">
        <v>253</v>
      </c>
      <c r="B82" s="11">
        <v>753950003637</v>
      </c>
      <c r="C82" s="12" t="s">
        <v>150</v>
      </c>
      <c r="D82" s="36" t="s">
        <v>254</v>
      </c>
      <c r="E82" s="57">
        <v>0.26761768393051999</v>
      </c>
      <c r="F82" s="63" t="s">
        <v>413</v>
      </c>
      <c r="G82" s="40">
        <v>22.863750000000003</v>
      </c>
      <c r="H82" s="31"/>
      <c r="I82" s="20">
        <f>H82*G82</f>
        <v>0</v>
      </c>
      <c r="L82" s="53" t="str">
        <f>IFERROR(IF($L$2*E82=0, "-", $L$2*E82), "-")</f>
        <v>-</v>
      </c>
      <c r="M82" s="53" t="str">
        <f>IF(H82&gt;0,G82+E82*H82/$N$2*$O$2/H82,"-")</f>
        <v>-</v>
      </c>
      <c r="N82" s="54" t="str">
        <f>IF(H82&gt;0,H82*E82, "-")</f>
        <v>-</v>
      </c>
      <c r="O82" s="55" t="str">
        <f>IFERROR(IF($L$2&gt;0, $L$2*N82, "-"), "-")</f>
        <v>-</v>
      </c>
      <c r="Q82" s="55" t="str">
        <f t="shared" si="3"/>
        <v>-</v>
      </c>
    </row>
    <row r="83" spans="1:17" x14ac:dyDescent="0.3">
      <c r="A83" s="4" t="s">
        <v>255</v>
      </c>
      <c r="B83" s="5">
        <v>753950003644</v>
      </c>
      <c r="C83" s="6" t="s">
        <v>27</v>
      </c>
      <c r="D83" s="37" t="s">
        <v>233</v>
      </c>
      <c r="E83" s="57">
        <v>0.53523536786103998</v>
      </c>
      <c r="F83" s="63" t="s">
        <v>413</v>
      </c>
      <c r="G83" s="41">
        <v>53.480700000000006</v>
      </c>
      <c r="H83" s="32"/>
      <c r="I83" s="21">
        <f>H83*G83</f>
        <v>0</v>
      </c>
      <c r="L83" s="53" t="str">
        <f>IFERROR(IF($L$2*E83=0, "-", $L$2*E83), "-")</f>
        <v>-</v>
      </c>
      <c r="M83" s="53" t="str">
        <f>IF(H83&gt;0,G83+E83*H83/$N$2*$O$2/H83,"-")</f>
        <v>-</v>
      </c>
      <c r="N83" s="54" t="str">
        <f>IF(H83&gt;0,H83*E83, "-")</f>
        <v>-</v>
      </c>
      <c r="O83" s="55" t="str">
        <f>IFERROR(IF($L$2&gt;0, $L$2*N83, "-"), "-")</f>
        <v>-</v>
      </c>
      <c r="Q83" s="55" t="str">
        <f t="shared" si="3"/>
        <v>-</v>
      </c>
    </row>
    <row r="84" spans="1:17" x14ac:dyDescent="0.3">
      <c r="A84" s="10" t="s">
        <v>258</v>
      </c>
      <c r="B84" s="11">
        <v>753950003699</v>
      </c>
      <c r="C84" s="12" t="s">
        <v>259</v>
      </c>
      <c r="D84" s="36" t="s">
        <v>34</v>
      </c>
      <c r="E84" s="57">
        <v>5.554329289124E-2</v>
      </c>
      <c r="F84" s="63" t="s">
        <v>413</v>
      </c>
      <c r="G84" s="40">
        <v>14.414400000000002</v>
      </c>
      <c r="H84" s="31"/>
      <c r="I84" s="20">
        <f>H84*G84</f>
        <v>0</v>
      </c>
      <c r="L84" s="53" t="str">
        <f>IFERROR(IF($L$2*E84=0, "-", $L$2*E84), "-")</f>
        <v>-</v>
      </c>
      <c r="M84" s="53" t="str">
        <f>IF(H84&gt;0,G84+E84*H84/$N$2*$O$2/H84,"-")</f>
        <v>-</v>
      </c>
      <c r="N84" s="54" t="str">
        <f>IF(H84&gt;0,H84*E84, "-")</f>
        <v>-</v>
      </c>
      <c r="O84" s="55" t="str">
        <f>IFERROR(IF($L$2&gt;0, $L$2*N84, "-"), "-")</f>
        <v>-</v>
      </c>
      <c r="Q84" s="55" t="str">
        <f t="shared" si="3"/>
        <v>-</v>
      </c>
    </row>
    <row r="85" spans="1:17" x14ac:dyDescent="0.3">
      <c r="A85" s="10" t="s">
        <v>277</v>
      </c>
      <c r="B85" s="11">
        <v>753950004122</v>
      </c>
      <c r="C85" s="12" t="s">
        <v>60</v>
      </c>
      <c r="D85" s="36" t="s">
        <v>213</v>
      </c>
      <c r="E85" s="57">
        <v>5.0493902628400013E-2</v>
      </c>
      <c r="F85" s="63" t="s">
        <v>413</v>
      </c>
      <c r="G85" s="40">
        <v>24.488100000000006</v>
      </c>
      <c r="H85" s="31"/>
      <c r="I85" s="20">
        <f>H85*G85</f>
        <v>0</v>
      </c>
      <c r="L85" s="53" t="str">
        <f>IFERROR(IF($L$2*E85=0, "-", $L$2*E85), "-")</f>
        <v>-</v>
      </c>
      <c r="M85" s="53" t="str">
        <f>IF(H85&gt;0,G85+E85*H85/$N$2*$O$2/H85,"-")</f>
        <v>-</v>
      </c>
      <c r="N85" s="54" t="str">
        <f>IF(H85&gt;0,H85*E85, "-")</f>
        <v>-</v>
      </c>
      <c r="O85" s="55" t="str">
        <f>IFERROR(IF($L$2&gt;0, $L$2*N85, "-"), "-")</f>
        <v>-</v>
      </c>
      <c r="Q85" s="55" t="str">
        <f t="shared" si="3"/>
        <v>-</v>
      </c>
    </row>
    <row r="86" spans="1:17" x14ac:dyDescent="0.3">
      <c r="A86" s="10" t="s">
        <v>278</v>
      </c>
      <c r="B86" s="11">
        <v>753950004160</v>
      </c>
      <c r="C86" s="12" t="s">
        <v>279</v>
      </c>
      <c r="D86" s="36" t="s">
        <v>18</v>
      </c>
      <c r="E86" s="57">
        <v>7.5740853942599995E-2</v>
      </c>
      <c r="F86" s="63" t="s">
        <v>413</v>
      </c>
      <c r="G86" s="40">
        <v>47.474700000000006</v>
      </c>
      <c r="H86" s="31"/>
      <c r="I86" s="20">
        <f>H86*G86</f>
        <v>0</v>
      </c>
      <c r="L86" s="53" t="str">
        <f>IFERROR(IF($L$2*E86=0, "-", $L$2*E86), "-")</f>
        <v>-</v>
      </c>
      <c r="M86" s="53" t="str">
        <f>IF(H86&gt;0,G86+E86*H86/$N$2*$O$2/H86,"-")</f>
        <v>-</v>
      </c>
      <c r="N86" s="54" t="str">
        <f>IF(H86&gt;0,H86*E86, "-")</f>
        <v>-</v>
      </c>
      <c r="O86" s="55" t="str">
        <f>IFERROR(IF($L$2&gt;0, $L$2*N86, "-"), "-")</f>
        <v>-</v>
      </c>
      <c r="Q86" s="55" t="str">
        <f t="shared" si="3"/>
        <v>-</v>
      </c>
    </row>
    <row r="87" spans="1:17" x14ac:dyDescent="0.3">
      <c r="A87" s="10" t="s">
        <v>280</v>
      </c>
      <c r="B87" s="11">
        <v>753950004283</v>
      </c>
      <c r="C87" s="12" t="s">
        <v>281</v>
      </c>
      <c r="D87" s="36" t="s">
        <v>18</v>
      </c>
      <c r="E87" s="57">
        <v>6.5642073416920008E-2</v>
      </c>
      <c r="F87" s="63" t="s">
        <v>413</v>
      </c>
      <c r="G87" s="40">
        <v>43.024800000000006</v>
      </c>
      <c r="H87" s="31"/>
      <c r="I87" s="20">
        <f>H87*G87</f>
        <v>0</v>
      </c>
      <c r="L87" s="53" t="str">
        <f>IFERROR(IF($L$2*E87=0, "-", $L$2*E87), "-")</f>
        <v>-</v>
      </c>
      <c r="M87" s="53" t="str">
        <f>IF(H87&gt;0,G87+E87*H87/$N$2*$O$2/H87,"-")</f>
        <v>-</v>
      </c>
      <c r="N87" s="54" t="str">
        <f>IF(H87&gt;0,H87*E87, "-")</f>
        <v>-</v>
      </c>
      <c r="O87" s="55" t="str">
        <f>IFERROR(IF($L$2&gt;0, $L$2*N87, "-"), "-")</f>
        <v>-</v>
      </c>
      <c r="Q87" s="55" t="str">
        <f t="shared" si="3"/>
        <v>-</v>
      </c>
    </row>
    <row r="88" spans="1:17" x14ac:dyDescent="0.3">
      <c r="A88" s="10" t="s">
        <v>282</v>
      </c>
      <c r="B88" s="11">
        <v>753950004375</v>
      </c>
      <c r="C88" s="12" t="s">
        <v>283</v>
      </c>
      <c r="D88" s="36" t="s">
        <v>129</v>
      </c>
      <c r="E88" s="57">
        <v>0.28781524498188005</v>
      </c>
      <c r="F88" s="63" t="s">
        <v>413</v>
      </c>
      <c r="G88" s="40">
        <v>23.546250000000001</v>
      </c>
      <c r="H88" s="31"/>
      <c r="I88" s="20">
        <f>H88*G88</f>
        <v>0</v>
      </c>
      <c r="L88" s="53" t="str">
        <f>IFERROR(IF($L$2*E88=0, "-", $L$2*E88), "-")</f>
        <v>-</v>
      </c>
      <c r="M88" s="53" t="str">
        <f>IF(H88&gt;0,G88+E88*H88/$N$2*$O$2/H88,"-")</f>
        <v>-</v>
      </c>
      <c r="N88" s="54" t="str">
        <f>IF(H88&gt;0,H88*E88, "-")</f>
        <v>-</v>
      </c>
      <c r="O88" s="55" t="str">
        <f>IFERROR(IF($L$2&gt;0, $L$2*N88, "-"), "-")</f>
        <v>-</v>
      </c>
      <c r="Q88" s="55" t="str">
        <f t="shared" si="3"/>
        <v>-</v>
      </c>
    </row>
    <row r="89" spans="1:17" x14ac:dyDescent="0.3">
      <c r="A89" s="10" t="s">
        <v>304</v>
      </c>
      <c r="B89" s="11">
        <v>753950004917</v>
      </c>
      <c r="C89" s="12" t="s">
        <v>305</v>
      </c>
      <c r="D89" s="36" t="s">
        <v>265</v>
      </c>
      <c r="E89" s="57">
        <v>0.40900061129004001</v>
      </c>
      <c r="F89" s="63" t="s">
        <v>413</v>
      </c>
      <c r="G89" s="40">
        <v>18.782400000000003</v>
      </c>
      <c r="H89" s="31"/>
      <c r="I89" s="20">
        <f>H89*G89</f>
        <v>0</v>
      </c>
      <c r="L89" s="53" t="str">
        <f>IFERROR(IF($L$2*E89=0, "-", $L$2*E89), "-")</f>
        <v>-</v>
      </c>
      <c r="M89" s="53" t="str">
        <f>IF(H89&gt;0,G89+E89*H89/$N$2*$O$2/H89,"-")</f>
        <v>-</v>
      </c>
      <c r="N89" s="54" t="str">
        <f>IF(H89&gt;0,H89*E89, "-")</f>
        <v>-</v>
      </c>
      <c r="O89" s="55" t="str">
        <f>IFERROR(IF($L$2&gt;0, $L$2*N89, "-"), "-")</f>
        <v>-</v>
      </c>
      <c r="Q89" s="55" t="str">
        <f t="shared" si="3"/>
        <v>-</v>
      </c>
    </row>
    <row r="90" spans="1:17" x14ac:dyDescent="0.3">
      <c r="A90" s="10" t="s">
        <v>309</v>
      </c>
      <c r="B90" s="11">
        <v>753950005167</v>
      </c>
      <c r="C90" s="12" t="s">
        <v>310</v>
      </c>
      <c r="D90" s="36" t="s">
        <v>9</v>
      </c>
      <c r="E90" s="57">
        <v>6.5642073416920008E-2</v>
      </c>
      <c r="F90" s="63" t="s">
        <v>413</v>
      </c>
      <c r="G90" s="40">
        <v>16.120650000000001</v>
      </c>
      <c r="H90" s="31"/>
      <c r="I90" s="20">
        <f>H90*G90</f>
        <v>0</v>
      </c>
      <c r="L90" s="53" t="str">
        <f>IFERROR(IF($L$2*E90=0, "-", $L$2*E90), "-")</f>
        <v>-</v>
      </c>
      <c r="M90" s="53" t="str">
        <f>IF(H90&gt;0,G90+E90*H90/$N$2*$O$2/H90,"-")</f>
        <v>-</v>
      </c>
      <c r="N90" s="54" t="str">
        <f>IF(H90&gt;0,H90*E90, "-")</f>
        <v>-</v>
      </c>
      <c r="O90" s="55" t="str">
        <f>IFERROR(IF($L$2&gt;0, $L$2*N90, "-"), "-")</f>
        <v>-</v>
      </c>
      <c r="Q90" s="55" t="str">
        <f t="shared" si="3"/>
        <v>-</v>
      </c>
    </row>
    <row r="91" spans="1:17" x14ac:dyDescent="0.3">
      <c r="A91" s="10" t="s">
        <v>328</v>
      </c>
      <c r="B91" s="11">
        <v>753950005976</v>
      </c>
      <c r="C91" s="12" t="s">
        <v>329</v>
      </c>
      <c r="D91" s="36" t="s">
        <v>18</v>
      </c>
      <c r="E91" s="57">
        <v>6.5642073416920008E-2</v>
      </c>
      <c r="F91" s="63" t="s">
        <v>413</v>
      </c>
      <c r="G91" s="40">
        <v>35.039550000000006</v>
      </c>
      <c r="H91" s="31"/>
      <c r="I91" s="20">
        <f>H91*G91</f>
        <v>0</v>
      </c>
      <c r="L91" s="53" t="str">
        <f>IFERROR(IF($L$2*E91=0, "-", $L$2*E91), "-")</f>
        <v>-</v>
      </c>
      <c r="M91" s="53" t="str">
        <f>IF(H91&gt;0,G91+E91*H91/$N$2*$O$2/H91,"-")</f>
        <v>-</v>
      </c>
      <c r="N91" s="54" t="str">
        <f>IF(H91&gt;0,H91*E91, "-")</f>
        <v>-</v>
      </c>
      <c r="O91" s="55" t="str">
        <f>IFERROR(IF($L$2&gt;0, $L$2*N91, "-"), "-")</f>
        <v>-</v>
      </c>
      <c r="Q91" s="55" t="str">
        <f t="shared" si="3"/>
        <v>-</v>
      </c>
    </row>
    <row r="92" spans="1:17" x14ac:dyDescent="0.3">
      <c r="A92" s="10" t="s">
        <v>330</v>
      </c>
      <c r="B92" s="11">
        <v>753950005990</v>
      </c>
      <c r="C92" s="12" t="s">
        <v>331</v>
      </c>
      <c r="D92" s="36" t="s">
        <v>18</v>
      </c>
      <c r="E92" s="57">
        <v>9.0889024731120011E-2</v>
      </c>
      <c r="F92" s="63" t="s">
        <v>413</v>
      </c>
      <c r="G92" s="40">
        <v>49.071750000000002</v>
      </c>
      <c r="H92" s="31"/>
      <c r="I92" s="20">
        <f>H92*G92</f>
        <v>0</v>
      </c>
      <c r="L92" s="53" t="str">
        <f>IFERROR(IF($L$2*E92=0, "-", $L$2*E92), "-")</f>
        <v>-</v>
      </c>
      <c r="M92" s="53" t="str">
        <f>IF(H92&gt;0,G92+E92*H92/$N$2*$O$2/H92,"-")</f>
        <v>-</v>
      </c>
      <c r="N92" s="54" t="str">
        <f>IF(H92&gt;0,H92*E92, "-")</f>
        <v>-</v>
      </c>
      <c r="O92" s="55" t="str">
        <f>IFERROR(IF($L$2&gt;0, $L$2*N92, "-"), "-")</f>
        <v>-</v>
      </c>
      <c r="Q92" s="55" t="str">
        <f t="shared" si="3"/>
        <v>-</v>
      </c>
    </row>
    <row r="93" spans="1:17" x14ac:dyDescent="0.3">
      <c r="A93" s="10" t="s">
        <v>359</v>
      </c>
      <c r="B93" s="11">
        <v>753950003644</v>
      </c>
      <c r="C93" s="12" t="s">
        <v>27</v>
      </c>
      <c r="D93" s="36" t="s">
        <v>188</v>
      </c>
      <c r="E93" s="57">
        <v>0.51453286778339602</v>
      </c>
      <c r="F93" s="63" t="s">
        <v>413</v>
      </c>
      <c r="G93" s="40">
        <v>52.470600000000005</v>
      </c>
      <c r="H93" s="31"/>
      <c r="I93" s="20">
        <f>H93*G93</f>
        <v>0</v>
      </c>
      <c r="L93" s="53" t="str">
        <f>IFERROR(IF($L$2*E93=0, "-", $L$2*E93), "-")</f>
        <v>-</v>
      </c>
      <c r="M93" s="53" t="str">
        <f>IF(H93&gt;0,G93+E93*H93/$N$2*$O$2/H93,"-")</f>
        <v>-</v>
      </c>
      <c r="N93" s="54" t="str">
        <f>IF(H93&gt;0,H93*E93, "-")</f>
        <v>-</v>
      </c>
      <c r="O93" s="55" t="str">
        <f>IFERROR(IF($L$2&gt;0, $L$2*N93, "-"), "-")</f>
        <v>-</v>
      </c>
      <c r="Q93" s="55" t="str">
        <f t="shared" si="3"/>
        <v>-</v>
      </c>
    </row>
    <row r="94" spans="1:17" x14ac:dyDescent="0.3">
      <c r="A94" s="10" t="s">
        <v>365</v>
      </c>
      <c r="B94" s="11">
        <v>753950005969</v>
      </c>
      <c r="C94" s="12" t="s">
        <v>366</v>
      </c>
      <c r="D94" s="36" t="s">
        <v>18</v>
      </c>
      <c r="E94" s="57">
        <v>0.10603719551964</v>
      </c>
      <c r="F94" s="63" t="s">
        <v>413</v>
      </c>
      <c r="G94" s="40">
        <v>37.537500000000001</v>
      </c>
      <c r="H94" s="31"/>
      <c r="I94" s="20">
        <f>H94*G94</f>
        <v>0</v>
      </c>
      <c r="L94" s="53" t="str">
        <f>IFERROR(IF($L$2*E94=0, "-", $L$2*E94), "-")</f>
        <v>-</v>
      </c>
      <c r="M94" s="53" t="str">
        <f>IF(H94&gt;0,G94+E94*H94/$N$2*$O$2/H94,"-")</f>
        <v>-</v>
      </c>
      <c r="N94" s="54" t="str">
        <f>IF(H94&gt;0,H94*E94, "-")</f>
        <v>-</v>
      </c>
      <c r="O94" s="55" t="str">
        <f>IFERROR(IF($L$2&gt;0, $L$2*N94, "-"), "-")</f>
        <v>-</v>
      </c>
      <c r="Q94" s="55" t="str">
        <f t="shared" si="3"/>
        <v>-</v>
      </c>
    </row>
    <row r="95" spans="1:17" x14ac:dyDescent="0.3">
      <c r="A95" s="10" t="s">
        <v>371</v>
      </c>
      <c r="B95" s="11">
        <v>753950006096</v>
      </c>
      <c r="C95" s="12" t="s">
        <v>372</v>
      </c>
      <c r="D95" s="36" t="s">
        <v>159</v>
      </c>
      <c r="E95" s="57">
        <v>4.5444512365560005E-2</v>
      </c>
      <c r="F95" s="63" t="s">
        <v>413</v>
      </c>
      <c r="G95" s="40">
        <v>20.475000000000001</v>
      </c>
      <c r="H95" s="31"/>
      <c r="I95" s="20">
        <f>H95*G95</f>
        <v>0</v>
      </c>
      <c r="L95" s="53" t="str">
        <f>IFERROR(IF($L$2*E95=0, "-", $L$2*E95), "-")</f>
        <v>-</v>
      </c>
      <c r="M95" s="53" t="str">
        <f>IF(H95&gt;0,G95+E95*H95/$N$2*$O$2/H95,"-")</f>
        <v>-</v>
      </c>
      <c r="N95" s="54" t="str">
        <f>IF(H95&gt;0,H95*E95, "-")</f>
        <v>-</v>
      </c>
      <c r="O95" s="55" t="str">
        <f>IFERROR(IF($L$2&gt;0, $L$2*N95, "-"), "-")</f>
        <v>-</v>
      </c>
      <c r="Q95" s="55" t="str">
        <f t="shared" si="3"/>
        <v>-</v>
      </c>
    </row>
    <row r="96" spans="1:17" x14ac:dyDescent="0.3">
      <c r="A96" s="10" t="s">
        <v>384</v>
      </c>
      <c r="B96" s="11">
        <v>753950006256</v>
      </c>
      <c r="C96" s="12" t="s">
        <v>385</v>
      </c>
      <c r="D96" s="36" t="s">
        <v>386</v>
      </c>
      <c r="E96" s="57">
        <v>0.36860548918732</v>
      </c>
      <c r="F96" s="63" t="s">
        <v>413</v>
      </c>
      <c r="G96" s="40">
        <v>20.475000000000001</v>
      </c>
      <c r="H96" s="31"/>
      <c r="I96" s="20">
        <f>H96*G96</f>
        <v>0</v>
      </c>
      <c r="L96" s="53" t="str">
        <f t="shared" ref="L96:L127" si="4">IFERROR(IF($L$2*E96=0, "-", $L$2*E96), "-")</f>
        <v>-</v>
      </c>
      <c r="M96" s="53" t="str">
        <f t="shared" ref="M96:M127" si="5">IF(H96&gt;0,G96+E96*H96/$N$2*$O$2/H96,"-")</f>
        <v>-</v>
      </c>
      <c r="N96" s="54" t="str">
        <f>IF(H96&gt;0,H96*E96, "-")</f>
        <v>-</v>
      </c>
      <c r="O96" s="55" t="str">
        <f>IFERROR(IF($L$2&gt;0, $L$2*N96, "-"), "-")</f>
        <v>-</v>
      </c>
      <c r="Q96" s="55" t="str">
        <f t="shared" si="3"/>
        <v>-</v>
      </c>
    </row>
    <row r="97" spans="1:17" x14ac:dyDescent="0.3">
      <c r="A97" s="10" t="s">
        <v>387</v>
      </c>
      <c r="B97" s="11">
        <v>753950006263</v>
      </c>
      <c r="C97" s="12" t="s">
        <v>388</v>
      </c>
      <c r="D97" s="36" t="s">
        <v>18</v>
      </c>
      <c r="E97" s="57">
        <v>6.059268315408E-2</v>
      </c>
      <c r="F97" s="63" t="s">
        <v>413</v>
      </c>
      <c r="G97" s="40">
        <v>14.509950000000003</v>
      </c>
      <c r="H97" s="31"/>
      <c r="I97" s="20">
        <f>H97*G97</f>
        <v>0</v>
      </c>
      <c r="L97" s="53" t="str">
        <f t="shared" si="4"/>
        <v>-</v>
      </c>
      <c r="M97" s="53" t="str">
        <f t="shared" si="5"/>
        <v>-</v>
      </c>
      <c r="N97" s="54" t="str">
        <f>IF(H97&gt;0,H97*E97, "-")</f>
        <v>-</v>
      </c>
      <c r="O97" s="55" t="str">
        <f>IFERROR(IF($L$2&gt;0, $L$2*N97, "-"), "-")</f>
        <v>-</v>
      </c>
      <c r="Q97" s="55" t="str">
        <f t="shared" si="3"/>
        <v>-</v>
      </c>
    </row>
    <row r="98" spans="1:17" x14ac:dyDescent="0.3">
      <c r="A98" s="10" t="s">
        <v>401</v>
      </c>
      <c r="B98" s="11">
        <v>753950006348</v>
      </c>
      <c r="C98" s="12" t="s">
        <v>402</v>
      </c>
      <c r="D98" s="36" t="s">
        <v>403</v>
      </c>
      <c r="E98" s="57">
        <v>7.7924000000000007E-2</v>
      </c>
      <c r="F98" s="63" t="s">
        <v>413</v>
      </c>
      <c r="G98" s="40">
        <v>18.768750000000001</v>
      </c>
      <c r="H98" s="31"/>
      <c r="I98" s="20">
        <f>H98*G98</f>
        <v>0</v>
      </c>
      <c r="L98" s="53" t="str">
        <f t="shared" si="4"/>
        <v>-</v>
      </c>
      <c r="M98" s="53" t="str">
        <f t="shared" si="5"/>
        <v>-</v>
      </c>
      <c r="N98" s="54" t="str">
        <f>IF(H98&gt;0,H98*E98, "-")</f>
        <v>-</v>
      </c>
      <c r="O98" s="55" t="str">
        <f>IFERROR(IF($L$2&gt;0, $L$2*N98, "-"), "-")</f>
        <v>-</v>
      </c>
      <c r="Q98" s="55" t="str">
        <f t="shared" si="3"/>
        <v>-</v>
      </c>
    </row>
    <row r="99" spans="1:17" x14ac:dyDescent="0.3">
      <c r="A99" s="10" t="s">
        <v>7</v>
      </c>
      <c r="B99" s="11">
        <v>753950000292</v>
      </c>
      <c r="C99" s="12" t="s">
        <v>8</v>
      </c>
      <c r="D99" s="36" t="s">
        <v>9</v>
      </c>
      <c r="E99" s="57">
        <v>0.17167926893656002</v>
      </c>
      <c r="F99" s="63" t="s">
        <v>413</v>
      </c>
      <c r="G99" s="40">
        <v>33.415199999999999</v>
      </c>
      <c r="H99" s="31"/>
      <c r="I99" s="20">
        <f>H99*G99</f>
        <v>0</v>
      </c>
      <c r="L99" s="53" t="str">
        <f t="shared" si="4"/>
        <v>-</v>
      </c>
      <c r="M99" s="53" t="str">
        <f t="shared" si="5"/>
        <v>-</v>
      </c>
      <c r="N99" s="54" t="str">
        <f>IF(H99&gt;0,H99*E99, "-")</f>
        <v>-</v>
      </c>
      <c r="O99" s="55" t="str">
        <f>IFERROR(IF($L$2&gt;0, $L$2*N99, "-"), "-")</f>
        <v>-</v>
      </c>
      <c r="Q99" s="55" t="str">
        <f t="shared" si="3"/>
        <v>-</v>
      </c>
    </row>
    <row r="100" spans="1:17" x14ac:dyDescent="0.3">
      <c r="A100" s="10" t="s">
        <v>32</v>
      </c>
      <c r="B100" s="11">
        <v>753950000827</v>
      </c>
      <c r="C100" s="12" t="s">
        <v>33</v>
      </c>
      <c r="D100" s="36" t="s">
        <v>34</v>
      </c>
      <c r="E100" s="57">
        <v>0.22722256182780001</v>
      </c>
      <c r="F100" s="63" t="s">
        <v>413</v>
      </c>
      <c r="G100" s="40">
        <v>23.996700000000001</v>
      </c>
      <c r="H100" s="31"/>
      <c r="I100" s="20">
        <f>H100*G100</f>
        <v>0</v>
      </c>
      <c r="L100" s="53" t="str">
        <f t="shared" si="4"/>
        <v>-</v>
      </c>
      <c r="M100" s="53" t="str">
        <f t="shared" si="5"/>
        <v>-</v>
      </c>
      <c r="N100" s="54" t="str">
        <f>IF(H100&gt;0,H100*E100, "-")</f>
        <v>-</v>
      </c>
      <c r="O100" s="55" t="str">
        <f>IFERROR(IF($L$2&gt;0, $L$2*N100, "-"), "-")</f>
        <v>-</v>
      </c>
      <c r="Q100" s="55" t="str">
        <f t="shared" si="3"/>
        <v>-</v>
      </c>
    </row>
    <row r="101" spans="1:17" x14ac:dyDescent="0.3">
      <c r="A101" s="10" t="s">
        <v>35</v>
      </c>
      <c r="B101" s="11">
        <v>753950000858</v>
      </c>
      <c r="C101" s="12" t="s">
        <v>36</v>
      </c>
      <c r="D101" s="36" t="s">
        <v>29</v>
      </c>
      <c r="E101" s="57">
        <v>0.39385244050152002</v>
      </c>
      <c r="F101" s="63" t="s">
        <v>413</v>
      </c>
      <c r="G101" s="40">
        <v>30.576000000000001</v>
      </c>
      <c r="H101" s="31"/>
      <c r="I101" s="20">
        <f>H101*G101</f>
        <v>0</v>
      </c>
      <c r="L101" s="53" t="str">
        <f t="shared" si="4"/>
        <v>-</v>
      </c>
      <c r="M101" s="53" t="str">
        <f t="shared" si="5"/>
        <v>-</v>
      </c>
      <c r="N101" s="54" t="str">
        <f>IF(H101&gt;0,H101*E101, "-")</f>
        <v>-</v>
      </c>
      <c r="O101" s="55" t="str">
        <f>IFERROR(IF($L$2&gt;0, $L$2*N101, "-"), "-")</f>
        <v>-</v>
      </c>
      <c r="Q101" s="55" t="str">
        <f t="shared" si="3"/>
        <v>-</v>
      </c>
    </row>
    <row r="102" spans="1:17" x14ac:dyDescent="0.3">
      <c r="A102" s="10" t="s">
        <v>37</v>
      </c>
      <c r="B102" s="11">
        <v>753950000865</v>
      </c>
      <c r="C102" s="12" t="s">
        <v>38</v>
      </c>
      <c r="D102" s="36" t="s">
        <v>15</v>
      </c>
      <c r="E102" s="57">
        <v>0.39385244050152002</v>
      </c>
      <c r="F102" s="63" t="s">
        <v>413</v>
      </c>
      <c r="G102" s="40">
        <v>15.779400000000003</v>
      </c>
      <c r="H102" s="31"/>
      <c r="I102" s="20">
        <f>H102*G102</f>
        <v>0</v>
      </c>
      <c r="L102" s="53" t="str">
        <f t="shared" si="4"/>
        <v>-</v>
      </c>
      <c r="M102" s="53" t="str">
        <f t="shared" si="5"/>
        <v>-</v>
      </c>
      <c r="N102" s="54" t="str">
        <f>IF(H102&gt;0,H102*E102, "-")</f>
        <v>-</v>
      </c>
      <c r="O102" s="55" t="str">
        <f>IFERROR(IF($L$2&gt;0, $L$2*N102, "-"), "-")</f>
        <v>-</v>
      </c>
      <c r="Q102" s="55" t="str">
        <f t="shared" si="3"/>
        <v>-</v>
      </c>
    </row>
    <row r="103" spans="1:17" x14ac:dyDescent="0.3">
      <c r="A103" s="10" t="s">
        <v>45</v>
      </c>
      <c r="B103" s="11">
        <v>753950000964</v>
      </c>
      <c r="C103" s="12" t="s">
        <v>46</v>
      </c>
      <c r="D103" s="36" t="s">
        <v>29</v>
      </c>
      <c r="E103" s="57">
        <v>0.32316097682176004</v>
      </c>
      <c r="F103" s="63" t="s">
        <v>413</v>
      </c>
      <c r="G103" s="40">
        <v>13.8957</v>
      </c>
      <c r="H103" s="31"/>
      <c r="I103" s="20">
        <f>H103*G103</f>
        <v>0</v>
      </c>
      <c r="L103" s="53" t="str">
        <f t="shared" si="4"/>
        <v>-</v>
      </c>
      <c r="M103" s="53" t="str">
        <f t="shared" si="5"/>
        <v>-</v>
      </c>
      <c r="N103" s="54" t="str">
        <f>IF(H103&gt;0,H103*E103, "-")</f>
        <v>-</v>
      </c>
      <c r="O103" s="55" t="str">
        <f>IFERROR(IF($L$2&gt;0, $L$2*N103, "-"), "-")</f>
        <v>-</v>
      </c>
      <c r="Q103" s="55" t="str">
        <f t="shared" si="3"/>
        <v>-</v>
      </c>
    </row>
    <row r="104" spans="1:17" x14ac:dyDescent="0.3">
      <c r="A104" s="10" t="s">
        <v>53</v>
      </c>
      <c r="B104" s="11">
        <v>753950001053</v>
      </c>
      <c r="C104" s="12" t="s">
        <v>54</v>
      </c>
      <c r="D104" s="36" t="s">
        <v>18</v>
      </c>
      <c r="E104" s="57">
        <v>0.30801280603323999</v>
      </c>
      <c r="F104" s="63" t="s">
        <v>413</v>
      </c>
      <c r="G104" s="40">
        <v>14.332500000000001</v>
      </c>
      <c r="H104" s="31"/>
      <c r="I104" s="20">
        <f>H104*G104</f>
        <v>0</v>
      </c>
      <c r="L104" s="53" t="str">
        <f t="shared" si="4"/>
        <v>-</v>
      </c>
      <c r="M104" s="53" t="str">
        <f t="shared" si="5"/>
        <v>-</v>
      </c>
      <c r="N104" s="54" t="str">
        <f>IF(H104&gt;0,H104*E104, "-")</f>
        <v>-</v>
      </c>
      <c r="O104" s="55" t="str">
        <f>IFERROR(IF($L$2&gt;0, $L$2*N104, "-"), "-")</f>
        <v>-</v>
      </c>
      <c r="Q104" s="55" t="str">
        <f t="shared" si="3"/>
        <v>-</v>
      </c>
    </row>
    <row r="105" spans="1:17" x14ac:dyDescent="0.3">
      <c r="A105" s="10" t="s">
        <v>55</v>
      </c>
      <c r="B105" s="11">
        <v>753950001060</v>
      </c>
      <c r="C105" s="12" t="s">
        <v>56</v>
      </c>
      <c r="D105" s="36" t="s">
        <v>18</v>
      </c>
      <c r="E105" s="57">
        <v>0.10098780525680003</v>
      </c>
      <c r="F105" s="63" t="s">
        <v>413</v>
      </c>
      <c r="G105" s="40">
        <v>21.498750000000001</v>
      </c>
      <c r="H105" s="31"/>
      <c r="I105" s="20">
        <f>H105*G105</f>
        <v>0</v>
      </c>
      <c r="L105" s="53" t="str">
        <f t="shared" si="4"/>
        <v>-</v>
      </c>
      <c r="M105" s="53" t="str">
        <f t="shared" si="5"/>
        <v>-</v>
      </c>
      <c r="N105" s="54" t="str">
        <f>IF(H105&gt;0,H105*E105, "-")</f>
        <v>-</v>
      </c>
      <c r="O105" s="55" t="str">
        <f>IFERROR(IF($L$2&gt;0, $L$2*N105, "-"), "-")</f>
        <v>-</v>
      </c>
      <c r="Q105" s="55" t="str">
        <f t="shared" si="3"/>
        <v>-</v>
      </c>
    </row>
    <row r="106" spans="1:17" x14ac:dyDescent="0.3">
      <c r="A106" s="10" t="s">
        <v>61</v>
      </c>
      <c r="B106" s="11">
        <v>753950001206</v>
      </c>
      <c r="C106" s="12" t="s">
        <v>62</v>
      </c>
      <c r="D106" s="36" t="s">
        <v>29</v>
      </c>
      <c r="E106" s="57">
        <v>0.11108658578248</v>
      </c>
      <c r="F106" s="63" t="s">
        <v>413</v>
      </c>
      <c r="G106" s="40">
        <v>17.922450000000005</v>
      </c>
      <c r="H106" s="31"/>
      <c r="I106" s="20">
        <f>H106*G106</f>
        <v>0</v>
      </c>
      <c r="L106" s="53" t="str">
        <f t="shared" si="4"/>
        <v>-</v>
      </c>
      <c r="M106" s="53" t="str">
        <f t="shared" si="5"/>
        <v>-</v>
      </c>
      <c r="N106" s="54" t="str">
        <f>IF(H106&gt;0,H106*E106, "-")</f>
        <v>-</v>
      </c>
      <c r="O106" s="55" t="str">
        <f>IFERROR(IF($L$2&gt;0, $L$2*N106, "-"), "-")</f>
        <v>-</v>
      </c>
      <c r="Q106" s="55" t="str">
        <f t="shared" si="3"/>
        <v>-</v>
      </c>
    </row>
    <row r="107" spans="1:17" x14ac:dyDescent="0.3">
      <c r="A107" s="10" t="s">
        <v>67</v>
      </c>
      <c r="B107" s="11">
        <v>753950001268</v>
      </c>
      <c r="C107" s="12" t="s">
        <v>68</v>
      </c>
      <c r="D107" s="36" t="s">
        <v>12</v>
      </c>
      <c r="E107" s="57">
        <v>8.583963446828001E-2</v>
      </c>
      <c r="F107" s="63" t="s">
        <v>413</v>
      </c>
      <c r="G107" s="40">
        <v>21.71715</v>
      </c>
      <c r="H107" s="31"/>
      <c r="I107" s="20">
        <f>H107*G107</f>
        <v>0</v>
      </c>
      <c r="L107" s="53" t="str">
        <f t="shared" si="4"/>
        <v>-</v>
      </c>
      <c r="M107" s="53" t="str">
        <f t="shared" si="5"/>
        <v>-</v>
      </c>
      <c r="N107" s="54" t="str">
        <f>IF(H107&gt;0,H107*E107, "-")</f>
        <v>-</v>
      </c>
      <c r="O107" s="55" t="str">
        <f>IFERROR(IF($L$2&gt;0, $L$2*N107, "-"), "-")</f>
        <v>-</v>
      </c>
      <c r="Q107" s="55" t="str">
        <f t="shared" si="3"/>
        <v>-</v>
      </c>
    </row>
    <row r="108" spans="1:17" x14ac:dyDescent="0.3">
      <c r="A108" s="10" t="s">
        <v>69</v>
      </c>
      <c r="B108" s="11">
        <v>753950001299</v>
      </c>
      <c r="C108" s="12" t="s">
        <v>70</v>
      </c>
      <c r="D108" s="36" t="s">
        <v>29</v>
      </c>
      <c r="E108" s="57">
        <v>9.0889024731120011E-2</v>
      </c>
      <c r="F108" s="63" t="s">
        <v>413</v>
      </c>
      <c r="G108" s="40">
        <v>21.44415</v>
      </c>
      <c r="H108" s="31"/>
      <c r="I108" s="20">
        <f>H108*G108</f>
        <v>0</v>
      </c>
      <c r="L108" s="53" t="str">
        <f t="shared" si="4"/>
        <v>-</v>
      </c>
      <c r="M108" s="53" t="str">
        <f t="shared" si="5"/>
        <v>-</v>
      </c>
      <c r="N108" s="54" t="str">
        <f>IF(H108&gt;0,H108*E108, "-")</f>
        <v>-</v>
      </c>
      <c r="O108" s="55" t="str">
        <f>IFERROR(IF($L$2&gt;0, $L$2*N108, "-"), "-")</f>
        <v>-</v>
      </c>
      <c r="Q108" s="55" t="str">
        <f t="shared" si="3"/>
        <v>-</v>
      </c>
    </row>
    <row r="109" spans="1:17" x14ac:dyDescent="0.3">
      <c r="A109" s="10" t="s">
        <v>83</v>
      </c>
      <c r="B109" s="11">
        <v>753950001527</v>
      </c>
      <c r="C109" s="12" t="s">
        <v>84</v>
      </c>
      <c r="D109" s="36" t="s">
        <v>29</v>
      </c>
      <c r="E109" s="57">
        <v>0.11108658578248</v>
      </c>
      <c r="F109" s="63" t="s">
        <v>413</v>
      </c>
      <c r="G109" s="40">
        <v>24.843</v>
      </c>
      <c r="H109" s="31"/>
      <c r="I109" s="20">
        <f>H109*G109</f>
        <v>0</v>
      </c>
      <c r="L109" s="53" t="str">
        <f t="shared" si="4"/>
        <v>-</v>
      </c>
      <c r="M109" s="53" t="str">
        <f t="shared" si="5"/>
        <v>-</v>
      </c>
      <c r="N109" s="54" t="str">
        <f>IF(H109&gt;0,H109*E109, "-")</f>
        <v>-</v>
      </c>
      <c r="O109" s="55" t="str">
        <f>IFERROR(IF($L$2&gt;0, $L$2*N109, "-"), "-")</f>
        <v>-</v>
      </c>
      <c r="Q109" s="55" t="str">
        <f t="shared" si="3"/>
        <v>-</v>
      </c>
    </row>
    <row r="110" spans="1:17" x14ac:dyDescent="0.3">
      <c r="A110" s="10" t="s">
        <v>87</v>
      </c>
      <c r="B110" s="11">
        <v>753950001572</v>
      </c>
      <c r="C110" s="12" t="s">
        <v>88</v>
      </c>
      <c r="D110" s="36" t="s">
        <v>18</v>
      </c>
      <c r="E110" s="57">
        <v>0.10098780525680003</v>
      </c>
      <c r="F110" s="63" t="s">
        <v>413</v>
      </c>
      <c r="G110" s="40">
        <v>41.6325</v>
      </c>
      <c r="H110" s="31"/>
      <c r="I110" s="20">
        <f>H110*G110</f>
        <v>0</v>
      </c>
      <c r="L110" s="53" t="str">
        <f t="shared" si="4"/>
        <v>-</v>
      </c>
      <c r="M110" s="53" t="str">
        <f t="shared" si="5"/>
        <v>-</v>
      </c>
      <c r="N110" s="54" t="str">
        <f>IF(H110&gt;0,H110*E110, "-")</f>
        <v>-</v>
      </c>
      <c r="O110" s="55" t="str">
        <f>IFERROR(IF($L$2&gt;0, $L$2*N110, "-"), "-")</f>
        <v>-</v>
      </c>
      <c r="Q110" s="55" t="str">
        <f t="shared" si="3"/>
        <v>-</v>
      </c>
    </row>
    <row r="111" spans="1:17" x14ac:dyDescent="0.3">
      <c r="A111" s="10" t="s">
        <v>91</v>
      </c>
      <c r="B111" s="11">
        <v>753950001657</v>
      </c>
      <c r="C111" s="12" t="s">
        <v>92</v>
      </c>
      <c r="D111" s="36" t="s">
        <v>18</v>
      </c>
      <c r="E111" s="57">
        <v>0.10098780525680003</v>
      </c>
      <c r="F111" s="63" t="s">
        <v>413</v>
      </c>
      <c r="G111" s="40">
        <v>34.00215</v>
      </c>
      <c r="H111" s="31"/>
      <c r="I111" s="20">
        <f>H111*G111</f>
        <v>0</v>
      </c>
      <c r="L111" s="53" t="str">
        <f t="shared" si="4"/>
        <v>-</v>
      </c>
      <c r="M111" s="53" t="str">
        <f t="shared" si="5"/>
        <v>-</v>
      </c>
      <c r="N111" s="54" t="str">
        <f>IF(H111&gt;0,H111*E111, "-")</f>
        <v>-</v>
      </c>
      <c r="O111" s="55" t="str">
        <f>IFERROR(IF($L$2&gt;0, $L$2*N111, "-"), "-")</f>
        <v>-</v>
      </c>
      <c r="Q111" s="55" t="str">
        <f t="shared" si="3"/>
        <v>-</v>
      </c>
    </row>
    <row r="112" spans="1:17" x14ac:dyDescent="0.3">
      <c r="A112" s="10" t="s">
        <v>93</v>
      </c>
      <c r="B112" s="11">
        <v>753950001701</v>
      </c>
      <c r="C112" s="12" t="s">
        <v>94</v>
      </c>
      <c r="D112" s="36" t="s">
        <v>12</v>
      </c>
      <c r="E112" s="57">
        <v>6.059268315408E-2</v>
      </c>
      <c r="F112" s="63" t="s">
        <v>413</v>
      </c>
      <c r="G112" s="40">
        <v>37.537500000000001</v>
      </c>
      <c r="H112" s="31"/>
      <c r="I112" s="20">
        <f>H112*G112</f>
        <v>0</v>
      </c>
      <c r="L112" s="53" t="str">
        <f t="shared" si="4"/>
        <v>-</v>
      </c>
      <c r="M112" s="53" t="str">
        <f t="shared" si="5"/>
        <v>-</v>
      </c>
      <c r="N112" s="54" t="str">
        <f>IF(H112&gt;0,H112*E112, "-")</f>
        <v>-</v>
      </c>
      <c r="O112" s="55" t="str">
        <f>IFERROR(IF($L$2&gt;0, $L$2*N112, "-"), "-")</f>
        <v>-</v>
      </c>
      <c r="Q112" s="55" t="str">
        <f t="shared" si="3"/>
        <v>-</v>
      </c>
    </row>
    <row r="113" spans="1:17" x14ac:dyDescent="0.3">
      <c r="A113" s="10" t="s">
        <v>95</v>
      </c>
      <c r="B113" s="11">
        <v>753950001718</v>
      </c>
      <c r="C113" s="12" t="s">
        <v>96</v>
      </c>
      <c r="D113" s="36" t="s">
        <v>18</v>
      </c>
      <c r="E113" s="57">
        <v>0.10098780525680003</v>
      </c>
      <c r="F113" s="63" t="s">
        <v>413</v>
      </c>
      <c r="G113" s="40">
        <v>18.8916</v>
      </c>
      <c r="H113" s="31"/>
      <c r="I113" s="20">
        <f>H113*G113</f>
        <v>0</v>
      </c>
      <c r="L113" s="53" t="str">
        <f t="shared" si="4"/>
        <v>-</v>
      </c>
      <c r="M113" s="53" t="str">
        <f t="shared" si="5"/>
        <v>-</v>
      </c>
      <c r="N113" s="54" t="str">
        <f>IF(H113&gt;0,H113*E113, "-")</f>
        <v>-</v>
      </c>
      <c r="O113" s="55" t="str">
        <f>IFERROR(IF($L$2&gt;0, $L$2*N113, "-"), "-")</f>
        <v>-</v>
      </c>
      <c r="Q113" s="55" t="str">
        <f t="shared" si="3"/>
        <v>-</v>
      </c>
    </row>
    <row r="114" spans="1:17" x14ac:dyDescent="0.3">
      <c r="A114" s="10" t="s">
        <v>97</v>
      </c>
      <c r="B114" s="11">
        <v>753950001732</v>
      </c>
      <c r="C114" s="12" t="s">
        <v>98</v>
      </c>
      <c r="D114" s="36" t="s">
        <v>23</v>
      </c>
      <c r="E114" s="57">
        <v>0.252469513142</v>
      </c>
      <c r="F114" s="63" t="s">
        <v>413</v>
      </c>
      <c r="G114" s="40">
        <v>37.196249999999999</v>
      </c>
      <c r="H114" s="31"/>
      <c r="I114" s="20">
        <f>H114*G114</f>
        <v>0</v>
      </c>
      <c r="L114" s="53" t="str">
        <f t="shared" si="4"/>
        <v>-</v>
      </c>
      <c r="M114" s="53" t="str">
        <f t="shared" si="5"/>
        <v>-</v>
      </c>
      <c r="N114" s="54" t="str">
        <f>IF(H114&gt;0,H114*E114, "-")</f>
        <v>-</v>
      </c>
      <c r="O114" s="55" t="str">
        <f>IFERROR(IF($L$2&gt;0, $L$2*N114, "-"), "-")</f>
        <v>-</v>
      </c>
      <c r="Q114" s="55" t="str">
        <f t="shared" si="3"/>
        <v>-</v>
      </c>
    </row>
    <row r="115" spans="1:17" x14ac:dyDescent="0.3">
      <c r="A115" s="10" t="s">
        <v>99</v>
      </c>
      <c r="B115" s="11">
        <v>753950001770</v>
      </c>
      <c r="C115" s="12" t="s">
        <v>100</v>
      </c>
      <c r="D115" s="36" t="s">
        <v>18</v>
      </c>
      <c r="E115" s="57">
        <v>0.10098780525680003</v>
      </c>
      <c r="F115" s="63" t="s">
        <v>413</v>
      </c>
      <c r="G115" s="40">
        <v>24.638250000000003</v>
      </c>
      <c r="H115" s="31"/>
      <c r="I115" s="20">
        <f>H115*G115</f>
        <v>0</v>
      </c>
      <c r="L115" s="53" t="str">
        <f t="shared" si="4"/>
        <v>-</v>
      </c>
      <c r="M115" s="53" t="str">
        <f t="shared" si="5"/>
        <v>-</v>
      </c>
      <c r="N115" s="54" t="str">
        <f>IF(H115&gt;0,H115*E115, "-")</f>
        <v>-</v>
      </c>
      <c r="O115" s="55" t="str">
        <f>IFERROR(IF($L$2&gt;0, $L$2*N115, "-"), "-")</f>
        <v>-</v>
      </c>
      <c r="Q115" s="55" t="str">
        <f t="shared" si="3"/>
        <v>-</v>
      </c>
    </row>
    <row r="116" spans="1:17" x14ac:dyDescent="0.3">
      <c r="A116" s="10" t="s">
        <v>101</v>
      </c>
      <c r="B116" s="11">
        <v>753950001787</v>
      </c>
      <c r="C116" s="12" t="s">
        <v>102</v>
      </c>
      <c r="D116" s="36" t="s">
        <v>103</v>
      </c>
      <c r="E116" s="57">
        <v>0.10098780525680003</v>
      </c>
      <c r="F116" s="63" t="s">
        <v>413</v>
      </c>
      <c r="G116" s="40">
        <v>35.708400000000005</v>
      </c>
      <c r="H116" s="31"/>
      <c r="I116" s="20">
        <f>H116*G116</f>
        <v>0</v>
      </c>
      <c r="L116" s="53" t="str">
        <f t="shared" si="4"/>
        <v>-</v>
      </c>
      <c r="M116" s="53" t="str">
        <f t="shared" si="5"/>
        <v>-</v>
      </c>
      <c r="N116" s="54" t="str">
        <f>IF(H116&gt;0,H116*E116, "-")</f>
        <v>-</v>
      </c>
      <c r="O116" s="55" t="str">
        <f>IFERROR(IF($L$2&gt;0, $L$2*N116, "-"), "-")</f>
        <v>-</v>
      </c>
      <c r="Q116" s="55" t="str">
        <f t="shared" si="3"/>
        <v>-</v>
      </c>
    </row>
    <row r="117" spans="1:17" x14ac:dyDescent="0.3">
      <c r="A117" s="10" t="s">
        <v>104</v>
      </c>
      <c r="B117" s="11">
        <v>753950001817</v>
      </c>
      <c r="C117" s="12" t="s">
        <v>105</v>
      </c>
      <c r="D117" s="36" t="s">
        <v>78</v>
      </c>
      <c r="E117" s="57">
        <v>0.22722256182780001</v>
      </c>
      <c r="F117" s="63" t="s">
        <v>413</v>
      </c>
      <c r="G117" s="40">
        <v>48.539400000000001</v>
      </c>
      <c r="H117" s="31"/>
      <c r="I117" s="20">
        <f>H117*G117</f>
        <v>0</v>
      </c>
      <c r="L117" s="53" t="str">
        <f t="shared" si="4"/>
        <v>-</v>
      </c>
      <c r="M117" s="53" t="str">
        <f t="shared" si="5"/>
        <v>-</v>
      </c>
      <c r="N117" s="54" t="str">
        <f>IF(H117&gt;0,H117*E117, "-")</f>
        <v>-</v>
      </c>
      <c r="O117" s="55" t="str">
        <f>IFERROR(IF($L$2&gt;0, $L$2*N117, "-"), "-")</f>
        <v>-</v>
      </c>
      <c r="Q117" s="55" t="str">
        <f t="shared" si="3"/>
        <v>-</v>
      </c>
    </row>
    <row r="118" spans="1:17" x14ac:dyDescent="0.3">
      <c r="A118" s="10" t="s">
        <v>106</v>
      </c>
      <c r="B118" s="11">
        <v>753950001831</v>
      </c>
      <c r="C118" s="12" t="s">
        <v>107</v>
      </c>
      <c r="D118" s="36" t="s">
        <v>108</v>
      </c>
      <c r="E118" s="57">
        <v>9.0889024731120011E-2</v>
      </c>
      <c r="F118" s="63" t="s">
        <v>413</v>
      </c>
      <c r="G118" s="40">
        <v>25.880400000000002</v>
      </c>
      <c r="H118" s="31"/>
      <c r="I118" s="20">
        <f>H118*G118</f>
        <v>0</v>
      </c>
      <c r="L118" s="53" t="str">
        <f t="shared" si="4"/>
        <v>-</v>
      </c>
      <c r="M118" s="53" t="str">
        <f t="shared" si="5"/>
        <v>-</v>
      </c>
      <c r="N118" s="54" t="str">
        <f>IF(H118&gt;0,H118*E118, "-")</f>
        <v>-</v>
      </c>
      <c r="O118" s="55" t="str">
        <f>IFERROR(IF($L$2&gt;0, $L$2*N118, "-"), "-")</f>
        <v>-</v>
      </c>
      <c r="Q118" s="55" t="str">
        <f t="shared" si="3"/>
        <v>-</v>
      </c>
    </row>
    <row r="119" spans="1:17" x14ac:dyDescent="0.3">
      <c r="A119" s="10" t="s">
        <v>109</v>
      </c>
      <c r="B119" s="11">
        <v>753950001848</v>
      </c>
      <c r="C119" s="12" t="s">
        <v>110</v>
      </c>
      <c r="D119" s="36" t="s">
        <v>12</v>
      </c>
      <c r="E119" s="57">
        <v>9.5938414993960011E-2</v>
      </c>
      <c r="F119" s="63" t="s">
        <v>413</v>
      </c>
      <c r="G119" s="40">
        <v>35.012250000000002</v>
      </c>
      <c r="H119" s="31"/>
      <c r="I119" s="20">
        <f>H119*G119</f>
        <v>0</v>
      </c>
      <c r="L119" s="53" t="str">
        <f t="shared" si="4"/>
        <v>-</v>
      </c>
      <c r="M119" s="53" t="str">
        <f t="shared" si="5"/>
        <v>-</v>
      </c>
      <c r="N119" s="54" t="str">
        <f>IF(H119&gt;0,H119*E119, "-")</f>
        <v>-</v>
      </c>
      <c r="O119" s="55" t="str">
        <f>IFERROR(IF($L$2&gt;0, $L$2*N119, "-"), "-")</f>
        <v>-</v>
      </c>
      <c r="Q119" s="55" t="str">
        <f t="shared" si="3"/>
        <v>-</v>
      </c>
    </row>
    <row r="120" spans="1:17" x14ac:dyDescent="0.3">
      <c r="A120" s="10" t="s">
        <v>119</v>
      </c>
      <c r="B120" s="11">
        <v>753950001954</v>
      </c>
      <c r="C120" s="12" t="s">
        <v>120</v>
      </c>
      <c r="D120" s="36" t="s">
        <v>6</v>
      </c>
      <c r="E120" s="57">
        <v>0.45444512365560003</v>
      </c>
      <c r="F120" s="63" t="s">
        <v>413</v>
      </c>
      <c r="G120" s="40">
        <v>73.832850000000008</v>
      </c>
      <c r="H120" s="31"/>
      <c r="I120" s="20">
        <f>H120*G120</f>
        <v>0</v>
      </c>
      <c r="L120" s="53" t="str">
        <f t="shared" si="4"/>
        <v>-</v>
      </c>
      <c r="M120" s="53" t="str">
        <f t="shared" si="5"/>
        <v>-</v>
      </c>
      <c r="N120" s="54" t="str">
        <f>IF(H120&gt;0,H120*E120, "-")</f>
        <v>-</v>
      </c>
      <c r="O120" s="55" t="str">
        <f>IFERROR(IF($L$2&gt;0, $L$2*N120, "-"), "-")</f>
        <v>-</v>
      </c>
      <c r="Q120" s="55" t="str">
        <f t="shared" si="3"/>
        <v>-</v>
      </c>
    </row>
    <row r="121" spans="1:17" x14ac:dyDescent="0.3">
      <c r="A121" s="10" t="s">
        <v>121</v>
      </c>
      <c r="B121" s="11">
        <v>753950001978</v>
      </c>
      <c r="C121" s="12" t="s">
        <v>122</v>
      </c>
      <c r="D121" s="36" t="s">
        <v>12</v>
      </c>
      <c r="E121" s="57">
        <v>6.059268315408E-2</v>
      </c>
      <c r="F121" s="63" t="s">
        <v>413</v>
      </c>
      <c r="G121" s="40">
        <v>24.692850000000004</v>
      </c>
      <c r="H121" s="31"/>
      <c r="I121" s="20">
        <f>H121*G121</f>
        <v>0</v>
      </c>
      <c r="L121" s="53" t="str">
        <f t="shared" si="4"/>
        <v>-</v>
      </c>
      <c r="M121" s="53" t="str">
        <f t="shared" si="5"/>
        <v>-</v>
      </c>
      <c r="N121" s="54" t="str">
        <f>IF(H121&gt;0,H121*E121, "-")</f>
        <v>-</v>
      </c>
      <c r="O121" s="55" t="str">
        <f>IFERROR(IF($L$2&gt;0, $L$2*N121, "-"), "-")</f>
        <v>-</v>
      </c>
      <c r="Q121" s="55" t="str">
        <f t="shared" si="3"/>
        <v>-</v>
      </c>
    </row>
    <row r="122" spans="1:17" x14ac:dyDescent="0.3">
      <c r="A122" s="10" t="s">
        <v>125</v>
      </c>
      <c r="B122" s="11">
        <v>753950002005</v>
      </c>
      <c r="C122" s="12" t="s">
        <v>126</v>
      </c>
      <c r="D122" s="36" t="s">
        <v>6</v>
      </c>
      <c r="E122" s="57">
        <v>0.19692622025076001</v>
      </c>
      <c r="F122" s="63" t="s">
        <v>413</v>
      </c>
      <c r="G122" s="40">
        <v>21.389550000000003</v>
      </c>
      <c r="H122" s="31"/>
      <c r="I122" s="20">
        <f>H122*G122</f>
        <v>0</v>
      </c>
      <c r="L122" s="53" t="str">
        <f t="shared" si="4"/>
        <v>-</v>
      </c>
      <c r="M122" s="53" t="str">
        <f t="shared" si="5"/>
        <v>-</v>
      </c>
      <c r="N122" s="54" t="str">
        <f>IF(H122&gt;0,H122*E122, "-")</f>
        <v>-</v>
      </c>
      <c r="O122" s="55" t="str">
        <f>IFERROR(IF($L$2&gt;0, $L$2*N122, "-"), "-")</f>
        <v>-</v>
      </c>
      <c r="Q122" s="55" t="str">
        <f t="shared" si="3"/>
        <v>-</v>
      </c>
    </row>
    <row r="123" spans="1:17" x14ac:dyDescent="0.3">
      <c r="A123" s="10" t="s">
        <v>134</v>
      </c>
      <c r="B123" s="11">
        <v>753950002067</v>
      </c>
      <c r="C123" s="12" t="s">
        <v>135</v>
      </c>
      <c r="D123" s="36" t="s">
        <v>116</v>
      </c>
      <c r="E123" s="57">
        <v>0.10098780525680003</v>
      </c>
      <c r="F123" s="63" t="s">
        <v>413</v>
      </c>
      <c r="G123" s="40">
        <v>38.411100000000005</v>
      </c>
      <c r="H123" s="31"/>
      <c r="I123" s="20">
        <f>H123*G123</f>
        <v>0</v>
      </c>
      <c r="L123" s="53" t="str">
        <f t="shared" si="4"/>
        <v>-</v>
      </c>
      <c r="M123" s="53" t="str">
        <f t="shared" si="5"/>
        <v>-</v>
      </c>
      <c r="N123" s="54" t="str">
        <f>IF(H123&gt;0,H123*E123, "-")</f>
        <v>-</v>
      </c>
      <c r="O123" s="55" t="str">
        <f>IFERROR(IF($L$2&gt;0, $L$2*N123, "-"), "-")</f>
        <v>-</v>
      </c>
      <c r="Q123" s="55" t="str">
        <f t="shared" si="3"/>
        <v>-</v>
      </c>
    </row>
    <row r="124" spans="1:17" x14ac:dyDescent="0.3">
      <c r="A124" s="10" t="s">
        <v>141</v>
      </c>
      <c r="B124" s="11">
        <v>753950002111</v>
      </c>
      <c r="C124" s="12" t="s">
        <v>142</v>
      </c>
      <c r="D124" s="36" t="s">
        <v>18</v>
      </c>
      <c r="E124" s="57">
        <v>0.10098780525680003</v>
      </c>
      <c r="F124" s="63" t="s">
        <v>413</v>
      </c>
      <c r="G124" s="40">
        <v>26.508300000000002</v>
      </c>
      <c r="H124" s="31"/>
      <c r="I124" s="20">
        <f>H124*G124</f>
        <v>0</v>
      </c>
      <c r="L124" s="53" t="str">
        <f t="shared" si="4"/>
        <v>-</v>
      </c>
      <c r="M124" s="53" t="str">
        <f t="shared" si="5"/>
        <v>-</v>
      </c>
      <c r="N124" s="54" t="str">
        <f>IF(H124&gt;0,H124*E124, "-")</f>
        <v>-</v>
      </c>
      <c r="O124" s="55" t="str">
        <f t="shared" ref="O124:O163" si="6">IFERROR(IF($L$2&gt;0, $L$2*N124, "-"), "-")</f>
        <v>-</v>
      </c>
      <c r="Q124" s="55" t="str">
        <f t="shared" ref="Q124:Q163" si="7">IFERROR(IF(O124+I124=0, "-", IF(O124&gt;0, O124+I124, "-")), "-")</f>
        <v>-</v>
      </c>
    </row>
    <row r="125" spans="1:17" x14ac:dyDescent="0.3">
      <c r="A125" s="10" t="s">
        <v>143</v>
      </c>
      <c r="B125" s="11">
        <v>753950002142</v>
      </c>
      <c r="C125" s="12" t="s">
        <v>144</v>
      </c>
      <c r="D125" s="36" t="s">
        <v>18</v>
      </c>
      <c r="E125" s="57">
        <v>0.10603719551964</v>
      </c>
      <c r="F125" s="63" t="s">
        <v>413</v>
      </c>
      <c r="G125" s="40">
        <v>24.024000000000004</v>
      </c>
      <c r="H125" s="31"/>
      <c r="I125" s="20">
        <f>H125*G125</f>
        <v>0</v>
      </c>
      <c r="L125" s="53" t="str">
        <f t="shared" si="4"/>
        <v>-</v>
      </c>
      <c r="M125" s="53" t="str">
        <f t="shared" si="5"/>
        <v>-</v>
      </c>
      <c r="N125" s="54" t="str">
        <f>IF(H125&gt;0,H125*E125, "-")</f>
        <v>-</v>
      </c>
      <c r="O125" s="55" t="str">
        <f t="shared" si="6"/>
        <v>-</v>
      </c>
      <c r="Q125" s="55" t="str">
        <f t="shared" si="7"/>
        <v>-</v>
      </c>
    </row>
    <row r="126" spans="1:17" x14ac:dyDescent="0.3">
      <c r="A126" s="10" t="s">
        <v>145</v>
      </c>
      <c r="B126" s="11">
        <v>753950002159</v>
      </c>
      <c r="C126" s="12" t="s">
        <v>146</v>
      </c>
      <c r="D126" s="36" t="s">
        <v>12</v>
      </c>
      <c r="E126" s="57">
        <v>9.3918658888824016E-2</v>
      </c>
      <c r="F126" s="63" t="s">
        <v>413</v>
      </c>
      <c r="G126" s="40">
        <v>30.002700000000001</v>
      </c>
      <c r="H126" s="31"/>
      <c r="I126" s="20">
        <f>H126*G126</f>
        <v>0</v>
      </c>
      <c r="L126" s="53" t="str">
        <f t="shared" si="4"/>
        <v>-</v>
      </c>
      <c r="M126" s="53" t="str">
        <f t="shared" si="5"/>
        <v>-</v>
      </c>
      <c r="N126" s="54" t="str">
        <f>IF(H126&gt;0,H126*E126, "-")</f>
        <v>-</v>
      </c>
      <c r="O126" s="55" t="str">
        <f t="shared" si="6"/>
        <v>-</v>
      </c>
      <c r="Q126" s="55" t="str">
        <f t="shared" si="7"/>
        <v>-</v>
      </c>
    </row>
    <row r="127" spans="1:17" x14ac:dyDescent="0.3">
      <c r="A127" s="10" t="s">
        <v>153</v>
      </c>
      <c r="B127" s="11">
        <v>753950002241</v>
      </c>
      <c r="C127" s="12" t="s">
        <v>154</v>
      </c>
      <c r="D127" s="36" t="s">
        <v>34</v>
      </c>
      <c r="E127" s="57">
        <v>5.554329289124E-2</v>
      </c>
      <c r="F127" s="63" t="s">
        <v>413</v>
      </c>
      <c r="G127" s="40">
        <v>16.857749999999999</v>
      </c>
      <c r="H127" s="31"/>
      <c r="I127" s="20">
        <f>H127*G127</f>
        <v>0</v>
      </c>
      <c r="L127" s="53" t="str">
        <f t="shared" si="4"/>
        <v>-</v>
      </c>
      <c r="M127" s="53" t="str">
        <f t="shared" si="5"/>
        <v>-</v>
      </c>
      <c r="N127" s="54" t="str">
        <f>IF(H127&gt;0,H127*E127, "-")</f>
        <v>-</v>
      </c>
      <c r="O127" s="55" t="str">
        <f t="shared" si="6"/>
        <v>-</v>
      </c>
      <c r="Q127" s="55" t="str">
        <f t="shared" si="7"/>
        <v>-</v>
      </c>
    </row>
    <row r="128" spans="1:17" x14ac:dyDescent="0.3">
      <c r="A128" s="10" t="s">
        <v>160</v>
      </c>
      <c r="B128" s="11">
        <v>753950002296</v>
      </c>
      <c r="C128" s="12" t="s">
        <v>64</v>
      </c>
      <c r="D128" s="36" t="s">
        <v>9</v>
      </c>
      <c r="E128" s="57">
        <v>0.10603719551964</v>
      </c>
      <c r="F128" s="63" t="s">
        <v>413</v>
      </c>
      <c r="G128" s="40">
        <v>58.695</v>
      </c>
      <c r="H128" s="31"/>
      <c r="I128" s="20">
        <f>H128*G128</f>
        <v>0</v>
      </c>
      <c r="L128" s="53" t="str">
        <f t="shared" ref="L128:L163" si="8">IFERROR(IF($L$2*E128=0, "-", $L$2*E128), "-")</f>
        <v>-</v>
      </c>
      <c r="M128" s="53" t="str">
        <f t="shared" ref="M128:M163" si="9">IF(H128&gt;0,G128+E128*H128/$N$2*$O$2/H128,"-")</f>
        <v>-</v>
      </c>
      <c r="N128" s="54" t="str">
        <f>IF(H128&gt;0,H128*E128, "-")</f>
        <v>-</v>
      </c>
      <c r="O128" s="55" t="str">
        <f t="shared" si="6"/>
        <v>-</v>
      </c>
      <c r="Q128" s="55" t="str">
        <f t="shared" si="7"/>
        <v>-</v>
      </c>
    </row>
    <row r="129" spans="1:17" x14ac:dyDescent="0.3">
      <c r="A129" s="10" t="s">
        <v>161</v>
      </c>
      <c r="B129" s="11">
        <v>753950002302</v>
      </c>
      <c r="C129" s="12" t="s">
        <v>156</v>
      </c>
      <c r="D129" s="36" t="s">
        <v>9</v>
      </c>
      <c r="E129" s="57">
        <v>0.20702500077643998</v>
      </c>
      <c r="F129" s="63" t="s">
        <v>413</v>
      </c>
      <c r="G129" s="40">
        <v>64.864800000000017</v>
      </c>
      <c r="H129" s="31"/>
      <c r="I129" s="20">
        <f>H129*G129</f>
        <v>0</v>
      </c>
      <c r="L129" s="53" t="str">
        <f t="shared" si="8"/>
        <v>-</v>
      </c>
      <c r="M129" s="53" t="str">
        <f t="shared" si="9"/>
        <v>-</v>
      </c>
      <c r="N129" s="54" t="str">
        <f t="shared" ref="N129:N163" si="10">IF(H129&gt;0,H129*E129, "-")</f>
        <v>-</v>
      </c>
      <c r="O129" s="55" t="str">
        <f t="shared" si="6"/>
        <v>-</v>
      </c>
      <c r="Q129" s="55" t="str">
        <f t="shared" si="7"/>
        <v>-</v>
      </c>
    </row>
    <row r="130" spans="1:17" x14ac:dyDescent="0.3">
      <c r="A130" s="10" t="s">
        <v>166</v>
      </c>
      <c r="B130" s="11">
        <v>753950002425</v>
      </c>
      <c r="C130" s="12" t="s">
        <v>167</v>
      </c>
      <c r="D130" s="36" t="s">
        <v>6</v>
      </c>
      <c r="E130" s="57">
        <v>0.10603719551964</v>
      </c>
      <c r="F130" s="63" t="s">
        <v>413</v>
      </c>
      <c r="G130" s="40">
        <v>18.345600000000001</v>
      </c>
      <c r="H130" s="31"/>
      <c r="I130" s="20">
        <f>H130*G130</f>
        <v>0</v>
      </c>
      <c r="L130" s="53" t="str">
        <f t="shared" si="8"/>
        <v>-</v>
      </c>
      <c r="M130" s="53" t="str">
        <f t="shared" si="9"/>
        <v>-</v>
      </c>
      <c r="N130" s="54" t="str">
        <f t="shared" si="10"/>
        <v>-</v>
      </c>
      <c r="O130" s="55" t="str">
        <f t="shared" si="6"/>
        <v>-</v>
      </c>
      <c r="Q130" s="55" t="str">
        <f t="shared" si="7"/>
        <v>-</v>
      </c>
    </row>
    <row r="131" spans="1:17" x14ac:dyDescent="0.3">
      <c r="A131" s="10" t="s">
        <v>176</v>
      </c>
      <c r="B131" s="11">
        <v>753950002524</v>
      </c>
      <c r="C131" s="12" t="s">
        <v>82</v>
      </c>
      <c r="D131" s="36" t="s">
        <v>116</v>
      </c>
      <c r="E131" s="57">
        <v>0.13128414683384002</v>
      </c>
      <c r="F131" s="63" t="s">
        <v>413</v>
      </c>
      <c r="G131" s="40">
        <v>57.753150000000012</v>
      </c>
      <c r="H131" s="31"/>
      <c r="I131" s="20">
        <f>H131*G131</f>
        <v>0</v>
      </c>
      <c r="L131" s="53" t="str">
        <f t="shared" si="8"/>
        <v>-</v>
      </c>
      <c r="M131" s="53" t="str">
        <f t="shared" si="9"/>
        <v>-</v>
      </c>
      <c r="N131" s="54" t="str">
        <f t="shared" si="10"/>
        <v>-</v>
      </c>
      <c r="O131" s="55" t="str">
        <f t="shared" si="6"/>
        <v>-</v>
      </c>
      <c r="Q131" s="55" t="str">
        <f t="shared" si="7"/>
        <v>-</v>
      </c>
    </row>
    <row r="132" spans="1:17" x14ac:dyDescent="0.3">
      <c r="A132" s="10" t="s">
        <v>179</v>
      </c>
      <c r="B132" s="11">
        <v>753950002562</v>
      </c>
      <c r="C132" s="12" t="s">
        <v>180</v>
      </c>
      <c r="D132" s="36" t="s">
        <v>29</v>
      </c>
      <c r="E132" s="57">
        <v>0.126234756571</v>
      </c>
      <c r="F132" s="63" t="s">
        <v>413</v>
      </c>
      <c r="G132" s="40">
        <v>15.369900000000001</v>
      </c>
      <c r="H132" s="31"/>
      <c r="I132" s="20">
        <f>H132*G132</f>
        <v>0</v>
      </c>
      <c r="L132" s="53" t="str">
        <f t="shared" si="8"/>
        <v>-</v>
      </c>
      <c r="M132" s="53" t="str">
        <f t="shared" si="9"/>
        <v>-</v>
      </c>
      <c r="N132" s="54" t="str">
        <f t="shared" si="10"/>
        <v>-</v>
      </c>
      <c r="O132" s="55" t="str">
        <f t="shared" si="6"/>
        <v>-</v>
      </c>
      <c r="Q132" s="55" t="str">
        <f t="shared" si="7"/>
        <v>-</v>
      </c>
    </row>
    <row r="133" spans="1:17" x14ac:dyDescent="0.3">
      <c r="A133" s="10" t="s">
        <v>181</v>
      </c>
      <c r="B133" s="11">
        <v>753950002579</v>
      </c>
      <c r="C133" s="12" t="s">
        <v>182</v>
      </c>
      <c r="D133" s="36" t="s">
        <v>29</v>
      </c>
      <c r="E133" s="57">
        <v>0.12118536630816</v>
      </c>
      <c r="F133" s="63" t="s">
        <v>413</v>
      </c>
      <c r="G133" s="40">
        <v>22.345050000000004</v>
      </c>
      <c r="H133" s="31"/>
      <c r="I133" s="20">
        <f>H133*G133</f>
        <v>0</v>
      </c>
      <c r="L133" s="53" t="str">
        <f t="shared" si="8"/>
        <v>-</v>
      </c>
      <c r="M133" s="53" t="str">
        <f t="shared" si="9"/>
        <v>-</v>
      </c>
      <c r="N133" s="54" t="str">
        <f t="shared" si="10"/>
        <v>-</v>
      </c>
      <c r="O133" s="55" t="str">
        <f t="shared" si="6"/>
        <v>-</v>
      </c>
      <c r="Q133" s="55" t="str">
        <f t="shared" si="7"/>
        <v>-</v>
      </c>
    </row>
    <row r="134" spans="1:17" x14ac:dyDescent="0.3">
      <c r="A134" s="10" t="s">
        <v>187</v>
      </c>
      <c r="B134" s="11">
        <v>753950002692</v>
      </c>
      <c r="C134" s="12" t="s">
        <v>70</v>
      </c>
      <c r="D134" s="36" t="s">
        <v>188</v>
      </c>
      <c r="E134" s="57">
        <v>0.13633353709668003</v>
      </c>
      <c r="F134" s="63" t="s">
        <v>413</v>
      </c>
      <c r="G134" s="40">
        <v>50.737050000000004</v>
      </c>
      <c r="H134" s="31"/>
      <c r="I134" s="20">
        <f>H134*G134</f>
        <v>0</v>
      </c>
      <c r="L134" s="53" t="str">
        <f t="shared" si="8"/>
        <v>-</v>
      </c>
      <c r="M134" s="53" t="str">
        <f t="shared" si="9"/>
        <v>-</v>
      </c>
      <c r="N134" s="54" t="str">
        <f t="shared" si="10"/>
        <v>-</v>
      </c>
      <c r="O134" s="55" t="str">
        <f t="shared" si="6"/>
        <v>-</v>
      </c>
      <c r="Q134" s="55" t="str">
        <f t="shared" si="7"/>
        <v>-</v>
      </c>
    </row>
    <row r="135" spans="1:17" x14ac:dyDescent="0.3">
      <c r="A135" s="10" t="s">
        <v>191</v>
      </c>
      <c r="B135" s="11">
        <v>753950002722</v>
      </c>
      <c r="C135" s="12" t="s">
        <v>33</v>
      </c>
      <c r="D135" s="36" t="s">
        <v>138</v>
      </c>
      <c r="E135" s="57">
        <v>0.126234756571</v>
      </c>
      <c r="F135" s="63" t="s">
        <v>413</v>
      </c>
      <c r="G135" s="40">
        <v>64.359750000000005</v>
      </c>
      <c r="H135" s="31"/>
      <c r="I135" s="20">
        <f>H135*G135</f>
        <v>0</v>
      </c>
      <c r="L135" s="53" t="str">
        <f t="shared" si="8"/>
        <v>-</v>
      </c>
      <c r="M135" s="53" t="str">
        <f t="shared" si="9"/>
        <v>-</v>
      </c>
      <c r="N135" s="54" t="str">
        <f t="shared" si="10"/>
        <v>-</v>
      </c>
      <c r="O135" s="55" t="str">
        <f t="shared" si="6"/>
        <v>-</v>
      </c>
      <c r="Q135" s="55" t="str">
        <f t="shared" si="7"/>
        <v>-</v>
      </c>
    </row>
    <row r="136" spans="1:17" x14ac:dyDescent="0.3">
      <c r="A136" s="10" t="s">
        <v>196</v>
      </c>
      <c r="B136" s="11">
        <v>753950002753</v>
      </c>
      <c r="C136" s="12" t="s">
        <v>194</v>
      </c>
      <c r="D136" s="36" t="s">
        <v>108</v>
      </c>
      <c r="E136" s="57">
        <v>0.252469513142</v>
      </c>
      <c r="F136" s="63" t="s">
        <v>413</v>
      </c>
      <c r="G136" s="40">
        <v>139.29825</v>
      </c>
      <c r="H136" s="31"/>
      <c r="I136" s="20">
        <f>H136*G136</f>
        <v>0</v>
      </c>
      <c r="L136" s="53" t="str">
        <f t="shared" si="8"/>
        <v>-</v>
      </c>
      <c r="M136" s="53" t="str">
        <f t="shared" si="9"/>
        <v>-</v>
      </c>
      <c r="N136" s="54" t="str">
        <f t="shared" si="10"/>
        <v>-</v>
      </c>
      <c r="O136" s="55" t="str">
        <f t="shared" si="6"/>
        <v>-</v>
      </c>
      <c r="Q136" s="55" t="str">
        <f t="shared" si="7"/>
        <v>-</v>
      </c>
    </row>
    <row r="137" spans="1:17" x14ac:dyDescent="0.3">
      <c r="A137" s="10" t="s">
        <v>203</v>
      </c>
      <c r="B137" s="11">
        <v>753950002838</v>
      </c>
      <c r="C137" s="12" t="s">
        <v>204</v>
      </c>
      <c r="D137" s="36" t="s">
        <v>12</v>
      </c>
      <c r="E137" s="57">
        <v>0.13633353709668003</v>
      </c>
      <c r="F137" s="63" t="s">
        <v>413</v>
      </c>
      <c r="G137" s="40">
        <v>45.167850000000001</v>
      </c>
      <c r="H137" s="31"/>
      <c r="I137" s="20">
        <f>H137*G137</f>
        <v>0</v>
      </c>
      <c r="L137" s="53" t="str">
        <f t="shared" si="8"/>
        <v>-</v>
      </c>
      <c r="M137" s="53" t="str">
        <f t="shared" si="9"/>
        <v>-</v>
      </c>
      <c r="N137" s="54" t="str">
        <f t="shared" si="10"/>
        <v>-</v>
      </c>
      <c r="O137" s="55" t="str">
        <f t="shared" si="6"/>
        <v>-</v>
      </c>
      <c r="Q137" s="55" t="str">
        <f t="shared" si="7"/>
        <v>-</v>
      </c>
    </row>
    <row r="138" spans="1:17" x14ac:dyDescent="0.3">
      <c r="A138" s="10" t="s">
        <v>209</v>
      </c>
      <c r="B138" s="11">
        <v>753950002951</v>
      </c>
      <c r="C138" s="12" t="s">
        <v>210</v>
      </c>
      <c r="D138" s="36" t="s">
        <v>159</v>
      </c>
      <c r="E138" s="57">
        <v>3.5345731839880004E-2</v>
      </c>
      <c r="F138" s="63" t="s">
        <v>413</v>
      </c>
      <c r="G138" s="40">
        <v>26.194350000000004</v>
      </c>
      <c r="H138" s="31"/>
      <c r="I138" s="20">
        <f>H138*G138</f>
        <v>0</v>
      </c>
      <c r="L138" s="53" t="str">
        <f t="shared" si="8"/>
        <v>-</v>
      </c>
      <c r="M138" s="53" t="str">
        <f t="shared" si="9"/>
        <v>-</v>
      </c>
      <c r="N138" s="54" t="str">
        <f t="shared" si="10"/>
        <v>-</v>
      </c>
      <c r="O138" s="55" t="str">
        <f t="shared" si="6"/>
        <v>-</v>
      </c>
      <c r="Q138" s="55" t="str">
        <f t="shared" si="7"/>
        <v>-</v>
      </c>
    </row>
    <row r="139" spans="1:17" x14ac:dyDescent="0.3">
      <c r="A139" s="10" t="s">
        <v>211</v>
      </c>
      <c r="B139" s="11">
        <v>753950002968</v>
      </c>
      <c r="C139" s="12" t="s">
        <v>212</v>
      </c>
      <c r="D139" s="36" t="s">
        <v>213</v>
      </c>
      <c r="E139" s="57">
        <v>8.0790244205440009E-2</v>
      </c>
      <c r="F139" s="63" t="s">
        <v>413</v>
      </c>
      <c r="G139" s="40">
        <v>27.982500000000005</v>
      </c>
      <c r="H139" s="31"/>
      <c r="I139" s="20">
        <f>H139*G139</f>
        <v>0</v>
      </c>
      <c r="L139" s="53" t="str">
        <f t="shared" si="8"/>
        <v>-</v>
      </c>
      <c r="M139" s="53" t="str">
        <f t="shared" si="9"/>
        <v>-</v>
      </c>
      <c r="N139" s="54" t="str">
        <f t="shared" si="10"/>
        <v>-</v>
      </c>
      <c r="O139" s="55" t="str">
        <f t="shared" si="6"/>
        <v>-</v>
      </c>
      <c r="Q139" s="55" t="str">
        <f t="shared" si="7"/>
        <v>-</v>
      </c>
    </row>
    <row r="140" spans="1:17" x14ac:dyDescent="0.3">
      <c r="A140" s="10" t="s">
        <v>214</v>
      </c>
      <c r="B140" s="11">
        <v>753950002975</v>
      </c>
      <c r="C140" s="12" t="s">
        <v>215</v>
      </c>
      <c r="D140" s="36" t="s">
        <v>159</v>
      </c>
      <c r="E140" s="57">
        <v>0.10098780525680003</v>
      </c>
      <c r="F140" s="63" t="s">
        <v>413</v>
      </c>
      <c r="G140" s="40">
        <v>21.225750000000001</v>
      </c>
      <c r="H140" s="31"/>
      <c r="I140" s="20">
        <f>H140*G140</f>
        <v>0</v>
      </c>
      <c r="L140" s="53" t="str">
        <f t="shared" si="8"/>
        <v>-</v>
      </c>
      <c r="M140" s="53" t="str">
        <f t="shared" si="9"/>
        <v>-</v>
      </c>
      <c r="N140" s="54" t="str">
        <f t="shared" si="10"/>
        <v>-</v>
      </c>
      <c r="O140" s="55" t="str">
        <f t="shared" si="6"/>
        <v>-</v>
      </c>
      <c r="Q140" s="55" t="str">
        <f t="shared" si="7"/>
        <v>-</v>
      </c>
    </row>
    <row r="141" spans="1:17" x14ac:dyDescent="0.3">
      <c r="A141" s="10" t="s">
        <v>218</v>
      </c>
      <c r="B141" s="11">
        <v>753950003002</v>
      </c>
      <c r="C141" s="12" t="s">
        <v>219</v>
      </c>
      <c r="D141" s="36" t="s">
        <v>12</v>
      </c>
      <c r="E141" s="57">
        <v>0.15148170788519999</v>
      </c>
      <c r="F141" s="63" t="s">
        <v>413</v>
      </c>
      <c r="G141" s="40">
        <v>29.265600000000006</v>
      </c>
      <c r="H141" s="31"/>
      <c r="I141" s="20">
        <f>H141*G141</f>
        <v>0</v>
      </c>
      <c r="L141" s="53" t="str">
        <f t="shared" si="8"/>
        <v>-</v>
      </c>
      <c r="M141" s="53" t="str">
        <f t="shared" si="9"/>
        <v>-</v>
      </c>
      <c r="N141" s="54" t="str">
        <f t="shared" si="10"/>
        <v>-</v>
      </c>
      <c r="O141" s="55" t="str">
        <f t="shared" si="6"/>
        <v>-</v>
      </c>
      <c r="Q141" s="55" t="str">
        <f t="shared" si="7"/>
        <v>-</v>
      </c>
    </row>
    <row r="142" spans="1:17" x14ac:dyDescent="0.3">
      <c r="A142" s="10" t="s">
        <v>222</v>
      </c>
      <c r="B142" s="11">
        <v>753950003026</v>
      </c>
      <c r="C142" s="12" t="s">
        <v>223</v>
      </c>
      <c r="D142" s="36" t="s">
        <v>18</v>
      </c>
      <c r="E142" s="57">
        <v>0.41909939181571998</v>
      </c>
      <c r="F142" s="63" t="s">
        <v>413</v>
      </c>
      <c r="G142" s="40">
        <v>12.953850000000001</v>
      </c>
      <c r="H142" s="31"/>
      <c r="I142" s="20">
        <f>H142*G142</f>
        <v>0</v>
      </c>
      <c r="L142" s="53" t="str">
        <f t="shared" si="8"/>
        <v>-</v>
      </c>
      <c r="M142" s="53" t="str">
        <f t="shared" si="9"/>
        <v>-</v>
      </c>
      <c r="N142" s="54" t="str">
        <f t="shared" si="10"/>
        <v>-</v>
      </c>
      <c r="O142" s="55" t="str">
        <f t="shared" si="6"/>
        <v>-</v>
      </c>
      <c r="Q142" s="55" t="str">
        <f t="shared" si="7"/>
        <v>-</v>
      </c>
    </row>
    <row r="143" spans="1:17" x14ac:dyDescent="0.3">
      <c r="A143" s="10" t="s">
        <v>226</v>
      </c>
      <c r="B143" s="11">
        <v>753950003071</v>
      </c>
      <c r="C143" s="12" t="s">
        <v>227</v>
      </c>
      <c r="D143" s="36" t="s">
        <v>178</v>
      </c>
      <c r="E143" s="57">
        <v>0.23732134235348001</v>
      </c>
      <c r="F143" s="63" t="s">
        <v>413</v>
      </c>
      <c r="G143" s="40">
        <v>94.758300000000006</v>
      </c>
      <c r="H143" s="31"/>
      <c r="I143" s="20">
        <f>H143*G143</f>
        <v>0</v>
      </c>
      <c r="L143" s="53" t="str">
        <f t="shared" si="8"/>
        <v>-</v>
      </c>
      <c r="M143" s="53" t="str">
        <f t="shared" si="9"/>
        <v>-</v>
      </c>
      <c r="N143" s="54" t="str">
        <f t="shared" si="10"/>
        <v>-</v>
      </c>
      <c r="O143" s="55" t="str">
        <f t="shared" si="6"/>
        <v>-</v>
      </c>
      <c r="Q143" s="55" t="str">
        <f t="shared" si="7"/>
        <v>-</v>
      </c>
    </row>
    <row r="144" spans="1:17" x14ac:dyDescent="0.3">
      <c r="A144" s="10" t="s">
        <v>228</v>
      </c>
      <c r="B144" s="11">
        <v>753950003118</v>
      </c>
      <c r="C144" s="12" t="s">
        <v>229</v>
      </c>
      <c r="D144" s="36" t="s">
        <v>34</v>
      </c>
      <c r="E144" s="57">
        <v>6.059268315408E-2</v>
      </c>
      <c r="F144" s="63" t="s">
        <v>413</v>
      </c>
      <c r="G144" s="40">
        <v>18.44115</v>
      </c>
      <c r="H144" s="31"/>
      <c r="I144" s="20">
        <f>H144*G144</f>
        <v>0</v>
      </c>
      <c r="L144" s="53" t="str">
        <f t="shared" si="8"/>
        <v>-</v>
      </c>
      <c r="M144" s="53" t="str">
        <f t="shared" si="9"/>
        <v>-</v>
      </c>
      <c r="N144" s="54" t="str">
        <f t="shared" si="10"/>
        <v>-</v>
      </c>
      <c r="O144" s="55" t="str">
        <f t="shared" si="6"/>
        <v>-</v>
      </c>
      <c r="Q144" s="55" t="str">
        <f t="shared" si="7"/>
        <v>-</v>
      </c>
    </row>
    <row r="145" spans="1:17" x14ac:dyDescent="0.3">
      <c r="A145" s="10" t="s">
        <v>232</v>
      </c>
      <c r="B145" s="11">
        <v>753950003156</v>
      </c>
      <c r="C145" s="12" t="s">
        <v>90</v>
      </c>
      <c r="D145" s="36" t="s">
        <v>233</v>
      </c>
      <c r="E145" s="57">
        <v>0.44939573339276001</v>
      </c>
      <c r="F145" s="63" t="s">
        <v>413</v>
      </c>
      <c r="G145" s="40">
        <v>39.939900000000002</v>
      </c>
      <c r="H145" s="31"/>
      <c r="I145" s="20">
        <f>H145*G145</f>
        <v>0</v>
      </c>
      <c r="L145" s="53" t="str">
        <f t="shared" si="8"/>
        <v>-</v>
      </c>
      <c r="M145" s="53" t="str">
        <f t="shared" si="9"/>
        <v>-</v>
      </c>
      <c r="N145" s="54" t="str">
        <f t="shared" si="10"/>
        <v>-</v>
      </c>
      <c r="O145" s="55" t="str">
        <f t="shared" si="6"/>
        <v>-</v>
      </c>
      <c r="Q145" s="55" t="str">
        <f t="shared" si="7"/>
        <v>-</v>
      </c>
    </row>
    <row r="146" spans="1:17" x14ac:dyDescent="0.3">
      <c r="A146" s="10" t="s">
        <v>236</v>
      </c>
      <c r="B146" s="11">
        <v>753950003170</v>
      </c>
      <c r="C146" s="12" t="s">
        <v>14</v>
      </c>
      <c r="D146" s="36" t="s">
        <v>233</v>
      </c>
      <c r="E146" s="57">
        <v>0.504939026284</v>
      </c>
      <c r="F146" s="63" t="s">
        <v>413</v>
      </c>
      <c r="G146" s="40">
        <v>29.388450000000002</v>
      </c>
      <c r="H146" s="31"/>
      <c r="I146" s="20">
        <f>H146*G146</f>
        <v>0</v>
      </c>
      <c r="L146" s="53" t="str">
        <f t="shared" si="8"/>
        <v>-</v>
      </c>
      <c r="M146" s="53" t="str">
        <f t="shared" si="9"/>
        <v>-</v>
      </c>
      <c r="N146" s="54" t="str">
        <f t="shared" si="10"/>
        <v>-</v>
      </c>
      <c r="O146" s="55" t="str">
        <f t="shared" si="6"/>
        <v>-</v>
      </c>
      <c r="Q146" s="55" t="str">
        <f t="shared" si="7"/>
        <v>-</v>
      </c>
    </row>
    <row r="147" spans="1:17" x14ac:dyDescent="0.3">
      <c r="A147" s="10" t="s">
        <v>237</v>
      </c>
      <c r="B147" s="11">
        <v>753950003279</v>
      </c>
      <c r="C147" s="12" t="s">
        <v>238</v>
      </c>
      <c r="D147" s="36" t="s">
        <v>188</v>
      </c>
      <c r="E147" s="57">
        <v>0.57058109970091997</v>
      </c>
      <c r="F147" s="63" t="s">
        <v>413</v>
      </c>
      <c r="G147" s="40">
        <v>51.515100000000004</v>
      </c>
      <c r="H147" s="31"/>
      <c r="I147" s="20">
        <f>H147*G147</f>
        <v>0</v>
      </c>
      <c r="L147" s="53" t="str">
        <f t="shared" si="8"/>
        <v>-</v>
      </c>
      <c r="M147" s="53" t="str">
        <f t="shared" si="9"/>
        <v>-</v>
      </c>
      <c r="N147" s="54" t="str">
        <f t="shared" si="10"/>
        <v>-</v>
      </c>
      <c r="O147" s="55" t="str">
        <f t="shared" si="6"/>
        <v>-</v>
      </c>
      <c r="Q147" s="55" t="str">
        <f t="shared" si="7"/>
        <v>-</v>
      </c>
    </row>
    <row r="148" spans="1:17" x14ac:dyDescent="0.3">
      <c r="A148" s="10" t="s">
        <v>241</v>
      </c>
      <c r="B148" s="11">
        <v>753950003323</v>
      </c>
      <c r="C148" s="12" t="s">
        <v>242</v>
      </c>
      <c r="D148" s="36" t="s">
        <v>9</v>
      </c>
      <c r="E148" s="57">
        <v>0.22217317156496</v>
      </c>
      <c r="F148" s="63" t="s">
        <v>413</v>
      </c>
      <c r="G148" s="40">
        <v>103.74</v>
      </c>
      <c r="H148" s="31"/>
      <c r="I148" s="20">
        <f>H148*G148</f>
        <v>0</v>
      </c>
      <c r="L148" s="53" t="str">
        <f t="shared" si="8"/>
        <v>-</v>
      </c>
      <c r="M148" s="53" t="str">
        <f t="shared" si="9"/>
        <v>-</v>
      </c>
      <c r="N148" s="54" t="str">
        <f t="shared" si="10"/>
        <v>-</v>
      </c>
      <c r="O148" s="55" t="str">
        <f t="shared" si="6"/>
        <v>-</v>
      </c>
      <c r="Q148" s="55" t="str">
        <f t="shared" si="7"/>
        <v>-</v>
      </c>
    </row>
    <row r="149" spans="1:17" x14ac:dyDescent="0.3">
      <c r="A149" s="10" t="s">
        <v>247</v>
      </c>
      <c r="B149" s="11">
        <v>753950003569</v>
      </c>
      <c r="C149" s="12" t="s">
        <v>248</v>
      </c>
      <c r="D149" s="36" t="s">
        <v>9</v>
      </c>
      <c r="E149" s="57">
        <v>0.10603719551964</v>
      </c>
      <c r="F149" s="63" t="s">
        <v>413</v>
      </c>
      <c r="G149" s="40">
        <v>30.780750000000005</v>
      </c>
      <c r="H149" s="31"/>
      <c r="I149" s="20">
        <f>H149*G149</f>
        <v>0</v>
      </c>
      <c r="L149" s="53" t="str">
        <f t="shared" si="8"/>
        <v>-</v>
      </c>
      <c r="M149" s="53" t="str">
        <f t="shared" si="9"/>
        <v>-</v>
      </c>
      <c r="N149" s="54" t="str">
        <f t="shared" si="10"/>
        <v>-</v>
      </c>
      <c r="O149" s="55" t="str">
        <f t="shared" si="6"/>
        <v>-</v>
      </c>
      <c r="Q149" s="55" t="str">
        <f t="shared" si="7"/>
        <v>-</v>
      </c>
    </row>
    <row r="150" spans="1:17" x14ac:dyDescent="0.3">
      <c r="A150" s="10" t="s">
        <v>249</v>
      </c>
      <c r="B150" s="11">
        <v>753950003583</v>
      </c>
      <c r="C150" s="12" t="s">
        <v>131</v>
      </c>
      <c r="D150" s="36" t="s">
        <v>250</v>
      </c>
      <c r="E150" s="57">
        <v>0.81295183231724</v>
      </c>
      <c r="F150" s="63" t="s">
        <v>413</v>
      </c>
      <c r="G150" s="40">
        <v>49.453949999999999</v>
      </c>
      <c r="H150" s="31"/>
      <c r="I150" s="20">
        <f>H150*G150</f>
        <v>0</v>
      </c>
      <c r="L150" s="53" t="str">
        <f t="shared" si="8"/>
        <v>-</v>
      </c>
      <c r="M150" s="53" t="str">
        <f t="shared" si="9"/>
        <v>-</v>
      </c>
      <c r="N150" s="54" t="str">
        <f t="shared" si="10"/>
        <v>-</v>
      </c>
      <c r="O150" s="55" t="str">
        <f t="shared" si="6"/>
        <v>-</v>
      </c>
      <c r="Q150" s="55" t="str">
        <f t="shared" si="7"/>
        <v>-</v>
      </c>
    </row>
    <row r="151" spans="1:17" x14ac:dyDescent="0.3">
      <c r="A151" s="10" t="s">
        <v>251</v>
      </c>
      <c r="B151" s="11">
        <v>753950003620</v>
      </c>
      <c r="C151" s="12" t="s">
        <v>252</v>
      </c>
      <c r="D151" s="36" t="s">
        <v>159</v>
      </c>
      <c r="E151" s="57">
        <v>4.0395122102720005E-2</v>
      </c>
      <c r="F151" s="63" t="s">
        <v>413</v>
      </c>
      <c r="G151" s="40">
        <v>17.745000000000001</v>
      </c>
      <c r="H151" s="31"/>
      <c r="I151" s="20">
        <f>H151*G151</f>
        <v>0</v>
      </c>
      <c r="L151" s="53" t="str">
        <f t="shared" si="8"/>
        <v>-</v>
      </c>
      <c r="M151" s="53" t="str">
        <f t="shared" si="9"/>
        <v>-</v>
      </c>
      <c r="N151" s="54" t="str">
        <f t="shared" si="10"/>
        <v>-</v>
      </c>
      <c r="O151" s="55" t="str">
        <f t="shared" si="6"/>
        <v>-</v>
      </c>
      <c r="Q151" s="55" t="str">
        <f t="shared" si="7"/>
        <v>-</v>
      </c>
    </row>
    <row r="152" spans="1:17" x14ac:dyDescent="0.3">
      <c r="A152" s="10" t="s">
        <v>256</v>
      </c>
      <c r="B152" s="11">
        <v>753950003675</v>
      </c>
      <c r="C152" s="12" t="s">
        <v>257</v>
      </c>
      <c r="D152" s="36" t="s">
        <v>103</v>
      </c>
      <c r="E152" s="57">
        <v>8.583963446828001E-2</v>
      </c>
      <c r="F152" s="63" t="s">
        <v>413</v>
      </c>
      <c r="G152" s="40">
        <v>27.600299999999997</v>
      </c>
      <c r="H152" s="31"/>
      <c r="I152" s="20">
        <f>H152*G152</f>
        <v>0</v>
      </c>
      <c r="L152" s="53" t="str">
        <f t="shared" si="8"/>
        <v>-</v>
      </c>
      <c r="M152" s="53" t="str">
        <f t="shared" si="9"/>
        <v>-</v>
      </c>
      <c r="N152" s="54" t="str">
        <f t="shared" si="10"/>
        <v>-</v>
      </c>
      <c r="O152" s="55" t="str">
        <f t="shared" si="6"/>
        <v>-</v>
      </c>
      <c r="Q152" s="55" t="str">
        <f t="shared" si="7"/>
        <v>-</v>
      </c>
    </row>
    <row r="153" spans="1:17" x14ac:dyDescent="0.3">
      <c r="A153" s="10" t="s">
        <v>260</v>
      </c>
      <c r="B153" s="11">
        <v>753950003705</v>
      </c>
      <c r="C153" s="12" t="s">
        <v>259</v>
      </c>
      <c r="D153" s="36" t="s">
        <v>138</v>
      </c>
      <c r="E153" s="57">
        <v>0.11613597604532</v>
      </c>
      <c r="F153" s="63" t="s">
        <v>413</v>
      </c>
      <c r="G153" s="40">
        <v>35.50365</v>
      </c>
      <c r="H153" s="31"/>
      <c r="I153" s="20">
        <f>H153*G153</f>
        <v>0</v>
      </c>
      <c r="L153" s="53" t="str">
        <f t="shared" si="8"/>
        <v>-</v>
      </c>
      <c r="M153" s="53" t="str">
        <f t="shared" si="9"/>
        <v>-</v>
      </c>
      <c r="N153" s="54" t="str">
        <f t="shared" si="10"/>
        <v>-</v>
      </c>
      <c r="O153" s="55" t="str">
        <f t="shared" si="6"/>
        <v>-</v>
      </c>
      <c r="Q153" s="55" t="str">
        <f t="shared" si="7"/>
        <v>-</v>
      </c>
    </row>
    <row r="154" spans="1:17" x14ac:dyDescent="0.3">
      <c r="A154" s="10" t="s">
        <v>263</v>
      </c>
      <c r="B154" s="11">
        <v>753950003743</v>
      </c>
      <c r="C154" s="12" t="s">
        <v>264</v>
      </c>
      <c r="D154" s="36" t="s">
        <v>265</v>
      </c>
      <c r="E154" s="57">
        <v>0.4039512210272001</v>
      </c>
      <c r="F154" s="63" t="s">
        <v>413</v>
      </c>
      <c r="G154" s="40">
        <v>19.123650000000001</v>
      </c>
      <c r="H154" s="31"/>
      <c r="I154" s="20">
        <f>H154*G154</f>
        <v>0</v>
      </c>
      <c r="L154" s="53" t="str">
        <f t="shared" si="8"/>
        <v>-</v>
      </c>
      <c r="M154" s="53" t="str">
        <f t="shared" si="9"/>
        <v>-</v>
      </c>
      <c r="N154" s="54" t="str">
        <f t="shared" si="10"/>
        <v>-</v>
      </c>
      <c r="O154" s="55" t="str">
        <f t="shared" si="6"/>
        <v>-</v>
      </c>
      <c r="Q154" s="55" t="str">
        <f t="shared" si="7"/>
        <v>-</v>
      </c>
    </row>
    <row r="155" spans="1:17" x14ac:dyDescent="0.3">
      <c r="A155" s="10" t="s">
        <v>266</v>
      </c>
      <c r="B155" s="11">
        <v>753950004016</v>
      </c>
      <c r="C155" s="12" t="s">
        <v>267</v>
      </c>
      <c r="D155" s="36" t="s">
        <v>18</v>
      </c>
      <c r="E155" s="57">
        <v>5.554329289124E-2</v>
      </c>
      <c r="F155" s="63" t="s">
        <v>413</v>
      </c>
      <c r="G155" s="40">
        <v>21.239400000000003</v>
      </c>
      <c r="H155" s="31"/>
      <c r="I155" s="20">
        <f>H155*G155</f>
        <v>0</v>
      </c>
      <c r="L155" s="53" t="str">
        <f t="shared" si="8"/>
        <v>-</v>
      </c>
      <c r="M155" s="53" t="str">
        <f t="shared" si="9"/>
        <v>-</v>
      </c>
      <c r="N155" s="54" t="str">
        <f t="shared" si="10"/>
        <v>-</v>
      </c>
      <c r="O155" s="55" t="str">
        <f t="shared" si="6"/>
        <v>-</v>
      </c>
      <c r="Q155" s="55" t="str">
        <f t="shared" si="7"/>
        <v>-</v>
      </c>
    </row>
    <row r="156" spans="1:17" x14ac:dyDescent="0.3">
      <c r="A156" s="10" t="s">
        <v>268</v>
      </c>
      <c r="B156" s="11">
        <v>753950004047</v>
      </c>
      <c r="C156" s="12" t="s">
        <v>269</v>
      </c>
      <c r="D156" s="36" t="s">
        <v>18</v>
      </c>
      <c r="E156" s="57">
        <v>5.0493902628400013E-2</v>
      </c>
      <c r="F156" s="63" t="s">
        <v>413</v>
      </c>
      <c r="G156" s="40">
        <v>24.488100000000006</v>
      </c>
      <c r="H156" s="31"/>
      <c r="I156" s="20">
        <f>H156*G156</f>
        <v>0</v>
      </c>
      <c r="L156" s="53" t="str">
        <f t="shared" si="8"/>
        <v>-</v>
      </c>
      <c r="M156" s="53" t="str">
        <f t="shared" si="9"/>
        <v>-</v>
      </c>
      <c r="N156" s="54" t="str">
        <f t="shared" si="10"/>
        <v>-</v>
      </c>
      <c r="O156" s="55" t="str">
        <f t="shared" si="6"/>
        <v>-</v>
      </c>
      <c r="Q156" s="55" t="str">
        <f t="shared" si="7"/>
        <v>-</v>
      </c>
    </row>
    <row r="157" spans="1:17" x14ac:dyDescent="0.3">
      <c r="A157" s="10" t="s">
        <v>270</v>
      </c>
      <c r="B157" s="11">
        <v>753950004054</v>
      </c>
      <c r="C157" s="12" t="s">
        <v>17</v>
      </c>
      <c r="D157" s="36" t="s">
        <v>188</v>
      </c>
      <c r="E157" s="57">
        <v>0.35345731839879996</v>
      </c>
      <c r="F157" s="63" t="s">
        <v>413</v>
      </c>
      <c r="G157" s="40">
        <v>61.425000000000004</v>
      </c>
      <c r="H157" s="31"/>
      <c r="I157" s="20">
        <f>H157*G157</f>
        <v>0</v>
      </c>
      <c r="L157" s="53" t="str">
        <f t="shared" si="8"/>
        <v>-</v>
      </c>
      <c r="M157" s="53" t="str">
        <f t="shared" si="9"/>
        <v>-</v>
      </c>
      <c r="N157" s="54" t="str">
        <f t="shared" si="10"/>
        <v>-</v>
      </c>
      <c r="O157" s="55" t="str">
        <f t="shared" si="6"/>
        <v>-</v>
      </c>
      <c r="Q157" s="55" t="str">
        <f t="shared" si="7"/>
        <v>-</v>
      </c>
    </row>
    <row r="158" spans="1:17" x14ac:dyDescent="0.3">
      <c r="A158" s="10" t="s">
        <v>271</v>
      </c>
      <c r="B158" s="11">
        <v>753950004061</v>
      </c>
      <c r="C158" s="12" t="s">
        <v>272</v>
      </c>
      <c r="D158" s="36" t="s">
        <v>116</v>
      </c>
      <c r="E158" s="57">
        <v>8.583963446828001E-2</v>
      </c>
      <c r="F158" s="63" t="s">
        <v>413</v>
      </c>
      <c r="G158" s="40">
        <v>19.669650000000001</v>
      </c>
      <c r="H158" s="31"/>
      <c r="I158" s="20">
        <f>H158*G158</f>
        <v>0</v>
      </c>
      <c r="L158" s="53" t="str">
        <f t="shared" si="8"/>
        <v>-</v>
      </c>
      <c r="M158" s="53" t="str">
        <f t="shared" si="9"/>
        <v>-</v>
      </c>
      <c r="N158" s="54" t="str">
        <f t="shared" si="10"/>
        <v>-</v>
      </c>
      <c r="O158" s="55" t="str">
        <f t="shared" si="6"/>
        <v>-</v>
      </c>
      <c r="Q158" s="55" t="str">
        <f t="shared" si="7"/>
        <v>-</v>
      </c>
    </row>
    <row r="159" spans="1:17" x14ac:dyDescent="0.3">
      <c r="A159" s="10" t="s">
        <v>273</v>
      </c>
      <c r="B159" s="11">
        <v>753950004078</v>
      </c>
      <c r="C159" s="12" t="s">
        <v>274</v>
      </c>
      <c r="D159" s="36" t="s">
        <v>6</v>
      </c>
      <c r="E159" s="57">
        <v>5.0493902628400013E-2</v>
      </c>
      <c r="F159" s="63" t="s">
        <v>413</v>
      </c>
      <c r="G159" s="40">
        <v>11.015550000000003</v>
      </c>
      <c r="H159" s="31"/>
      <c r="I159" s="20">
        <f>H159*G159</f>
        <v>0</v>
      </c>
      <c r="L159" s="53" t="str">
        <f t="shared" si="8"/>
        <v>-</v>
      </c>
      <c r="M159" s="53" t="str">
        <f t="shared" si="9"/>
        <v>-</v>
      </c>
      <c r="N159" s="54" t="str">
        <f t="shared" si="10"/>
        <v>-</v>
      </c>
      <c r="O159" s="55" t="str">
        <f t="shared" si="6"/>
        <v>-</v>
      </c>
      <c r="Q159" s="55" t="str">
        <f t="shared" si="7"/>
        <v>-</v>
      </c>
    </row>
    <row r="160" spans="1:17" x14ac:dyDescent="0.3">
      <c r="A160" s="10" t="s">
        <v>284</v>
      </c>
      <c r="B160" s="11">
        <v>753950004511</v>
      </c>
      <c r="C160" s="12" t="s">
        <v>285</v>
      </c>
      <c r="D160" s="36" t="s">
        <v>9</v>
      </c>
      <c r="E160" s="57">
        <v>0.22217317156496</v>
      </c>
      <c r="F160" s="63" t="s">
        <v>413</v>
      </c>
      <c r="G160" s="40">
        <v>18.154500000000002</v>
      </c>
      <c r="H160" s="31"/>
      <c r="I160" s="20">
        <f>H160*G160</f>
        <v>0</v>
      </c>
      <c r="L160" s="53" t="str">
        <f t="shared" si="8"/>
        <v>-</v>
      </c>
      <c r="M160" s="53" t="str">
        <f t="shared" si="9"/>
        <v>-</v>
      </c>
      <c r="N160" s="54" t="str">
        <f t="shared" si="10"/>
        <v>-</v>
      </c>
      <c r="O160" s="55" t="str">
        <f t="shared" si="6"/>
        <v>-</v>
      </c>
      <c r="Q160" s="55" t="str">
        <f t="shared" si="7"/>
        <v>-</v>
      </c>
    </row>
    <row r="161" spans="1:17" x14ac:dyDescent="0.3">
      <c r="A161" s="10" t="s">
        <v>286</v>
      </c>
      <c r="B161" s="11">
        <v>753950004542</v>
      </c>
      <c r="C161" s="12" t="s">
        <v>287</v>
      </c>
      <c r="D161" s="36" t="s">
        <v>18</v>
      </c>
      <c r="E161" s="57">
        <v>7.0691463679760008E-2</v>
      </c>
      <c r="F161" s="63" t="s">
        <v>413</v>
      </c>
      <c r="G161" s="40">
        <v>22.740900000000003</v>
      </c>
      <c r="H161" s="31"/>
      <c r="I161" s="20">
        <f>H161*G161</f>
        <v>0</v>
      </c>
      <c r="L161" s="53" t="str">
        <f t="shared" si="8"/>
        <v>-</v>
      </c>
      <c r="M161" s="53" t="str">
        <f t="shared" si="9"/>
        <v>-</v>
      </c>
      <c r="N161" s="54" t="str">
        <f t="shared" si="10"/>
        <v>-</v>
      </c>
      <c r="O161" s="55" t="str">
        <f t="shared" si="6"/>
        <v>-</v>
      </c>
      <c r="Q161" s="55" t="str">
        <f t="shared" si="7"/>
        <v>-</v>
      </c>
    </row>
    <row r="162" spans="1:17" x14ac:dyDescent="0.3">
      <c r="A162" s="10" t="s">
        <v>288</v>
      </c>
      <c r="B162" s="11">
        <v>753950004566</v>
      </c>
      <c r="C162" s="12" t="s">
        <v>289</v>
      </c>
      <c r="D162" s="36" t="s">
        <v>18</v>
      </c>
      <c r="E162" s="57">
        <v>5.0493902628400013E-2</v>
      </c>
      <c r="F162" s="63" t="s">
        <v>413</v>
      </c>
      <c r="G162" s="40">
        <v>27.3</v>
      </c>
      <c r="H162" s="31"/>
      <c r="I162" s="20">
        <f>H162*G162</f>
        <v>0</v>
      </c>
      <c r="L162" s="53" t="str">
        <f t="shared" si="8"/>
        <v>-</v>
      </c>
      <c r="M162" s="53" t="str">
        <f t="shared" si="9"/>
        <v>-</v>
      </c>
      <c r="N162" s="54" t="str">
        <f t="shared" si="10"/>
        <v>-</v>
      </c>
      <c r="O162" s="55" t="str">
        <f t="shared" si="6"/>
        <v>-</v>
      </c>
      <c r="Q162" s="55" t="str">
        <f t="shared" si="7"/>
        <v>-</v>
      </c>
    </row>
    <row r="163" spans="1:17" x14ac:dyDescent="0.3">
      <c r="A163" s="10" t="s">
        <v>294</v>
      </c>
      <c r="B163" s="11">
        <v>753950004634</v>
      </c>
      <c r="C163" s="12" t="s">
        <v>295</v>
      </c>
      <c r="D163" s="36" t="s">
        <v>29</v>
      </c>
      <c r="E163" s="57">
        <v>0.11108658578248</v>
      </c>
      <c r="F163" s="63" t="s">
        <v>413</v>
      </c>
      <c r="G163" s="40">
        <v>21.580650000000002</v>
      </c>
      <c r="H163" s="31"/>
      <c r="I163" s="20">
        <f>H163*G163</f>
        <v>0</v>
      </c>
      <c r="L163" s="53" t="str">
        <f t="shared" si="8"/>
        <v>-</v>
      </c>
      <c r="M163" s="53" t="str">
        <f t="shared" si="9"/>
        <v>-</v>
      </c>
      <c r="N163" s="54" t="str">
        <f t="shared" si="10"/>
        <v>-</v>
      </c>
      <c r="O163" s="55" t="str">
        <f t="shared" si="6"/>
        <v>-</v>
      </c>
      <c r="Q163" s="55" t="str">
        <f t="shared" si="7"/>
        <v>-</v>
      </c>
    </row>
    <row r="164" spans="1:17" x14ac:dyDescent="0.3">
      <c r="A164" s="10" t="s">
        <v>296</v>
      </c>
      <c r="B164" s="11">
        <v>753950004641</v>
      </c>
      <c r="C164" s="12" t="s">
        <v>297</v>
      </c>
      <c r="D164" s="36" t="s">
        <v>18</v>
      </c>
      <c r="E164" s="57">
        <v>8.0790244205440009E-2</v>
      </c>
      <c r="F164" s="63" t="s">
        <v>413</v>
      </c>
      <c r="G164" s="40">
        <v>16.380000000000003</v>
      </c>
      <c r="H164" s="31"/>
      <c r="I164" s="20">
        <f>H164*G164</f>
        <v>0</v>
      </c>
      <c r="L164" s="53" t="str">
        <f t="shared" ref="L164:L191" si="11">IFERROR(IF($L$2*E164=0, "-", $L$2*E164), "-")</f>
        <v>-</v>
      </c>
      <c r="M164" s="53" t="str">
        <f t="shared" ref="M164:M191" si="12">IF(H164&gt;0,G164+E164*H164/$N$2*$O$2/H164,"-")</f>
        <v>-</v>
      </c>
      <c r="N164" s="54" t="str">
        <f t="shared" ref="N164:N191" si="13">IF(H164&gt;0,H164*E164, "-")</f>
        <v>-</v>
      </c>
      <c r="O164" s="55" t="str">
        <f t="shared" ref="O164:O191" si="14">IFERROR(IF($L$2&gt;0, $L$2*N164, "-"), "-")</f>
        <v>-</v>
      </c>
      <c r="Q164" s="55" t="str">
        <f t="shared" ref="Q164:Q191" si="15">IFERROR(IF(O164+I164=0, "-", IF(O164&gt;0, O164+I164, "-")), "-")</f>
        <v>-</v>
      </c>
    </row>
    <row r="165" spans="1:17" x14ac:dyDescent="0.3">
      <c r="A165" s="10" t="s">
        <v>298</v>
      </c>
      <c r="B165" s="11">
        <v>753950004771</v>
      </c>
      <c r="C165" s="12" t="s">
        <v>299</v>
      </c>
      <c r="D165" s="36" t="s">
        <v>300</v>
      </c>
      <c r="E165" s="57">
        <v>0.126234756571</v>
      </c>
      <c r="F165" s="63" t="s">
        <v>413</v>
      </c>
      <c r="G165" s="40">
        <v>27.709500000000002</v>
      </c>
      <c r="H165" s="31"/>
      <c r="I165" s="20">
        <f>H165*G165</f>
        <v>0</v>
      </c>
      <c r="L165" s="53" t="str">
        <f t="shared" si="11"/>
        <v>-</v>
      </c>
      <c r="M165" s="53" t="str">
        <f t="shared" si="12"/>
        <v>-</v>
      </c>
      <c r="N165" s="54" t="str">
        <f t="shared" si="13"/>
        <v>-</v>
      </c>
      <c r="O165" s="55" t="str">
        <f t="shared" si="14"/>
        <v>-</v>
      </c>
      <c r="Q165" s="55" t="str">
        <f t="shared" si="15"/>
        <v>-</v>
      </c>
    </row>
    <row r="166" spans="1:17" x14ac:dyDescent="0.3">
      <c r="A166" s="10" t="s">
        <v>306</v>
      </c>
      <c r="B166" s="11">
        <v>753950005006</v>
      </c>
      <c r="C166" s="12" t="s">
        <v>307</v>
      </c>
      <c r="D166" s="36" t="s">
        <v>29</v>
      </c>
      <c r="E166" s="57">
        <v>0.18682743972507998</v>
      </c>
      <c r="F166" s="63" t="s">
        <v>413</v>
      </c>
      <c r="G166" s="40">
        <v>35.981400000000001</v>
      </c>
      <c r="H166" s="31"/>
      <c r="I166" s="20">
        <f>H166*G166</f>
        <v>0</v>
      </c>
      <c r="L166" s="53" t="str">
        <f t="shared" si="11"/>
        <v>-</v>
      </c>
      <c r="M166" s="53" t="str">
        <f t="shared" si="12"/>
        <v>-</v>
      </c>
      <c r="N166" s="54" t="str">
        <f t="shared" si="13"/>
        <v>-</v>
      </c>
      <c r="O166" s="55" t="str">
        <f t="shared" si="14"/>
        <v>-</v>
      </c>
      <c r="Q166" s="55" t="str">
        <f t="shared" si="15"/>
        <v>-</v>
      </c>
    </row>
    <row r="167" spans="1:17" x14ac:dyDescent="0.3">
      <c r="A167" s="10" t="s">
        <v>311</v>
      </c>
      <c r="B167" s="11">
        <v>753950005174</v>
      </c>
      <c r="C167" s="12" t="s">
        <v>312</v>
      </c>
      <c r="D167" s="36" t="s">
        <v>9</v>
      </c>
      <c r="E167" s="57">
        <v>0.29286463524472001</v>
      </c>
      <c r="F167" s="63" t="s">
        <v>413</v>
      </c>
      <c r="G167" s="40">
        <v>28.009799999999998</v>
      </c>
      <c r="H167" s="31"/>
      <c r="I167" s="20">
        <f>H167*G167</f>
        <v>0</v>
      </c>
      <c r="L167" s="53" t="str">
        <f t="shared" si="11"/>
        <v>-</v>
      </c>
      <c r="M167" s="53" t="str">
        <f t="shared" si="12"/>
        <v>-</v>
      </c>
      <c r="N167" s="54" t="str">
        <f t="shared" si="13"/>
        <v>-</v>
      </c>
      <c r="O167" s="55" t="str">
        <f t="shared" si="14"/>
        <v>-</v>
      </c>
      <c r="Q167" s="55" t="str">
        <f t="shared" si="15"/>
        <v>-</v>
      </c>
    </row>
    <row r="168" spans="1:17" x14ac:dyDescent="0.3">
      <c r="A168" s="10" t="s">
        <v>313</v>
      </c>
      <c r="B168" s="11">
        <v>753950005181</v>
      </c>
      <c r="C168" s="12" t="s">
        <v>314</v>
      </c>
      <c r="D168" s="36" t="s">
        <v>315</v>
      </c>
      <c r="E168" s="57">
        <v>0.45444512365560003</v>
      </c>
      <c r="F168" s="63" t="s">
        <v>413</v>
      </c>
      <c r="G168" s="40">
        <v>31.954650000000001</v>
      </c>
      <c r="H168" s="31"/>
      <c r="I168" s="20">
        <f>H168*G168</f>
        <v>0</v>
      </c>
      <c r="L168" s="53" t="str">
        <f t="shared" si="11"/>
        <v>-</v>
      </c>
      <c r="M168" s="53" t="str">
        <f t="shared" si="12"/>
        <v>-</v>
      </c>
      <c r="N168" s="54" t="str">
        <f t="shared" si="13"/>
        <v>-</v>
      </c>
      <c r="O168" s="55" t="str">
        <f t="shared" si="14"/>
        <v>-</v>
      </c>
      <c r="Q168" s="55" t="str">
        <f t="shared" si="15"/>
        <v>-</v>
      </c>
    </row>
    <row r="169" spans="1:17" x14ac:dyDescent="0.3">
      <c r="A169" s="10" t="s">
        <v>317</v>
      </c>
      <c r="B169" s="11">
        <v>753950005273</v>
      </c>
      <c r="C169" s="12" t="s">
        <v>316</v>
      </c>
      <c r="D169" s="36" t="s">
        <v>318</v>
      </c>
      <c r="E169" s="57">
        <v>0.19187682998792002</v>
      </c>
      <c r="F169" s="63" t="s">
        <v>413</v>
      </c>
      <c r="G169" s="40">
        <v>46.410000000000004</v>
      </c>
      <c r="H169" s="31"/>
      <c r="I169" s="20">
        <f>H169*G169</f>
        <v>0</v>
      </c>
      <c r="L169" s="53" t="str">
        <f t="shared" si="11"/>
        <v>-</v>
      </c>
      <c r="M169" s="53" t="str">
        <f t="shared" si="12"/>
        <v>-</v>
      </c>
      <c r="N169" s="54" t="str">
        <f t="shared" si="13"/>
        <v>-</v>
      </c>
      <c r="O169" s="55" t="str">
        <f t="shared" si="14"/>
        <v>-</v>
      </c>
      <c r="Q169" s="55" t="str">
        <f t="shared" si="15"/>
        <v>-</v>
      </c>
    </row>
    <row r="170" spans="1:17" x14ac:dyDescent="0.3">
      <c r="A170" s="10" t="s">
        <v>319</v>
      </c>
      <c r="B170" s="11">
        <v>753950005457</v>
      </c>
      <c r="C170" s="12" t="s">
        <v>320</v>
      </c>
      <c r="D170" s="36" t="s">
        <v>18</v>
      </c>
      <c r="E170" s="57">
        <v>9.0889024731120011E-2</v>
      </c>
      <c r="F170" s="63" t="s">
        <v>413</v>
      </c>
      <c r="G170" s="40">
        <v>25.252500000000001</v>
      </c>
      <c r="H170" s="31"/>
      <c r="I170" s="20">
        <f>H170*G170</f>
        <v>0</v>
      </c>
      <c r="L170" s="53" t="str">
        <f t="shared" si="11"/>
        <v>-</v>
      </c>
      <c r="M170" s="53" t="str">
        <f t="shared" si="12"/>
        <v>-</v>
      </c>
      <c r="N170" s="54" t="str">
        <f t="shared" si="13"/>
        <v>-</v>
      </c>
      <c r="O170" s="55" t="str">
        <f t="shared" si="14"/>
        <v>-</v>
      </c>
      <c r="Q170" s="55" t="str">
        <f t="shared" si="15"/>
        <v>-</v>
      </c>
    </row>
    <row r="171" spans="1:17" x14ac:dyDescent="0.3">
      <c r="A171" s="10" t="s">
        <v>326</v>
      </c>
      <c r="B171" s="11">
        <v>753950005921</v>
      </c>
      <c r="C171" s="12" t="s">
        <v>327</v>
      </c>
      <c r="D171" s="36" t="s">
        <v>12</v>
      </c>
      <c r="E171" s="57">
        <v>0.19187682998792002</v>
      </c>
      <c r="F171" s="63" t="s">
        <v>413</v>
      </c>
      <c r="G171" s="40">
        <v>24.06495</v>
      </c>
      <c r="H171" s="31"/>
      <c r="I171" s="20">
        <f>H171*G171</f>
        <v>0</v>
      </c>
      <c r="L171" s="53" t="str">
        <f t="shared" si="11"/>
        <v>-</v>
      </c>
      <c r="M171" s="53" t="str">
        <f t="shared" si="12"/>
        <v>-</v>
      </c>
      <c r="N171" s="54" t="str">
        <f t="shared" si="13"/>
        <v>-</v>
      </c>
      <c r="O171" s="55" t="str">
        <f t="shared" si="14"/>
        <v>-</v>
      </c>
      <c r="Q171" s="55" t="str">
        <f t="shared" si="15"/>
        <v>-</v>
      </c>
    </row>
    <row r="172" spans="1:17" x14ac:dyDescent="0.3">
      <c r="A172" s="10" t="s">
        <v>332</v>
      </c>
      <c r="B172" s="11">
        <v>753950006010</v>
      </c>
      <c r="C172" s="12" t="s">
        <v>333</v>
      </c>
      <c r="D172" s="36" t="s">
        <v>18</v>
      </c>
      <c r="E172" s="57">
        <v>7.0691463679760008E-2</v>
      </c>
      <c r="F172" s="63" t="s">
        <v>413</v>
      </c>
      <c r="G172" s="40">
        <v>24.488100000000006</v>
      </c>
      <c r="H172" s="31"/>
      <c r="I172" s="20">
        <f>H172*G172</f>
        <v>0</v>
      </c>
      <c r="L172" s="53" t="str">
        <f t="shared" si="11"/>
        <v>-</v>
      </c>
      <c r="M172" s="53" t="str">
        <f t="shared" si="12"/>
        <v>-</v>
      </c>
      <c r="N172" s="54" t="str">
        <f t="shared" si="13"/>
        <v>-</v>
      </c>
      <c r="O172" s="55" t="str">
        <f t="shared" si="14"/>
        <v>-</v>
      </c>
      <c r="Q172" s="55" t="str">
        <f t="shared" si="15"/>
        <v>-</v>
      </c>
    </row>
    <row r="173" spans="1:17" x14ac:dyDescent="0.3">
      <c r="A173" s="10" t="s">
        <v>334</v>
      </c>
      <c r="B173" s="11">
        <v>753950006027</v>
      </c>
      <c r="C173" s="12" t="s">
        <v>335</v>
      </c>
      <c r="D173" s="36" t="s">
        <v>18</v>
      </c>
      <c r="E173" s="57">
        <v>7.5740853942599995E-2</v>
      </c>
      <c r="F173" s="63" t="s">
        <v>413</v>
      </c>
      <c r="G173" s="40">
        <v>31.476900000000004</v>
      </c>
      <c r="H173" s="31"/>
      <c r="I173" s="20">
        <f>H173*G173</f>
        <v>0</v>
      </c>
      <c r="L173" s="53" t="str">
        <f t="shared" si="11"/>
        <v>-</v>
      </c>
      <c r="M173" s="53" t="str">
        <f t="shared" si="12"/>
        <v>-</v>
      </c>
      <c r="N173" s="54" t="str">
        <f t="shared" si="13"/>
        <v>-</v>
      </c>
      <c r="O173" s="55" t="str">
        <f t="shared" si="14"/>
        <v>-</v>
      </c>
      <c r="Q173" s="55" t="str">
        <f t="shared" si="15"/>
        <v>-</v>
      </c>
    </row>
    <row r="174" spans="1:17" x14ac:dyDescent="0.3">
      <c r="A174" s="10" t="s">
        <v>355</v>
      </c>
      <c r="B174" s="11">
        <v>753950002289</v>
      </c>
      <c r="C174" s="12" t="s">
        <v>79</v>
      </c>
      <c r="D174" s="36" t="s">
        <v>9</v>
      </c>
      <c r="E174" s="57">
        <v>0.20702500077643998</v>
      </c>
      <c r="F174" s="63" t="s">
        <v>413</v>
      </c>
      <c r="G174" s="40">
        <v>45.904950000000007</v>
      </c>
      <c r="H174" s="31"/>
      <c r="I174" s="20">
        <f>H174*G174</f>
        <v>0</v>
      </c>
      <c r="L174" s="53" t="str">
        <f t="shared" si="11"/>
        <v>-</v>
      </c>
      <c r="M174" s="53" t="str">
        <f t="shared" si="12"/>
        <v>-</v>
      </c>
      <c r="N174" s="54" t="str">
        <f t="shared" si="13"/>
        <v>-</v>
      </c>
      <c r="O174" s="55" t="str">
        <f t="shared" si="14"/>
        <v>-</v>
      </c>
      <c r="Q174" s="55" t="str">
        <f t="shared" si="15"/>
        <v>-</v>
      </c>
    </row>
    <row r="175" spans="1:17" x14ac:dyDescent="0.3">
      <c r="A175" s="10" t="s">
        <v>356</v>
      </c>
      <c r="B175" s="11">
        <v>753950002715</v>
      </c>
      <c r="C175" s="12" t="s">
        <v>357</v>
      </c>
      <c r="D175" s="36" t="s">
        <v>358</v>
      </c>
      <c r="E175" s="57">
        <v>0.21712378130212001</v>
      </c>
      <c r="F175" s="63" t="s">
        <v>413</v>
      </c>
      <c r="G175" s="40">
        <v>31.831800000000001</v>
      </c>
      <c r="H175" s="31"/>
      <c r="I175" s="20">
        <f>H175*G175</f>
        <v>0</v>
      </c>
      <c r="L175" s="53" t="str">
        <f t="shared" si="11"/>
        <v>-</v>
      </c>
      <c r="M175" s="53" t="str">
        <f t="shared" si="12"/>
        <v>-</v>
      </c>
      <c r="N175" s="54" t="str">
        <f t="shared" si="13"/>
        <v>-</v>
      </c>
      <c r="O175" s="55" t="str">
        <f t="shared" si="14"/>
        <v>-</v>
      </c>
      <c r="Q175" s="55" t="str">
        <f t="shared" si="15"/>
        <v>-</v>
      </c>
    </row>
    <row r="176" spans="1:17" x14ac:dyDescent="0.3">
      <c r="A176" s="10" t="s">
        <v>360</v>
      </c>
      <c r="B176" s="11">
        <v>753950005358</v>
      </c>
      <c r="C176" s="12" t="s">
        <v>361</v>
      </c>
      <c r="D176" s="36" t="s">
        <v>362</v>
      </c>
      <c r="E176" s="57">
        <v>7.5740853942599995E-2</v>
      </c>
      <c r="F176" s="63" t="s">
        <v>413</v>
      </c>
      <c r="G176" s="40">
        <v>12.216749999999999</v>
      </c>
      <c r="H176" s="31"/>
      <c r="I176" s="20">
        <f>H176*G176</f>
        <v>0</v>
      </c>
      <c r="L176" s="53" t="str">
        <f t="shared" si="11"/>
        <v>-</v>
      </c>
      <c r="M176" s="53" t="str">
        <f t="shared" si="12"/>
        <v>-</v>
      </c>
      <c r="N176" s="54" t="str">
        <f t="shared" si="13"/>
        <v>-</v>
      </c>
      <c r="O176" s="55" t="str">
        <f t="shared" si="14"/>
        <v>-</v>
      </c>
      <c r="Q176" s="55" t="str">
        <f t="shared" si="15"/>
        <v>-</v>
      </c>
    </row>
    <row r="177" spans="1:17" x14ac:dyDescent="0.3">
      <c r="A177" s="10" t="s">
        <v>363</v>
      </c>
      <c r="B177" s="11">
        <v>753950005365</v>
      </c>
      <c r="C177" s="12" t="s">
        <v>364</v>
      </c>
      <c r="D177" s="36" t="s">
        <v>362</v>
      </c>
      <c r="E177" s="57">
        <v>7.5740853942599995E-2</v>
      </c>
      <c r="F177" s="63" t="s">
        <v>413</v>
      </c>
      <c r="G177" s="40">
        <v>12.558</v>
      </c>
      <c r="H177" s="31"/>
      <c r="I177" s="20">
        <f>H177*G177</f>
        <v>0</v>
      </c>
      <c r="L177" s="53" t="str">
        <f t="shared" si="11"/>
        <v>-</v>
      </c>
      <c r="M177" s="53" t="str">
        <f t="shared" si="12"/>
        <v>-</v>
      </c>
      <c r="N177" s="54" t="str">
        <f t="shared" si="13"/>
        <v>-</v>
      </c>
      <c r="O177" s="55" t="str">
        <f t="shared" si="14"/>
        <v>-</v>
      </c>
      <c r="Q177" s="55" t="str">
        <f t="shared" si="15"/>
        <v>-</v>
      </c>
    </row>
    <row r="178" spans="1:17" x14ac:dyDescent="0.3">
      <c r="A178" s="10" t="s">
        <v>367</v>
      </c>
      <c r="B178" s="11">
        <v>753950006072</v>
      </c>
      <c r="C178" s="12" t="s">
        <v>368</v>
      </c>
      <c r="D178" s="36" t="s">
        <v>159</v>
      </c>
      <c r="E178" s="57">
        <v>5.0493902628400013E-2</v>
      </c>
      <c r="F178" s="63" t="s">
        <v>413</v>
      </c>
      <c r="G178" s="40">
        <v>20.475000000000001</v>
      </c>
      <c r="H178" s="31"/>
      <c r="I178" s="20">
        <f>H178*G178</f>
        <v>0</v>
      </c>
      <c r="L178" s="53" t="str">
        <f t="shared" si="11"/>
        <v>-</v>
      </c>
      <c r="M178" s="53" t="str">
        <f t="shared" si="12"/>
        <v>-</v>
      </c>
      <c r="N178" s="54" t="str">
        <f t="shared" si="13"/>
        <v>-</v>
      </c>
      <c r="O178" s="55" t="str">
        <f t="shared" si="14"/>
        <v>-</v>
      </c>
      <c r="Q178" s="55" t="str">
        <f t="shared" si="15"/>
        <v>-</v>
      </c>
    </row>
    <row r="179" spans="1:17" x14ac:dyDescent="0.3">
      <c r="A179" s="10" t="s">
        <v>369</v>
      </c>
      <c r="B179" s="11">
        <v>753950006089</v>
      </c>
      <c r="C179" s="12" t="s">
        <v>370</v>
      </c>
      <c r="D179" s="36" t="s">
        <v>116</v>
      </c>
      <c r="E179" s="57">
        <v>5.0493902628400013E-2</v>
      </c>
      <c r="F179" s="63" t="s">
        <v>413</v>
      </c>
      <c r="G179" s="40">
        <v>11.602500000000001</v>
      </c>
      <c r="H179" s="31"/>
      <c r="I179" s="20">
        <f>H179*G179</f>
        <v>0</v>
      </c>
      <c r="L179" s="53" t="str">
        <f t="shared" si="11"/>
        <v>-</v>
      </c>
      <c r="M179" s="53" t="str">
        <f t="shared" si="12"/>
        <v>-</v>
      </c>
      <c r="N179" s="54" t="str">
        <f t="shared" si="13"/>
        <v>-</v>
      </c>
      <c r="O179" s="55" t="str">
        <f t="shared" si="14"/>
        <v>-</v>
      </c>
      <c r="Q179" s="55" t="str">
        <f t="shared" si="15"/>
        <v>-</v>
      </c>
    </row>
    <row r="180" spans="1:17" x14ac:dyDescent="0.3">
      <c r="A180" s="10" t="s">
        <v>373</v>
      </c>
      <c r="B180" s="11">
        <v>753950006102</v>
      </c>
      <c r="C180" s="12" t="s">
        <v>374</v>
      </c>
      <c r="D180" s="36" t="s">
        <v>18</v>
      </c>
      <c r="E180" s="57">
        <v>9.5938414993960011E-2</v>
      </c>
      <c r="F180" s="63" t="s">
        <v>413</v>
      </c>
      <c r="G180" s="40">
        <v>20.475000000000001</v>
      </c>
      <c r="H180" s="31"/>
      <c r="I180" s="20">
        <f>H180*G180</f>
        <v>0</v>
      </c>
      <c r="L180" s="53" t="str">
        <f t="shared" si="11"/>
        <v>-</v>
      </c>
      <c r="M180" s="53" t="str">
        <f t="shared" si="12"/>
        <v>-</v>
      </c>
      <c r="N180" s="54" t="str">
        <f t="shared" si="13"/>
        <v>-</v>
      </c>
      <c r="O180" s="55" t="str">
        <f t="shared" si="14"/>
        <v>-</v>
      </c>
      <c r="Q180" s="55" t="str">
        <f t="shared" si="15"/>
        <v>-</v>
      </c>
    </row>
    <row r="181" spans="1:17" x14ac:dyDescent="0.3">
      <c r="A181" s="10" t="s">
        <v>375</v>
      </c>
      <c r="B181" s="11">
        <v>753950006119</v>
      </c>
      <c r="C181" s="12" t="s">
        <v>376</v>
      </c>
      <c r="D181" s="36" t="s">
        <v>18</v>
      </c>
      <c r="E181" s="57">
        <v>8.583963446828001E-2</v>
      </c>
      <c r="F181" s="63" t="s">
        <v>413</v>
      </c>
      <c r="G181" s="40">
        <v>20.475000000000001</v>
      </c>
      <c r="H181" s="31"/>
      <c r="I181" s="20">
        <f>H181*G181</f>
        <v>0</v>
      </c>
      <c r="L181" s="53" t="str">
        <f t="shared" si="11"/>
        <v>-</v>
      </c>
      <c r="M181" s="53" t="str">
        <f t="shared" si="12"/>
        <v>-</v>
      </c>
      <c r="N181" s="54" t="str">
        <f t="shared" si="13"/>
        <v>-</v>
      </c>
      <c r="O181" s="55" t="str">
        <f t="shared" si="14"/>
        <v>-</v>
      </c>
      <c r="Q181" s="55" t="str">
        <f t="shared" si="15"/>
        <v>-</v>
      </c>
    </row>
    <row r="182" spans="1:17" x14ac:dyDescent="0.3">
      <c r="A182" s="10" t="s">
        <v>379</v>
      </c>
      <c r="B182" s="11">
        <v>753950006201</v>
      </c>
      <c r="C182" s="12" t="s">
        <v>380</v>
      </c>
      <c r="D182" s="36" t="s">
        <v>18</v>
      </c>
      <c r="E182" s="57">
        <v>5.0493902628400013E-2</v>
      </c>
      <c r="F182" s="63" t="s">
        <v>413</v>
      </c>
      <c r="G182" s="40">
        <v>17.0625</v>
      </c>
      <c r="H182" s="31"/>
      <c r="I182" s="20">
        <f>H182*G182</f>
        <v>0</v>
      </c>
      <c r="L182" s="53" t="str">
        <f t="shared" si="11"/>
        <v>-</v>
      </c>
      <c r="M182" s="53" t="str">
        <f t="shared" si="12"/>
        <v>-</v>
      </c>
      <c r="N182" s="54" t="str">
        <f t="shared" si="13"/>
        <v>-</v>
      </c>
      <c r="O182" s="55" t="str">
        <f t="shared" si="14"/>
        <v>-</v>
      </c>
      <c r="Q182" s="55" t="str">
        <f t="shared" si="15"/>
        <v>-</v>
      </c>
    </row>
    <row r="183" spans="1:17" x14ac:dyDescent="0.3">
      <c r="A183" s="10" t="s">
        <v>381</v>
      </c>
      <c r="B183" s="11">
        <v>753950006249</v>
      </c>
      <c r="C183" s="12" t="s">
        <v>382</v>
      </c>
      <c r="D183" s="36" t="s">
        <v>383</v>
      </c>
      <c r="E183" s="57">
        <v>0.45444512365560003</v>
      </c>
      <c r="F183" s="63" t="s">
        <v>413</v>
      </c>
      <c r="G183" s="40">
        <v>31.54515</v>
      </c>
      <c r="H183" s="31"/>
      <c r="I183" s="20">
        <f>H183*G183</f>
        <v>0</v>
      </c>
      <c r="L183" s="53" t="str">
        <f t="shared" si="11"/>
        <v>-</v>
      </c>
      <c r="M183" s="53" t="str">
        <f t="shared" si="12"/>
        <v>-</v>
      </c>
      <c r="N183" s="54" t="str">
        <f t="shared" si="13"/>
        <v>-</v>
      </c>
      <c r="O183" s="55" t="str">
        <f t="shared" si="14"/>
        <v>-</v>
      </c>
      <c r="Q183" s="55" t="str">
        <f t="shared" si="15"/>
        <v>-</v>
      </c>
    </row>
    <row r="184" spans="1:17" x14ac:dyDescent="0.3">
      <c r="A184" s="10" t="s">
        <v>389</v>
      </c>
      <c r="B184" s="11">
        <v>753950006270</v>
      </c>
      <c r="C184" s="12" t="s">
        <v>390</v>
      </c>
      <c r="D184" s="36" t="s">
        <v>159</v>
      </c>
      <c r="E184" s="57">
        <v>5.0493902628400013E-2</v>
      </c>
      <c r="F184" s="63" t="s">
        <v>413</v>
      </c>
      <c r="G184" s="40">
        <v>22.522500000000001</v>
      </c>
      <c r="H184" s="31"/>
      <c r="I184" s="20">
        <f>H184*G184</f>
        <v>0</v>
      </c>
      <c r="L184" s="53" t="str">
        <f t="shared" si="11"/>
        <v>-</v>
      </c>
      <c r="M184" s="53" t="str">
        <f t="shared" si="12"/>
        <v>-</v>
      </c>
      <c r="N184" s="54" t="str">
        <f t="shared" si="13"/>
        <v>-</v>
      </c>
      <c r="O184" s="55" t="str">
        <f t="shared" si="14"/>
        <v>-</v>
      </c>
      <c r="Q184" s="55" t="str">
        <f t="shared" si="15"/>
        <v>-</v>
      </c>
    </row>
    <row r="185" spans="1:17" x14ac:dyDescent="0.3">
      <c r="A185" s="10" t="s">
        <v>391</v>
      </c>
      <c r="B185" s="11">
        <v>753950006287</v>
      </c>
      <c r="C185" s="12" t="s">
        <v>392</v>
      </c>
      <c r="D185" s="36" t="s">
        <v>18</v>
      </c>
      <c r="E185" s="57">
        <v>7.5740853942599995E-2</v>
      </c>
      <c r="F185" s="63" t="s">
        <v>413</v>
      </c>
      <c r="G185" s="40">
        <v>18.427500000000002</v>
      </c>
      <c r="H185" s="31"/>
      <c r="I185" s="20">
        <f>H185*G185</f>
        <v>0</v>
      </c>
      <c r="L185" s="53" t="str">
        <f t="shared" si="11"/>
        <v>-</v>
      </c>
      <c r="M185" s="53" t="str">
        <f t="shared" si="12"/>
        <v>-</v>
      </c>
      <c r="N185" s="54" t="str">
        <f t="shared" si="13"/>
        <v>-</v>
      </c>
      <c r="O185" s="55" t="str">
        <f t="shared" si="14"/>
        <v>-</v>
      </c>
      <c r="Q185" s="55" t="str">
        <f t="shared" si="15"/>
        <v>-</v>
      </c>
    </row>
    <row r="186" spans="1:17" x14ac:dyDescent="0.3">
      <c r="A186" s="10" t="s">
        <v>393</v>
      </c>
      <c r="B186" s="11">
        <v>753950006300</v>
      </c>
      <c r="C186" s="12" t="s">
        <v>394</v>
      </c>
      <c r="D186" s="36" t="s">
        <v>395</v>
      </c>
      <c r="E186" s="57">
        <v>0.60592683154079996</v>
      </c>
      <c r="F186" s="63" t="s">
        <v>413</v>
      </c>
      <c r="G186" s="40">
        <v>27.3</v>
      </c>
      <c r="H186" s="31"/>
      <c r="I186" s="20">
        <f>H186*G186</f>
        <v>0</v>
      </c>
      <c r="L186" s="53" t="str">
        <f t="shared" si="11"/>
        <v>-</v>
      </c>
      <c r="M186" s="53" t="str">
        <f t="shared" si="12"/>
        <v>-</v>
      </c>
      <c r="N186" s="54" t="str">
        <f t="shared" si="13"/>
        <v>-</v>
      </c>
      <c r="O186" s="55" t="str">
        <f t="shared" si="14"/>
        <v>-</v>
      </c>
      <c r="Q186" s="55" t="str">
        <f t="shared" si="15"/>
        <v>-</v>
      </c>
    </row>
    <row r="187" spans="1:17" x14ac:dyDescent="0.3">
      <c r="A187" s="10" t="s">
        <v>396</v>
      </c>
      <c r="B187" s="11">
        <v>753950006324</v>
      </c>
      <c r="C187" s="12" t="s">
        <v>397</v>
      </c>
      <c r="D187" s="36" t="s">
        <v>18</v>
      </c>
      <c r="E187" s="57">
        <v>8.8364329599699989E-2</v>
      </c>
      <c r="F187" s="63" t="s">
        <v>413</v>
      </c>
      <c r="G187" s="40">
        <v>25.934999999999999</v>
      </c>
      <c r="H187" s="31"/>
      <c r="I187" s="20">
        <f>H187*G187</f>
        <v>0</v>
      </c>
      <c r="L187" s="53" t="str">
        <f t="shared" si="11"/>
        <v>-</v>
      </c>
      <c r="M187" s="53" t="str">
        <f t="shared" si="12"/>
        <v>-</v>
      </c>
      <c r="N187" s="54" t="str">
        <f t="shared" si="13"/>
        <v>-</v>
      </c>
      <c r="O187" s="55" t="str">
        <f t="shared" si="14"/>
        <v>-</v>
      </c>
      <c r="Q187" s="55" t="str">
        <f t="shared" si="15"/>
        <v>-</v>
      </c>
    </row>
    <row r="188" spans="1:17" x14ac:dyDescent="0.3">
      <c r="A188" s="10" t="s">
        <v>398</v>
      </c>
      <c r="B188" s="11">
        <v>753950006331</v>
      </c>
      <c r="C188" s="12" t="s">
        <v>399</v>
      </c>
      <c r="D188" s="36" t="s">
        <v>400</v>
      </c>
      <c r="E188" s="57">
        <v>6.059268315408E-2</v>
      </c>
      <c r="F188" s="63" t="s">
        <v>413</v>
      </c>
      <c r="G188" s="40">
        <v>12.967499999999999</v>
      </c>
      <c r="H188" s="31"/>
      <c r="I188" s="20">
        <f>H188*G188</f>
        <v>0</v>
      </c>
      <c r="L188" s="53" t="str">
        <f t="shared" si="11"/>
        <v>-</v>
      </c>
      <c r="M188" s="53" t="str">
        <f t="shared" si="12"/>
        <v>-</v>
      </c>
      <c r="N188" s="54" t="str">
        <f t="shared" si="13"/>
        <v>-</v>
      </c>
      <c r="O188" s="55" t="str">
        <f t="shared" si="14"/>
        <v>-</v>
      </c>
      <c r="Q188" s="55" t="str">
        <f t="shared" si="15"/>
        <v>-</v>
      </c>
    </row>
    <row r="189" spans="1:17" x14ac:dyDescent="0.3">
      <c r="A189" s="10" t="s">
        <v>404</v>
      </c>
      <c r="B189" s="11">
        <v>753950006379</v>
      </c>
      <c r="C189" s="12" t="s">
        <v>405</v>
      </c>
      <c r="D189" s="36" t="s">
        <v>406</v>
      </c>
      <c r="E189" s="57">
        <v>0.66791999999999996</v>
      </c>
      <c r="F189" s="63" t="s">
        <v>413</v>
      </c>
      <c r="G189" s="40">
        <v>22.522500000000001</v>
      </c>
      <c r="H189" s="31"/>
      <c r="I189" s="20">
        <f>H189*G189</f>
        <v>0</v>
      </c>
      <c r="L189" s="53" t="str">
        <f t="shared" si="11"/>
        <v>-</v>
      </c>
      <c r="M189" s="53" t="str">
        <f t="shared" si="12"/>
        <v>-</v>
      </c>
      <c r="N189" s="54" t="str">
        <f t="shared" si="13"/>
        <v>-</v>
      </c>
      <c r="O189" s="55" t="str">
        <f t="shared" si="14"/>
        <v>-</v>
      </c>
      <c r="Q189" s="55" t="str">
        <f t="shared" si="15"/>
        <v>-</v>
      </c>
    </row>
    <row r="190" spans="1:17" x14ac:dyDescent="0.3">
      <c r="A190" s="10" t="s">
        <v>407</v>
      </c>
      <c r="B190" s="11">
        <v>753950006386</v>
      </c>
      <c r="C190" s="12" t="s">
        <v>408</v>
      </c>
      <c r="D190" s="36" t="s">
        <v>29</v>
      </c>
      <c r="E190" s="57">
        <v>0.11108658578248</v>
      </c>
      <c r="F190" s="63" t="s">
        <v>413</v>
      </c>
      <c r="G190" s="40">
        <v>16.03875</v>
      </c>
      <c r="H190" s="31"/>
      <c r="I190" s="20">
        <f>H190*G190</f>
        <v>0</v>
      </c>
      <c r="L190" s="53" t="str">
        <f t="shared" si="11"/>
        <v>-</v>
      </c>
      <c r="M190" s="53" t="str">
        <f t="shared" si="12"/>
        <v>-</v>
      </c>
      <c r="N190" s="54" t="str">
        <f t="shared" si="13"/>
        <v>-</v>
      </c>
      <c r="O190" s="55" t="str">
        <f t="shared" si="14"/>
        <v>-</v>
      </c>
      <c r="Q190" s="55" t="str">
        <f t="shared" si="15"/>
        <v>-</v>
      </c>
    </row>
    <row r="191" spans="1:17" ht="15" thickBot="1" x14ac:dyDescent="0.35">
      <c r="A191" s="13" t="s">
        <v>409</v>
      </c>
      <c r="B191" s="14">
        <v>753950006409</v>
      </c>
      <c r="C191" s="15" t="s">
        <v>410</v>
      </c>
      <c r="D191" s="38" t="s">
        <v>411</v>
      </c>
      <c r="E191" s="58"/>
      <c r="F191" s="64" t="s">
        <v>413</v>
      </c>
      <c r="G191" s="42">
        <v>28.037100000000002</v>
      </c>
      <c r="H191" s="33"/>
      <c r="I191" s="22">
        <f>H191*G191</f>
        <v>0</v>
      </c>
      <c r="L191" s="53" t="str">
        <f t="shared" si="11"/>
        <v>-</v>
      </c>
      <c r="M191" s="53" t="str">
        <f t="shared" si="12"/>
        <v>-</v>
      </c>
      <c r="N191" s="54" t="str">
        <f t="shared" si="13"/>
        <v>-</v>
      </c>
      <c r="O191" s="55" t="str">
        <f t="shared" si="14"/>
        <v>-</v>
      </c>
      <c r="Q191" s="55" t="str">
        <f t="shared" si="15"/>
        <v>-</v>
      </c>
    </row>
    <row r="192" spans="1:17" x14ac:dyDescent="0.3">
      <c r="E192" s="17"/>
      <c r="F192" s="17"/>
      <c r="L192" s="53"/>
      <c r="M192" s="53"/>
      <c r="N192" s="54"/>
      <c r="O192" s="55"/>
      <c r="Q192" s="55"/>
    </row>
    <row r="193" spans="3:17" x14ac:dyDescent="0.3">
      <c r="E193" s="17"/>
      <c r="F193" s="17"/>
      <c r="L193" s="53"/>
      <c r="M193" s="53"/>
      <c r="N193" s="54"/>
      <c r="O193" s="55"/>
      <c r="Q193" s="55"/>
    </row>
    <row r="194" spans="3:17" ht="15" x14ac:dyDescent="0.3">
      <c r="E194" s="17"/>
      <c r="F194" s="17"/>
      <c r="L194" s="53"/>
      <c r="M194" s="53"/>
      <c r="N194" s="54"/>
      <c r="O194" s="55"/>
      <c r="Q194" s="55"/>
    </row>
    <row r="195" spans="3:17" ht="31.2" customHeight="1" thickBot="1" x14ac:dyDescent="0.35">
      <c r="C195" s="23" t="e" vm="1">
        <v>#VALUE!</v>
      </c>
      <c r="E195" s="17"/>
      <c r="F195" s="17"/>
      <c r="L195" s="53"/>
      <c r="M195" s="53"/>
      <c r="N195" s="54"/>
      <c r="O195" s="55"/>
      <c r="Q195" s="55"/>
    </row>
    <row r="196" spans="3:17" x14ac:dyDescent="0.3">
      <c r="C196" s="24" t="s">
        <v>343</v>
      </c>
      <c r="E196" s="17"/>
      <c r="F196" s="17"/>
      <c r="L196" s="53"/>
      <c r="M196" s="53"/>
      <c r="N196" s="54"/>
      <c r="O196" s="55"/>
      <c r="Q196" s="55"/>
    </row>
    <row r="197" spans="3:17" x14ac:dyDescent="0.3">
      <c r="C197" s="25" t="s">
        <v>344</v>
      </c>
      <c r="E197" s="17"/>
      <c r="F197" s="17"/>
      <c r="L197" s="53"/>
      <c r="M197" s="53"/>
      <c r="N197" s="54"/>
      <c r="O197" s="55"/>
      <c r="Q197" s="55"/>
    </row>
    <row r="198" spans="3:17" ht="15" x14ac:dyDescent="0.3">
      <c r="C198" s="26" t="s">
        <v>339</v>
      </c>
      <c r="E198" s="17"/>
      <c r="F198" s="17"/>
      <c r="L198" s="53"/>
      <c r="M198" s="53"/>
      <c r="N198" s="54"/>
      <c r="O198" s="55"/>
      <c r="Q198" s="55"/>
    </row>
    <row r="199" spans="3:17" x14ac:dyDescent="0.3">
      <c r="C199" s="27" t="s">
        <v>340</v>
      </c>
      <c r="E199" s="17"/>
      <c r="F199" s="17"/>
      <c r="L199" s="53"/>
      <c r="M199" s="53"/>
      <c r="N199" s="54"/>
      <c r="O199" s="55"/>
      <c r="Q199" s="55"/>
    </row>
    <row r="200" spans="3:17" ht="15" thickBot="1" x14ac:dyDescent="0.35">
      <c r="C200" s="28" t="s">
        <v>341</v>
      </c>
      <c r="E200" s="17"/>
      <c r="F200" s="17"/>
      <c r="L200" s="53"/>
      <c r="M200" s="53"/>
      <c r="N200" s="54"/>
      <c r="O200" s="55"/>
      <c r="Q200" s="55"/>
    </row>
    <row r="201" spans="3:17" x14ac:dyDescent="0.3">
      <c r="L201" s="53"/>
      <c r="M201" s="53"/>
      <c r="N201" s="54"/>
      <c r="O201" s="55"/>
      <c r="Q201" s="55"/>
    </row>
    <row r="202" spans="3:17" x14ac:dyDescent="0.3">
      <c r="L202" s="53"/>
      <c r="M202" s="53"/>
      <c r="N202" s="54"/>
      <c r="O202" s="55"/>
      <c r="Q202" s="55"/>
    </row>
    <row r="203" spans="3:17" x14ac:dyDescent="0.3">
      <c r="L203" s="53"/>
      <c r="M203" s="53"/>
      <c r="N203" s="54"/>
      <c r="O203" s="55"/>
      <c r="Q203" s="55"/>
    </row>
    <row r="204" spans="3:17" x14ac:dyDescent="0.3">
      <c r="L204" s="53"/>
      <c r="M204" s="53"/>
      <c r="N204" s="54"/>
      <c r="O204" s="55"/>
      <c r="Q204" s="55"/>
    </row>
    <row r="205" spans="3:17" x14ac:dyDescent="0.3">
      <c r="L205" s="53"/>
      <c r="M205" s="53"/>
      <c r="N205" s="54"/>
      <c r="O205" s="55"/>
      <c r="Q205" s="55"/>
    </row>
    <row r="206" spans="3:17" x14ac:dyDescent="0.3">
      <c r="L206" s="53"/>
      <c r="M206" s="53"/>
      <c r="N206" s="54"/>
      <c r="O206" s="55"/>
      <c r="Q206" s="55"/>
    </row>
    <row r="207" spans="3:17" x14ac:dyDescent="0.3">
      <c r="L207" s="53"/>
      <c r="M207" s="53"/>
      <c r="N207" s="54"/>
      <c r="O207" s="55"/>
      <c r="Q207" s="55"/>
    </row>
    <row r="208" spans="3:17" x14ac:dyDescent="0.3">
      <c r="L208" s="53"/>
      <c r="M208" s="53"/>
      <c r="N208" s="54"/>
      <c r="O208" s="55"/>
      <c r="Q208" s="55"/>
    </row>
    <row r="209" spans="12:17" x14ac:dyDescent="0.3">
      <c r="L209" s="53"/>
      <c r="M209" s="53"/>
      <c r="N209" s="54"/>
      <c r="O209" s="55"/>
      <c r="Q209" s="55"/>
    </row>
    <row r="210" spans="12:17" x14ac:dyDescent="0.3">
      <c r="L210" s="53"/>
      <c r="M210" s="53"/>
      <c r="N210" s="54"/>
      <c r="O210" s="55"/>
      <c r="Q210" s="55"/>
    </row>
    <row r="211" spans="12:17" x14ac:dyDescent="0.3">
      <c r="L211" s="53"/>
      <c r="M211" s="53"/>
      <c r="N211" s="54"/>
      <c r="O211" s="55"/>
      <c r="Q211" s="55"/>
    </row>
    <row r="212" spans="12:17" x14ac:dyDescent="0.3">
      <c r="L212" s="53"/>
      <c r="M212" s="53"/>
      <c r="N212" s="54"/>
      <c r="O212" s="55"/>
      <c r="Q212" s="55"/>
    </row>
    <row r="213" spans="12:17" x14ac:dyDescent="0.3">
      <c r="L213" s="53"/>
      <c r="M213" s="53"/>
      <c r="N213" s="54"/>
      <c r="O213" s="55"/>
      <c r="Q213" s="55"/>
    </row>
    <row r="214" spans="12:17" x14ac:dyDescent="0.3">
      <c r="L214" s="53"/>
      <c r="M214" s="53"/>
      <c r="N214" s="54"/>
      <c r="O214" s="55"/>
      <c r="Q214" s="55"/>
    </row>
    <row r="215" spans="12:17" x14ac:dyDescent="0.3">
      <c r="L215" s="53"/>
      <c r="M215" s="53"/>
      <c r="N215" s="54"/>
      <c r="O215" s="55"/>
      <c r="Q215" s="55"/>
    </row>
    <row r="216" spans="12:17" x14ac:dyDescent="0.3">
      <c r="L216" s="53"/>
      <c r="M216" s="53"/>
      <c r="N216" s="54"/>
      <c r="O216" s="55"/>
      <c r="Q216" s="55"/>
    </row>
    <row r="217" spans="12:17" x14ac:dyDescent="0.3">
      <c r="L217" s="53"/>
      <c r="M217" s="53"/>
      <c r="N217" s="54"/>
      <c r="O217" s="55"/>
      <c r="Q217" s="55"/>
    </row>
    <row r="218" spans="12:17" x14ac:dyDescent="0.3">
      <c r="L218" s="53"/>
      <c r="M218" s="53"/>
      <c r="N218" s="54"/>
      <c r="O218" s="55"/>
      <c r="Q218" s="55"/>
    </row>
    <row r="219" spans="12:17" x14ac:dyDescent="0.3">
      <c r="L219" s="53"/>
      <c r="M219" s="53"/>
      <c r="N219" s="54"/>
      <c r="O219" s="55"/>
      <c r="Q219" s="55"/>
    </row>
    <row r="220" spans="12:17" x14ac:dyDescent="0.3">
      <c r="L220" s="53"/>
      <c r="M220" s="53"/>
      <c r="N220" s="54"/>
      <c r="O220" s="55"/>
      <c r="Q220" s="55"/>
    </row>
    <row r="221" spans="12:17" x14ac:dyDescent="0.3">
      <c r="L221" s="53"/>
      <c r="M221" s="53"/>
      <c r="N221" s="54"/>
      <c r="O221" s="55"/>
      <c r="Q221" s="55"/>
    </row>
    <row r="222" spans="12:17" x14ac:dyDescent="0.3">
      <c r="L222" s="53"/>
      <c r="M222" s="53"/>
      <c r="N222" s="54"/>
      <c r="O222" s="55"/>
      <c r="Q222" s="55"/>
    </row>
    <row r="223" spans="12:17" x14ac:dyDescent="0.3">
      <c r="L223" s="53"/>
      <c r="M223" s="53"/>
      <c r="N223" s="54"/>
      <c r="O223" s="55"/>
      <c r="Q223" s="55"/>
    </row>
    <row r="224" spans="12:17" x14ac:dyDescent="0.3">
      <c r="L224" s="53"/>
      <c r="M224" s="53"/>
      <c r="N224" s="54"/>
      <c r="O224" s="55"/>
      <c r="Q224" s="55"/>
    </row>
    <row r="225" spans="12:17" x14ac:dyDescent="0.3">
      <c r="L225" s="53"/>
      <c r="M225" s="53"/>
      <c r="N225" s="54"/>
      <c r="O225" s="55"/>
      <c r="Q225" s="55"/>
    </row>
    <row r="226" spans="12:17" x14ac:dyDescent="0.3">
      <c r="L226" s="53"/>
      <c r="M226" s="53"/>
      <c r="N226" s="54"/>
      <c r="O226" s="55"/>
      <c r="Q226" s="55"/>
    </row>
    <row r="227" spans="12:17" x14ac:dyDescent="0.3">
      <c r="L227" s="53"/>
      <c r="M227" s="53"/>
      <c r="N227" s="54"/>
      <c r="O227" s="55"/>
      <c r="Q227" s="55"/>
    </row>
    <row r="228" spans="12:17" x14ac:dyDescent="0.3">
      <c r="L228" s="53"/>
      <c r="M228" s="53"/>
      <c r="N228" s="54"/>
      <c r="O228" s="55"/>
      <c r="Q228" s="55"/>
    </row>
    <row r="229" spans="12:17" x14ac:dyDescent="0.3">
      <c r="L229" s="53"/>
      <c r="M229" s="53"/>
      <c r="N229" s="54"/>
      <c r="O229" s="55"/>
      <c r="Q229" s="55"/>
    </row>
    <row r="230" spans="12:17" x14ac:dyDescent="0.3">
      <c r="L230" s="53"/>
      <c r="M230" s="53"/>
      <c r="N230" s="54"/>
      <c r="O230" s="55"/>
      <c r="Q230" s="55"/>
    </row>
    <row r="231" spans="12:17" x14ac:dyDescent="0.3">
      <c r="L231" s="53"/>
      <c r="M231" s="53"/>
      <c r="N231" s="54"/>
      <c r="O231" s="55"/>
      <c r="Q231" s="55"/>
    </row>
    <row r="232" spans="12:17" x14ac:dyDescent="0.3">
      <c r="L232" s="53"/>
      <c r="M232" s="53"/>
      <c r="N232" s="54"/>
      <c r="O232" s="55"/>
      <c r="Q232" s="55"/>
    </row>
    <row r="233" spans="12:17" x14ac:dyDescent="0.3">
      <c r="L233" s="53"/>
      <c r="M233" s="53"/>
      <c r="N233" s="54"/>
      <c r="O233" s="55"/>
      <c r="Q233" s="55"/>
    </row>
    <row r="234" spans="12:17" x14ac:dyDescent="0.3">
      <c r="L234" s="53"/>
      <c r="M234" s="53"/>
      <c r="N234" s="54"/>
      <c r="O234" s="55"/>
      <c r="Q234" s="55"/>
    </row>
    <row r="235" spans="12:17" x14ac:dyDescent="0.3">
      <c r="L235" s="53"/>
      <c r="M235" s="53"/>
      <c r="N235" s="54"/>
      <c r="O235" s="55"/>
      <c r="Q235" s="55"/>
    </row>
    <row r="236" spans="12:17" x14ac:dyDescent="0.3">
      <c r="L236" s="53"/>
      <c r="M236" s="53"/>
      <c r="N236" s="54"/>
      <c r="O236" s="55"/>
      <c r="Q236" s="55"/>
    </row>
    <row r="237" spans="12:17" x14ac:dyDescent="0.3">
      <c r="L237" s="53"/>
      <c r="M237" s="53"/>
      <c r="N237" s="54"/>
      <c r="O237" s="55"/>
      <c r="Q237" s="55"/>
    </row>
    <row r="238" spans="12:17" x14ac:dyDescent="0.3">
      <c r="L238" s="53"/>
      <c r="M238" s="53"/>
      <c r="N238" s="54"/>
      <c r="O238" s="55"/>
      <c r="Q238" s="55"/>
    </row>
    <row r="239" spans="12:17" x14ac:dyDescent="0.3">
      <c r="L239" s="53"/>
      <c r="M239" s="53"/>
      <c r="N239" s="54"/>
      <c r="O239" s="55"/>
      <c r="Q239" s="55"/>
    </row>
    <row r="240" spans="12:17" x14ac:dyDescent="0.3">
      <c r="L240" s="53"/>
      <c r="M240" s="53"/>
      <c r="N240" s="54"/>
      <c r="O240" s="55"/>
      <c r="Q240" s="55"/>
    </row>
    <row r="241" spans="12:17" x14ac:dyDescent="0.3">
      <c r="L241" s="53"/>
      <c r="M241" s="53"/>
      <c r="N241" s="54"/>
      <c r="O241" s="55"/>
      <c r="Q241" s="55"/>
    </row>
    <row r="242" spans="12:17" x14ac:dyDescent="0.3">
      <c r="L242" s="53"/>
      <c r="M242" s="53"/>
      <c r="N242" s="54"/>
      <c r="O242" s="55"/>
      <c r="Q242" s="55"/>
    </row>
    <row r="243" spans="12:17" x14ac:dyDescent="0.3">
      <c r="L243" s="53"/>
      <c r="M243" s="53"/>
      <c r="N243" s="54"/>
      <c r="O243" s="55"/>
      <c r="Q243" s="55"/>
    </row>
    <row r="244" spans="12:17" x14ac:dyDescent="0.3">
      <c r="L244" s="53"/>
      <c r="M244" s="53"/>
      <c r="N244" s="54"/>
      <c r="O244" s="55"/>
      <c r="Q244" s="55"/>
    </row>
    <row r="245" spans="12:17" x14ac:dyDescent="0.3">
      <c r="L245" s="53"/>
      <c r="M245" s="53"/>
      <c r="N245" s="54"/>
      <c r="O245" s="55"/>
      <c r="Q245" s="55"/>
    </row>
    <row r="246" spans="12:17" x14ac:dyDescent="0.3">
      <c r="L246" s="53"/>
      <c r="M246" s="53"/>
      <c r="N246" s="54"/>
      <c r="O246" s="55"/>
      <c r="Q246" s="55"/>
    </row>
    <row r="247" spans="12:17" x14ac:dyDescent="0.3">
      <c r="L247" s="53"/>
      <c r="M247" s="53"/>
      <c r="N247" s="54"/>
      <c r="O247" s="55"/>
      <c r="Q247" s="55"/>
    </row>
    <row r="248" spans="12:17" x14ac:dyDescent="0.3">
      <c r="L248" s="53"/>
      <c r="M248" s="53"/>
      <c r="N248" s="54"/>
      <c r="O248" s="55"/>
      <c r="Q248" s="55"/>
    </row>
    <row r="249" spans="12:17" x14ac:dyDescent="0.3">
      <c r="L249" s="53"/>
      <c r="M249" s="53"/>
      <c r="N249" s="54"/>
      <c r="O249" s="55"/>
      <c r="Q249" s="55"/>
    </row>
    <row r="250" spans="12:17" x14ac:dyDescent="0.3">
      <c r="L250" s="53"/>
      <c r="M250" s="53"/>
      <c r="N250" s="54"/>
      <c r="O250" s="55"/>
      <c r="Q250" s="55"/>
    </row>
    <row r="251" spans="12:17" x14ac:dyDescent="0.3">
      <c r="L251" s="53"/>
      <c r="M251" s="53"/>
      <c r="N251" s="54"/>
      <c r="O251" s="55"/>
      <c r="Q251" s="55"/>
    </row>
    <row r="252" spans="12:17" x14ac:dyDescent="0.3">
      <c r="L252" s="53"/>
      <c r="M252" s="53"/>
      <c r="N252" s="54"/>
      <c r="O252" s="55"/>
      <c r="Q252" s="55"/>
    </row>
    <row r="253" spans="12:17" x14ac:dyDescent="0.3">
      <c r="L253" s="53"/>
      <c r="M253" s="53"/>
      <c r="N253" s="54"/>
      <c r="O253" s="55"/>
      <c r="Q253" s="55"/>
    </row>
    <row r="254" spans="12:17" x14ac:dyDescent="0.3">
      <c r="L254" s="53"/>
      <c r="M254" s="53"/>
      <c r="N254" s="54"/>
      <c r="O254" s="55"/>
      <c r="Q254" s="55"/>
    </row>
    <row r="255" spans="12:17" x14ac:dyDescent="0.3">
      <c r="L255" s="53"/>
      <c r="M255" s="53"/>
      <c r="N255" s="54"/>
      <c r="O255" s="55"/>
      <c r="Q255" s="55"/>
    </row>
    <row r="256" spans="12:17" x14ac:dyDescent="0.3">
      <c r="L256" s="53"/>
      <c r="M256" s="53"/>
      <c r="N256" s="54"/>
      <c r="O256" s="55"/>
      <c r="Q256" s="55"/>
    </row>
    <row r="257" spans="12:17" x14ac:dyDescent="0.3">
      <c r="L257" s="53"/>
      <c r="M257" s="53"/>
      <c r="N257" s="54"/>
      <c r="O257" s="55"/>
      <c r="Q257" s="55"/>
    </row>
    <row r="258" spans="12:17" x14ac:dyDescent="0.3">
      <c r="L258" s="53"/>
      <c r="M258" s="53"/>
      <c r="N258" s="54"/>
      <c r="O258" s="55"/>
      <c r="Q258" s="55"/>
    </row>
    <row r="259" spans="12:17" x14ac:dyDescent="0.3">
      <c r="L259" s="53"/>
      <c r="M259" s="53"/>
      <c r="N259" s="54"/>
      <c r="O259" s="55"/>
      <c r="Q259" s="55"/>
    </row>
    <row r="260" spans="12:17" x14ac:dyDescent="0.3">
      <c r="L260" s="53"/>
      <c r="M260" s="53"/>
      <c r="N260" s="54"/>
      <c r="O260" s="55"/>
      <c r="Q260" s="55"/>
    </row>
    <row r="261" spans="12:17" x14ac:dyDescent="0.3">
      <c r="L261" s="53"/>
      <c r="M261" s="53"/>
      <c r="N261" s="54"/>
      <c r="O261" s="55"/>
      <c r="Q261" s="55"/>
    </row>
    <row r="262" spans="12:17" x14ac:dyDescent="0.3">
      <c r="L262" s="53"/>
      <c r="M262" s="53"/>
      <c r="N262" s="54"/>
      <c r="O262" s="55"/>
      <c r="Q262" s="55"/>
    </row>
    <row r="263" spans="12:17" x14ac:dyDescent="0.3">
      <c r="L263" s="53"/>
      <c r="M263" s="53"/>
      <c r="N263" s="54"/>
      <c r="O263" s="55"/>
      <c r="Q263" s="55"/>
    </row>
    <row r="264" spans="12:17" x14ac:dyDescent="0.3">
      <c r="L264" s="53"/>
      <c r="M264" s="53"/>
      <c r="N264" s="54"/>
      <c r="O264" s="55"/>
      <c r="Q264" s="55"/>
    </row>
    <row r="265" spans="12:17" x14ac:dyDescent="0.3">
      <c r="L265" s="53"/>
      <c r="M265" s="53"/>
      <c r="N265" s="54"/>
      <c r="O265" s="55"/>
      <c r="Q265" s="55"/>
    </row>
    <row r="266" spans="12:17" x14ac:dyDescent="0.3">
      <c r="L266" s="53"/>
      <c r="M266" s="53"/>
      <c r="N266" s="54"/>
      <c r="O266" s="55"/>
      <c r="Q266" s="55"/>
    </row>
    <row r="267" spans="12:17" x14ac:dyDescent="0.3">
      <c r="L267" s="53"/>
      <c r="M267" s="53"/>
      <c r="N267" s="54"/>
      <c r="O267" s="55"/>
      <c r="Q267" s="55"/>
    </row>
    <row r="268" spans="12:17" x14ac:dyDescent="0.3">
      <c r="L268" s="53"/>
      <c r="M268" s="53"/>
      <c r="N268" s="54"/>
      <c r="O268" s="55"/>
      <c r="Q268" s="55"/>
    </row>
    <row r="269" spans="12:17" x14ac:dyDescent="0.3">
      <c r="L269" s="53"/>
      <c r="M269" s="53"/>
      <c r="N269" s="54"/>
      <c r="O269" s="55"/>
      <c r="Q269" s="55"/>
    </row>
    <row r="270" spans="12:17" x14ac:dyDescent="0.3">
      <c r="L270" s="53"/>
      <c r="M270" s="53"/>
      <c r="N270" s="54"/>
      <c r="O270" s="55"/>
      <c r="Q270" s="55"/>
    </row>
    <row r="271" spans="12:17" x14ac:dyDescent="0.3">
      <c r="L271" s="53"/>
      <c r="M271" s="53"/>
      <c r="N271" s="54"/>
      <c r="O271" s="55"/>
      <c r="Q271" s="55"/>
    </row>
    <row r="272" spans="12:17" x14ac:dyDescent="0.3">
      <c r="L272" s="53"/>
      <c r="M272" s="53"/>
      <c r="N272" s="54"/>
      <c r="O272" s="55"/>
      <c r="Q272" s="55"/>
    </row>
    <row r="273" spans="12:17" x14ac:dyDescent="0.3">
      <c r="L273" s="53"/>
      <c r="M273" s="53"/>
      <c r="N273" s="54"/>
      <c r="O273" s="55"/>
      <c r="Q273" s="55"/>
    </row>
    <row r="274" spans="12:17" x14ac:dyDescent="0.3">
      <c r="L274" s="53"/>
      <c r="M274" s="53"/>
      <c r="N274" s="54"/>
      <c r="O274" s="55"/>
      <c r="Q274" s="55"/>
    </row>
    <row r="275" spans="12:17" x14ac:dyDescent="0.3">
      <c r="L275" s="53"/>
      <c r="M275" s="53"/>
      <c r="N275" s="54"/>
      <c r="O275" s="55"/>
      <c r="Q275" s="55"/>
    </row>
    <row r="276" spans="12:17" x14ac:dyDescent="0.3">
      <c r="L276" s="53"/>
      <c r="M276" s="53"/>
      <c r="N276" s="54"/>
      <c r="O276" s="55"/>
      <c r="Q276" s="55"/>
    </row>
    <row r="277" spans="12:17" x14ac:dyDescent="0.3">
      <c r="L277" s="53"/>
      <c r="M277" s="53"/>
      <c r="N277" s="54"/>
      <c r="O277" s="55"/>
      <c r="Q277" s="55"/>
    </row>
    <row r="278" spans="12:17" x14ac:dyDescent="0.3">
      <c r="L278" s="53"/>
      <c r="M278" s="53"/>
      <c r="N278" s="54"/>
      <c r="O278" s="55"/>
      <c r="Q278" s="55"/>
    </row>
    <row r="279" spans="12:17" x14ac:dyDescent="0.3">
      <c r="L279" s="53"/>
      <c r="M279" s="53"/>
      <c r="N279" s="54"/>
      <c r="O279" s="55"/>
      <c r="Q279" s="55"/>
    </row>
    <row r="280" spans="12:17" x14ac:dyDescent="0.3">
      <c r="L280" s="53"/>
      <c r="M280" s="53"/>
      <c r="N280" s="54"/>
      <c r="O280" s="55"/>
      <c r="Q280" s="55"/>
    </row>
    <row r="281" spans="12:17" x14ac:dyDescent="0.3">
      <c r="L281" s="53"/>
      <c r="M281" s="53"/>
      <c r="N281" s="54"/>
      <c r="O281" s="55"/>
      <c r="Q281" s="55"/>
    </row>
    <row r="282" spans="12:17" x14ac:dyDescent="0.3">
      <c r="L282" s="53"/>
      <c r="M282" s="53"/>
      <c r="N282" s="54"/>
      <c r="O282" s="55"/>
      <c r="Q282" s="55"/>
    </row>
    <row r="283" spans="12:17" x14ac:dyDescent="0.3">
      <c r="L283" s="53"/>
      <c r="M283" s="53"/>
      <c r="N283" s="54"/>
      <c r="O283" s="55"/>
      <c r="Q283" s="55"/>
    </row>
    <row r="284" spans="12:17" x14ac:dyDescent="0.3">
      <c r="L284" s="53"/>
      <c r="M284" s="53"/>
      <c r="N284" s="54"/>
      <c r="O284" s="55"/>
      <c r="Q284" s="55"/>
    </row>
    <row r="285" spans="12:17" x14ac:dyDescent="0.3">
      <c r="L285" s="53"/>
      <c r="M285" s="53"/>
      <c r="N285" s="54"/>
      <c r="O285" s="55"/>
      <c r="Q285" s="55"/>
    </row>
    <row r="286" spans="12:17" x14ac:dyDescent="0.3">
      <c r="L286" s="53"/>
      <c r="M286" s="53"/>
      <c r="N286" s="54"/>
      <c r="O286" s="55"/>
      <c r="Q286" s="55"/>
    </row>
    <row r="287" spans="12:17" x14ac:dyDescent="0.3">
      <c r="L287" s="53"/>
      <c r="M287" s="53"/>
      <c r="N287" s="54"/>
      <c r="O287" s="55"/>
      <c r="Q287" s="55"/>
    </row>
    <row r="288" spans="12:17" x14ac:dyDescent="0.3">
      <c r="L288" s="53"/>
      <c r="M288" s="53"/>
      <c r="N288" s="54"/>
      <c r="O288" s="55"/>
      <c r="Q288" s="55"/>
    </row>
    <row r="289" spans="12:17" x14ac:dyDescent="0.3">
      <c r="L289" s="53"/>
      <c r="M289" s="53"/>
      <c r="N289" s="54"/>
      <c r="O289" s="55"/>
      <c r="Q289" s="55"/>
    </row>
    <row r="290" spans="12:17" x14ac:dyDescent="0.3">
      <c r="L290" s="53"/>
      <c r="M290" s="53"/>
      <c r="N290" s="54"/>
      <c r="O290" s="55"/>
      <c r="Q290" s="55"/>
    </row>
    <row r="291" spans="12:17" x14ac:dyDescent="0.3">
      <c r="L291" s="53"/>
      <c r="M291" s="53"/>
      <c r="N291" s="54"/>
      <c r="O291" s="55"/>
      <c r="Q291" s="55"/>
    </row>
    <row r="292" spans="12:17" x14ac:dyDescent="0.3">
      <c r="L292" s="53"/>
      <c r="M292" s="53"/>
      <c r="N292" s="54"/>
      <c r="O292" s="55"/>
      <c r="Q292" s="55"/>
    </row>
    <row r="293" spans="12:17" x14ac:dyDescent="0.3">
      <c r="L293" s="53"/>
      <c r="M293" s="53"/>
      <c r="N293" s="54"/>
      <c r="O293" s="55"/>
      <c r="Q293" s="55"/>
    </row>
    <row r="294" spans="12:17" x14ac:dyDescent="0.3">
      <c r="L294" s="53"/>
      <c r="M294" s="53"/>
      <c r="N294" s="54"/>
      <c r="O294" s="55"/>
      <c r="Q294" s="55"/>
    </row>
    <row r="295" spans="12:17" x14ac:dyDescent="0.3">
      <c r="L295" s="53"/>
      <c r="M295" s="53"/>
      <c r="N295" s="54"/>
      <c r="O295" s="55"/>
      <c r="Q295" s="55"/>
    </row>
    <row r="296" spans="12:17" x14ac:dyDescent="0.3">
      <c r="L296" s="53"/>
      <c r="M296" s="53"/>
      <c r="N296" s="54"/>
      <c r="O296" s="55"/>
      <c r="Q296" s="55"/>
    </row>
    <row r="297" spans="12:17" x14ac:dyDescent="0.3">
      <c r="L297" s="53"/>
      <c r="M297" s="53"/>
      <c r="N297" s="54"/>
      <c r="O297" s="55"/>
      <c r="Q297" s="55"/>
    </row>
    <row r="298" spans="12:17" x14ac:dyDescent="0.3">
      <c r="L298" s="53"/>
      <c r="M298" s="53"/>
      <c r="N298" s="54"/>
      <c r="O298" s="55"/>
      <c r="Q298" s="55"/>
    </row>
    <row r="299" spans="12:17" x14ac:dyDescent="0.3">
      <c r="L299" s="53"/>
      <c r="M299" s="53"/>
      <c r="N299" s="54"/>
      <c r="O299" s="55"/>
      <c r="Q299" s="55"/>
    </row>
    <row r="300" spans="12:17" x14ac:dyDescent="0.3">
      <c r="L300" s="53"/>
      <c r="M300" s="53"/>
      <c r="N300" s="54"/>
      <c r="O300" s="55"/>
      <c r="Q300" s="55"/>
    </row>
    <row r="301" spans="12:17" x14ac:dyDescent="0.3">
      <c r="L301" s="53"/>
      <c r="M301" s="53"/>
      <c r="N301" s="54"/>
      <c r="O301" s="55"/>
      <c r="Q301" s="55"/>
    </row>
    <row r="302" spans="12:17" x14ac:dyDescent="0.3">
      <c r="L302" s="53"/>
      <c r="M302" s="53"/>
      <c r="N302" s="54"/>
      <c r="O302" s="55"/>
      <c r="Q302" s="55"/>
    </row>
    <row r="303" spans="12:17" x14ac:dyDescent="0.3">
      <c r="L303" s="53"/>
      <c r="M303" s="53"/>
      <c r="N303" s="54"/>
      <c r="O303" s="55"/>
      <c r="Q303" s="55"/>
    </row>
    <row r="304" spans="12:17" x14ac:dyDescent="0.3">
      <c r="L304" s="53"/>
      <c r="M304" s="53"/>
      <c r="N304" s="54"/>
      <c r="O304" s="55"/>
      <c r="Q304" s="55"/>
    </row>
    <row r="305" spans="12:17" x14ac:dyDescent="0.3">
      <c r="L305" s="53"/>
      <c r="M305" s="53"/>
      <c r="N305" s="54"/>
      <c r="O305" s="55"/>
      <c r="Q305" s="55"/>
    </row>
    <row r="306" spans="12:17" x14ac:dyDescent="0.3">
      <c r="L306" s="53"/>
      <c r="M306" s="53"/>
      <c r="N306" s="54"/>
      <c r="O306" s="55"/>
      <c r="Q306" s="55"/>
    </row>
    <row r="307" spans="12:17" x14ac:dyDescent="0.3">
      <c r="L307" s="53"/>
      <c r="M307" s="53"/>
      <c r="N307" s="54"/>
      <c r="O307" s="55"/>
      <c r="Q307" s="55"/>
    </row>
    <row r="308" spans="12:17" x14ac:dyDescent="0.3">
      <c r="L308" s="53"/>
      <c r="M308" s="53"/>
      <c r="N308" s="54"/>
      <c r="O308" s="55"/>
      <c r="Q308" s="55"/>
    </row>
    <row r="309" spans="12:17" x14ac:dyDescent="0.3">
      <c r="L309" s="53"/>
      <c r="M309" s="53"/>
      <c r="N309" s="54"/>
      <c r="O309" s="55"/>
      <c r="Q309" s="55"/>
    </row>
    <row r="310" spans="12:17" x14ac:dyDescent="0.3">
      <c r="L310" s="53"/>
      <c r="M310" s="53"/>
      <c r="N310" s="54"/>
      <c r="O310" s="55"/>
      <c r="Q310" s="55"/>
    </row>
    <row r="311" spans="12:17" x14ac:dyDescent="0.3">
      <c r="L311" s="53"/>
      <c r="M311" s="53"/>
      <c r="N311" s="54"/>
      <c r="O311" s="55"/>
      <c r="Q311" s="55"/>
    </row>
    <row r="312" spans="12:17" x14ac:dyDescent="0.3">
      <c r="L312" s="53"/>
      <c r="M312" s="53"/>
      <c r="N312" s="54"/>
      <c r="O312" s="55"/>
      <c r="Q312" s="55"/>
    </row>
    <row r="313" spans="12:17" x14ac:dyDescent="0.3">
      <c r="L313" s="53"/>
      <c r="M313" s="53"/>
      <c r="N313" s="54"/>
      <c r="O313" s="55"/>
      <c r="Q313" s="55"/>
    </row>
    <row r="314" spans="12:17" x14ac:dyDescent="0.3">
      <c r="L314" s="53"/>
      <c r="M314" s="53"/>
      <c r="N314" s="54"/>
      <c r="O314" s="55"/>
      <c r="Q314" s="55"/>
    </row>
    <row r="315" spans="12:17" x14ac:dyDescent="0.3">
      <c r="L315" s="53"/>
      <c r="M315" s="53"/>
      <c r="N315" s="54"/>
      <c r="O315" s="55"/>
      <c r="Q315" s="55"/>
    </row>
    <row r="316" spans="12:17" x14ac:dyDescent="0.3">
      <c r="L316" s="53"/>
      <c r="M316" s="53"/>
      <c r="N316" s="54"/>
      <c r="O316" s="55"/>
      <c r="Q316" s="55"/>
    </row>
    <row r="317" spans="12:17" x14ac:dyDescent="0.3">
      <c r="L317" s="53"/>
      <c r="M317" s="53"/>
      <c r="N317" s="54"/>
      <c r="O317" s="55"/>
      <c r="Q317" s="55"/>
    </row>
    <row r="318" spans="12:17" x14ac:dyDescent="0.3">
      <c r="L318" s="53"/>
      <c r="M318" s="53"/>
      <c r="N318" s="54"/>
      <c r="O318" s="55"/>
      <c r="Q318" s="55"/>
    </row>
    <row r="319" spans="12:17" x14ac:dyDescent="0.3">
      <c r="L319" s="53"/>
      <c r="M319" s="53"/>
      <c r="N319" s="54"/>
      <c r="O319" s="55"/>
      <c r="Q319" s="55"/>
    </row>
    <row r="320" spans="12:17" x14ac:dyDescent="0.3">
      <c r="L320" s="53"/>
      <c r="M320" s="53"/>
      <c r="N320" s="54"/>
      <c r="O320" s="55"/>
      <c r="Q320" s="55"/>
    </row>
    <row r="321" spans="12:17" x14ac:dyDescent="0.3">
      <c r="L321" s="53"/>
      <c r="M321" s="53"/>
      <c r="N321" s="54"/>
      <c r="O321" s="55"/>
      <c r="Q321" s="55"/>
    </row>
    <row r="322" spans="12:17" x14ac:dyDescent="0.3">
      <c r="L322" s="53"/>
      <c r="M322" s="53"/>
      <c r="N322" s="54"/>
      <c r="O322" s="55"/>
      <c r="Q322" s="55"/>
    </row>
    <row r="323" spans="12:17" x14ac:dyDescent="0.3">
      <c r="L323" s="53"/>
      <c r="M323" s="53"/>
      <c r="N323" s="54"/>
      <c r="O323" s="55"/>
      <c r="Q323" s="55"/>
    </row>
    <row r="324" spans="12:17" x14ac:dyDescent="0.3">
      <c r="L324" s="53"/>
      <c r="M324" s="53"/>
      <c r="N324" s="54"/>
      <c r="O324" s="55"/>
      <c r="Q324" s="55"/>
    </row>
    <row r="325" spans="12:17" x14ac:dyDescent="0.3">
      <c r="L325" s="53"/>
      <c r="M325" s="53"/>
      <c r="N325" s="54"/>
      <c r="O325" s="55"/>
      <c r="Q325" s="55"/>
    </row>
    <row r="326" spans="12:17" x14ac:dyDescent="0.3">
      <c r="L326" s="53"/>
      <c r="M326" s="53"/>
      <c r="N326" s="54"/>
      <c r="O326" s="55"/>
      <c r="Q326" s="55"/>
    </row>
    <row r="327" spans="12:17" x14ac:dyDescent="0.3">
      <c r="L327" s="53"/>
      <c r="M327" s="53"/>
      <c r="N327" s="54"/>
      <c r="O327" s="55"/>
      <c r="Q327" s="55"/>
    </row>
    <row r="328" spans="12:17" x14ac:dyDescent="0.3">
      <c r="L328" s="53"/>
      <c r="M328" s="53"/>
      <c r="N328" s="54"/>
      <c r="O328" s="55"/>
      <c r="Q328" s="55"/>
    </row>
    <row r="329" spans="12:17" x14ac:dyDescent="0.3">
      <c r="L329" s="53"/>
      <c r="M329" s="53"/>
      <c r="N329" s="54"/>
      <c r="O329" s="55"/>
      <c r="Q329" s="55"/>
    </row>
    <row r="330" spans="12:17" x14ac:dyDescent="0.3">
      <c r="L330" s="53"/>
      <c r="M330" s="53"/>
      <c r="N330" s="54"/>
      <c r="O330" s="55"/>
      <c r="Q330" s="55"/>
    </row>
    <row r="331" spans="12:17" x14ac:dyDescent="0.3">
      <c r="L331" s="53"/>
      <c r="M331" s="53"/>
      <c r="N331" s="54"/>
      <c r="O331" s="55"/>
      <c r="Q331" s="55"/>
    </row>
    <row r="332" spans="12:17" x14ac:dyDescent="0.3">
      <c r="L332" s="53"/>
      <c r="M332" s="53"/>
      <c r="N332" s="54"/>
      <c r="O332" s="55"/>
      <c r="Q332" s="55"/>
    </row>
    <row r="333" spans="12:17" x14ac:dyDescent="0.3">
      <c r="L333" s="53"/>
      <c r="M333" s="53"/>
      <c r="N333" s="54"/>
      <c r="O333" s="55"/>
      <c r="Q333" s="55"/>
    </row>
    <row r="334" spans="12:17" x14ac:dyDescent="0.3">
      <c r="L334" s="53"/>
      <c r="M334" s="53"/>
      <c r="N334" s="54"/>
      <c r="O334" s="55"/>
      <c r="Q334" s="55"/>
    </row>
    <row r="335" spans="12:17" x14ac:dyDescent="0.3">
      <c r="L335" s="53"/>
      <c r="M335" s="53"/>
      <c r="N335" s="54"/>
      <c r="O335" s="55"/>
      <c r="Q335" s="55"/>
    </row>
    <row r="336" spans="12:17" x14ac:dyDescent="0.3">
      <c r="L336" s="53"/>
      <c r="M336" s="53"/>
      <c r="N336" s="54"/>
      <c r="O336" s="55"/>
      <c r="Q336" s="55"/>
    </row>
    <row r="337" spans="12:17" x14ac:dyDescent="0.3">
      <c r="L337" s="53"/>
      <c r="M337" s="53"/>
      <c r="N337" s="54"/>
      <c r="O337" s="55"/>
      <c r="Q337" s="55"/>
    </row>
    <row r="338" spans="12:17" x14ac:dyDescent="0.3">
      <c r="L338" s="53"/>
      <c r="M338" s="53"/>
      <c r="N338" s="54"/>
      <c r="O338" s="55"/>
      <c r="Q338" s="55"/>
    </row>
    <row r="339" spans="12:17" x14ac:dyDescent="0.3">
      <c r="L339" s="53"/>
      <c r="M339" s="53"/>
      <c r="N339" s="54"/>
      <c r="O339" s="55"/>
      <c r="Q339" s="55"/>
    </row>
    <row r="340" spans="12:17" x14ac:dyDescent="0.3">
      <c r="L340" s="53"/>
      <c r="M340" s="53"/>
      <c r="N340" s="54"/>
      <c r="O340" s="55"/>
      <c r="Q340" s="55"/>
    </row>
    <row r="341" spans="12:17" x14ac:dyDescent="0.3">
      <c r="L341" s="53"/>
      <c r="M341" s="53"/>
      <c r="N341" s="54"/>
      <c r="O341" s="55"/>
      <c r="Q341" s="55"/>
    </row>
    <row r="342" spans="12:17" x14ac:dyDescent="0.3">
      <c r="L342" s="53"/>
      <c r="M342" s="53"/>
      <c r="N342" s="54"/>
      <c r="O342" s="55"/>
      <c r="Q342" s="55"/>
    </row>
    <row r="343" spans="12:17" x14ac:dyDescent="0.3">
      <c r="L343" s="53"/>
      <c r="M343" s="53"/>
      <c r="N343" s="54"/>
      <c r="O343" s="55"/>
      <c r="Q343" s="55"/>
    </row>
    <row r="344" spans="12:17" x14ac:dyDescent="0.3">
      <c r="L344" s="53"/>
      <c r="M344" s="53"/>
      <c r="N344" s="54"/>
      <c r="O344" s="55"/>
      <c r="Q344" s="55"/>
    </row>
    <row r="345" spans="12:17" x14ac:dyDescent="0.3">
      <c r="L345" s="53"/>
      <c r="M345" s="53"/>
      <c r="N345" s="54"/>
      <c r="O345" s="55"/>
      <c r="Q345" s="55"/>
    </row>
    <row r="346" spans="12:17" x14ac:dyDescent="0.3">
      <c r="L346" s="53"/>
      <c r="M346" s="53"/>
      <c r="N346" s="54"/>
      <c r="O346" s="55"/>
      <c r="Q346" s="55"/>
    </row>
    <row r="347" spans="12:17" x14ac:dyDescent="0.3">
      <c r="L347" s="53"/>
      <c r="M347" s="53"/>
      <c r="N347" s="54"/>
      <c r="O347" s="55"/>
      <c r="Q347" s="55"/>
    </row>
    <row r="348" spans="12:17" x14ac:dyDescent="0.3">
      <c r="L348" s="53"/>
      <c r="M348" s="53"/>
      <c r="N348" s="54"/>
      <c r="O348" s="55"/>
      <c r="Q348" s="55"/>
    </row>
    <row r="349" spans="12:17" x14ac:dyDescent="0.3">
      <c r="L349" s="53"/>
      <c r="M349" s="53"/>
      <c r="N349" s="54"/>
      <c r="O349" s="55"/>
      <c r="Q349" s="55"/>
    </row>
    <row r="350" spans="12:17" x14ac:dyDescent="0.3">
      <c r="L350" s="53"/>
      <c r="M350" s="53"/>
      <c r="N350" s="54"/>
      <c r="O350" s="55"/>
      <c r="Q350" s="55"/>
    </row>
    <row r="351" spans="12:17" x14ac:dyDescent="0.3">
      <c r="L351" s="53"/>
      <c r="M351" s="53"/>
      <c r="N351" s="54"/>
      <c r="O351" s="55"/>
      <c r="Q351" s="55"/>
    </row>
    <row r="352" spans="12:17" x14ac:dyDescent="0.3">
      <c r="L352" s="53"/>
      <c r="M352" s="53"/>
      <c r="N352" s="54"/>
      <c r="O352" s="55"/>
      <c r="Q352" s="55"/>
    </row>
    <row r="353" spans="12:17" x14ac:dyDescent="0.3">
      <c r="L353" s="53"/>
      <c r="M353" s="53"/>
      <c r="N353" s="54"/>
      <c r="O353" s="55"/>
      <c r="Q353" s="55"/>
    </row>
    <row r="354" spans="12:17" x14ac:dyDescent="0.3">
      <c r="L354" s="53"/>
      <c r="M354" s="53"/>
      <c r="N354" s="54"/>
      <c r="O354" s="55"/>
      <c r="Q354" s="55"/>
    </row>
    <row r="355" spans="12:17" x14ac:dyDescent="0.3">
      <c r="L355" s="53"/>
      <c r="M355" s="53"/>
      <c r="N355" s="54"/>
      <c r="O355" s="55"/>
      <c r="Q355" s="55"/>
    </row>
    <row r="356" spans="12:17" x14ac:dyDescent="0.3">
      <c r="L356" s="53"/>
      <c r="M356" s="53"/>
      <c r="N356" s="54"/>
      <c r="O356" s="55"/>
      <c r="Q356" s="55"/>
    </row>
    <row r="357" spans="12:17" x14ac:dyDescent="0.3">
      <c r="L357" s="53"/>
      <c r="M357" s="53"/>
      <c r="N357" s="54"/>
      <c r="O357" s="55"/>
      <c r="Q357" s="55"/>
    </row>
    <row r="358" spans="12:17" x14ac:dyDescent="0.3">
      <c r="L358" s="53"/>
      <c r="M358" s="53"/>
      <c r="N358" s="54"/>
      <c r="O358" s="55"/>
      <c r="Q358" s="55"/>
    </row>
    <row r="359" spans="12:17" x14ac:dyDescent="0.3">
      <c r="L359" s="53"/>
      <c r="M359" s="53"/>
      <c r="N359" s="54"/>
      <c r="O359" s="55"/>
      <c r="Q359" s="55"/>
    </row>
    <row r="360" spans="12:17" x14ac:dyDescent="0.3">
      <c r="L360" s="53"/>
      <c r="M360" s="53"/>
      <c r="N360" s="54"/>
      <c r="O360" s="55"/>
      <c r="Q360" s="55"/>
    </row>
    <row r="361" spans="12:17" x14ac:dyDescent="0.3">
      <c r="L361" s="53"/>
      <c r="M361" s="53"/>
      <c r="N361" s="54"/>
      <c r="O361" s="55"/>
      <c r="Q361" s="55"/>
    </row>
    <row r="362" spans="12:17" x14ac:dyDescent="0.3">
      <c r="L362" s="53"/>
      <c r="M362" s="53"/>
      <c r="N362" s="54"/>
      <c r="O362" s="55"/>
      <c r="Q362" s="55"/>
    </row>
    <row r="363" spans="12:17" x14ac:dyDescent="0.3">
      <c r="L363" s="53"/>
      <c r="M363" s="53"/>
      <c r="N363" s="54"/>
      <c r="O363" s="55"/>
      <c r="Q363" s="55"/>
    </row>
    <row r="364" spans="12:17" x14ac:dyDescent="0.3">
      <c r="L364" s="53"/>
      <c r="M364" s="53"/>
      <c r="N364" s="54"/>
      <c r="O364" s="55"/>
      <c r="Q364" s="55"/>
    </row>
    <row r="365" spans="12:17" x14ac:dyDescent="0.3">
      <c r="L365" s="53"/>
      <c r="M365" s="53"/>
      <c r="N365" s="54"/>
      <c r="O365" s="55"/>
      <c r="Q365" s="55"/>
    </row>
    <row r="366" spans="12:17" x14ac:dyDescent="0.3">
      <c r="L366" s="53"/>
      <c r="M366" s="53"/>
      <c r="N366" s="54"/>
      <c r="O366" s="55"/>
      <c r="Q366" s="55"/>
    </row>
    <row r="367" spans="12:17" x14ac:dyDescent="0.3">
      <c r="L367" s="53"/>
      <c r="M367" s="53"/>
      <c r="N367" s="54"/>
      <c r="O367" s="55"/>
      <c r="Q367" s="55"/>
    </row>
    <row r="368" spans="12:17" x14ac:dyDescent="0.3">
      <c r="L368" s="53"/>
      <c r="M368" s="53"/>
      <c r="N368" s="54"/>
      <c r="O368" s="55"/>
      <c r="Q368" s="55"/>
    </row>
    <row r="369" spans="12:17" x14ac:dyDescent="0.3">
      <c r="L369" s="53"/>
      <c r="M369" s="53"/>
      <c r="N369" s="54"/>
      <c r="O369" s="55"/>
      <c r="Q369" s="55"/>
    </row>
    <row r="370" spans="12:17" x14ac:dyDescent="0.3">
      <c r="L370" s="53"/>
      <c r="M370" s="53"/>
      <c r="N370" s="54"/>
      <c r="O370" s="55"/>
      <c r="Q370" s="55"/>
    </row>
    <row r="371" spans="12:17" x14ac:dyDescent="0.3">
      <c r="L371" s="53"/>
      <c r="M371" s="53"/>
      <c r="N371" s="54"/>
      <c r="O371" s="55"/>
      <c r="Q371" s="55"/>
    </row>
    <row r="372" spans="12:17" x14ac:dyDescent="0.3">
      <c r="L372" s="53"/>
      <c r="M372" s="53"/>
      <c r="N372" s="54"/>
      <c r="O372" s="55"/>
      <c r="Q372" s="55"/>
    </row>
    <row r="373" spans="12:17" x14ac:dyDescent="0.3">
      <c r="L373" s="53"/>
      <c r="M373" s="53"/>
      <c r="N373" s="54"/>
      <c r="O373" s="55"/>
      <c r="Q373" s="55"/>
    </row>
    <row r="374" spans="12:17" x14ac:dyDescent="0.3">
      <c r="L374" s="53"/>
      <c r="M374" s="53"/>
      <c r="N374" s="54"/>
      <c r="O374" s="55"/>
      <c r="Q374" s="55"/>
    </row>
    <row r="375" spans="12:17" x14ac:dyDescent="0.3">
      <c r="L375" s="53"/>
      <c r="M375" s="53"/>
      <c r="N375" s="54"/>
      <c r="O375" s="55"/>
      <c r="Q375" s="55"/>
    </row>
    <row r="376" spans="12:17" x14ac:dyDescent="0.3">
      <c r="L376" s="53"/>
      <c r="M376" s="53"/>
      <c r="N376" s="54"/>
      <c r="O376" s="55"/>
      <c r="Q376" s="55"/>
    </row>
    <row r="377" spans="12:17" x14ac:dyDescent="0.3">
      <c r="L377" s="53"/>
      <c r="M377" s="53"/>
      <c r="N377" s="54"/>
      <c r="O377" s="55"/>
      <c r="Q377" s="55"/>
    </row>
    <row r="378" spans="12:17" x14ac:dyDescent="0.3">
      <c r="L378" s="53"/>
      <c r="M378" s="53"/>
      <c r="N378" s="54"/>
      <c r="O378" s="55"/>
      <c r="Q378" s="55"/>
    </row>
    <row r="379" spans="12:17" x14ac:dyDescent="0.3">
      <c r="L379" s="53"/>
      <c r="M379" s="53"/>
      <c r="N379" s="54"/>
      <c r="O379" s="55"/>
      <c r="Q379" s="55"/>
    </row>
    <row r="380" spans="12:17" x14ac:dyDescent="0.3">
      <c r="L380" s="53"/>
      <c r="M380" s="53"/>
      <c r="N380" s="54"/>
      <c r="O380" s="55"/>
      <c r="Q380" s="55"/>
    </row>
    <row r="381" spans="12:17" x14ac:dyDescent="0.3">
      <c r="L381" s="53"/>
      <c r="M381" s="53"/>
      <c r="N381" s="54"/>
      <c r="O381" s="55"/>
      <c r="Q381" s="55"/>
    </row>
    <row r="382" spans="12:17" x14ac:dyDescent="0.3">
      <c r="L382" s="53"/>
      <c r="M382" s="53"/>
      <c r="N382" s="54"/>
      <c r="O382" s="55"/>
      <c r="Q382" s="55"/>
    </row>
    <row r="383" spans="12:17" x14ac:dyDescent="0.3">
      <c r="L383" s="53"/>
      <c r="M383" s="53"/>
      <c r="N383" s="54"/>
      <c r="O383" s="55"/>
      <c r="Q383" s="55"/>
    </row>
    <row r="384" spans="12:17" x14ac:dyDescent="0.3">
      <c r="L384" s="53"/>
      <c r="M384" s="53"/>
      <c r="N384" s="54"/>
      <c r="O384" s="55"/>
      <c r="Q384" s="55"/>
    </row>
    <row r="385" spans="12:17" x14ac:dyDescent="0.3">
      <c r="L385" s="53"/>
      <c r="M385" s="53"/>
      <c r="N385" s="54"/>
      <c r="O385" s="55"/>
      <c r="Q385" s="55"/>
    </row>
    <row r="386" spans="12:17" x14ac:dyDescent="0.3">
      <c r="L386" s="53"/>
      <c r="M386" s="53"/>
      <c r="N386" s="54"/>
      <c r="O386" s="55"/>
      <c r="Q386" s="55"/>
    </row>
    <row r="387" spans="12:17" x14ac:dyDescent="0.3">
      <c r="L387" s="53"/>
      <c r="M387" s="53"/>
      <c r="N387" s="54"/>
      <c r="O387" s="55"/>
      <c r="Q387" s="55"/>
    </row>
    <row r="388" spans="12:17" x14ac:dyDescent="0.3">
      <c r="L388" s="53"/>
      <c r="M388" s="53"/>
      <c r="N388" s="54"/>
      <c r="O388" s="55"/>
      <c r="Q388" s="55"/>
    </row>
    <row r="389" spans="12:17" x14ac:dyDescent="0.3">
      <c r="L389" s="53"/>
      <c r="M389" s="53"/>
      <c r="N389" s="54"/>
      <c r="O389" s="55"/>
      <c r="Q389" s="55"/>
    </row>
    <row r="390" spans="12:17" x14ac:dyDescent="0.3">
      <c r="L390" s="53"/>
      <c r="M390" s="53"/>
      <c r="N390" s="54"/>
      <c r="O390" s="55"/>
      <c r="Q390" s="55"/>
    </row>
    <row r="391" spans="12:17" x14ac:dyDescent="0.3">
      <c r="L391" s="53"/>
      <c r="M391" s="53"/>
      <c r="N391" s="54"/>
      <c r="O391" s="55"/>
      <c r="Q391" s="55"/>
    </row>
    <row r="392" spans="12:17" x14ac:dyDescent="0.3">
      <c r="L392" s="53"/>
      <c r="M392" s="53"/>
      <c r="N392" s="54"/>
      <c r="O392" s="55"/>
      <c r="Q392" s="55"/>
    </row>
    <row r="393" spans="12:17" x14ac:dyDescent="0.3">
      <c r="L393" s="53"/>
      <c r="M393" s="53"/>
      <c r="N393" s="54"/>
      <c r="O393" s="55"/>
      <c r="Q393" s="55"/>
    </row>
    <row r="394" spans="12:17" x14ac:dyDescent="0.3">
      <c r="L394" s="53"/>
      <c r="M394" s="53"/>
      <c r="N394" s="54"/>
      <c r="O394" s="55"/>
      <c r="Q394" s="55"/>
    </row>
    <row r="395" spans="12:17" x14ac:dyDescent="0.3">
      <c r="L395" s="53"/>
      <c r="M395" s="53"/>
      <c r="N395" s="54"/>
      <c r="O395" s="55"/>
      <c r="Q395" s="55"/>
    </row>
    <row r="396" spans="12:17" x14ac:dyDescent="0.3">
      <c r="L396" s="53"/>
      <c r="M396" s="53"/>
      <c r="N396" s="54"/>
      <c r="O396" s="55"/>
      <c r="Q396" s="55"/>
    </row>
    <row r="397" spans="12:17" x14ac:dyDescent="0.3">
      <c r="L397" s="53"/>
      <c r="M397" s="53"/>
      <c r="N397" s="54"/>
      <c r="O397" s="55"/>
      <c r="Q397" s="55"/>
    </row>
    <row r="398" spans="12:17" x14ac:dyDescent="0.3">
      <c r="L398" s="53"/>
      <c r="M398" s="53"/>
      <c r="N398" s="54"/>
      <c r="O398" s="55"/>
      <c r="Q398" s="55"/>
    </row>
    <row r="399" spans="12:17" x14ac:dyDescent="0.3">
      <c r="L399" s="53"/>
      <c r="M399" s="53"/>
      <c r="N399" s="54"/>
      <c r="O399" s="55"/>
      <c r="Q399" s="55"/>
    </row>
    <row r="400" spans="12:17" x14ac:dyDescent="0.3">
      <c r="L400" s="53"/>
      <c r="M400" s="53"/>
      <c r="N400" s="54"/>
      <c r="O400" s="55"/>
      <c r="Q400" s="55"/>
    </row>
    <row r="401" spans="12:17" x14ac:dyDescent="0.3">
      <c r="L401" s="53"/>
      <c r="M401" s="53"/>
      <c r="N401" s="54"/>
      <c r="O401" s="55"/>
      <c r="Q401" s="55"/>
    </row>
    <row r="402" spans="12:17" x14ac:dyDescent="0.3">
      <c r="L402" s="53"/>
      <c r="M402" s="53"/>
      <c r="N402" s="54"/>
      <c r="O402" s="55"/>
      <c r="Q402" s="55"/>
    </row>
    <row r="403" spans="12:17" x14ac:dyDescent="0.3">
      <c r="L403" s="53"/>
      <c r="M403" s="53"/>
      <c r="N403" s="54"/>
      <c r="O403" s="55"/>
      <c r="Q403" s="55"/>
    </row>
    <row r="404" spans="12:17" x14ac:dyDescent="0.3">
      <c r="L404" s="53"/>
      <c r="M404" s="53"/>
      <c r="N404" s="54"/>
      <c r="O404" s="55"/>
      <c r="Q404" s="55"/>
    </row>
    <row r="405" spans="12:17" x14ac:dyDescent="0.3">
      <c r="L405" s="53"/>
      <c r="M405" s="53"/>
      <c r="N405" s="54"/>
      <c r="O405" s="55"/>
      <c r="Q405" s="55"/>
    </row>
    <row r="406" spans="12:17" x14ac:dyDescent="0.3">
      <c r="L406" s="53"/>
      <c r="M406" s="53"/>
      <c r="N406" s="54"/>
      <c r="O406" s="55"/>
      <c r="Q406" s="55"/>
    </row>
    <row r="407" spans="12:17" x14ac:dyDescent="0.3">
      <c r="L407" s="53"/>
      <c r="M407" s="53"/>
      <c r="N407" s="54"/>
      <c r="O407" s="55"/>
      <c r="Q407" s="55"/>
    </row>
    <row r="408" spans="12:17" x14ac:dyDescent="0.3">
      <c r="L408" s="53"/>
      <c r="M408" s="53"/>
      <c r="N408" s="54"/>
      <c r="O408" s="55"/>
      <c r="Q408" s="55"/>
    </row>
    <row r="409" spans="12:17" x14ac:dyDescent="0.3">
      <c r="L409" s="53"/>
      <c r="M409" s="53"/>
      <c r="N409" s="54"/>
      <c r="O409" s="55"/>
      <c r="Q409" s="55"/>
    </row>
    <row r="410" spans="12:17" x14ac:dyDescent="0.3">
      <c r="L410" s="53"/>
      <c r="M410" s="53"/>
      <c r="N410" s="54"/>
      <c r="O410" s="55"/>
      <c r="Q410" s="55"/>
    </row>
    <row r="411" spans="12:17" x14ac:dyDescent="0.3">
      <c r="L411" s="53"/>
      <c r="M411" s="53"/>
      <c r="N411" s="54"/>
      <c r="O411" s="55"/>
      <c r="Q411" s="55"/>
    </row>
    <row r="412" spans="12:17" x14ac:dyDescent="0.3">
      <c r="L412" s="53"/>
      <c r="M412" s="53"/>
      <c r="N412" s="54"/>
      <c r="O412" s="55"/>
      <c r="Q412" s="55"/>
    </row>
    <row r="413" spans="12:17" x14ac:dyDescent="0.3">
      <c r="L413" s="53"/>
      <c r="M413" s="53"/>
      <c r="N413" s="54"/>
      <c r="O413" s="55"/>
      <c r="Q413" s="55"/>
    </row>
    <row r="414" spans="12:17" x14ac:dyDescent="0.3">
      <c r="L414" s="53"/>
      <c r="M414" s="53"/>
      <c r="N414" s="54"/>
      <c r="O414" s="55"/>
      <c r="Q414" s="55"/>
    </row>
    <row r="415" spans="12:17" x14ac:dyDescent="0.3">
      <c r="L415" s="53"/>
      <c r="M415" s="53"/>
      <c r="N415" s="54"/>
      <c r="O415" s="55"/>
      <c r="Q415" s="55"/>
    </row>
    <row r="416" spans="12:17" x14ac:dyDescent="0.3">
      <c r="L416" s="53"/>
      <c r="M416" s="53"/>
      <c r="N416" s="54"/>
      <c r="O416" s="55"/>
      <c r="Q416" s="55"/>
    </row>
    <row r="417" spans="12:17" x14ac:dyDescent="0.3">
      <c r="L417" s="53"/>
      <c r="M417" s="53"/>
      <c r="N417" s="54"/>
      <c r="O417" s="55"/>
      <c r="Q417" s="55"/>
    </row>
    <row r="418" spans="12:17" x14ac:dyDescent="0.3">
      <c r="L418" s="53"/>
      <c r="M418" s="53"/>
      <c r="N418" s="54"/>
      <c r="O418" s="55"/>
      <c r="Q418" s="55"/>
    </row>
    <row r="419" spans="12:17" x14ac:dyDescent="0.3">
      <c r="L419" s="53"/>
      <c r="M419" s="53"/>
      <c r="N419" s="54"/>
      <c r="O419" s="55"/>
      <c r="Q419" s="55"/>
    </row>
    <row r="420" spans="12:17" x14ac:dyDescent="0.3">
      <c r="L420" s="53"/>
      <c r="M420" s="53"/>
      <c r="N420" s="54"/>
      <c r="O420" s="55"/>
      <c r="Q420" s="55"/>
    </row>
    <row r="421" spans="12:17" x14ac:dyDescent="0.3">
      <c r="L421" s="53"/>
      <c r="M421" s="53"/>
      <c r="N421" s="54"/>
      <c r="O421" s="55"/>
      <c r="Q421" s="55"/>
    </row>
    <row r="422" spans="12:17" x14ac:dyDescent="0.3">
      <c r="L422" s="53"/>
      <c r="M422" s="53"/>
      <c r="N422" s="54"/>
      <c r="O422" s="55"/>
      <c r="Q422" s="55"/>
    </row>
    <row r="423" spans="12:17" x14ac:dyDescent="0.3">
      <c r="L423" s="53"/>
      <c r="M423" s="53"/>
      <c r="N423" s="54"/>
      <c r="O423" s="55"/>
      <c r="Q423" s="55"/>
    </row>
    <row r="424" spans="12:17" x14ac:dyDescent="0.3">
      <c r="L424" s="53"/>
      <c r="M424" s="53"/>
      <c r="N424" s="54"/>
      <c r="O424" s="55"/>
      <c r="Q424" s="55"/>
    </row>
    <row r="425" spans="12:17" x14ac:dyDescent="0.3">
      <c r="L425" s="53"/>
      <c r="M425" s="53"/>
      <c r="N425" s="54"/>
      <c r="O425" s="55"/>
      <c r="Q425" s="55"/>
    </row>
    <row r="426" spans="12:17" x14ac:dyDescent="0.3">
      <c r="L426" s="53"/>
      <c r="M426" s="53"/>
      <c r="N426" s="54"/>
      <c r="O426" s="55"/>
      <c r="Q426" s="55"/>
    </row>
    <row r="427" spans="12:17" x14ac:dyDescent="0.3">
      <c r="L427" s="53"/>
      <c r="M427" s="53"/>
      <c r="N427" s="54"/>
      <c r="O427" s="55"/>
      <c r="Q427" s="55"/>
    </row>
    <row r="428" spans="12:17" x14ac:dyDescent="0.3">
      <c r="L428" s="53"/>
      <c r="M428" s="53"/>
      <c r="N428" s="54"/>
      <c r="O428" s="55"/>
      <c r="Q428" s="55"/>
    </row>
    <row r="429" spans="12:17" x14ac:dyDescent="0.3">
      <c r="L429" s="53"/>
      <c r="M429" s="53"/>
      <c r="N429" s="54"/>
      <c r="O429" s="55"/>
      <c r="Q429" s="55"/>
    </row>
    <row r="430" spans="12:17" x14ac:dyDescent="0.3">
      <c r="L430" s="53"/>
      <c r="M430" s="53"/>
      <c r="N430" s="54"/>
      <c r="O430" s="55"/>
      <c r="Q430" s="55"/>
    </row>
    <row r="431" spans="12:17" x14ac:dyDescent="0.3">
      <c r="L431" s="53"/>
      <c r="M431" s="53"/>
      <c r="N431" s="54"/>
      <c r="O431" s="55"/>
      <c r="Q431" s="55"/>
    </row>
    <row r="432" spans="12:17" x14ac:dyDescent="0.3">
      <c r="L432" s="53"/>
      <c r="M432" s="53"/>
      <c r="N432" s="54"/>
      <c r="O432" s="55"/>
      <c r="Q432" s="55"/>
    </row>
    <row r="433" spans="12:17" x14ac:dyDescent="0.3">
      <c r="L433" s="53"/>
      <c r="M433" s="53"/>
      <c r="N433" s="54"/>
      <c r="O433" s="55"/>
      <c r="Q433" s="55"/>
    </row>
    <row r="434" spans="12:17" x14ac:dyDescent="0.3">
      <c r="L434" s="53"/>
      <c r="M434" s="53"/>
      <c r="N434" s="54"/>
      <c r="O434" s="55"/>
      <c r="Q434" s="55"/>
    </row>
    <row r="435" spans="12:17" x14ac:dyDescent="0.3">
      <c r="L435" s="53"/>
      <c r="M435" s="53"/>
      <c r="N435" s="54"/>
      <c r="O435" s="55"/>
      <c r="Q435" s="55"/>
    </row>
    <row r="436" spans="12:17" x14ac:dyDescent="0.3">
      <c r="L436" s="53"/>
      <c r="M436" s="53"/>
      <c r="N436" s="54"/>
      <c r="O436" s="55"/>
      <c r="Q436" s="55"/>
    </row>
    <row r="437" spans="12:17" x14ac:dyDescent="0.3">
      <c r="L437" s="53"/>
      <c r="M437" s="53"/>
      <c r="N437" s="54"/>
      <c r="O437" s="55"/>
      <c r="Q437" s="55"/>
    </row>
    <row r="438" spans="12:17" x14ac:dyDescent="0.3">
      <c r="L438" s="53"/>
      <c r="M438" s="53"/>
      <c r="N438" s="54"/>
      <c r="O438" s="55"/>
      <c r="Q438" s="55"/>
    </row>
    <row r="439" spans="12:17" x14ac:dyDescent="0.3">
      <c r="L439" s="53"/>
      <c r="M439" s="53"/>
      <c r="N439" s="54"/>
      <c r="O439" s="55"/>
      <c r="Q439" s="55"/>
    </row>
    <row r="440" spans="12:17" x14ac:dyDescent="0.3">
      <c r="L440" s="53"/>
      <c r="M440" s="53"/>
      <c r="N440" s="54"/>
      <c r="O440" s="55"/>
      <c r="Q440" s="55"/>
    </row>
    <row r="441" spans="12:17" x14ac:dyDescent="0.3">
      <c r="L441" s="53"/>
      <c r="M441" s="53"/>
      <c r="N441" s="54"/>
      <c r="O441" s="55"/>
      <c r="Q441" s="55"/>
    </row>
    <row r="442" spans="12:17" x14ac:dyDescent="0.3">
      <c r="L442" s="53"/>
      <c r="M442" s="53"/>
      <c r="N442" s="54"/>
      <c r="O442" s="55"/>
      <c r="Q442" s="55"/>
    </row>
    <row r="443" spans="12:17" x14ac:dyDescent="0.3">
      <c r="L443" s="53"/>
      <c r="M443" s="53"/>
      <c r="N443" s="54"/>
      <c r="O443" s="55"/>
      <c r="Q443" s="55"/>
    </row>
    <row r="444" spans="12:17" x14ac:dyDescent="0.3">
      <c r="L444" s="53"/>
      <c r="M444" s="53"/>
      <c r="N444" s="54"/>
      <c r="O444" s="55"/>
      <c r="Q444" s="55"/>
    </row>
    <row r="445" spans="12:17" x14ac:dyDescent="0.3">
      <c r="L445" s="53"/>
      <c r="M445" s="53"/>
      <c r="N445" s="54"/>
      <c r="O445" s="55"/>
      <c r="Q445" s="55"/>
    </row>
    <row r="446" spans="12:17" x14ac:dyDescent="0.3">
      <c r="L446" s="53"/>
      <c r="M446" s="53"/>
      <c r="N446" s="54"/>
      <c r="O446" s="55"/>
      <c r="Q446" s="55"/>
    </row>
    <row r="447" spans="12:17" x14ac:dyDescent="0.3">
      <c r="L447" s="53"/>
      <c r="M447" s="53"/>
      <c r="N447" s="54"/>
      <c r="O447" s="55"/>
      <c r="Q447" s="55"/>
    </row>
    <row r="448" spans="12:17" x14ac:dyDescent="0.3">
      <c r="L448" s="53"/>
      <c r="M448" s="53"/>
      <c r="N448" s="54"/>
      <c r="O448" s="55"/>
      <c r="Q448" s="55"/>
    </row>
    <row r="449" spans="12:17" x14ac:dyDescent="0.3">
      <c r="L449" s="53"/>
      <c r="M449" s="53"/>
      <c r="N449" s="54"/>
      <c r="O449" s="55"/>
      <c r="Q449" s="55"/>
    </row>
    <row r="450" spans="12:17" x14ac:dyDescent="0.3">
      <c r="L450" s="53"/>
      <c r="M450" s="53"/>
      <c r="N450" s="54"/>
      <c r="O450" s="55"/>
      <c r="Q450" s="55"/>
    </row>
    <row r="451" spans="12:17" x14ac:dyDescent="0.3">
      <c r="L451" s="53"/>
      <c r="M451" s="53"/>
      <c r="N451" s="54"/>
      <c r="O451" s="55"/>
      <c r="Q451" s="55"/>
    </row>
    <row r="452" spans="12:17" x14ac:dyDescent="0.3">
      <c r="L452" s="53"/>
      <c r="M452" s="53"/>
      <c r="N452" s="54"/>
      <c r="O452" s="55"/>
      <c r="Q452" s="55"/>
    </row>
    <row r="453" spans="12:17" x14ac:dyDescent="0.3">
      <c r="L453" s="53"/>
      <c r="M453" s="53"/>
      <c r="N453" s="54"/>
      <c r="O453" s="55"/>
      <c r="Q453" s="55"/>
    </row>
    <row r="454" spans="12:17" x14ac:dyDescent="0.3">
      <c r="L454" s="53"/>
      <c r="M454" s="53"/>
      <c r="N454" s="54"/>
      <c r="O454" s="55"/>
      <c r="Q454" s="55"/>
    </row>
    <row r="455" spans="12:17" x14ac:dyDescent="0.3">
      <c r="L455" s="53"/>
      <c r="M455" s="53"/>
      <c r="N455" s="54"/>
      <c r="O455" s="55"/>
      <c r="Q455" s="55"/>
    </row>
    <row r="456" spans="12:17" x14ac:dyDescent="0.3">
      <c r="L456" s="53"/>
      <c r="M456" s="53"/>
      <c r="N456" s="54"/>
      <c r="O456" s="55"/>
      <c r="Q456" s="55"/>
    </row>
    <row r="457" spans="12:17" x14ac:dyDescent="0.3">
      <c r="L457" s="53"/>
      <c r="M457" s="53"/>
      <c r="N457" s="54"/>
      <c r="O457" s="55"/>
      <c r="Q457" s="55"/>
    </row>
    <row r="458" spans="12:17" x14ac:dyDescent="0.3">
      <c r="L458" s="53"/>
      <c r="M458" s="53"/>
      <c r="N458" s="54"/>
      <c r="O458" s="55"/>
      <c r="Q458" s="55"/>
    </row>
    <row r="459" spans="12:17" x14ac:dyDescent="0.3">
      <c r="L459" s="53"/>
      <c r="M459" s="53"/>
      <c r="N459" s="54"/>
      <c r="O459" s="55"/>
      <c r="Q459" s="55"/>
    </row>
    <row r="460" spans="12:17" x14ac:dyDescent="0.3">
      <c r="L460" s="53"/>
      <c r="M460" s="53"/>
      <c r="N460" s="54"/>
      <c r="O460" s="55"/>
      <c r="Q460" s="55"/>
    </row>
    <row r="461" spans="12:17" x14ac:dyDescent="0.3">
      <c r="L461" s="53"/>
      <c r="M461" s="53"/>
      <c r="N461" s="54"/>
      <c r="O461" s="55"/>
      <c r="Q461" s="55"/>
    </row>
    <row r="462" spans="12:17" x14ac:dyDescent="0.3">
      <c r="L462" s="53"/>
      <c r="M462" s="53"/>
      <c r="N462" s="54"/>
      <c r="O462" s="55"/>
      <c r="Q462" s="55"/>
    </row>
    <row r="463" spans="12:17" x14ac:dyDescent="0.3">
      <c r="L463" s="53"/>
      <c r="M463" s="53"/>
      <c r="N463" s="54"/>
      <c r="O463" s="55"/>
      <c r="Q463" s="55"/>
    </row>
    <row r="464" spans="12:17" x14ac:dyDescent="0.3">
      <c r="L464" s="53"/>
      <c r="M464" s="53"/>
      <c r="N464" s="54"/>
      <c r="O464" s="55"/>
      <c r="Q464" s="55"/>
    </row>
    <row r="465" spans="12:17" x14ac:dyDescent="0.3">
      <c r="L465" s="53"/>
      <c r="M465" s="53"/>
      <c r="N465" s="54"/>
      <c r="O465" s="55"/>
      <c r="Q465" s="55"/>
    </row>
    <row r="466" spans="12:17" x14ac:dyDescent="0.3">
      <c r="L466" s="53"/>
      <c r="M466" s="53"/>
      <c r="N466" s="54"/>
      <c r="O466" s="55"/>
      <c r="Q466" s="55"/>
    </row>
    <row r="467" spans="12:17" x14ac:dyDescent="0.3">
      <c r="L467" s="53"/>
      <c r="M467" s="53"/>
      <c r="N467" s="54"/>
      <c r="O467" s="55"/>
      <c r="Q467" s="55"/>
    </row>
    <row r="468" spans="12:17" x14ac:dyDescent="0.3">
      <c r="L468" s="53"/>
      <c r="M468" s="53"/>
      <c r="N468" s="54"/>
      <c r="O468" s="55"/>
      <c r="Q468" s="55"/>
    </row>
    <row r="469" spans="12:17" x14ac:dyDescent="0.3">
      <c r="L469" s="53"/>
      <c r="M469" s="53"/>
      <c r="N469" s="54"/>
      <c r="O469" s="55"/>
      <c r="Q469" s="55"/>
    </row>
    <row r="470" spans="12:17" x14ac:dyDescent="0.3">
      <c r="L470" s="53"/>
      <c r="M470" s="53"/>
      <c r="N470" s="54"/>
      <c r="O470" s="55"/>
      <c r="Q470" s="55"/>
    </row>
    <row r="471" spans="12:17" x14ac:dyDescent="0.3">
      <c r="L471" s="53"/>
      <c r="M471" s="53"/>
      <c r="N471" s="54"/>
      <c r="O471" s="55"/>
      <c r="Q471" s="55"/>
    </row>
    <row r="472" spans="12:17" x14ac:dyDescent="0.3">
      <c r="L472" s="53"/>
      <c r="M472" s="53"/>
      <c r="N472" s="54"/>
      <c r="O472" s="55"/>
      <c r="Q472" s="55"/>
    </row>
    <row r="473" spans="12:17" x14ac:dyDescent="0.3">
      <c r="L473" s="53"/>
      <c r="M473" s="53"/>
      <c r="N473" s="54"/>
      <c r="O473" s="55"/>
      <c r="Q473" s="55"/>
    </row>
    <row r="474" spans="12:17" x14ac:dyDescent="0.3">
      <c r="L474" s="53"/>
      <c r="M474" s="53"/>
      <c r="N474" s="54"/>
      <c r="O474" s="55"/>
      <c r="Q474" s="55"/>
    </row>
    <row r="475" spans="12:17" x14ac:dyDescent="0.3">
      <c r="L475" s="53"/>
      <c r="M475" s="53"/>
      <c r="N475" s="54"/>
      <c r="O475" s="55"/>
      <c r="Q475" s="55"/>
    </row>
    <row r="476" spans="12:17" x14ac:dyDescent="0.3">
      <c r="L476" s="53"/>
      <c r="M476" s="53"/>
      <c r="N476" s="54"/>
      <c r="O476" s="55"/>
      <c r="Q476" s="55"/>
    </row>
    <row r="477" spans="12:17" x14ac:dyDescent="0.3">
      <c r="L477" s="53"/>
      <c r="M477" s="53"/>
      <c r="N477" s="54"/>
      <c r="O477" s="55"/>
      <c r="Q477" s="55"/>
    </row>
    <row r="478" spans="12:17" x14ac:dyDescent="0.3">
      <c r="L478" s="53"/>
      <c r="M478" s="53"/>
      <c r="N478" s="54"/>
      <c r="O478" s="55"/>
      <c r="Q478" s="55"/>
    </row>
    <row r="479" spans="12:17" x14ac:dyDescent="0.3">
      <c r="L479" s="53"/>
      <c r="M479" s="53"/>
      <c r="N479" s="54"/>
      <c r="O479" s="55"/>
      <c r="Q479" s="55"/>
    </row>
    <row r="480" spans="12:17" x14ac:dyDescent="0.3">
      <c r="L480" s="53"/>
      <c r="M480" s="53"/>
      <c r="N480" s="54"/>
      <c r="O480" s="55"/>
      <c r="Q480" s="55"/>
    </row>
    <row r="481" spans="12:17" x14ac:dyDescent="0.3">
      <c r="L481" s="53"/>
      <c r="M481" s="53"/>
      <c r="N481" s="54"/>
      <c r="O481" s="55"/>
      <c r="Q481" s="55"/>
    </row>
    <row r="482" spans="12:17" x14ac:dyDescent="0.3">
      <c r="L482" s="53"/>
      <c r="M482" s="53"/>
      <c r="N482" s="54"/>
      <c r="O482" s="55"/>
      <c r="Q482" s="55"/>
    </row>
    <row r="483" spans="12:17" x14ac:dyDescent="0.3">
      <c r="L483" s="53"/>
      <c r="M483" s="53"/>
      <c r="N483" s="54"/>
      <c r="O483" s="55"/>
      <c r="Q483" s="55"/>
    </row>
    <row r="484" spans="12:17" x14ac:dyDescent="0.3">
      <c r="L484" s="53"/>
      <c r="M484" s="53"/>
      <c r="N484" s="54"/>
      <c r="O484" s="55"/>
      <c r="Q484" s="55"/>
    </row>
    <row r="485" spans="12:17" x14ac:dyDescent="0.3">
      <c r="L485" s="53"/>
      <c r="M485" s="53"/>
      <c r="N485" s="54"/>
      <c r="O485" s="55"/>
      <c r="Q485" s="55"/>
    </row>
    <row r="486" spans="12:17" x14ac:dyDescent="0.3">
      <c r="L486" s="53"/>
      <c r="M486" s="53"/>
      <c r="N486" s="54"/>
      <c r="O486" s="55"/>
      <c r="Q486" s="55"/>
    </row>
    <row r="487" spans="12:17" x14ac:dyDescent="0.3">
      <c r="L487" s="53"/>
      <c r="M487" s="53"/>
      <c r="N487" s="54"/>
      <c r="O487" s="55"/>
      <c r="Q487" s="55"/>
    </row>
    <row r="488" spans="12:17" x14ac:dyDescent="0.3">
      <c r="L488" s="53"/>
      <c r="M488" s="53"/>
      <c r="N488" s="54"/>
      <c r="O488" s="55"/>
      <c r="Q488" s="55"/>
    </row>
    <row r="489" spans="12:17" x14ac:dyDescent="0.3">
      <c r="L489" s="53"/>
      <c r="M489" s="53"/>
      <c r="N489" s="54"/>
      <c r="O489" s="55"/>
      <c r="Q489" s="55"/>
    </row>
    <row r="490" spans="12:17" x14ac:dyDescent="0.3">
      <c r="L490" s="53"/>
      <c r="M490" s="53"/>
      <c r="N490" s="54"/>
      <c r="O490" s="55"/>
      <c r="Q490" s="55"/>
    </row>
    <row r="491" spans="12:17" x14ac:dyDescent="0.3">
      <c r="L491" s="53"/>
      <c r="M491" s="53"/>
      <c r="N491" s="54"/>
      <c r="O491" s="55"/>
      <c r="Q491" s="55"/>
    </row>
    <row r="492" spans="12:17" x14ac:dyDescent="0.3">
      <c r="L492" s="53"/>
      <c r="M492" s="53"/>
      <c r="N492" s="54"/>
      <c r="O492" s="55"/>
      <c r="Q492" s="55"/>
    </row>
    <row r="493" spans="12:17" x14ac:dyDescent="0.3">
      <c r="L493" s="53"/>
      <c r="M493" s="53"/>
      <c r="N493" s="54"/>
      <c r="O493" s="55"/>
      <c r="Q493" s="55"/>
    </row>
    <row r="494" spans="12:17" x14ac:dyDescent="0.3">
      <c r="L494" s="53"/>
      <c r="M494" s="53"/>
      <c r="N494" s="54"/>
      <c r="O494" s="55"/>
      <c r="Q494" s="55"/>
    </row>
    <row r="495" spans="12:17" x14ac:dyDescent="0.3">
      <c r="L495" s="53"/>
      <c r="M495" s="53"/>
      <c r="N495" s="54"/>
      <c r="O495" s="55"/>
      <c r="Q495" s="55"/>
    </row>
    <row r="496" spans="12:17" x14ac:dyDescent="0.3">
      <c r="L496" s="53"/>
      <c r="M496" s="53"/>
      <c r="N496" s="54"/>
      <c r="O496" s="55"/>
      <c r="Q496" s="55"/>
    </row>
    <row r="497" spans="12:17" x14ac:dyDescent="0.3">
      <c r="L497" s="53"/>
      <c r="M497" s="53"/>
      <c r="N497" s="54"/>
      <c r="O497" s="55"/>
      <c r="Q497" s="55"/>
    </row>
    <row r="498" spans="12:17" x14ac:dyDescent="0.3">
      <c r="L498" s="53"/>
      <c r="M498" s="53"/>
      <c r="N498" s="54"/>
      <c r="O498" s="55"/>
      <c r="Q498" s="55"/>
    </row>
    <row r="499" spans="12:17" x14ac:dyDescent="0.3">
      <c r="L499" s="53"/>
      <c r="M499" s="53"/>
      <c r="N499" s="54"/>
      <c r="O499" s="55"/>
      <c r="Q499" s="55"/>
    </row>
    <row r="500" spans="12:17" x14ac:dyDescent="0.3">
      <c r="L500" s="53"/>
      <c r="M500" s="53"/>
      <c r="N500" s="54"/>
      <c r="O500" s="55"/>
      <c r="Q500" s="55"/>
    </row>
    <row r="501" spans="12:17" x14ac:dyDescent="0.3">
      <c r="L501" s="53"/>
      <c r="M501" s="53"/>
      <c r="N501" s="54"/>
      <c r="O501" s="55"/>
      <c r="Q501" s="55"/>
    </row>
    <row r="502" spans="12:17" x14ac:dyDescent="0.3">
      <c r="L502" s="53"/>
      <c r="M502" s="53"/>
      <c r="N502" s="54"/>
      <c r="O502" s="55"/>
      <c r="Q502" s="55"/>
    </row>
    <row r="503" spans="12:17" x14ac:dyDescent="0.3">
      <c r="L503" s="53"/>
      <c r="M503" s="53"/>
      <c r="N503" s="54"/>
      <c r="O503" s="55"/>
      <c r="Q503" s="55"/>
    </row>
    <row r="504" spans="12:17" x14ac:dyDescent="0.3">
      <c r="L504" s="53"/>
      <c r="M504" s="53"/>
      <c r="N504" s="54"/>
      <c r="O504" s="55"/>
      <c r="Q504" s="55"/>
    </row>
    <row r="505" spans="12:17" x14ac:dyDescent="0.3">
      <c r="L505" s="53"/>
      <c r="M505" s="53"/>
      <c r="N505" s="54"/>
      <c r="O505" s="55"/>
      <c r="Q505" s="55"/>
    </row>
    <row r="506" spans="12:17" x14ac:dyDescent="0.3">
      <c r="L506" s="53"/>
      <c r="M506" s="53"/>
      <c r="N506" s="54"/>
      <c r="O506" s="55"/>
      <c r="Q506" s="55"/>
    </row>
    <row r="507" spans="12:17" x14ac:dyDescent="0.3">
      <c r="L507" s="53"/>
      <c r="M507" s="53"/>
      <c r="N507" s="54"/>
      <c r="O507" s="55"/>
      <c r="Q507" s="55"/>
    </row>
    <row r="508" spans="12:17" x14ac:dyDescent="0.3">
      <c r="L508" s="53"/>
      <c r="M508" s="53"/>
      <c r="N508" s="54"/>
      <c r="O508" s="55"/>
      <c r="Q508" s="55"/>
    </row>
    <row r="509" spans="12:17" x14ac:dyDescent="0.3">
      <c r="L509" s="53"/>
      <c r="M509" s="53"/>
      <c r="N509" s="54"/>
      <c r="O509" s="55"/>
      <c r="Q509" s="55"/>
    </row>
    <row r="510" spans="12:17" x14ac:dyDescent="0.3">
      <c r="L510" s="53"/>
      <c r="M510" s="53"/>
      <c r="N510" s="54"/>
      <c r="O510" s="55"/>
      <c r="Q510" s="55"/>
    </row>
    <row r="511" spans="12:17" x14ac:dyDescent="0.3">
      <c r="L511" s="53"/>
      <c r="M511" s="53"/>
      <c r="N511" s="54"/>
      <c r="O511" s="55"/>
      <c r="Q511" s="55"/>
    </row>
    <row r="512" spans="12:17" x14ac:dyDescent="0.3">
      <c r="L512" s="53"/>
      <c r="M512" s="53"/>
      <c r="N512" s="54"/>
      <c r="O512" s="55"/>
      <c r="Q512" s="55"/>
    </row>
    <row r="513" spans="12:17" x14ac:dyDescent="0.3">
      <c r="L513" s="53"/>
      <c r="M513" s="53"/>
      <c r="N513" s="54"/>
      <c r="O513" s="55"/>
      <c r="Q513" s="55"/>
    </row>
    <row r="514" spans="12:17" x14ac:dyDescent="0.3">
      <c r="L514" s="53"/>
      <c r="M514" s="53"/>
      <c r="N514" s="54"/>
      <c r="O514" s="55"/>
      <c r="Q514" s="55"/>
    </row>
    <row r="515" spans="12:17" x14ac:dyDescent="0.3">
      <c r="L515" s="53"/>
      <c r="M515" s="53"/>
      <c r="N515" s="54"/>
      <c r="O515" s="55"/>
      <c r="Q515" s="55"/>
    </row>
    <row r="516" spans="12:17" x14ac:dyDescent="0.3">
      <c r="L516" s="53"/>
      <c r="M516" s="53"/>
      <c r="N516" s="54"/>
      <c r="O516" s="55"/>
      <c r="Q516" s="55"/>
    </row>
    <row r="517" spans="12:17" x14ac:dyDescent="0.3">
      <c r="L517" s="53"/>
      <c r="M517" s="53"/>
      <c r="N517" s="54"/>
      <c r="O517" s="55"/>
      <c r="Q517" s="55"/>
    </row>
    <row r="518" spans="12:17" x14ac:dyDescent="0.3">
      <c r="L518" s="53"/>
      <c r="M518" s="53"/>
      <c r="N518" s="54"/>
      <c r="O518" s="55"/>
      <c r="Q518" s="55"/>
    </row>
    <row r="519" spans="12:17" x14ac:dyDescent="0.3">
      <c r="L519" s="53"/>
      <c r="M519" s="53"/>
      <c r="N519" s="54"/>
      <c r="O519" s="55"/>
      <c r="Q519" s="55"/>
    </row>
    <row r="520" spans="12:17" x14ac:dyDescent="0.3">
      <c r="L520" s="53"/>
      <c r="M520" s="53"/>
      <c r="N520" s="54"/>
      <c r="O520" s="55"/>
      <c r="Q520" s="55"/>
    </row>
    <row r="521" spans="12:17" x14ac:dyDescent="0.3">
      <c r="L521" s="53"/>
      <c r="M521" s="53"/>
      <c r="N521" s="54"/>
      <c r="O521" s="55"/>
      <c r="Q521" s="55"/>
    </row>
    <row r="522" spans="12:17" x14ac:dyDescent="0.3">
      <c r="L522" s="53"/>
      <c r="M522" s="53"/>
      <c r="N522" s="54"/>
      <c r="O522" s="55"/>
      <c r="Q522" s="55"/>
    </row>
    <row r="523" spans="12:17" x14ac:dyDescent="0.3">
      <c r="L523" s="53"/>
      <c r="M523" s="53"/>
      <c r="N523" s="54"/>
      <c r="O523" s="55"/>
      <c r="Q523" s="55"/>
    </row>
    <row r="524" spans="12:17" x14ac:dyDescent="0.3">
      <c r="L524" s="53"/>
      <c r="M524" s="53"/>
      <c r="N524" s="54"/>
      <c r="O524" s="55"/>
      <c r="Q524" s="55"/>
    </row>
    <row r="525" spans="12:17" x14ac:dyDescent="0.3">
      <c r="L525" s="53"/>
      <c r="M525" s="53"/>
      <c r="N525" s="54"/>
      <c r="O525" s="55"/>
      <c r="Q525" s="55"/>
    </row>
    <row r="526" spans="12:17" x14ac:dyDescent="0.3">
      <c r="L526" s="53"/>
      <c r="M526" s="53"/>
      <c r="N526" s="54"/>
      <c r="O526" s="55"/>
      <c r="Q526" s="55"/>
    </row>
    <row r="527" spans="12:17" x14ac:dyDescent="0.3">
      <c r="L527" s="53"/>
      <c r="M527" s="53"/>
      <c r="N527" s="54"/>
      <c r="O527" s="55"/>
      <c r="Q527" s="55"/>
    </row>
    <row r="528" spans="12:17" x14ac:dyDescent="0.3">
      <c r="L528" s="53"/>
      <c r="M528" s="53"/>
      <c r="N528" s="54"/>
      <c r="O528" s="55"/>
      <c r="Q528" s="55"/>
    </row>
    <row r="529" spans="12:17" x14ac:dyDescent="0.3">
      <c r="L529" s="53"/>
      <c r="M529" s="53"/>
      <c r="N529" s="54"/>
      <c r="O529" s="55"/>
      <c r="Q529" s="55"/>
    </row>
    <row r="530" spans="12:17" x14ac:dyDescent="0.3">
      <c r="L530" s="53"/>
      <c r="M530" s="53"/>
      <c r="N530" s="54"/>
      <c r="O530" s="55"/>
      <c r="Q530" s="55"/>
    </row>
    <row r="531" spans="12:17" x14ac:dyDescent="0.3">
      <c r="L531" s="53"/>
      <c r="M531" s="53"/>
      <c r="N531" s="54"/>
      <c r="O531" s="55"/>
      <c r="Q531" s="55"/>
    </row>
    <row r="532" spans="12:17" x14ac:dyDescent="0.3">
      <c r="L532" s="53"/>
      <c r="M532" s="53"/>
      <c r="N532" s="54"/>
      <c r="O532" s="55"/>
      <c r="Q532" s="55"/>
    </row>
    <row r="533" spans="12:17" x14ac:dyDescent="0.3">
      <c r="L533" s="53"/>
      <c r="M533" s="53"/>
      <c r="N533" s="54"/>
      <c r="O533" s="55"/>
      <c r="Q533" s="55"/>
    </row>
    <row r="534" spans="12:17" x14ac:dyDescent="0.3">
      <c r="L534" s="53"/>
      <c r="M534" s="53"/>
      <c r="N534" s="54"/>
      <c r="O534" s="55"/>
      <c r="Q534" s="55"/>
    </row>
    <row r="535" spans="12:17" x14ac:dyDescent="0.3">
      <c r="L535" s="53"/>
      <c r="M535" s="53"/>
      <c r="N535" s="54"/>
      <c r="O535" s="55"/>
      <c r="Q535" s="55"/>
    </row>
    <row r="536" spans="12:17" x14ac:dyDescent="0.3">
      <c r="L536" s="53"/>
      <c r="M536" s="53"/>
      <c r="N536" s="54"/>
      <c r="O536" s="55"/>
      <c r="Q536" s="55"/>
    </row>
    <row r="537" spans="12:17" x14ac:dyDescent="0.3">
      <c r="L537" s="53"/>
      <c r="M537" s="53"/>
      <c r="N537" s="54"/>
      <c r="O537" s="55"/>
      <c r="Q537" s="55"/>
    </row>
    <row r="538" spans="12:17" x14ac:dyDescent="0.3">
      <c r="L538" s="53"/>
      <c r="M538" s="53"/>
      <c r="N538" s="54"/>
      <c r="O538" s="55"/>
      <c r="Q538" s="55"/>
    </row>
    <row r="539" spans="12:17" x14ac:dyDescent="0.3">
      <c r="L539" s="53"/>
      <c r="M539" s="53"/>
      <c r="N539" s="54"/>
      <c r="O539" s="55"/>
      <c r="Q539" s="55"/>
    </row>
    <row r="540" spans="12:17" x14ac:dyDescent="0.3">
      <c r="L540" s="53"/>
      <c r="M540" s="53"/>
      <c r="N540" s="54"/>
      <c r="O540" s="55"/>
      <c r="Q540" s="55"/>
    </row>
    <row r="541" spans="12:17" x14ac:dyDescent="0.3">
      <c r="L541" s="53"/>
      <c r="M541" s="53"/>
      <c r="N541" s="54"/>
      <c r="O541" s="55"/>
      <c r="Q541" s="55"/>
    </row>
    <row r="542" spans="12:17" x14ac:dyDescent="0.3">
      <c r="L542" s="53"/>
      <c r="M542" s="53"/>
      <c r="N542" s="54"/>
      <c r="O542" s="55"/>
      <c r="Q542" s="55"/>
    </row>
    <row r="543" spans="12:17" x14ac:dyDescent="0.3">
      <c r="L543" s="53"/>
      <c r="M543" s="53"/>
      <c r="N543" s="54"/>
      <c r="O543" s="55"/>
      <c r="Q543" s="55"/>
    </row>
    <row r="544" spans="12:17" x14ac:dyDescent="0.3">
      <c r="L544" s="53"/>
      <c r="M544" s="53"/>
      <c r="N544" s="54"/>
      <c r="O544" s="55"/>
      <c r="Q544" s="55"/>
    </row>
    <row r="545" spans="12:17" x14ac:dyDescent="0.3">
      <c r="L545" s="53"/>
      <c r="M545" s="53"/>
      <c r="N545" s="54"/>
      <c r="O545" s="55"/>
      <c r="Q545" s="55"/>
    </row>
    <row r="546" spans="12:17" x14ac:dyDescent="0.3">
      <c r="L546" s="53"/>
      <c r="M546" s="53"/>
      <c r="N546" s="54"/>
      <c r="O546" s="55"/>
      <c r="Q546" s="55"/>
    </row>
    <row r="547" spans="12:17" x14ac:dyDescent="0.3">
      <c r="L547" s="53"/>
      <c r="M547" s="53"/>
      <c r="N547" s="54"/>
      <c r="O547" s="55"/>
      <c r="Q547" s="55"/>
    </row>
    <row r="548" spans="12:17" x14ac:dyDescent="0.3">
      <c r="L548" s="53"/>
      <c r="M548" s="53"/>
      <c r="N548" s="54"/>
      <c r="O548" s="55"/>
      <c r="Q548" s="55"/>
    </row>
    <row r="549" spans="12:17" x14ac:dyDescent="0.3">
      <c r="L549" s="53"/>
      <c r="M549" s="53"/>
      <c r="N549" s="54"/>
      <c r="O549" s="55"/>
      <c r="Q549" s="55"/>
    </row>
    <row r="550" spans="12:17" x14ac:dyDescent="0.3">
      <c r="L550" s="53"/>
      <c r="M550" s="53"/>
      <c r="N550" s="54"/>
      <c r="O550" s="55"/>
      <c r="Q550" s="55"/>
    </row>
    <row r="551" spans="12:17" x14ac:dyDescent="0.3">
      <c r="L551" s="53"/>
      <c r="M551" s="53"/>
      <c r="N551" s="54"/>
      <c r="O551" s="55"/>
      <c r="Q551" s="55"/>
    </row>
    <row r="552" spans="12:17" x14ac:dyDescent="0.3">
      <c r="L552" s="53"/>
      <c r="M552" s="53"/>
      <c r="N552" s="54"/>
      <c r="O552" s="55"/>
      <c r="Q552" s="55"/>
    </row>
    <row r="553" spans="12:17" x14ac:dyDescent="0.3">
      <c r="L553" s="53"/>
      <c r="M553" s="53"/>
      <c r="N553" s="54"/>
      <c r="O553" s="55"/>
      <c r="Q553" s="55"/>
    </row>
    <row r="554" spans="12:17" x14ac:dyDescent="0.3">
      <c r="L554" s="53"/>
      <c r="M554" s="53"/>
      <c r="N554" s="54"/>
      <c r="O554" s="55"/>
      <c r="Q554" s="55"/>
    </row>
    <row r="555" spans="12:17" x14ac:dyDescent="0.3">
      <c r="L555" s="53"/>
      <c r="M555" s="53"/>
      <c r="N555" s="54"/>
      <c r="O555" s="55"/>
      <c r="Q555" s="55"/>
    </row>
    <row r="556" spans="12:17" x14ac:dyDescent="0.3">
      <c r="L556" s="53"/>
      <c r="M556" s="53"/>
      <c r="N556" s="54"/>
      <c r="O556" s="55"/>
      <c r="Q556" s="55"/>
    </row>
    <row r="557" spans="12:17" x14ac:dyDescent="0.3">
      <c r="L557" s="53"/>
      <c r="M557" s="53"/>
      <c r="N557" s="54"/>
      <c r="O557" s="55"/>
      <c r="Q557" s="55"/>
    </row>
    <row r="558" spans="12:17" x14ac:dyDescent="0.3">
      <c r="L558" s="53"/>
      <c r="M558" s="53"/>
      <c r="N558" s="54"/>
      <c r="O558" s="55"/>
      <c r="Q558" s="55"/>
    </row>
    <row r="559" spans="12:17" x14ac:dyDescent="0.3">
      <c r="L559" s="53"/>
      <c r="M559" s="53"/>
      <c r="N559" s="54"/>
      <c r="O559" s="55"/>
      <c r="Q559" s="55"/>
    </row>
    <row r="560" spans="12:17" x14ac:dyDescent="0.3">
      <c r="L560" s="53"/>
      <c r="M560" s="53"/>
      <c r="N560" s="54"/>
      <c r="O560" s="55"/>
      <c r="Q560" s="55"/>
    </row>
    <row r="561" spans="12:17" x14ac:dyDescent="0.3">
      <c r="L561" s="53"/>
      <c r="M561" s="53"/>
      <c r="N561" s="54"/>
      <c r="O561" s="55"/>
      <c r="Q561" s="55"/>
    </row>
    <row r="562" spans="12:17" x14ac:dyDescent="0.3">
      <c r="L562" s="53"/>
      <c r="M562" s="53"/>
      <c r="N562" s="54"/>
      <c r="O562" s="55"/>
      <c r="Q562" s="55"/>
    </row>
    <row r="563" spans="12:17" x14ac:dyDescent="0.3">
      <c r="L563" s="53"/>
      <c r="M563" s="53"/>
      <c r="N563" s="54"/>
      <c r="O563" s="55"/>
      <c r="Q563" s="55"/>
    </row>
    <row r="564" spans="12:17" x14ac:dyDescent="0.3">
      <c r="L564" s="53"/>
      <c r="M564" s="53"/>
      <c r="N564" s="54"/>
      <c r="O564" s="55"/>
      <c r="Q564" s="55"/>
    </row>
    <row r="565" spans="12:17" x14ac:dyDescent="0.3">
      <c r="L565" s="53"/>
      <c r="M565" s="53"/>
      <c r="N565" s="54"/>
      <c r="O565" s="55"/>
      <c r="Q565" s="55"/>
    </row>
    <row r="566" spans="12:17" x14ac:dyDescent="0.3">
      <c r="L566" s="53"/>
      <c r="M566" s="53"/>
      <c r="N566" s="54"/>
      <c r="O566" s="55"/>
      <c r="Q566" s="55"/>
    </row>
    <row r="567" spans="12:17" x14ac:dyDescent="0.3">
      <c r="L567" s="53"/>
      <c r="M567" s="53"/>
      <c r="N567" s="54"/>
      <c r="O567" s="55"/>
      <c r="Q567" s="55"/>
    </row>
    <row r="568" spans="12:17" x14ac:dyDescent="0.3">
      <c r="L568" s="53"/>
      <c r="M568" s="53"/>
      <c r="N568" s="54"/>
      <c r="O568" s="55"/>
      <c r="Q568" s="55"/>
    </row>
    <row r="569" spans="12:17" x14ac:dyDescent="0.3">
      <c r="L569" s="53"/>
      <c r="M569" s="53"/>
      <c r="N569" s="54"/>
      <c r="O569" s="55"/>
      <c r="Q569" s="55"/>
    </row>
    <row r="570" spans="12:17" x14ac:dyDescent="0.3">
      <c r="L570" s="53"/>
      <c r="M570" s="53"/>
      <c r="N570" s="54"/>
      <c r="O570" s="55"/>
      <c r="Q570" s="55"/>
    </row>
    <row r="571" spans="12:17" x14ac:dyDescent="0.3">
      <c r="L571" s="53"/>
      <c r="M571" s="53"/>
      <c r="N571" s="54"/>
      <c r="O571" s="55"/>
      <c r="Q571" s="55"/>
    </row>
    <row r="572" spans="12:17" x14ac:dyDescent="0.3">
      <c r="L572" s="53"/>
      <c r="M572" s="53"/>
      <c r="N572" s="54"/>
      <c r="O572" s="55"/>
      <c r="Q572" s="55"/>
    </row>
    <row r="573" spans="12:17" x14ac:dyDescent="0.3">
      <c r="L573" s="53"/>
      <c r="M573" s="53"/>
      <c r="N573" s="54"/>
      <c r="O573" s="55"/>
      <c r="Q573" s="55"/>
    </row>
    <row r="574" spans="12:17" x14ac:dyDescent="0.3">
      <c r="L574" s="53"/>
      <c r="M574" s="53"/>
      <c r="N574" s="54"/>
      <c r="O574" s="55"/>
      <c r="Q574" s="55"/>
    </row>
    <row r="575" spans="12:17" x14ac:dyDescent="0.3">
      <c r="L575" s="53"/>
      <c r="M575" s="53"/>
      <c r="N575" s="54"/>
      <c r="O575" s="55"/>
      <c r="Q575" s="55"/>
    </row>
    <row r="576" spans="12:17" x14ac:dyDescent="0.3">
      <c r="L576" s="53"/>
      <c r="M576" s="53"/>
      <c r="N576" s="54"/>
      <c r="O576" s="55"/>
      <c r="Q576" s="55"/>
    </row>
    <row r="577" spans="12:17" x14ac:dyDescent="0.3">
      <c r="L577" s="53"/>
      <c r="M577" s="53"/>
      <c r="N577" s="54"/>
      <c r="O577" s="55"/>
      <c r="Q577" s="55"/>
    </row>
    <row r="578" spans="12:17" x14ac:dyDescent="0.3">
      <c r="L578" s="53"/>
      <c r="M578" s="53"/>
      <c r="N578" s="54"/>
      <c r="O578" s="55"/>
      <c r="Q578" s="55"/>
    </row>
    <row r="579" spans="12:17" x14ac:dyDescent="0.3">
      <c r="L579" s="53"/>
      <c r="M579" s="53"/>
      <c r="N579" s="54"/>
      <c r="O579" s="55"/>
      <c r="Q579" s="55"/>
    </row>
    <row r="580" spans="12:17" x14ac:dyDescent="0.3">
      <c r="L580" s="53"/>
      <c r="M580" s="53"/>
      <c r="N580" s="54"/>
      <c r="O580" s="55"/>
      <c r="Q580" s="55"/>
    </row>
    <row r="581" spans="12:17" x14ac:dyDescent="0.3">
      <c r="L581" s="53"/>
      <c r="M581" s="53"/>
      <c r="N581" s="54"/>
      <c r="O581" s="55"/>
      <c r="Q581" s="55"/>
    </row>
    <row r="582" spans="12:17" x14ac:dyDescent="0.3">
      <c r="L582" s="53"/>
      <c r="M582" s="53"/>
      <c r="N582" s="54"/>
      <c r="O582" s="55"/>
      <c r="Q582" s="55"/>
    </row>
    <row r="583" spans="12:17" x14ac:dyDescent="0.3">
      <c r="L583" s="53"/>
      <c r="M583" s="53"/>
      <c r="N583" s="54"/>
      <c r="O583" s="55"/>
      <c r="Q583" s="55"/>
    </row>
    <row r="584" spans="12:17" x14ac:dyDescent="0.3">
      <c r="L584" s="53"/>
      <c r="M584" s="53"/>
      <c r="N584" s="54"/>
      <c r="O584" s="55"/>
      <c r="Q584" s="55"/>
    </row>
    <row r="585" spans="12:17" x14ac:dyDescent="0.3">
      <c r="L585" s="53"/>
      <c r="M585" s="53"/>
      <c r="N585" s="54"/>
      <c r="O585" s="55"/>
      <c r="Q585" s="55"/>
    </row>
    <row r="586" spans="12:17" x14ac:dyDescent="0.3">
      <c r="L586" s="53"/>
      <c r="M586" s="53"/>
      <c r="N586" s="54"/>
      <c r="O586" s="55"/>
      <c r="Q586" s="55"/>
    </row>
    <row r="587" spans="12:17" x14ac:dyDescent="0.3">
      <c r="L587" s="53"/>
      <c r="M587" s="53"/>
      <c r="N587" s="54"/>
      <c r="O587" s="55"/>
      <c r="Q587" s="55"/>
    </row>
    <row r="588" spans="12:17" x14ac:dyDescent="0.3">
      <c r="L588" s="53"/>
      <c r="M588" s="53"/>
      <c r="N588" s="54"/>
      <c r="O588" s="55"/>
      <c r="Q588" s="55"/>
    </row>
    <row r="589" spans="12:17" x14ac:dyDescent="0.3">
      <c r="L589" s="53"/>
      <c r="M589" s="53"/>
      <c r="N589" s="54"/>
      <c r="O589" s="55"/>
      <c r="Q589" s="55"/>
    </row>
    <row r="590" spans="12:17" x14ac:dyDescent="0.3">
      <c r="L590" s="53"/>
      <c r="M590" s="53"/>
      <c r="N590" s="54"/>
      <c r="O590" s="55"/>
      <c r="Q590" s="55"/>
    </row>
    <row r="591" spans="12:17" x14ac:dyDescent="0.3">
      <c r="L591" s="53"/>
      <c r="M591" s="53"/>
      <c r="N591" s="54"/>
      <c r="O591" s="55"/>
      <c r="Q591" s="55"/>
    </row>
    <row r="592" spans="12:17" x14ac:dyDescent="0.3">
      <c r="L592" s="53"/>
      <c r="M592" s="53"/>
      <c r="N592" s="54"/>
      <c r="O592" s="55"/>
      <c r="Q592" s="55"/>
    </row>
    <row r="593" spans="12:17" x14ac:dyDescent="0.3">
      <c r="L593" s="53"/>
      <c r="M593" s="53"/>
      <c r="N593" s="54"/>
      <c r="O593" s="55"/>
      <c r="Q593" s="55"/>
    </row>
    <row r="594" spans="12:17" x14ac:dyDescent="0.3">
      <c r="L594" s="53"/>
      <c r="M594" s="53"/>
      <c r="N594" s="54"/>
      <c r="O594" s="55"/>
      <c r="Q594" s="55"/>
    </row>
    <row r="595" spans="12:17" x14ac:dyDescent="0.3">
      <c r="L595" s="53"/>
      <c r="M595" s="53"/>
      <c r="N595" s="54"/>
      <c r="O595" s="55"/>
      <c r="Q595" s="55"/>
    </row>
    <row r="596" spans="12:17" x14ac:dyDescent="0.3">
      <c r="L596" s="53"/>
      <c r="M596" s="53"/>
      <c r="N596" s="54"/>
      <c r="O596" s="55"/>
      <c r="Q596" s="55"/>
    </row>
    <row r="597" spans="12:17" x14ac:dyDescent="0.3">
      <c r="L597" s="53"/>
      <c r="M597" s="53"/>
      <c r="N597" s="54"/>
      <c r="O597" s="55"/>
      <c r="Q597" s="55"/>
    </row>
    <row r="598" spans="12:17" x14ac:dyDescent="0.3">
      <c r="L598" s="53"/>
      <c r="M598" s="53"/>
      <c r="N598" s="54"/>
      <c r="O598" s="55"/>
      <c r="Q598" s="55"/>
    </row>
    <row r="599" spans="12:17" x14ac:dyDescent="0.3">
      <c r="L599" s="53"/>
      <c r="M599" s="53"/>
      <c r="N599" s="54"/>
      <c r="O599" s="55"/>
      <c r="Q599" s="55"/>
    </row>
    <row r="600" spans="12:17" x14ac:dyDescent="0.3">
      <c r="L600" s="53"/>
      <c r="M600" s="53"/>
      <c r="N600" s="54"/>
      <c r="O600" s="55"/>
      <c r="Q600" s="55"/>
    </row>
    <row r="601" spans="12:17" x14ac:dyDescent="0.3">
      <c r="L601" s="53"/>
      <c r="M601" s="53"/>
      <c r="N601" s="54"/>
      <c r="O601" s="55"/>
      <c r="Q601" s="55"/>
    </row>
    <row r="602" spans="12:17" x14ac:dyDescent="0.3">
      <c r="L602" s="53"/>
      <c r="M602" s="53"/>
      <c r="N602" s="54"/>
      <c r="O602" s="55"/>
      <c r="Q602" s="55"/>
    </row>
    <row r="603" spans="12:17" x14ac:dyDescent="0.3">
      <c r="L603" s="53"/>
      <c r="M603" s="53"/>
      <c r="N603" s="54"/>
      <c r="O603" s="55"/>
      <c r="Q603" s="55"/>
    </row>
    <row r="604" spans="12:17" x14ac:dyDescent="0.3">
      <c r="L604" s="53"/>
      <c r="M604" s="53"/>
      <c r="N604" s="54"/>
      <c r="O604" s="55"/>
      <c r="Q604" s="55"/>
    </row>
    <row r="605" spans="12:17" x14ac:dyDescent="0.3">
      <c r="L605" s="53"/>
      <c r="M605" s="53"/>
      <c r="N605" s="54"/>
      <c r="O605" s="55"/>
      <c r="Q605" s="55"/>
    </row>
    <row r="606" spans="12:17" x14ac:dyDescent="0.3">
      <c r="L606" s="53"/>
      <c r="M606" s="53"/>
      <c r="N606" s="54"/>
      <c r="O606" s="55"/>
      <c r="Q606" s="55"/>
    </row>
    <row r="607" spans="12:17" x14ac:dyDescent="0.3">
      <c r="L607" s="53"/>
      <c r="M607" s="53"/>
      <c r="N607" s="54"/>
      <c r="O607" s="55"/>
      <c r="Q607" s="55"/>
    </row>
    <row r="608" spans="12:17" x14ac:dyDescent="0.3">
      <c r="L608" s="53"/>
      <c r="M608" s="53"/>
      <c r="N608" s="54"/>
      <c r="O608" s="55"/>
      <c r="Q608" s="55"/>
    </row>
    <row r="609" spans="12:17" x14ac:dyDescent="0.3">
      <c r="L609" s="53"/>
      <c r="M609" s="53"/>
      <c r="N609" s="54"/>
      <c r="O609" s="55"/>
      <c r="Q609" s="55"/>
    </row>
    <row r="610" spans="12:17" x14ac:dyDescent="0.3">
      <c r="L610" s="53"/>
      <c r="M610" s="53"/>
      <c r="N610" s="54"/>
      <c r="O610" s="55"/>
      <c r="Q610" s="55"/>
    </row>
    <row r="611" spans="12:17" x14ac:dyDescent="0.3">
      <c r="L611" s="53"/>
      <c r="M611" s="53"/>
      <c r="N611" s="54"/>
      <c r="O611" s="55"/>
      <c r="Q611" s="55"/>
    </row>
    <row r="612" spans="12:17" x14ac:dyDescent="0.3">
      <c r="L612" s="53"/>
      <c r="M612" s="53"/>
      <c r="N612" s="54"/>
      <c r="O612" s="55"/>
      <c r="Q612" s="55"/>
    </row>
    <row r="613" spans="12:17" x14ac:dyDescent="0.3">
      <c r="L613" s="53"/>
      <c r="M613" s="53"/>
      <c r="N613" s="54"/>
      <c r="O613" s="55"/>
      <c r="Q613" s="55"/>
    </row>
    <row r="614" spans="12:17" x14ac:dyDescent="0.3">
      <c r="L614" s="53"/>
      <c r="M614" s="53"/>
      <c r="N614" s="54"/>
      <c r="O614" s="55"/>
      <c r="Q614" s="55"/>
    </row>
    <row r="615" spans="12:17" x14ac:dyDescent="0.3">
      <c r="L615" s="53"/>
      <c r="M615" s="53"/>
      <c r="N615" s="54"/>
      <c r="O615" s="55"/>
      <c r="Q615" s="55"/>
    </row>
    <row r="616" spans="12:17" x14ac:dyDescent="0.3">
      <c r="L616" s="53"/>
      <c r="M616" s="53"/>
      <c r="N616" s="54"/>
      <c r="O616" s="55"/>
      <c r="Q616" s="55"/>
    </row>
    <row r="617" spans="12:17" x14ac:dyDescent="0.3">
      <c r="L617" s="53"/>
      <c r="M617" s="53"/>
      <c r="N617" s="54"/>
      <c r="O617" s="55"/>
      <c r="Q617" s="55"/>
    </row>
    <row r="618" spans="12:17" x14ac:dyDescent="0.3">
      <c r="L618" s="53"/>
      <c r="M618" s="53"/>
      <c r="N618" s="54"/>
      <c r="O618" s="55"/>
      <c r="Q618" s="55"/>
    </row>
    <row r="619" spans="12:17" x14ac:dyDescent="0.3">
      <c r="L619" s="53"/>
      <c r="M619" s="53"/>
      <c r="N619" s="54"/>
      <c r="O619" s="55"/>
      <c r="Q619" s="55"/>
    </row>
    <row r="620" spans="12:17" x14ac:dyDescent="0.3">
      <c r="L620" s="53"/>
      <c r="M620" s="53"/>
      <c r="N620" s="54"/>
      <c r="O620" s="55"/>
      <c r="Q620" s="55"/>
    </row>
    <row r="621" spans="12:17" x14ac:dyDescent="0.3">
      <c r="L621" s="53"/>
      <c r="M621" s="53"/>
      <c r="N621" s="54"/>
      <c r="O621" s="55"/>
      <c r="Q621" s="55"/>
    </row>
    <row r="622" spans="12:17" x14ac:dyDescent="0.3">
      <c r="L622" s="53"/>
      <c r="M622" s="53"/>
      <c r="N622" s="54"/>
      <c r="O622" s="55"/>
      <c r="Q622" s="55"/>
    </row>
    <row r="623" spans="12:17" x14ac:dyDescent="0.3">
      <c r="L623" s="53"/>
      <c r="M623" s="53"/>
      <c r="N623" s="54"/>
      <c r="O623" s="55"/>
      <c r="Q623" s="55"/>
    </row>
    <row r="624" spans="12:17" x14ac:dyDescent="0.3">
      <c r="L624" s="53"/>
      <c r="M624" s="53"/>
      <c r="N624" s="54"/>
      <c r="O624" s="55"/>
      <c r="Q624" s="55"/>
    </row>
    <row r="625" spans="12:17" x14ac:dyDescent="0.3">
      <c r="L625" s="53"/>
      <c r="M625" s="53"/>
      <c r="N625" s="54"/>
      <c r="O625" s="55"/>
      <c r="Q625" s="55"/>
    </row>
    <row r="626" spans="12:17" x14ac:dyDescent="0.3">
      <c r="L626" s="53"/>
      <c r="M626" s="53"/>
      <c r="N626" s="54"/>
      <c r="O626" s="55"/>
      <c r="Q626" s="55"/>
    </row>
    <row r="627" spans="12:17" x14ac:dyDescent="0.3">
      <c r="L627" s="53"/>
      <c r="M627" s="53"/>
      <c r="N627" s="54"/>
      <c r="O627" s="55"/>
      <c r="Q627" s="55"/>
    </row>
    <row r="628" spans="12:17" x14ac:dyDescent="0.3">
      <c r="L628" s="53"/>
      <c r="M628" s="53"/>
      <c r="N628" s="54"/>
      <c r="O628" s="55"/>
      <c r="Q628" s="55"/>
    </row>
    <row r="629" spans="12:17" x14ac:dyDescent="0.3">
      <c r="L629" s="53"/>
      <c r="M629" s="53"/>
      <c r="N629" s="54"/>
      <c r="O629" s="55"/>
      <c r="Q629" s="55"/>
    </row>
    <row r="630" spans="12:17" x14ac:dyDescent="0.3">
      <c r="L630" s="53"/>
      <c r="M630" s="53"/>
      <c r="N630" s="54"/>
      <c r="O630" s="55"/>
      <c r="Q630" s="55"/>
    </row>
    <row r="631" spans="12:17" x14ac:dyDescent="0.3">
      <c r="L631" s="53"/>
      <c r="M631" s="53"/>
      <c r="N631" s="54"/>
      <c r="O631" s="55"/>
      <c r="Q631" s="55"/>
    </row>
    <row r="632" spans="12:17" x14ac:dyDescent="0.3">
      <c r="L632" s="53"/>
      <c r="M632" s="53"/>
      <c r="N632" s="54"/>
      <c r="O632" s="55"/>
      <c r="Q632" s="55"/>
    </row>
    <row r="633" spans="12:17" x14ac:dyDescent="0.3">
      <c r="L633" s="53"/>
      <c r="M633" s="53"/>
      <c r="N633" s="54"/>
      <c r="O633" s="55"/>
      <c r="Q633" s="55"/>
    </row>
    <row r="634" spans="12:17" x14ac:dyDescent="0.3">
      <c r="L634" s="53"/>
      <c r="M634" s="53"/>
      <c r="N634" s="54"/>
      <c r="O634" s="55"/>
      <c r="Q634" s="55"/>
    </row>
    <row r="635" spans="12:17" x14ac:dyDescent="0.3">
      <c r="L635" s="53"/>
      <c r="M635" s="53"/>
      <c r="N635" s="54"/>
      <c r="O635" s="55"/>
      <c r="Q635" s="55"/>
    </row>
    <row r="636" spans="12:17" x14ac:dyDescent="0.3">
      <c r="L636" s="53"/>
      <c r="M636" s="53"/>
      <c r="N636" s="54"/>
      <c r="O636" s="55"/>
      <c r="Q636" s="55"/>
    </row>
    <row r="637" spans="12:17" x14ac:dyDescent="0.3">
      <c r="L637" s="53"/>
      <c r="M637" s="53"/>
      <c r="N637" s="54"/>
      <c r="O637" s="55"/>
      <c r="Q637" s="55"/>
    </row>
    <row r="638" spans="12:17" x14ac:dyDescent="0.3">
      <c r="L638" s="53"/>
      <c r="M638" s="53"/>
      <c r="N638" s="54"/>
      <c r="O638" s="55"/>
      <c r="Q638" s="55"/>
    </row>
    <row r="639" spans="12:17" x14ac:dyDescent="0.3">
      <c r="L639" s="53"/>
      <c r="M639" s="53"/>
      <c r="N639" s="54"/>
      <c r="O639" s="55"/>
      <c r="Q639" s="55"/>
    </row>
    <row r="640" spans="12:17" x14ac:dyDescent="0.3">
      <c r="L640" s="53"/>
      <c r="M640" s="53"/>
      <c r="N640" s="54"/>
      <c r="O640" s="55"/>
      <c r="Q640" s="55"/>
    </row>
    <row r="641" spans="12:17" x14ac:dyDescent="0.3">
      <c r="L641" s="53"/>
      <c r="M641" s="53"/>
      <c r="N641" s="54"/>
      <c r="O641" s="55"/>
      <c r="Q641" s="55"/>
    </row>
    <row r="642" spans="12:17" x14ac:dyDescent="0.3">
      <c r="L642" s="53"/>
      <c r="M642" s="53"/>
      <c r="N642" s="54"/>
      <c r="O642" s="55"/>
      <c r="Q642" s="55"/>
    </row>
    <row r="643" spans="12:17" x14ac:dyDescent="0.3">
      <c r="L643" s="53"/>
      <c r="M643" s="53"/>
      <c r="N643" s="54"/>
      <c r="O643" s="55"/>
      <c r="Q643" s="55"/>
    </row>
    <row r="644" spans="12:17" x14ac:dyDescent="0.3">
      <c r="L644" s="53"/>
      <c r="M644" s="53"/>
      <c r="N644" s="54"/>
      <c r="O644" s="55"/>
      <c r="Q644" s="55"/>
    </row>
    <row r="645" spans="12:17" x14ac:dyDescent="0.3">
      <c r="L645" s="53"/>
      <c r="M645" s="53"/>
      <c r="N645" s="54"/>
      <c r="O645" s="55"/>
      <c r="Q645" s="55"/>
    </row>
    <row r="646" spans="12:17" x14ac:dyDescent="0.3">
      <c r="L646" s="53"/>
      <c r="M646" s="53"/>
      <c r="N646" s="54"/>
      <c r="O646" s="55"/>
      <c r="Q646" s="55"/>
    </row>
    <row r="647" spans="12:17" x14ac:dyDescent="0.3">
      <c r="L647" s="53"/>
      <c r="M647" s="53"/>
      <c r="N647" s="54"/>
      <c r="O647" s="55"/>
      <c r="Q647" s="55"/>
    </row>
    <row r="648" spans="12:17" x14ac:dyDescent="0.3">
      <c r="L648" s="53"/>
      <c r="M648" s="53"/>
      <c r="N648" s="54"/>
      <c r="O648" s="55"/>
      <c r="Q648" s="55"/>
    </row>
    <row r="649" spans="12:17" x14ac:dyDescent="0.3">
      <c r="L649" s="53"/>
      <c r="M649" s="53"/>
      <c r="N649" s="54"/>
      <c r="O649" s="55"/>
      <c r="Q649" s="55"/>
    </row>
    <row r="650" spans="12:17" x14ac:dyDescent="0.3">
      <c r="L650" s="53"/>
      <c r="M650" s="53"/>
      <c r="N650" s="54"/>
      <c r="O650" s="55"/>
      <c r="Q650" s="55"/>
    </row>
    <row r="651" spans="12:17" x14ac:dyDescent="0.3">
      <c r="L651" s="53"/>
      <c r="M651" s="53"/>
      <c r="N651" s="54"/>
      <c r="O651" s="55"/>
      <c r="Q651" s="55"/>
    </row>
    <row r="652" spans="12:17" x14ac:dyDescent="0.3">
      <c r="L652" s="53"/>
      <c r="M652" s="53"/>
      <c r="N652" s="54"/>
      <c r="O652" s="55"/>
      <c r="Q652" s="55"/>
    </row>
    <row r="653" spans="12:17" x14ac:dyDescent="0.3">
      <c r="L653" s="53"/>
      <c r="M653" s="53"/>
      <c r="N653" s="54"/>
      <c r="O653" s="55"/>
      <c r="Q653" s="55"/>
    </row>
    <row r="654" spans="12:17" x14ac:dyDescent="0.3">
      <c r="L654" s="53"/>
      <c r="M654" s="53"/>
      <c r="N654" s="54"/>
      <c r="O654" s="55"/>
      <c r="Q654" s="55"/>
    </row>
    <row r="655" spans="12:17" x14ac:dyDescent="0.3">
      <c r="L655" s="53"/>
      <c r="M655" s="53"/>
      <c r="N655" s="54"/>
      <c r="O655" s="55"/>
      <c r="Q655" s="55"/>
    </row>
    <row r="656" spans="12:17" x14ac:dyDescent="0.3">
      <c r="L656" s="53"/>
      <c r="M656" s="53"/>
      <c r="N656" s="54"/>
      <c r="O656" s="55"/>
      <c r="Q656" s="55"/>
    </row>
    <row r="657" spans="12:17" x14ac:dyDescent="0.3">
      <c r="L657" s="53"/>
      <c r="M657" s="53"/>
      <c r="N657" s="54"/>
      <c r="O657" s="55"/>
      <c r="Q657" s="55"/>
    </row>
    <row r="658" spans="12:17" x14ac:dyDescent="0.3">
      <c r="L658" s="53"/>
      <c r="M658" s="53"/>
      <c r="N658" s="54"/>
      <c r="O658" s="55"/>
      <c r="Q658" s="55"/>
    </row>
    <row r="659" spans="12:17" x14ac:dyDescent="0.3">
      <c r="L659" s="53"/>
      <c r="M659" s="53"/>
      <c r="N659" s="54"/>
      <c r="O659" s="55"/>
      <c r="Q659" s="55"/>
    </row>
    <row r="660" spans="12:17" x14ac:dyDescent="0.3">
      <c r="L660" s="53"/>
      <c r="M660" s="53"/>
      <c r="N660" s="54"/>
      <c r="O660" s="55"/>
      <c r="Q660" s="55"/>
    </row>
    <row r="661" spans="12:17" x14ac:dyDescent="0.3">
      <c r="L661" s="53"/>
      <c r="M661" s="53"/>
      <c r="N661" s="54"/>
      <c r="O661" s="55"/>
      <c r="Q661" s="55"/>
    </row>
    <row r="662" spans="12:17" x14ac:dyDescent="0.3">
      <c r="L662" s="53"/>
      <c r="M662" s="53"/>
      <c r="N662" s="54"/>
      <c r="O662" s="55"/>
      <c r="Q662" s="55"/>
    </row>
    <row r="663" spans="12:17" x14ac:dyDescent="0.3">
      <c r="L663" s="53"/>
      <c r="M663" s="53"/>
      <c r="N663" s="54"/>
      <c r="O663" s="55"/>
      <c r="Q663" s="55"/>
    </row>
    <row r="664" spans="12:17" x14ac:dyDescent="0.3">
      <c r="L664" s="53"/>
      <c r="M664" s="53"/>
      <c r="N664" s="54"/>
      <c r="O664" s="55"/>
      <c r="Q664" s="55"/>
    </row>
    <row r="665" spans="12:17" x14ac:dyDescent="0.3">
      <c r="L665" s="53"/>
      <c r="M665" s="53"/>
      <c r="N665" s="54"/>
      <c r="O665" s="55"/>
      <c r="Q665" s="55"/>
    </row>
    <row r="666" spans="12:17" x14ac:dyDescent="0.3">
      <c r="L666" s="53"/>
      <c r="M666" s="53"/>
      <c r="N666" s="54"/>
      <c r="O666" s="55"/>
      <c r="Q666" s="55"/>
    </row>
    <row r="667" spans="12:17" x14ac:dyDescent="0.3">
      <c r="L667" s="53"/>
      <c r="M667" s="53"/>
      <c r="N667" s="54"/>
      <c r="O667" s="55"/>
      <c r="Q667" s="55"/>
    </row>
    <row r="668" spans="12:17" x14ac:dyDescent="0.3">
      <c r="L668" s="53"/>
      <c r="M668" s="53"/>
      <c r="N668" s="54"/>
      <c r="O668" s="55"/>
      <c r="Q668" s="55"/>
    </row>
    <row r="669" spans="12:17" x14ac:dyDescent="0.3">
      <c r="L669" s="53"/>
      <c r="M669" s="53"/>
      <c r="N669" s="54"/>
      <c r="O669" s="55"/>
      <c r="Q669" s="55"/>
    </row>
    <row r="670" spans="12:17" x14ac:dyDescent="0.3">
      <c r="L670" s="53"/>
      <c r="M670" s="53"/>
      <c r="N670" s="54"/>
      <c r="O670" s="55"/>
      <c r="Q670" s="55"/>
    </row>
    <row r="671" spans="12:17" x14ac:dyDescent="0.3">
      <c r="L671" s="53"/>
      <c r="M671" s="53"/>
      <c r="N671" s="54"/>
      <c r="O671" s="55"/>
      <c r="Q671" s="55"/>
    </row>
    <row r="672" spans="12:17" x14ac:dyDescent="0.3">
      <c r="L672" s="53"/>
      <c r="M672" s="53"/>
      <c r="N672" s="54"/>
      <c r="O672" s="55"/>
      <c r="Q672" s="55"/>
    </row>
    <row r="673" spans="12:17" x14ac:dyDescent="0.3">
      <c r="L673" s="53"/>
      <c r="M673" s="53"/>
      <c r="N673" s="54"/>
      <c r="O673" s="55"/>
      <c r="Q673" s="55"/>
    </row>
    <row r="674" spans="12:17" x14ac:dyDescent="0.3">
      <c r="L674" s="53"/>
      <c r="M674" s="53"/>
      <c r="N674" s="54"/>
      <c r="O674" s="55"/>
      <c r="Q674" s="55"/>
    </row>
    <row r="675" spans="12:17" x14ac:dyDescent="0.3">
      <c r="L675" s="53"/>
      <c r="M675" s="53"/>
      <c r="N675" s="54"/>
      <c r="O675" s="55"/>
      <c r="Q675" s="55"/>
    </row>
    <row r="676" spans="12:17" x14ac:dyDescent="0.3">
      <c r="L676" s="53"/>
      <c r="M676" s="53"/>
      <c r="N676" s="54"/>
      <c r="O676" s="55"/>
      <c r="Q676" s="55"/>
    </row>
    <row r="677" spans="12:17" x14ac:dyDescent="0.3">
      <c r="L677" s="53"/>
      <c r="M677" s="53"/>
      <c r="N677" s="54"/>
      <c r="O677" s="55"/>
      <c r="Q677" s="55"/>
    </row>
    <row r="678" spans="12:17" x14ac:dyDescent="0.3">
      <c r="L678" s="53"/>
      <c r="M678" s="53"/>
      <c r="N678" s="54"/>
      <c r="O678" s="55"/>
      <c r="Q678" s="55"/>
    </row>
    <row r="679" spans="12:17" x14ac:dyDescent="0.3">
      <c r="L679" s="53"/>
      <c r="M679" s="53"/>
      <c r="N679" s="54"/>
      <c r="O679" s="55"/>
      <c r="Q679" s="55"/>
    </row>
    <row r="680" spans="12:17" x14ac:dyDescent="0.3">
      <c r="L680" s="53"/>
      <c r="M680" s="53"/>
      <c r="N680" s="54"/>
      <c r="O680" s="55"/>
      <c r="Q680" s="55"/>
    </row>
    <row r="681" spans="12:17" x14ac:dyDescent="0.3">
      <c r="L681" s="53"/>
      <c r="M681" s="53"/>
      <c r="N681" s="54"/>
      <c r="O681" s="55"/>
      <c r="Q681" s="55"/>
    </row>
    <row r="682" spans="12:17" x14ac:dyDescent="0.3">
      <c r="L682" s="53"/>
      <c r="M682" s="53"/>
      <c r="N682" s="54"/>
      <c r="O682" s="55"/>
      <c r="Q682" s="55"/>
    </row>
    <row r="683" spans="12:17" x14ac:dyDescent="0.3">
      <c r="L683" s="53"/>
      <c r="M683" s="53"/>
      <c r="N683" s="54"/>
      <c r="O683" s="55"/>
      <c r="Q683" s="55"/>
    </row>
    <row r="684" spans="12:17" x14ac:dyDescent="0.3">
      <c r="L684" s="53"/>
      <c r="M684" s="53"/>
      <c r="N684" s="54"/>
      <c r="O684" s="55"/>
      <c r="Q684" s="55"/>
    </row>
    <row r="685" spans="12:17" x14ac:dyDescent="0.3">
      <c r="L685" s="53"/>
      <c r="M685" s="53"/>
      <c r="N685" s="54"/>
      <c r="O685" s="55"/>
      <c r="Q685" s="55"/>
    </row>
    <row r="686" spans="12:17" x14ac:dyDescent="0.3">
      <c r="L686" s="53"/>
      <c r="M686" s="53"/>
      <c r="N686" s="54"/>
      <c r="O686" s="55"/>
      <c r="Q686" s="55"/>
    </row>
    <row r="687" spans="12:17" x14ac:dyDescent="0.3">
      <c r="L687" s="53"/>
      <c r="M687" s="53"/>
      <c r="N687" s="54"/>
      <c r="O687" s="55"/>
      <c r="Q687" s="55"/>
    </row>
    <row r="688" spans="12:17" x14ac:dyDescent="0.3">
      <c r="L688" s="53"/>
      <c r="M688" s="53"/>
      <c r="N688" s="54"/>
      <c r="O688" s="55"/>
      <c r="Q688" s="55"/>
    </row>
    <row r="689" spans="12:17" x14ac:dyDescent="0.3">
      <c r="L689" s="53"/>
      <c r="M689" s="53"/>
      <c r="N689" s="54"/>
      <c r="O689" s="55"/>
      <c r="Q689" s="55"/>
    </row>
    <row r="690" spans="12:17" x14ac:dyDescent="0.3">
      <c r="L690" s="53"/>
      <c r="M690" s="53"/>
      <c r="N690" s="54"/>
      <c r="O690" s="55"/>
      <c r="Q690" s="55"/>
    </row>
    <row r="691" spans="12:17" x14ac:dyDescent="0.3">
      <c r="L691" s="53"/>
      <c r="M691" s="53"/>
      <c r="N691" s="54"/>
      <c r="O691" s="55"/>
      <c r="Q691" s="55"/>
    </row>
    <row r="692" spans="12:17" x14ac:dyDescent="0.3">
      <c r="L692" s="53"/>
      <c r="M692" s="53"/>
      <c r="N692" s="54"/>
      <c r="O692" s="55"/>
      <c r="Q692" s="55"/>
    </row>
    <row r="693" spans="12:17" x14ac:dyDescent="0.3">
      <c r="L693" s="53"/>
      <c r="M693" s="53"/>
      <c r="N693" s="54"/>
      <c r="O693" s="55"/>
      <c r="Q693" s="55"/>
    </row>
    <row r="694" spans="12:17" x14ac:dyDescent="0.3">
      <c r="L694" s="53"/>
      <c r="M694" s="53"/>
      <c r="N694" s="54"/>
      <c r="O694" s="55"/>
      <c r="Q694" s="55"/>
    </row>
    <row r="695" spans="12:17" x14ac:dyDescent="0.3">
      <c r="L695" s="53"/>
      <c r="M695" s="53"/>
      <c r="N695" s="54"/>
      <c r="O695" s="55"/>
      <c r="Q695" s="55"/>
    </row>
    <row r="696" spans="12:17" x14ac:dyDescent="0.3">
      <c r="L696" s="53"/>
      <c r="M696" s="53"/>
      <c r="N696" s="54"/>
      <c r="O696" s="55"/>
      <c r="Q696" s="55"/>
    </row>
    <row r="697" spans="12:17" x14ac:dyDescent="0.3">
      <c r="L697" s="53"/>
      <c r="M697" s="53"/>
      <c r="N697" s="54"/>
      <c r="O697" s="55"/>
      <c r="Q697" s="55"/>
    </row>
    <row r="698" spans="12:17" x14ac:dyDescent="0.3">
      <c r="L698" s="53"/>
      <c r="M698" s="53"/>
      <c r="N698" s="54"/>
      <c r="O698" s="55"/>
      <c r="Q698" s="55"/>
    </row>
    <row r="699" spans="12:17" x14ac:dyDescent="0.3">
      <c r="L699" s="53"/>
      <c r="M699" s="53"/>
      <c r="N699" s="54"/>
      <c r="O699" s="55"/>
      <c r="Q699" s="55"/>
    </row>
    <row r="700" spans="12:17" x14ac:dyDescent="0.3">
      <c r="L700" s="53"/>
      <c r="M700" s="53"/>
      <c r="N700" s="54"/>
      <c r="O700" s="55"/>
      <c r="Q700" s="55"/>
    </row>
    <row r="701" spans="12:17" x14ac:dyDescent="0.3">
      <c r="L701" s="53"/>
      <c r="M701" s="53"/>
      <c r="N701" s="54"/>
      <c r="O701" s="55"/>
      <c r="Q701" s="55"/>
    </row>
    <row r="702" spans="12:17" x14ac:dyDescent="0.3">
      <c r="L702" s="53"/>
      <c r="M702" s="53"/>
      <c r="N702" s="54"/>
      <c r="O702" s="55"/>
      <c r="Q702" s="55"/>
    </row>
    <row r="703" spans="12:17" x14ac:dyDescent="0.3">
      <c r="L703" s="53"/>
      <c r="M703" s="53"/>
      <c r="N703" s="54"/>
      <c r="O703" s="55"/>
      <c r="Q703" s="55"/>
    </row>
    <row r="704" spans="12:17" x14ac:dyDescent="0.3">
      <c r="L704" s="53"/>
      <c r="M704" s="53"/>
      <c r="N704" s="54"/>
      <c r="O704" s="55"/>
      <c r="Q704" s="55"/>
    </row>
    <row r="705" spans="12:17" x14ac:dyDescent="0.3">
      <c r="L705" s="53"/>
      <c r="M705" s="53"/>
      <c r="N705" s="54"/>
      <c r="O705" s="55"/>
      <c r="Q705" s="55"/>
    </row>
    <row r="706" spans="12:17" x14ac:dyDescent="0.3">
      <c r="L706" s="53"/>
      <c r="M706" s="53"/>
      <c r="N706" s="54"/>
      <c r="O706" s="55"/>
      <c r="Q706" s="55"/>
    </row>
    <row r="707" spans="12:17" x14ac:dyDescent="0.3">
      <c r="L707" s="53"/>
      <c r="M707" s="53"/>
      <c r="N707" s="54"/>
      <c r="O707" s="55"/>
      <c r="Q707" s="55"/>
    </row>
    <row r="708" spans="12:17" x14ac:dyDescent="0.3">
      <c r="L708" s="53"/>
      <c r="M708" s="53"/>
      <c r="N708" s="54"/>
      <c r="O708" s="55"/>
      <c r="Q708" s="55"/>
    </row>
    <row r="709" spans="12:17" x14ac:dyDescent="0.3">
      <c r="L709" s="53"/>
      <c r="M709" s="53"/>
      <c r="N709" s="54"/>
      <c r="O709" s="55"/>
      <c r="Q709" s="55"/>
    </row>
    <row r="710" spans="12:17" x14ac:dyDescent="0.3">
      <c r="L710" s="53"/>
      <c r="M710" s="53"/>
      <c r="N710" s="54"/>
      <c r="O710" s="55"/>
      <c r="Q710" s="55"/>
    </row>
    <row r="711" spans="12:17" x14ac:dyDescent="0.3">
      <c r="L711" s="53"/>
      <c r="M711" s="53"/>
      <c r="N711" s="54"/>
      <c r="O711" s="55"/>
      <c r="Q711" s="55"/>
    </row>
    <row r="712" spans="12:17" x14ac:dyDescent="0.3">
      <c r="L712" s="53"/>
      <c r="M712" s="53"/>
      <c r="N712" s="54"/>
      <c r="O712" s="55"/>
      <c r="Q712" s="55"/>
    </row>
    <row r="713" spans="12:17" x14ac:dyDescent="0.3">
      <c r="L713" s="53"/>
      <c r="M713" s="53"/>
      <c r="N713" s="54"/>
      <c r="O713" s="55"/>
      <c r="Q713" s="55"/>
    </row>
    <row r="714" spans="12:17" x14ac:dyDescent="0.3">
      <c r="L714" s="53"/>
      <c r="M714" s="53"/>
      <c r="N714" s="54"/>
      <c r="O714" s="55"/>
      <c r="Q714" s="55"/>
    </row>
    <row r="715" spans="12:17" x14ac:dyDescent="0.3">
      <c r="L715" s="53"/>
      <c r="M715" s="53"/>
      <c r="N715" s="54"/>
      <c r="O715" s="55"/>
      <c r="Q715" s="55"/>
    </row>
    <row r="716" spans="12:17" x14ac:dyDescent="0.3">
      <c r="L716" s="53"/>
      <c r="M716" s="53"/>
      <c r="N716" s="54"/>
      <c r="O716" s="55"/>
      <c r="Q716" s="55"/>
    </row>
    <row r="717" spans="12:17" x14ac:dyDescent="0.3">
      <c r="L717" s="53"/>
      <c r="M717" s="53"/>
      <c r="N717" s="54"/>
      <c r="O717" s="55"/>
      <c r="Q717" s="55"/>
    </row>
    <row r="718" spans="12:17" x14ac:dyDescent="0.3">
      <c r="L718" s="53"/>
      <c r="M718" s="53"/>
      <c r="N718" s="54"/>
      <c r="O718" s="55"/>
      <c r="Q718" s="55"/>
    </row>
    <row r="719" spans="12:17" x14ac:dyDescent="0.3">
      <c r="L719" s="53"/>
      <c r="M719" s="53"/>
      <c r="N719" s="54"/>
      <c r="O719" s="55"/>
      <c r="Q719" s="55"/>
    </row>
    <row r="720" spans="12:17" x14ac:dyDescent="0.3">
      <c r="L720" s="53"/>
      <c r="M720" s="53"/>
      <c r="N720" s="54"/>
      <c r="O720" s="55"/>
      <c r="Q720" s="55"/>
    </row>
    <row r="721" spans="12:17" x14ac:dyDescent="0.3">
      <c r="L721" s="53"/>
      <c r="M721" s="53"/>
      <c r="N721" s="54"/>
      <c r="O721" s="55"/>
      <c r="Q721" s="55"/>
    </row>
    <row r="722" spans="12:17" x14ac:dyDescent="0.3">
      <c r="L722" s="53"/>
      <c r="M722" s="53"/>
      <c r="N722" s="54"/>
      <c r="O722" s="55"/>
      <c r="Q722" s="55"/>
    </row>
    <row r="723" spans="12:17" x14ac:dyDescent="0.3">
      <c r="L723" s="53"/>
      <c r="M723" s="53"/>
      <c r="N723" s="54"/>
      <c r="O723" s="55"/>
      <c r="Q723" s="55"/>
    </row>
    <row r="724" spans="12:17" x14ac:dyDescent="0.3">
      <c r="L724" s="53"/>
      <c r="M724" s="53"/>
      <c r="N724" s="54"/>
      <c r="O724" s="55"/>
      <c r="Q724" s="55"/>
    </row>
    <row r="725" spans="12:17" x14ac:dyDescent="0.3">
      <c r="L725" s="53"/>
      <c r="M725" s="53"/>
      <c r="N725" s="54"/>
      <c r="O725" s="55"/>
      <c r="Q725" s="55"/>
    </row>
    <row r="726" spans="12:17" x14ac:dyDescent="0.3">
      <c r="L726" s="53"/>
      <c r="M726" s="53"/>
      <c r="N726" s="54"/>
      <c r="O726" s="55"/>
      <c r="Q726" s="55"/>
    </row>
    <row r="727" spans="12:17" x14ac:dyDescent="0.3">
      <c r="L727" s="53"/>
      <c r="M727" s="53"/>
      <c r="N727" s="54"/>
      <c r="O727" s="55"/>
      <c r="Q727" s="55"/>
    </row>
    <row r="728" spans="12:17" x14ac:dyDescent="0.3">
      <c r="L728" s="53"/>
      <c r="M728" s="53"/>
      <c r="N728" s="54"/>
      <c r="O728" s="55"/>
      <c r="Q728" s="55"/>
    </row>
    <row r="729" spans="12:17" x14ac:dyDescent="0.3">
      <c r="L729" s="53"/>
      <c r="M729" s="53"/>
      <c r="N729" s="54"/>
      <c r="O729" s="55"/>
      <c r="Q729" s="55"/>
    </row>
    <row r="730" spans="12:17" x14ac:dyDescent="0.3">
      <c r="L730" s="53"/>
      <c r="M730" s="53"/>
      <c r="N730" s="54"/>
      <c r="O730" s="55"/>
      <c r="Q730" s="55"/>
    </row>
    <row r="731" spans="12:17" x14ac:dyDescent="0.3">
      <c r="L731" s="53"/>
      <c r="M731" s="53"/>
      <c r="N731" s="54"/>
      <c r="O731" s="55"/>
      <c r="Q731" s="55"/>
    </row>
    <row r="732" spans="12:17" x14ac:dyDescent="0.3">
      <c r="L732" s="53"/>
      <c r="M732" s="53"/>
      <c r="N732" s="54"/>
      <c r="O732" s="55"/>
      <c r="Q732" s="55"/>
    </row>
    <row r="733" spans="12:17" x14ac:dyDescent="0.3">
      <c r="L733" s="53"/>
      <c r="M733" s="53"/>
      <c r="N733" s="54"/>
      <c r="O733" s="55"/>
      <c r="Q733" s="55"/>
    </row>
    <row r="734" spans="12:17" x14ac:dyDescent="0.3">
      <c r="L734" s="53"/>
      <c r="M734" s="53"/>
      <c r="N734" s="54"/>
      <c r="O734" s="55"/>
      <c r="Q734" s="55"/>
    </row>
    <row r="735" spans="12:17" x14ac:dyDescent="0.3">
      <c r="L735" s="53"/>
      <c r="M735" s="53"/>
      <c r="N735" s="54"/>
      <c r="O735" s="55"/>
      <c r="Q735" s="55"/>
    </row>
    <row r="736" spans="12:17" x14ac:dyDescent="0.3">
      <c r="L736" s="53"/>
      <c r="M736" s="53"/>
      <c r="N736" s="54"/>
      <c r="O736" s="55"/>
      <c r="Q736" s="55"/>
    </row>
    <row r="737" spans="12:17" x14ac:dyDescent="0.3">
      <c r="L737" s="53"/>
      <c r="M737" s="53"/>
      <c r="N737" s="54"/>
      <c r="O737" s="55"/>
      <c r="Q737" s="55"/>
    </row>
    <row r="738" spans="12:17" x14ac:dyDescent="0.3">
      <c r="L738" s="53"/>
      <c r="M738" s="53"/>
      <c r="N738" s="54"/>
      <c r="O738" s="55"/>
      <c r="Q738" s="55"/>
    </row>
    <row r="739" spans="12:17" x14ac:dyDescent="0.3">
      <c r="L739" s="53"/>
      <c r="M739" s="53"/>
      <c r="N739" s="54"/>
      <c r="O739" s="55"/>
      <c r="Q739" s="55"/>
    </row>
  </sheetData>
  <sheetProtection algorithmName="SHA-512" hashValue="7xD8WHDM5iZI2Cmvgzxg1poTI1olttv9Y4vMtFIKZ5D5OiMKB+r2esxSYu7lCsyPqUBxqD06vjPBrN6tsuHaTg==" saltValue="y+a61EN9JOxZ6noLOAuZYw==" spinCount="100000" sheet="1" formatCells="0" formatColumns="0" formatRows="0" insertColumns="0" insertRows="0" insertHyperlinks="0" deleteColumns="0" deleteRows="0" sort="0" autoFilter="0" pivotTables="0"/>
  <autoFilter ref="A2:I201" xr:uid="{9A5529FB-C2DE-4468-8F05-DBB5721FF694}">
    <sortState xmlns:xlrd2="http://schemas.microsoft.com/office/spreadsheetml/2017/richdata2" ref="A3:I201">
      <sortCondition ref="F2:F201"/>
    </sortState>
  </autoFilter>
  <mergeCells count="2">
    <mergeCell ref="A1:I1"/>
    <mergeCell ref="M1:M2"/>
  </mergeCells>
  <conditionalFormatting sqref="Q1">
    <cfRule type="expression" dxfId="3" priority="5">
      <formula>"&gt;0"</formula>
    </cfRule>
  </conditionalFormatting>
  <conditionalFormatting sqref="F3:F191">
    <cfRule type="containsText" dxfId="2" priority="1" operator="containsText" text="В">
      <formula>NOT(ISERROR(SEARCH("В",F3)))</formula>
    </cfRule>
    <cfRule type="containsText" dxfId="1" priority="2" operator="containsText" text="А">
      <formula>NOT(ISERROR(SEARCH("А",F3)))</formula>
    </cfRule>
    <cfRule type="containsText" dxfId="0" priority="3" operator="containsText" text="С">
      <formula>NOT(ISERROR(SEARCH("С",F3)))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scale="95" fitToHeight="0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DSN GROUP (Doctor's Best)</vt:lpstr>
      <vt:lpstr>'DSN GROUP (Doctor''s Best)'!Заголовки_для_друку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Хомик</dc:creator>
  <cp:lastModifiedBy>Денис Хомик</cp:lastModifiedBy>
  <cp:lastPrinted>2022-01-24T20:26:39Z</cp:lastPrinted>
  <dcterms:created xsi:type="dcterms:W3CDTF">2022-01-24T18:08:38Z</dcterms:created>
  <dcterms:modified xsi:type="dcterms:W3CDTF">2026-02-03T09:56:27Z</dcterms:modified>
</cp:coreProperties>
</file>