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rices\Universal Nutrition\Продаж\"/>
    </mc:Choice>
  </mc:AlternateContent>
  <xr:revisionPtr revIDLastSave="0" documentId="13_ncr:1_{2E7406FE-AF83-40B1-861A-B38CC17BBC58}" xr6:coauthVersionLast="47" xr6:coauthVersionMax="47" xr10:uidLastSave="{00000000-0000-0000-0000-000000000000}"/>
  <bookViews>
    <workbookView xWindow="1920" yWindow="888" windowWidth="17208" windowHeight="12072" xr2:uid="{00000000-000D-0000-FFFF-FFFF00000000}"/>
  </bookViews>
  <sheets>
    <sheet name="DSN GROUP (Universal)" sheetId="2" r:id="rId1"/>
  </sheets>
  <definedNames>
    <definedName name="_xlnm._FilterDatabase" localSheetId="0" hidden="1">'DSN GROUP (Universal)'!$A$2:$J$106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6" i="2" l="1"/>
  <c r="O106" i="2"/>
  <c r="N106" i="2"/>
  <c r="M106" i="2"/>
  <c r="P105" i="2"/>
  <c r="O105" i="2"/>
  <c r="N105" i="2"/>
  <c r="M105" i="2"/>
  <c r="P104" i="2"/>
  <c r="O104" i="2"/>
  <c r="N104" i="2"/>
  <c r="M104" i="2"/>
  <c r="P103" i="2"/>
  <c r="O103" i="2"/>
  <c r="N103" i="2"/>
  <c r="M103" i="2"/>
  <c r="P102" i="2"/>
  <c r="O102" i="2"/>
  <c r="N102" i="2"/>
  <c r="M102" i="2"/>
  <c r="P101" i="2"/>
  <c r="O101" i="2"/>
  <c r="N101" i="2"/>
  <c r="M101" i="2"/>
  <c r="P100" i="2"/>
  <c r="O100" i="2"/>
  <c r="N100" i="2"/>
  <c r="M100" i="2"/>
  <c r="P99" i="2"/>
  <c r="O99" i="2"/>
  <c r="N99" i="2"/>
  <c r="M99" i="2"/>
  <c r="P98" i="2"/>
  <c r="O98" i="2"/>
  <c r="N98" i="2"/>
  <c r="M98" i="2"/>
  <c r="P97" i="2"/>
  <c r="O97" i="2"/>
  <c r="N97" i="2"/>
  <c r="M97" i="2"/>
  <c r="P96" i="2"/>
  <c r="O96" i="2"/>
  <c r="N96" i="2"/>
  <c r="M96" i="2"/>
  <c r="P95" i="2"/>
  <c r="O95" i="2"/>
  <c r="N95" i="2"/>
  <c r="M95" i="2"/>
  <c r="P94" i="2"/>
  <c r="O94" i="2"/>
  <c r="N94" i="2"/>
  <c r="M94" i="2"/>
  <c r="P93" i="2"/>
  <c r="O93" i="2"/>
  <c r="N93" i="2"/>
  <c r="M93" i="2"/>
  <c r="P92" i="2"/>
  <c r="O92" i="2"/>
  <c r="N92" i="2"/>
  <c r="M92" i="2"/>
  <c r="P91" i="2"/>
  <c r="O91" i="2"/>
  <c r="N91" i="2"/>
  <c r="M91" i="2"/>
  <c r="P90" i="2"/>
  <c r="O90" i="2"/>
  <c r="N90" i="2"/>
  <c r="M90" i="2"/>
  <c r="P89" i="2"/>
  <c r="O89" i="2"/>
  <c r="N89" i="2"/>
  <c r="M89" i="2"/>
  <c r="P88" i="2"/>
  <c r="O88" i="2"/>
  <c r="N88" i="2"/>
  <c r="M88" i="2"/>
  <c r="P87" i="2"/>
  <c r="O87" i="2"/>
  <c r="N87" i="2"/>
  <c r="M87" i="2"/>
  <c r="P86" i="2"/>
  <c r="O86" i="2"/>
  <c r="N86" i="2"/>
  <c r="M86" i="2"/>
  <c r="P85" i="2"/>
  <c r="O85" i="2"/>
  <c r="N85" i="2"/>
  <c r="M85" i="2"/>
  <c r="P84" i="2"/>
  <c r="O84" i="2"/>
  <c r="N84" i="2"/>
  <c r="M84" i="2"/>
  <c r="P83" i="2"/>
  <c r="O83" i="2"/>
  <c r="N83" i="2"/>
  <c r="M83" i="2"/>
  <c r="P82" i="2"/>
  <c r="O82" i="2"/>
  <c r="N82" i="2"/>
  <c r="M82" i="2"/>
  <c r="P81" i="2"/>
  <c r="O81" i="2"/>
  <c r="N81" i="2"/>
  <c r="M81" i="2"/>
  <c r="P80" i="2"/>
  <c r="O80" i="2"/>
  <c r="N80" i="2"/>
  <c r="M80" i="2"/>
  <c r="P79" i="2"/>
  <c r="O79" i="2"/>
  <c r="N79" i="2"/>
  <c r="M79" i="2"/>
  <c r="P78" i="2"/>
  <c r="O78" i="2"/>
  <c r="N78" i="2"/>
  <c r="M78" i="2"/>
  <c r="P77" i="2"/>
  <c r="O77" i="2"/>
  <c r="N77" i="2"/>
  <c r="M77" i="2"/>
  <c r="P76" i="2"/>
  <c r="O76" i="2"/>
  <c r="N76" i="2"/>
  <c r="M76" i="2"/>
  <c r="P75" i="2"/>
  <c r="O75" i="2"/>
  <c r="N75" i="2"/>
  <c r="M75" i="2"/>
  <c r="P73" i="2"/>
  <c r="O73" i="2"/>
  <c r="N73" i="2"/>
  <c r="M73" i="2"/>
  <c r="P71" i="2"/>
  <c r="O71" i="2"/>
  <c r="N71" i="2"/>
  <c r="M71" i="2"/>
  <c r="P70" i="2"/>
  <c r="O70" i="2"/>
  <c r="N70" i="2"/>
  <c r="M70" i="2"/>
  <c r="P69" i="2"/>
  <c r="O69" i="2"/>
  <c r="N69" i="2"/>
  <c r="M69" i="2"/>
  <c r="P68" i="2"/>
  <c r="O68" i="2"/>
  <c r="N68" i="2"/>
  <c r="M68" i="2"/>
  <c r="P67" i="2"/>
  <c r="O67" i="2"/>
  <c r="N67" i="2"/>
  <c r="M67" i="2"/>
  <c r="P66" i="2"/>
  <c r="O66" i="2"/>
  <c r="N66" i="2"/>
  <c r="M66" i="2"/>
  <c r="P65" i="2"/>
  <c r="O65" i="2"/>
  <c r="N65" i="2"/>
  <c r="M65" i="2"/>
  <c r="P64" i="2"/>
  <c r="O64" i="2"/>
  <c r="N64" i="2"/>
  <c r="M64" i="2"/>
  <c r="P63" i="2"/>
  <c r="O63" i="2"/>
  <c r="N63" i="2"/>
  <c r="M63" i="2"/>
  <c r="P62" i="2"/>
  <c r="O62" i="2"/>
  <c r="N62" i="2"/>
  <c r="M62" i="2"/>
  <c r="P60" i="2"/>
  <c r="O60" i="2"/>
  <c r="N60" i="2"/>
  <c r="M60" i="2"/>
  <c r="P59" i="2"/>
  <c r="O59" i="2"/>
  <c r="N59" i="2"/>
  <c r="M59" i="2"/>
  <c r="P58" i="2"/>
  <c r="O58" i="2"/>
  <c r="N58" i="2"/>
  <c r="M58" i="2"/>
  <c r="P57" i="2"/>
  <c r="O57" i="2"/>
  <c r="N57" i="2"/>
  <c r="M57" i="2"/>
  <c r="P56" i="2"/>
  <c r="O56" i="2"/>
  <c r="N56" i="2"/>
  <c r="M56" i="2"/>
  <c r="P55" i="2"/>
  <c r="O55" i="2"/>
  <c r="N55" i="2"/>
  <c r="M55" i="2"/>
  <c r="P54" i="2"/>
  <c r="O54" i="2"/>
  <c r="N54" i="2"/>
  <c r="M54" i="2"/>
  <c r="P53" i="2"/>
  <c r="O53" i="2"/>
  <c r="N53" i="2"/>
  <c r="M53" i="2"/>
  <c r="P52" i="2"/>
  <c r="O52" i="2"/>
  <c r="N52" i="2"/>
  <c r="M52" i="2"/>
  <c r="P51" i="2"/>
  <c r="O51" i="2"/>
  <c r="N51" i="2"/>
  <c r="M51" i="2"/>
  <c r="P50" i="2"/>
  <c r="O50" i="2"/>
  <c r="N50" i="2"/>
  <c r="M50" i="2"/>
  <c r="P49" i="2"/>
  <c r="O49" i="2"/>
  <c r="N49" i="2"/>
  <c r="M49" i="2"/>
  <c r="P48" i="2"/>
  <c r="O48" i="2"/>
  <c r="N48" i="2"/>
  <c r="M48" i="2"/>
  <c r="P47" i="2"/>
  <c r="O47" i="2"/>
  <c r="N47" i="2"/>
  <c r="M47" i="2"/>
  <c r="P46" i="2"/>
  <c r="O46" i="2"/>
  <c r="N46" i="2"/>
  <c r="M46" i="2"/>
  <c r="P44" i="2"/>
  <c r="O44" i="2"/>
  <c r="N44" i="2"/>
  <c r="M44" i="2"/>
  <c r="P43" i="2"/>
  <c r="O43" i="2"/>
  <c r="N43" i="2"/>
  <c r="M43" i="2"/>
  <c r="P42" i="2"/>
  <c r="O42" i="2"/>
  <c r="N42" i="2"/>
  <c r="M42" i="2"/>
  <c r="P41" i="2"/>
  <c r="O41" i="2"/>
  <c r="N41" i="2"/>
  <c r="M41" i="2"/>
  <c r="P40" i="2"/>
  <c r="O40" i="2"/>
  <c r="N40" i="2"/>
  <c r="M40" i="2"/>
  <c r="P39" i="2"/>
  <c r="O39" i="2"/>
  <c r="N39" i="2"/>
  <c r="M39" i="2"/>
  <c r="P38" i="2"/>
  <c r="O38" i="2"/>
  <c r="N38" i="2"/>
  <c r="M38" i="2"/>
  <c r="P37" i="2"/>
  <c r="O37" i="2"/>
  <c r="N37" i="2"/>
  <c r="M37" i="2"/>
  <c r="P36" i="2"/>
  <c r="O36" i="2"/>
  <c r="N36" i="2"/>
  <c r="M36" i="2"/>
  <c r="P35" i="2"/>
  <c r="O35" i="2"/>
  <c r="N35" i="2"/>
  <c r="M35" i="2"/>
  <c r="P34" i="2"/>
  <c r="O34" i="2"/>
  <c r="N34" i="2"/>
  <c r="M34" i="2"/>
  <c r="P33" i="2"/>
  <c r="O33" i="2"/>
  <c r="N33" i="2"/>
  <c r="M33" i="2"/>
  <c r="P32" i="2"/>
  <c r="O32" i="2"/>
  <c r="N32" i="2"/>
  <c r="M32" i="2"/>
  <c r="P31" i="2"/>
  <c r="O31" i="2"/>
  <c r="N31" i="2"/>
  <c r="M31" i="2"/>
  <c r="P30" i="2"/>
  <c r="O30" i="2"/>
  <c r="N30" i="2"/>
  <c r="M30" i="2"/>
  <c r="P29" i="2"/>
  <c r="O29" i="2"/>
  <c r="N29" i="2"/>
  <c r="M29" i="2"/>
  <c r="P28" i="2"/>
  <c r="O28" i="2"/>
  <c r="N28" i="2"/>
  <c r="M28" i="2"/>
  <c r="P27" i="2"/>
  <c r="O27" i="2"/>
  <c r="N27" i="2"/>
  <c r="M27" i="2"/>
  <c r="P26" i="2"/>
  <c r="O26" i="2"/>
  <c r="N26" i="2"/>
  <c r="M26" i="2"/>
  <c r="P25" i="2"/>
  <c r="O25" i="2"/>
  <c r="N25" i="2"/>
  <c r="M25" i="2"/>
  <c r="P24" i="2"/>
  <c r="O24" i="2"/>
  <c r="N24" i="2"/>
  <c r="M24" i="2"/>
  <c r="P23" i="2"/>
  <c r="O23" i="2"/>
  <c r="N23" i="2"/>
  <c r="M23" i="2"/>
  <c r="P22" i="2"/>
  <c r="O22" i="2"/>
  <c r="N22" i="2"/>
  <c r="M22" i="2"/>
  <c r="P21" i="2"/>
  <c r="O21" i="2"/>
  <c r="N21" i="2"/>
  <c r="M21" i="2"/>
  <c r="P20" i="2"/>
  <c r="O20" i="2"/>
  <c r="N20" i="2"/>
  <c r="M20" i="2"/>
  <c r="P19" i="2"/>
  <c r="O19" i="2"/>
  <c r="N19" i="2"/>
  <c r="M19" i="2"/>
  <c r="P18" i="2"/>
  <c r="O18" i="2"/>
  <c r="N18" i="2"/>
  <c r="M18" i="2"/>
  <c r="P17" i="2"/>
  <c r="O17" i="2"/>
  <c r="N17" i="2"/>
  <c r="M17" i="2"/>
  <c r="P16" i="2"/>
  <c r="O16" i="2"/>
  <c r="N16" i="2"/>
  <c r="M16" i="2"/>
  <c r="P15" i="2"/>
  <c r="O15" i="2"/>
  <c r="N15" i="2"/>
  <c r="M15" i="2"/>
  <c r="P14" i="2"/>
  <c r="O14" i="2"/>
  <c r="N14" i="2"/>
  <c r="M14" i="2"/>
  <c r="P13" i="2"/>
  <c r="O13" i="2"/>
  <c r="N13" i="2"/>
  <c r="M13" i="2"/>
  <c r="P12" i="2"/>
  <c r="O12" i="2"/>
  <c r="N12" i="2"/>
  <c r="M12" i="2"/>
  <c r="P11" i="2"/>
  <c r="O11" i="2"/>
  <c r="N11" i="2"/>
  <c r="M11" i="2"/>
  <c r="P10" i="2"/>
  <c r="O10" i="2"/>
  <c r="N10" i="2"/>
  <c r="M10" i="2"/>
  <c r="P9" i="2"/>
  <c r="O9" i="2"/>
  <c r="N9" i="2"/>
  <c r="M9" i="2"/>
  <c r="P8" i="2"/>
  <c r="O8" i="2"/>
  <c r="N8" i="2"/>
  <c r="M8" i="2"/>
  <c r="P7" i="2"/>
  <c r="O7" i="2"/>
  <c r="N7" i="2"/>
  <c r="M7" i="2"/>
  <c r="P6" i="2"/>
  <c r="O6" i="2"/>
  <c r="N6" i="2"/>
  <c r="M6" i="2"/>
  <c r="P5" i="2"/>
  <c r="O5" i="2"/>
  <c r="N5" i="2"/>
  <c r="M5" i="2"/>
  <c r="P4" i="2"/>
  <c r="O4" i="2"/>
  <c r="N4" i="2"/>
  <c r="M4" i="2"/>
  <c r="P3" i="2"/>
  <c r="O3" i="2"/>
  <c r="M3" i="2"/>
  <c r="J28" i="2"/>
  <c r="J34" i="2"/>
  <c r="J35" i="2"/>
  <c r="J38" i="2"/>
  <c r="J48" i="2"/>
  <c r="J49" i="2"/>
  <c r="J56" i="2"/>
  <c r="J57" i="2"/>
  <c r="J62" i="2"/>
  <c r="J63" i="2"/>
  <c r="J66" i="2"/>
  <c r="J68" i="2"/>
  <c r="J71" i="2"/>
  <c r="J76" i="2"/>
  <c r="J77" i="2"/>
  <c r="J99" i="2"/>
  <c r="J100" i="2"/>
  <c r="J101" i="2"/>
  <c r="J102" i="2"/>
  <c r="J103" i="2"/>
  <c r="J106" i="2"/>
  <c r="J5" i="2"/>
  <c r="J6" i="2"/>
  <c r="J7" i="2"/>
  <c r="J8" i="2"/>
  <c r="J9" i="2"/>
  <c r="J14" i="2"/>
  <c r="J15" i="2"/>
  <c r="J16" i="2"/>
  <c r="J17" i="2"/>
  <c r="J78" i="2"/>
  <c r="J79" i="2"/>
  <c r="J80" i="2"/>
  <c r="J81" i="2"/>
  <c r="R81" i="2" s="1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104" i="2"/>
  <c r="J105" i="2"/>
  <c r="J75" i="2"/>
  <c r="J73" i="2"/>
  <c r="J70" i="2"/>
  <c r="J69" i="2"/>
  <c r="J67" i="2"/>
  <c r="J65" i="2"/>
  <c r="J64" i="2"/>
  <c r="J60" i="2"/>
  <c r="J59" i="2"/>
  <c r="J58" i="2"/>
  <c r="R58" i="2" s="1"/>
  <c r="J55" i="2"/>
  <c r="J54" i="2"/>
  <c r="J53" i="2"/>
  <c r="J52" i="2"/>
  <c r="J51" i="2"/>
  <c r="J50" i="2"/>
  <c r="J47" i="2"/>
  <c r="J46" i="2"/>
  <c r="J44" i="2"/>
  <c r="J43" i="2"/>
  <c r="J42" i="2"/>
  <c r="J41" i="2"/>
  <c r="J40" i="2"/>
  <c r="J39" i="2"/>
  <c r="J37" i="2"/>
  <c r="J36" i="2"/>
  <c r="J33" i="2"/>
  <c r="J32" i="2"/>
  <c r="J31" i="2"/>
  <c r="J30" i="2"/>
  <c r="J29" i="2"/>
  <c r="J27" i="2"/>
  <c r="J26" i="2"/>
  <c r="J25" i="2"/>
  <c r="J24" i="2"/>
  <c r="J23" i="2"/>
  <c r="J22" i="2"/>
  <c r="J21" i="2"/>
  <c r="J20" i="2"/>
  <c r="J19" i="2"/>
  <c r="J18" i="2"/>
  <c r="J13" i="2"/>
  <c r="J12" i="2"/>
  <c r="J11" i="2"/>
  <c r="J10" i="2"/>
  <c r="J4" i="2"/>
  <c r="J3" i="2"/>
  <c r="R3" i="2" l="1"/>
  <c r="R7" i="2"/>
  <c r="R15" i="2"/>
  <c r="R21" i="2"/>
  <c r="R83" i="2"/>
  <c r="R85" i="2"/>
  <c r="R87" i="2"/>
  <c r="R91" i="2"/>
  <c r="R93" i="2"/>
  <c r="R95" i="2"/>
  <c r="R99" i="2"/>
  <c r="R103" i="2"/>
  <c r="R105" i="2"/>
  <c r="R4" i="2"/>
  <c r="R12" i="2"/>
  <c r="R14" i="2"/>
  <c r="R16" i="2"/>
  <c r="R20" i="2"/>
  <c r="R59" i="2"/>
  <c r="R62" i="2"/>
  <c r="R64" i="2"/>
  <c r="R66" i="2"/>
  <c r="R68" i="2"/>
  <c r="R70" i="2"/>
  <c r="R76" i="2"/>
  <c r="R80" i="2"/>
  <c r="R82" i="2"/>
  <c r="R84" i="2"/>
  <c r="R90" i="2"/>
  <c r="R92" i="2"/>
  <c r="R98" i="2"/>
  <c r="R102" i="2"/>
  <c r="R104" i="2"/>
  <c r="R106" i="2"/>
  <c r="O2" i="2"/>
  <c r="R86" i="2"/>
  <c r="R94" i="2"/>
  <c r="R96" i="2"/>
  <c r="R19" i="2"/>
  <c r="R23" i="2"/>
  <c r="R25" i="2"/>
  <c r="R27" i="2"/>
  <c r="R29" i="2"/>
  <c r="R31" i="2"/>
  <c r="R33" i="2"/>
  <c r="R35" i="2"/>
  <c r="R37" i="2"/>
  <c r="R39" i="2"/>
  <c r="R41" i="2"/>
  <c r="R43" i="2"/>
  <c r="R46" i="2"/>
  <c r="R48" i="2"/>
  <c r="R50" i="2"/>
  <c r="R52" i="2"/>
  <c r="R54" i="2"/>
  <c r="R56" i="2"/>
  <c r="R78" i="2"/>
  <c r="R88" i="2"/>
  <c r="R100" i="2"/>
  <c r="R5" i="2"/>
  <c r="R9" i="2"/>
  <c r="R11" i="2"/>
  <c r="R13" i="2"/>
  <c r="R17" i="2"/>
  <c r="R60" i="2"/>
  <c r="R63" i="2"/>
  <c r="R65" i="2"/>
  <c r="R67" i="2"/>
  <c r="R69" i="2"/>
  <c r="R71" i="2"/>
  <c r="R75" i="2"/>
  <c r="R77" i="2"/>
  <c r="R79" i="2"/>
  <c r="R97" i="2"/>
  <c r="R89" i="2"/>
  <c r="R101" i="2"/>
  <c r="R8" i="2"/>
  <c r="R10" i="2"/>
  <c r="R18" i="2"/>
  <c r="R22" i="2"/>
  <c r="R24" i="2"/>
  <c r="R26" i="2"/>
  <c r="R28" i="2"/>
  <c r="R30" i="2"/>
  <c r="R32" i="2"/>
  <c r="R34" i="2"/>
  <c r="R36" i="2"/>
  <c r="R38" i="2"/>
  <c r="R40" i="2"/>
  <c r="R42" i="2"/>
  <c r="R44" i="2"/>
  <c r="R47" i="2"/>
  <c r="R49" i="2"/>
  <c r="R51" i="2"/>
  <c r="R53" i="2"/>
  <c r="R55" i="2"/>
  <c r="R57" i="2"/>
  <c r="R73" i="2"/>
  <c r="P2" i="2"/>
  <c r="N3" i="2" s="1"/>
  <c r="R6" i="2"/>
  <c r="K2" i="2"/>
  <c r="R1" i="2" l="1"/>
</calcChain>
</file>

<file path=xl/sharedStrings.xml><?xml version="1.0" encoding="utf-8"?>
<sst xmlns="http://schemas.openxmlformats.org/spreadsheetml/2006/main" count="267" uniqueCount="237">
  <si>
    <t xml:space="preserve">Item </t>
  </si>
  <si>
    <t>UPC</t>
  </si>
  <si>
    <t>Animal</t>
  </si>
  <si>
    <t>Cs Pak</t>
  </si>
  <si>
    <t>Unit</t>
  </si>
  <si>
    <t>03944203014-6</t>
  </si>
  <si>
    <t>03944203293-5</t>
  </si>
  <si>
    <t>03944203292-8</t>
  </si>
  <si>
    <t>03944203052-8</t>
  </si>
  <si>
    <t>03944203281-2</t>
  </si>
  <si>
    <t>03944203288-1</t>
  </si>
  <si>
    <t>03944203267-6</t>
  </si>
  <si>
    <t>03944203258-4</t>
  </si>
  <si>
    <t>03944203271-3</t>
  </si>
  <si>
    <t>03944203268-3</t>
  </si>
  <si>
    <t>03944203285-0</t>
  </si>
  <si>
    <t>03944203259-1</t>
  </si>
  <si>
    <t>3289</t>
  </si>
  <si>
    <t>03944203289-8</t>
  </si>
  <si>
    <t>3941</t>
  </si>
  <si>
    <t>03944203941-5</t>
  </si>
  <si>
    <t>03944203065-8</t>
  </si>
  <si>
    <t>03944203066-5</t>
  </si>
  <si>
    <t>03944203067-2</t>
  </si>
  <si>
    <t>03944203930-9</t>
  </si>
  <si>
    <t>03944203931-6</t>
  </si>
  <si>
    <t>03944203028-3</t>
  </si>
  <si>
    <t>03944203035-1</t>
  </si>
  <si>
    <t>03944203058-0</t>
  </si>
  <si>
    <t>03944203055-9</t>
  </si>
  <si>
    <t>03944203054-2</t>
  </si>
  <si>
    <t>03944203023-8</t>
  </si>
  <si>
    <t>03944203032-0</t>
  </si>
  <si>
    <t>03944203250-8</t>
  </si>
  <si>
    <t>03944203107-5</t>
  </si>
  <si>
    <t>03944203111 2</t>
  </si>
  <si>
    <t>03944203133-4</t>
  </si>
  <si>
    <t>03944203115-0</t>
  </si>
  <si>
    <t>03944203251-5</t>
  </si>
  <si>
    <t>03944203108-2</t>
  </si>
  <si>
    <t>03944203123-5</t>
  </si>
  <si>
    <t>03944203112-9</t>
  </si>
  <si>
    <t>03944203138-9</t>
  </si>
  <si>
    <t>03944203134-1</t>
  </si>
  <si>
    <t>03944203116-7</t>
  </si>
  <si>
    <t>03944203119-8</t>
  </si>
  <si>
    <t>03944203120-4</t>
  </si>
  <si>
    <t>03944203121-1</t>
  </si>
  <si>
    <t>Universal</t>
  </si>
  <si>
    <t>03944201065-0</t>
  </si>
  <si>
    <t>100% Beef Aminos 200 tablets</t>
  </si>
  <si>
    <t>03944201066-7</t>
  </si>
  <si>
    <t>100% Beef Aminos 400 tablets</t>
  </si>
  <si>
    <t>03944204542-3</t>
  </si>
  <si>
    <t>Amino 1900 110 tablets</t>
  </si>
  <si>
    <t>03944202705-4</t>
  </si>
  <si>
    <t>Amino 2250 100 tablets</t>
  </si>
  <si>
    <t>03944205246-9</t>
  </si>
  <si>
    <t xml:space="preserve">Atomic 7 1 kg black cherry bomb </t>
  </si>
  <si>
    <t>03944205245-2</t>
  </si>
  <si>
    <t>Atomic 7 1 kg groovy grape</t>
  </si>
  <si>
    <t>03944201432-0</t>
  </si>
  <si>
    <t>GH Max  180 tablets</t>
  </si>
  <si>
    <t>03944204677-2</t>
  </si>
  <si>
    <t>Jointment Sport 120 capsules</t>
  </si>
  <si>
    <t>03944204391-7</t>
  </si>
  <si>
    <t>Natural Sterol Complex  90 tablets</t>
  </si>
  <si>
    <t>03944204392-4</t>
  </si>
  <si>
    <t>Natural Sterol Complex  180 tablets</t>
  </si>
  <si>
    <t>03944204091-6</t>
  </si>
  <si>
    <t>Uni-Liver 30 grams 500 tablets</t>
  </si>
  <si>
    <t>Naturals</t>
  </si>
  <si>
    <t>03944204711-3</t>
  </si>
  <si>
    <t>Vitamin B Complex 100 tablets</t>
  </si>
  <si>
    <t>0190</t>
  </si>
  <si>
    <t>03944200190-0</t>
  </si>
  <si>
    <t>Zinc Picolinate 120 capsules</t>
  </si>
  <si>
    <t>Animal Cuts Powder Orange Mango 9.3oz (265g)^</t>
  </si>
  <si>
    <t>Animal Cuts Powder Blue Ice Pop 8.7oz (248g)^</t>
  </si>
  <si>
    <t>Animal Flex Powder 339g orange^</t>
  </si>
  <si>
    <t>Animal Flex Powder 369g cherry berry^</t>
  </si>
  <si>
    <r>
      <t>Animal Flex 44 packs</t>
    </r>
    <r>
      <rPr>
        <sz val="10"/>
        <color rgb="FF000000"/>
        <rFont val="Calibri"/>
        <family val="2"/>
        <scheme val="minor"/>
      </rPr>
      <t>^</t>
    </r>
  </si>
  <si>
    <t>Animal Cuts 42 packs^</t>
  </si>
  <si>
    <t>Animal Fury 20 servings green apple^</t>
  </si>
  <si>
    <t>Animal Fury 20 servings watermelon^</t>
  </si>
  <si>
    <t>Animal Fury 30 servings blue raspberry^</t>
  </si>
  <si>
    <t>Animal Fury 30 servings green apple^</t>
  </si>
  <si>
    <t>Animal Fury 30 servings ice pop^</t>
  </si>
  <si>
    <t>Animal Fury 30 servings watermelon^</t>
  </si>
  <si>
    <t>Animal Greens Pack 30 packs^</t>
  </si>
  <si>
    <t>Animal Immune Pak Powder orange mango 327g^</t>
  </si>
  <si>
    <t>Animal Juiced Aminos 385 grams grape juiced^</t>
  </si>
  <si>
    <t>Animal Juiced Aminos 377 grams orange juiced^</t>
  </si>
  <si>
    <t>Animal Juiced Aminos 366 grams strawberry limeade juiced^</t>
  </si>
  <si>
    <t>Animal Meal 5 lb chocolate^</t>
  </si>
  <si>
    <t>Animal Meal 5 lbs. vanilla^</t>
  </si>
  <si>
    <t>Animal M-Stak 21 packs^</t>
  </si>
  <si>
    <t>Animal Nitro 44 packs^</t>
  </si>
  <si>
    <t>Animal Omega 30 packs^</t>
  </si>
  <si>
    <t>Animal PM 30 packs^</t>
  </si>
  <si>
    <t>Animal Pump 30 packs^</t>
  </si>
  <si>
    <t>Animal Stak  21 packs^</t>
  </si>
  <si>
    <t>Animal Test 21 packs^</t>
  </si>
  <si>
    <t>Animal Cuts Powder Strawberry Watermelon 8.3oz (235.2g)^</t>
  </si>
  <si>
    <t>03944203326-0</t>
  </si>
  <si>
    <t>Animal Cuts Powder Non-Stim Blue Ice Pop 8oz (226.8g) ^</t>
  </si>
  <si>
    <t>03944203327-7</t>
  </si>
  <si>
    <t>Animal Cuts Powder Non-Stim Fruit Punch 8.1oz (231g) ^</t>
  </si>
  <si>
    <t>Animal Alpha F 30 packs^</t>
  </si>
  <si>
    <t>03944203971-2</t>
  </si>
  <si>
    <t>Wholesale</t>
  </si>
  <si>
    <t>03944203970-5</t>
  </si>
  <si>
    <t>Animal TNT+ 30 packs^</t>
  </si>
  <si>
    <t>03944203324-6</t>
  </si>
  <si>
    <t>03944203325-3</t>
  </si>
  <si>
    <t>Animal Primal Powder Fruit Punch 507.5g^</t>
  </si>
  <si>
    <t>Animal Primal Powder Strawberry Watermelon 507.5g^</t>
  </si>
  <si>
    <t>03944203331-4</t>
  </si>
  <si>
    <t>Animal Creatine Chews Fruit Punch 120 chewable tablets^</t>
  </si>
  <si>
    <t>03944203332-1</t>
  </si>
  <si>
    <t>Animal Creatine Chews Grape 120 chewable tablets^</t>
  </si>
  <si>
    <t>03944203991-0</t>
  </si>
  <si>
    <t>03944203992-7</t>
  </si>
  <si>
    <t>Animal Creatine XL Powder Fruit Punch 9.8oz (279g)^</t>
  </si>
  <si>
    <t>Animal Creatine XL Powder Watermelon 9.8oz (279g)^</t>
  </si>
  <si>
    <t>03944203963-7</t>
  </si>
  <si>
    <t>03944203964-4</t>
  </si>
  <si>
    <t>03944203965-1</t>
  </si>
  <si>
    <t>03944203294-2</t>
  </si>
  <si>
    <t>Animal Whey 4 lb vanilla</t>
  </si>
  <si>
    <t>Animal Whey 4 lb strawberry</t>
  </si>
  <si>
    <t>Animal Whey 4 lb frosted cinnamon bun</t>
  </si>
  <si>
    <t>Animal Whey 4 lb cookies &amp; cream</t>
  </si>
  <si>
    <t>Animal Whey 4 lb chocolate chocolate chip</t>
  </si>
  <si>
    <t>Animal Whey 4 lb chocolate</t>
  </si>
  <si>
    <t>Animal Whey 4 lb brownie batter</t>
  </si>
  <si>
    <t>Animal Whey 2 lb vanilla</t>
  </si>
  <si>
    <t>Animal Whey 2 lb strawberry</t>
  </si>
  <si>
    <t>Animal Whey 2 lb cookies &amp; cream</t>
  </si>
  <si>
    <t>Animal Whey 10 lb chocolate</t>
  </si>
  <si>
    <t>Animal Whey 10 lb cookies &amp; cream</t>
  </si>
  <si>
    <t>Animal Whey 10 lb vanilla</t>
  </si>
  <si>
    <t>Animal Whey 2 lb brownie batter</t>
  </si>
  <si>
    <t>Animal Whey 2 lb chocolate</t>
  </si>
  <si>
    <t>Animal Creatine Powder 300g^</t>
  </si>
  <si>
    <t>Animal Creatine Powder 500g^</t>
  </si>
  <si>
    <t>Animal Creatine Powder 1000g^</t>
  </si>
  <si>
    <t>0076</t>
  </si>
  <si>
    <t>03944200076-7</t>
  </si>
  <si>
    <t>Animal 100% Whey Choc 4 lbs</t>
  </si>
  <si>
    <t>0075</t>
  </si>
  <si>
    <t>03944200075-0</t>
  </si>
  <si>
    <t>Animal 100% Whey Van 4 lbs</t>
  </si>
  <si>
    <t>Total</t>
  </si>
  <si>
    <t>USA → +14-1770-86052</t>
  </si>
  <si>
    <t>Poland → +48-2260-22010</t>
  </si>
  <si>
    <t>WhatsApp → +380-9871-54085</t>
  </si>
  <si>
    <t>E-mail → info@dsn.group</t>
  </si>
  <si>
    <t>Instagram → https://www.instagram.com/dsngroup.official/</t>
  </si>
  <si>
    <r>
      <t xml:space="preserve">
</t>
    </r>
    <r>
      <rPr>
        <b/>
        <sz val="11"/>
        <color rgb="FFFF0000"/>
        <rFont val="Calibri"/>
        <family val="2"/>
        <charset val="204"/>
        <scheme val="minor"/>
      </rPr>
      <t>Importantly!</t>
    </r>
    <r>
      <rPr>
        <sz val="11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</si>
  <si>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0156</t>
  </si>
  <si>
    <t>0042</t>
  </si>
  <si>
    <t>0040</t>
  </si>
  <si>
    <t>0157</t>
  </si>
  <si>
    <t>I3009</t>
  </si>
  <si>
    <t>13940</t>
  </si>
  <si>
    <t>13941</t>
  </si>
  <si>
    <t>0152</t>
  </si>
  <si>
    <t>9435</t>
  </si>
  <si>
    <t>9746</t>
  </si>
  <si>
    <t>03944203345-1</t>
  </si>
  <si>
    <t>03944200156-6</t>
  </si>
  <si>
    <t>03944203343-7</t>
  </si>
  <si>
    <t>03944200042-2</t>
  </si>
  <si>
    <t>03944200040-8</t>
  </si>
  <si>
    <t>03944203226-3</t>
  </si>
  <si>
    <t>03944203349-9</t>
  </si>
  <si>
    <t>03944203352-9</t>
  </si>
  <si>
    <t>03944204210-1</t>
  </si>
  <si>
    <t>03944200157-3</t>
  </si>
  <si>
    <t>03994213009-9</t>
  </si>
  <si>
    <t>03944213293-2</t>
  </si>
  <si>
    <t>03944213292-5</t>
  </si>
  <si>
    <t>03944213327-4</t>
  </si>
  <si>
    <t>03944213052-5</t>
  </si>
  <si>
    <t>03944213940-5</t>
  </si>
  <si>
    <t>03944213941-2</t>
  </si>
  <si>
    <t>03944213028-0</t>
  </si>
  <si>
    <t>03944213011-2</t>
  </si>
  <si>
    <t>03944213034-1</t>
  </si>
  <si>
    <t>03944213221-5</t>
  </si>
  <si>
    <t>03944213223-9</t>
  </si>
  <si>
    <t>03944213050-1</t>
  </si>
  <si>
    <t>03944213023-5</t>
  </si>
  <si>
    <t>03944213037-2</t>
  </si>
  <si>
    <t>03944201212-8</t>
  </si>
  <si>
    <t>03944201211-1</t>
  </si>
  <si>
    <t>03944200152-0</t>
  </si>
  <si>
    <t>03944209435-3</t>
  </si>
  <si>
    <t>03944209746-0</t>
  </si>
  <si>
    <t>Animal Creatine 300 Capsules</t>
  </si>
  <si>
    <r>
      <t>Animal Energy</t>
    </r>
    <r>
      <rPr>
        <b/>
        <sz val="13"/>
        <rFont val="Calibri"/>
        <family val="2"/>
        <scheme val="minor"/>
      </rPr>
      <t xml:space="preserve"> </t>
    </r>
    <r>
      <rPr>
        <b/>
        <i/>
        <sz val="13"/>
        <rFont val="Calibri"/>
        <family val="2"/>
        <scheme val="minor"/>
      </rPr>
      <t>Performance Chews</t>
    </r>
    <r>
      <rPr>
        <sz val="13"/>
        <rFont val="Calibri"/>
        <family val="2"/>
        <scheme val="minor"/>
      </rPr>
      <t xml:space="preserve"> Pomberry  120 chewables</t>
    </r>
  </si>
  <si>
    <t xml:space="preserve">Animal Juiced Aminos + Hydration 375g Fruit Punch </t>
  </si>
  <si>
    <r>
      <t xml:space="preserve">Animal Pak 44 packs </t>
    </r>
    <r>
      <rPr>
        <i/>
        <sz val="13"/>
        <color rgb="FF000000"/>
        <rFont val="Calibri"/>
        <family val="2"/>
        <scheme val="minor"/>
      </rPr>
      <t>New &amp; Improved</t>
    </r>
  </si>
  <si>
    <r>
      <t>Animal Pak 30 packs</t>
    </r>
    <r>
      <rPr>
        <i/>
        <sz val="13"/>
        <rFont val="Calibri"/>
        <family val="2"/>
        <scheme val="minor"/>
      </rPr>
      <t xml:space="preserve"> New &amp; Improved</t>
    </r>
  </si>
  <si>
    <r>
      <t xml:space="preserve">Animal Pak Powder 429g cherry bomb </t>
    </r>
    <r>
      <rPr>
        <i/>
        <sz val="13"/>
        <color rgb="FF000000"/>
        <rFont val="Calibri"/>
        <family val="2"/>
        <scheme val="minor"/>
      </rPr>
      <t>New Size</t>
    </r>
  </si>
  <si>
    <r>
      <t xml:space="preserve">Animal Pak Powder 417g fruit punch </t>
    </r>
    <r>
      <rPr>
        <i/>
        <sz val="13"/>
        <color rgb="FF000000"/>
        <rFont val="Calibri"/>
        <family val="2"/>
        <scheme val="minor"/>
      </rPr>
      <t>New Size</t>
    </r>
  </si>
  <si>
    <t>Animal Pak Powder 411g orange crushed New Size</t>
  </si>
  <si>
    <t xml:space="preserve">Animal Pump Pro Powder 591g blue ice pop </t>
  </si>
  <si>
    <r>
      <t>Animal Recovery</t>
    </r>
    <r>
      <rPr>
        <i/>
        <sz val="13"/>
        <rFont val="Calibri"/>
        <family val="2"/>
        <scheme val="minor"/>
      </rPr>
      <t xml:space="preserve"> </t>
    </r>
    <r>
      <rPr>
        <b/>
        <i/>
        <sz val="13"/>
        <rFont val="Calibri"/>
        <family val="2"/>
        <scheme val="minor"/>
      </rPr>
      <t>Performance Chews</t>
    </r>
    <r>
      <rPr>
        <sz val="13"/>
        <rFont val="Calibri"/>
        <family val="2"/>
        <scheme val="minor"/>
      </rPr>
      <t xml:space="preserve"> Tropical Mango  120 chewables</t>
    </r>
  </si>
  <si>
    <t>Animal Cuts 42 packs</t>
  </si>
  <si>
    <t>Animal Cuts Powder 265g orange mango</t>
  </si>
  <si>
    <t>Animal Cuts Powder 248g blue ice pop</t>
  </si>
  <si>
    <t>Animal Cuts Powder Non-Stim  231g Fruit Punch</t>
  </si>
  <si>
    <t>Animal Flex 44 packs</t>
  </si>
  <si>
    <t>Animal Immune Pak 30 Packs</t>
  </si>
  <si>
    <t>Animal Immune Pak Powder orange mango 312g</t>
  </si>
  <si>
    <t>Animal M-Stak 21 packs</t>
  </si>
  <si>
    <t>Animal Pak 44 packs</t>
  </si>
  <si>
    <t>Animal Pak 30 packs</t>
  </si>
  <si>
    <t xml:space="preserve">Animal Pak Powder 342g orange </t>
  </si>
  <si>
    <t>Animal Pak Powder 312g cherry bomb</t>
  </si>
  <si>
    <t>Animal Pump 30 packs</t>
  </si>
  <si>
    <t xml:space="preserve">Animal Stak  21 packs </t>
  </si>
  <si>
    <t>Animal Test 21 packs</t>
  </si>
  <si>
    <t>Gain Fast 3100   5 lb chocolate shake</t>
  </si>
  <si>
    <t>Gain Fast 3100   5 lb vanilla shake</t>
  </si>
  <si>
    <t xml:space="preserve">Animal Shaker Cup Black with handle </t>
  </si>
  <si>
    <t>Animal Bandana - Yellow</t>
  </si>
  <si>
    <t>Animal Gym Bag Military Green</t>
  </si>
  <si>
    <t>04.12.2023</t>
  </si>
  <si>
    <t>Weight, kg</t>
  </si>
  <si>
    <t>Weight, 
kg</t>
  </si>
  <si>
    <t>Unіt Freight Cost</t>
  </si>
  <si>
    <t>unit, key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</si>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</sst>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66" formatCode="[$$-409]#,##0.00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3"/>
      <name val="Calibri"/>
      <family val="2"/>
      <scheme val="minor"/>
    </font>
    <font>
      <b/>
      <sz val="13"/>
      <name val="Calibri"/>
      <family val="2"/>
      <scheme val="minor"/>
    </font>
    <font>
      <b/>
      <i/>
      <sz val="13"/>
      <name val="Calibri"/>
      <family val="2"/>
      <scheme val="minor"/>
    </font>
    <font>
      <i/>
      <sz val="13"/>
      <color rgb="FF000000"/>
      <name val="Calibri"/>
      <family val="2"/>
      <scheme val="minor"/>
    </font>
    <font>
      <i/>
      <sz val="13"/>
      <name val="Calibri"/>
      <family val="2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4" fontId="10" fillId="0" borderId="0" applyFont="0" applyFill="0" applyBorder="0" applyAlignment="0" applyProtection="0"/>
    <xf numFmtId="0" fontId="21" fillId="0" borderId="0"/>
  </cellStyleXfs>
  <cellXfs count="79">
    <xf numFmtId="0" fontId="0" fillId="0" borderId="0" xfId="0"/>
    <xf numFmtId="0" fontId="13" fillId="4" borderId="1" xfId="1" applyFont="1" applyFill="1" applyBorder="1" applyAlignment="1" applyProtection="1">
      <alignment horizontal="center" vertical="center"/>
      <protection locked="0"/>
    </xf>
    <xf numFmtId="164" fontId="13" fillId="4" borderId="1" xfId="2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center"/>
      <protection locked="0"/>
    </xf>
    <xf numFmtId="49" fontId="6" fillId="0" borderId="1" xfId="1" applyNumberFormat="1" applyFont="1" applyBorder="1" applyAlignment="1" applyProtection="1">
      <alignment horizontal="center"/>
      <protection locked="0"/>
    </xf>
    <xf numFmtId="0" fontId="6" fillId="0" borderId="1" xfId="1" applyFont="1" applyBorder="1" applyProtection="1">
      <protection locked="0"/>
    </xf>
    <xf numFmtId="0" fontId="6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164" fontId="6" fillId="0" borderId="0" xfId="2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7" fillId="0" borderId="1" xfId="1" applyFont="1" applyBorder="1" applyAlignment="1" applyProtection="1">
      <alignment horizontal="center"/>
      <protection locked="0"/>
    </xf>
    <xf numFmtId="0" fontId="7" fillId="0" borderId="1" xfId="1" applyFont="1" applyBorder="1" applyProtection="1">
      <protection locked="0"/>
    </xf>
    <xf numFmtId="0" fontId="7" fillId="2" borderId="1" xfId="0" applyFont="1" applyFill="1" applyBorder="1" applyProtection="1">
      <protection locked="0"/>
    </xf>
    <xf numFmtId="164" fontId="7" fillId="0" borderId="0" xfId="2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 applyProtection="1">
      <alignment horizontal="center"/>
      <protection locked="0"/>
    </xf>
    <xf numFmtId="0" fontId="4" fillId="0" borderId="1" xfId="1" applyFont="1" applyBorder="1" applyProtection="1">
      <protection locked="0"/>
    </xf>
    <xf numFmtId="0" fontId="4" fillId="0" borderId="1" xfId="1" applyFont="1" applyBorder="1" applyAlignment="1" applyProtection="1">
      <alignment horizontal="center"/>
      <protection locked="0"/>
    </xf>
    <xf numFmtId="0" fontId="4" fillId="2" borderId="1" xfId="0" applyFont="1" applyFill="1" applyBorder="1" applyProtection="1"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164" fontId="2" fillId="0" borderId="0" xfId="2" applyFont="1" applyFill="1" applyBorder="1" applyAlignment="1" applyProtection="1">
      <alignment horizontal="center"/>
      <protection locked="0"/>
    </xf>
    <xf numFmtId="0" fontId="8" fillId="2" borderId="1" xfId="0" applyFont="1" applyFill="1" applyBorder="1" applyAlignment="1" applyProtection="1">
      <alignment horizontal="center"/>
      <protection locked="0"/>
    </xf>
    <xf numFmtId="0" fontId="2" fillId="0" borderId="1" xfId="1" applyFont="1" applyBorder="1" applyAlignment="1" applyProtection="1">
      <alignment horizontal="center"/>
      <protection locked="0"/>
    </xf>
    <xf numFmtId="0" fontId="2" fillId="0" borderId="1" xfId="1" applyFont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49" fontId="7" fillId="2" borderId="1" xfId="0" applyNumberFormat="1" applyFont="1" applyFill="1" applyBorder="1" applyProtection="1">
      <protection locked="0"/>
    </xf>
    <xf numFmtId="49" fontId="7" fillId="0" borderId="1" xfId="1" applyNumberFormat="1" applyFont="1" applyBorder="1" applyAlignment="1" applyProtection="1">
      <alignment horizontal="center"/>
      <protection locked="0"/>
    </xf>
    <xf numFmtId="49" fontId="4" fillId="2" borderId="1" xfId="0" applyNumberFormat="1" applyFont="1" applyFill="1" applyBorder="1" applyProtection="1">
      <protection locked="0"/>
    </xf>
    <xf numFmtId="0" fontId="4" fillId="3" borderId="1" xfId="1" applyFont="1" applyFill="1" applyBorder="1" applyAlignment="1" applyProtection="1">
      <alignment horizontal="center"/>
      <protection locked="0"/>
    </xf>
    <xf numFmtId="0" fontId="4" fillId="3" borderId="1" xfId="1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164" fontId="2" fillId="3" borderId="0" xfId="2" applyFont="1" applyFill="1" applyBorder="1" applyAlignment="1" applyProtection="1">
      <alignment horizontal="center"/>
      <protection locked="0"/>
    </xf>
    <xf numFmtId="0" fontId="4" fillId="0" borderId="1" xfId="1" applyFont="1" applyBorder="1" applyAlignment="1" applyProtection="1">
      <alignment horizontal="left"/>
      <protection locked="0"/>
    </xf>
    <xf numFmtId="0" fontId="7" fillId="0" borderId="1" xfId="1" applyFont="1" applyBorder="1" applyAlignment="1" applyProtection="1">
      <alignment horizontal="left"/>
      <protection locked="0"/>
    </xf>
    <xf numFmtId="0" fontId="9" fillId="4" borderId="1" xfId="1" applyFont="1" applyFill="1" applyBorder="1" applyAlignment="1" applyProtection="1">
      <alignment horizontal="center"/>
      <protection locked="0"/>
    </xf>
    <xf numFmtId="164" fontId="9" fillId="4" borderId="0" xfId="2" applyFont="1" applyFill="1" applyBorder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center"/>
      <protection locked="0"/>
    </xf>
    <xf numFmtId="49" fontId="7" fillId="3" borderId="1" xfId="0" applyNumberFormat="1" applyFont="1" applyFill="1" applyBorder="1" applyProtection="1">
      <protection locked="0"/>
    </xf>
    <xf numFmtId="0" fontId="7" fillId="3" borderId="1" xfId="1" applyFont="1" applyFill="1" applyBorder="1" applyAlignment="1" applyProtection="1">
      <alignment horizontal="left"/>
      <protection locked="0"/>
    </xf>
    <xf numFmtId="0" fontId="7" fillId="3" borderId="1" xfId="1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49" fontId="2" fillId="3" borderId="1" xfId="0" applyNumberFormat="1" applyFont="1" applyFill="1" applyBorder="1" applyProtection="1">
      <protection locked="0"/>
    </xf>
    <xf numFmtId="0" fontId="2" fillId="3" borderId="1" xfId="1" applyFont="1" applyFill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center"/>
      <protection locked="0"/>
    </xf>
    <xf numFmtId="0" fontId="2" fillId="3" borderId="1" xfId="1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2" fontId="0" fillId="0" borderId="0" xfId="0" applyNumberFormat="1" applyAlignment="1" applyProtection="1">
      <alignment horizontal="center"/>
      <protection locked="0"/>
    </xf>
    <xf numFmtId="164" fontId="0" fillId="3" borderId="0" xfId="2" applyFont="1" applyFill="1" applyBorder="1" applyAlignment="1" applyProtection="1">
      <protection locked="0"/>
    </xf>
    <xf numFmtId="0" fontId="0" fillId="3" borderId="0" xfId="0" applyFill="1" applyProtection="1">
      <protection locked="0"/>
    </xf>
    <xf numFmtId="164" fontId="6" fillId="0" borderId="1" xfId="2" applyFont="1" applyFill="1" applyBorder="1" applyAlignment="1" applyProtection="1">
      <alignment horizontal="center"/>
    </xf>
    <xf numFmtId="164" fontId="13" fillId="4" borderId="1" xfId="2" applyFont="1" applyFill="1" applyBorder="1" applyAlignment="1" applyProtection="1">
      <alignment horizontal="center" vertical="center"/>
    </xf>
    <xf numFmtId="164" fontId="13" fillId="4" borderId="0" xfId="2" applyFont="1" applyFill="1" applyBorder="1" applyAlignment="1" applyProtection="1">
      <alignment horizontal="center" vertical="center"/>
    </xf>
    <xf numFmtId="0" fontId="20" fillId="0" borderId="3" xfId="0" applyFont="1" applyBorder="1" applyAlignment="1" applyProtection="1">
      <alignment horizontal="center"/>
      <protection hidden="1"/>
    </xf>
    <xf numFmtId="0" fontId="22" fillId="0" borderId="4" xfId="3" applyFont="1" applyBorder="1" applyAlignment="1" applyProtection="1">
      <alignment horizontal="center"/>
      <protection hidden="1"/>
    </xf>
    <xf numFmtId="0" fontId="22" fillId="0" borderId="5" xfId="3" applyFont="1" applyBorder="1" applyAlignment="1" applyProtection="1">
      <alignment horizontal="center"/>
      <protection hidden="1"/>
    </xf>
    <xf numFmtId="0" fontId="22" fillId="0" borderId="6" xfId="3" applyFont="1" applyBorder="1" applyAlignment="1" applyProtection="1">
      <alignment horizontal="center"/>
      <protection hidden="1"/>
    </xf>
    <xf numFmtId="0" fontId="22" fillId="0" borderId="7" xfId="3" applyFont="1" applyBorder="1" applyAlignment="1" applyProtection="1">
      <alignment horizontal="center"/>
      <protection hidden="1"/>
    </xf>
    <xf numFmtId="0" fontId="22" fillId="0" borderId="8" xfId="3" applyFont="1" applyBorder="1" applyAlignment="1" applyProtection="1">
      <alignment horizontal="center"/>
      <protection hidden="1"/>
    </xf>
    <xf numFmtId="14" fontId="23" fillId="0" borderId="0" xfId="0" quotePrefix="1" applyNumberFormat="1" applyFont="1" applyAlignment="1">
      <alignment horizontal="center" vertical="center"/>
    </xf>
    <xf numFmtId="0" fontId="20" fillId="0" borderId="0" xfId="0" applyFont="1" applyAlignment="1" applyProtection="1">
      <alignment horizontal="center"/>
      <protection hidden="1"/>
    </xf>
    <xf numFmtId="0" fontId="22" fillId="0" borderId="0" xfId="3" applyFont="1" applyAlignment="1" applyProtection="1">
      <alignment horizontal="center"/>
      <protection hidden="1"/>
    </xf>
    <xf numFmtId="0" fontId="25" fillId="0" borderId="1" xfId="1" applyFont="1" applyBorder="1" applyAlignment="1" applyProtection="1">
      <alignment horizontal="center"/>
      <protection locked="0"/>
    </xf>
    <xf numFmtId="0" fontId="13" fillId="4" borderId="1" xfId="1" applyFont="1" applyFill="1" applyBorder="1" applyAlignment="1" applyProtection="1">
      <alignment horizontal="center" vertical="center" wrapText="1"/>
      <protection locked="0"/>
    </xf>
    <xf numFmtId="14" fontId="24" fillId="5" borderId="3" xfId="0" applyNumberFormat="1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165" fontId="26" fillId="5" borderId="3" xfId="0" applyNumberFormat="1" applyFont="1" applyFill="1" applyBorder="1" applyAlignment="1" applyProtection="1">
      <alignment horizontal="center" vertical="center" wrapText="1" readingOrder="1"/>
      <protection hidden="1"/>
    </xf>
    <xf numFmtId="166" fontId="24" fillId="5" borderId="3" xfId="0" applyNumberFormat="1" applyFont="1" applyFill="1" applyBorder="1" applyAlignment="1">
      <alignment horizontal="center" vertical="center"/>
    </xf>
    <xf numFmtId="0" fontId="27" fillId="3" borderId="3" xfId="0" applyFont="1" applyFill="1" applyBorder="1" applyAlignment="1" applyProtection="1">
      <alignment horizontal="center" vertical="center" wrapText="1" readingOrder="1"/>
      <protection locked="0"/>
    </xf>
    <xf numFmtId="4" fontId="24" fillId="3" borderId="10" xfId="0" applyNumberFormat="1" applyFont="1" applyFill="1" applyBorder="1" applyAlignment="1">
      <alignment horizontal="center" vertical="center"/>
    </xf>
    <xf numFmtId="165" fontId="26" fillId="3" borderId="3" xfId="0" applyNumberFormat="1" applyFont="1" applyFill="1" applyBorder="1" applyAlignment="1" applyProtection="1">
      <alignment horizontal="center" vertical="center" wrapText="1" readingOrder="1"/>
      <protection hidden="1"/>
    </xf>
    <xf numFmtId="165" fontId="26" fillId="0" borderId="0" xfId="0" applyNumberFormat="1" applyFont="1" applyAlignment="1" applyProtection="1">
      <alignment vertical="center" wrapText="1" readingOrder="1"/>
      <protection hidden="1"/>
    </xf>
    <xf numFmtId="0" fontId="24" fillId="6" borderId="3" xfId="0" applyFont="1" applyFill="1" applyBorder="1" applyAlignment="1">
      <alignment horizontal="center" vertical="center" wrapText="1"/>
    </xf>
    <xf numFmtId="4" fontId="24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0" fillId="0" borderId="2" xfId="0" applyBorder="1" applyAlignment="1" applyProtection="1">
      <alignment horizontal="left" wrapText="1"/>
      <protection locked="0"/>
    </xf>
    <xf numFmtId="14" fontId="24" fillId="5" borderId="9" xfId="0" applyNumberFormat="1" applyFont="1" applyFill="1" applyBorder="1" applyAlignment="1">
      <alignment horizontal="center" vertical="center" wrapText="1"/>
    </xf>
    <xf numFmtId="14" fontId="24" fillId="5" borderId="10" xfId="0" applyNumberFormat="1" applyFont="1" applyFill="1" applyBorder="1" applyAlignment="1">
      <alignment horizontal="center" vertical="center" wrapText="1"/>
    </xf>
  </cellXfs>
  <cellStyles count="4">
    <cellStyle name="Excel Built-in Normal" xfId="3" xr:uid="{52C9A712-BDBD-419B-AB1D-C6B72DD138FF}"/>
    <cellStyle name="Normal 2" xfId="1" xr:uid="{00000000-0005-0000-0000-000000000000}"/>
    <cellStyle name="Грошовий" xfId="2" builtinId="4"/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561975</xdr:colOff>
      <xdr:row>1</xdr:row>
      <xdr:rowOff>0</xdr:rowOff>
    </xdr:from>
    <xdr:ext cx="34290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748915" y="784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45</xdr:row>
      <xdr:rowOff>0</xdr:rowOff>
    </xdr:from>
    <xdr:ext cx="342900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2748915" y="11940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2748915" y="112090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2748915" y="112090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2748915" y="112090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2748915" y="112090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2748915" y="112090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2748915" y="110261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2748915" y="110261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2748915" y="110261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2748915" y="110261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2748915" y="110261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748915" y="110261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2748915" y="110261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2748915" y="110261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2748915" y="110261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2748915" y="110261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748915" y="110261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2748915" y="106603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2748915" y="106603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2748915" y="10477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40</xdr:row>
      <xdr:rowOff>0</xdr:rowOff>
    </xdr:from>
    <xdr:ext cx="342900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 txBox="1"/>
      </xdr:nvSpPr>
      <xdr:spPr>
        <a:xfrm>
          <a:off x="2748915" y="101117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41</xdr:row>
      <xdr:rowOff>0</xdr:rowOff>
    </xdr:from>
    <xdr:ext cx="342900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 txBox="1"/>
      </xdr:nvSpPr>
      <xdr:spPr>
        <a:xfrm>
          <a:off x="2748915" y="102946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53</xdr:row>
      <xdr:rowOff>0</xdr:rowOff>
    </xdr:from>
    <xdr:ext cx="342900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 txBox="1"/>
      </xdr:nvSpPr>
      <xdr:spPr>
        <a:xfrm>
          <a:off x="2748915" y="134035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5</xdr:row>
      <xdr:rowOff>0</xdr:rowOff>
    </xdr:from>
    <xdr:ext cx="342900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 txBox="1"/>
      </xdr:nvSpPr>
      <xdr:spPr>
        <a:xfrm>
          <a:off x="2748915" y="18821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42</xdr:row>
      <xdr:rowOff>0</xdr:rowOff>
    </xdr:from>
    <xdr:ext cx="342900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 txBox="1"/>
      </xdr:nvSpPr>
      <xdr:spPr>
        <a:xfrm>
          <a:off x="2748915" y="113919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42</xdr:row>
      <xdr:rowOff>0</xdr:rowOff>
    </xdr:from>
    <xdr:ext cx="342900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 txBox="1"/>
      </xdr:nvSpPr>
      <xdr:spPr>
        <a:xfrm>
          <a:off x="2748915" y="113919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42</xdr:row>
      <xdr:rowOff>0</xdr:rowOff>
    </xdr:from>
    <xdr:ext cx="342900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 txBox="1"/>
      </xdr:nvSpPr>
      <xdr:spPr>
        <a:xfrm>
          <a:off x="2748915" y="113919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42</xdr:row>
      <xdr:rowOff>0</xdr:rowOff>
    </xdr:from>
    <xdr:ext cx="342900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 txBox="1"/>
      </xdr:nvSpPr>
      <xdr:spPr>
        <a:xfrm>
          <a:off x="2748915" y="113919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42</xdr:row>
      <xdr:rowOff>0</xdr:rowOff>
    </xdr:from>
    <xdr:ext cx="342900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 txBox="1"/>
      </xdr:nvSpPr>
      <xdr:spPr>
        <a:xfrm>
          <a:off x="2748915" y="113919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6</xdr:row>
      <xdr:rowOff>0</xdr:rowOff>
    </xdr:from>
    <xdr:ext cx="342900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 txBox="1"/>
      </xdr:nvSpPr>
      <xdr:spPr>
        <a:xfrm>
          <a:off x="2748915" y="20650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5</xdr:row>
      <xdr:rowOff>0</xdr:rowOff>
    </xdr:from>
    <xdr:ext cx="342900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 txBox="1"/>
      </xdr:nvSpPr>
      <xdr:spPr>
        <a:xfrm>
          <a:off x="2748915" y="18821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6</xdr:row>
      <xdr:rowOff>0</xdr:rowOff>
    </xdr:from>
    <xdr:ext cx="342900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 txBox="1"/>
      </xdr:nvSpPr>
      <xdr:spPr>
        <a:xfrm>
          <a:off x="2748915" y="20650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6</xdr:row>
      <xdr:rowOff>0</xdr:rowOff>
    </xdr:from>
    <xdr:ext cx="342900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 txBox="1"/>
      </xdr:nvSpPr>
      <xdr:spPr>
        <a:xfrm>
          <a:off x="2748915" y="20650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12</xdr:row>
      <xdr:rowOff>0</xdr:rowOff>
    </xdr:from>
    <xdr:ext cx="342900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 txBox="1"/>
      </xdr:nvSpPr>
      <xdr:spPr>
        <a:xfrm>
          <a:off x="2748915" y="31623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12</xdr:row>
      <xdr:rowOff>0</xdr:rowOff>
    </xdr:from>
    <xdr:ext cx="342900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 txBox="1"/>
      </xdr:nvSpPr>
      <xdr:spPr>
        <a:xfrm>
          <a:off x="2748915" y="31623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12</xdr:row>
      <xdr:rowOff>0</xdr:rowOff>
    </xdr:from>
    <xdr:ext cx="342900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 txBox="1"/>
      </xdr:nvSpPr>
      <xdr:spPr>
        <a:xfrm>
          <a:off x="2748915" y="31623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12</xdr:row>
      <xdr:rowOff>0</xdr:rowOff>
    </xdr:from>
    <xdr:ext cx="342900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 txBox="1"/>
      </xdr:nvSpPr>
      <xdr:spPr>
        <a:xfrm>
          <a:off x="2748915" y="31623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12</xdr:row>
      <xdr:rowOff>0</xdr:rowOff>
    </xdr:from>
    <xdr:ext cx="342900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 txBox="1"/>
      </xdr:nvSpPr>
      <xdr:spPr>
        <a:xfrm>
          <a:off x="2748915" y="31623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12</xdr:row>
      <xdr:rowOff>0</xdr:rowOff>
    </xdr:from>
    <xdr:ext cx="342900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 txBox="1"/>
      </xdr:nvSpPr>
      <xdr:spPr>
        <a:xfrm>
          <a:off x="2748915" y="31623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12</xdr:row>
      <xdr:rowOff>0</xdr:rowOff>
    </xdr:from>
    <xdr:ext cx="342900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 txBox="1"/>
      </xdr:nvSpPr>
      <xdr:spPr>
        <a:xfrm>
          <a:off x="2748915" y="31623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12</xdr:row>
      <xdr:rowOff>0</xdr:rowOff>
    </xdr:from>
    <xdr:ext cx="342900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 txBox="1"/>
      </xdr:nvSpPr>
      <xdr:spPr>
        <a:xfrm>
          <a:off x="2748915" y="31623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10</xdr:row>
      <xdr:rowOff>0</xdr:rowOff>
    </xdr:from>
    <xdr:ext cx="342900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 txBox="1"/>
      </xdr:nvSpPr>
      <xdr:spPr>
        <a:xfrm>
          <a:off x="2748915" y="2796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10</xdr:row>
      <xdr:rowOff>0</xdr:rowOff>
    </xdr:from>
    <xdr:ext cx="342900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 txBox="1"/>
      </xdr:nvSpPr>
      <xdr:spPr>
        <a:xfrm>
          <a:off x="2748915" y="2796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10</xdr:row>
      <xdr:rowOff>0</xdr:rowOff>
    </xdr:from>
    <xdr:ext cx="342900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 txBox="1"/>
      </xdr:nvSpPr>
      <xdr:spPr>
        <a:xfrm>
          <a:off x="2748915" y="2796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11</xdr:row>
      <xdr:rowOff>0</xdr:rowOff>
    </xdr:from>
    <xdr:ext cx="342900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 txBox="1"/>
      </xdr:nvSpPr>
      <xdr:spPr>
        <a:xfrm>
          <a:off x="2748915" y="29794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11</xdr:row>
      <xdr:rowOff>0</xdr:rowOff>
    </xdr:from>
    <xdr:ext cx="342900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 txBox="1"/>
      </xdr:nvSpPr>
      <xdr:spPr>
        <a:xfrm>
          <a:off x="2748915" y="29794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11</xdr:row>
      <xdr:rowOff>0</xdr:rowOff>
    </xdr:from>
    <xdr:ext cx="342900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 txBox="1"/>
      </xdr:nvSpPr>
      <xdr:spPr>
        <a:xfrm>
          <a:off x="2748915" y="29794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10</xdr:row>
      <xdr:rowOff>0</xdr:rowOff>
    </xdr:from>
    <xdr:ext cx="342900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 txBox="1"/>
      </xdr:nvSpPr>
      <xdr:spPr>
        <a:xfrm>
          <a:off x="2748915" y="2796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10</xdr:row>
      <xdr:rowOff>0</xdr:rowOff>
    </xdr:from>
    <xdr:ext cx="342900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 txBox="1"/>
      </xdr:nvSpPr>
      <xdr:spPr>
        <a:xfrm>
          <a:off x="2748915" y="2796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10</xdr:row>
      <xdr:rowOff>0</xdr:rowOff>
    </xdr:from>
    <xdr:ext cx="342900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 txBox="1"/>
      </xdr:nvSpPr>
      <xdr:spPr>
        <a:xfrm>
          <a:off x="2748915" y="279654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11</xdr:row>
      <xdr:rowOff>0</xdr:rowOff>
    </xdr:from>
    <xdr:ext cx="342900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 txBox="1"/>
      </xdr:nvSpPr>
      <xdr:spPr>
        <a:xfrm>
          <a:off x="2748915" y="29794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11</xdr:row>
      <xdr:rowOff>0</xdr:rowOff>
    </xdr:from>
    <xdr:ext cx="342900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 txBox="1"/>
      </xdr:nvSpPr>
      <xdr:spPr>
        <a:xfrm>
          <a:off x="2748915" y="29794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11</xdr:row>
      <xdr:rowOff>0</xdr:rowOff>
    </xdr:from>
    <xdr:ext cx="342900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 txBox="1"/>
      </xdr:nvSpPr>
      <xdr:spPr>
        <a:xfrm>
          <a:off x="2748915" y="29794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</xdr:row>
      <xdr:rowOff>0</xdr:rowOff>
    </xdr:from>
    <xdr:ext cx="342900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 txBox="1"/>
      </xdr:nvSpPr>
      <xdr:spPr>
        <a:xfrm>
          <a:off x="2748915" y="22479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</xdr:row>
      <xdr:rowOff>0</xdr:rowOff>
    </xdr:from>
    <xdr:ext cx="342900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 txBox="1"/>
      </xdr:nvSpPr>
      <xdr:spPr>
        <a:xfrm>
          <a:off x="2748915" y="24307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</xdr:row>
      <xdr:rowOff>0</xdr:rowOff>
    </xdr:from>
    <xdr:ext cx="342900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 txBox="1"/>
      </xdr:nvSpPr>
      <xdr:spPr>
        <a:xfrm>
          <a:off x="2748915" y="24307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</xdr:row>
      <xdr:rowOff>0</xdr:rowOff>
    </xdr:from>
    <xdr:ext cx="342900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 txBox="1"/>
      </xdr:nvSpPr>
      <xdr:spPr>
        <a:xfrm>
          <a:off x="2748915" y="24307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</xdr:row>
      <xdr:rowOff>0</xdr:rowOff>
    </xdr:from>
    <xdr:ext cx="342900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 txBox="1"/>
      </xdr:nvSpPr>
      <xdr:spPr>
        <a:xfrm>
          <a:off x="2748915" y="26136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</xdr:row>
      <xdr:rowOff>0</xdr:rowOff>
    </xdr:from>
    <xdr:ext cx="342900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 txBox="1"/>
      </xdr:nvSpPr>
      <xdr:spPr>
        <a:xfrm>
          <a:off x="2748915" y="26136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</xdr:row>
      <xdr:rowOff>0</xdr:rowOff>
    </xdr:from>
    <xdr:ext cx="342900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 txBox="1"/>
      </xdr:nvSpPr>
      <xdr:spPr>
        <a:xfrm>
          <a:off x="2748915" y="26136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</xdr:row>
      <xdr:rowOff>0</xdr:rowOff>
    </xdr:from>
    <xdr:ext cx="342900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 txBox="1"/>
      </xdr:nvSpPr>
      <xdr:spPr>
        <a:xfrm>
          <a:off x="2748915" y="26136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</xdr:row>
      <xdr:rowOff>0</xdr:rowOff>
    </xdr:from>
    <xdr:ext cx="342900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 txBox="1"/>
      </xdr:nvSpPr>
      <xdr:spPr>
        <a:xfrm>
          <a:off x="2748915" y="26136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</xdr:row>
      <xdr:rowOff>0</xdr:rowOff>
    </xdr:from>
    <xdr:ext cx="342900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 txBox="1"/>
      </xdr:nvSpPr>
      <xdr:spPr>
        <a:xfrm>
          <a:off x="2748915" y="26136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56</xdr:row>
      <xdr:rowOff>0</xdr:rowOff>
    </xdr:from>
    <xdr:ext cx="342900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 txBox="1"/>
      </xdr:nvSpPr>
      <xdr:spPr>
        <a:xfrm>
          <a:off x="2748915" y="1395222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57</xdr:row>
      <xdr:rowOff>0</xdr:rowOff>
    </xdr:from>
    <xdr:ext cx="342900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 txBox="1"/>
      </xdr:nvSpPr>
      <xdr:spPr>
        <a:xfrm>
          <a:off x="2748915" y="141351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1</xdr:row>
      <xdr:rowOff>0</xdr:rowOff>
    </xdr:from>
    <xdr:ext cx="342900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 txBox="1"/>
      </xdr:nvSpPr>
      <xdr:spPr>
        <a:xfrm>
          <a:off x="2748915" y="784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43</xdr:row>
      <xdr:rowOff>0</xdr:rowOff>
    </xdr:from>
    <xdr:ext cx="342900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 txBox="1"/>
      </xdr:nvSpPr>
      <xdr:spPr>
        <a:xfrm>
          <a:off x="2748915" y="115747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44</xdr:row>
      <xdr:rowOff>0</xdr:rowOff>
    </xdr:from>
    <xdr:ext cx="342900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 txBox="1"/>
      </xdr:nvSpPr>
      <xdr:spPr>
        <a:xfrm>
          <a:off x="2748915" y="117576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379909</xdr:colOff>
      <xdr:row>0</xdr:row>
      <xdr:rowOff>45363</xdr:rowOff>
    </xdr:from>
    <xdr:to>
      <xdr:col>9</xdr:col>
      <xdr:colOff>1034139</xdr:colOff>
      <xdr:row>0</xdr:row>
      <xdr:rowOff>1041762</xdr:rowOff>
    </xdr:to>
    <xdr:pic>
      <xdr:nvPicPr>
        <xdr:cNvPr id="229" name="Рисунок 228" descr="Home - Universal Nutrition">
          <a:extLst>
            <a:ext uri="{FF2B5EF4-FFF2-40B4-BE49-F238E27FC236}">
              <a16:creationId xmlns:a16="http://schemas.microsoft.com/office/drawing/2014/main" id="{037D4479-7E06-E430-CBF5-DE97174B5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6680" y="45363"/>
          <a:ext cx="2951117" cy="996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61627DD-81AB-4F42-A75B-35EC75C6176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196897AF-DA46-4912-9EA5-616B5AA7FA6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296C72CB-9EAA-4EE2-A0A8-6766ED0C41D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25D856D9-77EB-47C3-8132-CCFE218D24E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A2DD2140-B86D-47B8-9B65-504407EAA30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B839C196-51C5-4DE1-A4D1-B48DD1A8FC5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332CA0F9-14C0-4337-97EA-6E5EBBFEDC6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B3CC6437-8183-46B4-92C9-0EEC569B103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EBE8299E-F788-4C48-910F-B17B2C78873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859D9F19-E7AD-470A-8659-86194EB9D41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41031554-E498-44B0-AF23-89C9EBFC471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8C2619AA-99C3-4388-A67A-ABD1F0BF45C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0BECD0B6-DF35-411E-997A-538770AAE60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1C4F90F9-AE4D-4062-9E6E-1BBD47C0994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87A96B4F-D3AD-4C5B-8028-B2D95BDECB9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6C8EE334-4035-469F-B488-2CA00F45AE0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D431CC44-1201-49A0-A261-4A9A3CCF82F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E77FA868-BBCA-4C18-A9AF-DB16F3B2185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F7918DB2-DBE6-46B8-A921-29506E9D40B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E21EAF0F-92F6-4CC8-83C8-744CA597037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349A3989-0655-4A87-8C2B-F5D0A3D0B57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E523F7F7-D2F4-4DD7-B39E-94B7CAB62C5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E552937D-E1F7-4B9B-A052-4B77A804BCC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37F73E0F-4868-4008-9602-F83C4BE01EA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9ADF3561-67CC-4FB7-AC84-8977D5C0434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92F3EB0A-7B23-43B6-8CF4-606C25FBDBA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156FFFA5-F694-41F9-9A3D-C1EDE16D62F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9B44D20B-EAB9-4E58-A4A9-4DB0C2564C9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99B9A815-40C8-4A5D-9BA1-0B7C53FC2D5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09F5F257-C465-4FD1-AE15-E4A0EAFC9DB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91A7631B-5312-43E7-A2FF-7070A2752E3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77FCF18D-52BD-4144-8806-7C1A1E72A78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DDAD569C-FE02-4EC2-9781-6DC739506AA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F48D359C-6401-4C8D-A1BD-9180DE26B68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C51ED5C2-7EAB-464C-A0B1-3B4700AA3F0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1B4738C7-1489-4EEF-8F15-68A9322EF40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8FAA885F-7842-4859-99ED-C5DD44C4DC2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97DBB8D7-5713-407B-A8EE-C7021EDEB82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865BC1D2-86C4-47A7-9A11-C774C963060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FAAAB9CC-CC20-4CB3-899F-A980F39D598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AD728D52-B3FB-45DA-85EA-6D06A9C79D1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3B7B41DA-510B-4EFB-B24C-6C2489A00D5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6E264C41-1CCB-4529-A60C-4C76CD0CE9E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E46DFD22-2FE9-41D4-9CF8-FF110B4C38A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6C8742E7-10E3-4A4B-8518-DE47B99D958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8E2B7DD5-42FE-4A64-8AEA-4652DD686CD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60958B25-B19E-4A6E-A2A2-7EEFFF0CE7F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364B69B8-3E7B-4DE5-8FAB-F9F94DF3DC6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F3060A29-86A5-4379-B2E3-8F20A71AB05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65A1439A-8DCD-4CB8-A7BB-05330D84C94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4FC07C50-552B-4F07-8ED0-59EE096CD58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8A9856C7-3EFD-4BAE-9CC4-8D8F1E72EAF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8A118972-425D-459D-906F-40BB1F893AB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2118A5EF-8C9C-4ACA-8E1E-025CDD7638F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C330F412-9673-4A49-9139-97834505920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C7160FBE-AF7E-4358-BBA7-3B6FB1F3CC1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8D7DD7F5-961D-4E8A-A592-A6CD51415E3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D85721A8-FCB1-49A7-9A90-BA2077EA3F3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0E5B0981-44A6-4823-BD1D-6E6F7B1D637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4D529815-1530-4E3B-B53D-4464AEB6B75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9BF2B117-E9F9-475E-8D6E-F68A72613E7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037240FB-27EE-4CB1-89B3-26001336F7A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2DE1DA3C-6794-4622-B9C1-B4822BB38A5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3A1E35BC-0A74-4AC2-8870-69E937081EB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5710C455-F734-4BB0-9407-3971585B985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F664FCE3-10DA-4A45-BD9E-3EE137E812A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E6A92975-C168-492C-A828-6534C3DFCB8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EBDB4C8A-D307-48B7-87ED-9DF93893CC8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45F921A9-3FAC-4CCD-9ABD-722FF389BB3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EA49F663-C543-4144-B789-3DE9E81CCE5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A77F267E-F44C-4CB3-9C7A-3E4C34AA88E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4A9F0C86-C466-4727-8750-26A94577342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660D4E0A-A065-42A4-A12E-83ACD5EB8F7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BA96FA2B-ED63-41BD-BEB2-38B5F1C1D71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13F5C4CF-3322-445E-B04A-ABC53310390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5612428F-34B2-476A-B830-A4594440B15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9EAC081F-4827-4572-A16E-E14DBCC3607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30ECBCC1-C06B-4A2D-A61A-6D6D299BE7F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84B36D68-DC85-4C3C-AEFE-9EEBAA0558D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8E34B580-0EED-48F9-A892-57BFCF6E287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D4D0BBF8-1F85-499D-9DFA-237D6598105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7FC67AC4-F513-4E0D-A963-EA5B0F88505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EA953D8E-BD51-4DC0-85B5-8E6F9287A7C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BF93CAA6-BC25-4E64-95C5-297D969345B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51A9E75A-3D27-44A4-AF50-9B3C867D346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5541FC56-110D-4EC1-B9D6-A05B34A4C93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79C222A1-5BCC-4E00-83EA-DC3E67A915B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32993B40-3EBE-4BD3-827C-187BB5A9672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16223FBD-20DD-4D9C-A35E-4E366CA11C7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49267C44-1B74-46F5-BF4F-10DF13D312A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59B4DE37-81BD-44D0-BB90-D5C6D72AB30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429CD37C-5493-45DE-8862-A0780479390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57F08114-AF3A-4508-B85A-9EA5C4C64DF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0B519ECE-2561-446A-85C6-B3D2A62CD2E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8662B9A7-CB65-42BB-AD6B-AB90823CB34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FEFC848C-28E4-4725-B490-10619EAFC28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F42E86D3-F408-4CA8-B8C2-3A2D7C146CA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44A8AFA2-F81C-4ED2-AD00-034D531AAB1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11D6FE31-AD29-44F6-9DCF-A71053C772C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139C9D08-8678-48D7-84E8-93A46DFB382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CEA94867-1602-4141-A7A0-44559B00C46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546574D1-AEC9-4526-A75D-7DA62FA4F1F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5072C782-39DE-498D-8416-9EA4E50DF20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8652C869-5805-4ACC-923A-2DE0B65AE19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D9D97BAA-4BE6-418B-839F-F85C3FD235A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FBA8E392-E4CF-4CB0-84E6-491ADF133DB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34F57D09-F806-4AA8-8D12-92DFC976007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D9CB5D89-1DC5-4573-81EE-20C08FE6619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31D30017-4FBE-4AA6-81C4-942995569B9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B757D418-DFA1-492C-8DE8-32474AA3792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3D63B7CB-011C-4797-BCA1-EE1E3EDA8EC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E86B951A-C259-4D62-BC6F-91DD10477E0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034F69A0-CE83-490B-A10E-C7EF5755BE9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B4953ECE-0C47-4022-A327-2185A399395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95D8E8DA-7DE6-46B3-98C7-DC47D68F972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73AF087E-4DDC-41EC-9B9D-41581CAC649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5B239F2C-77D2-4B19-BA13-7EA7B1BC798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F44A761F-5F21-4D5D-ABEE-A488185E245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DFD48A40-D8E4-4E2D-9870-628EDC0109B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8B34BDCD-361E-4246-9258-9A1E5B4E128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BE911FEA-A134-4FFA-9D5C-416CDF096A3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02AD0EB5-1222-468A-9D74-5F497C2422D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F803330C-4540-431A-ACFC-4921C9C36E5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904F8BA6-8741-484A-B3FB-DE79ED328BE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6044D397-78D3-46B8-AD4B-3CDC0B4168A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1A57353D-7AFF-44A7-871B-BB31A5DF70B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88D4E0D8-B310-4181-ABDD-A32684FF924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4A31B732-C2A3-43C8-9568-9BA46586E93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29B45EEC-2F86-4B47-88FB-AEF04F7F23D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603D2B45-497A-41E1-A64F-1300A395E27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20DF4036-7B0B-4C17-A79E-F8EC56B17D8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88B321CB-7593-4C15-85E3-FE24818BB4B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7A00A12B-F7EF-46B5-B8B3-D74EC4ED550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2BFE5D7B-C9DD-481C-B001-8A854B9ACDF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7558DD18-BB73-4FA7-B107-71FC9DADDC1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AF816444-6047-46AA-B21D-193CD49FB8D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9817CF27-2379-458F-9505-217417958E2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93BFB951-03B5-443B-A10E-3AF87ADC41C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BEC33B57-3EFE-4950-9AA7-D832AAAEF50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D3214A39-0CB4-4004-9075-F98487C4F4B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659486A4-C29B-4C40-A305-FB5CB62C6F6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9FA504D6-4ADB-4D56-A1C4-8C3EDDFF00C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646FBA7D-4FD1-4E27-9517-E0C9C1A7429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B4066D01-E57D-432B-969D-E5788043B6C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4DD91288-87BB-46C1-A0C4-85962A81ED7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0FB6E899-0773-4F43-B1F3-FA65FC3B25B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64A1A2F6-BB77-462F-BEA6-53ACA4EB774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344B0C61-BE6B-4FF4-8F1A-97B6308A5BD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3011E01C-B36A-4091-AB62-83199B3CFE8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AD754FAD-35DC-4CF0-AEFC-525C322A3E1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FBBF5E5D-CD03-4348-814C-C8AD3B6B7A2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A07D8ED1-FF46-4BB4-AC5F-43EA8D08565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E26E48CD-3AD5-49DE-B708-40A7A951BCF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2E7FFD63-390B-47AB-B2B9-D645C4FE2B6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1F3EA5F3-56D4-427E-A762-A9190C1225B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915A7126-C8EA-4A2B-A2D5-377922C36E6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900F7F02-E5B2-4528-BDC1-5B509AED2F9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BFB9377C-D1F7-4876-BF4C-D167C3FD7E9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B9E2D2E8-75F4-42AB-8AA3-0299ACE15BB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6769CFE1-BCF0-40A4-85B1-E01BBE039DF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406F5B4A-524B-491D-8501-1CD6AA04E11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8F071ED7-55D8-4487-8313-E7898BD40D3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CDB7F359-019F-4FE7-8C5F-D01586A5C35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1C9DA405-B216-470B-88AF-7AA2F1C5C75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51CB3672-8C60-41C1-95B3-708E1EFB410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5EBBCA28-0AC8-4998-AA67-D7FB1BD316E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FD85321E-F5BA-49F1-B309-7024C31979E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C5A3C5C8-F71A-4FA6-B2B8-BB4C2597F58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D6957077-CC6E-45DF-89EF-6DB6155A76E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7EAA58F1-CFE5-4120-BC10-A22A8F44C3C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95E02929-8ADF-47F9-99C8-3CD51F5A49D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525F8DCD-25C7-4D38-9558-6F1670EC8C4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22CED069-99EB-43E5-AE9E-C94D60E4039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768ACF16-533B-4EDF-A17C-3FAC665D5C9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DD82C251-A124-4C75-9CAB-CA2BC1A87CF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04118CDC-C21D-45A1-A7F2-FBA01105AF7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7FC633D6-E1D4-49EE-9C9E-964A49C8665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8318C0AE-2376-48D9-9375-9E09A0272C6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3C3D4D75-2B24-4E83-A583-59357534B23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E6E235AA-703B-452F-BB94-DCF4CCDD7F0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4FEEA2DB-E9A6-410B-8EDC-E6D37B4BABC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AAD8DA50-9EAF-4597-A4AD-69EE2BBF2A0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AA056731-556A-4F89-B81E-EFB1E8AC217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1F286885-32A5-485C-BD80-136CE8651B3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66EA0742-AC7F-489E-9773-9635DA58D5A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8EB5C900-E201-4650-B826-CEDACD5F7F8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E58E9642-3BC8-4CF7-A5E4-CA883DBF8E4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6B22C93D-A86A-4190-BD49-CEAFC045357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85BDDDBA-5559-4A6A-9DCA-F7BED4133F9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AA850342-2405-4F10-BD71-732CF3D287B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A7D50580-287C-4DEB-8850-AB9C9FDC121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4729EED1-3CE9-4DD8-95C6-BE2A492B365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73E1FB42-7014-47C5-8FF7-9AC4D63C0A0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C439CE8E-2335-447E-B370-E59C04FEC9C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F911D087-9176-4F2F-8964-9F2BE4CFF17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2D019099-4FA5-4E49-8806-FC14F15A524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CA590598-C2DF-4CEC-8355-030498EBC53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86303E45-27D2-457F-942B-69C12E62F8F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1D1C678D-6330-4B44-B404-5D293AD7DE1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EFE22FD9-3654-4DC2-A10C-300CAA36DE0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DD920A1B-2DED-4C0A-B688-F76A45AD1AD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F9432383-AFFF-4A38-BCD8-168BFAF737D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5500DD33-FCBD-47BE-ABE1-B2EFEB5302E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91E2099A-A441-430E-9EC7-473B12ACAA8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8144C7F2-4572-41EC-B060-0B8D014DA26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768D05A1-752A-419E-A79F-6B5B9B029A8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D9635F9D-8D72-4FF2-B4A7-054DF54080F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F5991415-A076-49BE-9B5C-BA1752C957F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8F1974D0-241D-4D2F-B5F7-71FCFA0ED1C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9BB45705-77BC-46AE-9056-33F6AD50EA8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B0EC644F-131D-4615-B382-0E825C9AD02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C4DC5668-D69C-4257-A88A-3B5FA18D3C4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B568B080-67BA-4F01-884E-8CDF63E3D6F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5F44B72B-B010-4B06-8AC8-0A331168D77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F60B55ED-0183-4B7E-ACE2-ACFBF771A1A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995265B0-2A29-4538-88E2-D5F842031D8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A952EC48-ED0E-493B-A675-E6CFEABEC48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CC7892F1-B379-4C1C-8CFE-78FC2C460F9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14D5613E-44FD-405E-B098-9F72FF9901B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8FEB7F6F-2C03-4CA6-8E60-F3C79FD7A15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B8B1B9E9-E17E-4118-8EE6-43F0932ACD1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3581E3FC-0808-43A8-A82A-87B3EEFF8FC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3F804BF7-6E38-4208-BB41-B9A06358CBD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85D29EE3-E435-4F44-9C5A-7B2E3DFA0EC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A71578EC-E116-47FE-A29E-16DA33CAB79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43CD4DF9-0786-4153-872D-82F2877D87D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D8C2A749-FECA-4CC9-B57F-552D699A051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0BAA2792-96B3-41DD-9E50-9ED6BC806AF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23D8997E-D7AD-4533-810C-C7295670450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653AA253-B9EC-4AE1-8129-E7C8B436013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89C0EE29-833B-47BB-A894-196C9F84283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F4C1DDB9-2030-48C9-9EEF-01BA7D30112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A499BE47-37DF-4106-8910-F0D3C4AC574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98DB9965-E0A4-459F-AEB5-72534096475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32A69FCF-DEED-4EAF-9FED-8CFC6A43F5B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8D0F4F07-87BC-422C-A0B7-DA47DCB30BB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9BC11C52-2760-4B3B-A9E9-E0C8E71F129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57F05841-3C03-465B-9403-DC22DBDFA5F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4739D981-CDCF-4AC3-8CDE-D482AD7B21C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A7D9BC23-E101-41A5-9E11-D06FDD67A42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57F8265C-4646-4A6F-89A8-CC29F126A55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0CC06B16-F48E-4211-972F-D76BBE4116A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EB29D1A4-335D-448D-9288-122D65E92E1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95D720C5-CD09-4373-A08D-907FA133CBB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6DE36551-5AA5-4F97-8514-DB2F1E95D0A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4178119E-8EFF-41E6-9DA5-362CA542AFC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56D28BE2-A34B-4009-8CFC-685ABC3D9C9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71C4FDBA-28B3-4268-8F0F-343D196CB58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774003BF-DBD0-42E6-B740-2D3A31000A8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B23B73FC-C5CB-4342-8642-09E945B9940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F7F9EB4A-3258-4230-9F6F-B6238ADBB19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BF6E9C8C-DB6C-45C0-9C8B-261ADC97F78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282E5D47-C801-4FF0-AFA4-FC3D32E1C6F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6F9D39DE-A90E-4AF2-AA30-DB41D418937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D5B321E4-7CA4-4B6F-B43F-077BF04C79F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0BB02085-74CE-4DD1-9256-333D04051DC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733BE24C-BFC1-41B6-B5F3-78845CB45C1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F8140DAD-62E9-41F3-8403-EB649BF1855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A975414D-3C90-4928-B8C9-FE98A744AA0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8CB37513-A85E-4CF3-9A85-E0A76640790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E397E1D4-67F7-4D85-B316-43B4ECD7CC0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60457824-2A03-4C03-892F-9D028219F7D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8DF9CCE7-84EB-47EC-AC0F-22055A69245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CB092F1A-F628-4F21-BECE-66C447C4648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9CE3180E-8421-4329-B8F4-DF762F8AFBF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AC55C687-31EE-4D35-B17D-8C8C1A36ED0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F5A86DCE-4F5F-4966-B300-3378D26C0C9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4AC4E2BB-9176-4C25-8399-44DA2A3ECD8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4E062C68-DF80-40D6-B24C-DE2EAD5DEA8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2B680563-6D2D-426D-A729-C92B117B31B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B1C5B08C-CD02-458D-872D-75044FC7411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80179C5C-790E-42DF-B794-41BB8A4BD9F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6FEC25F1-C0C3-4287-B38C-042F7AEFEF3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EA724D67-959F-4CC1-918B-A4CCD95F793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C66DC4DB-197F-44DB-86DB-DD70A615A8A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CAE16223-A9FF-4775-B2DD-CD3D3EB3C2D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18075BEC-4459-4B8A-874B-F3409B83D67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B32D2BC9-88EC-40F5-A55C-E7995460E40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8B132161-619F-4B24-87D7-1BBDADF17C2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7D05D1CE-1547-47AD-9492-6F10972A116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7BDF2DB0-01EC-4CF9-8E9E-044B1C297CD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36F58114-D16D-4FE3-AA98-C72FF7ACF00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E0C71114-8B24-4AEF-8211-78C1EFEC3CE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D7A30983-1916-4693-A74F-A0C942F9774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3A5D1CCE-E7B8-4246-8ED3-B94F8D31C9B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3C0EE73A-704D-45F2-AB5E-4DC5A51A996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95066B14-C449-4B4B-8AA0-F8045B686DD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5C04DBAD-448D-4023-9399-C5B254193C7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B22DBEB6-F095-4FBD-A9CD-FABDB73F526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5787D15D-34C9-4223-B38B-694CF965764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22146A29-4F57-4936-BEDC-285F3CDF278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3CFF376E-C104-41BF-88C5-BE58DD0D32C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51DBD514-F172-48DD-907D-6706A98DA47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6013E82B-C255-48DA-9CE3-54E4658552D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C84E97C6-8B2D-4422-A410-3A78B07A560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501A93DF-FFC4-4F53-8267-AD7ECB614BA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317B8037-E4C4-439F-9D67-A5A4925FD03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FF5082B1-0A3F-4562-94A8-174131E29A7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CAA639C7-E58F-45D6-B7A1-A1CE1516E2F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CB96BC1E-3592-4678-BB5B-F96C2286FAA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EA3B425A-A2DD-4169-8387-800082AAF59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AA3A3778-3FDE-4D8F-8F98-0120354D53A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CC61B69E-B9D2-4D35-A422-8EB4ACC3EBA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71BC05B9-D28E-4606-B8E2-513C6B5F1C0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54837F4D-FDDA-49FC-B6D4-A2BA7F848B5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1B75E8E0-6B22-415A-B03A-8E5DAB53C8D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D94A5AA4-8D6A-4918-9565-B248C482FE9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EDF7BD2B-E256-4360-B3A3-29CB88DEA90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D8F239DD-7573-47CF-AC80-23412B9ABD6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0B45B1EA-DBD6-42AF-BB4E-D50BF32F0F6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7C4CF3BC-FE9F-4677-9F1D-267B1250136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ED5A648C-7872-40A9-AC59-5D58C523A39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C92870EC-5485-4284-9A3A-596FBC24025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D03BDCE6-8F79-4136-8B91-4A397320DB1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8BE6B34D-F771-4518-A5EF-16384B8B0D9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E44E5BC3-7712-4CD3-A099-DD6C472441E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AD20843B-E852-4BEE-A321-7742640FDCD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C52F1600-BCCB-496C-B91D-FA701D5282E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6D53E561-CDF6-483B-8098-5C893EBBA40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B5A1A2C4-B330-411B-BB72-605FBD06719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61E73712-5518-4C66-A99C-24DB8A9BC48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D90743BC-9D61-4725-B328-0157EC5A9F2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361CF902-DFF9-4F92-98CD-0C5D33B25F6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D527A47D-AEEB-4E84-8985-7629FDA4794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57243000-0EC7-43B9-B334-81320AF455E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2959FF76-79A1-4BCE-88AB-CD0027D04F8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8BF1F57A-5995-4D49-B892-D43B8AA31C3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5E615DDE-5F9E-4D22-87C3-D5F71AA3A7C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7A2A57E3-DE87-4C75-8034-EEE15285777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5A88BD01-C54D-4CBD-AD9E-4CC0E77549B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50A9FC58-545E-4719-AD1B-DEF58B8DDAA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782E6835-3F0B-4BBE-AC77-F68D4766608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1C84E416-6B0F-44A5-9F33-41B8D8A6A8D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FCD71E56-C3AB-4921-AD42-D1A662760FF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C836ED48-9268-4F76-AC90-37D63F4B78D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379DA91D-C94B-417A-9B38-A045DBA8AD6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04BA27F3-698C-4D96-9DFD-2F31C2E9468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586657AE-7AD9-43B1-8DF6-024C1A554C4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71263187-1E09-450F-9033-BE8D57BB977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D8F06D4B-47C2-426E-93E9-9BF2DF34DFD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5E765DF8-C180-42C8-9CE4-5890392E35F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E92C9791-DC50-4BF9-BE3D-DDDFD3C9A2C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6F1A913B-D3AD-4C3B-B35E-EB223A22FA4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B223F96F-9CC2-487D-BD79-FF52FECDB10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493F72DC-B1C8-4BC7-AB37-7A8F31B1EED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AA4426B6-5212-49AB-8BED-8DBFDD2881D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CD2BB303-4AB6-4005-9E09-6C9BD567C42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48B439D0-6D25-49AC-97B7-A5E992818BC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F75FFA1B-1131-405B-B068-2D351B242B4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C15FCAF5-447E-4CD4-9BA8-4BFA9127E5A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79955C99-9256-45EB-A7EE-518BC864869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4326D49E-8C9D-457D-B5E5-E901A70D985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D8FD8C3B-9940-4C9A-96C0-081CFDCB864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646B79A5-45E1-443A-A971-4034DF908F6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6B17738A-A4BF-443D-850D-51B936FCE56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AE731F45-6970-4F3A-880A-73C50FE681F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1F36BC02-3802-4F9D-968D-78342EBB3BF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F3ED8873-51C9-47AB-9419-0D2C99FD429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5358BC2B-B512-47BB-9D60-A711C1C410D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AEE719CD-1F91-48AE-92FA-0863BAD17C8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8BB8D8F0-BD8A-49E8-9B17-9804A740B56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43B0CC19-14AB-4FC9-BF02-EC7B0EB0EB5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F2A92D4B-D4C8-40E5-A788-EBEBF60A73A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B2286010-AD10-45A3-A0D4-951EB1F98B9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2C67502E-2AA0-4416-B552-0C73083A2C3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666DBC79-D98E-4513-B939-A73BC4371F7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EA6E72FC-77CB-42E2-AB87-FB4C04E09FA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043F4973-CFB9-4548-ACA3-CC0D33F3ADA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699A6A93-4028-4799-A363-AEE9EC7FE6F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8E907976-1AF5-42D5-BBDE-BBA256BF927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84C27171-33F6-451D-A58E-3210AF2F233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8D88F62F-4620-41EE-89F8-FF7735E0BC2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031A597E-E037-47E0-8CB4-550D6B8FF67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8BB9A2A5-B3E7-4EC8-B2B2-E008610C60C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9F540452-E5D0-4D77-AC6C-598AE02B3E6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39ECAA77-65D9-45A4-977E-6E5C05AC1B3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4EF99E89-A962-4FE0-946E-46CF9C74F92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51F2F5EB-0DCD-44EC-9B30-B30D8DE484F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0D5E4C11-68CD-40C0-B951-6C71321F542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1EA73DFE-7345-4E65-83D8-0293D8EABEA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5B76E246-BC7B-475D-9F2F-0750FA49BC2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F455B945-2F22-46E7-B3C2-2FC0E71E2C9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791ECFA3-F8C0-4519-BCD2-CF2599CB5AA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D6BA0ABB-BC1F-42CF-B934-CABA2D5BD58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586DA064-3938-4131-A0ED-31C17E6EDA5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91328268-8928-4CDA-9E5E-8D5FA8A3053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5C8BF4E3-CC2C-4BB2-9D7F-8076C2658FF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E19F9EBF-CAB3-4F0F-9457-7E518E21E08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C86A2FF9-A7A3-4636-9B3C-AE0D26E1B43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D33BD5DF-09E9-4B95-A8EC-78FB2B6B059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F0A00042-F03A-46FC-99C1-A802C65C1BF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E7B09DF2-B466-4DC7-A868-BEE97531D82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23517156-4A6E-46CF-931A-4F01F5F4729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AA318CE8-1499-4F2C-8510-88CB27CC581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41E2B713-6045-4A67-B049-2C72378ED16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C12D25E9-6218-4309-B404-4C8494CE614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4FDD3EFA-D19F-474A-A5C9-D2E2475CF91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4A56C421-8919-4A94-9718-7BE870C2170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82569ACA-DE57-47BC-8862-15DE854597D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40400887-B1EF-45D4-96A0-B2209791613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4ABA3120-F414-4BAF-817B-EAB07141139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DE06FE15-F3E8-45D4-A2D3-85B0B6A79F2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A1C9A72D-D2D8-4A40-8C58-D65CCBE9795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8D92A8C0-F8B8-4B82-A184-7A8E646C017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55CD0347-C166-49FB-994F-3B4EBB26429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FD75BAE0-4F97-4836-AD0B-9E5362481C4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EEF78167-00BA-4786-9248-A91A03F5A3E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A4E3DD97-7C51-4AA9-8408-E0C377AD4C8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EBD6A884-E957-412A-BF66-29C90BFF087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7180A671-E6A2-46E7-8D31-9A48EBEBA5D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CF74C407-4F5A-4FEE-AEBB-493130FB9F1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BE9E451B-C88A-421C-BE35-79AD221509F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AAF5D5EC-00A4-4C55-9DB5-A537E1FD317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1DE02F44-CEBA-4C50-8453-9D8367D47B6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01F383E9-5875-405C-AE94-004F3D22C7B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45DA42E4-6259-465D-A102-05487176E66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5AB27F27-799B-4D0A-BA99-4F7699F4105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91C21796-7887-4DC4-8F8A-EFFC8062101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22D56C23-AD37-4618-BD37-817667D0FFC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237693DB-B019-4EF4-A423-FB8D8914009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E64298A8-5A2D-4984-A8EA-F5E5ECC059D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D442675F-FB16-49F7-8F38-570968B369B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1A2A55E7-DBC6-4D67-9203-C09620D7EF7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44ED8757-CAFF-42A4-B910-638F39E46E5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2EE9542A-FB24-4694-81CE-E69969678EB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27BFF127-9100-4CD7-9910-055A35C76D2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1DD723D5-6A67-49ED-9D45-286519F5735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E5284F69-F855-4112-AA28-05D02C40CF6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E8785C29-0A43-456B-9C40-765D01577F3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D43DA40F-E3D3-493B-BB04-D365B5C1C2C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40E2F12F-BE10-404D-86F8-A4FA7F425F8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565CC75C-F292-4FCC-A474-9F255353D74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19EC2276-6192-4972-AE95-F6CFBAB7D6D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562BD7B7-74F4-42E2-A380-5816892A8CF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8A6940C9-0A20-4508-A0D9-864F92D7638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0BC870FB-C0C5-467D-8E17-DE9A58B3CD0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7BC96CF9-5298-432C-8FB2-0671FF5F8B7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10A18DE6-4C57-47B8-8EBC-6F56A9023B7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9AC6B8A8-7E2E-49C5-B292-5F77AFBF09B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3F0717D0-11DD-4C27-9020-74A83A8FDE4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DEC13948-C497-40C6-97A6-DEAB5928166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5576CCC4-26E0-42CB-993E-0F918E43994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0EBC58FA-C0A5-42BF-A7B9-87BF4DBBE5D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5FC60284-4BC7-4DF6-BA26-2CD3424B329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2EDCFE03-E8AE-400A-B2A5-A48A30FB2A9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E1F44610-3257-4D57-974F-A67878E4969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4AB8DF28-38C9-4B0D-9097-2C1ABAF3E85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C2E2C287-093F-4BEB-8998-4A7CCF992CD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921812F0-E727-4A0E-904C-89B30FC908E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8677296A-19FB-4793-9F3E-505ACE4AFFA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FF785074-8624-4D62-83EB-24A71A2D229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B245C775-FE7B-45C6-AAD7-D99244613DE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81226B3C-6DFD-44F9-9AE3-082BBCD9EB5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CD30ECBF-F6CF-4303-88C0-0611771D038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3BE8EDCE-7C86-4458-8904-26FFE70C4F1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FFFDDD16-838F-4360-862E-09BF7F65763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485C14FD-0C0B-4D08-A270-79E8A43BF28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69D2B5A9-386F-4647-ADE4-31C2EAE51B8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FEA3905F-7660-4E78-8A1D-E87247CD807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D9F791F4-5226-4EE9-90AA-B0498FA35DC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C2822D69-C1F8-412C-AA4E-60A53028330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EBA4AAE0-D3A8-4ADD-8081-C22E312D2FF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5613A89A-A8E4-49AF-BB33-73CFAEA18C6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4A73B8B7-D1BC-43AB-98F9-CB2D7048AB7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40F4354F-BD85-4755-8E63-005D4753336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CA7E699A-52FA-4D55-BD9A-1AFF06944A1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AA65B60E-E24E-4F2C-B343-823CE57F95C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3908EE89-A565-4FF9-A5D1-4B9B93E95C5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9078E350-55A2-4499-A4BC-4E75EBF3A5A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42775E0A-1864-4ED4-BC73-10A38443C45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27E40D5E-D6D3-4425-9685-E307B06D19E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2794B89C-9F6D-4CBF-AABA-59D61C39B8F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B2277067-89FD-41A2-9CE1-967AF925851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1B79C274-2D58-4AE9-9A29-FBAD4FC7E8B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6903C4C0-98F9-4C9A-81EB-BB122B7855D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D02DD4A0-D443-44D4-A43F-DEF4D7F5CC9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DB3AAD0D-6E78-4A77-9AF3-21E2ECD5147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2D276584-0827-486A-A7F5-41345D86800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69A4030F-440B-4797-8547-794E1E10D09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F630506B-9343-4CD4-8963-B0330868537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2EBF03C1-43FE-4AEF-994D-1FA6631D818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6EDDDCFB-0B8F-4612-8138-9EA838A4031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782DD1F1-B29B-4EAA-8801-ADA31D6F427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C28A61C9-6784-47E5-BE72-84424542017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0201B53B-F86E-4418-B897-970502E0B7A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1C722F0F-9761-4585-85E4-C6E7EFDC9CE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7272D8D5-5B9F-420E-A5FD-AC52B446BF0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02BC5BFF-C6D4-4F85-AE83-B15FFD72639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85AA9990-FB9A-45DB-AAA7-659346E5CAD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F97BE3C6-7F1C-4A04-9E07-030DF087AB9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F9512BEB-F99A-41EC-8F38-751EEA5630A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69A698AE-53B6-401B-BC77-F51D69A6019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F302A3A8-540F-44F5-94B1-14591DDDC45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23CAD3BC-8977-4D99-ADD1-173AFCEB757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944A1FE7-6821-4BEB-A627-0B2A25F4219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A47AAAC0-664E-4AF6-925F-E7A9F6C6EDC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828F6FAB-6E47-4253-A2A5-9BDBF859603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9B79DB03-F7AD-4FB9-B83B-FE4C4AD6778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547CC4B2-927A-4127-B078-B38EBB19699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9A749FA9-AAE8-4C2C-9C88-CD5FD1052DA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4E9DA339-B89B-4004-B6C3-977172BE1A3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13ECBF35-9F3A-4AB8-9598-6CC1D1E085E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E7E1814F-85A3-467D-A330-CA5E06EB9DD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008BEDCD-0CD7-4481-B181-8777F334F16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357FBD6A-207D-49CD-9561-02F1ECBB787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15E27585-1180-4640-B1E1-AC3017C6152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02B9BAE4-F963-4218-B1A9-76D2578A1B6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F63EAF78-924B-45F1-8C4D-35141FC2650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862BB44E-CD66-4346-BC2F-8F2F39F2DF5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0D69BF39-7914-4B0B-9C98-25000BA63E5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A5E53D62-4A5D-4C92-8DCE-65C11470DA9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990656C5-3134-4623-96AC-A63474ABD8A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738AFD9A-20E5-4A05-8AB7-B30DB3FB951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3CAE4175-EBCB-44D6-8E4F-AEF034AFBC4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438EB094-27FB-4471-889D-8AC5384F1D3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AFDC5559-5484-46FB-86BD-0E05F4E6A28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43972946-960A-48B2-A84C-164EA967727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930A695E-ECEB-4766-87D1-8B391D1C301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47DC5707-260E-4D19-8298-5B508B7E144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ACA3EE14-D097-4ED8-B90E-C2C36F1AB11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3A151801-12AD-422D-858A-9BB58BCB47F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3779083F-85F3-4345-9CEB-456AA0F4A36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B320907D-DDFF-4C65-8F10-7DDFC63F1C2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4B55B446-BEE0-4511-892B-49BD37D5676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186CC8AA-D407-47B6-B934-893E0CDF19E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106B4EA0-BFC7-4534-B16E-5E952505E7B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8E8A8C91-BE78-4591-8EC1-99113BDC365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9832D9D4-459D-445A-A55E-967F341E032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BA7E7E4F-0C06-4E72-BFDC-B26EE996A45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3FEB61AF-9F58-4731-AA61-9F58465ADF5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A9A4CC5E-8C3D-4FD1-96BF-89CDD06878C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33E22FA2-C950-4577-819F-752761137A5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9149A4E0-DE1C-4A13-92FA-212FA511722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FD2070E1-4F74-425D-91F0-AFCFD39B491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65911FEE-4ABF-4B6A-AA02-A8053AA1756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A375429C-C742-438C-8795-9AC4EF8EC7B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A1CF3F7B-8CB5-4EE8-9B0F-D7B823DDF46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705EEA20-1722-4CA3-A8F7-A22E0EEB766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B2FE52F1-D59C-4E7F-8EB7-FFFE4DB093F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FC0A8DAC-B875-4A32-9207-1FD46A5C189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FAEB26A9-19C0-40AB-B680-F27F281BE3D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F340D373-DB28-4B5E-9775-5A43B44E29B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FDA94C2B-14CA-4910-8B31-F0E628B1194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D7B02F04-F372-4A26-9551-8C135126B89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B59B2B29-563D-475E-83BC-ABEC88D5DBA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8584CECA-80E2-487E-B14B-715F6223D02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0491C83D-AC7C-4B5C-BAA7-CE3096F9101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1863AAE1-555F-4E89-B476-6D799AAAE12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28BF1581-DD26-4BE8-AD38-C3AC596E324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8BD67B1C-8A0A-4972-B106-214F0FCD7FF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CC311946-AAD5-47CD-8DD4-00026F7F74E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2E609636-36D1-476C-8DB9-96C4E12D094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4D300737-086E-4690-99D0-5AA96818359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EDFAED3E-79E7-4F69-9297-DEBF7628905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52F4EBE0-7320-4CEF-B71C-43854DB58A3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12DA0085-DA5E-451A-8CFB-8743D786288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2B7D60C7-BF68-44B7-8181-1A5120E4E12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B5F98DF7-7C84-4D6E-9520-EEA5A8EA706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8CD7717C-A3E4-4EB8-B291-B31CEDD9DC0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287EB264-D11F-422A-832C-43C1D2D865E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62248AEE-7D53-4F2E-95F1-E5AC5CBA9AE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72E4D4D4-D53B-47AC-871B-919F6540ABA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A3BC3778-8366-45A0-A4AD-A6E733F562D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CD84F824-479B-448F-81D0-215BFA192D5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BF8693E2-3A93-40F9-A201-A07A6AE6699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E55063B2-29F2-4C4F-A953-BAF8B98B7C1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3F634C68-73C8-44AA-8A0A-CC6B39DEEF8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FAF715A9-017D-49E4-9500-6542C3E599A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E89C6C20-A262-4FB7-9D54-C452AED0078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50B50004-2977-43C9-A00C-82BE90AED08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5F944EB1-522D-455A-9296-3C532486769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DEDB4B49-80F0-4AFE-962F-ED8598FFB20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63310EBB-5B4E-4FB9-9583-B0603F1A256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B8128C42-67B4-4D0E-9558-C31181A4A27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B32C3D46-BA80-4591-BE56-BD7B9A4AC4C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AB38C171-FFA2-4661-B570-BD155396D3D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1EF36F5C-ABFA-4D95-8808-A9A8B7C626F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43C7B51D-1EF3-4FD0-A978-D6A9E1DBC64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515ABC7C-9EDF-460C-B46C-A3233B3CF96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33B78191-6708-434F-B09D-C3C09739BA9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450EE50A-E1C9-47FC-B311-7EC5CA805DE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DA7B7E8E-90CC-4FDC-B38E-71F4F6DE8A1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82E94BCE-3589-47E7-AAC4-4C7EE0171AA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67AEDD8B-93E8-4745-9496-955B1BFA1F4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90FEA7A6-C648-47E7-9702-AC32138E20A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42BC89F3-5BDA-4F7C-9860-4156CBAF795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7A6218F0-361F-4B1B-AC05-241E908416A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D4E721F6-6BED-4260-A329-1CD441DEAC6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6B21A896-3D0E-40B4-B2C7-EBDCF42A82F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3995AC03-C81C-4ACD-8914-83E782A7545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3C190D26-F23E-48EB-8256-9B316B54875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F244D444-64F4-4537-B890-8B9B5438728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DC42F286-8BC7-490A-AB85-2A85E341FE6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2786B738-1826-42DA-8AFC-EC7A110FAE2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23A80B07-60F3-404D-80BA-D336048281E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94000C4E-5912-4AB8-8317-B9CCD269779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5004071C-D6E9-4E1D-8ABC-19840592DA3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88E8CA1F-F612-4470-8FA6-98B82A4A9AD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979D1FA5-68F9-4257-927B-9FAA9A6A2E0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E9A09FDA-6A60-4A4E-8D26-AD7B45EFA285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83</xdr:row>
      <xdr:rowOff>0</xdr:rowOff>
    </xdr:from>
    <xdr:ext cx="342900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D5523FBF-D563-48B4-8460-63ADAB62C90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790FC43D-E999-41E4-BAD2-358E0EB3D77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20F92543-6E66-483F-ADEB-60C41F87C696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F3654E0B-4BB9-49F3-9110-3428193E381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A6015481-1B04-4AF5-926D-2C6D112851D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5E268ED6-FE98-47F8-A5E9-D9ABED6C474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C347A261-588C-4712-9635-98D5FCB32FE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B16E4EE7-BAF8-4DDC-948B-88FE32A2679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07DFE429-0999-41AF-8AC8-14757D264B6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7FDF598F-E00C-4185-9AE8-95EC8947E2B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AB879C86-72A4-4148-8BA0-D18BF204137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4F856FE2-8D05-4069-AE29-8063F4C0490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6B3B04E2-7871-48EA-8B1E-B5519C95771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71B3D604-CDCD-4CA0-8AA1-AEADD2000DF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1694AEF7-D46B-4174-94C7-D5F53554B71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B4E96872-7255-4167-B4E3-FB0E4DF342EB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2E80E9B8-41AA-48FB-963C-7A5248FCD6E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4D56DBB6-530D-4C37-B140-59F4A5BE577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BCE0955F-4160-4C0F-8ACD-7E606921201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C35BB34C-B44D-445E-AD4A-E38B5038EA3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EEBEC49C-687E-411A-AA86-475D45293128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50C7A539-FEB3-4047-962D-24467A552CE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69AE33B1-0466-43A0-8AC7-7E4DFDC5EE9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DE781E44-1F4A-4F74-BA8C-450BF0E5433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279827B5-3A7A-45B7-A7B8-41AB54CC2AC2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AF8BDD8B-F5AB-4F24-B163-82B0DDF0BD3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4E464432-DC6E-46E7-AFFA-1D3C89D94CE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1050E857-4B82-467D-9DC4-9484B5BA32E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C418FA03-433E-4EBF-A5F0-20F61BE4AF0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84FD0B09-2996-402B-B7C6-F15D7B729A2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877146A0-7C3E-4E04-8FD1-F3DE7853B8E7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225E598B-E2A6-44E0-8395-93D0E8FBFA8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EF6521E4-CF05-432C-9816-2217846828B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56FA518B-29D2-4628-A6B6-448E2E6FD640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EF96B70C-1A15-4572-98A6-F5DC289968E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BF5B91F3-244C-4DF9-8C9A-8CD371BFE6B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28FFF3EA-5F37-4E60-BF68-C571B4FB6C4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68251AEA-B8F9-4492-A222-DA70B354FF6A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0B88AE02-835D-43BD-8630-58471A7CD72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1B2249CE-8663-4CF8-AEF0-9C5F85A78A9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A8B7982C-A3A5-425E-829F-FFC828C6A14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8CC790AC-CEF8-4A25-92A4-3227BD633A31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65245078-68CC-43B1-A073-BD7C3A3FA89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D9FB8262-0E3F-4E82-8FD5-59B016C2CB1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9BDC54DA-6B37-4DE7-BC54-5DB61DDA5443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04801BF9-D69E-447F-98AA-FB19B16EA5DC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6D2E4E6F-DDCC-4A32-B03D-24D3A2594A1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E5DD938D-3A7A-4374-BF53-D606DD05BE8E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5F82833F-7DBA-43DD-8F66-406F96EDD35D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C503D3C2-B3C2-42A6-8686-D1EC38F098B9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1EA27AF2-F795-4190-9502-0841CA85041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0A745C52-8BDC-4EF8-AF29-BF480E5FF1A4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84</xdr:row>
      <xdr:rowOff>0</xdr:rowOff>
    </xdr:from>
    <xdr:ext cx="342900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A05CE6F8-3B53-4022-B9F6-A647737A9DCF}"/>
            </a:ext>
          </a:extLst>
        </xdr:cNvPr>
        <xdr:cNvSpPr txBox="1"/>
      </xdr:nvSpPr>
      <xdr:spPr>
        <a:xfrm>
          <a:off x="1590675" y="24765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E05F6A82-A908-4095-999B-70881FEE0649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3C64D238-04BD-48A8-978D-29EE9E3FD687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DDEAB726-DB8F-4F9F-AD4D-16F5D7B89E1B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9E9D531E-433A-4CE1-9FC1-1773CE3A0F07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A5F23E10-FDEC-4228-BEEB-31D35D293AC9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1A5A5E26-5DBA-4A01-B10A-97078BC517FB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8F9C9DED-7F55-42D5-93E3-160347A90283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9A6A4768-32C5-4C58-8F99-31EF898E2D2B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CAB76D46-096C-4DAE-86E2-E18368E3DB4F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992354D9-F38C-4657-AFDA-8225E074C2F5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1B03CE5D-6E17-40D7-BB17-68E57BD4A58E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A956E1D8-AE50-4F4E-849D-9A5B5132E762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7BDDA941-0E41-4F1E-A727-BBD152DD5F2E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F237946B-7979-4A6D-872C-6E4BB2F98AFA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9C8C3BB7-28B4-4160-9362-F43E7143C147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348D5AD7-F67E-4A58-A883-69045B2A08FF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D8B313CD-4497-44F6-9626-931A6BE96C8B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929A9297-6E45-4160-A523-0E9428F5B5C0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B75E5E71-B088-40BC-AF5F-C013D139BD9C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73</xdr:row>
      <xdr:rowOff>0</xdr:rowOff>
    </xdr:from>
    <xdr:ext cx="342900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BDB8B630-E31C-41F2-ACCE-E5336B45B524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73</xdr:row>
      <xdr:rowOff>0</xdr:rowOff>
    </xdr:from>
    <xdr:ext cx="342900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72F0B1D1-4822-46D2-8CBF-AF41AC09A885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73</xdr:row>
      <xdr:rowOff>0</xdr:rowOff>
    </xdr:from>
    <xdr:ext cx="342900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19A7637E-08F5-4599-8FF5-7758EFA8B94B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73</xdr:row>
      <xdr:rowOff>0</xdr:rowOff>
    </xdr:from>
    <xdr:ext cx="342900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FB125D9E-DC68-4324-B6F7-85B6F1D19A59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73</xdr:row>
      <xdr:rowOff>0</xdr:rowOff>
    </xdr:from>
    <xdr:ext cx="342900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AB72A8CD-8247-492A-865B-45905F3BC70D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73</xdr:row>
      <xdr:rowOff>0</xdr:rowOff>
    </xdr:from>
    <xdr:ext cx="342900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10877302-54A6-49A0-9C4C-28032B68B64B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73</xdr:row>
      <xdr:rowOff>0</xdr:rowOff>
    </xdr:from>
    <xdr:ext cx="342900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DB065AA9-7A84-4202-831A-1700477BF0B9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73</xdr:row>
      <xdr:rowOff>0</xdr:rowOff>
    </xdr:from>
    <xdr:ext cx="342900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D5D3A48D-3BEF-4AD7-9965-18B1CE8CAB47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73</xdr:row>
      <xdr:rowOff>0</xdr:rowOff>
    </xdr:from>
    <xdr:ext cx="342900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E26F0DAA-FE32-4E2F-92F5-12D08D3CF8CA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73</xdr:row>
      <xdr:rowOff>0</xdr:rowOff>
    </xdr:from>
    <xdr:ext cx="342900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7211E0EF-9CA9-4298-A4D5-60B03689B564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73</xdr:row>
      <xdr:rowOff>0</xdr:rowOff>
    </xdr:from>
    <xdr:ext cx="342900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A4C53758-EFF1-4787-8F46-12FC3C4E0DB7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73</xdr:row>
      <xdr:rowOff>0</xdr:rowOff>
    </xdr:from>
    <xdr:ext cx="342900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02055954-0A47-4E48-8A17-C9C179AD3F25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73</xdr:row>
      <xdr:rowOff>0</xdr:rowOff>
    </xdr:from>
    <xdr:ext cx="342900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3207F84B-5473-411B-BE92-E7EFD4E1410B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73</xdr:row>
      <xdr:rowOff>0</xdr:rowOff>
    </xdr:from>
    <xdr:ext cx="342900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323BEC21-5953-41B8-B1D2-55ACCB7883FF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73</xdr:row>
      <xdr:rowOff>0</xdr:rowOff>
    </xdr:from>
    <xdr:ext cx="342900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AB29EA0B-C790-4F8D-8981-DA7BFD236032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73</xdr:row>
      <xdr:rowOff>0</xdr:rowOff>
    </xdr:from>
    <xdr:ext cx="342900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FB3E3C35-19CA-4423-883D-9E855A75279B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78</xdr:row>
      <xdr:rowOff>0</xdr:rowOff>
    </xdr:from>
    <xdr:ext cx="342900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9D2DBF79-29C7-4E5A-80DA-54747269ED53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86</xdr:row>
      <xdr:rowOff>0</xdr:rowOff>
    </xdr:from>
    <xdr:ext cx="342900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780ABC80-905B-400F-A9AD-0015E8C49633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r"/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C2BE1A12-B835-4224-ACA1-7A180CD5DE44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803BA2F9-AE41-440B-A499-80DC3CEFDC6D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F1D05387-70A7-45CB-BBED-401FA3CC5B84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14310FEA-7B1C-4827-A388-DDC869571EA8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D7DE27C0-6F5E-4ACA-A3E6-9FB7E3ECABA6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64E2001A-6027-42F2-A0AC-1E9978B372D9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5E5F2C96-6020-4C60-B4F2-41280961ED4E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E26B6319-D623-4FA5-A4FD-2C4D8405EB59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B9C89A32-3B08-4D1D-BB69-E7A911C0CBC5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5342F28B-842D-4C7E-B3DB-788D2FD913A5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69805C57-27F2-4967-9E07-B09362CB627E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D2254DAE-5F65-47FA-887C-E6D160C90169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DAC2DBE4-041D-44B0-B1AE-57577BD91C15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6F0C7B97-88C5-4052-B21D-2E9B8F7C2BF0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99</xdr:row>
      <xdr:rowOff>0</xdr:rowOff>
    </xdr:from>
    <xdr:ext cx="342900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36337CC9-5D55-4F0E-B624-76E2BAA447D5}"/>
            </a:ext>
          </a:extLst>
        </xdr:cNvPr>
        <xdr:cNvSpPr txBox="1"/>
      </xdr:nvSpPr>
      <xdr:spPr>
        <a:xfrm>
          <a:off x="1590675" y="55626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99</xdr:row>
      <xdr:rowOff>0</xdr:rowOff>
    </xdr:from>
    <xdr:ext cx="342900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4B00E2A6-5275-4D2C-8D34-0E32E56D7A97}"/>
            </a:ext>
          </a:extLst>
        </xdr:cNvPr>
        <xdr:cNvSpPr txBox="1"/>
      </xdr:nvSpPr>
      <xdr:spPr>
        <a:xfrm>
          <a:off x="1590675" y="55626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99</xdr:row>
      <xdr:rowOff>0</xdr:rowOff>
    </xdr:from>
    <xdr:ext cx="342900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9EFFE654-F1B9-4D88-98D6-4ADB39C4D3CB}"/>
            </a:ext>
          </a:extLst>
        </xdr:cNvPr>
        <xdr:cNvSpPr txBox="1"/>
      </xdr:nvSpPr>
      <xdr:spPr>
        <a:xfrm>
          <a:off x="1590675" y="55626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99</xdr:row>
      <xdr:rowOff>0</xdr:rowOff>
    </xdr:from>
    <xdr:ext cx="342900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66C5528C-E481-4A9A-B03D-29667D659C5A}"/>
            </a:ext>
          </a:extLst>
        </xdr:cNvPr>
        <xdr:cNvSpPr txBox="1"/>
      </xdr:nvSpPr>
      <xdr:spPr>
        <a:xfrm>
          <a:off x="1590675" y="55626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99</xdr:row>
      <xdr:rowOff>0</xdr:rowOff>
    </xdr:from>
    <xdr:ext cx="342900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8AD15944-71B4-46EE-9881-6DAC69029348}"/>
            </a:ext>
          </a:extLst>
        </xdr:cNvPr>
        <xdr:cNvSpPr txBox="1"/>
      </xdr:nvSpPr>
      <xdr:spPr>
        <a:xfrm>
          <a:off x="1590675" y="55626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99</xdr:row>
      <xdr:rowOff>0</xdr:rowOff>
    </xdr:from>
    <xdr:ext cx="342900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82C79EDB-7002-4733-A32E-03D87464C2E8}"/>
            </a:ext>
          </a:extLst>
        </xdr:cNvPr>
        <xdr:cNvSpPr txBox="1"/>
      </xdr:nvSpPr>
      <xdr:spPr>
        <a:xfrm>
          <a:off x="1590675" y="55626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AC81A6AD-3357-4431-AD72-0AF648FD15A1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04886633-7236-483F-AE78-9795AC6EE8F7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0BF69212-CD9B-4D4A-8D1C-5D62FC4F0083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98</xdr:row>
      <xdr:rowOff>0</xdr:rowOff>
    </xdr:from>
    <xdr:ext cx="342900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7627DCB2-8913-4AB3-A56C-3578FE599ADF}"/>
            </a:ext>
          </a:extLst>
        </xdr:cNvPr>
        <xdr:cNvSpPr txBox="1"/>
      </xdr:nvSpPr>
      <xdr:spPr>
        <a:xfrm>
          <a:off x="1590675" y="535686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99</xdr:row>
      <xdr:rowOff>0</xdr:rowOff>
    </xdr:from>
    <xdr:ext cx="342900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74873830-189B-41C9-9B50-AAA6D17B07F0}"/>
            </a:ext>
          </a:extLst>
        </xdr:cNvPr>
        <xdr:cNvSpPr txBox="1"/>
      </xdr:nvSpPr>
      <xdr:spPr>
        <a:xfrm>
          <a:off x="1590675" y="55626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99</xdr:row>
      <xdr:rowOff>0</xdr:rowOff>
    </xdr:from>
    <xdr:ext cx="342900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A032AC86-D191-4D26-A5C4-E7B782F70559}"/>
            </a:ext>
          </a:extLst>
        </xdr:cNvPr>
        <xdr:cNvSpPr txBox="1"/>
      </xdr:nvSpPr>
      <xdr:spPr>
        <a:xfrm>
          <a:off x="1590675" y="55626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99</xdr:row>
      <xdr:rowOff>0</xdr:rowOff>
    </xdr:from>
    <xdr:ext cx="342900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629B6C0E-D697-4BC2-A8D7-B192A0221440}"/>
            </a:ext>
          </a:extLst>
        </xdr:cNvPr>
        <xdr:cNvSpPr txBox="1"/>
      </xdr:nvSpPr>
      <xdr:spPr>
        <a:xfrm>
          <a:off x="1590675" y="55626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99</xdr:row>
      <xdr:rowOff>0</xdr:rowOff>
    </xdr:from>
    <xdr:ext cx="342900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28298443-5C63-437A-9E15-EC5B4BA40282}"/>
            </a:ext>
          </a:extLst>
        </xdr:cNvPr>
        <xdr:cNvSpPr txBox="1"/>
      </xdr:nvSpPr>
      <xdr:spPr>
        <a:xfrm>
          <a:off x="1590675" y="55626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99</xdr:row>
      <xdr:rowOff>0</xdr:rowOff>
    </xdr:from>
    <xdr:ext cx="342900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26F4BB4E-1B7E-4FEE-B96E-ACBB6AAE6573}"/>
            </a:ext>
          </a:extLst>
        </xdr:cNvPr>
        <xdr:cNvSpPr txBox="1"/>
      </xdr:nvSpPr>
      <xdr:spPr>
        <a:xfrm>
          <a:off x="1590675" y="55626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99</xdr:row>
      <xdr:rowOff>0</xdr:rowOff>
    </xdr:from>
    <xdr:ext cx="342900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3A0891A6-B605-4817-8C93-5B15B71A7856}"/>
            </a:ext>
          </a:extLst>
        </xdr:cNvPr>
        <xdr:cNvSpPr txBox="1"/>
      </xdr:nvSpPr>
      <xdr:spPr>
        <a:xfrm>
          <a:off x="1590675" y="556260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1E4A987E-A664-4DB2-885C-FCA54BC94C2E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D0CAE287-FA08-4152-A185-C168FF9E2908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FBD1D6FB-92BA-48ED-9B72-804CE69BEA23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D58E3E9A-8FB0-4BDD-A9EA-A5B13956ACA7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257D6972-2A32-4CA4-972D-EBF9E9A918C5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1B89FC51-E52F-429D-B193-D0137F823981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A3511885-658F-4D78-AB13-45AFE19668BF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9AA52598-329F-405B-8D95-2AC9428F41A0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74</xdr:row>
      <xdr:rowOff>0</xdr:rowOff>
    </xdr:from>
    <xdr:ext cx="342900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85846804-DD35-4B5B-89C5-5BA332EB1123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76</xdr:row>
      <xdr:rowOff>0</xdr:rowOff>
    </xdr:from>
    <xdr:ext cx="342900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9B6329EB-BBDE-4928-83B3-1D02E4AD8CEE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76</xdr:row>
      <xdr:rowOff>0</xdr:rowOff>
    </xdr:from>
    <xdr:ext cx="342900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6DCDFFFB-508F-45F2-BF46-3862A06C85FD}"/>
            </a:ext>
            <a:ext uri="{147F2762-F138-4A5C-976F-8EAC2B608ADB}">
              <a16:predDERef xmlns:a16="http://schemas.microsoft.com/office/drawing/2014/main" pred="{CF647FA3-B4BD-4B79-A41D-253A0310C5D0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76</xdr:row>
      <xdr:rowOff>0</xdr:rowOff>
    </xdr:from>
    <xdr:ext cx="342900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42B00CBE-CA4A-4BA4-BA5C-66BEB3C6ADE4}"/>
            </a:ext>
            <a:ext uri="{147F2762-F138-4A5C-976F-8EAC2B608ADB}">
              <a16:predDERef xmlns:a16="http://schemas.microsoft.com/office/drawing/2014/main" pred="{ED9C5999-48DF-4233-9858-4D95F6E238FE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561975</xdr:colOff>
      <xdr:row>76</xdr:row>
      <xdr:rowOff>0</xdr:rowOff>
    </xdr:from>
    <xdr:ext cx="342900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148E6583-BAD1-41C2-9303-9B1DA28F8F4F}"/>
            </a:ext>
          </a:extLst>
        </xdr:cNvPr>
        <xdr:cNvSpPr txBox="1"/>
      </xdr:nvSpPr>
      <xdr:spPr>
        <a:xfrm>
          <a:off x="1590675" y="2887980"/>
          <a:ext cx="342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1025979</xdr:colOff>
      <xdr:row>108</xdr:row>
      <xdr:rowOff>46530</xdr:rowOff>
    </xdr:from>
    <xdr:to>
      <xdr:col>2</xdr:col>
      <xdr:colOff>2626179</xdr:colOff>
      <xdr:row>108</xdr:row>
      <xdr:rowOff>359403</xdr:rowOff>
    </xdr:to>
    <xdr:pic>
      <xdr:nvPicPr>
        <xdr:cNvPr id="1478" name="image1.png">
          <a:extLst>
            <a:ext uri="{FF2B5EF4-FFF2-40B4-BE49-F238E27FC236}">
              <a16:creationId xmlns:a16="http://schemas.microsoft.com/office/drawing/2014/main" id="{C4570244-32E2-4DB5-B300-F0D0D7DB3C4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6036" y="21382530"/>
          <a:ext cx="1600200" cy="312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213"/>
  <sheetViews>
    <sheetView tabSelected="1" zoomScale="85" zoomScaleNormal="85" workbookViewId="0">
      <pane ySplit="2" topLeftCell="A3" activePane="bottomLeft" state="frozen"/>
      <selection pane="bottomLeft" activeCell="F11" sqref="F11:F106"/>
    </sheetView>
  </sheetViews>
  <sheetFormatPr defaultRowHeight="14.4" x14ac:dyDescent="0.3"/>
  <cols>
    <col min="1" max="1" width="11" style="10" customWidth="1"/>
    <col min="2" max="2" width="19.5546875" style="47" customWidth="1"/>
    <col min="3" max="3" width="53.109375" style="47" customWidth="1"/>
    <col min="4" max="5" width="10.44140625" style="47" hidden="1" customWidth="1"/>
    <col min="6" max="6" width="10.44140625" style="47" customWidth="1"/>
    <col min="7" max="7" width="10" style="10" customWidth="1"/>
    <col min="8" max="8" width="12.5546875" style="48" customWidth="1"/>
    <col min="9" max="9" width="11" style="49" customWidth="1"/>
    <col min="10" max="10" width="20" style="48" customWidth="1"/>
    <col min="11" max="11" width="15.33203125" style="48" customWidth="1"/>
    <col min="12" max="12" width="4.44140625" style="10" customWidth="1"/>
    <col min="13" max="15" width="8.88671875" style="10"/>
    <col min="16" max="16" width="9.77734375" style="10" bestFit="1" customWidth="1"/>
    <col min="17" max="17" width="3.88671875" style="10" customWidth="1"/>
    <col min="18" max="18" width="9.21875" style="10" bestFit="1" customWidth="1"/>
    <col min="19" max="21" width="8.88671875" style="10"/>
    <col min="22" max="22" width="10.109375" style="10" bestFit="1" customWidth="1"/>
    <col min="23" max="16384" width="8.88671875" style="10"/>
  </cols>
  <sheetData>
    <row r="1" spans="1:18" ht="90" customHeight="1" thickBot="1" x14ac:dyDescent="0.35">
      <c r="A1" s="76" t="s">
        <v>159</v>
      </c>
      <c r="B1" s="76"/>
      <c r="C1" s="76"/>
      <c r="D1" s="76"/>
      <c r="E1" s="76"/>
      <c r="F1" s="76"/>
      <c r="G1" s="76"/>
      <c r="H1" s="76"/>
      <c r="I1" s="76"/>
      <c r="J1" s="76"/>
      <c r="K1" s="59" t="s">
        <v>230</v>
      </c>
      <c r="M1" s="64" t="s">
        <v>233</v>
      </c>
      <c r="N1" s="77" t="s">
        <v>234</v>
      </c>
      <c r="O1" s="65" t="s">
        <v>231</v>
      </c>
      <c r="P1" s="66" t="s">
        <v>235</v>
      </c>
      <c r="Q1"/>
      <c r="R1" s="67" t="str">
        <f>IFERROR(IF(SUM(R3:R277)=0, "-", K2+P2), "-")</f>
        <v>-</v>
      </c>
    </row>
    <row r="2" spans="1:18" s="3" customFormat="1" ht="29.4" customHeight="1" thickBot="1" x14ac:dyDescent="0.35">
      <c r="A2" s="1" t="s">
        <v>0</v>
      </c>
      <c r="B2" s="1" t="s">
        <v>1</v>
      </c>
      <c r="C2" s="1" t="s">
        <v>2</v>
      </c>
      <c r="D2" s="1"/>
      <c r="E2" s="1"/>
      <c r="F2" s="63" t="s">
        <v>232</v>
      </c>
      <c r="G2" s="1" t="s">
        <v>3</v>
      </c>
      <c r="H2" s="2" t="s">
        <v>110</v>
      </c>
      <c r="I2" s="51" t="s">
        <v>4</v>
      </c>
      <c r="J2" s="51" t="s">
        <v>153</v>
      </c>
      <c r="K2" s="52">
        <f>SUM(J3:J76)</f>
        <v>0</v>
      </c>
      <c r="M2" s="68"/>
      <c r="N2" s="78"/>
      <c r="O2" s="69" t="str">
        <f>IF(SUM(O3:O277)=0, "-", SUM(O3:O277))</f>
        <v>-</v>
      </c>
      <c r="P2" s="70" t="str">
        <f>IF(SUM(P3:P277)=0, "-", SUM(P3:P277))</f>
        <v>-</v>
      </c>
      <c r="Q2" s="71"/>
      <c r="R2" s="72" t="s">
        <v>236</v>
      </c>
    </row>
    <row r="3" spans="1:18" x14ac:dyDescent="0.3">
      <c r="A3" s="5" t="s">
        <v>147</v>
      </c>
      <c r="B3" s="7" t="s">
        <v>148</v>
      </c>
      <c r="C3" s="6" t="s">
        <v>149</v>
      </c>
      <c r="D3" s="6"/>
      <c r="E3" s="6"/>
      <c r="F3" s="62">
        <v>2.2400000000000002</v>
      </c>
      <c r="G3" s="4">
        <v>4</v>
      </c>
      <c r="H3" s="50">
        <v>43.831125000000007</v>
      </c>
      <c r="I3" s="8"/>
      <c r="J3" s="50">
        <f t="shared" ref="J3:J44" si="0">I3*H3</f>
        <v>0</v>
      </c>
      <c r="K3" s="9"/>
      <c r="M3" s="73" t="str">
        <f>IFERROR(IF($M$2*F3=0, "-", $M$2*F3), "-")</f>
        <v>-</v>
      </c>
      <c r="N3" s="73" t="str">
        <f>IF(I3&gt;0,H3+F3*I3/$O$2*$P$2/I3,"-")</f>
        <v>-</v>
      </c>
      <c r="O3" s="74" t="str">
        <f>IF(I3&gt;0,I3*F3*1.113, "-")</f>
        <v>-</v>
      </c>
      <c r="P3" s="75" t="str">
        <f>IFERROR(IF($M$2&gt;0, $M$2*O3, "-"), "-")</f>
        <v>-</v>
      </c>
      <c r="Q3"/>
      <c r="R3" s="75" t="str">
        <f>IFERROR(IF(P3+J3=0, "-", IF(P3&gt;0, P3+J3, "-")), "-")</f>
        <v>-</v>
      </c>
    </row>
    <row r="4" spans="1:18" x14ac:dyDescent="0.3">
      <c r="A4" s="5" t="s">
        <v>150</v>
      </c>
      <c r="B4" s="7" t="s">
        <v>151</v>
      </c>
      <c r="C4" s="6" t="s">
        <v>152</v>
      </c>
      <c r="D4" s="6"/>
      <c r="E4" s="6"/>
      <c r="F4" s="62">
        <v>2.2400000000000002</v>
      </c>
      <c r="G4" s="4">
        <v>4</v>
      </c>
      <c r="H4" s="50">
        <v>43.831125000000007</v>
      </c>
      <c r="I4" s="8"/>
      <c r="J4" s="50">
        <f t="shared" si="0"/>
        <v>0</v>
      </c>
      <c r="K4" s="9"/>
      <c r="M4" s="73" t="str">
        <f t="shared" ref="M4:M44" si="1">IFERROR(IF($M$2*F4=0, "-", $M$2*F4), "-")</f>
        <v>-</v>
      </c>
      <c r="N4" s="73" t="str">
        <f t="shared" ref="N4:N44" si="2">IF(I4&gt;0,H4+F4*I4/$O$2*$P$2/I4,"-")</f>
        <v>-</v>
      </c>
      <c r="O4" s="74" t="str">
        <f t="shared" ref="O4:O44" si="3">IF(I4&gt;0,I4*F4*1.113, "-")</f>
        <v>-</v>
      </c>
      <c r="P4" s="75" t="str">
        <f t="shared" ref="P4:P44" si="4">IFERROR(IF($M$2&gt;0, $M$2*O4, "-"), "-")</f>
        <v>-</v>
      </c>
      <c r="Q4"/>
      <c r="R4" s="75" t="str">
        <f t="shared" ref="R4:R44" si="5">IFERROR(IF(P4+J4=0, "-", IF(P4&gt;0, P4+J4, "-")), "-")</f>
        <v>-</v>
      </c>
    </row>
    <row r="5" spans="1:18" x14ac:dyDescent="0.3">
      <c r="A5" s="11">
        <v>3970</v>
      </c>
      <c r="B5" s="13" t="s">
        <v>111</v>
      </c>
      <c r="C5" s="12" t="s">
        <v>108</v>
      </c>
      <c r="D5" s="12"/>
      <c r="E5" s="12"/>
      <c r="F5" s="62">
        <v>0.3</v>
      </c>
      <c r="G5" s="11">
        <v>12</v>
      </c>
      <c r="H5" s="50">
        <v>43.831125000000007</v>
      </c>
      <c r="I5" s="8"/>
      <c r="J5" s="50">
        <f t="shared" si="0"/>
        <v>0</v>
      </c>
      <c r="K5" s="14"/>
      <c r="M5" s="73" t="str">
        <f t="shared" si="1"/>
        <v>-</v>
      </c>
      <c r="N5" s="73" t="str">
        <f t="shared" si="2"/>
        <v>-</v>
      </c>
      <c r="O5" s="74" t="str">
        <f t="shared" si="3"/>
        <v>-</v>
      </c>
      <c r="P5" s="75" t="str">
        <f t="shared" si="4"/>
        <v>-</v>
      </c>
      <c r="Q5"/>
      <c r="R5" s="75" t="str">
        <f t="shared" si="5"/>
        <v>-</v>
      </c>
    </row>
    <row r="6" spans="1:18" x14ac:dyDescent="0.3">
      <c r="A6" s="4">
        <v>3331</v>
      </c>
      <c r="B6" s="7" t="s">
        <v>117</v>
      </c>
      <c r="C6" s="6" t="s">
        <v>118</v>
      </c>
      <c r="D6" s="6"/>
      <c r="E6" s="6"/>
      <c r="F6" s="62">
        <v>0.32</v>
      </c>
      <c r="G6" s="4">
        <v>12</v>
      </c>
      <c r="H6" s="50">
        <v>26.281125000000003</v>
      </c>
      <c r="I6" s="15"/>
      <c r="J6" s="50">
        <f t="shared" si="0"/>
        <v>0</v>
      </c>
      <c r="K6" s="9"/>
      <c r="M6" s="73" t="str">
        <f t="shared" si="1"/>
        <v>-</v>
      </c>
      <c r="N6" s="73" t="str">
        <f t="shared" si="2"/>
        <v>-</v>
      </c>
      <c r="O6" s="74" t="str">
        <f t="shared" si="3"/>
        <v>-</v>
      </c>
      <c r="P6" s="75" t="str">
        <f t="shared" si="4"/>
        <v>-</v>
      </c>
      <c r="Q6"/>
      <c r="R6" s="75" t="str">
        <f t="shared" si="5"/>
        <v>-</v>
      </c>
    </row>
    <row r="7" spans="1:18" x14ac:dyDescent="0.3">
      <c r="A7" s="4">
        <v>3332</v>
      </c>
      <c r="B7" s="7" t="s">
        <v>119</v>
      </c>
      <c r="C7" s="6" t="s">
        <v>120</v>
      </c>
      <c r="D7" s="6"/>
      <c r="E7" s="6"/>
      <c r="F7" s="62">
        <v>0.32</v>
      </c>
      <c r="G7" s="4">
        <v>12</v>
      </c>
      <c r="H7" s="50">
        <v>26.281125000000003</v>
      </c>
      <c r="I7" s="15"/>
      <c r="J7" s="50">
        <f t="shared" si="0"/>
        <v>0</v>
      </c>
      <c r="K7"/>
      <c r="M7" s="73" t="str">
        <f t="shared" si="1"/>
        <v>-</v>
      </c>
      <c r="N7" s="73" t="str">
        <f t="shared" si="2"/>
        <v>-</v>
      </c>
      <c r="O7" s="74" t="str">
        <f t="shared" si="3"/>
        <v>-</v>
      </c>
      <c r="P7" s="75" t="str">
        <f t="shared" si="4"/>
        <v>-</v>
      </c>
      <c r="Q7"/>
      <c r="R7" s="75" t="str">
        <f t="shared" si="5"/>
        <v>-</v>
      </c>
    </row>
    <row r="8" spans="1:18" x14ac:dyDescent="0.3">
      <c r="A8" s="4">
        <v>3963</v>
      </c>
      <c r="B8" s="7" t="s">
        <v>125</v>
      </c>
      <c r="C8" s="6" t="s">
        <v>144</v>
      </c>
      <c r="D8" s="6"/>
      <c r="E8" s="6"/>
      <c r="F8" s="62">
        <v>0.38</v>
      </c>
      <c r="G8" s="4">
        <v>12</v>
      </c>
      <c r="H8" s="50">
        <v>15.136875000000002</v>
      </c>
      <c r="I8" s="15"/>
      <c r="J8" s="50">
        <f t="shared" si="0"/>
        <v>0</v>
      </c>
      <c r="K8" s="9"/>
      <c r="M8" s="73" t="str">
        <f t="shared" si="1"/>
        <v>-</v>
      </c>
      <c r="N8" s="73" t="str">
        <f t="shared" si="2"/>
        <v>-</v>
      </c>
      <c r="O8" s="74" t="str">
        <f t="shared" si="3"/>
        <v>-</v>
      </c>
      <c r="P8" s="75" t="str">
        <f t="shared" si="4"/>
        <v>-</v>
      </c>
      <c r="Q8"/>
      <c r="R8" s="75" t="str">
        <f t="shared" si="5"/>
        <v>-</v>
      </c>
    </row>
    <row r="9" spans="1:18" x14ac:dyDescent="0.3">
      <c r="A9" s="4">
        <v>3964</v>
      </c>
      <c r="B9" s="7" t="s">
        <v>126</v>
      </c>
      <c r="C9" s="6" t="s">
        <v>145</v>
      </c>
      <c r="D9" s="6"/>
      <c r="E9" s="6"/>
      <c r="F9" s="62">
        <v>0.59</v>
      </c>
      <c r="G9" s="4">
        <v>12</v>
      </c>
      <c r="H9" s="50">
        <v>22.156875000000003</v>
      </c>
      <c r="I9" s="15"/>
      <c r="J9" s="50">
        <f t="shared" si="0"/>
        <v>0</v>
      </c>
      <c r="K9" s="9"/>
      <c r="M9" s="73" t="str">
        <f t="shared" si="1"/>
        <v>-</v>
      </c>
      <c r="N9" s="73" t="str">
        <f t="shared" si="2"/>
        <v>-</v>
      </c>
      <c r="O9" s="74" t="str">
        <f t="shared" si="3"/>
        <v>-</v>
      </c>
      <c r="P9" s="75" t="str">
        <f t="shared" si="4"/>
        <v>-</v>
      </c>
      <c r="Q9"/>
      <c r="R9" s="75" t="str">
        <f t="shared" si="5"/>
        <v>-</v>
      </c>
    </row>
    <row r="10" spans="1:18" x14ac:dyDescent="0.3">
      <c r="A10" s="4">
        <v>3965</v>
      </c>
      <c r="B10" s="7" t="s">
        <v>127</v>
      </c>
      <c r="C10" s="6" t="s">
        <v>146</v>
      </c>
      <c r="D10" s="6"/>
      <c r="E10" s="6"/>
      <c r="F10" s="62">
        <v>1.1200000000000001</v>
      </c>
      <c r="G10" s="4">
        <v>12</v>
      </c>
      <c r="H10" s="50">
        <v>42.339375000000004</v>
      </c>
      <c r="I10" s="15"/>
      <c r="J10" s="50">
        <f t="shared" si="0"/>
        <v>0</v>
      </c>
      <c r="K10" s="9"/>
      <c r="M10" s="73" t="str">
        <f t="shared" si="1"/>
        <v>-</v>
      </c>
      <c r="N10" s="73" t="str">
        <f t="shared" si="2"/>
        <v>-</v>
      </c>
      <c r="O10" s="74" t="str">
        <f t="shared" si="3"/>
        <v>-</v>
      </c>
      <c r="P10" s="75" t="str">
        <f t="shared" si="4"/>
        <v>-</v>
      </c>
      <c r="Q10"/>
      <c r="R10" s="75" t="str">
        <f t="shared" si="5"/>
        <v>-</v>
      </c>
    </row>
    <row r="11" spans="1:18" x14ac:dyDescent="0.3">
      <c r="A11" s="4">
        <v>3991</v>
      </c>
      <c r="B11" s="7" t="s">
        <v>121</v>
      </c>
      <c r="C11" s="6" t="s">
        <v>123</v>
      </c>
      <c r="D11" s="6"/>
      <c r="E11" s="6"/>
      <c r="F11" s="62">
        <v>0</v>
      </c>
      <c r="G11" s="4">
        <v>12</v>
      </c>
      <c r="H11" s="50">
        <v>33.301125000000006</v>
      </c>
      <c r="I11" s="15"/>
      <c r="J11" s="50">
        <f t="shared" si="0"/>
        <v>0</v>
      </c>
      <c r="K11" s="9"/>
      <c r="M11" s="73" t="str">
        <f t="shared" si="1"/>
        <v>-</v>
      </c>
      <c r="N11" s="73" t="str">
        <f t="shared" si="2"/>
        <v>-</v>
      </c>
      <c r="O11" s="74" t="str">
        <f t="shared" si="3"/>
        <v>-</v>
      </c>
      <c r="P11" s="75" t="str">
        <f t="shared" si="4"/>
        <v>-</v>
      </c>
      <c r="Q11"/>
      <c r="R11" s="75" t="str">
        <f t="shared" si="5"/>
        <v>-</v>
      </c>
    </row>
    <row r="12" spans="1:18" x14ac:dyDescent="0.3">
      <c r="A12" s="4">
        <v>3992</v>
      </c>
      <c r="B12" s="7" t="s">
        <v>122</v>
      </c>
      <c r="C12" s="6" t="s">
        <v>124</v>
      </c>
      <c r="D12" s="6"/>
      <c r="E12" s="6"/>
      <c r="F12" s="62">
        <v>0</v>
      </c>
      <c r="G12" s="4">
        <v>12</v>
      </c>
      <c r="H12" s="50">
        <v>33.301125000000006</v>
      </c>
      <c r="I12" s="15"/>
      <c r="J12" s="50">
        <f t="shared" si="0"/>
        <v>0</v>
      </c>
      <c r="K12" s="9"/>
      <c r="M12" s="73" t="str">
        <f t="shared" si="1"/>
        <v>-</v>
      </c>
      <c r="N12" s="73" t="str">
        <f t="shared" si="2"/>
        <v>-</v>
      </c>
      <c r="O12" s="74" t="str">
        <f t="shared" si="3"/>
        <v>-</v>
      </c>
      <c r="P12" s="75" t="str">
        <f t="shared" si="4"/>
        <v>-</v>
      </c>
      <c r="Q12"/>
      <c r="R12" s="75" t="str">
        <f t="shared" si="5"/>
        <v>-</v>
      </c>
    </row>
    <row r="13" spans="1:18" x14ac:dyDescent="0.3">
      <c r="A13" s="17">
        <v>3014</v>
      </c>
      <c r="B13" s="18" t="s">
        <v>5</v>
      </c>
      <c r="C13" s="16" t="s">
        <v>82</v>
      </c>
      <c r="D13" s="16"/>
      <c r="E13" s="16"/>
      <c r="F13" s="62">
        <v>0.3</v>
      </c>
      <c r="G13" s="17">
        <v>12</v>
      </c>
      <c r="H13" s="50">
        <v>40.321125000000009</v>
      </c>
      <c r="I13" s="19"/>
      <c r="J13" s="50">
        <f t="shared" si="0"/>
        <v>0</v>
      </c>
      <c r="K13" s="20"/>
      <c r="M13" s="73" t="str">
        <f t="shared" si="1"/>
        <v>-</v>
      </c>
      <c r="N13" s="73" t="str">
        <f t="shared" si="2"/>
        <v>-</v>
      </c>
      <c r="O13" s="74" t="str">
        <f t="shared" si="3"/>
        <v>-</v>
      </c>
      <c r="P13" s="75" t="str">
        <f t="shared" si="4"/>
        <v>-</v>
      </c>
      <c r="Q13"/>
      <c r="R13" s="75" t="str">
        <f t="shared" si="5"/>
        <v>-</v>
      </c>
    </row>
    <row r="14" spans="1:18" x14ac:dyDescent="0.3">
      <c r="A14" s="11">
        <v>3292</v>
      </c>
      <c r="B14" s="13" t="s">
        <v>7</v>
      </c>
      <c r="C14" s="12" t="s">
        <v>78</v>
      </c>
      <c r="D14" s="12"/>
      <c r="E14" s="12"/>
      <c r="F14" s="62">
        <v>0.31</v>
      </c>
      <c r="G14" s="11">
        <v>12</v>
      </c>
      <c r="H14" s="50">
        <v>40.321125000000009</v>
      </c>
      <c r="I14" s="21"/>
      <c r="J14" s="50">
        <f t="shared" si="0"/>
        <v>0</v>
      </c>
      <c r="K14" s="20"/>
      <c r="M14" s="73" t="str">
        <f t="shared" si="1"/>
        <v>-</v>
      </c>
      <c r="N14" s="73" t="str">
        <f t="shared" si="2"/>
        <v>-</v>
      </c>
      <c r="O14" s="74" t="str">
        <f t="shared" si="3"/>
        <v>-</v>
      </c>
      <c r="P14" s="75" t="str">
        <f t="shared" si="4"/>
        <v>-</v>
      </c>
      <c r="Q14"/>
      <c r="R14" s="75" t="str">
        <f t="shared" si="5"/>
        <v>-</v>
      </c>
    </row>
    <row r="15" spans="1:18" x14ac:dyDescent="0.3">
      <c r="A15" s="11">
        <v>3293</v>
      </c>
      <c r="B15" s="13" t="s">
        <v>6</v>
      </c>
      <c r="C15" s="12" t="s">
        <v>77</v>
      </c>
      <c r="D15" s="12"/>
      <c r="E15" s="12"/>
      <c r="F15" s="62">
        <v>0.34</v>
      </c>
      <c r="G15" s="11">
        <v>12</v>
      </c>
      <c r="H15" s="50">
        <v>40.321125000000009</v>
      </c>
      <c r="I15" s="21"/>
      <c r="J15" s="50">
        <f t="shared" si="0"/>
        <v>0</v>
      </c>
      <c r="K15" s="20"/>
      <c r="M15" s="73" t="str">
        <f t="shared" si="1"/>
        <v>-</v>
      </c>
      <c r="N15" s="73" t="str">
        <f t="shared" si="2"/>
        <v>-</v>
      </c>
      <c r="O15" s="74" t="str">
        <f t="shared" si="3"/>
        <v>-</v>
      </c>
      <c r="P15" s="75" t="str">
        <f t="shared" si="4"/>
        <v>-</v>
      </c>
      <c r="Q15"/>
      <c r="R15" s="75" t="str">
        <f t="shared" si="5"/>
        <v>-</v>
      </c>
    </row>
    <row r="16" spans="1:18" x14ac:dyDescent="0.3">
      <c r="A16" s="22">
        <v>3294</v>
      </c>
      <c r="B16" s="24" t="s">
        <v>128</v>
      </c>
      <c r="C16" s="23" t="s">
        <v>103</v>
      </c>
      <c r="D16" s="23"/>
      <c r="E16" s="23"/>
      <c r="F16" s="62">
        <v>0.31</v>
      </c>
      <c r="G16" s="22">
        <v>12</v>
      </c>
      <c r="H16" s="50">
        <v>40.321125000000009</v>
      </c>
      <c r="I16" s="25"/>
      <c r="J16" s="50">
        <f t="shared" si="0"/>
        <v>0</v>
      </c>
      <c r="K16" s="20"/>
      <c r="M16" s="73" t="str">
        <f t="shared" si="1"/>
        <v>-</v>
      </c>
      <c r="N16" s="73" t="str">
        <f t="shared" si="2"/>
        <v>-</v>
      </c>
      <c r="O16" s="74" t="str">
        <f t="shared" si="3"/>
        <v>-</v>
      </c>
      <c r="P16" s="75" t="str">
        <f t="shared" si="4"/>
        <v>-</v>
      </c>
      <c r="Q16"/>
      <c r="R16" s="75" t="str">
        <f t="shared" si="5"/>
        <v>-</v>
      </c>
    </row>
    <row r="17" spans="1:18" x14ac:dyDescent="0.3">
      <c r="A17" s="11">
        <v>3326</v>
      </c>
      <c r="B17" s="13" t="s">
        <v>104</v>
      </c>
      <c r="C17" s="12" t="s">
        <v>105</v>
      </c>
      <c r="D17" s="12"/>
      <c r="E17" s="12"/>
      <c r="F17" s="62">
        <v>0</v>
      </c>
      <c r="G17" s="11">
        <v>12</v>
      </c>
      <c r="H17" s="50">
        <v>37.688625000000009</v>
      </c>
      <c r="I17" s="8"/>
      <c r="J17" s="50">
        <f t="shared" si="0"/>
        <v>0</v>
      </c>
      <c r="K17" s="14"/>
      <c r="M17" s="73" t="str">
        <f t="shared" si="1"/>
        <v>-</v>
      </c>
      <c r="N17" s="73" t="str">
        <f t="shared" si="2"/>
        <v>-</v>
      </c>
      <c r="O17" s="74" t="str">
        <f t="shared" si="3"/>
        <v>-</v>
      </c>
      <c r="P17" s="75" t="str">
        <f t="shared" si="4"/>
        <v>-</v>
      </c>
      <c r="Q17"/>
      <c r="R17" s="75" t="str">
        <f t="shared" si="5"/>
        <v>-</v>
      </c>
    </row>
    <row r="18" spans="1:18" x14ac:dyDescent="0.3">
      <c r="A18" s="11">
        <v>3327</v>
      </c>
      <c r="B18" s="13" t="s">
        <v>106</v>
      </c>
      <c r="C18" s="12" t="s">
        <v>107</v>
      </c>
      <c r="D18" s="12"/>
      <c r="E18" s="12"/>
      <c r="F18" s="62">
        <v>0</v>
      </c>
      <c r="G18" s="11">
        <v>12</v>
      </c>
      <c r="H18" s="50">
        <v>37.688625000000009</v>
      </c>
      <c r="I18" s="8"/>
      <c r="J18" s="50">
        <f t="shared" si="0"/>
        <v>0</v>
      </c>
      <c r="K18" s="14"/>
      <c r="M18" s="73" t="str">
        <f t="shared" si="1"/>
        <v>-</v>
      </c>
      <c r="N18" s="73" t="str">
        <f t="shared" si="2"/>
        <v>-</v>
      </c>
      <c r="O18" s="74" t="str">
        <f t="shared" si="3"/>
        <v>-</v>
      </c>
      <c r="P18" s="75" t="str">
        <f t="shared" si="4"/>
        <v>-</v>
      </c>
      <c r="Q18"/>
      <c r="R18" s="75" t="str">
        <f t="shared" si="5"/>
        <v>-</v>
      </c>
    </row>
    <row r="19" spans="1:18" x14ac:dyDescent="0.3">
      <c r="A19" s="17">
        <v>3052</v>
      </c>
      <c r="B19" s="18" t="s">
        <v>8</v>
      </c>
      <c r="C19" s="16" t="s">
        <v>81</v>
      </c>
      <c r="D19" s="16"/>
      <c r="E19" s="16"/>
      <c r="F19" s="62">
        <v>0.48</v>
      </c>
      <c r="G19" s="17">
        <v>12</v>
      </c>
      <c r="H19" s="50">
        <v>33.301125000000006</v>
      </c>
      <c r="I19" s="19"/>
      <c r="J19" s="50">
        <f t="shared" si="0"/>
        <v>0</v>
      </c>
      <c r="K19" s="20"/>
      <c r="M19" s="73" t="str">
        <f t="shared" si="1"/>
        <v>-</v>
      </c>
      <c r="N19" s="73" t="str">
        <f t="shared" si="2"/>
        <v>-</v>
      </c>
      <c r="O19" s="74" t="str">
        <f t="shared" si="3"/>
        <v>-</v>
      </c>
      <c r="P19" s="75" t="str">
        <f t="shared" si="4"/>
        <v>-</v>
      </c>
      <c r="Q19"/>
      <c r="R19" s="75" t="str">
        <f t="shared" si="5"/>
        <v>-</v>
      </c>
    </row>
    <row r="20" spans="1:18" x14ac:dyDescent="0.3">
      <c r="A20" s="11">
        <v>3281</v>
      </c>
      <c r="B20" s="13" t="s">
        <v>9</v>
      </c>
      <c r="C20" s="12" t="s">
        <v>79</v>
      </c>
      <c r="D20" s="12"/>
      <c r="E20" s="12"/>
      <c r="F20" s="62">
        <v>0.41</v>
      </c>
      <c r="G20" s="11">
        <v>12</v>
      </c>
      <c r="H20" s="50">
        <v>25.403625000000002</v>
      </c>
      <c r="I20" s="19"/>
      <c r="J20" s="50">
        <f t="shared" si="0"/>
        <v>0</v>
      </c>
      <c r="K20" s="14"/>
      <c r="M20" s="73" t="str">
        <f t="shared" si="1"/>
        <v>-</v>
      </c>
      <c r="N20" s="73" t="str">
        <f t="shared" si="2"/>
        <v>-</v>
      </c>
      <c r="O20" s="74" t="str">
        <f t="shared" si="3"/>
        <v>-</v>
      </c>
      <c r="P20" s="75" t="str">
        <f t="shared" si="4"/>
        <v>-</v>
      </c>
      <c r="Q20"/>
      <c r="R20" s="75" t="str">
        <f t="shared" si="5"/>
        <v>-</v>
      </c>
    </row>
    <row r="21" spans="1:18" x14ac:dyDescent="0.3">
      <c r="A21" s="11">
        <v>3288</v>
      </c>
      <c r="B21" s="13" t="s">
        <v>10</v>
      </c>
      <c r="C21" s="12" t="s">
        <v>80</v>
      </c>
      <c r="D21" s="12"/>
      <c r="E21" s="12"/>
      <c r="F21" s="62">
        <v>0.43</v>
      </c>
      <c r="G21" s="11">
        <v>12</v>
      </c>
      <c r="H21" s="50">
        <v>25.403625000000002</v>
      </c>
      <c r="I21" s="8"/>
      <c r="J21" s="50">
        <f t="shared" si="0"/>
        <v>0</v>
      </c>
      <c r="K21" s="14"/>
      <c r="M21" s="73" t="str">
        <f t="shared" si="1"/>
        <v>-</v>
      </c>
      <c r="N21" s="73" t="str">
        <f t="shared" si="2"/>
        <v>-</v>
      </c>
      <c r="O21" s="74" t="str">
        <f t="shared" si="3"/>
        <v>-</v>
      </c>
      <c r="P21" s="75" t="str">
        <f t="shared" si="4"/>
        <v>-</v>
      </c>
      <c r="Q21"/>
      <c r="R21" s="75" t="str">
        <f t="shared" si="5"/>
        <v>-</v>
      </c>
    </row>
    <row r="22" spans="1:18" x14ac:dyDescent="0.3">
      <c r="A22" s="11">
        <v>3267</v>
      </c>
      <c r="B22" s="13" t="s">
        <v>11</v>
      </c>
      <c r="C22" s="12" t="s">
        <v>83</v>
      </c>
      <c r="D22" s="12"/>
      <c r="E22" s="12"/>
      <c r="F22" s="62">
        <v>0.41</v>
      </c>
      <c r="G22" s="11">
        <v>12</v>
      </c>
      <c r="H22" s="50">
        <v>25.403625000000002</v>
      </c>
      <c r="I22" s="8"/>
      <c r="J22" s="50">
        <f t="shared" si="0"/>
        <v>0</v>
      </c>
      <c r="K22" s="14"/>
      <c r="M22" s="73" t="str">
        <f t="shared" si="1"/>
        <v>-</v>
      </c>
      <c r="N22" s="73" t="str">
        <f t="shared" si="2"/>
        <v>-</v>
      </c>
      <c r="O22" s="74" t="str">
        <f t="shared" si="3"/>
        <v>-</v>
      </c>
      <c r="P22" s="75" t="str">
        <f t="shared" si="4"/>
        <v>-</v>
      </c>
      <c r="Q22"/>
      <c r="R22" s="75" t="str">
        <f t="shared" si="5"/>
        <v>-</v>
      </c>
    </row>
    <row r="23" spans="1:18" x14ac:dyDescent="0.3">
      <c r="A23" s="11">
        <v>3258</v>
      </c>
      <c r="B23" s="13" t="s">
        <v>12</v>
      </c>
      <c r="C23" s="12" t="s">
        <v>84</v>
      </c>
      <c r="D23" s="12"/>
      <c r="E23" s="12"/>
      <c r="F23" s="62">
        <v>0</v>
      </c>
      <c r="G23" s="11">
        <v>12</v>
      </c>
      <c r="H23" s="50">
        <v>25.403625000000002</v>
      </c>
      <c r="I23" s="8"/>
      <c r="J23" s="50">
        <f t="shared" si="0"/>
        <v>0</v>
      </c>
      <c r="K23" s="14"/>
      <c r="M23" s="73" t="str">
        <f t="shared" si="1"/>
        <v>-</v>
      </c>
      <c r="N23" s="73" t="str">
        <f t="shared" si="2"/>
        <v>-</v>
      </c>
      <c r="O23" s="74" t="str">
        <f t="shared" si="3"/>
        <v>-</v>
      </c>
      <c r="P23" s="75" t="str">
        <f t="shared" si="4"/>
        <v>-</v>
      </c>
      <c r="Q23"/>
      <c r="R23" s="75" t="str">
        <f t="shared" si="5"/>
        <v>-</v>
      </c>
    </row>
    <row r="24" spans="1:18" x14ac:dyDescent="0.3">
      <c r="A24" s="11">
        <v>3271</v>
      </c>
      <c r="B24" s="13" t="s">
        <v>13</v>
      </c>
      <c r="C24" s="12" t="s">
        <v>85</v>
      </c>
      <c r="D24" s="12"/>
      <c r="E24" s="12"/>
      <c r="F24" s="62">
        <v>0.59</v>
      </c>
      <c r="G24" s="11">
        <v>12</v>
      </c>
      <c r="H24" s="50">
        <v>31.546125000000007</v>
      </c>
      <c r="I24" s="8"/>
      <c r="J24" s="50">
        <f t="shared" si="0"/>
        <v>0</v>
      </c>
      <c r="K24" s="14"/>
      <c r="M24" s="73" t="str">
        <f t="shared" si="1"/>
        <v>-</v>
      </c>
      <c r="N24" s="73" t="str">
        <f t="shared" si="2"/>
        <v>-</v>
      </c>
      <c r="O24" s="74" t="str">
        <f t="shared" si="3"/>
        <v>-</v>
      </c>
      <c r="P24" s="75" t="str">
        <f t="shared" si="4"/>
        <v>-</v>
      </c>
      <c r="Q24"/>
      <c r="R24" s="75" t="str">
        <f t="shared" si="5"/>
        <v>-</v>
      </c>
    </row>
    <row r="25" spans="1:18" x14ac:dyDescent="0.3">
      <c r="A25" s="11">
        <v>3268</v>
      </c>
      <c r="B25" s="13" t="s">
        <v>14</v>
      </c>
      <c r="C25" s="12" t="s">
        <v>86</v>
      </c>
      <c r="D25" s="12"/>
      <c r="E25" s="12"/>
      <c r="F25" s="62">
        <v>0.57999999999999996</v>
      </c>
      <c r="G25" s="11">
        <v>12</v>
      </c>
      <c r="H25" s="50">
        <v>31.546125000000007</v>
      </c>
      <c r="I25" s="8"/>
      <c r="J25" s="50">
        <f t="shared" si="0"/>
        <v>0</v>
      </c>
      <c r="K25" s="14"/>
      <c r="M25" s="73" t="str">
        <f t="shared" si="1"/>
        <v>-</v>
      </c>
      <c r="N25" s="73" t="str">
        <f t="shared" si="2"/>
        <v>-</v>
      </c>
      <c r="O25" s="74" t="str">
        <f t="shared" si="3"/>
        <v>-</v>
      </c>
      <c r="P25" s="75" t="str">
        <f t="shared" si="4"/>
        <v>-</v>
      </c>
      <c r="Q25"/>
      <c r="R25" s="75" t="str">
        <f t="shared" si="5"/>
        <v>-</v>
      </c>
    </row>
    <row r="26" spans="1:18" x14ac:dyDescent="0.3">
      <c r="A26" s="11">
        <v>3285</v>
      </c>
      <c r="B26" s="13" t="s">
        <v>15</v>
      </c>
      <c r="C26" s="12" t="s">
        <v>87</v>
      </c>
      <c r="D26" s="12"/>
      <c r="E26" s="12"/>
      <c r="F26" s="62">
        <v>0.57999999999999996</v>
      </c>
      <c r="G26" s="11">
        <v>12</v>
      </c>
      <c r="H26" s="50">
        <v>31.546125000000007</v>
      </c>
      <c r="I26" s="8"/>
      <c r="J26" s="50">
        <f t="shared" si="0"/>
        <v>0</v>
      </c>
      <c r="K26" s="14"/>
      <c r="M26" s="73" t="str">
        <f t="shared" si="1"/>
        <v>-</v>
      </c>
      <c r="N26" s="73" t="str">
        <f t="shared" si="2"/>
        <v>-</v>
      </c>
      <c r="O26" s="74" t="str">
        <f t="shared" si="3"/>
        <v>-</v>
      </c>
      <c r="P26" s="75" t="str">
        <f t="shared" si="4"/>
        <v>-</v>
      </c>
      <c r="Q26"/>
      <c r="R26" s="75" t="str">
        <f t="shared" si="5"/>
        <v>-</v>
      </c>
    </row>
    <row r="27" spans="1:18" x14ac:dyDescent="0.3">
      <c r="A27" s="11">
        <v>3259</v>
      </c>
      <c r="B27" s="13" t="s">
        <v>16</v>
      </c>
      <c r="C27" s="12" t="s">
        <v>88</v>
      </c>
      <c r="D27" s="12"/>
      <c r="E27" s="12"/>
      <c r="F27" s="62">
        <v>0.59</v>
      </c>
      <c r="G27" s="11">
        <v>12</v>
      </c>
      <c r="H27" s="50">
        <v>31.546125000000007</v>
      </c>
      <c r="I27" s="8"/>
      <c r="J27" s="50">
        <f t="shared" si="0"/>
        <v>0</v>
      </c>
      <c r="K27" s="14"/>
      <c r="M27" s="73" t="str">
        <f t="shared" si="1"/>
        <v>-</v>
      </c>
      <c r="N27" s="73" t="str">
        <f t="shared" si="2"/>
        <v>-</v>
      </c>
      <c r="O27" s="74" t="str">
        <f t="shared" si="3"/>
        <v>-</v>
      </c>
      <c r="P27" s="75" t="str">
        <f t="shared" si="4"/>
        <v>-</v>
      </c>
      <c r="Q27"/>
      <c r="R27" s="75" t="str">
        <f t="shared" si="5"/>
        <v>-</v>
      </c>
    </row>
    <row r="28" spans="1:18" x14ac:dyDescent="0.3">
      <c r="A28" s="27" t="s">
        <v>17</v>
      </c>
      <c r="B28" s="13" t="s">
        <v>18</v>
      </c>
      <c r="C28" s="12" t="s">
        <v>89</v>
      </c>
      <c r="D28" s="12"/>
      <c r="E28" s="12"/>
      <c r="F28" s="62">
        <v>0.38</v>
      </c>
      <c r="G28" s="11">
        <v>12</v>
      </c>
      <c r="H28" s="50">
        <v>29.791125000000005</v>
      </c>
      <c r="I28" s="8"/>
      <c r="J28" s="50">
        <f t="shared" si="0"/>
        <v>0</v>
      </c>
      <c r="K28" s="14"/>
      <c r="M28" s="73" t="str">
        <f t="shared" si="1"/>
        <v>-</v>
      </c>
      <c r="N28" s="73" t="str">
        <f t="shared" si="2"/>
        <v>-</v>
      </c>
      <c r="O28" s="74" t="str">
        <f t="shared" si="3"/>
        <v>-</v>
      </c>
      <c r="P28" s="75" t="str">
        <f t="shared" si="4"/>
        <v>-</v>
      </c>
      <c r="Q28"/>
      <c r="R28" s="75" t="str">
        <f t="shared" si="5"/>
        <v>-</v>
      </c>
    </row>
    <row r="29" spans="1:18" x14ac:dyDescent="0.3">
      <c r="A29" s="27" t="s">
        <v>19</v>
      </c>
      <c r="B29" s="13" t="s">
        <v>20</v>
      </c>
      <c r="C29" s="12" t="s">
        <v>90</v>
      </c>
      <c r="D29" s="12"/>
      <c r="E29" s="12"/>
      <c r="F29" s="62">
        <v>0</v>
      </c>
      <c r="G29" s="11">
        <v>12</v>
      </c>
      <c r="H29" s="50">
        <v>26.281125000000003</v>
      </c>
      <c r="I29" s="8"/>
      <c r="J29" s="50">
        <f t="shared" si="0"/>
        <v>0</v>
      </c>
      <c r="K29" s="14"/>
      <c r="M29" s="73" t="str">
        <f t="shared" si="1"/>
        <v>-</v>
      </c>
      <c r="N29" s="73" t="str">
        <f t="shared" si="2"/>
        <v>-</v>
      </c>
      <c r="O29" s="74" t="str">
        <f t="shared" si="3"/>
        <v>-</v>
      </c>
      <c r="P29" s="75" t="str">
        <f t="shared" si="4"/>
        <v>-</v>
      </c>
      <c r="Q29"/>
      <c r="R29" s="75" t="str">
        <f t="shared" si="5"/>
        <v>-</v>
      </c>
    </row>
    <row r="30" spans="1:18" x14ac:dyDescent="0.3">
      <c r="A30" s="17">
        <v>3065</v>
      </c>
      <c r="B30" s="18" t="s">
        <v>21</v>
      </c>
      <c r="C30" s="16" t="s">
        <v>91</v>
      </c>
      <c r="D30" s="16"/>
      <c r="E30" s="16"/>
      <c r="F30" s="62">
        <v>0.5</v>
      </c>
      <c r="G30" s="17">
        <v>12</v>
      </c>
      <c r="H30" s="50">
        <v>28.036125000000006</v>
      </c>
      <c r="I30" s="8"/>
      <c r="J30" s="50">
        <f t="shared" si="0"/>
        <v>0</v>
      </c>
      <c r="K30" s="20"/>
      <c r="M30" s="73" t="str">
        <f t="shared" si="1"/>
        <v>-</v>
      </c>
      <c r="N30" s="73" t="str">
        <f t="shared" si="2"/>
        <v>-</v>
      </c>
      <c r="O30" s="74" t="str">
        <f t="shared" si="3"/>
        <v>-</v>
      </c>
      <c r="P30" s="75" t="str">
        <f t="shared" si="4"/>
        <v>-</v>
      </c>
      <c r="Q30"/>
      <c r="R30" s="75" t="str">
        <f t="shared" si="5"/>
        <v>-</v>
      </c>
    </row>
    <row r="31" spans="1:18" x14ac:dyDescent="0.3">
      <c r="A31" s="17">
        <v>3066</v>
      </c>
      <c r="B31" s="18" t="s">
        <v>22</v>
      </c>
      <c r="C31" s="16" t="s">
        <v>92</v>
      </c>
      <c r="D31" s="16"/>
      <c r="E31" s="16"/>
      <c r="F31" s="62">
        <v>0.48</v>
      </c>
      <c r="G31" s="17">
        <v>12</v>
      </c>
      <c r="H31" s="50">
        <v>28.036125000000006</v>
      </c>
      <c r="I31" s="8"/>
      <c r="J31" s="50">
        <f t="shared" si="0"/>
        <v>0</v>
      </c>
      <c r="K31" s="20"/>
      <c r="M31" s="73" t="str">
        <f t="shared" si="1"/>
        <v>-</v>
      </c>
      <c r="N31" s="73" t="str">
        <f t="shared" si="2"/>
        <v>-</v>
      </c>
      <c r="O31" s="74" t="str">
        <f t="shared" si="3"/>
        <v>-</v>
      </c>
      <c r="P31" s="75" t="str">
        <f t="shared" si="4"/>
        <v>-</v>
      </c>
      <c r="Q31"/>
      <c r="R31" s="75" t="str">
        <f t="shared" si="5"/>
        <v>-</v>
      </c>
    </row>
    <row r="32" spans="1:18" x14ac:dyDescent="0.3">
      <c r="A32" s="22">
        <v>3067</v>
      </c>
      <c r="B32" s="24" t="s">
        <v>23</v>
      </c>
      <c r="C32" s="23" t="s">
        <v>93</v>
      </c>
      <c r="D32" s="23"/>
      <c r="E32" s="23"/>
      <c r="F32" s="62">
        <v>0.47</v>
      </c>
      <c r="G32" s="22">
        <v>12</v>
      </c>
      <c r="H32" s="50">
        <v>28.036125000000006</v>
      </c>
      <c r="I32" s="8"/>
      <c r="J32" s="50">
        <f t="shared" si="0"/>
        <v>0</v>
      </c>
      <c r="K32" s="20"/>
      <c r="M32" s="73" t="str">
        <f t="shared" si="1"/>
        <v>-</v>
      </c>
      <c r="N32" s="73" t="str">
        <f t="shared" si="2"/>
        <v>-</v>
      </c>
      <c r="O32" s="74" t="str">
        <f t="shared" si="3"/>
        <v>-</v>
      </c>
      <c r="P32" s="75" t="str">
        <f t="shared" si="4"/>
        <v>-</v>
      </c>
      <c r="Q32"/>
      <c r="R32" s="75" t="str">
        <f t="shared" si="5"/>
        <v>-</v>
      </c>
    </row>
    <row r="33" spans="1:18" x14ac:dyDescent="0.3">
      <c r="A33" s="11">
        <v>3930</v>
      </c>
      <c r="B33" s="13" t="s">
        <v>24</v>
      </c>
      <c r="C33" s="12" t="s">
        <v>94</v>
      </c>
      <c r="D33" s="12"/>
      <c r="E33" s="12"/>
      <c r="F33" s="62">
        <v>2.5499999999999998</v>
      </c>
      <c r="G33" s="11">
        <v>4</v>
      </c>
      <c r="H33" s="50">
        <v>61.381125000000004</v>
      </c>
      <c r="I33" s="8"/>
      <c r="J33" s="50">
        <f t="shared" si="0"/>
        <v>0</v>
      </c>
      <c r="K33" s="14"/>
      <c r="M33" s="73" t="str">
        <f t="shared" si="1"/>
        <v>-</v>
      </c>
      <c r="N33" s="73" t="str">
        <f t="shared" si="2"/>
        <v>-</v>
      </c>
      <c r="O33" s="74" t="str">
        <f t="shared" si="3"/>
        <v>-</v>
      </c>
      <c r="P33" s="75" t="str">
        <f t="shared" si="4"/>
        <v>-</v>
      </c>
      <c r="Q33"/>
      <c r="R33" s="75" t="str">
        <f t="shared" si="5"/>
        <v>-</v>
      </c>
    </row>
    <row r="34" spans="1:18" x14ac:dyDescent="0.3">
      <c r="A34" s="11">
        <v>3931</v>
      </c>
      <c r="B34" s="13" t="s">
        <v>25</v>
      </c>
      <c r="C34" s="12" t="s">
        <v>95</v>
      </c>
      <c r="D34" s="12"/>
      <c r="E34" s="12"/>
      <c r="F34" s="62">
        <v>2.5499999999999998</v>
      </c>
      <c r="G34" s="11">
        <v>4</v>
      </c>
      <c r="H34" s="50">
        <v>61.381125000000004</v>
      </c>
      <c r="I34" s="8"/>
      <c r="J34" s="50">
        <f t="shared" si="0"/>
        <v>0</v>
      </c>
      <c r="K34" s="14"/>
      <c r="M34" s="73" t="str">
        <f t="shared" si="1"/>
        <v>-</v>
      </c>
      <c r="N34" s="73" t="str">
        <f t="shared" si="2"/>
        <v>-</v>
      </c>
      <c r="O34" s="74" t="str">
        <f t="shared" si="3"/>
        <v>-</v>
      </c>
      <c r="P34" s="75" t="str">
        <f t="shared" si="4"/>
        <v>-</v>
      </c>
      <c r="Q34"/>
      <c r="R34" s="75" t="str">
        <f t="shared" si="5"/>
        <v>-</v>
      </c>
    </row>
    <row r="35" spans="1:18" x14ac:dyDescent="0.3">
      <c r="A35" s="17">
        <v>3028</v>
      </c>
      <c r="B35" s="18" t="s">
        <v>26</v>
      </c>
      <c r="C35" s="16" t="s">
        <v>96</v>
      </c>
      <c r="D35" s="16"/>
      <c r="E35" s="16"/>
      <c r="F35" s="62">
        <v>0.37</v>
      </c>
      <c r="G35" s="17">
        <v>12</v>
      </c>
      <c r="H35" s="50">
        <v>40.321125000000009</v>
      </c>
      <c r="I35" s="8"/>
      <c r="J35" s="50">
        <f t="shared" si="0"/>
        <v>0</v>
      </c>
      <c r="K35" s="20"/>
      <c r="M35" s="73" t="str">
        <f t="shared" si="1"/>
        <v>-</v>
      </c>
      <c r="N35" s="73" t="str">
        <f t="shared" si="2"/>
        <v>-</v>
      </c>
      <c r="O35" s="74" t="str">
        <f t="shared" si="3"/>
        <v>-</v>
      </c>
      <c r="P35" s="75" t="str">
        <f t="shared" si="4"/>
        <v>-</v>
      </c>
      <c r="Q35"/>
      <c r="R35" s="75" t="str">
        <f t="shared" si="5"/>
        <v>-</v>
      </c>
    </row>
    <row r="36" spans="1:18" x14ac:dyDescent="0.3">
      <c r="A36" s="17">
        <v>3035</v>
      </c>
      <c r="B36" s="18" t="s">
        <v>27</v>
      </c>
      <c r="C36" s="16" t="s">
        <v>97</v>
      </c>
      <c r="D36" s="16"/>
      <c r="E36" s="16"/>
      <c r="F36" s="62">
        <v>0.47</v>
      </c>
      <c r="G36" s="17">
        <v>12</v>
      </c>
      <c r="H36" s="50">
        <v>46.463625000000008</v>
      </c>
      <c r="I36" s="8"/>
      <c r="J36" s="50">
        <f t="shared" si="0"/>
        <v>0</v>
      </c>
      <c r="K36" s="20"/>
      <c r="M36" s="73" t="str">
        <f t="shared" si="1"/>
        <v>-</v>
      </c>
      <c r="N36" s="73" t="str">
        <f t="shared" si="2"/>
        <v>-</v>
      </c>
      <c r="O36" s="74" t="str">
        <f t="shared" si="3"/>
        <v>-</v>
      </c>
      <c r="P36" s="75" t="str">
        <f t="shared" si="4"/>
        <v>-</v>
      </c>
      <c r="Q36"/>
      <c r="R36" s="75" t="str">
        <f t="shared" si="5"/>
        <v>-</v>
      </c>
    </row>
    <row r="37" spans="1:18" x14ac:dyDescent="0.3">
      <c r="A37" s="17">
        <v>3058</v>
      </c>
      <c r="B37" s="28" t="s">
        <v>28</v>
      </c>
      <c r="C37" s="16" t="s">
        <v>98</v>
      </c>
      <c r="D37" s="16"/>
      <c r="E37" s="16"/>
      <c r="F37" s="62">
        <v>0.38</v>
      </c>
      <c r="G37" s="17">
        <v>12</v>
      </c>
      <c r="H37" s="50">
        <v>32.423625000000001</v>
      </c>
      <c r="I37" s="8"/>
      <c r="J37" s="50">
        <f t="shared" si="0"/>
        <v>0</v>
      </c>
      <c r="K37" s="20"/>
      <c r="M37" s="73" t="str">
        <f t="shared" si="1"/>
        <v>-</v>
      </c>
      <c r="N37" s="73" t="str">
        <f t="shared" si="2"/>
        <v>-</v>
      </c>
      <c r="O37" s="74" t="str">
        <f t="shared" si="3"/>
        <v>-</v>
      </c>
      <c r="P37" s="75" t="str">
        <f t="shared" si="4"/>
        <v>-</v>
      </c>
      <c r="Q37"/>
      <c r="R37" s="75" t="str">
        <f t="shared" si="5"/>
        <v>-</v>
      </c>
    </row>
    <row r="38" spans="1:18" x14ac:dyDescent="0.3">
      <c r="A38" s="17">
        <v>3055</v>
      </c>
      <c r="B38" s="18" t="s">
        <v>29</v>
      </c>
      <c r="C38" s="16" t="s">
        <v>99</v>
      </c>
      <c r="D38" s="16"/>
      <c r="E38" s="16"/>
      <c r="F38" s="62">
        <v>0.3</v>
      </c>
      <c r="G38" s="17">
        <v>12</v>
      </c>
      <c r="H38" s="50">
        <v>35.056125000000002</v>
      </c>
      <c r="I38" s="8"/>
      <c r="J38" s="50">
        <f t="shared" si="0"/>
        <v>0</v>
      </c>
      <c r="K38" s="20"/>
      <c r="M38" s="73" t="str">
        <f t="shared" si="1"/>
        <v>-</v>
      </c>
      <c r="N38" s="73" t="str">
        <f t="shared" si="2"/>
        <v>-</v>
      </c>
      <c r="O38" s="74" t="str">
        <f t="shared" si="3"/>
        <v>-</v>
      </c>
      <c r="P38" s="75" t="str">
        <f t="shared" si="4"/>
        <v>-</v>
      </c>
      <c r="Q38"/>
      <c r="R38" s="75" t="str">
        <f t="shared" si="5"/>
        <v>-</v>
      </c>
    </row>
    <row r="39" spans="1:18" x14ac:dyDescent="0.3">
      <c r="A39" s="11">
        <v>3324</v>
      </c>
      <c r="B39" s="13" t="s">
        <v>113</v>
      </c>
      <c r="C39" s="12" t="s">
        <v>115</v>
      </c>
      <c r="D39" s="12"/>
      <c r="E39" s="12"/>
      <c r="F39" s="62">
        <v>0.62</v>
      </c>
      <c r="G39" s="11">
        <v>12</v>
      </c>
      <c r="H39" s="50">
        <v>36.811125000000004</v>
      </c>
      <c r="I39" s="8"/>
      <c r="J39" s="50">
        <f t="shared" si="0"/>
        <v>0</v>
      </c>
      <c r="K39" s="14"/>
      <c r="M39" s="73" t="str">
        <f t="shared" si="1"/>
        <v>-</v>
      </c>
      <c r="N39" s="73" t="str">
        <f t="shared" si="2"/>
        <v>-</v>
      </c>
      <c r="O39" s="74" t="str">
        <f t="shared" si="3"/>
        <v>-</v>
      </c>
      <c r="P39" s="75" t="str">
        <f t="shared" si="4"/>
        <v>-</v>
      </c>
      <c r="Q39"/>
      <c r="R39" s="75" t="str">
        <f t="shared" si="5"/>
        <v>-</v>
      </c>
    </row>
    <row r="40" spans="1:18" x14ac:dyDescent="0.3">
      <c r="A40" s="11">
        <v>3325</v>
      </c>
      <c r="B40" s="13" t="s">
        <v>114</v>
      </c>
      <c r="C40" s="12" t="s">
        <v>116</v>
      </c>
      <c r="D40" s="12"/>
      <c r="E40" s="12"/>
      <c r="F40" s="62">
        <v>0.62</v>
      </c>
      <c r="G40" s="11">
        <v>12</v>
      </c>
      <c r="H40" s="50">
        <v>36.811125000000004</v>
      </c>
      <c r="I40" s="8"/>
      <c r="J40" s="50">
        <f t="shared" si="0"/>
        <v>0</v>
      </c>
      <c r="K40" s="14"/>
      <c r="M40" s="73" t="str">
        <f t="shared" si="1"/>
        <v>-</v>
      </c>
      <c r="N40" s="73" t="str">
        <f t="shared" si="2"/>
        <v>-</v>
      </c>
      <c r="O40" s="74" t="str">
        <f t="shared" si="3"/>
        <v>-</v>
      </c>
      <c r="P40" s="75" t="str">
        <f t="shared" si="4"/>
        <v>-</v>
      </c>
      <c r="Q40"/>
      <c r="R40" s="75" t="str">
        <f t="shared" si="5"/>
        <v>-</v>
      </c>
    </row>
    <row r="41" spans="1:18" x14ac:dyDescent="0.3">
      <c r="A41" s="17">
        <v>3054</v>
      </c>
      <c r="B41" s="18" t="s">
        <v>30</v>
      </c>
      <c r="C41" s="16" t="s">
        <v>100</v>
      </c>
      <c r="D41" s="16"/>
      <c r="E41" s="16"/>
      <c r="F41" s="62">
        <v>0.39</v>
      </c>
      <c r="G41" s="17">
        <v>12</v>
      </c>
      <c r="H41" s="50">
        <v>43.831125000000007</v>
      </c>
      <c r="I41" s="8"/>
      <c r="J41" s="50">
        <f t="shared" si="0"/>
        <v>0</v>
      </c>
      <c r="K41" s="20"/>
      <c r="M41" s="73" t="str">
        <f t="shared" si="1"/>
        <v>-</v>
      </c>
      <c r="N41" s="73" t="str">
        <f t="shared" si="2"/>
        <v>-</v>
      </c>
      <c r="O41" s="74" t="str">
        <f t="shared" si="3"/>
        <v>-</v>
      </c>
      <c r="P41" s="75" t="str">
        <f t="shared" si="4"/>
        <v>-</v>
      </c>
      <c r="Q41"/>
      <c r="R41" s="75" t="str">
        <f t="shared" si="5"/>
        <v>-</v>
      </c>
    </row>
    <row r="42" spans="1:18" x14ac:dyDescent="0.3">
      <c r="A42" s="29">
        <v>3023</v>
      </c>
      <c r="B42" s="31" t="s">
        <v>31</v>
      </c>
      <c r="C42" s="30" t="s">
        <v>101</v>
      </c>
      <c r="D42" s="30"/>
      <c r="E42" s="30"/>
      <c r="F42" s="62">
        <v>0.38</v>
      </c>
      <c r="G42" s="29">
        <v>12</v>
      </c>
      <c r="H42" s="50">
        <v>40.321125000000009</v>
      </c>
      <c r="I42" s="8"/>
      <c r="J42" s="50">
        <f t="shared" si="0"/>
        <v>0</v>
      </c>
      <c r="K42" s="32"/>
      <c r="M42" s="73" t="str">
        <f t="shared" si="1"/>
        <v>-</v>
      </c>
      <c r="N42" s="73" t="str">
        <f t="shared" si="2"/>
        <v>-</v>
      </c>
      <c r="O42" s="74" t="str">
        <f t="shared" si="3"/>
        <v>-</v>
      </c>
      <c r="P42" s="75" t="str">
        <f t="shared" si="4"/>
        <v>-</v>
      </c>
      <c r="Q42"/>
      <c r="R42" s="75" t="str">
        <f t="shared" si="5"/>
        <v>-</v>
      </c>
    </row>
    <row r="43" spans="1:18" x14ac:dyDescent="0.3">
      <c r="A43" s="17">
        <v>3032</v>
      </c>
      <c r="B43" s="28" t="s">
        <v>32</v>
      </c>
      <c r="C43" s="33" t="s">
        <v>102</v>
      </c>
      <c r="D43" s="33"/>
      <c r="E43" s="33"/>
      <c r="F43" s="62">
        <v>0.38</v>
      </c>
      <c r="G43" s="17">
        <v>12</v>
      </c>
      <c r="H43" s="50">
        <v>70.156125000000003</v>
      </c>
      <c r="I43" s="8"/>
      <c r="J43" s="50">
        <f t="shared" si="0"/>
        <v>0</v>
      </c>
      <c r="K43" s="20"/>
      <c r="M43" s="73" t="str">
        <f t="shared" si="1"/>
        <v>-</v>
      </c>
      <c r="N43" s="73" t="str">
        <f t="shared" si="2"/>
        <v>-</v>
      </c>
      <c r="O43" s="74" t="str">
        <f t="shared" si="3"/>
        <v>-</v>
      </c>
      <c r="P43" s="75" t="str">
        <f t="shared" si="4"/>
        <v>-</v>
      </c>
      <c r="Q43"/>
      <c r="R43" s="75" t="str">
        <f t="shared" si="5"/>
        <v>-</v>
      </c>
    </row>
    <row r="44" spans="1:18" x14ac:dyDescent="0.3">
      <c r="A44" s="11">
        <v>3971</v>
      </c>
      <c r="B44" s="26" t="s">
        <v>109</v>
      </c>
      <c r="C44" s="34" t="s">
        <v>112</v>
      </c>
      <c r="D44" s="34"/>
      <c r="E44" s="34"/>
      <c r="F44" s="62">
        <v>0.28999999999999998</v>
      </c>
      <c r="G44" s="11">
        <v>12</v>
      </c>
      <c r="H44" s="50">
        <v>59.626125000000009</v>
      </c>
      <c r="I44" s="8"/>
      <c r="J44" s="50">
        <f t="shared" si="0"/>
        <v>0</v>
      </c>
      <c r="K44" s="14"/>
      <c r="M44" s="73" t="str">
        <f t="shared" si="1"/>
        <v>-</v>
      </c>
      <c r="N44" s="73" t="str">
        <f t="shared" si="2"/>
        <v>-</v>
      </c>
      <c r="O44" s="74" t="str">
        <f t="shared" si="3"/>
        <v>-</v>
      </c>
      <c r="P44" s="75" t="str">
        <f t="shared" si="4"/>
        <v>-</v>
      </c>
      <c r="Q44"/>
      <c r="R44" s="75" t="str">
        <f t="shared" si="5"/>
        <v>-</v>
      </c>
    </row>
    <row r="45" spans="1:18" ht="28.8" hidden="1" x14ac:dyDescent="0.3">
      <c r="A45" s="35" t="s">
        <v>0</v>
      </c>
      <c r="B45" s="35" t="s">
        <v>1</v>
      </c>
      <c r="C45" s="35" t="s">
        <v>2</v>
      </c>
      <c r="D45" s="35"/>
      <c r="E45" s="35"/>
      <c r="F45" s="63" t="s">
        <v>232</v>
      </c>
      <c r="G45" s="35" t="s">
        <v>3</v>
      </c>
      <c r="H45" s="2" t="s">
        <v>110</v>
      </c>
      <c r="I45" s="51" t="s">
        <v>4</v>
      </c>
      <c r="J45" s="51" t="s">
        <v>153</v>
      </c>
      <c r="K45" s="36"/>
    </row>
    <row r="46" spans="1:18" x14ac:dyDescent="0.3">
      <c r="A46" s="37">
        <v>3250</v>
      </c>
      <c r="B46" s="38" t="s">
        <v>33</v>
      </c>
      <c r="C46" s="39" t="s">
        <v>142</v>
      </c>
      <c r="D46" s="39"/>
      <c r="E46" s="39"/>
      <c r="F46" s="62">
        <v>2.09</v>
      </c>
      <c r="G46" s="40">
        <v>6</v>
      </c>
      <c r="H46" s="50">
        <v>32.423625000000001</v>
      </c>
      <c r="I46" s="8"/>
      <c r="J46" s="50">
        <f t="shared" ref="J46:J60" si="6">I46*H46</f>
        <v>0</v>
      </c>
      <c r="K46" s="32"/>
      <c r="M46" s="73" t="str">
        <f t="shared" ref="M46:M60" si="7">IFERROR(IF($M$2*F46=0, "-", $M$2*F46), "-")</f>
        <v>-</v>
      </c>
      <c r="N46" s="73" t="str">
        <f t="shared" ref="N46:N60" si="8">IF(I46&gt;0,H46+F46*I46/$O$2*$P$2/I46,"-")</f>
        <v>-</v>
      </c>
      <c r="O46" s="74" t="str">
        <f t="shared" ref="O46:O60" si="9">IF(I46&gt;0,I46*F46*1.113, "-")</f>
        <v>-</v>
      </c>
      <c r="P46" s="75" t="str">
        <f t="shared" ref="P46:P60" si="10">IFERROR(IF($M$2&gt;0, $M$2*O46, "-"), "-")</f>
        <v>-</v>
      </c>
      <c r="Q46"/>
      <c r="R46" s="75" t="str">
        <f t="shared" ref="R46:R60" si="11">IFERROR(IF(P46+J46=0, "-", IF(P46&gt;0, P46+J46, "-")), "-")</f>
        <v>-</v>
      </c>
    </row>
    <row r="47" spans="1:18" x14ac:dyDescent="0.3">
      <c r="A47" s="41">
        <v>3107</v>
      </c>
      <c r="B47" s="42" t="s">
        <v>34</v>
      </c>
      <c r="C47" s="43" t="s">
        <v>143</v>
      </c>
      <c r="D47" s="43"/>
      <c r="E47" s="43"/>
      <c r="F47" s="62">
        <v>1.1499999999999999</v>
      </c>
      <c r="G47" s="44">
        <v>6</v>
      </c>
      <c r="H47" s="50">
        <v>32.423625000000001</v>
      </c>
      <c r="I47" s="8"/>
      <c r="J47" s="50">
        <f t="shared" si="6"/>
        <v>0</v>
      </c>
      <c r="K47" s="32"/>
      <c r="M47" s="73" t="str">
        <f t="shared" si="7"/>
        <v>-</v>
      </c>
      <c r="N47" s="73" t="str">
        <f t="shared" si="8"/>
        <v>-</v>
      </c>
      <c r="O47" s="74" t="str">
        <f t="shared" si="9"/>
        <v>-</v>
      </c>
      <c r="P47" s="75" t="str">
        <f t="shared" si="10"/>
        <v>-</v>
      </c>
      <c r="Q47"/>
      <c r="R47" s="75" t="str">
        <f t="shared" si="11"/>
        <v>-</v>
      </c>
    </row>
    <row r="48" spans="1:18" x14ac:dyDescent="0.3">
      <c r="A48" s="41">
        <v>3111</v>
      </c>
      <c r="B48" s="42" t="s">
        <v>35</v>
      </c>
      <c r="C48" s="43" t="s">
        <v>138</v>
      </c>
      <c r="D48" s="43"/>
      <c r="E48" s="43"/>
      <c r="F48" s="62">
        <v>0</v>
      </c>
      <c r="G48" s="44">
        <v>6</v>
      </c>
      <c r="H48" s="50">
        <v>32.423625000000001</v>
      </c>
      <c r="I48" s="8"/>
      <c r="J48" s="50">
        <f t="shared" si="6"/>
        <v>0</v>
      </c>
      <c r="K48" s="32"/>
      <c r="M48" s="73" t="str">
        <f t="shared" si="7"/>
        <v>-</v>
      </c>
      <c r="N48" s="73" t="str">
        <f t="shared" si="8"/>
        <v>-</v>
      </c>
      <c r="O48" s="74" t="str">
        <f t="shared" si="9"/>
        <v>-</v>
      </c>
      <c r="P48" s="75" t="str">
        <f t="shared" si="10"/>
        <v>-</v>
      </c>
      <c r="Q48"/>
      <c r="R48" s="75" t="str">
        <f t="shared" si="11"/>
        <v>-</v>
      </c>
    </row>
    <row r="49" spans="1:18" x14ac:dyDescent="0.3">
      <c r="A49" s="41">
        <v>3133</v>
      </c>
      <c r="B49" s="42" t="s">
        <v>36</v>
      </c>
      <c r="C49" s="43" t="s">
        <v>137</v>
      </c>
      <c r="D49" s="43"/>
      <c r="E49" s="43"/>
      <c r="F49" s="62">
        <v>2.09</v>
      </c>
      <c r="G49" s="44">
        <v>6</v>
      </c>
      <c r="H49" s="50">
        <v>32.423625000000001</v>
      </c>
      <c r="I49" s="8"/>
      <c r="J49" s="50">
        <f t="shared" si="6"/>
        <v>0</v>
      </c>
      <c r="K49" s="32"/>
      <c r="M49" s="73" t="str">
        <f t="shared" si="7"/>
        <v>-</v>
      </c>
      <c r="N49" s="73" t="str">
        <f t="shared" si="8"/>
        <v>-</v>
      </c>
      <c r="O49" s="74" t="str">
        <f t="shared" si="9"/>
        <v>-</v>
      </c>
      <c r="P49" s="75" t="str">
        <f t="shared" si="10"/>
        <v>-</v>
      </c>
      <c r="Q49"/>
      <c r="R49" s="75" t="str">
        <f t="shared" si="11"/>
        <v>-</v>
      </c>
    </row>
    <row r="50" spans="1:18" x14ac:dyDescent="0.3">
      <c r="A50" s="41">
        <v>3115</v>
      </c>
      <c r="B50" s="42" t="s">
        <v>37</v>
      </c>
      <c r="C50" s="43" t="s">
        <v>136</v>
      </c>
      <c r="D50" s="43"/>
      <c r="E50" s="43"/>
      <c r="F50" s="62">
        <v>2.09</v>
      </c>
      <c r="G50" s="44">
        <v>6</v>
      </c>
      <c r="H50" s="50">
        <v>32.423625000000001</v>
      </c>
      <c r="I50" s="8"/>
      <c r="J50" s="50">
        <f t="shared" si="6"/>
        <v>0</v>
      </c>
      <c r="K50" s="32"/>
      <c r="M50" s="73" t="str">
        <f t="shared" si="7"/>
        <v>-</v>
      </c>
      <c r="N50" s="73" t="str">
        <f t="shared" si="8"/>
        <v>-</v>
      </c>
      <c r="O50" s="74" t="str">
        <f t="shared" si="9"/>
        <v>-</v>
      </c>
      <c r="P50" s="75" t="str">
        <f t="shared" si="10"/>
        <v>-</v>
      </c>
      <c r="Q50"/>
      <c r="R50" s="75" t="str">
        <f t="shared" si="11"/>
        <v>-</v>
      </c>
    </row>
    <row r="51" spans="1:18" x14ac:dyDescent="0.3">
      <c r="A51" s="37">
        <v>3251</v>
      </c>
      <c r="B51" s="38" t="s">
        <v>38</v>
      </c>
      <c r="C51" s="39" t="s">
        <v>135</v>
      </c>
      <c r="D51" s="39"/>
      <c r="E51" s="39"/>
      <c r="F51" s="62">
        <v>2.09</v>
      </c>
      <c r="G51" s="40">
        <v>4</v>
      </c>
      <c r="H51" s="50">
        <v>49.973625000000013</v>
      </c>
      <c r="I51" s="8"/>
      <c r="J51" s="50">
        <f t="shared" si="6"/>
        <v>0</v>
      </c>
      <c r="K51" s="32"/>
      <c r="M51" s="73" t="str">
        <f t="shared" si="7"/>
        <v>-</v>
      </c>
      <c r="N51" s="73" t="str">
        <f t="shared" si="8"/>
        <v>-</v>
      </c>
      <c r="O51" s="74" t="str">
        <f t="shared" si="9"/>
        <v>-</v>
      </c>
      <c r="P51" s="75" t="str">
        <f t="shared" si="10"/>
        <v>-</v>
      </c>
      <c r="Q51"/>
      <c r="R51" s="75" t="str">
        <f t="shared" si="11"/>
        <v>-</v>
      </c>
    </row>
    <row r="52" spans="1:18" x14ac:dyDescent="0.3">
      <c r="A52" s="41">
        <v>3108</v>
      </c>
      <c r="B52" s="42" t="s">
        <v>39</v>
      </c>
      <c r="C52" s="43" t="s">
        <v>134</v>
      </c>
      <c r="D52" s="43"/>
      <c r="E52" s="43"/>
      <c r="F52" s="62">
        <v>2.09</v>
      </c>
      <c r="G52" s="44">
        <v>4</v>
      </c>
      <c r="H52" s="50">
        <v>49.973625000000013</v>
      </c>
      <c r="I52" s="8"/>
      <c r="J52" s="50">
        <f t="shared" si="6"/>
        <v>0</v>
      </c>
      <c r="K52" s="32"/>
      <c r="M52" s="73" t="str">
        <f t="shared" si="7"/>
        <v>-</v>
      </c>
      <c r="N52" s="73" t="str">
        <f t="shared" si="8"/>
        <v>-</v>
      </c>
      <c r="O52" s="74" t="str">
        <f t="shared" si="9"/>
        <v>-</v>
      </c>
      <c r="P52" s="75" t="str">
        <f t="shared" si="10"/>
        <v>-</v>
      </c>
      <c r="Q52"/>
      <c r="R52" s="75" t="str">
        <f t="shared" si="11"/>
        <v>-</v>
      </c>
    </row>
    <row r="53" spans="1:18" x14ac:dyDescent="0.3">
      <c r="A53" s="41">
        <v>3123</v>
      </c>
      <c r="B53" s="42" t="s">
        <v>40</v>
      </c>
      <c r="C53" s="43" t="s">
        <v>133</v>
      </c>
      <c r="D53" s="43"/>
      <c r="E53" s="43"/>
      <c r="F53" s="62">
        <v>0</v>
      </c>
      <c r="G53" s="44">
        <v>4</v>
      </c>
      <c r="H53" s="50">
        <v>49.973625000000013</v>
      </c>
      <c r="I53" s="8"/>
      <c r="J53" s="50">
        <f t="shared" si="6"/>
        <v>0</v>
      </c>
      <c r="K53" s="32"/>
      <c r="M53" s="73" t="str">
        <f t="shared" si="7"/>
        <v>-</v>
      </c>
      <c r="N53" s="73" t="str">
        <f t="shared" si="8"/>
        <v>-</v>
      </c>
      <c r="O53" s="74" t="str">
        <f t="shared" si="9"/>
        <v>-</v>
      </c>
      <c r="P53" s="75" t="str">
        <f t="shared" si="10"/>
        <v>-</v>
      </c>
      <c r="Q53"/>
      <c r="R53" s="75" t="str">
        <f t="shared" si="11"/>
        <v>-</v>
      </c>
    </row>
    <row r="54" spans="1:18" x14ac:dyDescent="0.3">
      <c r="A54" s="41">
        <v>3112</v>
      </c>
      <c r="B54" s="42" t="s">
        <v>41</v>
      </c>
      <c r="C54" s="43" t="s">
        <v>132</v>
      </c>
      <c r="D54" s="43"/>
      <c r="E54" s="43"/>
      <c r="F54" s="62">
        <v>2.2400000000000002</v>
      </c>
      <c r="G54" s="44">
        <v>4</v>
      </c>
      <c r="H54" s="50">
        <v>49.973625000000013</v>
      </c>
      <c r="I54" s="8"/>
      <c r="J54" s="50">
        <f t="shared" si="6"/>
        <v>0</v>
      </c>
      <c r="K54" s="32"/>
      <c r="M54" s="73" t="str">
        <f t="shared" si="7"/>
        <v>-</v>
      </c>
      <c r="N54" s="73" t="str">
        <f t="shared" si="8"/>
        <v>-</v>
      </c>
      <c r="O54" s="74" t="str">
        <f t="shared" si="9"/>
        <v>-</v>
      </c>
      <c r="P54" s="75" t="str">
        <f t="shared" si="10"/>
        <v>-</v>
      </c>
      <c r="Q54"/>
      <c r="R54" s="75" t="str">
        <f t="shared" si="11"/>
        <v>-</v>
      </c>
    </row>
    <row r="55" spans="1:18" x14ac:dyDescent="0.3">
      <c r="A55" s="41">
        <v>3138</v>
      </c>
      <c r="B55" s="42" t="s">
        <v>42</v>
      </c>
      <c r="C55" s="43" t="s">
        <v>131</v>
      </c>
      <c r="D55" s="43"/>
      <c r="E55" s="43"/>
      <c r="F55" s="62">
        <v>2.09</v>
      </c>
      <c r="G55" s="44">
        <v>4</v>
      </c>
      <c r="H55" s="50">
        <v>49.973625000000013</v>
      </c>
      <c r="I55" s="8"/>
      <c r="J55" s="50">
        <f t="shared" si="6"/>
        <v>0</v>
      </c>
      <c r="K55" s="32"/>
      <c r="M55" s="73" t="str">
        <f t="shared" si="7"/>
        <v>-</v>
      </c>
      <c r="N55" s="73" t="str">
        <f t="shared" si="8"/>
        <v>-</v>
      </c>
      <c r="O55" s="74" t="str">
        <f t="shared" si="9"/>
        <v>-</v>
      </c>
      <c r="P55" s="75" t="str">
        <f t="shared" si="10"/>
        <v>-</v>
      </c>
      <c r="Q55"/>
      <c r="R55" s="75" t="str">
        <f t="shared" si="11"/>
        <v>-</v>
      </c>
    </row>
    <row r="56" spans="1:18" x14ac:dyDescent="0.3">
      <c r="A56" s="41">
        <v>3134</v>
      </c>
      <c r="B56" s="42" t="s">
        <v>43</v>
      </c>
      <c r="C56" s="43" t="s">
        <v>130</v>
      </c>
      <c r="D56" s="43"/>
      <c r="E56" s="43"/>
      <c r="F56" s="62">
        <v>2.2400000000000002</v>
      </c>
      <c r="G56" s="44">
        <v>4</v>
      </c>
      <c r="H56" s="50">
        <v>49.973625000000013</v>
      </c>
      <c r="I56" s="8"/>
      <c r="J56" s="50">
        <f t="shared" si="6"/>
        <v>0</v>
      </c>
      <c r="K56" s="32"/>
      <c r="M56" s="73" t="str">
        <f t="shared" si="7"/>
        <v>-</v>
      </c>
      <c r="N56" s="73" t="str">
        <f t="shared" si="8"/>
        <v>-</v>
      </c>
      <c r="O56" s="74" t="str">
        <f t="shared" si="9"/>
        <v>-</v>
      </c>
      <c r="P56" s="75" t="str">
        <f t="shared" si="10"/>
        <v>-</v>
      </c>
      <c r="Q56"/>
      <c r="R56" s="75" t="str">
        <f t="shared" si="11"/>
        <v>-</v>
      </c>
    </row>
    <row r="57" spans="1:18" x14ac:dyDescent="0.3">
      <c r="A57" s="41">
        <v>3116</v>
      </c>
      <c r="B57" s="42" t="s">
        <v>44</v>
      </c>
      <c r="C57" s="43" t="s">
        <v>129</v>
      </c>
      <c r="D57" s="43"/>
      <c r="E57" s="43"/>
      <c r="F57" s="62">
        <v>2.2400000000000002</v>
      </c>
      <c r="G57" s="44">
        <v>4</v>
      </c>
      <c r="H57" s="50">
        <v>49.973625000000013</v>
      </c>
      <c r="I57" s="8"/>
      <c r="J57" s="50">
        <f t="shared" si="6"/>
        <v>0</v>
      </c>
      <c r="K57" s="32"/>
      <c r="M57" s="73" t="str">
        <f t="shared" si="7"/>
        <v>-</v>
      </c>
      <c r="N57" s="73" t="str">
        <f t="shared" si="8"/>
        <v>-</v>
      </c>
      <c r="O57" s="74" t="str">
        <f t="shared" si="9"/>
        <v>-</v>
      </c>
      <c r="P57" s="75" t="str">
        <f t="shared" si="10"/>
        <v>-</v>
      </c>
      <c r="Q57"/>
      <c r="R57" s="75" t="str">
        <f t="shared" si="11"/>
        <v>-</v>
      </c>
    </row>
    <row r="58" spans="1:18" x14ac:dyDescent="0.3">
      <c r="A58" s="41">
        <v>3119</v>
      </c>
      <c r="B58" s="42" t="s">
        <v>45</v>
      </c>
      <c r="C58" s="45" t="s">
        <v>139</v>
      </c>
      <c r="D58" s="45"/>
      <c r="E58" s="45"/>
      <c r="F58" s="62">
        <v>0</v>
      </c>
      <c r="G58" s="44">
        <v>2</v>
      </c>
      <c r="H58" s="50">
        <v>135.968625</v>
      </c>
      <c r="I58" s="8"/>
      <c r="J58" s="50">
        <f t="shared" si="6"/>
        <v>0</v>
      </c>
      <c r="K58" s="32"/>
      <c r="M58" s="73" t="str">
        <f t="shared" si="7"/>
        <v>-</v>
      </c>
      <c r="N58" s="73" t="str">
        <f t="shared" si="8"/>
        <v>-</v>
      </c>
      <c r="O58" s="74" t="str">
        <f t="shared" si="9"/>
        <v>-</v>
      </c>
      <c r="P58" s="75" t="str">
        <f t="shared" si="10"/>
        <v>-</v>
      </c>
      <c r="Q58"/>
      <c r="R58" s="75" t="str">
        <f t="shared" si="11"/>
        <v>-</v>
      </c>
    </row>
    <row r="59" spans="1:18" x14ac:dyDescent="0.3">
      <c r="A59" s="41">
        <v>3120</v>
      </c>
      <c r="B59" s="42" t="s">
        <v>46</v>
      </c>
      <c r="C59" s="45" t="s">
        <v>140</v>
      </c>
      <c r="D59" s="45"/>
      <c r="E59" s="45"/>
      <c r="F59" s="62">
        <v>0</v>
      </c>
      <c r="G59" s="44">
        <v>2</v>
      </c>
      <c r="H59" s="50">
        <v>135.968625</v>
      </c>
      <c r="I59" s="8"/>
      <c r="J59" s="50">
        <f t="shared" si="6"/>
        <v>0</v>
      </c>
      <c r="K59" s="32"/>
      <c r="M59" s="73" t="str">
        <f t="shared" si="7"/>
        <v>-</v>
      </c>
      <c r="N59" s="73" t="str">
        <f t="shared" si="8"/>
        <v>-</v>
      </c>
      <c r="O59" s="74" t="str">
        <f t="shared" si="9"/>
        <v>-</v>
      </c>
      <c r="P59" s="75" t="str">
        <f t="shared" si="10"/>
        <v>-</v>
      </c>
      <c r="Q59"/>
      <c r="R59" s="75" t="str">
        <f t="shared" si="11"/>
        <v>-</v>
      </c>
    </row>
    <row r="60" spans="1:18" x14ac:dyDescent="0.3">
      <c r="A60" s="41">
        <v>3121</v>
      </c>
      <c r="B60" s="42" t="s">
        <v>47</v>
      </c>
      <c r="C60" s="45" t="s">
        <v>141</v>
      </c>
      <c r="D60" s="45"/>
      <c r="E60" s="45"/>
      <c r="F60" s="62">
        <v>0</v>
      </c>
      <c r="G60" s="44">
        <v>2</v>
      </c>
      <c r="H60" s="50">
        <v>135.968625</v>
      </c>
      <c r="I60" s="8"/>
      <c r="J60" s="50">
        <f t="shared" si="6"/>
        <v>0</v>
      </c>
      <c r="K60" s="32"/>
      <c r="M60" s="73" t="str">
        <f t="shared" si="7"/>
        <v>-</v>
      </c>
      <c r="N60" s="73" t="str">
        <f t="shared" si="8"/>
        <v>-</v>
      </c>
      <c r="O60" s="74" t="str">
        <f t="shared" si="9"/>
        <v>-</v>
      </c>
      <c r="P60" s="75" t="str">
        <f t="shared" si="10"/>
        <v>-</v>
      </c>
      <c r="Q60"/>
      <c r="R60" s="75" t="str">
        <f t="shared" si="11"/>
        <v>-</v>
      </c>
    </row>
    <row r="61" spans="1:18" ht="28.8" hidden="1" x14ac:dyDescent="0.3">
      <c r="A61" s="35" t="s">
        <v>0</v>
      </c>
      <c r="B61" s="35" t="s">
        <v>1</v>
      </c>
      <c r="C61" s="35" t="s">
        <v>48</v>
      </c>
      <c r="D61" s="35"/>
      <c r="E61" s="35"/>
      <c r="F61" s="63" t="s">
        <v>232</v>
      </c>
      <c r="G61" s="35" t="s">
        <v>3</v>
      </c>
      <c r="H61" s="2" t="s">
        <v>110</v>
      </c>
      <c r="I61" s="51" t="s">
        <v>4</v>
      </c>
      <c r="J61" s="51" t="s">
        <v>153</v>
      </c>
      <c r="K61" s="36"/>
    </row>
    <row r="62" spans="1:18" x14ac:dyDescent="0.3">
      <c r="A62" s="17">
        <v>1065</v>
      </c>
      <c r="B62" s="18" t="s">
        <v>49</v>
      </c>
      <c r="C62" s="16" t="s">
        <v>50</v>
      </c>
      <c r="D62" s="16"/>
      <c r="E62" s="16"/>
      <c r="F62" s="62">
        <v>0.53</v>
      </c>
      <c r="G62" s="17">
        <v>12</v>
      </c>
      <c r="H62" s="50">
        <v>13.996125000000001</v>
      </c>
      <c r="I62" s="8"/>
      <c r="J62" s="50">
        <f t="shared" ref="J62:J71" si="12">I62*H62</f>
        <v>0</v>
      </c>
      <c r="K62" s="20"/>
      <c r="M62" s="73" t="str">
        <f t="shared" ref="M62:M71" si="13">IFERROR(IF($M$2*F62=0, "-", $M$2*F62), "-")</f>
        <v>-</v>
      </c>
      <c r="N62" s="73" t="str">
        <f t="shared" ref="N62:N71" si="14">IF(I62&gt;0,H62+F62*I62/$O$2*$P$2/I62,"-")</f>
        <v>-</v>
      </c>
      <c r="O62" s="74" t="str">
        <f t="shared" ref="O62:O71" si="15">IF(I62&gt;0,I62*F62*1.113, "-")</f>
        <v>-</v>
      </c>
      <c r="P62" s="75" t="str">
        <f t="shared" ref="P62:P71" si="16">IFERROR(IF($M$2&gt;0, $M$2*O62, "-"), "-")</f>
        <v>-</v>
      </c>
      <c r="Q62"/>
      <c r="R62" s="75" t="str">
        <f t="shared" ref="R62:R71" si="17">IFERROR(IF(P62+J62=0, "-", IF(P62&gt;0, P62+J62, "-")), "-")</f>
        <v>-</v>
      </c>
    </row>
    <row r="63" spans="1:18" x14ac:dyDescent="0.3">
      <c r="A63" s="17">
        <v>1066</v>
      </c>
      <c r="B63" s="18" t="s">
        <v>51</v>
      </c>
      <c r="C63" s="16" t="s">
        <v>52</v>
      </c>
      <c r="D63" s="16"/>
      <c r="E63" s="16"/>
      <c r="F63" s="62">
        <v>1</v>
      </c>
      <c r="G63" s="17">
        <v>12</v>
      </c>
      <c r="H63" s="50">
        <v>21.016125000000002</v>
      </c>
      <c r="I63" s="8"/>
      <c r="J63" s="50">
        <f t="shared" si="12"/>
        <v>0</v>
      </c>
      <c r="K63" s="20"/>
      <c r="M63" s="73" t="str">
        <f t="shared" si="13"/>
        <v>-</v>
      </c>
      <c r="N63" s="73" t="str">
        <f t="shared" si="14"/>
        <v>-</v>
      </c>
      <c r="O63" s="74" t="str">
        <f t="shared" si="15"/>
        <v>-</v>
      </c>
      <c r="P63" s="75" t="str">
        <f t="shared" si="16"/>
        <v>-</v>
      </c>
      <c r="Q63"/>
      <c r="R63" s="75" t="str">
        <f t="shared" si="17"/>
        <v>-</v>
      </c>
    </row>
    <row r="64" spans="1:18" x14ac:dyDescent="0.3">
      <c r="A64" s="17">
        <v>4542</v>
      </c>
      <c r="B64" s="18" t="s">
        <v>53</v>
      </c>
      <c r="C64" s="16" t="s">
        <v>54</v>
      </c>
      <c r="D64" s="16"/>
      <c r="E64" s="16"/>
      <c r="F64" s="62">
        <v>0</v>
      </c>
      <c r="G64" s="17">
        <v>12</v>
      </c>
      <c r="H64" s="50">
        <v>13.118625</v>
      </c>
      <c r="I64" s="8"/>
      <c r="J64" s="50">
        <f t="shared" si="12"/>
        <v>0</v>
      </c>
      <c r="K64" s="20"/>
      <c r="M64" s="73" t="str">
        <f t="shared" si="13"/>
        <v>-</v>
      </c>
      <c r="N64" s="73" t="str">
        <f t="shared" si="14"/>
        <v>-</v>
      </c>
      <c r="O64" s="74" t="str">
        <f t="shared" si="15"/>
        <v>-</v>
      </c>
      <c r="P64" s="75" t="str">
        <f t="shared" si="16"/>
        <v>-</v>
      </c>
      <c r="Q64"/>
      <c r="R64" s="75" t="str">
        <f t="shared" si="17"/>
        <v>-</v>
      </c>
    </row>
    <row r="65" spans="1:18" x14ac:dyDescent="0.3">
      <c r="A65" s="17">
        <v>2705</v>
      </c>
      <c r="B65" s="18" t="s">
        <v>55</v>
      </c>
      <c r="C65" s="16" t="s">
        <v>56</v>
      </c>
      <c r="D65" s="16"/>
      <c r="E65" s="16"/>
      <c r="F65" s="62">
        <v>0</v>
      </c>
      <c r="G65" s="17">
        <v>12</v>
      </c>
      <c r="H65" s="50">
        <v>16.628625000000003</v>
      </c>
      <c r="I65" s="8"/>
      <c r="J65" s="50">
        <f t="shared" si="12"/>
        <v>0</v>
      </c>
      <c r="K65" s="20"/>
      <c r="M65" s="73" t="str">
        <f t="shared" si="13"/>
        <v>-</v>
      </c>
      <c r="N65" s="73" t="str">
        <f t="shared" si="14"/>
        <v>-</v>
      </c>
      <c r="O65" s="74" t="str">
        <f t="shared" si="15"/>
        <v>-</v>
      </c>
      <c r="P65" s="75" t="str">
        <f t="shared" si="16"/>
        <v>-</v>
      </c>
      <c r="Q65"/>
      <c r="R65" s="75" t="str">
        <f t="shared" si="17"/>
        <v>-</v>
      </c>
    </row>
    <row r="66" spans="1:18" x14ac:dyDescent="0.3">
      <c r="A66" s="44">
        <v>5246</v>
      </c>
      <c r="B66" s="46" t="s">
        <v>57</v>
      </c>
      <c r="C66" s="45" t="s">
        <v>58</v>
      </c>
      <c r="D66" s="45"/>
      <c r="E66" s="45"/>
      <c r="F66" s="62">
        <v>0</v>
      </c>
      <c r="G66" s="44">
        <v>12</v>
      </c>
      <c r="H66" s="50">
        <v>47.341125000000005</v>
      </c>
      <c r="I66" s="8"/>
      <c r="J66" s="50">
        <f t="shared" si="12"/>
        <v>0</v>
      </c>
      <c r="K66" s="20"/>
      <c r="M66" s="73" t="str">
        <f t="shared" si="13"/>
        <v>-</v>
      </c>
      <c r="N66" s="73" t="str">
        <f t="shared" si="14"/>
        <v>-</v>
      </c>
      <c r="O66" s="74" t="str">
        <f t="shared" si="15"/>
        <v>-</v>
      </c>
      <c r="P66" s="75" t="str">
        <f t="shared" si="16"/>
        <v>-</v>
      </c>
      <c r="Q66"/>
      <c r="R66" s="75" t="str">
        <f t="shared" si="17"/>
        <v>-</v>
      </c>
    </row>
    <row r="67" spans="1:18" x14ac:dyDescent="0.3">
      <c r="A67" s="44">
        <v>5245</v>
      </c>
      <c r="B67" s="46" t="s">
        <v>59</v>
      </c>
      <c r="C67" s="45" t="s">
        <v>60</v>
      </c>
      <c r="D67" s="45"/>
      <c r="E67" s="45"/>
      <c r="F67" s="62">
        <v>0</v>
      </c>
      <c r="G67" s="44">
        <v>12</v>
      </c>
      <c r="H67" s="50">
        <v>47.341125000000005</v>
      </c>
      <c r="I67" s="8"/>
      <c r="J67" s="50">
        <f t="shared" si="12"/>
        <v>0</v>
      </c>
      <c r="K67" s="20"/>
      <c r="M67" s="73" t="str">
        <f t="shared" si="13"/>
        <v>-</v>
      </c>
      <c r="N67" s="73" t="str">
        <f t="shared" si="14"/>
        <v>-</v>
      </c>
      <c r="O67" s="74" t="str">
        <f t="shared" si="15"/>
        <v>-</v>
      </c>
      <c r="P67" s="75" t="str">
        <f t="shared" si="16"/>
        <v>-</v>
      </c>
      <c r="Q67"/>
      <c r="R67" s="75" t="str">
        <f t="shared" si="17"/>
        <v>-</v>
      </c>
    </row>
    <row r="68" spans="1:18" x14ac:dyDescent="0.3">
      <c r="A68" s="17">
        <v>1432</v>
      </c>
      <c r="B68" s="18" t="s">
        <v>61</v>
      </c>
      <c r="C68" s="16" t="s">
        <v>62</v>
      </c>
      <c r="D68" s="16"/>
      <c r="E68" s="16"/>
      <c r="F68" s="62">
        <v>0.43</v>
      </c>
      <c r="G68" s="17">
        <v>12</v>
      </c>
      <c r="H68" s="50">
        <v>22.771125000000001</v>
      </c>
      <c r="I68" s="8"/>
      <c r="J68" s="50">
        <f t="shared" si="12"/>
        <v>0</v>
      </c>
      <c r="K68" s="20"/>
      <c r="M68" s="73" t="str">
        <f t="shared" si="13"/>
        <v>-</v>
      </c>
      <c r="N68" s="73" t="str">
        <f t="shared" si="14"/>
        <v>-</v>
      </c>
      <c r="O68" s="74" t="str">
        <f t="shared" si="15"/>
        <v>-</v>
      </c>
      <c r="P68" s="75" t="str">
        <f t="shared" si="16"/>
        <v>-</v>
      </c>
      <c r="Q68"/>
      <c r="R68" s="75" t="str">
        <f t="shared" si="17"/>
        <v>-</v>
      </c>
    </row>
    <row r="69" spans="1:18" x14ac:dyDescent="0.3">
      <c r="A69" s="17">
        <v>4677</v>
      </c>
      <c r="B69" s="18" t="s">
        <v>63</v>
      </c>
      <c r="C69" s="16" t="s">
        <v>64</v>
      </c>
      <c r="D69" s="16"/>
      <c r="E69" s="16"/>
      <c r="F69" s="62">
        <v>0</v>
      </c>
      <c r="G69" s="17">
        <v>12</v>
      </c>
      <c r="H69" s="50">
        <v>13.118625</v>
      </c>
      <c r="I69" s="8"/>
      <c r="J69" s="50">
        <f t="shared" si="12"/>
        <v>0</v>
      </c>
      <c r="K69" s="20"/>
      <c r="M69" s="73" t="str">
        <f t="shared" si="13"/>
        <v>-</v>
      </c>
      <c r="N69" s="73" t="str">
        <f t="shared" si="14"/>
        <v>-</v>
      </c>
      <c r="O69" s="74" t="str">
        <f t="shared" si="15"/>
        <v>-</v>
      </c>
      <c r="P69" s="75" t="str">
        <f t="shared" si="16"/>
        <v>-</v>
      </c>
      <c r="Q69"/>
      <c r="R69" s="75" t="str">
        <f t="shared" si="17"/>
        <v>-</v>
      </c>
    </row>
    <row r="70" spans="1:18" x14ac:dyDescent="0.3">
      <c r="A70" s="17">
        <v>4391</v>
      </c>
      <c r="B70" s="18" t="s">
        <v>65</v>
      </c>
      <c r="C70" s="16" t="s">
        <v>66</v>
      </c>
      <c r="D70" s="16"/>
      <c r="E70" s="16"/>
      <c r="F70" s="62">
        <v>0</v>
      </c>
      <c r="G70" s="17">
        <v>12</v>
      </c>
      <c r="H70" s="50">
        <v>15.751125000000002</v>
      </c>
      <c r="I70" s="8"/>
      <c r="J70" s="50">
        <f t="shared" si="12"/>
        <v>0</v>
      </c>
      <c r="K70" s="20"/>
      <c r="M70" s="73" t="str">
        <f t="shared" si="13"/>
        <v>-</v>
      </c>
      <c r="N70" s="73" t="str">
        <f t="shared" si="14"/>
        <v>-</v>
      </c>
      <c r="O70" s="74" t="str">
        <f t="shared" si="15"/>
        <v>-</v>
      </c>
      <c r="P70" s="75" t="str">
        <f t="shared" si="16"/>
        <v>-</v>
      </c>
      <c r="Q70"/>
      <c r="R70" s="75" t="str">
        <f t="shared" si="17"/>
        <v>-</v>
      </c>
    </row>
    <row r="71" spans="1:18" x14ac:dyDescent="0.3">
      <c r="A71" s="17">
        <v>4392</v>
      </c>
      <c r="B71" s="18" t="s">
        <v>67</v>
      </c>
      <c r="C71" s="16" t="s">
        <v>68</v>
      </c>
      <c r="D71" s="16"/>
      <c r="E71" s="16"/>
      <c r="F71" s="62">
        <v>0.52</v>
      </c>
      <c r="G71" s="17">
        <v>12</v>
      </c>
      <c r="H71" s="50">
        <v>25.403625000000002</v>
      </c>
      <c r="I71" s="8"/>
      <c r="J71" s="50">
        <f t="shared" si="12"/>
        <v>0</v>
      </c>
      <c r="K71" s="20"/>
      <c r="M71" s="73" t="str">
        <f t="shared" si="13"/>
        <v>-</v>
      </c>
      <c r="N71" s="73" t="str">
        <f t="shared" si="14"/>
        <v>-</v>
      </c>
      <c r="O71" s="74" t="str">
        <f t="shared" si="15"/>
        <v>-</v>
      </c>
      <c r="P71" s="75" t="str">
        <f t="shared" si="16"/>
        <v>-</v>
      </c>
      <c r="Q71"/>
      <c r="R71" s="75" t="str">
        <f t="shared" si="17"/>
        <v>-</v>
      </c>
    </row>
    <row r="72" spans="1:18" ht="28.8" hidden="1" x14ac:dyDescent="0.3">
      <c r="A72" s="35" t="s">
        <v>0</v>
      </c>
      <c r="B72" s="35" t="s">
        <v>1</v>
      </c>
      <c r="C72" s="35" t="s">
        <v>48</v>
      </c>
      <c r="D72" s="35"/>
      <c r="E72" s="35"/>
      <c r="F72" s="63" t="s">
        <v>232</v>
      </c>
      <c r="G72" s="35" t="s">
        <v>3</v>
      </c>
      <c r="H72" s="2" t="s">
        <v>110</v>
      </c>
      <c r="I72" s="51" t="s">
        <v>4</v>
      </c>
      <c r="J72" s="51" t="s">
        <v>153</v>
      </c>
      <c r="K72" s="36"/>
    </row>
    <row r="73" spans="1:18" x14ac:dyDescent="0.3">
      <c r="A73" s="17">
        <v>4091</v>
      </c>
      <c r="B73" s="18" t="s">
        <v>69</v>
      </c>
      <c r="C73" s="16" t="s">
        <v>70</v>
      </c>
      <c r="D73" s="16"/>
      <c r="E73" s="16"/>
      <c r="F73" s="62">
        <v>0</v>
      </c>
      <c r="G73" s="17">
        <v>12</v>
      </c>
      <c r="H73" s="50">
        <v>36.811125000000004</v>
      </c>
      <c r="I73" s="8"/>
      <c r="J73" s="50">
        <f t="shared" ref="J73" si="18">I73*H73</f>
        <v>0</v>
      </c>
      <c r="K73" s="20"/>
      <c r="M73" s="73" t="str">
        <f>IFERROR(IF($M$2*F73=0, "-", $M$2*F73), "-")</f>
        <v>-</v>
      </c>
      <c r="N73" s="73" t="str">
        <f>IF(I73&gt;0,H73+F73*I73/$O$2*$P$2/I73,"-")</f>
        <v>-</v>
      </c>
      <c r="O73" s="74" t="str">
        <f>IF(I73&gt;0,I73*F73*1.113, "-")</f>
        <v>-</v>
      </c>
      <c r="P73" s="75" t="str">
        <f>IFERROR(IF($M$2&gt;0, $M$2*O73, "-"), "-")</f>
        <v>-</v>
      </c>
      <c r="Q73"/>
      <c r="R73" s="75" t="str">
        <f>IFERROR(IF(P73+J73=0, "-", IF(P73&gt;0, P73+J73, "-")), "-")</f>
        <v>-</v>
      </c>
    </row>
    <row r="74" spans="1:18" ht="28.8" hidden="1" x14ac:dyDescent="0.3">
      <c r="A74" s="35" t="s">
        <v>0</v>
      </c>
      <c r="B74" s="35" t="s">
        <v>1</v>
      </c>
      <c r="C74" s="35" t="s">
        <v>71</v>
      </c>
      <c r="D74" s="35"/>
      <c r="E74" s="35"/>
      <c r="F74" s="63" t="s">
        <v>232</v>
      </c>
      <c r="G74" s="35" t="s">
        <v>3</v>
      </c>
      <c r="H74" s="2" t="s">
        <v>110</v>
      </c>
      <c r="I74" s="51" t="s">
        <v>4</v>
      </c>
      <c r="J74" s="51" t="s">
        <v>153</v>
      </c>
      <c r="K74" s="36"/>
    </row>
    <row r="75" spans="1:18" x14ac:dyDescent="0.3">
      <c r="A75" s="17">
        <v>4711</v>
      </c>
      <c r="B75" s="18" t="s">
        <v>72</v>
      </c>
      <c r="C75" s="16" t="s">
        <v>73</v>
      </c>
      <c r="D75" s="16"/>
      <c r="E75" s="16"/>
      <c r="F75" s="62">
        <v>0</v>
      </c>
      <c r="G75" s="17">
        <v>12</v>
      </c>
      <c r="H75" s="50">
        <v>9.213750000000001</v>
      </c>
      <c r="I75" s="8"/>
      <c r="J75" s="50">
        <f t="shared" ref="J75:J106" si="19">I75*H75</f>
        <v>0</v>
      </c>
      <c r="K75" s="20"/>
      <c r="M75" s="73" t="str">
        <f t="shared" ref="M75:M106" si="20">IFERROR(IF($M$2*F75=0, "-", $M$2*F75), "-")</f>
        <v>-</v>
      </c>
      <c r="N75" s="73" t="str">
        <f t="shared" ref="N75:N106" si="21">IF(I75&gt;0,H75+F75*I75/$O$2*$P$2/I75,"-")</f>
        <v>-</v>
      </c>
      <c r="O75" s="74" t="str">
        <f t="shared" ref="O75:O106" si="22">IF(I75&gt;0,I75*F75*1.113, "-")</f>
        <v>-</v>
      </c>
      <c r="P75" s="75" t="str">
        <f t="shared" ref="P75:P106" si="23">IFERROR(IF($M$2&gt;0, $M$2*O75, "-"), "-")</f>
        <v>-</v>
      </c>
      <c r="Q75"/>
      <c r="R75" s="75" t="str">
        <f t="shared" ref="R75:R106" si="24">IFERROR(IF(P75+J75=0, "-", IF(P75&gt;0, P75+J75, "-")), "-")</f>
        <v>-</v>
      </c>
    </row>
    <row r="76" spans="1:18" x14ac:dyDescent="0.3">
      <c r="A76" s="17" t="s">
        <v>74</v>
      </c>
      <c r="B76" s="18" t="s">
        <v>75</v>
      </c>
      <c r="C76" s="16" t="s">
        <v>76</v>
      </c>
      <c r="D76" s="16"/>
      <c r="E76" s="16"/>
      <c r="F76" s="62">
        <v>0</v>
      </c>
      <c r="G76" s="17">
        <v>12</v>
      </c>
      <c r="H76" s="50">
        <v>8.7311250000000005</v>
      </c>
      <c r="I76" s="8"/>
      <c r="J76" s="50">
        <f t="shared" si="19"/>
        <v>0</v>
      </c>
      <c r="K76" s="20"/>
      <c r="M76" s="73" t="str">
        <f t="shared" si="20"/>
        <v>-</v>
      </c>
      <c r="N76" s="73" t="str">
        <f t="shared" si="21"/>
        <v>-</v>
      </c>
      <c r="O76" s="74" t="str">
        <f t="shared" si="22"/>
        <v>-</v>
      </c>
      <c r="P76" s="75" t="str">
        <f t="shared" si="23"/>
        <v>-</v>
      </c>
      <c r="Q76"/>
      <c r="R76" s="75" t="str">
        <f t="shared" si="24"/>
        <v>-</v>
      </c>
    </row>
    <row r="77" spans="1:18" x14ac:dyDescent="0.3">
      <c r="A77" s="17">
        <v>3345</v>
      </c>
      <c r="B77" s="18" t="s">
        <v>170</v>
      </c>
      <c r="C77" s="16" t="s">
        <v>200</v>
      </c>
      <c r="D77" s="16"/>
      <c r="E77" s="16"/>
      <c r="F77" s="62">
        <v>0</v>
      </c>
      <c r="G77" s="17">
        <v>12</v>
      </c>
      <c r="H77" s="50">
        <v>59.626125000000009</v>
      </c>
      <c r="I77" s="8"/>
      <c r="J77" s="50">
        <f t="shared" si="19"/>
        <v>0</v>
      </c>
      <c r="K77" s="20"/>
      <c r="M77" s="73" t="str">
        <f t="shared" si="20"/>
        <v>-</v>
      </c>
      <c r="N77" s="73" t="str">
        <f t="shared" si="21"/>
        <v>-</v>
      </c>
      <c r="O77" s="74" t="str">
        <f t="shared" si="22"/>
        <v>-</v>
      </c>
      <c r="P77" s="75" t="str">
        <f t="shared" si="23"/>
        <v>-</v>
      </c>
      <c r="Q77"/>
      <c r="R77" s="75" t="str">
        <f t="shared" si="24"/>
        <v>-</v>
      </c>
    </row>
    <row r="78" spans="1:18" ht="17.399999999999999" x14ac:dyDescent="0.35">
      <c r="A78" s="17" t="s">
        <v>160</v>
      </c>
      <c r="B78" s="18" t="s">
        <v>171</v>
      </c>
      <c r="C78" s="16" t="s">
        <v>201</v>
      </c>
      <c r="D78" s="16"/>
      <c r="E78" s="16"/>
      <c r="F78" s="62">
        <v>0</v>
      </c>
      <c r="G78" s="17">
        <v>12</v>
      </c>
      <c r="H78" s="50">
        <v>26.281125000000003</v>
      </c>
      <c r="I78" s="8"/>
      <c r="J78" s="50">
        <f t="shared" si="19"/>
        <v>0</v>
      </c>
      <c r="K78" s="20"/>
      <c r="M78" s="73" t="str">
        <f t="shared" si="20"/>
        <v>-</v>
      </c>
      <c r="N78" s="73" t="str">
        <f t="shared" si="21"/>
        <v>-</v>
      </c>
      <c r="O78" s="74" t="str">
        <f t="shared" si="22"/>
        <v>-</v>
      </c>
      <c r="P78" s="75" t="str">
        <f t="shared" si="23"/>
        <v>-</v>
      </c>
      <c r="Q78"/>
      <c r="R78" s="75" t="str">
        <f t="shared" si="24"/>
        <v>-</v>
      </c>
    </row>
    <row r="79" spans="1:18" x14ac:dyDescent="0.3">
      <c r="A79" s="17">
        <v>3343</v>
      </c>
      <c r="B79" s="18" t="s">
        <v>172</v>
      </c>
      <c r="C79" s="16" t="s">
        <v>202</v>
      </c>
      <c r="D79" s="16"/>
      <c r="E79" s="16"/>
      <c r="F79" s="62">
        <v>0.48</v>
      </c>
      <c r="G79" s="17">
        <v>12</v>
      </c>
      <c r="H79" s="50">
        <v>28.036125000000006</v>
      </c>
      <c r="I79" s="8"/>
      <c r="J79" s="50">
        <f t="shared" si="19"/>
        <v>0</v>
      </c>
      <c r="K79" s="20"/>
      <c r="M79" s="73" t="str">
        <f t="shared" si="20"/>
        <v>-</v>
      </c>
      <c r="N79" s="73" t="str">
        <f t="shared" si="21"/>
        <v>-</v>
      </c>
      <c r="O79" s="74" t="str">
        <f t="shared" si="22"/>
        <v>-</v>
      </c>
      <c r="P79" s="75" t="str">
        <f t="shared" si="23"/>
        <v>-</v>
      </c>
      <c r="Q79"/>
      <c r="R79" s="75" t="str">
        <f t="shared" si="24"/>
        <v>-</v>
      </c>
    </row>
    <row r="80" spans="1:18" ht="17.399999999999999" x14ac:dyDescent="0.35">
      <c r="A80" s="17" t="s">
        <v>161</v>
      </c>
      <c r="B80" s="18" t="s">
        <v>173</v>
      </c>
      <c r="C80" s="16" t="s">
        <v>203</v>
      </c>
      <c r="D80" s="16"/>
      <c r="E80" s="16"/>
      <c r="F80" s="62">
        <v>0.64</v>
      </c>
      <c r="G80" s="17">
        <v>12</v>
      </c>
      <c r="H80" s="50">
        <v>36.811125000000004</v>
      </c>
      <c r="I80" s="8"/>
      <c r="J80" s="50">
        <f t="shared" si="19"/>
        <v>0</v>
      </c>
      <c r="K80" s="20"/>
      <c r="M80" s="73" t="str">
        <f t="shared" si="20"/>
        <v>-</v>
      </c>
      <c r="N80" s="73" t="str">
        <f t="shared" si="21"/>
        <v>-</v>
      </c>
      <c r="O80" s="74" t="str">
        <f t="shared" si="22"/>
        <v>-</v>
      </c>
      <c r="P80" s="75" t="str">
        <f t="shared" si="23"/>
        <v>-</v>
      </c>
      <c r="Q80"/>
      <c r="R80" s="75" t="str">
        <f t="shared" si="24"/>
        <v>-</v>
      </c>
    </row>
    <row r="81" spans="1:18" ht="17.399999999999999" x14ac:dyDescent="0.35">
      <c r="A81" s="17" t="s">
        <v>162</v>
      </c>
      <c r="B81" s="18" t="s">
        <v>174</v>
      </c>
      <c r="C81" s="16" t="s">
        <v>204</v>
      </c>
      <c r="D81" s="16"/>
      <c r="E81" s="16"/>
      <c r="F81" s="62">
        <v>0.43</v>
      </c>
      <c r="G81" s="17">
        <v>12</v>
      </c>
      <c r="H81" s="50">
        <v>28.518750000000001</v>
      </c>
      <c r="I81" s="8"/>
      <c r="J81" s="50">
        <f t="shared" si="19"/>
        <v>0</v>
      </c>
      <c r="K81" s="20"/>
      <c r="M81" s="73" t="str">
        <f t="shared" si="20"/>
        <v>-</v>
      </c>
      <c r="N81" s="73" t="str">
        <f t="shared" si="21"/>
        <v>-</v>
      </c>
      <c r="O81" s="74" t="str">
        <f t="shared" si="22"/>
        <v>-</v>
      </c>
      <c r="P81" s="75" t="str">
        <f t="shared" si="23"/>
        <v>-</v>
      </c>
      <c r="Q81"/>
      <c r="R81" s="75" t="str">
        <f t="shared" si="24"/>
        <v>-</v>
      </c>
    </row>
    <row r="82" spans="1:18" ht="17.399999999999999" x14ac:dyDescent="0.35">
      <c r="A82" s="17">
        <v>3226</v>
      </c>
      <c r="B82" s="18" t="s">
        <v>175</v>
      </c>
      <c r="C82" s="16" t="s">
        <v>205</v>
      </c>
      <c r="D82" s="16"/>
      <c r="E82" s="16"/>
      <c r="F82" s="62">
        <v>0.5</v>
      </c>
      <c r="G82" s="17">
        <v>12</v>
      </c>
      <c r="H82" s="50">
        <v>43.831125000000007</v>
      </c>
      <c r="I82" s="8"/>
      <c r="J82" s="50">
        <f t="shared" si="19"/>
        <v>0</v>
      </c>
      <c r="K82" s="20"/>
      <c r="M82" s="73" t="str">
        <f t="shared" si="20"/>
        <v>-</v>
      </c>
      <c r="N82" s="73" t="str">
        <f t="shared" si="21"/>
        <v>-</v>
      </c>
      <c r="O82" s="74" t="str">
        <f t="shared" si="22"/>
        <v>-</v>
      </c>
      <c r="P82" s="75" t="str">
        <f t="shared" si="23"/>
        <v>-</v>
      </c>
      <c r="Q82"/>
      <c r="R82" s="75" t="str">
        <f t="shared" si="24"/>
        <v>-</v>
      </c>
    </row>
    <row r="83" spans="1:18" ht="17.399999999999999" x14ac:dyDescent="0.35">
      <c r="A83" s="17">
        <v>3349</v>
      </c>
      <c r="B83" s="18" t="s">
        <v>176</v>
      </c>
      <c r="C83" s="16" t="s">
        <v>206</v>
      </c>
      <c r="D83" s="16"/>
      <c r="E83" s="16"/>
      <c r="F83" s="62">
        <v>0.5</v>
      </c>
      <c r="G83" s="17">
        <v>12</v>
      </c>
      <c r="H83" s="50">
        <v>43.831125000000007</v>
      </c>
      <c r="I83" s="8"/>
      <c r="J83" s="50">
        <f t="shared" si="19"/>
        <v>0</v>
      </c>
      <c r="K83" s="20"/>
      <c r="M83" s="73" t="str">
        <f t="shared" si="20"/>
        <v>-</v>
      </c>
      <c r="N83" s="73" t="str">
        <f t="shared" si="21"/>
        <v>-</v>
      </c>
      <c r="O83" s="74" t="str">
        <f t="shared" si="22"/>
        <v>-</v>
      </c>
      <c r="P83" s="75" t="str">
        <f t="shared" si="23"/>
        <v>-</v>
      </c>
      <c r="Q83"/>
      <c r="R83" s="75" t="str">
        <f t="shared" si="24"/>
        <v>-</v>
      </c>
    </row>
    <row r="84" spans="1:18" x14ac:dyDescent="0.3">
      <c r="A84" s="17">
        <v>3352</v>
      </c>
      <c r="B84" s="18" t="s">
        <v>177</v>
      </c>
      <c r="C84" s="16" t="s">
        <v>207</v>
      </c>
      <c r="D84" s="16"/>
      <c r="E84" s="16"/>
      <c r="F84" s="62">
        <v>0</v>
      </c>
      <c r="G84" s="17">
        <v>12</v>
      </c>
      <c r="H84" s="50">
        <v>43.831125000000007</v>
      </c>
      <c r="I84" s="8"/>
      <c r="J84" s="50">
        <f t="shared" si="19"/>
        <v>0</v>
      </c>
      <c r="K84" s="20"/>
      <c r="M84" s="73" t="str">
        <f t="shared" si="20"/>
        <v>-</v>
      </c>
      <c r="N84" s="73" t="str">
        <f t="shared" si="21"/>
        <v>-</v>
      </c>
      <c r="O84" s="74" t="str">
        <f t="shared" si="22"/>
        <v>-</v>
      </c>
      <c r="P84" s="75" t="str">
        <f t="shared" si="23"/>
        <v>-</v>
      </c>
      <c r="Q84"/>
      <c r="R84" s="75" t="str">
        <f t="shared" si="24"/>
        <v>-</v>
      </c>
    </row>
    <row r="85" spans="1:18" x14ac:dyDescent="0.3">
      <c r="A85" s="17">
        <v>4210</v>
      </c>
      <c r="B85" s="18" t="s">
        <v>178</v>
      </c>
      <c r="C85" s="16" t="s">
        <v>208</v>
      </c>
      <c r="D85" s="16"/>
      <c r="E85" s="16"/>
      <c r="F85" s="62">
        <v>0</v>
      </c>
      <c r="G85" s="17">
        <v>12</v>
      </c>
      <c r="H85" s="50">
        <v>43.831125000000007</v>
      </c>
      <c r="I85" s="8"/>
      <c r="J85" s="50">
        <f t="shared" si="19"/>
        <v>0</v>
      </c>
      <c r="K85" s="20"/>
      <c r="M85" s="73" t="str">
        <f t="shared" si="20"/>
        <v>-</v>
      </c>
      <c r="N85" s="73" t="str">
        <f t="shared" si="21"/>
        <v>-</v>
      </c>
      <c r="O85" s="74" t="str">
        <f t="shared" si="22"/>
        <v>-</v>
      </c>
      <c r="P85" s="75" t="str">
        <f t="shared" si="23"/>
        <v>-</v>
      </c>
      <c r="Q85"/>
      <c r="R85" s="75" t="str">
        <f t="shared" si="24"/>
        <v>-</v>
      </c>
    </row>
    <row r="86" spans="1:18" ht="17.399999999999999" x14ac:dyDescent="0.35">
      <c r="A86" s="17" t="s">
        <v>163</v>
      </c>
      <c r="B86" s="18" t="s">
        <v>179</v>
      </c>
      <c r="C86" s="16" t="s">
        <v>209</v>
      </c>
      <c r="D86" s="16"/>
      <c r="E86" s="16"/>
      <c r="F86" s="62">
        <v>0</v>
      </c>
      <c r="G86" s="17">
        <v>12</v>
      </c>
      <c r="H86" s="50">
        <v>26.281125000000003</v>
      </c>
      <c r="I86" s="8"/>
      <c r="J86" s="50">
        <f t="shared" si="19"/>
        <v>0</v>
      </c>
      <c r="K86" s="20"/>
      <c r="M86" s="73" t="str">
        <f t="shared" si="20"/>
        <v>-</v>
      </c>
      <c r="N86" s="73" t="str">
        <f t="shared" si="21"/>
        <v>-</v>
      </c>
      <c r="O86" s="74" t="str">
        <f t="shared" si="22"/>
        <v>-</v>
      </c>
      <c r="P86" s="75" t="str">
        <f t="shared" si="23"/>
        <v>-</v>
      </c>
      <c r="Q86"/>
      <c r="R86" s="75" t="str">
        <f t="shared" si="24"/>
        <v>-</v>
      </c>
    </row>
    <row r="87" spans="1:18" x14ac:dyDescent="0.3">
      <c r="A87" s="17" t="s">
        <v>164</v>
      </c>
      <c r="B87" s="18" t="s">
        <v>180</v>
      </c>
      <c r="C87" s="16" t="s">
        <v>210</v>
      </c>
      <c r="D87" s="16"/>
      <c r="E87" s="16"/>
      <c r="F87" s="62">
        <v>0</v>
      </c>
      <c r="G87" s="17">
        <v>12</v>
      </c>
      <c r="H87" s="50">
        <v>40.321125000000009</v>
      </c>
      <c r="I87" s="8"/>
      <c r="J87" s="50">
        <f t="shared" si="19"/>
        <v>0</v>
      </c>
      <c r="K87" s="20"/>
      <c r="M87" s="73" t="str">
        <f t="shared" si="20"/>
        <v>-</v>
      </c>
      <c r="N87" s="73" t="str">
        <f t="shared" si="21"/>
        <v>-</v>
      </c>
      <c r="O87" s="74" t="str">
        <f t="shared" si="22"/>
        <v>-</v>
      </c>
      <c r="P87" s="75" t="str">
        <f t="shared" si="23"/>
        <v>-</v>
      </c>
      <c r="Q87"/>
      <c r="R87" s="75" t="str">
        <f t="shared" si="24"/>
        <v>-</v>
      </c>
    </row>
    <row r="88" spans="1:18" x14ac:dyDescent="0.3">
      <c r="A88" s="17">
        <v>13293</v>
      </c>
      <c r="B88" s="18" t="s">
        <v>181</v>
      </c>
      <c r="C88" s="16" t="s">
        <v>211</v>
      </c>
      <c r="D88" s="16"/>
      <c r="E88" s="16"/>
      <c r="F88" s="62">
        <v>0</v>
      </c>
      <c r="G88" s="17">
        <v>12</v>
      </c>
      <c r="H88" s="50">
        <v>40.321125000000009</v>
      </c>
      <c r="I88" s="8"/>
      <c r="J88" s="50">
        <f t="shared" si="19"/>
        <v>0</v>
      </c>
      <c r="K88" s="20"/>
      <c r="M88" s="73" t="str">
        <f t="shared" si="20"/>
        <v>-</v>
      </c>
      <c r="N88" s="73" t="str">
        <f t="shared" si="21"/>
        <v>-</v>
      </c>
      <c r="O88" s="74" t="str">
        <f t="shared" si="22"/>
        <v>-</v>
      </c>
      <c r="P88" s="75" t="str">
        <f t="shared" si="23"/>
        <v>-</v>
      </c>
      <c r="Q88"/>
      <c r="R88" s="75" t="str">
        <f t="shared" si="24"/>
        <v>-</v>
      </c>
    </row>
    <row r="89" spans="1:18" x14ac:dyDescent="0.3">
      <c r="A89" s="17">
        <v>13292</v>
      </c>
      <c r="B89" s="18" t="s">
        <v>182</v>
      </c>
      <c r="C89" s="16" t="s">
        <v>212</v>
      </c>
      <c r="D89" s="16"/>
      <c r="E89" s="16"/>
      <c r="F89" s="62">
        <v>0</v>
      </c>
      <c r="G89" s="17">
        <v>12</v>
      </c>
      <c r="H89" s="50">
        <v>40.321125000000009</v>
      </c>
      <c r="I89" s="8"/>
      <c r="J89" s="50">
        <f t="shared" si="19"/>
        <v>0</v>
      </c>
      <c r="K89" s="20"/>
      <c r="M89" s="73" t="str">
        <f t="shared" si="20"/>
        <v>-</v>
      </c>
      <c r="N89" s="73" t="str">
        <f t="shared" si="21"/>
        <v>-</v>
      </c>
      <c r="O89" s="74" t="str">
        <f t="shared" si="22"/>
        <v>-</v>
      </c>
      <c r="P89" s="75" t="str">
        <f t="shared" si="23"/>
        <v>-</v>
      </c>
      <c r="Q89"/>
      <c r="R89" s="75" t="str">
        <f t="shared" si="24"/>
        <v>-</v>
      </c>
    </row>
    <row r="90" spans="1:18" x14ac:dyDescent="0.3">
      <c r="A90" s="17">
        <v>13327</v>
      </c>
      <c r="B90" s="18" t="s">
        <v>183</v>
      </c>
      <c r="C90" s="16" t="s">
        <v>213</v>
      </c>
      <c r="D90" s="16"/>
      <c r="E90" s="16"/>
      <c r="F90" s="62">
        <v>0</v>
      </c>
      <c r="G90" s="17">
        <v>12</v>
      </c>
      <c r="H90" s="50">
        <v>40.321125000000009</v>
      </c>
      <c r="I90" s="8"/>
      <c r="J90" s="50">
        <f t="shared" si="19"/>
        <v>0</v>
      </c>
      <c r="K90" s="20"/>
      <c r="M90" s="73" t="str">
        <f t="shared" si="20"/>
        <v>-</v>
      </c>
      <c r="N90" s="73" t="str">
        <f t="shared" si="21"/>
        <v>-</v>
      </c>
      <c r="O90" s="74" t="str">
        <f t="shared" si="22"/>
        <v>-</v>
      </c>
      <c r="P90" s="75" t="str">
        <f t="shared" si="23"/>
        <v>-</v>
      </c>
      <c r="Q90"/>
      <c r="R90" s="75" t="str">
        <f t="shared" si="24"/>
        <v>-</v>
      </c>
    </row>
    <row r="91" spans="1:18" x14ac:dyDescent="0.3">
      <c r="A91" s="17">
        <v>13052</v>
      </c>
      <c r="B91" s="18" t="s">
        <v>184</v>
      </c>
      <c r="C91" s="16" t="s">
        <v>214</v>
      </c>
      <c r="D91" s="16"/>
      <c r="E91" s="16"/>
      <c r="F91" s="62">
        <v>0</v>
      </c>
      <c r="G91" s="17">
        <v>12</v>
      </c>
      <c r="H91" s="50">
        <v>33.301125000000006</v>
      </c>
      <c r="I91" s="8"/>
      <c r="J91" s="50">
        <f t="shared" si="19"/>
        <v>0</v>
      </c>
      <c r="K91" s="20"/>
      <c r="M91" s="73" t="str">
        <f t="shared" si="20"/>
        <v>-</v>
      </c>
      <c r="N91" s="73" t="str">
        <f t="shared" si="21"/>
        <v>-</v>
      </c>
      <c r="O91" s="74" t="str">
        <f t="shared" si="22"/>
        <v>-</v>
      </c>
      <c r="P91" s="75" t="str">
        <f t="shared" si="23"/>
        <v>-</v>
      </c>
      <c r="Q91"/>
      <c r="R91" s="75" t="str">
        <f t="shared" si="24"/>
        <v>-</v>
      </c>
    </row>
    <row r="92" spans="1:18" x14ac:dyDescent="0.3">
      <c r="A92" s="17" t="s">
        <v>165</v>
      </c>
      <c r="B92" s="18" t="s">
        <v>185</v>
      </c>
      <c r="C92" s="16" t="s">
        <v>215</v>
      </c>
      <c r="D92" s="16"/>
      <c r="E92" s="16"/>
      <c r="F92" s="62">
        <v>0</v>
      </c>
      <c r="G92" s="17">
        <v>12</v>
      </c>
      <c r="H92" s="50">
        <v>26.281125000000003</v>
      </c>
      <c r="I92" s="8"/>
      <c r="J92" s="50">
        <f t="shared" si="19"/>
        <v>0</v>
      </c>
      <c r="K92" s="20"/>
      <c r="M92" s="73" t="str">
        <f t="shared" si="20"/>
        <v>-</v>
      </c>
      <c r="N92" s="73" t="str">
        <f t="shared" si="21"/>
        <v>-</v>
      </c>
      <c r="O92" s="74" t="str">
        <f t="shared" si="22"/>
        <v>-</v>
      </c>
      <c r="P92" s="75" t="str">
        <f t="shared" si="23"/>
        <v>-</v>
      </c>
      <c r="Q92"/>
      <c r="R92" s="75" t="str">
        <f t="shared" si="24"/>
        <v>-</v>
      </c>
    </row>
    <row r="93" spans="1:18" x14ac:dyDescent="0.3">
      <c r="A93" s="17" t="s">
        <v>166</v>
      </c>
      <c r="B93" s="18" t="s">
        <v>186</v>
      </c>
      <c r="C93" s="16" t="s">
        <v>216</v>
      </c>
      <c r="D93" s="16"/>
      <c r="E93" s="16"/>
      <c r="F93" s="62">
        <v>0</v>
      </c>
      <c r="G93" s="17">
        <v>12</v>
      </c>
      <c r="H93" s="50">
        <v>26.281125000000003</v>
      </c>
      <c r="I93" s="8"/>
      <c r="J93" s="50">
        <f t="shared" si="19"/>
        <v>0</v>
      </c>
      <c r="K93" s="20"/>
      <c r="M93" s="73" t="str">
        <f t="shared" si="20"/>
        <v>-</v>
      </c>
      <c r="N93" s="73" t="str">
        <f t="shared" si="21"/>
        <v>-</v>
      </c>
      <c r="O93" s="74" t="str">
        <f t="shared" si="22"/>
        <v>-</v>
      </c>
      <c r="P93" s="75" t="str">
        <f t="shared" si="23"/>
        <v>-</v>
      </c>
      <c r="Q93"/>
      <c r="R93" s="75" t="str">
        <f t="shared" si="24"/>
        <v>-</v>
      </c>
    </row>
    <row r="94" spans="1:18" x14ac:dyDescent="0.3">
      <c r="A94" s="17">
        <v>13028</v>
      </c>
      <c r="B94" s="18" t="s">
        <v>187</v>
      </c>
      <c r="C94" s="16" t="s">
        <v>217</v>
      </c>
      <c r="D94" s="16"/>
      <c r="E94" s="16"/>
      <c r="F94" s="62">
        <v>0</v>
      </c>
      <c r="G94" s="17">
        <v>12</v>
      </c>
      <c r="H94" s="50">
        <v>40.321125000000009</v>
      </c>
      <c r="I94" s="8"/>
      <c r="J94" s="50">
        <f t="shared" si="19"/>
        <v>0</v>
      </c>
      <c r="K94" s="20"/>
      <c r="M94" s="73" t="str">
        <f t="shared" si="20"/>
        <v>-</v>
      </c>
      <c r="N94" s="73" t="str">
        <f t="shared" si="21"/>
        <v>-</v>
      </c>
      <c r="O94" s="74" t="str">
        <f t="shared" si="22"/>
        <v>-</v>
      </c>
      <c r="P94" s="75" t="str">
        <f t="shared" si="23"/>
        <v>-</v>
      </c>
      <c r="Q94"/>
      <c r="R94" s="75" t="str">
        <f t="shared" si="24"/>
        <v>-</v>
      </c>
    </row>
    <row r="95" spans="1:18" x14ac:dyDescent="0.3">
      <c r="A95" s="17">
        <v>13011</v>
      </c>
      <c r="B95" s="18" t="s">
        <v>188</v>
      </c>
      <c r="C95" s="16" t="s">
        <v>218</v>
      </c>
      <c r="D95" s="16"/>
      <c r="E95" s="16"/>
      <c r="F95" s="62">
        <v>0</v>
      </c>
      <c r="G95" s="17">
        <v>12</v>
      </c>
      <c r="H95" s="50">
        <v>36.811125000000004</v>
      </c>
      <c r="I95" s="8"/>
      <c r="J95" s="50">
        <f t="shared" si="19"/>
        <v>0</v>
      </c>
      <c r="K95" s="20"/>
      <c r="M95" s="73" t="str">
        <f t="shared" si="20"/>
        <v>-</v>
      </c>
      <c r="N95" s="73" t="str">
        <f t="shared" si="21"/>
        <v>-</v>
      </c>
      <c r="O95" s="74" t="str">
        <f t="shared" si="22"/>
        <v>-</v>
      </c>
      <c r="P95" s="75" t="str">
        <f t="shared" si="23"/>
        <v>-</v>
      </c>
      <c r="Q95"/>
      <c r="R95" s="75" t="str">
        <f t="shared" si="24"/>
        <v>-</v>
      </c>
    </row>
    <row r="96" spans="1:18" x14ac:dyDescent="0.3">
      <c r="A96" s="17">
        <v>13034</v>
      </c>
      <c r="B96" s="18" t="s">
        <v>189</v>
      </c>
      <c r="C96" s="16" t="s">
        <v>219</v>
      </c>
      <c r="D96" s="16"/>
      <c r="E96" s="16"/>
      <c r="F96" s="62">
        <v>0</v>
      </c>
      <c r="G96" s="17">
        <v>12</v>
      </c>
      <c r="H96" s="50">
        <v>28.518750000000001</v>
      </c>
      <c r="I96" s="8"/>
      <c r="J96" s="50">
        <f t="shared" si="19"/>
        <v>0</v>
      </c>
      <c r="K96" s="20"/>
      <c r="M96" s="73" t="str">
        <f t="shared" si="20"/>
        <v>-</v>
      </c>
      <c r="N96" s="73" t="str">
        <f t="shared" si="21"/>
        <v>-</v>
      </c>
      <c r="O96" s="74" t="str">
        <f t="shared" si="22"/>
        <v>-</v>
      </c>
      <c r="P96" s="75" t="str">
        <f t="shared" si="23"/>
        <v>-</v>
      </c>
      <c r="Q96"/>
      <c r="R96" s="75" t="str">
        <f t="shared" si="24"/>
        <v>-</v>
      </c>
    </row>
    <row r="97" spans="1:21" x14ac:dyDescent="0.3">
      <c r="A97" s="17">
        <v>13221</v>
      </c>
      <c r="B97" s="18" t="s">
        <v>190</v>
      </c>
      <c r="C97" s="16" t="s">
        <v>220</v>
      </c>
      <c r="D97" s="16"/>
      <c r="E97" s="16"/>
      <c r="F97" s="62">
        <v>0</v>
      </c>
      <c r="G97" s="17">
        <v>12</v>
      </c>
      <c r="H97" s="50">
        <v>36.811125000000004</v>
      </c>
      <c r="I97" s="8"/>
      <c r="J97" s="50">
        <f t="shared" si="19"/>
        <v>0</v>
      </c>
      <c r="K97" s="20"/>
      <c r="M97" s="73" t="str">
        <f t="shared" si="20"/>
        <v>-</v>
      </c>
      <c r="N97" s="73" t="str">
        <f t="shared" si="21"/>
        <v>-</v>
      </c>
      <c r="O97" s="74" t="str">
        <f t="shared" si="22"/>
        <v>-</v>
      </c>
      <c r="P97" s="75" t="str">
        <f t="shared" si="23"/>
        <v>-</v>
      </c>
      <c r="Q97"/>
      <c r="R97" s="75" t="str">
        <f t="shared" si="24"/>
        <v>-</v>
      </c>
    </row>
    <row r="98" spans="1:21" x14ac:dyDescent="0.3">
      <c r="A98" s="17">
        <v>13223</v>
      </c>
      <c r="B98" s="18" t="s">
        <v>191</v>
      </c>
      <c r="C98" s="16" t="s">
        <v>221</v>
      </c>
      <c r="D98" s="16"/>
      <c r="E98" s="16"/>
      <c r="F98" s="62">
        <v>0</v>
      </c>
      <c r="G98" s="17">
        <v>12</v>
      </c>
      <c r="H98" s="50">
        <v>36.811125000000004</v>
      </c>
      <c r="I98" s="8"/>
      <c r="J98" s="50">
        <f t="shared" si="19"/>
        <v>0</v>
      </c>
      <c r="K98" s="20"/>
      <c r="M98" s="73" t="str">
        <f t="shared" si="20"/>
        <v>-</v>
      </c>
      <c r="N98" s="73" t="str">
        <f t="shared" si="21"/>
        <v>-</v>
      </c>
      <c r="O98" s="74" t="str">
        <f t="shared" si="22"/>
        <v>-</v>
      </c>
      <c r="P98" s="75" t="str">
        <f t="shared" si="23"/>
        <v>-</v>
      </c>
      <c r="Q98"/>
      <c r="R98" s="75" t="str">
        <f t="shared" si="24"/>
        <v>-</v>
      </c>
    </row>
    <row r="99" spans="1:21" x14ac:dyDescent="0.3">
      <c r="A99" s="17">
        <v>13050</v>
      </c>
      <c r="B99" s="18" t="s">
        <v>192</v>
      </c>
      <c r="C99" s="16" t="s">
        <v>222</v>
      </c>
      <c r="D99" s="16"/>
      <c r="E99" s="16"/>
      <c r="F99" s="62">
        <v>0</v>
      </c>
      <c r="G99" s="17">
        <v>12</v>
      </c>
      <c r="H99" s="50">
        <v>43.831125000000007</v>
      </c>
      <c r="I99" s="8"/>
      <c r="J99" s="50">
        <f t="shared" si="19"/>
        <v>0</v>
      </c>
      <c r="K99" s="20"/>
      <c r="M99" s="73" t="str">
        <f t="shared" si="20"/>
        <v>-</v>
      </c>
      <c r="N99" s="73" t="str">
        <f t="shared" si="21"/>
        <v>-</v>
      </c>
      <c r="O99" s="74" t="str">
        <f t="shared" si="22"/>
        <v>-</v>
      </c>
      <c r="P99" s="75" t="str">
        <f t="shared" si="23"/>
        <v>-</v>
      </c>
      <c r="Q99"/>
      <c r="R99" s="75" t="str">
        <f t="shared" si="24"/>
        <v>-</v>
      </c>
    </row>
    <row r="100" spans="1:21" x14ac:dyDescent="0.3">
      <c r="A100" s="17">
        <v>13023</v>
      </c>
      <c r="B100" s="18" t="s">
        <v>193</v>
      </c>
      <c r="C100" s="16" t="s">
        <v>223</v>
      </c>
      <c r="D100" s="16"/>
      <c r="E100" s="16"/>
      <c r="F100" s="62">
        <v>0</v>
      </c>
      <c r="G100" s="17">
        <v>12</v>
      </c>
      <c r="H100" s="50">
        <v>40.321125000000009</v>
      </c>
      <c r="I100" s="8"/>
      <c r="J100" s="50">
        <f t="shared" si="19"/>
        <v>0</v>
      </c>
      <c r="K100" s="20"/>
      <c r="M100" s="73" t="str">
        <f t="shared" si="20"/>
        <v>-</v>
      </c>
      <c r="N100" s="73" t="str">
        <f t="shared" si="21"/>
        <v>-</v>
      </c>
      <c r="O100" s="74" t="str">
        <f t="shared" si="22"/>
        <v>-</v>
      </c>
      <c r="P100" s="75" t="str">
        <f t="shared" si="23"/>
        <v>-</v>
      </c>
      <c r="Q100"/>
      <c r="R100" s="75" t="str">
        <f t="shared" si="24"/>
        <v>-</v>
      </c>
    </row>
    <row r="101" spans="1:21" x14ac:dyDescent="0.3">
      <c r="A101" s="17">
        <v>13037</v>
      </c>
      <c r="B101" s="18" t="s">
        <v>194</v>
      </c>
      <c r="C101" s="16" t="s">
        <v>224</v>
      </c>
      <c r="D101" s="16"/>
      <c r="E101" s="16"/>
      <c r="F101" s="62">
        <v>0</v>
      </c>
      <c r="G101" s="17">
        <v>12</v>
      </c>
      <c r="H101" s="50">
        <v>70.156125000000003</v>
      </c>
      <c r="I101" s="8"/>
      <c r="J101" s="50">
        <f t="shared" si="19"/>
        <v>0</v>
      </c>
      <c r="K101" s="20"/>
      <c r="M101" s="73" t="str">
        <f t="shared" si="20"/>
        <v>-</v>
      </c>
      <c r="N101" s="73" t="str">
        <f t="shared" si="21"/>
        <v>-</v>
      </c>
      <c r="O101" s="74" t="str">
        <f t="shared" si="22"/>
        <v>-</v>
      </c>
      <c r="P101" s="75" t="str">
        <f t="shared" si="23"/>
        <v>-</v>
      </c>
      <c r="Q101"/>
      <c r="R101" s="75" t="str">
        <f t="shared" si="24"/>
        <v>-</v>
      </c>
    </row>
    <row r="102" spans="1:21" x14ac:dyDescent="0.3">
      <c r="A102" s="17">
        <v>1212</v>
      </c>
      <c r="B102" s="18" t="s">
        <v>195</v>
      </c>
      <c r="C102" s="16" t="s">
        <v>225</v>
      </c>
      <c r="D102" s="16"/>
      <c r="E102" s="16"/>
      <c r="F102" s="62">
        <v>0</v>
      </c>
      <c r="G102" s="17">
        <v>6</v>
      </c>
      <c r="H102" s="50">
        <v>33.301125000000006</v>
      </c>
      <c r="I102" s="8"/>
      <c r="J102" s="50">
        <f t="shared" si="19"/>
        <v>0</v>
      </c>
      <c r="K102" s="20"/>
      <c r="M102" s="73" t="str">
        <f t="shared" si="20"/>
        <v>-</v>
      </c>
      <c r="N102" s="73" t="str">
        <f t="shared" si="21"/>
        <v>-</v>
      </c>
      <c r="O102" s="74" t="str">
        <f t="shared" si="22"/>
        <v>-</v>
      </c>
      <c r="P102" s="75" t="str">
        <f t="shared" si="23"/>
        <v>-</v>
      </c>
      <c r="Q102"/>
      <c r="R102" s="75" t="str">
        <f t="shared" si="24"/>
        <v>-</v>
      </c>
    </row>
    <row r="103" spans="1:21" x14ac:dyDescent="0.3">
      <c r="A103" s="17">
        <v>1211</v>
      </c>
      <c r="B103" s="18" t="s">
        <v>196</v>
      </c>
      <c r="C103" s="16" t="s">
        <v>226</v>
      </c>
      <c r="D103" s="16"/>
      <c r="E103" s="16"/>
      <c r="F103" s="62">
        <v>0</v>
      </c>
      <c r="G103" s="17">
        <v>6</v>
      </c>
      <c r="H103" s="50">
        <v>33.301125000000006</v>
      </c>
      <c r="I103" s="8"/>
      <c r="J103" s="50">
        <f t="shared" si="19"/>
        <v>0</v>
      </c>
      <c r="K103" s="20"/>
      <c r="M103" s="73" t="str">
        <f t="shared" si="20"/>
        <v>-</v>
      </c>
      <c r="N103" s="73" t="str">
        <f t="shared" si="21"/>
        <v>-</v>
      </c>
      <c r="O103" s="74" t="str">
        <f t="shared" si="22"/>
        <v>-</v>
      </c>
      <c r="P103" s="75" t="str">
        <f t="shared" si="23"/>
        <v>-</v>
      </c>
      <c r="Q103"/>
      <c r="R103" s="75" t="str">
        <f t="shared" si="24"/>
        <v>-</v>
      </c>
    </row>
    <row r="104" spans="1:21" x14ac:dyDescent="0.3">
      <c r="A104" s="17" t="s">
        <v>167</v>
      </c>
      <c r="B104" s="18" t="s">
        <v>197</v>
      </c>
      <c r="C104" s="16" t="s">
        <v>227</v>
      </c>
      <c r="D104" s="16"/>
      <c r="E104" s="16"/>
      <c r="F104" s="62">
        <v>0</v>
      </c>
      <c r="G104" s="17"/>
      <c r="H104" s="50">
        <v>4.2120000000000006</v>
      </c>
      <c r="I104" s="8"/>
      <c r="J104" s="50">
        <f t="shared" si="19"/>
        <v>0</v>
      </c>
      <c r="K104" s="20"/>
      <c r="M104" s="73" t="str">
        <f t="shared" si="20"/>
        <v>-</v>
      </c>
      <c r="N104" s="73" t="str">
        <f t="shared" si="21"/>
        <v>-</v>
      </c>
      <c r="O104" s="74" t="str">
        <f t="shared" si="22"/>
        <v>-</v>
      </c>
      <c r="P104" s="75" t="str">
        <f t="shared" si="23"/>
        <v>-</v>
      </c>
      <c r="Q104"/>
      <c r="R104" s="75" t="str">
        <f t="shared" si="24"/>
        <v>-</v>
      </c>
    </row>
    <row r="105" spans="1:21" x14ac:dyDescent="0.3">
      <c r="A105" s="17" t="s">
        <v>168</v>
      </c>
      <c r="B105" s="18" t="s">
        <v>198</v>
      </c>
      <c r="C105" s="16" t="s">
        <v>228</v>
      </c>
      <c r="D105" s="16"/>
      <c r="E105" s="16"/>
      <c r="F105" s="62">
        <v>0</v>
      </c>
      <c r="G105" s="17"/>
      <c r="H105" s="50">
        <v>3.6591750000000003</v>
      </c>
      <c r="I105" s="8"/>
      <c r="J105" s="50">
        <f t="shared" si="19"/>
        <v>0</v>
      </c>
      <c r="K105" s="20"/>
      <c r="M105" s="73" t="str">
        <f t="shared" si="20"/>
        <v>-</v>
      </c>
      <c r="N105" s="73" t="str">
        <f t="shared" si="21"/>
        <v>-</v>
      </c>
      <c r="O105" s="74" t="str">
        <f t="shared" si="22"/>
        <v>-</v>
      </c>
      <c r="P105" s="75" t="str">
        <f t="shared" si="23"/>
        <v>-</v>
      </c>
      <c r="Q105"/>
      <c r="R105" s="75" t="str">
        <f t="shared" si="24"/>
        <v>-</v>
      </c>
    </row>
    <row r="106" spans="1:21" x14ac:dyDescent="0.3">
      <c r="A106" s="17" t="s">
        <v>169</v>
      </c>
      <c r="B106" s="18" t="s">
        <v>199</v>
      </c>
      <c r="C106" s="16" t="s">
        <v>229</v>
      </c>
      <c r="D106" s="16"/>
      <c r="E106" s="16"/>
      <c r="F106" s="62">
        <v>0</v>
      </c>
      <c r="G106" s="17"/>
      <c r="H106" s="50">
        <v>18.401175000000002</v>
      </c>
      <c r="I106" s="8"/>
      <c r="J106" s="50">
        <f t="shared" si="19"/>
        <v>0</v>
      </c>
      <c r="K106" s="20"/>
      <c r="M106" s="73" t="str">
        <f t="shared" si="20"/>
        <v>-</v>
      </c>
      <c r="N106" s="73" t="str">
        <f t="shared" si="21"/>
        <v>-</v>
      </c>
      <c r="O106" s="74" t="str">
        <f t="shared" si="22"/>
        <v>-</v>
      </c>
      <c r="P106" s="75" t="str">
        <f t="shared" si="23"/>
        <v>-</v>
      </c>
      <c r="Q106"/>
      <c r="R106" s="75" t="str">
        <f t="shared" si="24"/>
        <v>-</v>
      </c>
    </row>
    <row r="107" spans="1:21" x14ac:dyDescent="0.3"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</row>
    <row r="108" spans="1:21" ht="15" thickBot="1" x14ac:dyDescent="0.35"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</row>
    <row r="109" spans="1:21" ht="33" customHeight="1" thickBot="1" x14ac:dyDescent="0.35">
      <c r="C109" s="53"/>
      <c r="D109" s="60"/>
      <c r="E109" s="60"/>
      <c r="F109" s="60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</row>
    <row r="110" spans="1:21" x14ac:dyDescent="0.3">
      <c r="C110" s="54" t="s">
        <v>154</v>
      </c>
      <c r="D110" s="61"/>
      <c r="E110" s="61"/>
      <c r="F110" s="61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</row>
    <row r="111" spans="1:21" x14ac:dyDescent="0.3">
      <c r="C111" s="55" t="s">
        <v>155</v>
      </c>
      <c r="D111" s="61"/>
      <c r="E111" s="61"/>
      <c r="F111" s="61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</row>
    <row r="112" spans="1:21" ht="15" thickBot="1" x14ac:dyDescent="0.35">
      <c r="C112" s="56" t="s">
        <v>156</v>
      </c>
      <c r="D112" s="61"/>
      <c r="E112" s="61"/>
      <c r="F112" s="61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</row>
    <row r="113" spans="3:21" x14ac:dyDescent="0.3">
      <c r="C113" s="57" t="s">
        <v>157</v>
      </c>
      <c r="D113" s="61"/>
      <c r="E113" s="61"/>
      <c r="F113" s="61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</row>
    <row r="114" spans="3:21" ht="15" thickBot="1" x14ac:dyDescent="0.35">
      <c r="C114" s="58" t="s">
        <v>158</v>
      </c>
      <c r="D114" s="61"/>
      <c r="E114" s="61"/>
      <c r="F114" s="61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</row>
    <row r="115" spans="3:21" x14ac:dyDescent="0.3"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</row>
    <row r="116" spans="3:21" x14ac:dyDescent="0.3"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</row>
    <row r="117" spans="3:21" x14ac:dyDescent="0.3"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</row>
    <row r="118" spans="3:21" x14ac:dyDescent="0.3"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</row>
    <row r="119" spans="3:21" x14ac:dyDescent="0.3"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</row>
    <row r="120" spans="3:21" x14ac:dyDescent="0.3"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</row>
    <row r="121" spans="3:21" x14ac:dyDescent="0.3"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</row>
    <row r="122" spans="3:21" x14ac:dyDescent="0.3"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</row>
    <row r="123" spans="3:21" x14ac:dyDescent="0.3"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</row>
    <row r="124" spans="3:21" x14ac:dyDescent="0.3"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</row>
    <row r="125" spans="3:21" x14ac:dyDescent="0.3"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</row>
    <row r="126" spans="3:21" x14ac:dyDescent="0.3"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</row>
    <row r="127" spans="3:21" x14ac:dyDescent="0.3"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</row>
    <row r="128" spans="3:21" x14ac:dyDescent="0.3"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</row>
    <row r="129" spans="8:21" x14ac:dyDescent="0.3"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</row>
    <row r="130" spans="8:21" x14ac:dyDescent="0.3"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</row>
    <row r="131" spans="8:21" x14ac:dyDescent="0.3"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</row>
    <row r="132" spans="8:21" x14ac:dyDescent="0.3"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</row>
    <row r="133" spans="8:21" x14ac:dyDescent="0.3"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</row>
    <row r="134" spans="8:21" x14ac:dyDescent="0.3"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</row>
    <row r="135" spans="8:21" x14ac:dyDescent="0.3"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</row>
    <row r="136" spans="8:21" x14ac:dyDescent="0.3"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</row>
    <row r="137" spans="8:21" x14ac:dyDescent="0.3"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</row>
    <row r="138" spans="8:21" x14ac:dyDescent="0.3"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</row>
    <row r="139" spans="8:21" x14ac:dyDescent="0.3"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</row>
    <row r="140" spans="8:21" x14ac:dyDescent="0.3"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</row>
    <row r="141" spans="8:21" x14ac:dyDescent="0.3"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</row>
    <row r="142" spans="8:21" x14ac:dyDescent="0.3"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</row>
    <row r="143" spans="8:21" x14ac:dyDescent="0.3"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</row>
    <row r="144" spans="8:21" x14ac:dyDescent="0.3"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</row>
    <row r="145" spans="8:21" x14ac:dyDescent="0.3"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</row>
    <row r="146" spans="8:21" x14ac:dyDescent="0.3"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</row>
    <row r="147" spans="8:21" x14ac:dyDescent="0.3"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</row>
    <row r="148" spans="8:21" x14ac:dyDescent="0.3"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</row>
    <row r="149" spans="8:21" x14ac:dyDescent="0.3"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</row>
    <row r="150" spans="8:21" x14ac:dyDescent="0.3"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</row>
    <row r="151" spans="8:21" x14ac:dyDescent="0.3"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</row>
    <row r="152" spans="8:21" x14ac:dyDescent="0.3"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</row>
    <row r="153" spans="8:21" x14ac:dyDescent="0.3"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</row>
    <row r="154" spans="8:21" x14ac:dyDescent="0.3"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</row>
    <row r="155" spans="8:21" x14ac:dyDescent="0.3"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</row>
    <row r="156" spans="8:21" x14ac:dyDescent="0.3"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</row>
    <row r="157" spans="8:21" x14ac:dyDescent="0.3"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</row>
    <row r="158" spans="8:21" x14ac:dyDescent="0.3"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</row>
    <row r="159" spans="8:21" x14ac:dyDescent="0.3"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</row>
    <row r="160" spans="8:21" x14ac:dyDescent="0.3"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</row>
    <row r="161" spans="8:21" x14ac:dyDescent="0.3"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</row>
    <row r="162" spans="8:21" x14ac:dyDescent="0.3"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</row>
    <row r="163" spans="8:21" x14ac:dyDescent="0.3"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</row>
    <row r="164" spans="8:21" x14ac:dyDescent="0.3"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</row>
    <row r="165" spans="8:21" x14ac:dyDescent="0.3"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</row>
    <row r="166" spans="8:21" x14ac:dyDescent="0.3"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</row>
    <row r="167" spans="8:21" x14ac:dyDescent="0.3"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</row>
    <row r="168" spans="8:21" x14ac:dyDescent="0.3"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</row>
    <row r="169" spans="8:21" x14ac:dyDescent="0.3"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</row>
    <row r="170" spans="8:21" x14ac:dyDescent="0.3"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</row>
    <row r="171" spans="8:21" x14ac:dyDescent="0.3"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</row>
    <row r="172" spans="8:21" x14ac:dyDescent="0.3"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</row>
    <row r="173" spans="8:21" x14ac:dyDescent="0.3"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</row>
    <row r="174" spans="8:21" x14ac:dyDescent="0.3"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</row>
    <row r="175" spans="8:21" x14ac:dyDescent="0.3"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</row>
    <row r="176" spans="8:21" x14ac:dyDescent="0.3"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</row>
    <row r="177" spans="8:21" x14ac:dyDescent="0.3"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</row>
    <row r="178" spans="8:21" x14ac:dyDescent="0.3"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</row>
    <row r="179" spans="8:21" x14ac:dyDescent="0.3"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</row>
    <row r="180" spans="8:21" x14ac:dyDescent="0.3"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</row>
    <row r="181" spans="8:21" x14ac:dyDescent="0.3"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</row>
    <row r="182" spans="8:21" x14ac:dyDescent="0.3"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</row>
    <row r="183" spans="8:21" x14ac:dyDescent="0.3"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</row>
    <row r="184" spans="8:21" x14ac:dyDescent="0.3"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</row>
    <row r="185" spans="8:21" x14ac:dyDescent="0.3"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</row>
    <row r="186" spans="8:21" x14ac:dyDescent="0.3"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</row>
    <row r="187" spans="8:21" x14ac:dyDescent="0.3"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</row>
    <row r="188" spans="8:21" x14ac:dyDescent="0.3"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</row>
    <row r="189" spans="8:21" x14ac:dyDescent="0.3"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</row>
    <row r="190" spans="8:21" x14ac:dyDescent="0.3"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</row>
    <row r="191" spans="8:21" x14ac:dyDescent="0.3"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</row>
    <row r="192" spans="8:21" x14ac:dyDescent="0.3"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</row>
    <row r="193" spans="8:21" x14ac:dyDescent="0.3"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</row>
    <row r="194" spans="8:21" x14ac:dyDescent="0.3"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</row>
    <row r="195" spans="8:21" x14ac:dyDescent="0.3"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</row>
    <row r="196" spans="8:21" x14ac:dyDescent="0.3"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</row>
    <row r="197" spans="8:21" x14ac:dyDescent="0.3"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</row>
    <row r="198" spans="8:21" x14ac:dyDescent="0.3"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</row>
    <row r="199" spans="8:21" x14ac:dyDescent="0.3"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</row>
    <row r="200" spans="8:21" x14ac:dyDescent="0.3"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</row>
    <row r="201" spans="8:21" x14ac:dyDescent="0.3"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</row>
    <row r="202" spans="8:21" x14ac:dyDescent="0.3"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</row>
    <row r="203" spans="8:21" x14ac:dyDescent="0.3"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</row>
    <row r="204" spans="8:21" x14ac:dyDescent="0.3"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</row>
    <row r="205" spans="8:21" x14ac:dyDescent="0.3"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</row>
    <row r="206" spans="8:21" x14ac:dyDescent="0.3"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</row>
    <row r="207" spans="8:21" x14ac:dyDescent="0.3"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</row>
    <row r="208" spans="8:21" x14ac:dyDescent="0.3"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</row>
    <row r="209" spans="8:21" x14ac:dyDescent="0.3"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</row>
    <row r="210" spans="8:21" x14ac:dyDescent="0.3"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</row>
    <row r="211" spans="8:21" x14ac:dyDescent="0.3"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</row>
    <row r="212" spans="8:21" x14ac:dyDescent="0.3"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</row>
    <row r="213" spans="8:21" x14ac:dyDescent="0.3"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</row>
    <row r="214" spans="8:21" x14ac:dyDescent="0.3"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</row>
    <row r="215" spans="8:21" x14ac:dyDescent="0.3"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</row>
    <row r="216" spans="8:21" x14ac:dyDescent="0.3"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</row>
    <row r="217" spans="8:21" x14ac:dyDescent="0.3"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</row>
    <row r="218" spans="8:21" x14ac:dyDescent="0.3"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</row>
    <row r="219" spans="8:21" x14ac:dyDescent="0.3"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</row>
    <row r="220" spans="8:21" x14ac:dyDescent="0.3"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</row>
    <row r="221" spans="8:21" x14ac:dyDescent="0.3"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</row>
    <row r="222" spans="8:21" x14ac:dyDescent="0.3"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</row>
    <row r="223" spans="8:21" x14ac:dyDescent="0.3"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</row>
    <row r="224" spans="8:21" x14ac:dyDescent="0.3"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</row>
    <row r="225" spans="8:21" x14ac:dyDescent="0.3"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</row>
    <row r="226" spans="8:21" x14ac:dyDescent="0.3"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</row>
    <row r="227" spans="8:21" x14ac:dyDescent="0.3"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</row>
    <row r="228" spans="8:21" x14ac:dyDescent="0.3"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</row>
    <row r="229" spans="8:21" x14ac:dyDescent="0.3"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</row>
    <row r="230" spans="8:21" x14ac:dyDescent="0.3"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</row>
    <row r="231" spans="8:21" x14ac:dyDescent="0.3"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</row>
    <row r="232" spans="8:21" x14ac:dyDescent="0.3"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</row>
    <row r="233" spans="8:21" x14ac:dyDescent="0.3"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</row>
    <row r="234" spans="8:21" x14ac:dyDescent="0.3"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</row>
    <row r="235" spans="8:21" x14ac:dyDescent="0.3"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</row>
    <row r="236" spans="8:21" x14ac:dyDescent="0.3"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</row>
    <row r="237" spans="8:21" x14ac:dyDescent="0.3"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</row>
    <row r="238" spans="8:21" x14ac:dyDescent="0.3"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</row>
    <row r="239" spans="8:21" x14ac:dyDescent="0.3"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</row>
    <row r="240" spans="8:21" x14ac:dyDescent="0.3"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</row>
    <row r="241" spans="8:21" x14ac:dyDescent="0.3"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</row>
    <row r="242" spans="8:21" x14ac:dyDescent="0.3"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</row>
    <row r="243" spans="8:21" x14ac:dyDescent="0.3"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</row>
    <row r="244" spans="8:21" x14ac:dyDescent="0.3"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</row>
    <row r="245" spans="8:21" x14ac:dyDescent="0.3"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</row>
    <row r="246" spans="8:21" x14ac:dyDescent="0.3"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</row>
    <row r="247" spans="8:21" x14ac:dyDescent="0.3"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</row>
    <row r="248" spans="8:21" x14ac:dyDescent="0.3"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</row>
    <row r="249" spans="8:21" x14ac:dyDescent="0.3"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</row>
    <row r="250" spans="8:21" x14ac:dyDescent="0.3"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</row>
    <row r="251" spans="8:21" x14ac:dyDescent="0.3"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</row>
    <row r="252" spans="8:21" x14ac:dyDescent="0.3"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</row>
    <row r="253" spans="8:21" x14ac:dyDescent="0.3"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</row>
    <row r="254" spans="8:21" x14ac:dyDescent="0.3"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</row>
    <row r="255" spans="8:21" x14ac:dyDescent="0.3"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</row>
    <row r="256" spans="8:21" x14ac:dyDescent="0.3"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</row>
    <row r="257" spans="8:21" x14ac:dyDescent="0.3"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</row>
    <row r="258" spans="8:21" x14ac:dyDescent="0.3"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</row>
    <row r="259" spans="8:21" x14ac:dyDescent="0.3"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</row>
    <row r="260" spans="8:21" x14ac:dyDescent="0.3"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</row>
    <row r="261" spans="8:21" x14ac:dyDescent="0.3"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</row>
    <row r="262" spans="8:21" x14ac:dyDescent="0.3"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</row>
    <row r="263" spans="8:21" x14ac:dyDescent="0.3"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</row>
    <row r="264" spans="8:21" x14ac:dyDescent="0.3"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</row>
    <row r="265" spans="8:21" x14ac:dyDescent="0.3"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</row>
    <row r="266" spans="8:21" x14ac:dyDescent="0.3"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</row>
    <row r="267" spans="8:21" x14ac:dyDescent="0.3"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</row>
    <row r="268" spans="8:21" x14ac:dyDescent="0.3"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</row>
    <row r="269" spans="8:21" x14ac:dyDescent="0.3"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</row>
    <row r="270" spans="8:21" x14ac:dyDescent="0.3"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</row>
    <row r="271" spans="8:21" x14ac:dyDescent="0.3"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</row>
    <row r="272" spans="8:21" x14ac:dyDescent="0.3"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</row>
    <row r="273" spans="8:21" x14ac:dyDescent="0.3"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</row>
    <row r="274" spans="8:21" x14ac:dyDescent="0.3"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</row>
    <row r="275" spans="8:21" x14ac:dyDescent="0.3"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</row>
    <row r="276" spans="8:21" x14ac:dyDescent="0.3"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</row>
    <row r="277" spans="8:21" x14ac:dyDescent="0.3"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</row>
    <row r="278" spans="8:21" x14ac:dyDescent="0.3"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</row>
    <row r="279" spans="8:21" x14ac:dyDescent="0.3"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</row>
    <row r="280" spans="8:21" x14ac:dyDescent="0.3"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</row>
    <row r="281" spans="8:21" x14ac:dyDescent="0.3"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</row>
    <row r="282" spans="8:21" x14ac:dyDescent="0.3"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</row>
    <row r="283" spans="8:21" x14ac:dyDescent="0.3"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</row>
    <row r="284" spans="8:21" x14ac:dyDescent="0.3"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</row>
    <row r="285" spans="8:21" x14ac:dyDescent="0.3"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</row>
    <row r="286" spans="8:21" x14ac:dyDescent="0.3"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</row>
    <row r="287" spans="8:21" x14ac:dyDescent="0.3"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</row>
    <row r="288" spans="8:21" x14ac:dyDescent="0.3"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</row>
    <row r="289" spans="8:21" x14ac:dyDescent="0.3"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</row>
    <row r="290" spans="8:21" x14ac:dyDescent="0.3"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</row>
    <row r="291" spans="8:21" x14ac:dyDescent="0.3"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</row>
    <row r="292" spans="8:21" x14ac:dyDescent="0.3"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</row>
    <row r="293" spans="8:21" x14ac:dyDescent="0.3"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</row>
    <row r="294" spans="8:21" x14ac:dyDescent="0.3"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</row>
    <row r="295" spans="8:21" x14ac:dyDescent="0.3"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</row>
    <row r="296" spans="8:21" x14ac:dyDescent="0.3"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</row>
    <row r="297" spans="8:21" x14ac:dyDescent="0.3"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</row>
    <row r="298" spans="8:21" x14ac:dyDescent="0.3"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</row>
    <row r="299" spans="8:21" x14ac:dyDescent="0.3"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</row>
    <row r="300" spans="8:21" x14ac:dyDescent="0.3"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</row>
    <row r="301" spans="8:21" x14ac:dyDescent="0.3"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</row>
    <row r="302" spans="8:21" x14ac:dyDescent="0.3"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</row>
    <row r="303" spans="8:21" x14ac:dyDescent="0.3"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</row>
    <row r="304" spans="8:21" x14ac:dyDescent="0.3"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</row>
    <row r="305" spans="8:21" x14ac:dyDescent="0.3"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</row>
    <row r="306" spans="8:21" x14ac:dyDescent="0.3"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</row>
    <row r="307" spans="8:21" x14ac:dyDescent="0.3"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</row>
    <row r="308" spans="8:21" x14ac:dyDescent="0.3"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</row>
    <row r="309" spans="8:21" x14ac:dyDescent="0.3"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</row>
    <row r="310" spans="8:21" x14ac:dyDescent="0.3"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</row>
    <row r="311" spans="8:21" x14ac:dyDescent="0.3"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</row>
    <row r="312" spans="8:21" x14ac:dyDescent="0.3"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</row>
    <row r="313" spans="8:21" x14ac:dyDescent="0.3"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</row>
    <row r="314" spans="8:21" x14ac:dyDescent="0.3"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</row>
    <row r="315" spans="8:21" x14ac:dyDescent="0.3"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</row>
    <row r="316" spans="8:21" x14ac:dyDescent="0.3"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</row>
    <row r="317" spans="8:21" x14ac:dyDescent="0.3"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</row>
    <row r="318" spans="8:21" x14ac:dyDescent="0.3"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</row>
    <row r="319" spans="8:21" x14ac:dyDescent="0.3"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</row>
    <row r="320" spans="8:21" x14ac:dyDescent="0.3"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</row>
    <row r="321" spans="8:21" x14ac:dyDescent="0.3"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</row>
    <row r="322" spans="8:21" x14ac:dyDescent="0.3"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</row>
    <row r="323" spans="8:21" x14ac:dyDescent="0.3"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</row>
    <row r="324" spans="8:21" x14ac:dyDescent="0.3"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</row>
    <row r="325" spans="8:21" x14ac:dyDescent="0.3"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</row>
    <row r="326" spans="8:21" x14ac:dyDescent="0.3"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</row>
    <row r="327" spans="8:21" x14ac:dyDescent="0.3"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</row>
    <row r="328" spans="8:21" x14ac:dyDescent="0.3"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</row>
    <row r="329" spans="8:21" x14ac:dyDescent="0.3"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</row>
    <row r="330" spans="8:21" x14ac:dyDescent="0.3"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</row>
    <row r="331" spans="8:21" x14ac:dyDescent="0.3"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</row>
    <row r="332" spans="8:21" x14ac:dyDescent="0.3"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</row>
    <row r="333" spans="8:21" x14ac:dyDescent="0.3"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</row>
    <row r="334" spans="8:21" x14ac:dyDescent="0.3"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</row>
    <row r="335" spans="8:21" x14ac:dyDescent="0.3"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</row>
    <row r="336" spans="8:21" x14ac:dyDescent="0.3"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</row>
    <row r="337" spans="8:21" x14ac:dyDescent="0.3"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</row>
    <row r="338" spans="8:21" x14ac:dyDescent="0.3"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</row>
    <row r="339" spans="8:21" x14ac:dyDescent="0.3"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</row>
    <row r="340" spans="8:21" x14ac:dyDescent="0.3"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</row>
    <row r="341" spans="8:21" x14ac:dyDescent="0.3"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</row>
    <row r="342" spans="8:21" x14ac:dyDescent="0.3"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</row>
    <row r="343" spans="8:21" x14ac:dyDescent="0.3"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</row>
    <row r="344" spans="8:21" x14ac:dyDescent="0.3"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</row>
    <row r="345" spans="8:21" x14ac:dyDescent="0.3"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</row>
    <row r="346" spans="8:21" x14ac:dyDescent="0.3"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</row>
    <row r="347" spans="8:21" x14ac:dyDescent="0.3"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</row>
    <row r="348" spans="8:21" x14ac:dyDescent="0.3"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</row>
    <row r="349" spans="8:21" x14ac:dyDescent="0.3"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</row>
    <row r="350" spans="8:21" x14ac:dyDescent="0.3"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</row>
    <row r="351" spans="8:21" x14ac:dyDescent="0.3"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</row>
    <row r="352" spans="8:21" x14ac:dyDescent="0.3"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</row>
    <row r="353" spans="8:21" x14ac:dyDescent="0.3"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</row>
    <row r="354" spans="8:21" x14ac:dyDescent="0.3"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</row>
    <row r="355" spans="8:21" x14ac:dyDescent="0.3"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</row>
    <row r="356" spans="8:21" x14ac:dyDescent="0.3"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</row>
    <row r="357" spans="8:21" x14ac:dyDescent="0.3"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</row>
    <row r="358" spans="8:21" x14ac:dyDescent="0.3"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</row>
    <row r="359" spans="8:21" x14ac:dyDescent="0.3"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</row>
    <row r="360" spans="8:21" x14ac:dyDescent="0.3"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</row>
    <row r="361" spans="8:21" x14ac:dyDescent="0.3"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</row>
    <row r="362" spans="8:21" x14ac:dyDescent="0.3"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</row>
    <row r="363" spans="8:21" x14ac:dyDescent="0.3"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</row>
    <row r="364" spans="8:21" x14ac:dyDescent="0.3"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</row>
    <row r="365" spans="8:21" x14ac:dyDescent="0.3"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</row>
    <row r="366" spans="8:21" x14ac:dyDescent="0.3"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</row>
    <row r="367" spans="8:21" x14ac:dyDescent="0.3"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</row>
    <row r="368" spans="8:21" x14ac:dyDescent="0.3"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</row>
    <row r="369" spans="8:21" x14ac:dyDescent="0.3"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</row>
    <row r="370" spans="8:21" x14ac:dyDescent="0.3"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</row>
    <row r="371" spans="8:21" x14ac:dyDescent="0.3"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</row>
    <row r="372" spans="8:21" x14ac:dyDescent="0.3"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</row>
    <row r="373" spans="8:21" x14ac:dyDescent="0.3"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</row>
    <row r="374" spans="8:21" x14ac:dyDescent="0.3"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</row>
    <row r="375" spans="8:21" x14ac:dyDescent="0.3"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</row>
    <row r="376" spans="8:21" x14ac:dyDescent="0.3"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</row>
    <row r="377" spans="8:21" x14ac:dyDescent="0.3"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</row>
    <row r="378" spans="8:21" x14ac:dyDescent="0.3"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</row>
    <row r="379" spans="8:21" x14ac:dyDescent="0.3"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</row>
    <row r="380" spans="8:21" x14ac:dyDescent="0.3"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</row>
    <row r="381" spans="8:21" x14ac:dyDescent="0.3"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</row>
    <row r="382" spans="8:21" x14ac:dyDescent="0.3"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</row>
    <row r="383" spans="8:21" x14ac:dyDescent="0.3"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</row>
    <row r="384" spans="8:21" x14ac:dyDescent="0.3"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</row>
    <row r="385" spans="8:21" x14ac:dyDescent="0.3"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</row>
    <row r="386" spans="8:21" x14ac:dyDescent="0.3"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</row>
    <row r="387" spans="8:21" x14ac:dyDescent="0.3"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</row>
    <row r="388" spans="8:21" x14ac:dyDescent="0.3"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</row>
    <row r="389" spans="8:21" x14ac:dyDescent="0.3"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</row>
    <row r="390" spans="8:21" x14ac:dyDescent="0.3"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</row>
    <row r="391" spans="8:21" x14ac:dyDescent="0.3"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</row>
    <row r="392" spans="8:21" x14ac:dyDescent="0.3"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</row>
    <row r="393" spans="8:21" x14ac:dyDescent="0.3"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</row>
    <row r="394" spans="8:21" x14ac:dyDescent="0.3"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</row>
    <row r="395" spans="8:21" x14ac:dyDescent="0.3"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</row>
    <row r="396" spans="8:21" x14ac:dyDescent="0.3"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</row>
    <row r="397" spans="8:21" x14ac:dyDescent="0.3"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</row>
    <row r="398" spans="8:21" x14ac:dyDescent="0.3"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</row>
    <row r="399" spans="8:21" x14ac:dyDescent="0.3"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</row>
    <row r="400" spans="8:21" x14ac:dyDescent="0.3"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</row>
    <row r="401" spans="8:21" x14ac:dyDescent="0.3"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</row>
    <row r="402" spans="8:21" x14ac:dyDescent="0.3"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</row>
    <row r="403" spans="8:21" x14ac:dyDescent="0.3"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</row>
    <row r="404" spans="8:21" x14ac:dyDescent="0.3"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</row>
    <row r="405" spans="8:21" x14ac:dyDescent="0.3"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</row>
    <row r="406" spans="8:21" x14ac:dyDescent="0.3"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</row>
    <row r="407" spans="8:21" x14ac:dyDescent="0.3"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</row>
    <row r="408" spans="8:21" x14ac:dyDescent="0.3"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</row>
    <row r="409" spans="8:21" x14ac:dyDescent="0.3"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</row>
    <row r="410" spans="8:21" x14ac:dyDescent="0.3"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</row>
    <row r="411" spans="8:21" x14ac:dyDescent="0.3"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</row>
    <row r="412" spans="8:21" x14ac:dyDescent="0.3"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</row>
    <row r="413" spans="8:21" x14ac:dyDescent="0.3"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</row>
    <row r="414" spans="8:21" x14ac:dyDescent="0.3"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</row>
    <row r="415" spans="8:21" x14ac:dyDescent="0.3"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</row>
    <row r="416" spans="8:21" x14ac:dyDescent="0.3"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</row>
    <row r="417" spans="8:21" x14ac:dyDescent="0.3"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</row>
    <row r="418" spans="8:21" x14ac:dyDescent="0.3"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</row>
    <row r="419" spans="8:21" x14ac:dyDescent="0.3"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</row>
    <row r="420" spans="8:21" x14ac:dyDescent="0.3"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</row>
    <row r="421" spans="8:21" x14ac:dyDescent="0.3"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</row>
    <row r="422" spans="8:21" x14ac:dyDescent="0.3"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</row>
    <row r="423" spans="8:21" x14ac:dyDescent="0.3"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</row>
    <row r="424" spans="8:21" x14ac:dyDescent="0.3"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</row>
    <row r="425" spans="8:21" x14ac:dyDescent="0.3"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</row>
    <row r="426" spans="8:21" x14ac:dyDescent="0.3"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</row>
    <row r="427" spans="8:21" x14ac:dyDescent="0.3"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</row>
    <row r="428" spans="8:21" x14ac:dyDescent="0.3"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</row>
    <row r="429" spans="8:21" x14ac:dyDescent="0.3"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</row>
    <row r="430" spans="8:21" x14ac:dyDescent="0.3"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</row>
    <row r="431" spans="8:21" x14ac:dyDescent="0.3"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</row>
    <row r="432" spans="8:21" x14ac:dyDescent="0.3"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</row>
    <row r="433" spans="8:21" x14ac:dyDescent="0.3"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</row>
    <row r="434" spans="8:21" x14ac:dyDescent="0.3"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</row>
    <row r="435" spans="8:21" x14ac:dyDescent="0.3"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</row>
    <row r="436" spans="8:21" x14ac:dyDescent="0.3"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</row>
    <row r="437" spans="8:21" x14ac:dyDescent="0.3"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</row>
    <row r="438" spans="8:21" x14ac:dyDescent="0.3"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</row>
    <row r="439" spans="8:21" x14ac:dyDescent="0.3"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</row>
    <row r="440" spans="8:21" x14ac:dyDescent="0.3"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</row>
    <row r="441" spans="8:21" x14ac:dyDescent="0.3"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</row>
    <row r="442" spans="8:21" x14ac:dyDescent="0.3"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</row>
    <row r="443" spans="8:21" x14ac:dyDescent="0.3"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</row>
    <row r="444" spans="8:21" x14ac:dyDescent="0.3"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</row>
    <row r="445" spans="8:21" x14ac:dyDescent="0.3"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</row>
    <row r="446" spans="8:21" x14ac:dyDescent="0.3"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</row>
    <row r="447" spans="8:21" x14ac:dyDescent="0.3"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</row>
    <row r="448" spans="8:21" x14ac:dyDescent="0.3"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</row>
    <row r="449" spans="8:21" x14ac:dyDescent="0.3"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</row>
    <row r="450" spans="8:21" x14ac:dyDescent="0.3"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</row>
    <row r="451" spans="8:21" x14ac:dyDescent="0.3"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</row>
    <row r="452" spans="8:21" x14ac:dyDescent="0.3"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</row>
    <row r="453" spans="8:21" x14ac:dyDescent="0.3"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</row>
    <row r="454" spans="8:21" x14ac:dyDescent="0.3"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</row>
    <row r="455" spans="8:21" x14ac:dyDescent="0.3"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</row>
    <row r="456" spans="8:21" x14ac:dyDescent="0.3"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</row>
    <row r="457" spans="8:21" x14ac:dyDescent="0.3"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</row>
    <row r="458" spans="8:21" x14ac:dyDescent="0.3"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</row>
    <row r="459" spans="8:21" x14ac:dyDescent="0.3"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</row>
    <row r="460" spans="8:21" x14ac:dyDescent="0.3"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</row>
    <row r="461" spans="8:21" x14ac:dyDescent="0.3"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</row>
    <row r="462" spans="8:21" x14ac:dyDescent="0.3"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</row>
    <row r="463" spans="8:21" x14ac:dyDescent="0.3"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</row>
    <row r="464" spans="8:21" x14ac:dyDescent="0.3"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</row>
    <row r="465" spans="8:21" x14ac:dyDescent="0.3"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</row>
    <row r="466" spans="8:21" x14ac:dyDescent="0.3"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</row>
    <row r="467" spans="8:21" x14ac:dyDescent="0.3"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</row>
    <row r="468" spans="8:21" x14ac:dyDescent="0.3"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</row>
    <row r="469" spans="8:21" x14ac:dyDescent="0.3"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</row>
    <row r="470" spans="8:21" x14ac:dyDescent="0.3"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</row>
    <row r="471" spans="8:21" x14ac:dyDescent="0.3"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</row>
    <row r="472" spans="8:21" x14ac:dyDescent="0.3"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</row>
    <row r="473" spans="8:21" x14ac:dyDescent="0.3"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</row>
    <row r="474" spans="8:21" x14ac:dyDescent="0.3"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</row>
    <row r="475" spans="8:21" x14ac:dyDescent="0.3"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</row>
    <row r="476" spans="8:21" x14ac:dyDescent="0.3"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</row>
    <row r="477" spans="8:21" x14ac:dyDescent="0.3"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</row>
    <row r="478" spans="8:21" x14ac:dyDescent="0.3"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</row>
    <row r="479" spans="8:21" x14ac:dyDescent="0.3"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</row>
    <row r="480" spans="8:21" x14ac:dyDescent="0.3"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</row>
    <row r="481" spans="8:21" x14ac:dyDescent="0.3"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</row>
    <row r="482" spans="8:21" x14ac:dyDescent="0.3"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</row>
    <row r="483" spans="8:21" x14ac:dyDescent="0.3"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</row>
    <row r="484" spans="8:21" x14ac:dyDescent="0.3"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</row>
    <row r="485" spans="8:21" x14ac:dyDescent="0.3"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</row>
    <row r="486" spans="8:21" x14ac:dyDescent="0.3"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</row>
    <row r="487" spans="8:21" x14ac:dyDescent="0.3"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</row>
    <row r="488" spans="8:21" x14ac:dyDescent="0.3"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</row>
    <row r="489" spans="8:21" x14ac:dyDescent="0.3"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</row>
    <row r="490" spans="8:21" x14ac:dyDescent="0.3"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</row>
    <row r="491" spans="8:21" x14ac:dyDescent="0.3"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</row>
    <row r="492" spans="8:21" x14ac:dyDescent="0.3"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</row>
    <row r="493" spans="8:21" x14ac:dyDescent="0.3"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</row>
    <row r="494" spans="8:21" x14ac:dyDescent="0.3"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</row>
    <row r="495" spans="8:21" x14ac:dyDescent="0.3"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</row>
    <row r="496" spans="8:21" x14ac:dyDescent="0.3"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</row>
    <row r="497" spans="8:21" x14ac:dyDescent="0.3"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</row>
    <row r="498" spans="8:21" x14ac:dyDescent="0.3"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</row>
    <row r="499" spans="8:21" x14ac:dyDescent="0.3"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</row>
    <row r="500" spans="8:21" x14ac:dyDescent="0.3"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</row>
    <row r="501" spans="8:21" x14ac:dyDescent="0.3"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</row>
    <row r="502" spans="8:21" x14ac:dyDescent="0.3"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</row>
    <row r="503" spans="8:21" x14ac:dyDescent="0.3"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</row>
    <row r="504" spans="8:21" x14ac:dyDescent="0.3"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</row>
    <row r="505" spans="8:21" x14ac:dyDescent="0.3"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</row>
    <row r="506" spans="8:21" x14ac:dyDescent="0.3"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</row>
    <row r="507" spans="8:21" x14ac:dyDescent="0.3"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</row>
    <row r="508" spans="8:21" x14ac:dyDescent="0.3"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</row>
    <row r="509" spans="8:21" x14ac:dyDescent="0.3"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</row>
    <row r="510" spans="8:21" x14ac:dyDescent="0.3"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</row>
    <row r="511" spans="8:21" x14ac:dyDescent="0.3"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</row>
    <row r="512" spans="8:21" x14ac:dyDescent="0.3"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</row>
    <row r="513" spans="8:21" x14ac:dyDescent="0.3"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</row>
    <row r="514" spans="8:21" x14ac:dyDescent="0.3"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</row>
    <row r="515" spans="8:21" x14ac:dyDescent="0.3"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</row>
    <row r="516" spans="8:21" x14ac:dyDescent="0.3"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</row>
    <row r="517" spans="8:21" x14ac:dyDescent="0.3"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</row>
    <row r="518" spans="8:21" x14ac:dyDescent="0.3"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</row>
    <row r="519" spans="8:21" x14ac:dyDescent="0.3"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</row>
    <row r="520" spans="8:21" x14ac:dyDescent="0.3"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</row>
    <row r="521" spans="8:21" x14ac:dyDescent="0.3"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</row>
    <row r="522" spans="8:21" x14ac:dyDescent="0.3"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</row>
    <row r="523" spans="8:21" x14ac:dyDescent="0.3"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</row>
    <row r="524" spans="8:21" x14ac:dyDescent="0.3"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</row>
    <row r="525" spans="8:21" x14ac:dyDescent="0.3"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</row>
    <row r="526" spans="8:21" x14ac:dyDescent="0.3"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</row>
    <row r="527" spans="8:21" x14ac:dyDescent="0.3"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</row>
    <row r="528" spans="8:21" x14ac:dyDescent="0.3"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</row>
    <row r="529" spans="8:21" x14ac:dyDescent="0.3"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</row>
    <row r="530" spans="8:21" x14ac:dyDescent="0.3"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</row>
    <row r="531" spans="8:21" x14ac:dyDescent="0.3"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</row>
    <row r="532" spans="8:21" x14ac:dyDescent="0.3"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</row>
    <row r="533" spans="8:21" x14ac:dyDescent="0.3"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</row>
    <row r="534" spans="8:21" x14ac:dyDescent="0.3"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</row>
    <row r="535" spans="8:21" x14ac:dyDescent="0.3"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</row>
    <row r="536" spans="8:21" x14ac:dyDescent="0.3"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</row>
    <row r="537" spans="8:21" x14ac:dyDescent="0.3"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</row>
    <row r="538" spans="8:21" x14ac:dyDescent="0.3"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</row>
    <row r="539" spans="8:21" x14ac:dyDescent="0.3"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</row>
    <row r="540" spans="8:21" x14ac:dyDescent="0.3"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</row>
    <row r="541" spans="8:21" x14ac:dyDescent="0.3"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</row>
    <row r="542" spans="8:21" x14ac:dyDescent="0.3"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</row>
    <row r="543" spans="8:21" x14ac:dyDescent="0.3"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</row>
    <row r="544" spans="8:21" x14ac:dyDescent="0.3"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</row>
    <row r="545" spans="8:21" x14ac:dyDescent="0.3"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</row>
    <row r="546" spans="8:21" x14ac:dyDescent="0.3"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</row>
    <row r="547" spans="8:21" x14ac:dyDescent="0.3"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</row>
    <row r="548" spans="8:21" x14ac:dyDescent="0.3"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</row>
    <row r="549" spans="8:21" x14ac:dyDescent="0.3"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</row>
    <row r="550" spans="8:21" x14ac:dyDescent="0.3"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</row>
    <row r="551" spans="8:21" x14ac:dyDescent="0.3"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</row>
    <row r="552" spans="8:21" x14ac:dyDescent="0.3"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</row>
    <row r="553" spans="8:21" x14ac:dyDescent="0.3"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</row>
    <row r="554" spans="8:21" x14ac:dyDescent="0.3"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</row>
    <row r="555" spans="8:21" x14ac:dyDescent="0.3"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</row>
    <row r="556" spans="8:21" x14ac:dyDescent="0.3"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</row>
    <row r="557" spans="8:21" x14ac:dyDescent="0.3"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</row>
    <row r="558" spans="8:21" x14ac:dyDescent="0.3"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</row>
    <row r="559" spans="8:21" x14ac:dyDescent="0.3"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</row>
    <row r="560" spans="8:21" x14ac:dyDescent="0.3"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</row>
    <row r="561" spans="8:21" x14ac:dyDescent="0.3"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</row>
    <row r="562" spans="8:21" x14ac:dyDescent="0.3"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</row>
    <row r="563" spans="8:21" x14ac:dyDescent="0.3"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</row>
    <row r="564" spans="8:21" x14ac:dyDescent="0.3"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</row>
    <row r="565" spans="8:21" x14ac:dyDescent="0.3"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</row>
    <row r="566" spans="8:21" x14ac:dyDescent="0.3"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</row>
    <row r="567" spans="8:21" x14ac:dyDescent="0.3"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</row>
    <row r="568" spans="8:21" x14ac:dyDescent="0.3"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</row>
    <row r="569" spans="8:21" x14ac:dyDescent="0.3"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</row>
    <row r="570" spans="8:21" x14ac:dyDescent="0.3"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</row>
    <row r="571" spans="8:21" x14ac:dyDescent="0.3"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</row>
    <row r="572" spans="8:21" x14ac:dyDescent="0.3"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</row>
    <row r="573" spans="8:21" x14ac:dyDescent="0.3"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</row>
    <row r="574" spans="8:21" x14ac:dyDescent="0.3"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</row>
    <row r="575" spans="8:21" x14ac:dyDescent="0.3"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</row>
    <row r="576" spans="8:21" x14ac:dyDescent="0.3"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</row>
    <row r="577" spans="8:21" x14ac:dyDescent="0.3"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</row>
    <row r="578" spans="8:21" x14ac:dyDescent="0.3"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</row>
    <row r="579" spans="8:21" x14ac:dyDescent="0.3"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</row>
    <row r="580" spans="8:21" x14ac:dyDescent="0.3"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</row>
    <row r="581" spans="8:21" x14ac:dyDescent="0.3"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</row>
    <row r="582" spans="8:21" x14ac:dyDescent="0.3"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</row>
    <row r="583" spans="8:21" x14ac:dyDescent="0.3"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</row>
    <row r="584" spans="8:21" x14ac:dyDescent="0.3"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</row>
    <row r="585" spans="8:21" x14ac:dyDescent="0.3"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</row>
    <row r="586" spans="8:21" x14ac:dyDescent="0.3"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</row>
    <row r="587" spans="8:21" x14ac:dyDescent="0.3"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</row>
    <row r="588" spans="8:21" x14ac:dyDescent="0.3"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</row>
    <row r="589" spans="8:21" x14ac:dyDescent="0.3"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</row>
    <row r="590" spans="8:21" x14ac:dyDescent="0.3"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</row>
    <row r="591" spans="8:21" x14ac:dyDescent="0.3"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</row>
    <row r="592" spans="8:21" x14ac:dyDescent="0.3"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</row>
    <row r="593" spans="8:21" x14ac:dyDescent="0.3"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</row>
    <row r="594" spans="8:21" x14ac:dyDescent="0.3"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</row>
    <row r="595" spans="8:21" x14ac:dyDescent="0.3"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</row>
    <row r="596" spans="8:21" x14ac:dyDescent="0.3"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</row>
    <row r="597" spans="8:21" x14ac:dyDescent="0.3"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</row>
    <row r="598" spans="8:21" x14ac:dyDescent="0.3"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</row>
    <row r="599" spans="8:21" x14ac:dyDescent="0.3"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</row>
    <row r="600" spans="8:21" x14ac:dyDescent="0.3"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</row>
    <row r="601" spans="8:21" x14ac:dyDescent="0.3"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</row>
    <row r="602" spans="8:21" x14ac:dyDescent="0.3"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</row>
    <row r="603" spans="8:21" x14ac:dyDescent="0.3"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</row>
    <row r="604" spans="8:21" x14ac:dyDescent="0.3"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</row>
    <row r="605" spans="8:21" x14ac:dyDescent="0.3"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</row>
    <row r="606" spans="8:21" x14ac:dyDescent="0.3"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</row>
    <row r="607" spans="8:21" x14ac:dyDescent="0.3"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</row>
    <row r="608" spans="8:21" x14ac:dyDescent="0.3"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</row>
    <row r="609" spans="8:21" x14ac:dyDescent="0.3"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</row>
    <row r="610" spans="8:21" x14ac:dyDescent="0.3"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</row>
    <row r="611" spans="8:21" x14ac:dyDescent="0.3"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</row>
    <row r="612" spans="8:21" x14ac:dyDescent="0.3"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</row>
    <row r="613" spans="8:21" x14ac:dyDescent="0.3"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</row>
    <row r="614" spans="8:21" x14ac:dyDescent="0.3"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</row>
    <row r="615" spans="8:21" x14ac:dyDescent="0.3"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</row>
    <row r="616" spans="8:21" x14ac:dyDescent="0.3"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</row>
    <row r="617" spans="8:21" x14ac:dyDescent="0.3"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</row>
    <row r="618" spans="8:21" x14ac:dyDescent="0.3"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</row>
    <row r="619" spans="8:21" x14ac:dyDescent="0.3"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</row>
    <row r="620" spans="8:21" x14ac:dyDescent="0.3"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</row>
    <row r="621" spans="8:21" x14ac:dyDescent="0.3"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</row>
    <row r="622" spans="8:21" x14ac:dyDescent="0.3"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</row>
    <row r="623" spans="8:21" x14ac:dyDescent="0.3"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</row>
    <row r="624" spans="8:21" x14ac:dyDescent="0.3"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</row>
    <row r="625" spans="8:21" x14ac:dyDescent="0.3"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</row>
    <row r="626" spans="8:21" x14ac:dyDescent="0.3"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</row>
    <row r="627" spans="8:21" x14ac:dyDescent="0.3"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</row>
    <row r="628" spans="8:21" x14ac:dyDescent="0.3"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</row>
    <row r="629" spans="8:21" x14ac:dyDescent="0.3"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</row>
    <row r="630" spans="8:21" x14ac:dyDescent="0.3"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</row>
    <row r="631" spans="8:21" x14ac:dyDescent="0.3"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</row>
    <row r="632" spans="8:21" x14ac:dyDescent="0.3"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</row>
    <row r="633" spans="8:21" x14ac:dyDescent="0.3"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</row>
    <row r="634" spans="8:21" x14ac:dyDescent="0.3"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</row>
    <row r="635" spans="8:21" x14ac:dyDescent="0.3"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</row>
    <row r="636" spans="8:21" x14ac:dyDescent="0.3"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</row>
    <row r="637" spans="8:21" x14ac:dyDescent="0.3"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</row>
    <row r="638" spans="8:21" x14ac:dyDescent="0.3"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</row>
    <row r="639" spans="8:21" x14ac:dyDescent="0.3"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</row>
    <row r="640" spans="8:21" x14ac:dyDescent="0.3"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</row>
    <row r="641" spans="8:21" x14ac:dyDescent="0.3"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</row>
    <row r="642" spans="8:21" x14ac:dyDescent="0.3"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</row>
    <row r="643" spans="8:21" x14ac:dyDescent="0.3"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</row>
    <row r="644" spans="8:21" x14ac:dyDescent="0.3"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</row>
    <row r="645" spans="8:21" x14ac:dyDescent="0.3"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</row>
    <row r="646" spans="8:21" x14ac:dyDescent="0.3"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</row>
    <row r="647" spans="8:21" x14ac:dyDescent="0.3"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</row>
    <row r="648" spans="8:21" x14ac:dyDescent="0.3"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</row>
    <row r="649" spans="8:21" x14ac:dyDescent="0.3"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</row>
    <row r="650" spans="8:21" x14ac:dyDescent="0.3"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</row>
    <row r="651" spans="8:21" x14ac:dyDescent="0.3"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</row>
    <row r="652" spans="8:21" x14ac:dyDescent="0.3"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</row>
    <row r="653" spans="8:21" x14ac:dyDescent="0.3"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</row>
    <row r="654" spans="8:21" x14ac:dyDescent="0.3"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</row>
    <row r="655" spans="8:21" x14ac:dyDescent="0.3"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</row>
    <row r="656" spans="8:21" x14ac:dyDescent="0.3"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</row>
    <row r="657" spans="8:21" x14ac:dyDescent="0.3"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</row>
    <row r="658" spans="8:21" x14ac:dyDescent="0.3"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</row>
    <row r="659" spans="8:21" x14ac:dyDescent="0.3"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</row>
    <row r="660" spans="8:21" x14ac:dyDescent="0.3"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</row>
    <row r="661" spans="8:21" x14ac:dyDescent="0.3"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</row>
    <row r="662" spans="8:21" x14ac:dyDescent="0.3"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</row>
    <row r="663" spans="8:21" x14ac:dyDescent="0.3"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</row>
    <row r="664" spans="8:21" x14ac:dyDescent="0.3"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</row>
    <row r="665" spans="8:21" x14ac:dyDescent="0.3"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</row>
    <row r="666" spans="8:21" x14ac:dyDescent="0.3"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</row>
    <row r="667" spans="8:21" x14ac:dyDescent="0.3"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</row>
    <row r="668" spans="8:21" x14ac:dyDescent="0.3"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</row>
    <row r="669" spans="8:21" x14ac:dyDescent="0.3"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</row>
    <row r="670" spans="8:21" x14ac:dyDescent="0.3"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</row>
    <row r="671" spans="8:21" x14ac:dyDescent="0.3"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</row>
    <row r="672" spans="8:21" x14ac:dyDescent="0.3"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</row>
    <row r="673" spans="8:21" x14ac:dyDescent="0.3"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</row>
    <row r="674" spans="8:21" x14ac:dyDescent="0.3"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</row>
    <row r="675" spans="8:21" x14ac:dyDescent="0.3"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</row>
    <row r="676" spans="8:21" x14ac:dyDescent="0.3"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</row>
    <row r="677" spans="8:21" x14ac:dyDescent="0.3"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</row>
    <row r="678" spans="8:21" x14ac:dyDescent="0.3"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</row>
    <row r="679" spans="8:21" x14ac:dyDescent="0.3"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</row>
    <row r="680" spans="8:21" x14ac:dyDescent="0.3"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</row>
    <row r="681" spans="8:21" x14ac:dyDescent="0.3"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</row>
    <row r="682" spans="8:21" x14ac:dyDescent="0.3"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</row>
    <row r="683" spans="8:21" x14ac:dyDescent="0.3"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</row>
    <row r="684" spans="8:21" x14ac:dyDescent="0.3"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</row>
    <row r="685" spans="8:21" x14ac:dyDescent="0.3"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</row>
    <row r="686" spans="8:21" x14ac:dyDescent="0.3"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</row>
    <row r="687" spans="8:21" x14ac:dyDescent="0.3"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</row>
    <row r="688" spans="8:21" x14ac:dyDescent="0.3"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</row>
    <row r="689" spans="8:21" x14ac:dyDescent="0.3"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</row>
    <row r="690" spans="8:21" x14ac:dyDescent="0.3"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</row>
    <row r="691" spans="8:21" x14ac:dyDescent="0.3"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</row>
    <row r="692" spans="8:21" x14ac:dyDescent="0.3"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</row>
    <row r="693" spans="8:21" x14ac:dyDescent="0.3"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</row>
    <row r="694" spans="8:21" x14ac:dyDescent="0.3"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</row>
    <row r="695" spans="8:21" x14ac:dyDescent="0.3"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</row>
    <row r="696" spans="8:21" x14ac:dyDescent="0.3"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</row>
    <row r="697" spans="8:21" x14ac:dyDescent="0.3"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</row>
    <row r="698" spans="8:21" x14ac:dyDescent="0.3"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</row>
    <row r="699" spans="8:21" x14ac:dyDescent="0.3"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</row>
    <row r="700" spans="8:21" x14ac:dyDescent="0.3"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</row>
    <row r="701" spans="8:21" x14ac:dyDescent="0.3"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</row>
    <row r="702" spans="8:21" x14ac:dyDescent="0.3"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</row>
    <row r="703" spans="8:21" x14ac:dyDescent="0.3"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</row>
    <row r="704" spans="8:21" x14ac:dyDescent="0.3"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</row>
    <row r="705" spans="8:21" x14ac:dyDescent="0.3"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</row>
    <row r="706" spans="8:21" x14ac:dyDescent="0.3"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</row>
    <row r="707" spans="8:21" x14ac:dyDescent="0.3"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</row>
    <row r="708" spans="8:21" x14ac:dyDescent="0.3"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</row>
    <row r="709" spans="8:21" x14ac:dyDescent="0.3"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</row>
    <row r="710" spans="8:21" x14ac:dyDescent="0.3"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</row>
    <row r="711" spans="8:21" x14ac:dyDescent="0.3"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</row>
    <row r="712" spans="8:21" x14ac:dyDescent="0.3"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</row>
    <row r="713" spans="8:21" x14ac:dyDescent="0.3"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</row>
    <row r="714" spans="8:21" x14ac:dyDescent="0.3"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</row>
    <row r="715" spans="8:21" x14ac:dyDescent="0.3"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</row>
    <row r="716" spans="8:21" x14ac:dyDescent="0.3"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</row>
    <row r="717" spans="8:21" x14ac:dyDescent="0.3"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</row>
    <row r="718" spans="8:21" x14ac:dyDescent="0.3"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</row>
    <row r="719" spans="8:21" x14ac:dyDescent="0.3"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</row>
    <row r="720" spans="8:21" x14ac:dyDescent="0.3"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</row>
    <row r="721" spans="8:21" x14ac:dyDescent="0.3"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</row>
    <row r="722" spans="8:21" x14ac:dyDescent="0.3"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</row>
    <row r="723" spans="8:21" x14ac:dyDescent="0.3"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</row>
    <row r="724" spans="8:21" x14ac:dyDescent="0.3"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</row>
    <row r="725" spans="8:21" x14ac:dyDescent="0.3"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</row>
    <row r="726" spans="8:21" x14ac:dyDescent="0.3"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</row>
    <row r="727" spans="8:21" x14ac:dyDescent="0.3"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</row>
    <row r="728" spans="8:21" x14ac:dyDescent="0.3"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</row>
    <row r="729" spans="8:21" x14ac:dyDescent="0.3"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</row>
    <row r="730" spans="8:21" x14ac:dyDescent="0.3"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</row>
    <row r="731" spans="8:21" x14ac:dyDescent="0.3"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</row>
    <row r="732" spans="8:21" x14ac:dyDescent="0.3"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</row>
    <row r="733" spans="8:21" x14ac:dyDescent="0.3"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</row>
    <row r="734" spans="8:21" x14ac:dyDescent="0.3"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</row>
    <row r="735" spans="8:21" x14ac:dyDescent="0.3"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</row>
    <row r="736" spans="8:21" x14ac:dyDescent="0.3"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</row>
    <row r="737" spans="8:21" x14ac:dyDescent="0.3"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</row>
    <row r="738" spans="8:21" x14ac:dyDescent="0.3"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</row>
    <row r="739" spans="8:21" x14ac:dyDescent="0.3"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</row>
    <row r="740" spans="8:21" x14ac:dyDescent="0.3"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</row>
    <row r="741" spans="8:21" x14ac:dyDescent="0.3"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</row>
    <row r="742" spans="8:21" x14ac:dyDescent="0.3"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</row>
    <row r="743" spans="8:21" x14ac:dyDescent="0.3"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</row>
    <row r="744" spans="8:21" x14ac:dyDescent="0.3"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</row>
    <row r="745" spans="8:21" x14ac:dyDescent="0.3"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</row>
    <row r="746" spans="8:21" x14ac:dyDescent="0.3"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</row>
    <row r="747" spans="8:21" x14ac:dyDescent="0.3"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</row>
    <row r="748" spans="8:21" x14ac:dyDescent="0.3"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</row>
    <row r="749" spans="8:21" x14ac:dyDescent="0.3"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</row>
    <row r="750" spans="8:21" x14ac:dyDescent="0.3"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</row>
    <row r="751" spans="8:21" x14ac:dyDescent="0.3"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</row>
    <row r="752" spans="8:21" x14ac:dyDescent="0.3"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</row>
    <row r="753" spans="8:21" x14ac:dyDescent="0.3"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</row>
    <row r="754" spans="8:21" x14ac:dyDescent="0.3"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</row>
    <row r="755" spans="8:21" x14ac:dyDescent="0.3"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</row>
    <row r="756" spans="8:21" x14ac:dyDescent="0.3"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</row>
    <row r="757" spans="8:21" x14ac:dyDescent="0.3"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</row>
    <row r="758" spans="8:21" x14ac:dyDescent="0.3"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</row>
    <row r="759" spans="8:21" x14ac:dyDescent="0.3"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</row>
    <row r="760" spans="8:21" x14ac:dyDescent="0.3"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</row>
    <row r="761" spans="8:21" x14ac:dyDescent="0.3"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</row>
    <row r="762" spans="8:21" x14ac:dyDescent="0.3"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</row>
    <row r="763" spans="8:21" x14ac:dyDescent="0.3"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</row>
    <row r="764" spans="8:21" x14ac:dyDescent="0.3"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</row>
    <row r="765" spans="8:21" x14ac:dyDescent="0.3"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</row>
    <row r="766" spans="8:21" x14ac:dyDescent="0.3"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</row>
    <row r="767" spans="8:21" x14ac:dyDescent="0.3"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</row>
    <row r="768" spans="8:21" x14ac:dyDescent="0.3"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</row>
    <row r="769" spans="8:21" x14ac:dyDescent="0.3"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</row>
    <row r="770" spans="8:21" x14ac:dyDescent="0.3"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</row>
    <row r="771" spans="8:21" x14ac:dyDescent="0.3"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</row>
    <row r="772" spans="8:21" x14ac:dyDescent="0.3"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</row>
    <row r="773" spans="8:21" x14ac:dyDescent="0.3"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</row>
    <row r="774" spans="8:21" x14ac:dyDescent="0.3"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</row>
    <row r="775" spans="8:21" x14ac:dyDescent="0.3"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</row>
    <row r="776" spans="8:21" x14ac:dyDescent="0.3"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</row>
    <row r="777" spans="8:21" x14ac:dyDescent="0.3"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</row>
    <row r="778" spans="8:21" x14ac:dyDescent="0.3"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</row>
    <row r="779" spans="8:21" x14ac:dyDescent="0.3"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</row>
    <row r="780" spans="8:21" x14ac:dyDescent="0.3"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</row>
    <row r="781" spans="8:21" x14ac:dyDescent="0.3"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</row>
    <row r="782" spans="8:21" x14ac:dyDescent="0.3"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</row>
    <row r="783" spans="8:21" x14ac:dyDescent="0.3"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</row>
    <row r="784" spans="8:21" x14ac:dyDescent="0.3"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</row>
    <row r="785" spans="8:21" x14ac:dyDescent="0.3"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</row>
    <row r="786" spans="8:21" x14ac:dyDescent="0.3"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</row>
    <row r="787" spans="8:21" x14ac:dyDescent="0.3"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</row>
    <row r="788" spans="8:21" x14ac:dyDescent="0.3"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</row>
    <row r="789" spans="8:21" x14ac:dyDescent="0.3"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</row>
    <row r="790" spans="8:21" x14ac:dyDescent="0.3"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</row>
    <row r="791" spans="8:21" x14ac:dyDescent="0.3"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</row>
    <row r="792" spans="8:21" x14ac:dyDescent="0.3"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</row>
    <row r="793" spans="8:21" x14ac:dyDescent="0.3"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</row>
    <row r="794" spans="8:21" x14ac:dyDescent="0.3"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</row>
    <row r="795" spans="8:21" x14ac:dyDescent="0.3"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</row>
    <row r="796" spans="8:21" x14ac:dyDescent="0.3"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</row>
    <row r="797" spans="8:21" x14ac:dyDescent="0.3"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</row>
    <row r="798" spans="8:21" x14ac:dyDescent="0.3"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</row>
    <row r="799" spans="8:21" x14ac:dyDescent="0.3"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</row>
    <row r="800" spans="8:21" x14ac:dyDescent="0.3"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</row>
    <row r="801" spans="8:21" x14ac:dyDescent="0.3"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</row>
    <row r="802" spans="8:21" x14ac:dyDescent="0.3"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</row>
    <row r="803" spans="8:21" x14ac:dyDescent="0.3"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</row>
    <row r="804" spans="8:21" x14ac:dyDescent="0.3"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</row>
    <row r="805" spans="8:21" x14ac:dyDescent="0.3"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</row>
    <row r="806" spans="8:21" x14ac:dyDescent="0.3"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</row>
    <row r="807" spans="8:21" x14ac:dyDescent="0.3"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</row>
    <row r="808" spans="8:21" x14ac:dyDescent="0.3"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</row>
    <row r="809" spans="8:21" x14ac:dyDescent="0.3"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</row>
    <row r="810" spans="8:21" x14ac:dyDescent="0.3"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</row>
    <row r="811" spans="8:21" x14ac:dyDescent="0.3"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</row>
    <row r="812" spans="8:21" x14ac:dyDescent="0.3"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</row>
    <row r="813" spans="8:21" x14ac:dyDescent="0.3"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</row>
    <row r="814" spans="8:21" x14ac:dyDescent="0.3"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</row>
    <row r="815" spans="8:21" x14ac:dyDescent="0.3"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</row>
    <row r="816" spans="8:21" x14ac:dyDescent="0.3"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</row>
    <row r="817" spans="8:21" x14ac:dyDescent="0.3"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</row>
    <row r="818" spans="8:21" x14ac:dyDescent="0.3"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</row>
    <row r="819" spans="8:21" x14ac:dyDescent="0.3"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</row>
    <row r="820" spans="8:21" x14ac:dyDescent="0.3"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</row>
    <row r="821" spans="8:21" x14ac:dyDescent="0.3"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</row>
    <row r="822" spans="8:21" x14ac:dyDescent="0.3"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</row>
    <row r="823" spans="8:21" x14ac:dyDescent="0.3"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</row>
    <row r="824" spans="8:21" x14ac:dyDescent="0.3"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</row>
    <row r="825" spans="8:21" x14ac:dyDescent="0.3"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</row>
    <row r="826" spans="8:21" x14ac:dyDescent="0.3"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</row>
    <row r="827" spans="8:21" x14ac:dyDescent="0.3"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</row>
    <row r="828" spans="8:21" x14ac:dyDescent="0.3"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</row>
    <row r="829" spans="8:21" x14ac:dyDescent="0.3"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</row>
    <row r="830" spans="8:21" x14ac:dyDescent="0.3"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</row>
    <row r="831" spans="8:21" x14ac:dyDescent="0.3"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</row>
    <row r="832" spans="8:21" x14ac:dyDescent="0.3"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</row>
    <row r="833" spans="8:21" x14ac:dyDescent="0.3"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</row>
    <row r="834" spans="8:21" x14ac:dyDescent="0.3"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</row>
    <row r="835" spans="8:21" x14ac:dyDescent="0.3"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</row>
    <row r="836" spans="8:21" x14ac:dyDescent="0.3"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</row>
    <row r="837" spans="8:21" x14ac:dyDescent="0.3"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</row>
    <row r="838" spans="8:21" x14ac:dyDescent="0.3"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</row>
    <row r="839" spans="8:21" x14ac:dyDescent="0.3"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</row>
    <row r="840" spans="8:21" x14ac:dyDescent="0.3"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</row>
    <row r="841" spans="8:21" x14ac:dyDescent="0.3"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</row>
    <row r="842" spans="8:21" x14ac:dyDescent="0.3"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</row>
    <row r="843" spans="8:21" x14ac:dyDescent="0.3"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</row>
    <row r="844" spans="8:21" x14ac:dyDescent="0.3"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</row>
    <row r="845" spans="8:21" x14ac:dyDescent="0.3"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</row>
    <row r="846" spans="8:21" x14ac:dyDescent="0.3"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</row>
    <row r="847" spans="8:21" x14ac:dyDescent="0.3"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</row>
    <row r="848" spans="8:21" x14ac:dyDescent="0.3"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</row>
    <row r="849" spans="8:21" x14ac:dyDescent="0.3"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</row>
    <row r="850" spans="8:21" x14ac:dyDescent="0.3"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</row>
    <row r="851" spans="8:21" x14ac:dyDescent="0.3"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</row>
    <row r="852" spans="8:21" x14ac:dyDescent="0.3"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</row>
    <row r="853" spans="8:21" x14ac:dyDescent="0.3"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</row>
    <row r="854" spans="8:21" x14ac:dyDescent="0.3"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</row>
    <row r="855" spans="8:21" x14ac:dyDescent="0.3"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</row>
    <row r="856" spans="8:21" x14ac:dyDescent="0.3"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</row>
    <row r="857" spans="8:21" x14ac:dyDescent="0.3"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</row>
    <row r="858" spans="8:21" x14ac:dyDescent="0.3"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</row>
    <row r="859" spans="8:21" x14ac:dyDescent="0.3"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</row>
    <row r="860" spans="8:21" x14ac:dyDescent="0.3"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</row>
    <row r="861" spans="8:21" x14ac:dyDescent="0.3"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</row>
    <row r="862" spans="8:21" x14ac:dyDescent="0.3"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</row>
    <row r="863" spans="8:21" x14ac:dyDescent="0.3"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</row>
    <row r="864" spans="8:21" x14ac:dyDescent="0.3"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</row>
    <row r="865" spans="8:21" x14ac:dyDescent="0.3"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</row>
    <row r="866" spans="8:21" x14ac:dyDescent="0.3"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</row>
    <row r="867" spans="8:21" x14ac:dyDescent="0.3"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</row>
    <row r="868" spans="8:21" x14ac:dyDescent="0.3"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</row>
    <row r="869" spans="8:21" x14ac:dyDescent="0.3"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</row>
    <row r="870" spans="8:21" x14ac:dyDescent="0.3"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</row>
    <row r="871" spans="8:21" x14ac:dyDescent="0.3"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</row>
    <row r="872" spans="8:21" x14ac:dyDescent="0.3"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</row>
    <row r="873" spans="8:21" x14ac:dyDescent="0.3"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</row>
    <row r="874" spans="8:21" x14ac:dyDescent="0.3"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</row>
    <row r="875" spans="8:21" x14ac:dyDescent="0.3"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</row>
    <row r="876" spans="8:21" x14ac:dyDescent="0.3"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</row>
    <row r="877" spans="8:21" x14ac:dyDescent="0.3"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</row>
    <row r="878" spans="8:21" x14ac:dyDescent="0.3"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</row>
    <row r="879" spans="8:21" x14ac:dyDescent="0.3"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</row>
    <row r="880" spans="8:21" x14ac:dyDescent="0.3"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</row>
    <row r="881" spans="8:21" x14ac:dyDescent="0.3"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</row>
    <row r="882" spans="8:21" x14ac:dyDescent="0.3"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</row>
    <row r="883" spans="8:21" x14ac:dyDescent="0.3"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</row>
    <row r="884" spans="8:21" x14ac:dyDescent="0.3"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</row>
    <row r="885" spans="8:21" x14ac:dyDescent="0.3"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</row>
    <row r="886" spans="8:21" x14ac:dyDescent="0.3"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</row>
    <row r="887" spans="8:21" x14ac:dyDescent="0.3"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</row>
    <row r="888" spans="8:21" x14ac:dyDescent="0.3"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</row>
    <row r="889" spans="8:21" x14ac:dyDescent="0.3"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</row>
    <row r="890" spans="8:21" x14ac:dyDescent="0.3"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</row>
    <row r="891" spans="8:21" x14ac:dyDescent="0.3"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</row>
    <row r="892" spans="8:21" x14ac:dyDescent="0.3"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</row>
    <row r="893" spans="8:21" x14ac:dyDescent="0.3"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</row>
    <row r="894" spans="8:21" x14ac:dyDescent="0.3"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</row>
    <row r="895" spans="8:21" x14ac:dyDescent="0.3"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</row>
    <row r="896" spans="8:21" x14ac:dyDescent="0.3"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</row>
    <row r="897" spans="8:21" x14ac:dyDescent="0.3"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</row>
    <row r="898" spans="8:21" x14ac:dyDescent="0.3"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</row>
    <row r="899" spans="8:21" x14ac:dyDescent="0.3"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</row>
    <row r="900" spans="8:21" x14ac:dyDescent="0.3"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</row>
    <row r="901" spans="8:21" x14ac:dyDescent="0.3"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</row>
    <row r="902" spans="8:21" x14ac:dyDescent="0.3"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</row>
    <row r="903" spans="8:21" x14ac:dyDescent="0.3"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</row>
    <row r="904" spans="8:21" x14ac:dyDescent="0.3"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</row>
    <row r="905" spans="8:21" x14ac:dyDescent="0.3"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</row>
    <row r="906" spans="8:21" x14ac:dyDescent="0.3"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</row>
    <row r="907" spans="8:21" x14ac:dyDescent="0.3"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</row>
    <row r="908" spans="8:21" x14ac:dyDescent="0.3"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</row>
    <row r="909" spans="8:21" x14ac:dyDescent="0.3"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</row>
    <row r="910" spans="8:21" x14ac:dyDescent="0.3"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</row>
    <row r="911" spans="8:21" x14ac:dyDescent="0.3"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</row>
    <row r="912" spans="8:21" x14ac:dyDescent="0.3"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</row>
    <row r="913" spans="8:21" x14ac:dyDescent="0.3"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</row>
    <row r="914" spans="8:21" x14ac:dyDescent="0.3"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</row>
    <row r="915" spans="8:21" x14ac:dyDescent="0.3"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</row>
    <row r="916" spans="8:21" x14ac:dyDescent="0.3"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</row>
    <row r="917" spans="8:21" x14ac:dyDescent="0.3"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</row>
    <row r="918" spans="8:21" x14ac:dyDescent="0.3"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</row>
    <row r="919" spans="8:21" x14ac:dyDescent="0.3"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</row>
    <row r="920" spans="8:21" x14ac:dyDescent="0.3"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</row>
    <row r="921" spans="8:21" x14ac:dyDescent="0.3"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</row>
    <row r="922" spans="8:21" x14ac:dyDescent="0.3"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</row>
    <row r="923" spans="8:21" x14ac:dyDescent="0.3"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</row>
    <row r="924" spans="8:21" x14ac:dyDescent="0.3"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</row>
    <row r="925" spans="8:21" x14ac:dyDescent="0.3"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</row>
    <row r="926" spans="8:21" x14ac:dyDescent="0.3"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</row>
    <row r="927" spans="8:21" x14ac:dyDescent="0.3"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</row>
    <row r="928" spans="8:21" x14ac:dyDescent="0.3"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</row>
    <row r="929" spans="8:21" x14ac:dyDescent="0.3"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</row>
    <row r="930" spans="8:21" x14ac:dyDescent="0.3"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</row>
    <row r="931" spans="8:21" x14ac:dyDescent="0.3"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</row>
    <row r="932" spans="8:21" x14ac:dyDescent="0.3"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</row>
    <row r="933" spans="8:21" x14ac:dyDescent="0.3"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</row>
    <row r="934" spans="8:21" x14ac:dyDescent="0.3"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</row>
    <row r="935" spans="8:21" x14ac:dyDescent="0.3"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</row>
    <row r="936" spans="8:21" x14ac:dyDescent="0.3"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</row>
    <row r="937" spans="8:21" x14ac:dyDescent="0.3"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</row>
    <row r="938" spans="8:21" x14ac:dyDescent="0.3"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</row>
    <row r="939" spans="8:21" x14ac:dyDescent="0.3"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</row>
    <row r="940" spans="8:21" x14ac:dyDescent="0.3"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</row>
    <row r="941" spans="8:21" x14ac:dyDescent="0.3"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</row>
    <row r="942" spans="8:21" x14ac:dyDescent="0.3"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</row>
    <row r="943" spans="8:21" x14ac:dyDescent="0.3"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</row>
    <row r="944" spans="8:21" x14ac:dyDescent="0.3"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</row>
    <row r="945" spans="8:21" x14ac:dyDescent="0.3"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</row>
    <row r="946" spans="8:21" x14ac:dyDescent="0.3"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</row>
    <row r="947" spans="8:21" x14ac:dyDescent="0.3"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</row>
    <row r="948" spans="8:21" x14ac:dyDescent="0.3"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</row>
    <row r="949" spans="8:21" x14ac:dyDescent="0.3"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</row>
    <row r="950" spans="8:21" x14ac:dyDescent="0.3"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</row>
    <row r="951" spans="8:21" x14ac:dyDescent="0.3"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</row>
    <row r="952" spans="8:21" x14ac:dyDescent="0.3"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</row>
    <row r="953" spans="8:21" x14ac:dyDescent="0.3"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</row>
    <row r="954" spans="8:21" x14ac:dyDescent="0.3"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</row>
    <row r="955" spans="8:21" x14ac:dyDescent="0.3"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</row>
    <row r="956" spans="8:21" x14ac:dyDescent="0.3"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</row>
    <row r="957" spans="8:21" x14ac:dyDescent="0.3"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</row>
    <row r="958" spans="8:21" x14ac:dyDescent="0.3"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</row>
    <row r="959" spans="8:21" x14ac:dyDescent="0.3"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</row>
    <row r="960" spans="8:21" x14ac:dyDescent="0.3"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</row>
    <row r="961" spans="8:21" x14ac:dyDescent="0.3"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</row>
    <row r="962" spans="8:21" x14ac:dyDescent="0.3"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</row>
    <row r="963" spans="8:21" x14ac:dyDescent="0.3"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</row>
    <row r="964" spans="8:21" x14ac:dyDescent="0.3"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</row>
    <row r="965" spans="8:21" x14ac:dyDescent="0.3"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</row>
    <row r="966" spans="8:21" x14ac:dyDescent="0.3"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</row>
    <row r="967" spans="8:21" x14ac:dyDescent="0.3"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</row>
    <row r="968" spans="8:21" x14ac:dyDescent="0.3"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</row>
    <row r="969" spans="8:21" x14ac:dyDescent="0.3"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</row>
    <row r="970" spans="8:21" x14ac:dyDescent="0.3"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</row>
    <row r="971" spans="8:21" x14ac:dyDescent="0.3"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</row>
    <row r="972" spans="8:21" x14ac:dyDescent="0.3"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</row>
    <row r="973" spans="8:21" x14ac:dyDescent="0.3"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</row>
    <row r="974" spans="8:21" x14ac:dyDescent="0.3"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</row>
    <row r="975" spans="8:21" x14ac:dyDescent="0.3"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</row>
    <row r="976" spans="8:21" x14ac:dyDescent="0.3"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</row>
    <row r="977" spans="8:21" x14ac:dyDescent="0.3"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</row>
    <row r="978" spans="8:21" x14ac:dyDescent="0.3"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</row>
    <row r="979" spans="8:21" x14ac:dyDescent="0.3"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</row>
    <row r="980" spans="8:21" x14ac:dyDescent="0.3"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</row>
    <row r="981" spans="8:21" x14ac:dyDescent="0.3"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</row>
    <row r="982" spans="8:21" x14ac:dyDescent="0.3"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</row>
    <row r="983" spans="8:21" x14ac:dyDescent="0.3"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</row>
    <row r="984" spans="8:21" x14ac:dyDescent="0.3"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</row>
    <row r="985" spans="8:21" x14ac:dyDescent="0.3"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</row>
    <row r="986" spans="8:21" x14ac:dyDescent="0.3"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</row>
    <row r="987" spans="8:21" x14ac:dyDescent="0.3"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</row>
    <row r="988" spans="8:21" x14ac:dyDescent="0.3"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</row>
    <row r="989" spans="8:21" x14ac:dyDescent="0.3"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</row>
    <row r="990" spans="8:21" x14ac:dyDescent="0.3"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</row>
    <row r="991" spans="8:21" x14ac:dyDescent="0.3"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</row>
    <row r="992" spans="8:21" x14ac:dyDescent="0.3"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</row>
    <row r="993" spans="8:21" x14ac:dyDescent="0.3"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</row>
    <row r="994" spans="8:21" x14ac:dyDescent="0.3"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</row>
    <row r="995" spans="8:21" x14ac:dyDescent="0.3"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</row>
    <row r="996" spans="8:21" x14ac:dyDescent="0.3"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</row>
    <row r="997" spans="8:21" x14ac:dyDescent="0.3"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</row>
    <row r="998" spans="8:21" x14ac:dyDescent="0.3"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</row>
    <row r="999" spans="8:21" x14ac:dyDescent="0.3"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</row>
    <row r="1000" spans="8:21" x14ac:dyDescent="0.3"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</row>
    <row r="1001" spans="8:21" x14ac:dyDescent="0.3"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</row>
    <row r="1002" spans="8:21" x14ac:dyDescent="0.3"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</row>
    <row r="1003" spans="8:21" x14ac:dyDescent="0.3"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</row>
    <row r="1004" spans="8:21" x14ac:dyDescent="0.3"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</row>
    <row r="1005" spans="8:21" x14ac:dyDescent="0.3"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</row>
    <row r="1006" spans="8:21" x14ac:dyDescent="0.3"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</row>
    <row r="1007" spans="8:21" x14ac:dyDescent="0.3"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</row>
    <row r="1008" spans="8:21" x14ac:dyDescent="0.3"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</row>
    <row r="1009" spans="8:21" x14ac:dyDescent="0.3"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</row>
    <row r="1010" spans="8:21" x14ac:dyDescent="0.3"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</row>
    <row r="1011" spans="8:21" x14ac:dyDescent="0.3"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</row>
    <row r="1012" spans="8:21" x14ac:dyDescent="0.3"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</row>
    <row r="1013" spans="8:21" x14ac:dyDescent="0.3">
      <c r="H1013" s="47"/>
      <c r="I1013" s="47"/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</row>
    <row r="1014" spans="8:21" x14ac:dyDescent="0.3"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</row>
    <row r="1015" spans="8:21" x14ac:dyDescent="0.3"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</row>
    <row r="1016" spans="8:21" x14ac:dyDescent="0.3">
      <c r="H1016" s="47"/>
      <c r="I1016" s="47"/>
      <c r="J1016" s="47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</row>
    <row r="1017" spans="8:21" x14ac:dyDescent="0.3">
      <c r="H1017" s="47"/>
      <c r="I1017" s="47"/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</row>
    <row r="1018" spans="8:21" x14ac:dyDescent="0.3"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</row>
    <row r="1019" spans="8:21" x14ac:dyDescent="0.3"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</row>
    <row r="1020" spans="8:21" x14ac:dyDescent="0.3">
      <c r="H1020" s="47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</row>
    <row r="1021" spans="8:21" x14ac:dyDescent="0.3">
      <c r="H1021" s="47"/>
      <c r="I1021" s="47"/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</row>
    <row r="1022" spans="8:21" x14ac:dyDescent="0.3"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</row>
    <row r="1023" spans="8:21" x14ac:dyDescent="0.3"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</row>
    <row r="1024" spans="8:21" x14ac:dyDescent="0.3">
      <c r="H1024" s="47"/>
      <c r="I1024" s="47"/>
      <c r="J1024" s="47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</row>
    <row r="1025" spans="8:21" x14ac:dyDescent="0.3">
      <c r="H1025" s="47"/>
      <c r="I1025" s="47"/>
      <c r="J1025" s="47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</row>
    <row r="1026" spans="8:21" x14ac:dyDescent="0.3"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</row>
    <row r="1027" spans="8:21" x14ac:dyDescent="0.3"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</row>
    <row r="1028" spans="8:21" x14ac:dyDescent="0.3">
      <c r="H1028" s="47"/>
      <c r="I1028" s="47"/>
      <c r="J1028" s="47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</row>
    <row r="1029" spans="8:21" x14ac:dyDescent="0.3">
      <c r="H1029" s="47"/>
      <c r="I1029" s="47"/>
      <c r="J1029" s="47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</row>
    <row r="1030" spans="8:21" x14ac:dyDescent="0.3"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</row>
    <row r="1031" spans="8:21" x14ac:dyDescent="0.3"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</row>
    <row r="1032" spans="8:21" x14ac:dyDescent="0.3">
      <c r="H1032" s="47"/>
      <c r="I1032" s="47"/>
      <c r="J1032" s="47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</row>
    <row r="1033" spans="8:21" x14ac:dyDescent="0.3">
      <c r="H1033" s="47"/>
      <c r="I1033" s="47"/>
      <c r="J1033" s="47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</row>
    <row r="1034" spans="8:21" x14ac:dyDescent="0.3"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</row>
    <row r="1035" spans="8:21" x14ac:dyDescent="0.3"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</row>
    <row r="1036" spans="8:21" x14ac:dyDescent="0.3">
      <c r="H1036" s="47"/>
      <c r="I1036" s="47"/>
      <c r="J1036" s="47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</row>
    <row r="1037" spans="8:21" x14ac:dyDescent="0.3">
      <c r="H1037" s="47"/>
      <c r="I1037" s="47"/>
      <c r="J1037" s="47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</row>
    <row r="1038" spans="8:21" x14ac:dyDescent="0.3"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</row>
    <row r="1039" spans="8:21" x14ac:dyDescent="0.3"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</row>
    <row r="1040" spans="8:21" x14ac:dyDescent="0.3">
      <c r="H1040" s="47"/>
      <c r="I1040" s="47"/>
      <c r="J1040" s="47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</row>
    <row r="1041" spans="8:21" x14ac:dyDescent="0.3">
      <c r="H1041" s="47"/>
      <c r="I1041" s="47"/>
      <c r="J1041" s="47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</row>
    <row r="1042" spans="8:21" x14ac:dyDescent="0.3"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</row>
    <row r="1043" spans="8:21" x14ac:dyDescent="0.3"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</row>
    <row r="1044" spans="8:21" x14ac:dyDescent="0.3">
      <c r="H1044" s="47"/>
      <c r="I1044" s="47"/>
      <c r="J1044" s="47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</row>
    <row r="1045" spans="8:21" x14ac:dyDescent="0.3">
      <c r="H1045" s="47"/>
      <c r="I1045" s="47"/>
      <c r="J1045" s="47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</row>
    <row r="1046" spans="8:21" x14ac:dyDescent="0.3"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</row>
    <row r="1047" spans="8:21" x14ac:dyDescent="0.3"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</row>
    <row r="1048" spans="8:21" x14ac:dyDescent="0.3">
      <c r="H1048" s="47"/>
      <c r="I1048" s="47"/>
      <c r="J1048" s="47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</row>
    <row r="1049" spans="8:21" x14ac:dyDescent="0.3">
      <c r="H1049" s="47"/>
      <c r="I1049" s="47"/>
      <c r="J1049" s="47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</row>
    <row r="1050" spans="8:21" x14ac:dyDescent="0.3"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</row>
    <row r="1051" spans="8:21" x14ac:dyDescent="0.3"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</row>
    <row r="1052" spans="8:21" x14ac:dyDescent="0.3">
      <c r="H1052" s="47"/>
      <c r="I1052" s="47"/>
      <c r="J1052" s="47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</row>
    <row r="1053" spans="8:21" x14ac:dyDescent="0.3">
      <c r="H1053" s="47"/>
      <c r="I1053" s="47"/>
      <c r="J1053" s="47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</row>
    <row r="1054" spans="8:21" x14ac:dyDescent="0.3"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</row>
    <row r="1055" spans="8:21" x14ac:dyDescent="0.3"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</row>
    <row r="1056" spans="8:21" x14ac:dyDescent="0.3">
      <c r="H1056" s="47"/>
      <c r="I1056" s="47"/>
      <c r="J1056" s="47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</row>
    <row r="1057" spans="8:21" x14ac:dyDescent="0.3">
      <c r="H1057" s="47"/>
      <c r="I1057" s="47"/>
      <c r="J1057" s="47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</row>
    <row r="1058" spans="8:21" x14ac:dyDescent="0.3"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</row>
    <row r="1059" spans="8:21" x14ac:dyDescent="0.3"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</row>
    <row r="1060" spans="8:21" x14ac:dyDescent="0.3">
      <c r="H1060" s="47"/>
      <c r="I1060" s="47"/>
      <c r="J1060" s="47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</row>
    <row r="1061" spans="8:21" x14ac:dyDescent="0.3">
      <c r="H1061" s="47"/>
      <c r="I1061" s="47"/>
      <c r="J1061" s="47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</row>
    <row r="1062" spans="8:21" x14ac:dyDescent="0.3"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</row>
    <row r="1063" spans="8:21" x14ac:dyDescent="0.3"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</row>
    <row r="1064" spans="8:21" x14ac:dyDescent="0.3">
      <c r="H1064" s="47"/>
      <c r="I1064" s="47"/>
      <c r="J1064" s="47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</row>
    <row r="1065" spans="8:21" x14ac:dyDescent="0.3">
      <c r="H1065" s="47"/>
      <c r="I1065" s="47"/>
      <c r="J1065" s="47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</row>
    <row r="1066" spans="8:21" x14ac:dyDescent="0.3"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</row>
    <row r="1067" spans="8:21" x14ac:dyDescent="0.3"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</row>
    <row r="1068" spans="8:21" x14ac:dyDescent="0.3">
      <c r="H1068" s="47"/>
      <c r="I1068" s="47"/>
      <c r="J1068" s="47"/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</row>
    <row r="1069" spans="8:21" x14ac:dyDescent="0.3">
      <c r="H1069" s="47"/>
      <c r="I1069" s="47"/>
      <c r="J1069" s="47"/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</row>
    <row r="1070" spans="8:21" x14ac:dyDescent="0.3"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</row>
    <row r="1071" spans="8:21" x14ac:dyDescent="0.3"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</row>
    <row r="1072" spans="8:21" x14ac:dyDescent="0.3">
      <c r="H1072" s="47"/>
      <c r="I1072" s="47"/>
      <c r="J1072" s="47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</row>
    <row r="1073" spans="8:21" x14ac:dyDescent="0.3">
      <c r="H1073" s="47"/>
      <c r="I1073" s="47"/>
      <c r="J1073" s="47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</row>
    <row r="1074" spans="8:21" x14ac:dyDescent="0.3"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</row>
    <row r="1075" spans="8:21" x14ac:dyDescent="0.3"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</row>
    <row r="1076" spans="8:21" x14ac:dyDescent="0.3">
      <c r="H1076" s="47"/>
      <c r="I1076" s="47"/>
      <c r="J1076" s="47"/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</row>
    <row r="1077" spans="8:21" x14ac:dyDescent="0.3">
      <c r="H1077" s="47"/>
      <c r="I1077" s="47"/>
      <c r="J1077" s="47"/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</row>
    <row r="1078" spans="8:21" x14ac:dyDescent="0.3"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</row>
    <row r="1079" spans="8:21" x14ac:dyDescent="0.3"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</row>
    <row r="1080" spans="8:21" x14ac:dyDescent="0.3">
      <c r="H1080" s="47"/>
      <c r="I1080" s="47"/>
      <c r="J1080" s="47"/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</row>
    <row r="1081" spans="8:21" x14ac:dyDescent="0.3">
      <c r="H1081" s="47"/>
      <c r="I1081" s="47"/>
      <c r="J1081" s="47"/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</row>
    <row r="1082" spans="8:21" x14ac:dyDescent="0.3"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</row>
    <row r="1083" spans="8:21" x14ac:dyDescent="0.3"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</row>
    <row r="1084" spans="8:21" x14ac:dyDescent="0.3">
      <c r="H1084" s="47"/>
      <c r="I1084" s="47"/>
      <c r="J1084" s="47"/>
      <c r="K1084" s="47"/>
      <c r="L1084" s="47"/>
      <c r="M1084" s="47"/>
      <c r="N1084" s="47"/>
      <c r="O1084" s="47"/>
      <c r="P1084" s="47"/>
      <c r="Q1084" s="47"/>
      <c r="R1084" s="47"/>
      <c r="S1084" s="47"/>
      <c r="T1084" s="47"/>
      <c r="U1084" s="47"/>
    </row>
    <row r="1085" spans="8:21" x14ac:dyDescent="0.3">
      <c r="H1085" s="47"/>
      <c r="I1085" s="47"/>
      <c r="J1085" s="47"/>
      <c r="K1085" s="47"/>
      <c r="L1085" s="47"/>
      <c r="M1085" s="47"/>
      <c r="N1085" s="47"/>
      <c r="O1085" s="47"/>
      <c r="P1085" s="47"/>
      <c r="Q1085" s="47"/>
      <c r="R1085" s="47"/>
      <c r="S1085" s="47"/>
      <c r="T1085" s="47"/>
      <c r="U1085" s="47"/>
    </row>
    <row r="1086" spans="8:21" x14ac:dyDescent="0.3"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  <c r="S1086" s="47"/>
      <c r="T1086" s="47"/>
      <c r="U1086" s="47"/>
    </row>
    <row r="1087" spans="8:21" x14ac:dyDescent="0.3"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  <c r="S1087" s="47"/>
      <c r="T1087" s="47"/>
      <c r="U1087" s="47"/>
    </row>
    <row r="1088" spans="8:21" x14ac:dyDescent="0.3">
      <c r="H1088" s="47"/>
      <c r="I1088" s="47"/>
      <c r="J1088" s="47"/>
      <c r="K1088" s="47"/>
      <c r="L1088" s="47"/>
      <c r="M1088" s="47"/>
      <c r="N1088" s="47"/>
      <c r="O1088" s="47"/>
      <c r="P1088" s="47"/>
      <c r="Q1088" s="47"/>
      <c r="R1088" s="47"/>
      <c r="S1088" s="47"/>
      <c r="T1088" s="47"/>
      <c r="U1088" s="47"/>
    </row>
    <row r="1089" spans="8:21" x14ac:dyDescent="0.3">
      <c r="H1089" s="47"/>
      <c r="I1089" s="47"/>
      <c r="J1089" s="47"/>
      <c r="K1089" s="47"/>
      <c r="L1089" s="47"/>
      <c r="M1089" s="47"/>
      <c r="N1089" s="47"/>
      <c r="O1089" s="47"/>
      <c r="P1089" s="47"/>
      <c r="Q1089" s="47"/>
      <c r="R1089" s="47"/>
      <c r="S1089" s="47"/>
      <c r="T1089" s="47"/>
      <c r="U1089" s="47"/>
    </row>
    <row r="1090" spans="8:21" x14ac:dyDescent="0.3"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  <c r="S1090" s="47"/>
      <c r="T1090" s="47"/>
      <c r="U1090" s="47"/>
    </row>
    <row r="1091" spans="8:21" x14ac:dyDescent="0.3"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  <c r="S1091" s="47"/>
      <c r="T1091" s="47"/>
      <c r="U1091" s="47"/>
    </row>
    <row r="1092" spans="8:21" x14ac:dyDescent="0.3">
      <c r="H1092" s="47"/>
      <c r="I1092" s="47"/>
      <c r="J1092" s="47"/>
      <c r="K1092" s="47"/>
      <c r="L1092" s="47"/>
      <c r="M1092" s="47"/>
      <c r="N1092" s="47"/>
      <c r="O1092" s="47"/>
      <c r="P1092" s="47"/>
      <c r="Q1092" s="47"/>
      <c r="R1092" s="47"/>
      <c r="S1092" s="47"/>
      <c r="T1092" s="47"/>
      <c r="U1092" s="47"/>
    </row>
    <row r="1093" spans="8:21" x14ac:dyDescent="0.3">
      <c r="H1093" s="47"/>
      <c r="I1093" s="47"/>
      <c r="J1093" s="47"/>
      <c r="K1093" s="47"/>
      <c r="L1093" s="47"/>
      <c r="M1093" s="47"/>
      <c r="N1093" s="47"/>
      <c r="O1093" s="47"/>
      <c r="P1093" s="47"/>
      <c r="Q1093" s="47"/>
      <c r="R1093" s="47"/>
      <c r="S1093" s="47"/>
      <c r="T1093" s="47"/>
      <c r="U1093" s="47"/>
    </row>
    <row r="1094" spans="8:21" x14ac:dyDescent="0.3"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  <c r="S1094" s="47"/>
      <c r="T1094" s="47"/>
      <c r="U1094" s="47"/>
    </row>
    <row r="1095" spans="8:21" x14ac:dyDescent="0.3"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  <c r="S1095" s="47"/>
      <c r="T1095" s="47"/>
      <c r="U1095" s="47"/>
    </row>
    <row r="1096" spans="8:21" x14ac:dyDescent="0.3">
      <c r="H1096" s="47"/>
      <c r="I1096" s="47"/>
      <c r="J1096" s="47"/>
      <c r="K1096" s="47"/>
      <c r="L1096" s="47"/>
      <c r="M1096" s="47"/>
      <c r="N1096" s="47"/>
      <c r="O1096" s="47"/>
      <c r="P1096" s="47"/>
      <c r="Q1096" s="47"/>
      <c r="R1096" s="47"/>
      <c r="S1096" s="47"/>
      <c r="T1096" s="47"/>
      <c r="U1096" s="47"/>
    </row>
    <row r="1097" spans="8:21" x14ac:dyDescent="0.3">
      <c r="H1097" s="47"/>
      <c r="I1097" s="47"/>
      <c r="J1097" s="47"/>
      <c r="K1097" s="47"/>
      <c r="L1097" s="47"/>
      <c r="M1097" s="47"/>
      <c r="N1097" s="47"/>
      <c r="O1097" s="47"/>
      <c r="P1097" s="47"/>
      <c r="Q1097" s="47"/>
      <c r="R1097" s="47"/>
      <c r="S1097" s="47"/>
      <c r="T1097" s="47"/>
      <c r="U1097" s="47"/>
    </row>
    <row r="1098" spans="8:21" x14ac:dyDescent="0.3"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  <c r="S1098" s="47"/>
      <c r="T1098" s="47"/>
      <c r="U1098" s="47"/>
    </row>
    <row r="1099" spans="8:21" x14ac:dyDescent="0.3"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  <c r="S1099" s="47"/>
      <c r="T1099" s="47"/>
      <c r="U1099" s="47"/>
    </row>
    <row r="1100" spans="8:21" x14ac:dyDescent="0.3">
      <c r="H1100" s="47"/>
      <c r="I1100" s="47"/>
      <c r="J1100" s="47"/>
      <c r="K1100" s="47"/>
      <c r="L1100" s="47"/>
      <c r="M1100" s="47"/>
      <c r="N1100" s="47"/>
      <c r="O1100" s="47"/>
      <c r="P1100" s="47"/>
      <c r="Q1100" s="47"/>
      <c r="R1100" s="47"/>
      <c r="S1100" s="47"/>
      <c r="T1100" s="47"/>
      <c r="U1100" s="47"/>
    </row>
    <row r="1101" spans="8:21" x14ac:dyDescent="0.3">
      <c r="H1101" s="47"/>
      <c r="I1101" s="47"/>
      <c r="J1101" s="47"/>
      <c r="K1101" s="47"/>
      <c r="L1101" s="47"/>
      <c r="M1101" s="47"/>
      <c r="N1101" s="47"/>
      <c r="O1101" s="47"/>
      <c r="P1101" s="47"/>
      <c r="Q1101" s="47"/>
      <c r="R1101" s="47"/>
      <c r="S1101" s="47"/>
      <c r="T1101" s="47"/>
      <c r="U1101" s="47"/>
    </row>
    <row r="1102" spans="8:21" x14ac:dyDescent="0.3"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  <c r="S1102" s="47"/>
      <c r="T1102" s="47"/>
      <c r="U1102" s="47"/>
    </row>
    <row r="1103" spans="8:21" x14ac:dyDescent="0.3"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  <c r="S1103" s="47"/>
      <c r="T1103" s="47"/>
      <c r="U1103" s="47"/>
    </row>
    <row r="1104" spans="8:21" x14ac:dyDescent="0.3">
      <c r="H1104" s="47"/>
      <c r="I1104" s="47"/>
      <c r="J1104" s="47"/>
      <c r="K1104" s="47"/>
      <c r="L1104" s="47"/>
      <c r="M1104" s="47"/>
      <c r="N1104" s="47"/>
      <c r="O1104" s="47"/>
      <c r="P1104" s="47"/>
      <c r="Q1104" s="47"/>
      <c r="R1104" s="47"/>
      <c r="S1104" s="47"/>
      <c r="T1104" s="47"/>
      <c r="U1104" s="47"/>
    </row>
    <row r="1105" spans="8:21" x14ac:dyDescent="0.3">
      <c r="H1105" s="47"/>
      <c r="I1105" s="47"/>
      <c r="J1105" s="47"/>
      <c r="K1105" s="47"/>
      <c r="L1105" s="47"/>
      <c r="M1105" s="47"/>
      <c r="N1105" s="47"/>
      <c r="O1105" s="47"/>
      <c r="P1105" s="47"/>
      <c r="Q1105" s="47"/>
      <c r="R1105" s="47"/>
      <c r="S1105" s="47"/>
      <c r="T1105" s="47"/>
      <c r="U1105" s="47"/>
    </row>
    <row r="1106" spans="8:21" x14ac:dyDescent="0.3"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  <c r="S1106" s="47"/>
      <c r="T1106" s="47"/>
      <c r="U1106" s="47"/>
    </row>
    <row r="1107" spans="8:21" x14ac:dyDescent="0.3"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  <c r="S1107" s="47"/>
      <c r="T1107" s="47"/>
      <c r="U1107" s="47"/>
    </row>
    <row r="1108" spans="8:21" x14ac:dyDescent="0.3">
      <c r="H1108" s="47"/>
      <c r="I1108" s="47"/>
      <c r="J1108" s="47"/>
      <c r="K1108" s="47"/>
      <c r="L1108" s="47"/>
      <c r="M1108" s="47"/>
      <c r="N1108" s="47"/>
      <c r="O1108" s="47"/>
      <c r="P1108" s="47"/>
      <c r="Q1108" s="47"/>
      <c r="R1108" s="47"/>
      <c r="S1108" s="47"/>
      <c r="T1108" s="47"/>
      <c r="U1108" s="47"/>
    </row>
    <row r="1109" spans="8:21" x14ac:dyDescent="0.3">
      <c r="H1109" s="47"/>
      <c r="I1109" s="47"/>
      <c r="J1109" s="47"/>
      <c r="K1109" s="47"/>
      <c r="L1109" s="47"/>
      <c r="M1109" s="47"/>
      <c r="N1109" s="47"/>
      <c r="O1109" s="47"/>
      <c r="P1109" s="47"/>
      <c r="Q1109" s="47"/>
      <c r="R1109" s="47"/>
      <c r="S1109" s="47"/>
      <c r="T1109" s="47"/>
      <c r="U1109" s="47"/>
    </row>
    <row r="1110" spans="8:21" x14ac:dyDescent="0.3"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  <c r="S1110" s="47"/>
      <c r="T1110" s="47"/>
      <c r="U1110" s="47"/>
    </row>
    <row r="1111" spans="8:21" x14ac:dyDescent="0.3"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  <c r="S1111" s="47"/>
      <c r="T1111" s="47"/>
      <c r="U1111" s="47"/>
    </row>
    <row r="1112" spans="8:21" x14ac:dyDescent="0.3">
      <c r="H1112" s="47"/>
      <c r="I1112" s="47"/>
      <c r="J1112" s="47"/>
      <c r="K1112" s="47"/>
      <c r="L1112" s="47"/>
      <c r="M1112" s="47"/>
      <c r="N1112" s="47"/>
      <c r="O1112" s="47"/>
      <c r="P1112" s="47"/>
      <c r="Q1112" s="47"/>
      <c r="R1112" s="47"/>
      <c r="S1112" s="47"/>
      <c r="T1112" s="47"/>
      <c r="U1112" s="47"/>
    </row>
    <row r="1113" spans="8:21" x14ac:dyDescent="0.3">
      <c r="H1113" s="47"/>
      <c r="I1113" s="47"/>
      <c r="J1113" s="47"/>
      <c r="K1113" s="47"/>
      <c r="L1113" s="47"/>
      <c r="M1113" s="47"/>
      <c r="N1113" s="47"/>
      <c r="O1113" s="47"/>
      <c r="P1113" s="47"/>
      <c r="Q1113" s="47"/>
      <c r="R1113" s="47"/>
      <c r="S1113" s="47"/>
      <c r="T1113" s="47"/>
      <c r="U1113" s="47"/>
    </row>
    <row r="1114" spans="8:21" x14ac:dyDescent="0.3"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  <c r="S1114" s="47"/>
      <c r="T1114" s="47"/>
      <c r="U1114" s="47"/>
    </row>
    <row r="1115" spans="8:21" x14ac:dyDescent="0.3"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  <c r="S1115" s="47"/>
      <c r="T1115" s="47"/>
      <c r="U1115" s="47"/>
    </row>
    <row r="1116" spans="8:21" x14ac:dyDescent="0.3">
      <c r="H1116" s="47"/>
      <c r="I1116" s="47"/>
      <c r="J1116" s="47"/>
      <c r="K1116" s="47"/>
      <c r="L1116" s="47"/>
      <c r="M1116" s="47"/>
      <c r="N1116" s="47"/>
      <c r="O1116" s="47"/>
      <c r="P1116" s="47"/>
      <c r="Q1116" s="47"/>
      <c r="R1116" s="47"/>
      <c r="S1116" s="47"/>
      <c r="T1116" s="47"/>
      <c r="U1116" s="47"/>
    </row>
    <row r="1117" spans="8:21" x14ac:dyDescent="0.3">
      <c r="H1117" s="47"/>
      <c r="I1117" s="47"/>
      <c r="J1117" s="47"/>
      <c r="K1117" s="47"/>
      <c r="L1117" s="47"/>
      <c r="M1117" s="47"/>
      <c r="N1117" s="47"/>
      <c r="O1117" s="47"/>
      <c r="P1117" s="47"/>
      <c r="Q1117" s="47"/>
      <c r="R1117" s="47"/>
      <c r="S1117" s="47"/>
      <c r="T1117" s="47"/>
      <c r="U1117" s="47"/>
    </row>
    <row r="1118" spans="8:21" x14ac:dyDescent="0.3"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  <c r="S1118" s="47"/>
      <c r="T1118" s="47"/>
      <c r="U1118" s="47"/>
    </row>
    <row r="1119" spans="8:21" x14ac:dyDescent="0.3"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  <c r="S1119" s="47"/>
      <c r="T1119" s="47"/>
      <c r="U1119" s="47"/>
    </row>
    <row r="1120" spans="8:21" x14ac:dyDescent="0.3">
      <c r="H1120" s="47"/>
      <c r="I1120" s="47"/>
      <c r="J1120" s="47"/>
      <c r="K1120" s="47"/>
      <c r="L1120" s="47"/>
      <c r="M1120" s="47"/>
      <c r="N1120" s="47"/>
      <c r="O1120" s="47"/>
      <c r="P1120" s="47"/>
      <c r="Q1120" s="47"/>
      <c r="R1120" s="47"/>
      <c r="S1120" s="47"/>
      <c r="T1120" s="47"/>
      <c r="U1120" s="47"/>
    </row>
    <row r="1121" spans="8:21" x14ac:dyDescent="0.3">
      <c r="H1121" s="47"/>
      <c r="I1121" s="47"/>
      <c r="J1121" s="47"/>
      <c r="K1121" s="47"/>
      <c r="L1121" s="47"/>
      <c r="M1121" s="47"/>
      <c r="N1121" s="47"/>
      <c r="O1121" s="47"/>
      <c r="P1121" s="47"/>
      <c r="Q1121" s="47"/>
      <c r="R1121" s="47"/>
      <c r="S1121" s="47"/>
      <c r="T1121" s="47"/>
      <c r="U1121" s="47"/>
    </row>
    <row r="1122" spans="8:21" x14ac:dyDescent="0.3"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  <c r="S1122" s="47"/>
      <c r="T1122" s="47"/>
      <c r="U1122" s="47"/>
    </row>
    <row r="1123" spans="8:21" x14ac:dyDescent="0.3"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  <c r="S1123" s="47"/>
      <c r="T1123" s="47"/>
      <c r="U1123" s="47"/>
    </row>
    <row r="1124" spans="8:21" x14ac:dyDescent="0.3">
      <c r="H1124" s="47"/>
      <c r="I1124" s="47"/>
      <c r="J1124" s="47"/>
      <c r="K1124" s="47"/>
      <c r="L1124" s="47"/>
      <c r="M1124" s="47"/>
      <c r="N1124" s="47"/>
      <c r="O1124" s="47"/>
      <c r="P1124" s="47"/>
      <c r="Q1124" s="47"/>
      <c r="R1124" s="47"/>
      <c r="S1124" s="47"/>
      <c r="T1124" s="47"/>
      <c r="U1124" s="47"/>
    </row>
    <row r="1125" spans="8:21" x14ac:dyDescent="0.3">
      <c r="H1125" s="47"/>
      <c r="I1125" s="47"/>
      <c r="J1125" s="47"/>
      <c r="K1125" s="47"/>
      <c r="L1125" s="47"/>
      <c r="M1125" s="47"/>
      <c r="N1125" s="47"/>
      <c r="O1125" s="47"/>
      <c r="P1125" s="47"/>
      <c r="Q1125" s="47"/>
      <c r="R1125" s="47"/>
      <c r="S1125" s="47"/>
      <c r="T1125" s="47"/>
      <c r="U1125" s="47"/>
    </row>
    <row r="1126" spans="8:21" x14ac:dyDescent="0.3"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  <c r="S1126" s="47"/>
      <c r="T1126" s="47"/>
      <c r="U1126" s="47"/>
    </row>
    <row r="1127" spans="8:21" x14ac:dyDescent="0.3"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  <c r="S1127" s="47"/>
      <c r="T1127" s="47"/>
      <c r="U1127" s="47"/>
    </row>
    <row r="1128" spans="8:21" x14ac:dyDescent="0.3">
      <c r="H1128" s="47"/>
      <c r="I1128" s="47"/>
      <c r="J1128" s="47"/>
      <c r="K1128" s="47"/>
      <c r="L1128" s="47"/>
      <c r="M1128" s="47"/>
      <c r="N1128" s="47"/>
      <c r="O1128" s="47"/>
      <c r="P1128" s="47"/>
      <c r="Q1128" s="47"/>
      <c r="R1128" s="47"/>
      <c r="S1128" s="47"/>
      <c r="T1128" s="47"/>
      <c r="U1128" s="47"/>
    </row>
    <row r="1129" spans="8:21" x14ac:dyDescent="0.3">
      <c r="H1129" s="47"/>
      <c r="I1129" s="47"/>
      <c r="J1129" s="47"/>
      <c r="K1129" s="47"/>
      <c r="L1129" s="47"/>
      <c r="M1129" s="47"/>
      <c r="N1129" s="47"/>
      <c r="O1129" s="47"/>
      <c r="P1129" s="47"/>
      <c r="Q1129" s="47"/>
      <c r="R1129" s="47"/>
      <c r="S1129" s="47"/>
      <c r="T1129" s="47"/>
      <c r="U1129" s="47"/>
    </row>
    <row r="1130" spans="8:21" x14ac:dyDescent="0.3"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  <c r="S1130" s="47"/>
      <c r="T1130" s="47"/>
      <c r="U1130" s="47"/>
    </row>
    <row r="1131" spans="8:21" x14ac:dyDescent="0.3"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  <c r="S1131" s="47"/>
      <c r="T1131" s="47"/>
      <c r="U1131" s="47"/>
    </row>
    <row r="1132" spans="8:21" x14ac:dyDescent="0.3">
      <c r="H1132" s="47"/>
      <c r="I1132" s="47"/>
      <c r="J1132" s="47"/>
      <c r="K1132" s="47"/>
      <c r="L1132" s="47"/>
      <c r="M1132" s="47"/>
      <c r="N1132" s="47"/>
      <c r="O1132" s="47"/>
      <c r="P1132" s="47"/>
      <c r="Q1132" s="47"/>
      <c r="R1132" s="47"/>
      <c r="S1132" s="47"/>
      <c r="T1132" s="47"/>
      <c r="U1132" s="47"/>
    </row>
    <row r="1133" spans="8:21" x14ac:dyDescent="0.3">
      <c r="H1133" s="47"/>
      <c r="I1133" s="47"/>
      <c r="J1133" s="47"/>
      <c r="K1133" s="47"/>
      <c r="L1133" s="47"/>
      <c r="M1133" s="47"/>
      <c r="N1133" s="47"/>
      <c r="O1133" s="47"/>
      <c r="P1133" s="47"/>
      <c r="Q1133" s="47"/>
      <c r="R1133" s="47"/>
      <c r="S1133" s="47"/>
      <c r="T1133" s="47"/>
      <c r="U1133" s="47"/>
    </row>
    <row r="1134" spans="8:21" x14ac:dyDescent="0.3"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  <c r="S1134" s="47"/>
      <c r="T1134" s="47"/>
      <c r="U1134" s="47"/>
    </row>
    <row r="1135" spans="8:21" x14ac:dyDescent="0.3"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  <c r="S1135" s="47"/>
      <c r="T1135" s="47"/>
      <c r="U1135" s="47"/>
    </row>
    <row r="1136" spans="8:21" x14ac:dyDescent="0.3">
      <c r="H1136" s="47"/>
      <c r="I1136" s="47"/>
      <c r="J1136" s="47"/>
      <c r="K1136" s="47"/>
      <c r="L1136" s="47"/>
      <c r="M1136" s="47"/>
      <c r="N1136" s="47"/>
      <c r="O1136" s="47"/>
      <c r="P1136" s="47"/>
      <c r="Q1136" s="47"/>
      <c r="R1136" s="47"/>
      <c r="S1136" s="47"/>
      <c r="T1136" s="47"/>
      <c r="U1136" s="47"/>
    </row>
    <row r="1137" spans="8:21" x14ac:dyDescent="0.3">
      <c r="H1137" s="47"/>
      <c r="I1137" s="47"/>
      <c r="J1137" s="47"/>
      <c r="K1137" s="47"/>
      <c r="L1137" s="47"/>
      <c r="M1137" s="47"/>
      <c r="N1137" s="47"/>
      <c r="O1137" s="47"/>
      <c r="P1137" s="47"/>
      <c r="Q1137" s="47"/>
      <c r="R1137" s="47"/>
      <c r="S1137" s="47"/>
      <c r="T1137" s="47"/>
      <c r="U1137" s="47"/>
    </row>
    <row r="1138" spans="8:21" x14ac:dyDescent="0.3"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  <c r="S1138" s="47"/>
      <c r="T1138" s="47"/>
      <c r="U1138" s="47"/>
    </row>
    <row r="1139" spans="8:21" x14ac:dyDescent="0.3"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  <c r="S1139" s="47"/>
      <c r="T1139" s="47"/>
      <c r="U1139" s="47"/>
    </row>
    <row r="1140" spans="8:21" x14ac:dyDescent="0.3">
      <c r="H1140" s="47"/>
      <c r="I1140" s="47"/>
      <c r="J1140" s="47"/>
      <c r="K1140" s="47"/>
      <c r="L1140" s="47"/>
      <c r="M1140" s="47"/>
      <c r="N1140" s="47"/>
      <c r="O1140" s="47"/>
      <c r="P1140" s="47"/>
      <c r="Q1140" s="47"/>
      <c r="R1140" s="47"/>
      <c r="S1140" s="47"/>
      <c r="T1140" s="47"/>
      <c r="U1140" s="47"/>
    </row>
    <row r="1141" spans="8:21" x14ac:dyDescent="0.3">
      <c r="H1141" s="47"/>
      <c r="I1141" s="47"/>
      <c r="J1141" s="47"/>
      <c r="K1141" s="47"/>
      <c r="L1141" s="47"/>
      <c r="M1141" s="47"/>
      <c r="N1141" s="47"/>
      <c r="O1141" s="47"/>
      <c r="P1141" s="47"/>
      <c r="Q1141" s="47"/>
      <c r="R1141" s="47"/>
      <c r="S1141" s="47"/>
      <c r="T1141" s="47"/>
      <c r="U1141" s="47"/>
    </row>
    <row r="1142" spans="8:21" x14ac:dyDescent="0.3"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  <c r="S1142" s="47"/>
      <c r="T1142" s="47"/>
      <c r="U1142" s="47"/>
    </row>
    <row r="1143" spans="8:21" x14ac:dyDescent="0.3"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  <c r="S1143" s="47"/>
      <c r="T1143" s="47"/>
      <c r="U1143" s="47"/>
    </row>
    <row r="1144" spans="8:21" x14ac:dyDescent="0.3">
      <c r="H1144" s="47"/>
      <c r="I1144" s="47"/>
      <c r="J1144" s="47"/>
      <c r="K1144" s="47"/>
      <c r="L1144" s="47"/>
      <c r="M1144" s="47"/>
      <c r="N1144" s="47"/>
      <c r="O1144" s="47"/>
      <c r="P1144" s="47"/>
      <c r="Q1144" s="47"/>
      <c r="R1144" s="47"/>
      <c r="S1144" s="47"/>
      <c r="T1144" s="47"/>
      <c r="U1144" s="47"/>
    </row>
    <row r="1145" spans="8:21" x14ac:dyDescent="0.3">
      <c r="H1145" s="47"/>
      <c r="I1145" s="47"/>
      <c r="J1145" s="47"/>
      <c r="K1145" s="47"/>
      <c r="L1145" s="47"/>
      <c r="M1145" s="47"/>
      <c r="N1145" s="47"/>
      <c r="O1145" s="47"/>
      <c r="P1145" s="47"/>
      <c r="Q1145" s="47"/>
      <c r="R1145" s="47"/>
      <c r="S1145" s="47"/>
      <c r="T1145" s="47"/>
      <c r="U1145" s="47"/>
    </row>
    <row r="1146" spans="8:21" x14ac:dyDescent="0.3"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  <c r="S1146" s="47"/>
      <c r="T1146" s="47"/>
      <c r="U1146" s="47"/>
    </row>
    <row r="1147" spans="8:21" x14ac:dyDescent="0.3"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  <c r="S1147" s="47"/>
      <c r="T1147" s="47"/>
      <c r="U1147" s="47"/>
    </row>
    <row r="1148" spans="8:21" x14ac:dyDescent="0.3">
      <c r="H1148" s="47"/>
      <c r="I1148" s="47"/>
      <c r="J1148" s="47"/>
      <c r="K1148" s="47"/>
      <c r="L1148" s="47"/>
      <c r="M1148" s="47"/>
      <c r="N1148" s="47"/>
      <c r="O1148" s="47"/>
      <c r="P1148" s="47"/>
      <c r="Q1148" s="47"/>
      <c r="R1148" s="47"/>
      <c r="S1148" s="47"/>
      <c r="T1148" s="47"/>
      <c r="U1148" s="47"/>
    </row>
    <row r="1149" spans="8:21" x14ac:dyDescent="0.3">
      <c r="H1149" s="47"/>
      <c r="I1149" s="47"/>
      <c r="J1149" s="47"/>
      <c r="K1149" s="47"/>
      <c r="L1149" s="47"/>
      <c r="M1149" s="47"/>
      <c r="N1149" s="47"/>
      <c r="O1149" s="47"/>
      <c r="P1149" s="47"/>
      <c r="Q1149" s="47"/>
      <c r="R1149" s="47"/>
      <c r="S1149" s="47"/>
      <c r="T1149" s="47"/>
      <c r="U1149" s="47"/>
    </row>
    <row r="1150" spans="8:21" x14ac:dyDescent="0.3"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  <c r="S1150" s="47"/>
      <c r="T1150" s="47"/>
      <c r="U1150" s="47"/>
    </row>
    <row r="1151" spans="8:21" x14ac:dyDescent="0.3"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  <c r="S1151" s="47"/>
      <c r="T1151" s="47"/>
      <c r="U1151" s="47"/>
    </row>
    <row r="1152" spans="8:21" x14ac:dyDescent="0.3">
      <c r="H1152" s="47"/>
      <c r="I1152" s="47"/>
      <c r="J1152" s="47"/>
      <c r="K1152" s="47"/>
      <c r="L1152" s="47"/>
      <c r="M1152" s="47"/>
      <c r="N1152" s="47"/>
      <c r="O1152" s="47"/>
      <c r="P1152" s="47"/>
      <c r="Q1152" s="47"/>
      <c r="R1152" s="47"/>
      <c r="S1152" s="47"/>
      <c r="T1152" s="47"/>
      <c r="U1152" s="47"/>
    </row>
    <row r="1153" spans="8:21" x14ac:dyDescent="0.3">
      <c r="H1153" s="47"/>
      <c r="I1153" s="47"/>
      <c r="J1153" s="47"/>
      <c r="K1153" s="47"/>
      <c r="L1153" s="47"/>
      <c r="M1153" s="47"/>
      <c r="N1153" s="47"/>
      <c r="O1153" s="47"/>
      <c r="P1153" s="47"/>
      <c r="Q1153" s="47"/>
      <c r="R1153" s="47"/>
      <c r="S1153" s="47"/>
      <c r="T1153" s="47"/>
      <c r="U1153" s="47"/>
    </row>
    <row r="1154" spans="8:21" x14ac:dyDescent="0.3"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  <c r="S1154" s="47"/>
      <c r="T1154" s="47"/>
      <c r="U1154" s="47"/>
    </row>
    <row r="1155" spans="8:21" x14ac:dyDescent="0.3"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  <c r="S1155" s="47"/>
      <c r="T1155" s="47"/>
      <c r="U1155" s="47"/>
    </row>
    <row r="1156" spans="8:21" x14ac:dyDescent="0.3">
      <c r="H1156" s="47"/>
      <c r="I1156" s="47"/>
      <c r="J1156" s="47"/>
      <c r="K1156" s="47"/>
      <c r="L1156" s="47"/>
      <c r="M1156" s="47"/>
      <c r="N1156" s="47"/>
      <c r="O1156" s="47"/>
      <c r="P1156" s="47"/>
      <c r="Q1156" s="47"/>
      <c r="R1156" s="47"/>
      <c r="S1156" s="47"/>
      <c r="T1156" s="47"/>
      <c r="U1156" s="47"/>
    </row>
    <row r="1157" spans="8:21" x14ac:dyDescent="0.3">
      <c r="H1157" s="47"/>
      <c r="I1157" s="47"/>
      <c r="J1157" s="47"/>
      <c r="K1157" s="47"/>
      <c r="L1157" s="47"/>
      <c r="M1157" s="47"/>
      <c r="N1157" s="47"/>
      <c r="O1157" s="47"/>
      <c r="P1157" s="47"/>
      <c r="Q1157" s="47"/>
      <c r="R1157" s="47"/>
      <c r="S1157" s="47"/>
      <c r="T1157" s="47"/>
      <c r="U1157" s="47"/>
    </row>
    <row r="1158" spans="8:21" x14ac:dyDescent="0.3"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  <c r="S1158" s="47"/>
      <c r="T1158" s="47"/>
      <c r="U1158" s="47"/>
    </row>
    <row r="1159" spans="8:21" x14ac:dyDescent="0.3"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  <c r="S1159" s="47"/>
      <c r="T1159" s="47"/>
      <c r="U1159" s="47"/>
    </row>
    <row r="1160" spans="8:21" x14ac:dyDescent="0.3">
      <c r="H1160" s="47"/>
      <c r="I1160" s="47"/>
      <c r="J1160" s="47"/>
      <c r="K1160" s="47"/>
      <c r="L1160" s="47"/>
      <c r="M1160" s="47"/>
      <c r="N1160" s="47"/>
      <c r="O1160" s="47"/>
      <c r="P1160" s="47"/>
      <c r="Q1160" s="47"/>
      <c r="R1160" s="47"/>
      <c r="S1160" s="47"/>
      <c r="T1160" s="47"/>
      <c r="U1160" s="47"/>
    </row>
    <row r="1161" spans="8:21" x14ac:dyDescent="0.3">
      <c r="H1161" s="47"/>
      <c r="I1161" s="47"/>
      <c r="J1161" s="47"/>
      <c r="K1161" s="47"/>
      <c r="L1161" s="47"/>
      <c r="M1161" s="47"/>
      <c r="N1161" s="47"/>
      <c r="O1161" s="47"/>
      <c r="P1161" s="47"/>
      <c r="Q1161" s="47"/>
      <c r="R1161" s="47"/>
      <c r="S1161" s="47"/>
      <c r="T1161" s="47"/>
      <c r="U1161" s="47"/>
    </row>
    <row r="1162" spans="8:21" x14ac:dyDescent="0.3"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  <c r="S1162" s="47"/>
      <c r="T1162" s="47"/>
      <c r="U1162" s="47"/>
    </row>
    <row r="1163" spans="8:21" x14ac:dyDescent="0.3"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  <c r="S1163" s="47"/>
      <c r="T1163" s="47"/>
      <c r="U1163" s="47"/>
    </row>
    <row r="1164" spans="8:21" x14ac:dyDescent="0.3">
      <c r="H1164" s="47"/>
      <c r="I1164" s="47"/>
      <c r="J1164" s="47"/>
      <c r="K1164" s="47"/>
      <c r="L1164" s="47"/>
      <c r="M1164" s="47"/>
      <c r="N1164" s="47"/>
      <c r="O1164" s="47"/>
      <c r="P1164" s="47"/>
      <c r="Q1164" s="47"/>
      <c r="R1164" s="47"/>
      <c r="S1164" s="47"/>
      <c r="T1164" s="47"/>
      <c r="U1164" s="47"/>
    </row>
    <row r="1165" spans="8:21" x14ac:dyDescent="0.3">
      <c r="H1165" s="47"/>
      <c r="I1165" s="47"/>
      <c r="J1165" s="47"/>
      <c r="K1165" s="47"/>
      <c r="L1165" s="47"/>
      <c r="M1165" s="47"/>
      <c r="N1165" s="47"/>
      <c r="O1165" s="47"/>
      <c r="P1165" s="47"/>
      <c r="Q1165" s="47"/>
      <c r="R1165" s="47"/>
      <c r="S1165" s="47"/>
      <c r="T1165" s="47"/>
      <c r="U1165" s="47"/>
    </row>
    <row r="1166" spans="8:21" x14ac:dyDescent="0.3"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  <c r="S1166" s="47"/>
      <c r="T1166" s="47"/>
      <c r="U1166" s="47"/>
    </row>
    <row r="1167" spans="8:21" x14ac:dyDescent="0.3"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  <c r="S1167" s="47"/>
      <c r="T1167" s="47"/>
      <c r="U1167" s="47"/>
    </row>
    <row r="1168" spans="8:21" x14ac:dyDescent="0.3">
      <c r="H1168" s="47"/>
      <c r="I1168" s="47"/>
      <c r="J1168" s="47"/>
      <c r="K1168" s="47"/>
      <c r="L1168" s="47"/>
      <c r="M1168" s="47"/>
      <c r="N1168" s="47"/>
      <c r="O1168" s="47"/>
      <c r="P1168" s="47"/>
      <c r="Q1168" s="47"/>
      <c r="R1168" s="47"/>
      <c r="S1168" s="47"/>
      <c r="T1168" s="47"/>
      <c r="U1168" s="47"/>
    </row>
    <row r="1169" spans="8:21" x14ac:dyDescent="0.3">
      <c r="H1169" s="47"/>
      <c r="I1169" s="47"/>
      <c r="J1169" s="47"/>
      <c r="K1169" s="47"/>
      <c r="L1169" s="47"/>
      <c r="M1169" s="47"/>
      <c r="N1169" s="47"/>
      <c r="O1169" s="47"/>
      <c r="P1169" s="47"/>
      <c r="Q1169" s="47"/>
      <c r="R1169" s="47"/>
      <c r="S1169" s="47"/>
      <c r="T1169" s="47"/>
      <c r="U1169" s="47"/>
    </row>
    <row r="1170" spans="8:21" x14ac:dyDescent="0.3"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  <c r="S1170" s="47"/>
      <c r="T1170" s="47"/>
      <c r="U1170" s="47"/>
    </row>
    <row r="1171" spans="8:21" x14ac:dyDescent="0.3"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  <c r="S1171" s="47"/>
      <c r="T1171" s="47"/>
      <c r="U1171" s="47"/>
    </row>
    <row r="1172" spans="8:21" x14ac:dyDescent="0.3">
      <c r="H1172" s="47"/>
      <c r="I1172" s="47"/>
      <c r="J1172" s="47"/>
      <c r="K1172" s="47"/>
      <c r="L1172" s="47"/>
      <c r="M1172" s="47"/>
      <c r="N1172" s="47"/>
      <c r="O1172" s="47"/>
      <c r="P1172" s="47"/>
      <c r="Q1172" s="47"/>
      <c r="R1172" s="47"/>
      <c r="S1172" s="47"/>
      <c r="T1172" s="47"/>
      <c r="U1172" s="47"/>
    </row>
    <row r="1173" spans="8:21" x14ac:dyDescent="0.3">
      <c r="H1173" s="47"/>
      <c r="I1173" s="47"/>
      <c r="J1173" s="47"/>
      <c r="K1173" s="47"/>
      <c r="L1173" s="47"/>
      <c r="M1173" s="47"/>
      <c r="N1173" s="47"/>
      <c r="O1173" s="47"/>
      <c r="P1173" s="47"/>
      <c r="Q1173" s="47"/>
      <c r="R1173" s="47"/>
      <c r="S1173" s="47"/>
      <c r="T1173" s="47"/>
      <c r="U1173" s="47"/>
    </row>
    <row r="1174" spans="8:21" x14ac:dyDescent="0.3"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  <c r="S1174" s="47"/>
      <c r="T1174" s="47"/>
      <c r="U1174" s="47"/>
    </row>
    <row r="1175" spans="8:21" x14ac:dyDescent="0.3"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  <c r="S1175" s="47"/>
      <c r="T1175" s="47"/>
      <c r="U1175" s="47"/>
    </row>
    <row r="1176" spans="8:21" x14ac:dyDescent="0.3">
      <c r="H1176" s="47"/>
      <c r="I1176" s="47"/>
      <c r="J1176" s="47"/>
      <c r="K1176" s="47"/>
      <c r="L1176" s="47"/>
      <c r="M1176" s="47"/>
      <c r="N1176" s="47"/>
      <c r="O1176" s="47"/>
      <c r="P1176" s="47"/>
      <c r="Q1176" s="47"/>
      <c r="R1176" s="47"/>
      <c r="S1176" s="47"/>
      <c r="T1176" s="47"/>
      <c r="U1176" s="47"/>
    </row>
    <row r="1177" spans="8:21" x14ac:dyDescent="0.3">
      <c r="H1177" s="47"/>
      <c r="I1177" s="47"/>
      <c r="J1177" s="47"/>
      <c r="K1177" s="47"/>
      <c r="L1177" s="47"/>
      <c r="M1177" s="47"/>
      <c r="N1177" s="47"/>
      <c r="O1177" s="47"/>
      <c r="P1177" s="47"/>
      <c r="Q1177" s="47"/>
      <c r="R1177" s="47"/>
      <c r="S1177" s="47"/>
      <c r="T1177" s="47"/>
      <c r="U1177" s="47"/>
    </row>
    <row r="1178" spans="8:21" x14ac:dyDescent="0.3"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  <c r="S1178" s="47"/>
      <c r="T1178" s="47"/>
      <c r="U1178" s="47"/>
    </row>
    <row r="1179" spans="8:21" x14ac:dyDescent="0.3"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  <c r="S1179" s="47"/>
      <c r="T1179" s="47"/>
      <c r="U1179" s="47"/>
    </row>
    <row r="1180" spans="8:21" x14ac:dyDescent="0.3">
      <c r="H1180" s="47"/>
      <c r="I1180" s="47"/>
      <c r="J1180" s="47"/>
      <c r="K1180" s="47"/>
      <c r="L1180" s="47"/>
      <c r="M1180" s="47"/>
      <c r="N1180" s="47"/>
      <c r="O1180" s="47"/>
      <c r="P1180" s="47"/>
      <c r="Q1180" s="47"/>
      <c r="R1180" s="47"/>
      <c r="S1180" s="47"/>
      <c r="T1180" s="47"/>
      <c r="U1180" s="47"/>
    </row>
    <row r="1181" spans="8:21" x14ac:dyDescent="0.3">
      <c r="H1181" s="47"/>
      <c r="I1181" s="47"/>
      <c r="J1181" s="47"/>
      <c r="K1181" s="47"/>
      <c r="L1181" s="47"/>
      <c r="M1181" s="47"/>
      <c r="N1181" s="47"/>
      <c r="O1181" s="47"/>
      <c r="P1181" s="47"/>
      <c r="Q1181" s="47"/>
      <c r="R1181" s="47"/>
      <c r="S1181" s="47"/>
      <c r="T1181" s="47"/>
      <c r="U1181" s="47"/>
    </row>
    <row r="1182" spans="8:21" x14ac:dyDescent="0.3"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  <c r="S1182" s="47"/>
      <c r="T1182" s="47"/>
      <c r="U1182" s="47"/>
    </row>
    <row r="1183" spans="8:21" x14ac:dyDescent="0.3"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  <c r="S1183" s="47"/>
      <c r="T1183" s="47"/>
      <c r="U1183" s="47"/>
    </row>
    <row r="1184" spans="8:21" x14ac:dyDescent="0.3">
      <c r="H1184" s="47"/>
      <c r="I1184" s="47"/>
      <c r="J1184" s="47"/>
      <c r="K1184" s="47"/>
      <c r="L1184" s="47"/>
      <c r="M1184" s="47"/>
      <c r="N1184" s="47"/>
      <c r="O1184" s="47"/>
      <c r="P1184" s="47"/>
      <c r="Q1184" s="47"/>
      <c r="R1184" s="47"/>
      <c r="S1184" s="47"/>
      <c r="T1184" s="47"/>
      <c r="U1184" s="47"/>
    </row>
    <row r="1185" spans="8:21" x14ac:dyDescent="0.3">
      <c r="H1185" s="47"/>
      <c r="I1185" s="47"/>
      <c r="J1185" s="47"/>
      <c r="K1185" s="47"/>
      <c r="L1185" s="47"/>
      <c r="M1185" s="47"/>
      <c r="N1185" s="47"/>
      <c r="O1185" s="47"/>
      <c r="P1185" s="47"/>
      <c r="Q1185" s="47"/>
      <c r="R1185" s="47"/>
      <c r="S1185" s="47"/>
      <c r="T1185" s="47"/>
      <c r="U1185" s="47"/>
    </row>
    <row r="1186" spans="8:21" x14ac:dyDescent="0.3"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  <c r="S1186" s="47"/>
      <c r="T1186" s="47"/>
      <c r="U1186" s="47"/>
    </row>
    <row r="1187" spans="8:21" x14ac:dyDescent="0.3"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  <c r="S1187" s="47"/>
      <c r="T1187" s="47"/>
      <c r="U1187" s="47"/>
    </row>
    <row r="1188" spans="8:21" x14ac:dyDescent="0.3">
      <c r="H1188" s="47"/>
      <c r="I1188" s="47"/>
      <c r="J1188" s="47"/>
      <c r="K1188" s="47"/>
      <c r="L1188" s="47"/>
      <c r="M1188" s="47"/>
      <c r="N1188" s="47"/>
      <c r="O1188" s="47"/>
      <c r="P1188" s="47"/>
      <c r="Q1188" s="47"/>
      <c r="R1188" s="47"/>
      <c r="S1188" s="47"/>
      <c r="T1188" s="47"/>
      <c r="U1188" s="47"/>
    </row>
    <row r="1189" spans="8:21" x14ac:dyDescent="0.3">
      <c r="H1189" s="47"/>
      <c r="I1189" s="47"/>
      <c r="J1189" s="47"/>
      <c r="K1189" s="47"/>
      <c r="L1189" s="47"/>
      <c r="M1189" s="47"/>
      <c r="N1189" s="47"/>
      <c r="O1189" s="47"/>
      <c r="P1189" s="47"/>
      <c r="Q1189" s="47"/>
      <c r="R1189" s="47"/>
      <c r="S1189" s="47"/>
      <c r="T1189" s="47"/>
      <c r="U1189" s="47"/>
    </row>
    <row r="1190" spans="8:21" x14ac:dyDescent="0.3"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  <c r="S1190" s="47"/>
      <c r="T1190" s="47"/>
      <c r="U1190" s="47"/>
    </row>
    <row r="1191" spans="8:21" x14ac:dyDescent="0.3"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  <c r="S1191" s="47"/>
      <c r="T1191" s="47"/>
      <c r="U1191" s="47"/>
    </row>
    <row r="1192" spans="8:21" x14ac:dyDescent="0.3">
      <c r="H1192" s="47"/>
      <c r="I1192" s="47"/>
      <c r="J1192" s="47"/>
      <c r="K1192" s="47"/>
      <c r="L1192" s="47"/>
      <c r="M1192" s="47"/>
      <c r="N1192" s="47"/>
      <c r="O1192" s="47"/>
      <c r="P1192" s="47"/>
      <c r="Q1192" s="47"/>
      <c r="R1192" s="47"/>
      <c r="S1192" s="47"/>
      <c r="T1192" s="47"/>
      <c r="U1192" s="47"/>
    </row>
    <row r="1193" spans="8:21" x14ac:dyDescent="0.3">
      <c r="H1193" s="47"/>
      <c r="I1193" s="47"/>
      <c r="J1193" s="47"/>
      <c r="K1193" s="47"/>
      <c r="L1193" s="47"/>
      <c r="M1193" s="47"/>
      <c r="N1193" s="47"/>
      <c r="O1193" s="47"/>
      <c r="P1193" s="47"/>
      <c r="Q1193" s="47"/>
      <c r="R1193" s="47"/>
      <c r="S1193" s="47"/>
      <c r="T1193" s="47"/>
      <c r="U1193" s="47"/>
    </row>
    <row r="1194" spans="8:21" x14ac:dyDescent="0.3"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  <c r="S1194" s="47"/>
      <c r="T1194" s="47"/>
      <c r="U1194" s="47"/>
    </row>
    <row r="1195" spans="8:21" x14ac:dyDescent="0.3"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  <c r="S1195" s="47"/>
      <c r="T1195" s="47"/>
      <c r="U1195" s="47"/>
    </row>
    <row r="1196" spans="8:21" x14ac:dyDescent="0.3">
      <c r="H1196" s="47"/>
      <c r="I1196" s="47"/>
      <c r="J1196" s="47"/>
      <c r="K1196" s="47"/>
      <c r="L1196" s="47"/>
      <c r="M1196" s="47"/>
      <c r="N1196" s="47"/>
      <c r="O1196" s="47"/>
      <c r="P1196" s="47"/>
      <c r="Q1196" s="47"/>
      <c r="R1196" s="47"/>
      <c r="S1196" s="47"/>
      <c r="T1196" s="47"/>
      <c r="U1196" s="47"/>
    </row>
    <row r="1197" spans="8:21" x14ac:dyDescent="0.3">
      <c r="H1197" s="47"/>
      <c r="I1197" s="47"/>
      <c r="J1197" s="47"/>
      <c r="K1197" s="47"/>
      <c r="L1197" s="47"/>
      <c r="M1197" s="47"/>
      <c r="N1197" s="47"/>
      <c r="O1197" s="47"/>
      <c r="P1197" s="47"/>
      <c r="Q1197" s="47"/>
      <c r="R1197" s="47"/>
      <c r="S1197" s="47"/>
      <c r="T1197" s="47"/>
      <c r="U1197" s="47"/>
    </row>
    <row r="1198" spans="8:21" x14ac:dyDescent="0.3"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  <c r="S1198" s="47"/>
      <c r="T1198" s="47"/>
      <c r="U1198" s="47"/>
    </row>
    <row r="1199" spans="8:21" x14ac:dyDescent="0.3"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  <c r="S1199" s="47"/>
      <c r="T1199" s="47"/>
      <c r="U1199" s="47"/>
    </row>
    <row r="1200" spans="8:21" x14ac:dyDescent="0.3">
      <c r="H1200" s="47"/>
      <c r="I1200" s="47"/>
      <c r="J1200" s="47"/>
      <c r="K1200" s="47"/>
      <c r="L1200" s="47"/>
      <c r="M1200" s="47"/>
      <c r="N1200" s="47"/>
      <c r="O1200" s="47"/>
      <c r="P1200" s="47"/>
      <c r="Q1200" s="47"/>
      <c r="R1200" s="47"/>
      <c r="S1200" s="47"/>
      <c r="T1200" s="47"/>
      <c r="U1200" s="47"/>
    </row>
    <row r="1201" spans="8:21" x14ac:dyDescent="0.3">
      <c r="H1201" s="47"/>
      <c r="I1201" s="47"/>
      <c r="J1201" s="47"/>
      <c r="K1201" s="47"/>
      <c r="L1201" s="47"/>
      <c r="M1201" s="47"/>
      <c r="N1201" s="47"/>
      <c r="O1201" s="47"/>
      <c r="P1201" s="47"/>
      <c r="Q1201" s="47"/>
      <c r="R1201" s="47"/>
      <c r="S1201" s="47"/>
      <c r="T1201" s="47"/>
      <c r="U1201" s="47"/>
    </row>
    <row r="1202" spans="8:21" x14ac:dyDescent="0.3"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  <c r="S1202" s="47"/>
      <c r="T1202" s="47"/>
      <c r="U1202" s="47"/>
    </row>
    <row r="1203" spans="8:21" x14ac:dyDescent="0.3"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  <c r="S1203" s="47"/>
      <c r="T1203" s="47"/>
      <c r="U1203" s="47"/>
    </row>
    <row r="1204" spans="8:21" x14ac:dyDescent="0.3">
      <c r="H1204" s="47"/>
      <c r="I1204" s="47"/>
      <c r="J1204" s="47"/>
      <c r="K1204" s="47"/>
      <c r="L1204" s="47"/>
      <c r="M1204" s="47"/>
      <c r="N1204" s="47"/>
      <c r="O1204" s="47"/>
      <c r="P1204" s="47"/>
      <c r="Q1204" s="47"/>
      <c r="R1204" s="47"/>
      <c r="S1204" s="47"/>
      <c r="T1204" s="47"/>
      <c r="U1204" s="47"/>
    </row>
    <row r="1205" spans="8:21" x14ac:dyDescent="0.3">
      <c r="H1205" s="47"/>
      <c r="I1205" s="47"/>
      <c r="J1205" s="47"/>
      <c r="K1205" s="47"/>
      <c r="L1205" s="47"/>
      <c r="M1205" s="47"/>
      <c r="N1205" s="47"/>
      <c r="O1205" s="47"/>
      <c r="P1205" s="47"/>
      <c r="Q1205" s="47"/>
      <c r="R1205" s="47"/>
      <c r="S1205" s="47"/>
      <c r="T1205" s="47"/>
      <c r="U1205" s="47"/>
    </row>
    <row r="1206" spans="8:21" x14ac:dyDescent="0.3"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  <c r="S1206" s="47"/>
      <c r="T1206" s="47"/>
      <c r="U1206" s="47"/>
    </row>
    <row r="1207" spans="8:21" x14ac:dyDescent="0.3"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  <c r="S1207" s="47"/>
      <c r="T1207" s="47"/>
      <c r="U1207" s="47"/>
    </row>
    <row r="1208" spans="8:21" x14ac:dyDescent="0.3">
      <c r="H1208" s="47"/>
      <c r="I1208" s="47"/>
      <c r="J1208" s="47"/>
      <c r="K1208" s="47"/>
      <c r="L1208" s="47"/>
      <c r="M1208" s="47"/>
      <c r="N1208" s="47"/>
      <c r="O1208" s="47"/>
      <c r="P1208" s="47"/>
      <c r="Q1208" s="47"/>
      <c r="R1208" s="47"/>
      <c r="S1208" s="47"/>
      <c r="T1208" s="47"/>
      <c r="U1208" s="47"/>
    </row>
    <row r="1209" spans="8:21" x14ac:dyDescent="0.3">
      <c r="H1209" s="47"/>
      <c r="I1209" s="47"/>
      <c r="J1209" s="47"/>
      <c r="K1209" s="47"/>
      <c r="L1209" s="47"/>
      <c r="M1209" s="47"/>
      <c r="N1209" s="47"/>
      <c r="O1209" s="47"/>
      <c r="P1209" s="47"/>
      <c r="Q1209" s="47"/>
      <c r="R1209" s="47"/>
      <c r="S1209" s="47"/>
      <c r="T1209" s="47"/>
      <c r="U1209" s="47"/>
    </row>
    <row r="1210" spans="8:21" x14ac:dyDescent="0.3"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  <c r="S1210" s="47"/>
      <c r="T1210" s="47"/>
      <c r="U1210" s="47"/>
    </row>
    <row r="1211" spans="8:21" x14ac:dyDescent="0.3"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  <c r="S1211" s="47"/>
      <c r="T1211" s="47"/>
      <c r="U1211" s="47"/>
    </row>
    <row r="1212" spans="8:21" x14ac:dyDescent="0.3">
      <c r="H1212" s="47"/>
      <c r="I1212" s="47"/>
      <c r="J1212" s="47"/>
      <c r="K1212" s="47"/>
      <c r="L1212" s="47"/>
      <c r="M1212" s="47"/>
      <c r="N1212" s="47"/>
      <c r="O1212" s="47"/>
      <c r="P1212" s="47"/>
      <c r="Q1212" s="47"/>
      <c r="R1212" s="47"/>
      <c r="S1212" s="47"/>
      <c r="T1212" s="47"/>
      <c r="U1212" s="47"/>
    </row>
    <row r="1213" spans="8:21" x14ac:dyDescent="0.3">
      <c r="H1213" s="47"/>
      <c r="I1213" s="47"/>
      <c r="J1213" s="47"/>
      <c r="K1213" s="47"/>
      <c r="L1213" s="47"/>
      <c r="M1213" s="47"/>
      <c r="N1213" s="47"/>
      <c r="O1213" s="47"/>
      <c r="P1213" s="47"/>
      <c r="Q1213" s="47"/>
      <c r="R1213" s="47"/>
      <c r="S1213" s="47"/>
      <c r="T1213" s="47"/>
      <c r="U1213" s="47"/>
    </row>
    <row r="1214" spans="8:21" x14ac:dyDescent="0.3"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  <c r="S1214" s="47"/>
      <c r="T1214" s="47"/>
      <c r="U1214" s="47"/>
    </row>
    <row r="1215" spans="8:21" x14ac:dyDescent="0.3"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  <c r="S1215" s="47"/>
      <c r="T1215" s="47"/>
      <c r="U1215" s="47"/>
    </row>
    <row r="1216" spans="8:21" x14ac:dyDescent="0.3">
      <c r="H1216" s="47"/>
      <c r="I1216" s="47"/>
      <c r="J1216" s="47"/>
      <c r="K1216" s="47"/>
      <c r="L1216" s="47"/>
      <c r="M1216" s="47"/>
      <c r="N1216" s="47"/>
      <c r="O1216" s="47"/>
      <c r="P1216" s="47"/>
      <c r="Q1216" s="47"/>
      <c r="R1216" s="47"/>
      <c r="S1216" s="47"/>
      <c r="T1216" s="47"/>
      <c r="U1216" s="47"/>
    </row>
    <row r="1217" spans="8:21" x14ac:dyDescent="0.3">
      <c r="H1217" s="47"/>
      <c r="I1217" s="47"/>
      <c r="J1217" s="47"/>
      <c r="K1217" s="47"/>
      <c r="L1217" s="47"/>
      <c r="M1217" s="47"/>
      <c r="N1217" s="47"/>
      <c r="O1217" s="47"/>
      <c r="P1217" s="47"/>
      <c r="Q1217" s="47"/>
      <c r="R1217" s="47"/>
      <c r="S1217" s="47"/>
      <c r="T1217" s="47"/>
      <c r="U1217" s="47"/>
    </row>
    <row r="1218" spans="8:21" x14ac:dyDescent="0.3"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  <c r="S1218" s="47"/>
      <c r="T1218" s="47"/>
      <c r="U1218" s="47"/>
    </row>
    <row r="1219" spans="8:21" x14ac:dyDescent="0.3"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  <c r="S1219" s="47"/>
      <c r="T1219" s="47"/>
      <c r="U1219" s="47"/>
    </row>
    <row r="1220" spans="8:21" x14ac:dyDescent="0.3">
      <c r="H1220" s="47"/>
      <c r="I1220" s="47"/>
      <c r="J1220" s="47"/>
      <c r="K1220" s="47"/>
      <c r="L1220" s="47"/>
      <c r="M1220" s="47"/>
      <c r="N1220" s="47"/>
      <c r="O1220" s="47"/>
      <c r="P1220" s="47"/>
      <c r="Q1220" s="47"/>
      <c r="R1220" s="47"/>
      <c r="S1220" s="47"/>
      <c r="T1220" s="47"/>
      <c r="U1220" s="47"/>
    </row>
    <row r="1221" spans="8:21" x14ac:dyDescent="0.3">
      <c r="H1221" s="47"/>
      <c r="I1221" s="47"/>
      <c r="J1221" s="47"/>
      <c r="K1221" s="47"/>
      <c r="L1221" s="47"/>
      <c r="M1221" s="47"/>
      <c r="N1221" s="47"/>
      <c r="O1221" s="47"/>
      <c r="P1221" s="47"/>
      <c r="Q1221" s="47"/>
      <c r="R1221" s="47"/>
      <c r="S1221" s="47"/>
      <c r="T1221" s="47"/>
      <c r="U1221" s="47"/>
    </row>
    <row r="1222" spans="8:21" x14ac:dyDescent="0.3"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  <c r="S1222" s="47"/>
      <c r="T1222" s="47"/>
      <c r="U1222" s="47"/>
    </row>
    <row r="1223" spans="8:21" x14ac:dyDescent="0.3"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  <c r="S1223" s="47"/>
      <c r="T1223" s="47"/>
      <c r="U1223" s="47"/>
    </row>
    <row r="1224" spans="8:21" x14ac:dyDescent="0.3">
      <c r="H1224" s="47"/>
      <c r="I1224" s="47"/>
      <c r="J1224" s="47"/>
      <c r="K1224" s="47"/>
      <c r="L1224" s="47"/>
      <c r="M1224" s="47"/>
      <c r="N1224" s="47"/>
      <c r="O1224" s="47"/>
      <c r="P1224" s="47"/>
      <c r="Q1224" s="47"/>
      <c r="R1224" s="47"/>
      <c r="S1224" s="47"/>
      <c r="T1224" s="47"/>
      <c r="U1224" s="47"/>
    </row>
    <row r="1225" spans="8:21" x14ac:dyDescent="0.3">
      <c r="H1225" s="47"/>
      <c r="I1225" s="47"/>
      <c r="J1225" s="47"/>
      <c r="K1225" s="47"/>
      <c r="L1225" s="47"/>
      <c r="M1225" s="47"/>
      <c r="N1225" s="47"/>
      <c r="O1225" s="47"/>
      <c r="P1225" s="47"/>
      <c r="Q1225" s="47"/>
      <c r="R1225" s="47"/>
      <c r="S1225" s="47"/>
      <c r="T1225" s="47"/>
      <c r="U1225" s="47"/>
    </row>
    <row r="1226" spans="8:21" x14ac:dyDescent="0.3"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  <c r="S1226" s="47"/>
      <c r="T1226" s="47"/>
      <c r="U1226" s="47"/>
    </row>
    <row r="1227" spans="8:21" x14ac:dyDescent="0.3"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  <c r="S1227" s="47"/>
      <c r="T1227" s="47"/>
      <c r="U1227" s="47"/>
    </row>
    <row r="1228" spans="8:21" x14ac:dyDescent="0.3">
      <c r="H1228" s="47"/>
      <c r="I1228" s="47"/>
      <c r="J1228" s="47"/>
      <c r="K1228" s="47"/>
      <c r="L1228" s="47"/>
      <c r="M1228" s="47"/>
      <c r="N1228" s="47"/>
      <c r="O1228" s="47"/>
      <c r="P1228" s="47"/>
      <c r="Q1228" s="47"/>
      <c r="R1228" s="47"/>
      <c r="S1228" s="47"/>
      <c r="T1228" s="47"/>
      <c r="U1228" s="47"/>
    </row>
    <row r="1229" spans="8:21" x14ac:dyDescent="0.3">
      <c r="H1229" s="47"/>
      <c r="I1229" s="47"/>
      <c r="J1229" s="47"/>
      <c r="K1229" s="47"/>
      <c r="L1229" s="47"/>
      <c r="M1229" s="47"/>
      <c r="N1229" s="47"/>
      <c r="O1229" s="47"/>
      <c r="P1229" s="47"/>
      <c r="Q1229" s="47"/>
      <c r="R1229" s="47"/>
      <c r="S1229" s="47"/>
      <c r="T1229" s="47"/>
      <c r="U1229" s="47"/>
    </row>
    <row r="1230" spans="8:21" x14ac:dyDescent="0.3"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  <c r="S1230" s="47"/>
      <c r="T1230" s="47"/>
      <c r="U1230" s="47"/>
    </row>
    <row r="1231" spans="8:21" x14ac:dyDescent="0.3"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  <c r="S1231" s="47"/>
      <c r="T1231" s="47"/>
      <c r="U1231" s="47"/>
    </row>
    <row r="1232" spans="8:21" x14ac:dyDescent="0.3">
      <c r="H1232" s="47"/>
      <c r="I1232" s="47"/>
      <c r="J1232" s="47"/>
      <c r="K1232" s="47"/>
      <c r="L1232" s="47"/>
      <c r="M1232" s="47"/>
      <c r="N1232" s="47"/>
      <c r="O1232" s="47"/>
      <c r="P1232" s="47"/>
      <c r="Q1232" s="47"/>
      <c r="R1232" s="47"/>
      <c r="S1232" s="47"/>
      <c r="T1232" s="47"/>
      <c r="U1232" s="47"/>
    </row>
    <row r="1233" spans="8:21" x14ac:dyDescent="0.3">
      <c r="H1233" s="47"/>
      <c r="I1233" s="47"/>
      <c r="J1233" s="47"/>
      <c r="K1233" s="47"/>
      <c r="L1233" s="47"/>
      <c r="M1233" s="47"/>
      <c r="N1233" s="47"/>
      <c r="O1233" s="47"/>
      <c r="P1233" s="47"/>
      <c r="Q1233" s="47"/>
      <c r="R1233" s="47"/>
      <c r="S1233" s="47"/>
      <c r="T1233" s="47"/>
      <c r="U1233" s="47"/>
    </row>
    <row r="1234" spans="8:21" x14ac:dyDescent="0.3"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  <c r="S1234" s="47"/>
      <c r="T1234" s="47"/>
      <c r="U1234" s="47"/>
    </row>
    <row r="1235" spans="8:21" x14ac:dyDescent="0.3"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  <c r="S1235" s="47"/>
      <c r="T1235" s="47"/>
      <c r="U1235" s="47"/>
    </row>
    <row r="1236" spans="8:21" x14ac:dyDescent="0.3">
      <c r="H1236" s="47"/>
      <c r="I1236" s="47"/>
      <c r="J1236" s="47"/>
      <c r="K1236" s="47"/>
      <c r="L1236" s="47"/>
      <c r="M1236" s="47"/>
      <c r="N1236" s="47"/>
      <c r="O1236" s="47"/>
      <c r="P1236" s="47"/>
      <c r="Q1236" s="47"/>
      <c r="R1236" s="47"/>
      <c r="S1236" s="47"/>
      <c r="T1236" s="47"/>
      <c r="U1236" s="47"/>
    </row>
    <row r="1237" spans="8:21" x14ac:dyDescent="0.3">
      <c r="H1237" s="47"/>
      <c r="I1237" s="47"/>
      <c r="J1237" s="47"/>
      <c r="K1237" s="47"/>
      <c r="L1237" s="47"/>
      <c r="M1237" s="47"/>
      <c r="N1237" s="47"/>
      <c r="O1237" s="47"/>
      <c r="P1237" s="47"/>
      <c r="Q1237" s="47"/>
      <c r="R1237" s="47"/>
      <c r="S1237" s="47"/>
      <c r="T1237" s="47"/>
      <c r="U1237" s="47"/>
    </row>
    <row r="1238" spans="8:21" x14ac:dyDescent="0.3"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  <c r="S1238" s="47"/>
      <c r="T1238" s="47"/>
      <c r="U1238" s="47"/>
    </row>
    <row r="1239" spans="8:21" x14ac:dyDescent="0.3"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  <c r="S1239" s="47"/>
      <c r="T1239" s="47"/>
      <c r="U1239" s="47"/>
    </row>
    <row r="1240" spans="8:21" x14ac:dyDescent="0.3">
      <c r="H1240" s="47"/>
      <c r="I1240" s="47"/>
      <c r="J1240" s="47"/>
      <c r="K1240" s="47"/>
      <c r="L1240" s="47"/>
      <c r="M1240" s="47"/>
      <c r="N1240" s="47"/>
      <c r="O1240" s="47"/>
      <c r="P1240" s="47"/>
      <c r="Q1240" s="47"/>
      <c r="R1240" s="47"/>
      <c r="S1240" s="47"/>
      <c r="T1240" s="47"/>
      <c r="U1240" s="47"/>
    </row>
    <row r="1241" spans="8:21" x14ac:dyDescent="0.3">
      <c r="H1241" s="47"/>
      <c r="I1241" s="47"/>
      <c r="J1241" s="47"/>
      <c r="K1241" s="47"/>
      <c r="L1241" s="47"/>
      <c r="M1241" s="47"/>
      <c r="N1241" s="47"/>
      <c r="O1241" s="47"/>
      <c r="P1241" s="47"/>
      <c r="Q1241" s="47"/>
      <c r="R1241" s="47"/>
      <c r="S1241" s="47"/>
      <c r="T1241" s="47"/>
      <c r="U1241" s="47"/>
    </row>
    <row r="1242" spans="8:21" x14ac:dyDescent="0.3"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  <c r="S1242" s="47"/>
      <c r="T1242" s="47"/>
      <c r="U1242" s="47"/>
    </row>
    <row r="1243" spans="8:21" x14ac:dyDescent="0.3"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  <c r="S1243" s="47"/>
      <c r="T1243" s="47"/>
      <c r="U1243" s="47"/>
    </row>
    <row r="1244" spans="8:21" x14ac:dyDescent="0.3">
      <c r="H1244" s="47"/>
      <c r="I1244" s="47"/>
      <c r="J1244" s="47"/>
      <c r="K1244" s="47"/>
      <c r="L1244" s="47"/>
      <c r="M1244" s="47"/>
      <c r="N1244" s="47"/>
      <c r="O1244" s="47"/>
      <c r="P1244" s="47"/>
      <c r="Q1244" s="47"/>
      <c r="R1244" s="47"/>
      <c r="S1244" s="47"/>
      <c r="T1244" s="47"/>
      <c r="U1244" s="47"/>
    </row>
    <row r="1245" spans="8:21" x14ac:dyDescent="0.3">
      <c r="H1245" s="47"/>
      <c r="I1245" s="47"/>
      <c r="J1245" s="47"/>
      <c r="K1245" s="47"/>
      <c r="L1245" s="47"/>
      <c r="M1245" s="47"/>
      <c r="N1245" s="47"/>
      <c r="O1245" s="47"/>
      <c r="P1245" s="47"/>
      <c r="Q1245" s="47"/>
      <c r="R1245" s="47"/>
      <c r="S1245" s="47"/>
      <c r="T1245" s="47"/>
      <c r="U1245" s="47"/>
    </row>
    <row r="1246" spans="8:21" x14ac:dyDescent="0.3"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  <c r="S1246" s="47"/>
      <c r="T1246" s="47"/>
      <c r="U1246" s="47"/>
    </row>
    <row r="1247" spans="8:21" x14ac:dyDescent="0.3"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  <c r="S1247" s="47"/>
      <c r="T1247" s="47"/>
      <c r="U1247" s="47"/>
    </row>
    <row r="1248" spans="8:21" x14ac:dyDescent="0.3">
      <c r="H1248" s="47"/>
      <c r="I1248" s="47"/>
      <c r="J1248" s="47"/>
      <c r="K1248" s="47"/>
      <c r="L1248" s="47"/>
      <c r="M1248" s="47"/>
      <c r="N1248" s="47"/>
      <c r="O1248" s="47"/>
      <c r="P1248" s="47"/>
      <c r="Q1248" s="47"/>
      <c r="R1248" s="47"/>
      <c r="S1248" s="47"/>
      <c r="T1248" s="47"/>
      <c r="U1248" s="47"/>
    </row>
    <row r="1249" spans="8:21" x14ac:dyDescent="0.3">
      <c r="H1249" s="47"/>
      <c r="I1249" s="47"/>
      <c r="J1249" s="47"/>
      <c r="K1249" s="47"/>
      <c r="L1249" s="47"/>
      <c r="M1249" s="47"/>
      <c r="N1249" s="47"/>
      <c r="O1249" s="47"/>
      <c r="P1249" s="47"/>
      <c r="Q1249" s="47"/>
      <c r="R1249" s="47"/>
      <c r="S1249" s="47"/>
      <c r="T1249" s="47"/>
      <c r="U1249" s="47"/>
    </row>
    <row r="1250" spans="8:21" x14ac:dyDescent="0.3"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  <c r="S1250" s="47"/>
      <c r="T1250" s="47"/>
      <c r="U1250" s="47"/>
    </row>
    <row r="1251" spans="8:21" x14ac:dyDescent="0.3"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  <c r="S1251" s="47"/>
      <c r="T1251" s="47"/>
      <c r="U1251" s="47"/>
    </row>
    <row r="1252" spans="8:21" x14ac:dyDescent="0.3">
      <c r="H1252" s="47"/>
      <c r="I1252" s="47"/>
      <c r="J1252" s="47"/>
      <c r="K1252" s="47"/>
      <c r="L1252" s="47"/>
      <c r="M1252" s="47"/>
      <c r="N1252" s="47"/>
      <c r="O1252" s="47"/>
      <c r="P1252" s="47"/>
      <c r="Q1252" s="47"/>
      <c r="R1252" s="47"/>
      <c r="S1252" s="47"/>
      <c r="T1252" s="47"/>
      <c r="U1252" s="47"/>
    </row>
    <row r="1253" spans="8:21" x14ac:dyDescent="0.3">
      <c r="H1253" s="47"/>
      <c r="I1253" s="47"/>
      <c r="J1253" s="47"/>
      <c r="K1253" s="47"/>
      <c r="L1253" s="47"/>
      <c r="M1253" s="47"/>
      <c r="N1253" s="47"/>
      <c r="O1253" s="47"/>
      <c r="P1253" s="47"/>
      <c r="Q1253" s="47"/>
      <c r="R1253" s="47"/>
      <c r="S1253" s="47"/>
      <c r="T1253" s="47"/>
      <c r="U1253" s="47"/>
    </row>
    <row r="1254" spans="8:21" x14ac:dyDescent="0.3"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  <c r="S1254" s="47"/>
      <c r="T1254" s="47"/>
      <c r="U1254" s="47"/>
    </row>
    <row r="1255" spans="8:21" x14ac:dyDescent="0.3"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  <c r="S1255" s="47"/>
      <c r="T1255" s="47"/>
      <c r="U1255" s="47"/>
    </row>
    <row r="1256" spans="8:21" x14ac:dyDescent="0.3">
      <c r="H1256" s="47"/>
      <c r="I1256" s="47"/>
      <c r="J1256" s="47"/>
      <c r="K1256" s="47"/>
      <c r="L1256" s="47"/>
      <c r="M1256" s="47"/>
      <c r="N1256" s="47"/>
      <c r="O1256" s="47"/>
      <c r="P1256" s="47"/>
      <c r="Q1256" s="47"/>
      <c r="R1256" s="47"/>
      <c r="S1256" s="47"/>
      <c r="T1256" s="47"/>
      <c r="U1256" s="47"/>
    </row>
    <row r="1257" spans="8:21" x14ac:dyDescent="0.3">
      <c r="H1257" s="47"/>
      <c r="I1257" s="47"/>
      <c r="J1257" s="47"/>
      <c r="K1257" s="47"/>
      <c r="L1257" s="47"/>
      <c r="M1257" s="47"/>
      <c r="N1257" s="47"/>
      <c r="O1257" s="47"/>
      <c r="P1257" s="47"/>
      <c r="Q1257" s="47"/>
      <c r="R1257" s="47"/>
      <c r="S1257" s="47"/>
      <c r="T1257" s="47"/>
      <c r="U1257" s="47"/>
    </row>
    <row r="1258" spans="8:21" x14ac:dyDescent="0.3"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  <c r="S1258" s="47"/>
      <c r="T1258" s="47"/>
      <c r="U1258" s="47"/>
    </row>
    <row r="1259" spans="8:21" x14ac:dyDescent="0.3"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  <c r="S1259" s="47"/>
      <c r="T1259" s="47"/>
      <c r="U1259" s="47"/>
    </row>
    <row r="1260" spans="8:21" x14ac:dyDescent="0.3">
      <c r="H1260" s="47"/>
      <c r="I1260" s="47"/>
      <c r="J1260" s="47"/>
      <c r="K1260" s="47"/>
      <c r="L1260" s="47"/>
      <c r="M1260" s="47"/>
      <c r="N1260" s="47"/>
      <c r="O1260" s="47"/>
      <c r="P1260" s="47"/>
      <c r="Q1260" s="47"/>
      <c r="R1260" s="47"/>
      <c r="S1260" s="47"/>
      <c r="T1260" s="47"/>
      <c r="U1260" s="47"/>
    </row>
    <row r="1261" spans="8:21" x14ac:dyDescent="0.3">
      <c r="H1261" s="47"/>
      <c r="I1261" s="47"/>
      <c r="J1261" s="47"/>
      <c r="K1261" s="47"/>
      <c r="L1261" s="47"/>
      <c r="M1261" s="47"/>
      <c r="N1261" s="47"/>
      <c r="O1261" s="47"/>
      <c r="P1261" s="47"/>
      <c r="Q1261" s="47"/>
      <c r="R1261" s="47"/>
      <c r="S1261" s="47"/>
      <c r="T1261" s="47"/>
      <c r="U1261" s="47"/>
    </row>
    <row r="1262" spans="8:21" x14ac:dyDescent="0.3"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  <c r="S1262" s="47"/>
      <c r="T1262" s="47"/>
      <c r="U1262" s="47"/>
    </row>
    <row r="1263" spans="8:21" x14ac:dyDescent="0.3"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  <c r="S1263" s="47"/>
      <c r="T1263" s="47"/>
      <c r="U1263" s="47"/>
    </row>
    <row r="1264" spans="8:21" x14ac:dyDescent="0.3">
      <c r="H1264" s="47"/>
      <c r="I1264" s="47"/>
      <c r="J1264" s="47"/>
      <c r="K1264" s="47"/>
      <c r="L1264" s="47"/>
      <c r="M1264" s="47"/>
      <c r="N1264" s="47"/>
      <c r="O1264" s="47"/>
      <c r="P1264" s="47"/>
      <c r="Q1264" s="47"/>
      <c r="R1264" s="47"/>
      <c r="S1264" s="47"/>
      <c r="T1264" s="47"/>
      <c r="U1264" s="47"/>
    </row>
    <row r="1265" spans="8:21" x14ac:dyDescent="0.3">
      <c r="H1265" s="47"/>
      <c r="I1265" s="47"/>
      <c r="J1265" s="47"/>
      <c r="K1265" s="47"/>
      <c r="L1265" s="47"/>
      <c r="M1265" s="47"/>
      <c r="N1265" s="47"/>
      <c r="O1265" s="47"/>
      <c r="P1265" s="47"/>
      <c r="Q1265" s="47"/>
      <c r="R1265" s="47"/>
      <c r="S1265" s="47"/>
      <c r="T1265" s="47"/>
      <c r="U1265" s="47"/>
    </row>
    <row r="1266" spans="8:21" x14ac:dyDescent="0.3"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  <c r="S1266" s="47"/>
      <c r="T1266" s="47"/>
      <c r="U1266" s="47"/>
    </row>
    <row r="1267" spans="8:21" x14ac:dyDescent="0.3"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  <c r="S1267" s="47"/>
      <c r="T1267" s="47"/>
      <c r="U1267" s="47"/>
    </row>
    <row r="1268" spans="8:21" x14ac:dyDescent="0.3">
      <c r="H1268" s="47"/>
      <c r="I1268" s="47"/>
      <c r="J1268" s="47"/>
      <c r="K1268" s="47"/>
      <c r="L1268" s="47"/>
      <c r="M1268" s="47"/>
      <c r="N1268" s="47"/>
      <c r="O1268" s="47"/>
      <c r="P1268" s="47"/>
      <c r="Q1268" s="47"/>
      <c r="R1268" s="47"/>
      <c r="S1268" s="47"/>
      <c r="T1268" s="47"/>
      <c r="U1268" s="47"/>
    </row>
    <row r="1269" spans="8:21" x14ac:dyDescent="0.3">
      <c r="H1269" s="47"/>
      <c r="I1269" s="47"/>
      <c r="J1269" s="47"/>
      <c r="K1269" s="47"/>
      <c r="L1269" s="47"/>
      <c r="M1269" s="47"/>
      <c r="N1269" s="47"/>
      <c r="O1269" s="47"/>
      <c r="P1269" s="47"/>
      <c r="Q1269" s="47"/>
      <c r="R1269" s="47"/>
      <c r="S1269" s="47"/>
      <c r="T1269" s="47"/>
      <c r="U1269" s="47"/>
    </row>
    <row r="1270" spans="8:21" x14ac:dyDescent="0.3"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  <c r="S1270" s="47"/>
      <c r="T1270" s="47"/>
      <c r="U1270" s="47"/>
    </row>
    <row r="1271" spans="8:21" x14ac:dyDescent="0.3"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  <c r="S1271" s="47"/>
      <c r="T1271" s="47"/>
      <c r="U1271" s="47"/>
    </row>
    <row r="1272" spans="8:21" x14ac:dyDescent="0.3">
      <c r="H1272" s="47"/>
      <c r="I1272" s="47"/>
      <c r="J1272" s="47"/>
      <c r="K1272" s="47"/>
      <c r="L1272" s="47"/>
      <c r="M1272" s="47"/>
      <c r="N1272" s="47"/>
      <c r="O1272" s="47"/>
      <c r="P1272" s="47"/>
      <c r="Q1272" s="47"/>
      <c r="R1272" s="47"/>
      <c r="S1272" s="47"/>
      <c r="T1272" s="47"/>
      <c r="U1272" s="47"/>
    </row>
    <row r="1273" spans="8:21" x14ac:dyDescent="0.3">
      <c r="H1273" s="47"/>
      <c r="I1273" s="47"/>
      <c r="J1273" s="47"/>
      <c r="K1273" s="47"/>
      <c r="L1273" s="47"/>
      <c r="M1273" s="47"/>
      <c r="N1273" s="47"/>
      <c r="O1273" s="47"/>
      <c r="P1273" s="47"/>
      <c r="Q1273" s="47"/>
      <c r="R1273" s="47"/>
      <c r="S1273" s="47"/>
      <c r="T1273" s="47"/>
      <c r="U1273" s="47"/>
    </row>
    <row r="1274" spans="8:21" x14ac:dyDescent="0.3"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  <c r="S1274" s="47"/>
      <c r="T1274" s="47"/>
      <c r="U1274" s="47"/>
    </row>
    <row r="1275" spans="8:21" x14ac:dyDescent="0.3"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  <c r="S1275" s="47"/>
      <c r="T1275" s="47"/>
      <c r="U1275" s="47"/>
    </row>
    <row r="1276" spans="8:21" x14ac:dyDescent="0.3">
      <c r="H1276" s="47"/>
      <c r="I1276" s="47"/>
      <c r="J1276" s="47"/>
      <c r="K1276" s="47"/>
      <c r="L1276" s="47"/>
      <c r="M1276" s="47"/>
      <c r="N1276" s="47"/>
      <c r="O1276" s="47"/>
      <c r="P1276" s="47"/>
      <c r="Q1276" s="47"/>
      <c r="R1276" s="47"/>
      <c r="S1276" s="47"/>
      <c r="T1276" s="47"/>
      <c r="U1276" s="47"/>
    </row>
    <row r="1277" spans="8:21" x14ac:dyDescent="0.3">
      <c r="H1277" s="47"/>
      <c r="I1277" s="47"/>
      <c r="J1277" s="47"/>
      <c r="K1277" s="47"/>
      <c r="L1277" s="47"/>
      <c r="M1277" s="47"/>
      <c r="N1277" s="47"/>
      <c r="O1277" s="47"/>
      <c r="P1277" s="47"/>
      <c r="Q1277" s="47"/>
      <c r="R1277" s="47"/>
      <c r="S1277" s="47"/>
      <c r="T1277" s="47"/>
      <c r="U1277" s="47"/>
    </row>
    <row r="1278" spans="8:21" x14ac:dyDescent="0.3"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  <c r="S1278" s="47"/>
      <c r="T1278" s="47"/>
      <c r="U1278" s="47"/>
    </row>
    <row r="1279" spans="8:21" x14ac:dyDescent="0.3"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  <c r="S1279" s="47"/>
      <c r="T1279" s="47"/>
      <c r="U1279" s="47"/>
    </row>
    <row r="1280" spans="8:21" x14ac:dyDescent="0.3">
      <c r="H1280" s="47"/>
      <c r="I1280" s="47"/>
      <c r="J1280" s="47"/>
      <c r="K1280" s="47"/>
      <c r="L1280" s="47"/>
      <c r="M1280" s="47"/>
      <c r="N1280" s="47"/>
      <c r="O1280" s="47"/>
      <c r="P1280" s="47"/>
      <c r="Q1280" s="47"/>
      <c r="R1280" s="47"/>
      <c r="S1280" s="47"/>
      <c r="T1280" s="47"/>
      <c r="U1280" s="47"/>
    </row>
    <row r="1281" spans="8:21" x14ac:dyDescent="0.3">
      <c r="H1281" s="47"/>
      <c r="I1281" s="47"/>
      <c r="J1281" s="47"/>
      <c r="K1281" s="47"/>
      <c r="L1281" s="47"/>
      <c r="M1281" s="47"/>
      <c r="N1281" s="47"/>
      <c r="O1281" s="47"/>
      <c r="P1281" s="47"/>
      <c r="Q1281" s="47"/>
      <c r="R1281" s="47"/>
      <c r="S1281" s="47"/>
      <c r="T1281" s="47"/>
      <c r="U1281" s="47"/>
    </row>
    <row r="1282" spans="8:21" x14ac:dyDescent="0.3"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  <c r="S1282" s="47"/>
      <c r="T1282" s="47"/>
      <c r="U1282" s="47"/>
    </row>
    <row r="1283" spans="8:21" x14ac:dyDescent="0.3"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  <c r="S1283" s="47"/>
      <c r="T1283" s="47"/>
      <c r="U1283" s="47"/>
    </row>
    <row r="1284" spans="8:21" x14ac:dyDescent="0.3">
      <c r="H1284" s="47"/>
      <c r="I1284" s="47"/>
      <c r="J1284" s="47"/>
      <c r="K1284" s="47"/>
      <c r="L1284" s="47"/>
      <c r="M1284" s="47"/>
      <c r="N1284" s="47"/>
      <c r="O1284" s="47"/>
      <c r="P1284" s="47"/>
      <c r="Q1284" s="47"/>
      <c r="R1284" s="47"/>
      <c r="S1284" s="47"/>
      <c r="T1284" s="47"/>
      <c r="U1284" s="47"/>
    </row>
    <row r="1285" spans="8:21" x14ac:dyDescent="0.3">
      <c r="H1285" s="47"/>
      <c r="I1285" s="47"/>
      <c r="J1285" s="47"/>
      <c r="K1285" s="47"/>
      <c r="L1285" s="47"/>
      <c r="M1285" s="47"/>
      <c r="N1285" s="47"/>
      <c r="O1285" s="47"/>
      <c r="P1285" s="47"/>
      <c r="Q1285" s="47"/>
      <c r="R1285" s="47"/>
      <c r="S1285" s="47"/>
      <c r="T1285" s="47"/>
      <c r="U1285" s="47"/>
    </row>
    <row r="1286" spans="8:21" x14ac:dyDescent="0.3"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  <c r="S1286" s="47"/>
      <c r="T1286" s="47"/>
      <c r="U1286" s="47"/>
    </row>
    <row r="1287" spans="8:21" x14ac:dyDescent="0.3"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  <c r="S1287" s="47"/>
      <c r="T1287" s="47"/>
      <c r="U1287" s="47"/>
    </row>
    <row r="1288" spans="8:21" x14ac:dyDescent="0.3">
      <c r="H1288" s="47"/>
      <c r="I1288" s="47"/>
      <c r="J1288" s="47"/>
      <c r="K1288" s="47"/>
      <c r="L1288" s="47"/>
      <c r="M1288" s="47"/>
      <c r="N1288" s="47"/>
      <c r="O1288" s="47"/>
      <c r="P1288" s="47"/>
      <c r="Q1288" s="47"/>
      <c r="R1288" s="47"/>
      <c r="S1288" s="47"/>
      <c r="T1288" s="47"/>
      <c r="U1288" s="47"/>
    </row>
    <row r="1289" spans="8:21" x14ac:dyDescent="0.3">
      <c r="H1289" s="47"/>
      <c r="I1289" s="47"/>
      <c r="J1289" s="47"/>
      <c r="K1289" s="47"/>
      <c r="L1289" s="47"/>
      <c r="M1289" s="47"/>
      <c r="N1289" s="47"/>
      <c r="O1289" s="47"/>
      <c r="P1289" s="47"/>
      <c r="Q1289" s="47"/>
      <c r="R1289" s="47"/>
      <c r="S1289" s="47"/>
      <c r="T1289" s="47"/>
      <c r="U1289" s="47"/>
    </row>
    <row r="1290" spans="8:21" x14ac:dyDescent="0.3"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  <c r="S1290" s="47"/>
      <c r="T1290" s="47"/>
      <c r="U1290" s="47"/>
    </row>
    <row r="1291" spans="8:21" x14ac:dyDescent="0.3"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  <c r="S1291" s="47"/>
      <c r="T1291" s="47"/>
      <c r="U1291" s="47"/>
    </row>
    <row r="1292" spans="8:21" x14ac:dyDescent="0.3">
      <c r="H1292" s="47"/>
      <c r="I1292" s="47"/>
      <c r="J1292" s="47"/>
      <c r="K1292" s="47"/>
      <c r="L1292" s="47"/>
      <c r="M1292" s="47"/>
      <c r="N1292" s="47"/>
      <c r="O1292" s="47"/>
      <c r="P1292" s="47"/>
      <c r="Q1292" s="47"/>
      <c r="R1292" s="47"/>
      <c r="S1292" s="47"/>
      <c r="T1292" s="47"/>
      <c r="U1292" s="47"/>
    </row>
    <row r="1293" spans="8:21" x14ac:dyDescent="0.3">
      <c r="H1293" s="47"/>
      <c r="I1293" s="47"/>
      <c r="J1293" s="47"/>
      <c r="K1293" s="47"/>
      <c r="L1293" s="47"/>
      <c r="M1293" s="47"/>
      <c r="N1293" s="47"/>
      <c r="O1293" s="47"/>
      <c r="P1293" s="47"/>
      <c r="Q1293" s="47"/>
      <c r="R1293" s="47"/>
      <c r="S1293" s="47"/>
      <c r="T1293" s="47"/>
      <c r="U1293" s="47"/>
    </row>
    <row r="1294" spans="8:21" x14ac:dyDescent="0.3"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  <c r="S1294" s="47"/>
      <c r="T1294" s="47"/>
      <c r="U1294" s="47"/>
    </row>
    <row r="1295" spans="8:21" x14ac:dyDescent="0.3"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  <c r="S1295" s="47"/>
      <c r="T1295" s="47"/>
      <c r="U1295" s="47"/>
    </row>
    <row r="1296" spans="8:21" x14ac:dyDescent="0.3">
      <c r="H1296" s="47"/>
      <c r="I1296" s="47"/>
      <c r="J1296" s="47"/>
      <c r="K1296" s="47"/>
      <c r="L1296" s="47"/>
      <c r="M1296" s="47"/>
      <c r="N1296" s="47"/>
      <c r="O1296" s="47"/>
      <c r="P1296" s="47"/>
      <c r="Q1296" s="47"/>
      <c r="R1296" s="47"/>
      <c r="S1296" s="47"/>
      <c r="T1296" s="47"/>
      <c r="U1296" s="47"/>
    </row>
    <row r="1297" spans="8:21" x14ac:dyDescent="0.3">
      <c r="H1297" s="47"/>
      <c r="I1297" s="47"/>
      <c r="J1297" s="47"/>
      <c r="K1297" s="47"/>
      <c r="L1297" s="47"/>
      <c r="M1297" s="47"/>
      <c r="N1297" s="47"/>
      <c r="O1297" s="47"/>
      <c r="P1297" s="47"/>
      <c r="Q1297" s="47"/>
      <c r="R1297" s="47"/>
      <c r="S1297" s="47"/>
      <c r="T1297" s="47"/>
      <c r="U1297" s="47"/>
    </row>
    <row r="1298" spans="8:21" x14ac:dyDescent="0.3"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  <c r="S1298" s="47"/>
      <c r="T1298" s="47"/>
      <c r="U1298" s="47"/>
    </row>
    <row r="1299" spans="8:21" x14ac:dyDescent="0.3"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  <c r="S1299" s="47"/>
      <c r="T1299" s="47"/>
      <c r="U1299" s="47"/>
    </row>
    <row r="1300" spans="8:21" x14ac:dyDescent="0.3">
      <c r="H1300" s="47"/>
      <c r="I1300" s="47"/>
      <c r="J1300" s="47"/>
      <c r="K1300" s="47"/>
      <c r="L1300" s="47"/>
      <c r="M1300" s="47"/>
      <c r="N1300" s="47"/>
      <c r="O1300" s="47"/>
      <c r="P1300" s="47"/>
      <c r="Q1300" s="47"/>
      <c r="R1300" s="47"/>
      <c r="S1300" s="47"/>
      <c r="T1300" s="47"/>
      <c r="U1300" s="47"/>
    </row>
    <row r="1301" spans="8:21" x14ac:dyDescent="0.3">
      <c r="H1301" s="47"/>
      <c r="I1301" s="47"/>
      <c r="J1301" s="47"/>
      <c r="K1301" s="47"/>
      <c r="L1301" s="47"/>
      <c r="M1301" s="47"/>
      <c r="N1301" s="47"/>
      <c r="O1301" s="47"/>
      <c r="P1301" s="47"/>
      <c r="Q1301" s="47"/>
      <c r="R1301" s="47"/>
      <c r="S1301" s="47"/>
      <c r="T1301" s="47"/>
      <c r="U1301" s="47"/>
    </row>
    <row r="1302" spans="8:21" x14ac:dyDescent="0.3"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  <c r="S1302" s="47"/>
      <c r="T1302" s="47"/>
      <c r="U1302" s="47"/>
    </row>
    <row r="1303" spans="8:21" x14ac:dyDescent="0.3"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  <c r="S1303" s="47"/>
      <c r="T1303" s="47"/>
      <c r="U1303" s="47"/>
    </row>
    <row r="1304" spans="8:21" x14ac:dyDescent="0.3">
      <c r="H1304" s="47"/>
      <c r="I1304" s="47"/>
      <c r="J1304" s="47"/>
      <c r="K1304" s="47"/>
      <c r="L1304" s="47"/>
      <c r="M1304" s="47"/>
      <c r="N1304" s="47"/>
      <c r="O1304" s="47"/>
      <c r="P1304" s="47"/>
      <c r="Q1304" s="47"/>
      <c r="R1304" s="47"/>
      <c r="S1304" s="47"/>
      <c r="T1304" s="47"/>
      <c r="U1304" s="47"/>
    </row>
    <row r="1305" spans="8:21" x14ac:dyDescent="0.3">
      <c r="H1305" s="47"/>
      <c r="I1305" s="47"/>
      <c r="J1305" s="47"/>
      <c r="K1305" s="47"/>
      <c r="L1305" s="47"/>
      <c r="M1305" s="47"/>
      <c r="N1305" s="47"/>
      <c r="O1305" s="47"/>
      <c r="P1305" s="47"/>
      <c r="Q1305" s="47"/>
      <c r="R1305" s="47"/>
      <c r="S1305" s="47"/>
      <c r="T1305" s="47"/>
      <c r="U1305" s="47"/>
    </row>
    <row r="1306" spans="8:21" x14ac:dyDescent="0.3"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  <c r="S1306" s="47"/>
      <c r="T1306" s="47"/>
      <c r="U1306" s="47"/>
    </row>
    <row r="1307" spans="8:21" x14ac:dyDescent="0.3"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  <c r="S1307" s="47"/>
      <c r="T1307" s="47"/>
      <c r="U1307" s="47"/>
    </row>
    <row r="1308" spans="8:21" x14ac:dyDescent="0.3">
      <c r="H1308" s="47"/>
      <c r="I1308" s="47"/>
      <c r="J1308" s="47"/>
      <c r="K1308" s="47"/>
      <c r="L1308" s="47"/>
      <c r="M1308" s="47"/>
      <c r="N1308" s="47"/>
      <c r="O1308" s="47"/>
      <c r="P1308" s="47"/>
      <c r="Q1308" s="47"/>
      <c r="R1308" s="47"/>
      <c r="S1308" s="47"/>
      <c r="T1308" s="47"/>
      <c r="U1308" s="47"/>
    </row>
    <row r="1309" spans="8:21" x14ac:dyDescent="0.3">
      <c r="H1309" s="47"/>
      <c r="I1309" s="47"/>
      <c r="J1309" s="47"/>
      <c r="K1309" s="47"/>
      <c r="L1309" s="47"/>
      <c r="M1309" s="47"/>
      <c r="N1309" s="47"/>
      <c r="O1309" s="47"/>
      <c r="P1309" s="47"/>
      <c r="Q1309" s="47"/>
      <c r="R1309" s="47"/>
      <c r="S1309" s="47"/>
      <c r="T1309" s="47"/>
      <c r="U1309" s="47"/>
    </row>
    <row r="1310" spans="8:21" x14ac:dyDescent="0.3"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  <c r="S1310" s="47"/>
      <c r="T1310" s="47"/>
      <c r="U1310" s="47"/>
    </row>
    <row r="1311" spans="8:21" x14ac:dyDescent="0.3"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  <c r="S1311" s="47"/>
      <c r="T1311" s="47"/>
      <c r="U1311" s="47"/>
    </row>
    <row r="1312" spans="8:21" x14ac:dyDescent="0.3">
      <c r="H1312" s="47"/>
      <c r="I1312" s="47"/>
      <c r="J1312" s="47"/>
      <c r="K1312" s="47"/>
      <c r="L1312" s="47"/>
      <c r="M1312" s="47"/>
      <c r="N1312" s="47"/>
      <c r="O1312" s="47"/>
      <c r="P1312" s="47"/>
      <c r="Q1312" s="47"/>
      <c r="R1312" s="47"/>
      <c r="S1312" s="47"/>
      <c r="T1312" s="47"/>
      <c r="U1312" s="47"/>
    </row>
    <row r="1313" spans="8:21" x14ac:dyDescent="0.3">
      <c r="H1313" s="47"/>
      <c r="I1313" s="47"/>
      <c r="J1313" s="47"/>
      <c r="K1313" s="47"/>
      <c r="L1313" s="47"/>
      <c r="M1313" s="47"/>
      <c r="N1313" s="47"/>
      <c r="O1313" s="47"/>
      <c r="P1313" s="47"/>
      <c r="Q1313" s="47"/>
      <c r="R1313" s="47"/>
      <c r="S1313" s="47"/>
      <c r="T1313" s="47"/>
      <c r="U1313" s="47"/>
    </row>
    <row r="1314" spans="8:21" x14ac:dyDescent="0.3"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  <c r="S1314" s="47"/>
      <c r="T1314" s="47"/>
      <c r="U1314" s="47"/>
    </row>
    <row r="1315" spans="8:21" x14ac:dyDescent="0.3"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  <c r="S1315" s="47"/>
      <c r="T1315" s="47"/>
      <c r="U1315" s="47"/>
    </row>
    <row r="1316" spans="8:21" x14ac:dyDescent="0.3">
      <c r="H1316" s="47"/>
      <c r="I1316" s="47"/>
      <c r="J1316" s="47"/>
      <c r="K1316" s="47"/>
      <c r="L1316" s="47"/>
      <c r="M1316" s="47"/>
      <c r="N1316" s="47"/>
      <c r="O1316" s="47"/>
      <c r="P1316" s="47"/>
      <c r="Q1316" s="47"/>
      <c r="R1316" s="47"/>
      <c r="S1316" s="47"/>
      <c r="T1316" s="47"/>
      <c r="U1316" s="47"/>
    </row>
    <row r="1317" spans="8:21" x14ac:dyDescent="0.3">
      <c r="H1317" s="47"/>
      <c r="I1317" s="47"/>
      <c r="J1317" s="47"/>
      <c r="K1317" s="47"/>
      <c r="L1317" s="47"/>
      <c r="M1317" s="47"/>
      <c r="N1317" s="47"/>
      <c r="O1317" s="47"/>
      <c r="P1317" s="47"/>
      <c r="Q1317" s="47"/>
      <c r="R1317" s="47"/>
      <c r="S1317" s="47"/>
      <c r="T1317" s="47"/>
      <c r="U1317" s="47"/>
    </row>
    <row r="1318" spans="8:21" x14ac:dyDescent="0.3"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  <c r="S1318" s="47"/>
      <c r="T1318" s="47"/>
      <c r="U1318" s="47"/>
    </row>
    <row r="1319" spans="8:21" x14ac:dyDescent="0.3"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  <c r="S1319" s="47"/>
      <c r="T1319" s="47"/>
      <c r="U1319" s="47"/>
    </row>
    <row r="1320" spans="8:21" x14ac:dyDescent="0.3">
      <c r="H1320" s="47"/>
      <c r="I1320" s="47"/>
      <c r="J1320" s="47"/>
      <c r="K1320" s="47"/>
      <c r="L1320" s="47"/>
      <c r="M1320" s="47"/>
      <c r="N1320" s="47"/>
      <c r="O1320" s="47"/>
      <c r="P1320" s="47"/>
      <c r="Q1320" s="47"/>
      <c r="R1320" s="47"/>
      <c r="S1320" s="47"/>
      <c r="T1320" s="47"/>
      <c r="U1320" s="47"/>
    </row>
    <row r="1321" spans="8:21" x14ac:dyDescent="0.3">
      <c r="H1321" s="47"/>
      <c r="I1321" s="47"/>
      <c r="J1321" s="47"/>
      <c r="K1321" s="47"/>
      <c r="L1321" s="47"/>
      <c r="M1321" s="47"/>
      <c r="N1321" s="47"/>
      <c r="O1321" s="47"/>
      <c r="P1321" s="47"/>
      <c r="Q1321" s="47"/>
      <c r="R1321" s="47"/>
      <c r="S1321" s="47"/>
      <c r="T1321" s="47"/>
      <c r="U1321" s="47"/>
    </row>
    <row r="1322" spans="8:21" x14ac:dyDescent="0.3"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  <c r="S1322" s="47"/>
      <c r="T1322" s="47"/>
      <c r="U1322" s="47"/>
    </row>
    <row r="1323" spans="8:21" x14ac:dyDescent="0.3"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  <c r="S1323" s="47"/>
      <c r="T1323" s="47"/>
      <c r="U1323" s="47"/>
    </row>
    <row r="1324" spans="8:21" x14ac:dyDescent="0.3">
      <c r="H1324" s="47"/>
      <c r="I1324" s="47"/>
      <c r="J1324" s="47"/>
      <c r="K1324" s="47"/>
      <c r="L1324" s="47"/>
      <c r="M1324" s="47"/>
      <c r="N1324" s="47"/>
      <c r="O1324" s="47"/>
      <c r="P1324" s="47"/>
      <c r="Q1324" s="47"/>
      <c r="R1324" s="47"/>
      <c r="S1324" s="47"/>
      <c r="T1324" s="47"/>
      <c r="U1324" s="47"/>
    </row>
    <row r="1325" spans="8:21" x14ac:dyDescent="0.3">
      <c r="H1325" s="47"/>
      <c r="I1325" s="47"/>
      <c r="J1325" s="47"/>
      <c r="K1325" s="47"/>
      <c r="L1325" s="47"/>
      <c r="M1325" s="47"/>
      <c r="N1325" s="47"/>
      <c r="O1325" s="47"/>
      <c r="P1325" s="47"/>
      <c r="Q1325" s="47"/>
      <c r="R1325" s="47"/>
      <c r="S1325" s="47"/>
      <c r="T1325" s="47"/>
      <c r="U1325" s="47"/>
    </row>
    <row r="1326" spans="8:21" x14ac:dyDescent="0.3"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  <c r="S1326" s="47"/>
      <c r="T1326" s="47"/>
      <c r="U1326" s="47"/>
    </row>
    <row r="1327" spans="8:21" x14ac:dyDescent="0.3"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  <c r="S1327" s="47"/>
      <c r="T1327" s="47"/>
      <c r="U1327" s="47"/>
    </row>
    <row r="1328" spans="8:21" x14ac:dyDescent="0.3">
      <c r="H1328" s="47"/>
      <c r="I1328" s="47"/>
      <c r="J1328" s="47"/>
      <c r="K1328" s="47"/>
      <c r="L1328" s="47"/>
      <c r="M1328" s="47"/>
      <c r="N1328" s="47"/>
      <c r="O1328" s="47"/>
      <c r="P1328" s="47"/>
      <c r="Q1328" s="47"/>
      <c r="R1328" s="47"/>
      <c r="S1328" s="47"/>
      <c r="T1328" s="47"/>
      <c r="U1328" s="47"/>
    </row>
    <row r="1329" spans="8:21" x14ac:dyDescent="0.3">
      <c r="H1329" s="47"/>
      <c r="I1329" s="47"/>
      <c r="J1329" s="47"/>
      <c r="K1329" s="47"/>
      <c r="L1329" s="47"/>
      <c r="M1329" s="47"/>
      <c r="N1329" s="47"/>
      <c r="O1329" s="47"/>
      <c r="P1329" s="47"/>
      <c r="Q1329" s="47"/>
      <c r="R1329" s="47"/>
      <c r="S1329" s="47"/>
      <c r="T1329" s="47"/>
      <c r="U1329" s="47"/>
    </row>
    <row r="1330" spans="8:21" x14ac:dyDescent="0.3"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  <c r="S1330" s="47"/>
      <c r="T1330" s="47"/>
      <c r="U1330" s="47"/>
    </row>
    <row r="1331" spans="8:21" x14ac:dyDescent="0.3"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  <c r="S1331" s="47"/>
      <c r="T1331" s="47"/>
      <c r="U1331" s="47"/>
    </row>
    <row r="1332" spans="8:21" x14ac:dyDescent="0.3">
      <c r="H1332" s="47"/>
      <c r="I1332" s="47"/>
      <c r="J1332" s="47"/>
      <c r="K1332" s="47"/>
      <c r="L1332" s="47"/>
      <c r="M1332" s="47"/>
      <c r="N1332" s="47"/>
      <c r="O1332" s="47"/>
      <c r="P1332" s="47"/>
      <c r="Q1332" s="47"/>
      <c r="R1332" s="47"/>
      <c r="S1332" s="47"/>
      <c r="T1332" s="47"/>
      <c r="U1332" s="47"/>
    </row>
    <row r="1333" spans="8:21" x14ac:dyDescent="0.3">
      <c r="H1333" s="47"/>
      <c r="I1333" s="47"/>
      <c r="J1333" s="47"/>
      <c r="K1333" s="47"/>
      <c r="L1333" s="47"/>
      <c r="M1333" s="47"/>
      <c r="N1333" s="47"/>
      <c r="O1333" s="47"/>
      <c r="P1333" s="47"/>
      <c r="Q1333" s="47"/>
      <c r="R1333" s="47"/>
      <c r="S1333" s="47"/>
      <c r="T1333" s="47"/>
      <c r="U1333" s="47"/>
    </row>
    <row r="1334" spans="8:21" x14ac:dyDescent="0.3"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  <c r="S1334" s="47"/>
      <c r="T1334" s="47"/>
      <c r="U1334" s="47"/>
    </row>
    <row r="1335" spans="8:21" x14ac:dyDescent="0.3"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  <c r="S1335" s="47"/>
      <c r="T1335" s="47"/>
      <c r="U1335" s="47"/>
    </row>
    <row r="1336" spans="8:21" x14ac:dyDescent="0.3">
      <c r="H1336" s="47"/>
      <c r="I1336" s="47"/>
      <c r="J1336" s="47"/>
      <c r="K1336" s="47"/>
      <c r="L1336" s="47"/>
      <c r="M1336" s="47"/>
      <c r="N1336" s="47"/>
      <c r="O1336" s="47"/>
      <c r="P1336" s="47"/>
      <c r="Q1336" s="47"/>
      <c r="R1336" s="47"/>
      <c r="S1336" s="47"/>
      <c r="T1336" s="47"/>
      <c r="U1336" s="47"/>
    </row>
    <row r="1337" spans="8:21" x14ac:dyDescent="0.3">
      <c r="H1337" s="47"/>
      <c r="I1337" s="47"/>
      <c r="J1337" s="47"/>
      <c r="K1337" s="47"/>
      <c r="L1337" s="47"/>
      <c r="M1337" s="47"/>
      <c r="N1337" s="47"/>
      <c r="O1337" s="47"/>
      <c r="P1337" s="47"/>
      <c r="Q1337" s="47"/>
      <c r="R1337" s="47"/>
      <c r="S1337" s="47"/>
      <c r="T1337" s="47"/>
      <c r="U1337" s="47"/>
    </row>
    <row r="1338" spans="8:21" x14ac:dyDescent="0.3"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  <c r="S1338" s="47"/>
      <c r="T1338" s="47"/>
      <c r="U1338" s="47"/>
    </row>
    <row r="1339" spans="8:21" x14ac:dyDescent="0.3"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  <c r="S1339" s="47"/>
      <c r="T1339" s="47"/>
      <c r="U1339" s="47"/>
    </row>
    <row r="1340" spans="8:21" x14ac:dyDescent="0.3">
      <c r="H1340" s="47"/>
      <c r="I1340" s="47"/>
      <c r="J1340" s="47"/>
      <c r="K1340" s="47"/>
      <c r="L1340" s="47"/>
      <c r="M1340" s="47"/>
      <c r="N1340" s="47"/>
      <c r="O1340" s="47"/>
      <c r="P1340" s="47"/>
      <c r="Q1340" s="47"/>
      <c r="R1340" s="47"/>
      <c r="S1340" s="47"/>
      <c r="T1340" s="47"/>
      <c r="U1340" s="47"/>
    </row>
    <row r="1341" spans="8:21" x14ac:dyDescent="0.3">
      <c r="H1341" s="47"/>
      <c r="I1341" s="47"/>
      <c r="J1341" s="47"/>
      <c r="K1341" s="47"/>
      <c r="L1341" s="47"/>
      <c r="M1341" s="47"/>
      <c r="N1341" s="47"/>
      <c r="O1341" s="47"/>
      <c r="P1341" s="47"/>
      <c r="Q1341" s="47"/>
      <c r="R1341" s="47"/>
      <c r="S1341" s="47"/>
      <c r="T1341" s="47"/>
      <c r="U1341" s="47"/>
    </row>
    <row r="1342" spans="8:21" x14ac:dyDescent="0.3"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  <c r="S1342" s="47"/>
      <c r="T1342" s="47"/>
      <c r="U1342" s="47"/>
    </row>
    <row r="1343" spans="8:21" x14ac:dyDescent="0.3"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  <c r="S1343" s="47"/>
      <c r="T1343" s="47"/>
      <c r="U1343" s="47"/>
    </row>
    <row r="1344" spans="8:21" x14ac:dyDescent="0.3">
      <c r="H1344" s="47"/>
      <c r="I1344" s="47"/>
      <c r="J1344" s="47"/>
      <c r="K1344" s="47"/>
      <c r="L1344" s="47"/>
      <c r="M1344" s="47"/>
      <c r="N1344" s="47"/>
      <c r="O1344" s="47"/>
      <c r="P1344" s="47"/>
      <c r="Q1344" s="47"/>
      <c r="R1344" s="47"/>
      <c r="S1344" s="47"/>
      <c r="T1344" s="47"/>
      <c r="U1344" s="47"/>
    </row>
    <row r="1345" spans="8:21" x14ac:dyDescent="0.3">
      <c r="H1345" s="47"/>
      <c r="I1345" s="47"/>
      <c r="J1345" s="47"/>
      <c r="K1345" s="47"/>
      <c r="L1345" s="47"/>
      <c r="M1345" s="47"/>
      <c r="N1345" s="47"/>
      <c r="O1345" s="47"/>
      <c r="P1345" s="47"/>
      <c r="Q1345" s="47"/>
      <c r="R1345" s="47"/>
      <c r="S1345" s="47"/>
      <c r="T1345" s="47"/>
      <c r="U1345" s="47"/>
    </row>
    <row r="1346" spans="8:21" x14ac:dyDescent="0.3"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  <c r="S1346" s="47"/>
      <c r="T1346" s="47"/>
      <c r="U1346" s="47"/>
    </row>
    <row r="1347" spans="8:21" x14ac:dyDescent="0.3"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  <c r="S1347" s="47"/>
      <c r="T1347" s="47"/>
      <c r="U1347" s="47"/>
    </row>
    <row r="1348" spans="8:21" x14ac:dyDescent="0.3">
      <c r="H1348" s="47"/>
      <c r="I1348" s="47"/>
      <c r="J1348" s="47"/>
      <c r="K1348" s="47"/>
      <c r="L1348" s="47"/>
      <c r="M1348" s="47"/>
      <c r="N1348" s="47"/>
      <c r="O1348" s="47"/>
      <c r="P1348" s="47"/>
      <c r="Q1348" s="47"/>
      <c r="R1348" s="47"/>
      <c r="S1348" s="47"/>
      <c r="T1348" s="47"/>
      <c r="U1348" s="47"/>
    </row>
    <row r="1349" spans="8:21" x14ac:dyDescent="0.3">
      <c r="H1349" s="47"/>
      <c r="I1349" s="47"/>
      <c r="J1349" s="47"/>
      <c r="K1349" s="47"/>
      <c r="L1349" s="47"/>
      <c r="M1349" s="47"/>
      <c r="N1349" s="47"/>
      <c r="O1349" s="47"/>
      <c r="P1349" s="47"/>
      <c r="Q1349" s="47"/>
      <c r="R1349" s="47"/>
      <c r="S1349" s="47"/>
      <c r="T1349" s="47"/>
      <c r="U1349" s="47"/>
    </row>
    <row r="1350" spans="8:21" x14ac:dyDescent="0.3"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  <c r="S1350" s="47"/>
      <c r="T1350" s="47"/>
      <c r="U1350" s="47"/>
    </row>
    <row r="1351" spans="8:21" x14ac:dyDescent="0.3"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  <c r="S1351" s="47"/>
      <c r="T1351" s="47"/>
      <c r="U1351" s="47"/>
    </row>
    <row r="1352" spans="8:21" x14ac:dyDescent="0.3">
      <c r="H1352" s="47"/>
      <c r="I1352" s="47"/>
      <c r="J1352" s="47"/>
      <c r="K1352" s="47"/>
      <c r="L1352" s="47"/>
      <c r="M1352" s="47"/>
      <c r="N1352" s="47"/>
      <c r="O1352" s="47"/>
      <c r="P1352" s="47"/>
      <c r="Q1352" s="47"/>
      <c r="R1352" s="47"/>
      <c r="S1352" s="47"/>
      <c r="T1352" s="47"/>
      <c r="U1352" s="47"/>
    </row>
    <row r="1353" spans="8:21" x14ac:dyDescent="0.3">
      <c r="H1353" s="47"/>
      <c r="I1353" s="47"/>
      <c r="J1353" s="47"/>
      <c r="K1353" s="47"/>
      <c r="L1353" s="47"/>
      <c r="M1353" s="47"/>
      <c r="N1353" s="47"/>
      <c r="O1353" s="47"/>
      <c r="P1353" s="47"/>
      <c r="Q1353" s="47"/>
      <c r="R1353" s="47"/>
      <c r="S1353" s="47"/>
      <c r="T1353" s="47"/>
      <c r="U1353" s="47"/>
    </row>
    <row r="1354" spans="8:21" x14ac:dyDescent="0.3"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  <c r="S1354" s="47"/>
      <c r="T1354" s="47"/>
      <c r="U1354" s="47"/>
    </row>
    <row r="1355" spans="8:21" x14ac:dyDescent="0.3"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  <c r="S1355" s="47"/>
      <c r="T1355" s="47"/>
      <c r="U1355" s="47"/>
    </row>
    <row r="1356" spans="8:21" x14ac:dyDescent="0.3">
      <c r="H1356" s="47"/>
      <c r="I1356" s="47"/>
      <c r="J1356" s="47"/>
      <c r="K1356" s="47"/>
      <c r="L1356" s="47"/>
      <c r="M1356" s="47"/>
      <c r="N1356" s="47"/>
      <c r="O1356" s="47"/>
      <c r="P1356" s="47"/>
      <c r="Q1356" s="47"/>
      <c r="R1356" s="47"/>
      <c r="S1356" s="47"/>
      <c r="T1356" s="47"/>
      <c r="U1356" s="47"/>
    </row>
    <row r="1357" spans="8:21" x14ac:dyDescent="0.3">
      <c r="H1357" s="47"/>
      <c r="I1357" s="47"/>
      <c r="J1357" s="47"/>
      <c r="K1357" s="47"/>
      <c r="L1357" s="47"/>
      <c r="M1357" s="47"/>
      <c r="N1357" s="47"/>
      <c r="O1357" s="47"/>
      <c r="P1357" s="47"/>
      <c r="Q1357" s="47"/>
      <c r="R1357" s="47"/>
      <c r="S1357" s="47"/>
      <c r="T1357" s="47"/>
      <c r="U1357" s="47"/>
    </row>
    <row r="1358" spans="8:21" x14ac:dyDescent="0.3"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  <c r="S1358" s="47"/>
      <c r="T1358" s="47"/>
      <c r="U1358" s="47"/>
    </row>
    <row r="1359" spans="8:21" x14ac:dyDescent="0.3"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  <c r="S1359" s="47"/>
      <c r="T1359" s="47"/>
      <c r="U1359" s="47"/>
    </row>
    <row r="1360" spans="8:21" x14ac:dyDescent="0.3">
      <c r="H1360" s="47"/>
      <c r="I1360" s="47"/>
      <c r="J1360" s="47"/>
      <c r="K1360" s="47"/>
      <c r="L1360" s="47"/>
      <c r="M1360" s="47"/>
      <c r="N1360" s="47"/>
      <c r="O1360" s="47"/>
      <c r="P1360" s="47"/>
      <c r="Q1360" s="47"/>
      <c r="R1360" s="47"/>
      <c r="S1360" s="47"/>
      <c r="T1360" s="47"/>
      <c r="U1360" s="47"/>
    </row>
    <row r="1361" spans="8:21" x14ac:dyDescent="0.3">
      <c r="H1361" s="47"/>
      <c r="I1361" s="47"/>
      <c r="J1361" s="47"/>
      <c r="K1361" s="47"/>
      <c r="L1361" s="47"/>
      <c r="M1361" s="47"/>
      <c r="N1361" s="47"/>
      <c r="O1361" s="47"/>
      <c r="P1361" s="47"/>
      <c r="Q1361" s="47"/>
      <c r="R1361" s="47"/>
      <c r="S1361" s="47"/>
      <c r="T1361" s="47"/>
      <c r="U1361" s="47"/>
    </row>
    <row r="1362" spans="8:21" x14ac:dyDescent="0.3"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  <c r="S1362" s="47"/>
      <c r="T1362" s="47"/>
      <c r="U1362" s="47"/>
    </row>
    <row r="1363" spans="8:21" x14ac:dyDescent="0.3"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  <c r="S1363" s="47"/>
      <c r="T1363" s="47"/>
      <c r="U1363" s="47"/>
    </row>
    <row r="1364" spans="8:21" x14ac:dyDescent="0.3">
      <c r="H1364" s="47"/>
      <c r="I1364" s="47"/>
      <c r="J1364" s="47"/>
      <c r="K1364" s="47"/>
      <c r="L1364" s="47"/>
      <c r="M1364" s="47"/>
      <c r="N1364" s="47"/>
      <c r="O1364" s="47"/>
      <c r="P1364" s="47"/>
      <c r="Q1364" s="47"/>
      <c r="R1364" s="47"/>
      <c r="S1364" s="47"/>
      <c r="T1364" s="47"/>
      <c r="U1364" s="47"/>
    </row>
    <row r="1365" spans="8:21" x14ac:dyDescent="0.3">
      <c r="H1365" s="47"/>
      <c r="I1365" s="47"/>
      <c r="J1365" s="47"/>
      <c r="K1365" s="47"/>
      <c r="L1365" s="47"/>
      <c r="M1365" s="47"/>
      <c r="N1365" s="47"/>
      <c r="O1365" s="47"/>
      <c r="P1365" s="47"/>
      <c r="Q1365" s="47"/>
      <c r="R1365" s="47"/>
      <c r="S1365" s="47"/>
      <c r="T1365" s="47"/>
      <c r="U1365" s="47"/>
    </row>
    <row r="1366" spans="8:21" x14ac:dyDescent="0.3"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  <c r="S1366" s="47"/>
      <c r="T1366" s="47"/>
      <c r="U1366" s="47"/>
    </row>
    <row r="1367" spans="8:21" x14ac:dyDescent="0.3"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  <c r="S1367" s="47"/>
      <c r="T1367" s="47"/>
      <c r="U1367" s="47"/>
    </row>
    <row r="1368" spans="8:21" x14ac:dyDescent="0.3">
      <c r="H1368" s="47"/>
      <c r="I1368" s="47"/>
      <c r="J1368" s="47"/>
      <c r="K1368" s="47"/>
      <c r="L1368" s="47"/>
      <c r="M1368" s="47"/>
      <c r="N1368" s="47"/>
      <c r="O1368" s="47"/>
      <c r="P1368" s="47"/>
      <c r="Q1368" s="47"/>
      <c r="R1368" s="47"/>
      <c r="S1368" s="47"/>
      <c r="T1368" s="47"/>
      <c r="U1368" s="47"/>
    </row>
    <row r="1369" spans="8:21" x14ac:dyDescent="0.3">
      <c r="H1369" s="47"/>
      <c r="I1369" s="47"/>
      <c r="J1369" s="47"/>
      <c r="K1369" s="47"/>
      <c r="L1369" s="47"/>
      <c r="M1369" s="47"/>
      <c r="N1369" s="47"/>
      <c r="O1369" s="47"/>
      <c r="P1369" s="47"/>
      <c r="Q1369" s="47"/>
      <c r="R1369" s="47"/>
      <c r="S1369" s="47"/>
      <c r="T1369" s="47"/>
      <c r="U1369" s="47"/>
    </row>
    <row r="1370" spans="8:21" x14ac:dyDescent="0.3"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  <c r="S1370" s="47"/>
      <c r="T1370" s="47"/>
      <c r="U1370" s="47"/>
    </row>
    <row r="1371" spans="8:21" x14ac:dyDescent="0.3"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  <c r="S1371" s="47"/>
      <c r="T1371" s="47"/>
      <c r="U1371" s="47"/>
    </row>
    <row r="1372" spans="8:21" x14ac:dyDescent="0.3">
      <c r="H1372" s="47"/>
      <c r="I1372" s="47"/>
      <c r="J1372" s="47"/>
      <c r="K1372" s="47"/>
      <c r="L1372" s="47"/>
      <c r="M1372" s="47"/>
      <c r="N1372" s="47"/>
      <c r="O1372" s="47"/>
      <c r="P1372" s="47"/>
      <c r="Q1372" s="47"/>
      <c r="R1372" s="47"/>
      <c r="S1372" s="47"/>
      <c r="T1372" s="47"/>
      <c r="U1372" s="47"/>
    </row>
    <row r="1373" spans="8:21" x14ac:dyDescent="0.3">
      <c r="H1373" s="47"/>
      <c r="I1373" s="47"/>
      <c r="J1373" s="47"/>
      <c r="K1373" s="47"/>
      <c r="L1373" s="47"/>
      <c r="M1373" s="47"/>
      <c r="N1373" s="47"/>
      <c r="O1373" s="47"/>
      <c r="P1373" s="47"/>
      <c r="Q1373" s="47"/>
      <c r="R1373" s="47"/>
      <c r="S1373" s="47"/>
      <c r="T1373" s="47"/>
      <c r="U1373" s="47"/>
    </row>
    <row r="1374" spans="8:21" x14ac:dyDescent="0.3"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  <c r="S1374" s="47"/>
      <c r="T1374" s="47"/>
      <c r="U1374" s="47"/>
    </row>
    <row r="1375" spans="8:21" x14ac:dyDescent="0.3"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  <c r="S1375" s="47"/>
      <c r="T1375" s="47"/>
      <c r="U1375" s="47"/>
    </row>
    <row r="1376" spans="8:21" x14ac:dyDescent="0.3">
      <c r="H1376" s="47"/>
      <c r="I1376" s="47"/>
      <c r="J1376" s="47"/>
      <c r="K1376" s="47"/>
      <c r="L1376" s="47"/>
      <c r="M1376" s="47"/>
      <c r="N1376" s="47"/>
      <c r="O1376" s="47"/>
      <c r="P1376" s="47"/>
      <c r="Q1376" s="47"/>
      <c r="R1376" s="47"/>
      <c r="S1376" s="47"/>
      <c r="T1376" s="47"/>
      <c r="U1376" s="47"/>
    </row>
    <row r="1377" spans="8:21" x14ac:dyDescent="0.3">
      <c r="H1377" s="47"/>
      <c r="I1377" s="47"/>
      <c r="J1377" s="47"/>
      <c r="K1377" s="47"/>
      <c r="L1377" s="47"/>
      <c r="M1377" s="47"/>
      <c r="N1377" s="47"/>
      <c r="O1377" s="47"/>
      <c r="P1377" s="47"/>
      <c r="Q1377" s="47"/>
      <c r="R1377" s="47"/>
      <c r="S1377" s="47"/>
      <c r="T1377" s="47"/>
      <c r="U1377" s="47"/>
    </row>
    <row r="1378" spans="8:21" x14ac:dyDescent="0.3"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  <c r="S1378" s="47"/>
      <c r="T1378" s="47"/>
      <c r="U1378" s="47"/>
    </row>
    <row r="1379" spans="8:21" x14ac:dyDescent="0.3"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  <c r="S1379" s="47"/>
      <c r="T1379" s="47"/>
      <c r="U1379" s="47"/>
    </row>
    <row r="1380" spans="8:21" x14ac:dyDescent="0.3">
      <c r="H1380" s="47"/>
      <c r="I1380" s="47"/>
      <c r="J1380" s="47"/>
      <c r="K1380" s="47"/>
      <c r="L1380" s="47"/>
      <c r="M1380" s="47"/>
      <c r="N1380" s="47"/>
      <c r="O1380" s="47"/>
      <c r="P1380" s="47"/>
      <c r="Q1380" s="47"/>
      <c r="R1380" s="47"/>
      <c r="S1380" s="47"/>
      <c r="T1380" s="47"/>
      <c r="U1380" s="47"/>
    </row>
    <row r="1381" spans="8:21" x14ac:dyDescent="0.3">
      <c r="H1381" s="47"/>
      <c r="I1381" s="47"/>
      <c r="J1381" s="47"/>
      <c r="K1381" s="47"/>
      <c r="L1381" s="47"/>
      <c r="M1381" s="47"/>
      <c r="N1381" s="47"/>
      <c r="O1381" s="47"/>
      <c r="P1381" s="47"/>
      <c r="Q1381" s="47"/>
      <c r="R1381" s="47"/>
      <c r="S1381" s="47"/>
      <c r="T1381" s="47"/>
      <c r="U1381" s="47"/>
    </row>
    <row r="1382" spans="8:21" x14ac:dyDescent="0.3"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  <c r="S1382" s="47"/>
      <c r="T1382" s="47"/>
      <c r="U1382" s="47"/>
    </row>
    <row r="1383" spans="8:21" x14ac:dyDescent="0.3"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  <c r="S1383" s="47"/>
      <c r="T1383" s="47"/>
      <c r="U1383" s="47"/>
    </row>
    <row r="1384" spans="8:21" x14ac:dyDescent="0.3">
      <c r="H1384" s="47"/>
      <c r="I1384" s="47"/>
      <c r="J1384" s="47"/>
      <c r="K1384" s="47"/>
      <c r="L1384" s="47"/>
      <c r="M1384" s="47"/>
      <c r="N1384" s="47"/>
      <c r="O1384" s="47"/>
      <c r="P1384" s="47"/>
      <c r="Q1384" s="47"/>
      <c r="R1384" s="47"/>
      <c r="S1384" s="47"/>
      <c r="T1384" s="47"/>
      <c r="U1384" s="47"/>
    </row>
    <row r="1385" spans="8:21" x14ac:dyDescent="0.3">
      <c r="H1385" s="47"/>
      <c r="I1385" s="47"/>
      <c r="J1385" s="47"/>
      <c r="K1385" s="47"/>
      <c r="L1385" s="47"/>
      <c r="M1385" s="47"/>
      <c r="N1385" s="47"/>
      <c r="O1385" s="47"/>
      <c r="P1385" s="47"/>
      <c r="Q1385" s="47"/>
      <c r="R1385" s="47"/>
      <c r="S1385" s="47"/>
      <c r="T1385" s="47"/>
      <c r="U1385" s="47"/>
    </row>
    <row r="1386" spans="8:21" x14ac:dyDescent="0.3"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  <c r="S1386" s="47"/>
      <c r="T1386" s="47"/>
      <c r="U1386" s="47"/>
    </row>
    <row r="1387" spans="8:21" x14ac:dyDescent="0.3"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  <c r="S1387" s="47"/>
      <c r="T1387" s="47"/>
      <c r="U1387" s="47"/>
    </row>
    <row r="1388" spans="8:21" x14ac:dyDescent="0.3">
      <c r="H1388" s="47"/>
      <c r="I1388" s="47"/>
      <c r="J1388" s="47"/>
      <c r="K1388" s="47"/>
      <c r="L1388" s="47"/>
      <c r="M1388" s="47"/>
      <c r="N1388" s="47"/>
      <c r="O1388" s="47"/>
      <c r="P1388" s="47"/>
      <c r="Q1388" s="47"/>
      <c r="R1388" s="47"/>
      <c r="S1388" s="47"/>
      <c r="T1388" s="47"/>
      <c r="U1388" s="47"/>
    </row>
    <row r="1389" spans="8:21" x14ac:dyDescent="0.3">
      <c r="H1389" s="47"/>
      <c r="I1389" s="47"/>
      <c r="J1389" s="47"/>
      <c r="K1389" s="47"/>
      <c r="L1389" s="47"/>
      <c r="M1389" s="47"/>
      <c r="N1389" s="47"/>
      <c r="O1389" s="47"/>
      <c r="P1389" s="47"/>
      <c r="Q1389" s="47"/>
      <c r="R1389" s="47"/>
      <c r="S1389" s="47"/>
      <c r="T1389" s="47"/>
      <c r="U1389" s="47"/>
    </row>
    <row r="1390" spans="8:21" x14ac:dyDescent="0.3"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  <c r="S1390" s="47"/>
      <c r="T1390" s="47"/>
      <c r="U1390" s="47"/>
    </row>
    <row r="1391" spans="8:21" x14ac:dyDescent="0.3"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  <c r="S1391" s="47"/>
      <c r="T1391" s="47"/>
      <c r="U1391" s="47"/>
    </row>
    <row r="1392" spans="8:21" x14ac:dyDescent="0.3">
      <c r="H1392" s="47"/>
      <c r="I1392" s="47"/>
      <c r="J1392" s="47"/>
      <c r="K1392" s="47"/>
      <c r="L1392" s="47"/>
      <c r="M1392" s="47"/>
      <c r="N1392" s="47"/>
      <c r="O1392" s="47"/>
      <c r="P1392" s="47"/>
      <c r="Q1392" s="47"/>
      <c r="R1392" s="47"/>
      <c r="S1392" s="47"/>
      <c r="T1392" s="47"/>
      <c r="U1392" s="47"/>
    </row>
    <row r="1393" spans="8:21" x14ac:dyDescent="0.3">
      <c r="H1393" s="47"/>
      <c r="I1393" s="47"/>
      <c r="J1393" s="47"/>
      <c r="K1393" s="47"/>
      <c r="L1393" s="47"/>
      <c r="M1393" s="47"/>
      <c r="N1393" s="47"/>
      <c r="O1393" s="47"/>
      <c r="P1393" s="47"/>
      <c r="Q1393" s="47"/>
      <c r="R1393" s="47"/>
      <c r="S1393" s="47"/>
      <c r="T1393" s="47"/>
      <c r="U1393" s="47"/>
    </row>
    <row r="1394" spans="8:21" x14ac:dyDescent="0.3"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  <c r="S1394" s="47"/>
      <c r="T1394" s="47"/>
      <c r="U1394" s="47"/>
    </row>
    <row r="1395" spans="8:21" x14ac:dyDescent="0.3"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  <c r="S1395" s="47"/>
      <c r="T1395" s="47"/>
      <c r="U1395" s="47"/>
    </row>
    <row r="1396" spans="8:21" x14ac:dyDescent="0.3">
      <c r="H1396" s="47"/>
      <c r="I1396" s="47"/>
      <c r="J1396" s="47"/>
      <c r="K1396" s="47"/>
      <c r="L1396" s="47"/>
      <c r="M1396" s="47"/>
      <c r="N1396" s="47"/>
      <c r="O1396" s="47"/>
      <c r="P1396" s="47"/>
      <c r="Q1396" s="47"/>
      <c r="R1396" s="47"/>
      <c r="S1396" s="47"/>
      <c r="T1396" s="47"/>
      <c r="U1396" s="47"/>
    </row>
    <row r="1397" spans="8:21" x14ac:dyDescent="0.3">
      <c r="H1397" s="47"/>
      <c r="I1397" s="47"/>
      <c r="J1397" s="47"/>
      <c r="K1397" s="47"/>
      <c r="L1397" s="47"/>
      <c r="M1397" s="47"/>
      <c r="N1397" s="47"/>
      <c r="O1397" s="47"/>
      <c r="P1397" s="47"/>
      <c r="Q1397" s="47"/>
      <c r="R1397" s="47"/>
      <c r="S1397" s="47"/>
      <c r="T1397" s="47"/>
      <c r="U1397" s="47"/>
    </row>
    <row r="1398" spans="8:21" x14ac:dyDescent="0.3"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  <c r="S1398" s="47"/>
      <c r="T1398" s="47"/>
      <c r="U1398" s="47"/>
    </row>
    <row r="1399" spans="8:21" x14ac:dyDescent="0.3"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  <c r="S1399" s="47"/>
      <c r="T1399" s="47"/>
      <c r="U1399" s="47"/>
    </row>
    <row r="1400" spans="8:21" x14ac:dyDescent="0.3">
      <c r="H1400" s="47"/>
      <c r="I1400" s="47"/>
      <c r="J1400" s="47"/>
      <c r="K1400" s="47"/>
      <c r="L1400" s="47"/>
      <c r="M1400" s="47"/>
      <c r="N1400" s="47"/>
      <c r="O1400" s="47"/>
      <c r="P1400" s="47"/>
      <c r="Q1400" s="47"/>
      <c r="R1400" s="47"/>
      <c r="S1400" s="47"/>
      <c r="T1400" s="47"/>
      <c r="U1400" s="47"/>
    </row>
    <row r="1401" spans="8:21" x14ac:dyDescent="0.3">
      <c r="H1401" s="47"/>
      <c r="I1401" s="47"/>
      <c r="J1401" s="47"/>
      <c r="K1401" s="47"/>
      <c r="L1401" s="47"/>
      <c r="M1401" s="47"/>
      <c r="N1401" s="47"/>
      <c r="O1401" s="47"/>
      <c r="P1401" s="47"/>
      <c r="Q1401" s="47"/>
      <c r="R1401" s="47"/>
      <c r="S1401" s="47"/>
      <c r="T1401" s="47"/>
      <c r="U1401" s="47"/>
    </row>
    <row r="1402" spans="8:21" x14ac:dyDescent="0.3"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  <c r="S1402" s="47"/>
      <c r="T1402" s="47"/>
      <c r="U1402" s="47"/>
    </row>
    <row r="1403" spans="8:21" x14ac:dyDescent="0.3"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  <c r="S1403" s="47"/>
      <c r="T1403" s="47"/>
      <c r="U1403" s="47"/>
    </row>
    <row r="1404" spans="8:21" x14ac:dyDescent="0.3">
      <c r="H1404" s="47"/>
      <c r="I1404" s="47"/>
      <c r="J1404" s="47"/>
      <c r="K1404" s="47"/>
      <c r="L1404" s="47"/>
      <c r="M1404" s="47"/>
      <c r="N1404" s="47"/>
      <c r="O1404" s="47"/>
      <c r="P1404" s="47"/>
      <c r="Q1404" s="47"/>
      <c r="R1404" s="47"/>
      <c r="S1404" s="47"/>
      <c r="T1404" s="47"/>
      <c r="U1404" s="47"/>
    </row>
    <row r="1405" spans="8:21" x14ac:dyDescent="0.3">
      <c r="H1405" s="47"/>
      <c r="I1405" s="47"/>
      <c r="J1405" s="47"/>
      <c r="K1405" s="47"/>
      <c r="L1405" s="47"/>
      <c r="M1405" s="47"/>
      <c r="N1405" s="47"/>
      <c r="O1405" s="47"/>
      <c r="P1405" s="47"/>
      <c r="Q1405" s="47"/>
      <c r="R1405" s="47"/>
      <c r="S1405" s="47"/>
      <c r="T1405" s="47"/>
      <c r="U1405" s="47"/>
    </row>
    <row r="1406" spans="8:21" x14ac:dyDescent="0.3"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  <c r="S1406" s="47"/>
      <c r="T1406" s="47"/>
      <c r="U1406" s="47"/>
    </row>
    <row r="1407" spans="8:21" x14ac:dyDescent="0.3"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  <c r="S1407" s="47"/>
      <c r="T1407" s="47"/>
      <c r="U1407" s="47"/>
    </row>
    <row r="1408" spans="8:21" x14ac:dyDescent="0.3">
      <c r="H1408" s="47"/>
      <c r="I1408" s="47"/>
      <c r="J1408" s="47"/>
      <c r="K1408" s="47"/>
      <c r="L1408" s="47"/>
      <c r="M1408" s="47"/>
      <c r="N1408" s="47"/>
      <c r="O1408" s="47"/>
      <c r="P1408" s="47"/>
      <c r="Q1408" s="47"/>
      <c r="R1408" s="47"/>
      <c r="S1408" s="47"/>
      <c r="T1408" s="47"/>
      <c r="U1408" s="47"/>
    </row>
    <row r="1409" spans="8:21" x14ac:dyDescent="0.3">
      <c r="H1409" s="47"/>
      <c r="I1409" s="47"/>
      <c r="J1409" s="47"/>
      <c r="K1409" s="47"/>
      <c r="L1409" s="47"/>
      <c r="M1409" s="47"/>
      <c r="N1409" s="47"/>
      <c r="O1409" s="47"/>
      <c r="P1409" s="47"/>
      <c r="Q1409" s="47"/>
      <c r="R1409" s="47"/>
      <c r="S1409" s="47"/>
      <c r="T1409" s="47"/>
      <c r="U1409" s="47"/>
    </row>
    <row r="1410" spans="8:21" x14ac:dyDescent="0.3"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  <c r="S1410" s="47"/>
      <c r="T1410" s="47"/>
      <c r="U1410" s="47"/>
    </row>
    <row r="1411" spans="8:21" x14ac:dyDescent="0.3"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  <c r="S1411" s="47"/>
      <c r="T1411" s="47"/>
      <c r="U1411" s="47"/>
    </row>
    <row r="1412" spans="8:21" x14ac:dyDescent="0.3">
      <c r="H1412" s="47"/>
      <c r="I1412" s="47"/>
      <c r="J1412" s="47"/>
      <c r="K1412" s="47"/>
      <c r="L1412" s="47"/>
      <c r="M1412" s="47"/>
      <c r="N1412" s="47"/>
      <c r="O1412" s="47"/>
      <c r="P1412" s="47"/>
      <c r="Q1412" s="47"/>
      <c r="R1412" s="47"/>
      <c r="S1412" s="47"/>
      <c r="T1412" s="47"/>
      <c r="U1412" s="47"/>
    </row>
    <row r="1413" spans="8:21" x14ac:dyDescent="0.3">
      <c r="H1413" s="47"/>
      <c r="I1413" s="47"/>
      <c r="J1413" s="47"/>
      <c r="K1413" s="47"/>
      <c r="L1413" s="47"/>
      <c r="M1413" s="47"/>
      <c r="N1413" s="47"/>
      <c r="O1413" s="47"/>
      <c r="P1413" s="47"/>
      <c r="Q1413" s="47"/>
      <c r="R1413" s="47"/>
      <c r="S1413" s="47"/>
      <c r="T1413" s="47"/>
      <c r="U1413" s="47"/>
    </row>
    <row r="1414" spans="8:21" x14ac:dyDescent="0.3"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  <c r="S1414" s="47"/>
      <c r="T1414" s="47"/>
      <c r="U1414" s="47"/>
    </row>
    <row r="1415" spans="8:21" x14ac:dyDescent="0.3"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  <c r="S1415" s="47"/>
      <c r="T1415" s="47"/>
      <c r="U1415" s="47"/>
    </row>
    <row r="1416" spans="8:21" x14ac:dyDescent="0.3">
      <c r="H1416" s="47"/>
      <c r="I1416" s="47"/>
      <c r="J1416" s="47"/>
      <c r="K1416" s="47"/>
      <c r="L1416" s="47"/>
      <c r="M1416" s="47"/>
      <c r="N1416" s="47"/>
      <c r="O1416" s="47"/>
      <c r="P1416" s="47"/>
      <c r="Q1416" s="47"/>
      <c r="R1416" s="47"/>
      <c r="S1416" s="47"/>
      <c r="T1416" s="47"/>
      <c r="U1416" s="47"/>
    </row>
    <row r="1417" spans="8:21" x14ac:dyDescent="0.3">
      <c r="H1417" s="47"/>
      <c r="I1417" s="47"/>
      <c r="J1417" s="47"/>
      <c r="K1417" s="47"/>
      <c r="L1417" s="47"/>
      <c r="M1417" s="47"/>
      <c r="N1417" s="47"/>
      <c r="O1417" s="47"/>
      <c r="P1417" s="47"/>
      <c r="Q1417" s="47"/>
      <c r="R1417" s="47"/>
      <c r="S1417" s="47"/>
      <c r="T1417" s="47"/>
      <c r="U1417" s="47"/>
    </row>
    <row r="1418" spans="8:21" x14ac:dyDescent="0.3"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  <c r="S1418" s="47"/>
      <c r="T1418" s="47"/>
      <c r="U1418" s="47"/>
    </row>
    <row r="1419" spans="8:21" x14ac:dyDescent="0.3"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  <c r="S1419" s="47"/>
      <c r="T1419" s="47"/>
      <c r="U1419" s="47"/>
    </row>
    <row r="1420" spans="8:21" x14ac:dyDescent="0.3">
      <c r="H1420" s="47"/>
      <c r="I1420" s="47"/>
      <c r="J1420" s="47"/>
      <c r="K1420" s="47"/>
      <c r="L1420" s="47"/>
      <c r="M1420" s="47"/>
      <c r="N1420" s="47"/>
      <c r="O1420" s="47"/>
      <c r="P1420" s="47"/>
      <c r="Q1420" s="47"/>
      <c r="R1420" s="47"/>
      <c r="S1420" s="47"/>
      <c r="T1420" s="47"/>
      <c r="U1420" s="47"/>
    </row>
    <row r="1421" spans="8:21" x14ac:dyDescent="0.3">
      <c r="H1421" s="47"/>
      <c r="I1421" s="47"/>
      <c r="J1421" s="47"/>
      <c r="K1421" s="47"/>
      <c r="L1421" s="47"/>
      <c r="M1421" s="47"/>
      <c r="N1421" s="47"/>
      <c r="O1421" s="47"/>
      <c r="P1421" s="47"/>
      <c r="Q1421" s="47"/>
      <c r="R1421" s="47"/>
      <c r="S1421" s="47"/>
      <c r="T1421" s="47"/>
      <c r="U1421" s="47"/>
    </row>
    <row r="1422" spans="8:21" x14ac:dyDescent="0.3"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  <c r="S1422" s="47"/>
      <c r="T1422" s="47"/>
      <c r="U1422" s="47"/>
    </row>
    <row r="1423" spans="8:21" x14ac:dyDescent="0.3"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  <c r="S1423" s="47"/>
      <c r="T1423" s="47"/>
      <c r="U1423" s="47"/>
    </row>
    <row r="1424" spans="8:21" x14ac:dyDescent="0.3">
      <c r="H1424" s="47"/>
      <c r="I1424" s="47"/>
      <c r="J1424" s="47"/>
      <c r="K1424" s="47"/>
      <c r="L1424" s="47"/>
      <c r="M1424" s="47"/>
      <c r="N1424" s="47"/>
      <c r="O1424" s="47"/>
      <c r="P1424" s="47"/>
      <c r="Q1424" s="47"/>
      <c r="R1424" s="47"/>
      <c r="S1424" s="47"/>
      <c r="T1424" s="47"/>
      <c r="U1424" s="47"/>
    </row>
    <row r="1425" spans="8:21" x14ac:dyDescent="0.3">
      <c r="H1425" s="47"/>
      <c r="I1425" s="47"/>
      <c r="J1425" s="47"/>
      <c r="K1425" s="47"/>
      <c r="L1425" s="47"/>
      <c r="M1425" s="47"/>
      <c r="N1425" s="47"/>
      <c r="O1425" s="47"/>
      <c r="P1425" s="47"/>
      <c r="Q1425" s="47"/>
      <c r="R1425" s="47"/>
      <c r="S1425" s="47"/>
      <c r="T1425" s="47"/>
      <c r="U1425" s="47"/>
    </row>
    <row r="1426" spans="8:21" x14ac:dyDescent="0.3"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  <c r="S1426" s="47"/>
      <c r="T1426" s="47"/>
      <c r="U1426" s="47"/>
    </row>
    <row r="1427" spans="8:21" x14ac:dyDescent="0.3"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  <c r="S1427" s="47"/>
      <c r="T1427" s="47"/>
      <c r="U1427" s="47"/>
    </row>
    <row r="1428" spans="8:21" x14ac:dyDescent="0.3">
      <c r="H1428" s="47"/>
      <c r="I1428" s="47"/>
      <c r="J1428" s="47"/>
      <c r="K1428" s="47"/>
      <c r="L1428" s="47"/>
      <c r="M1428" s="47"/>
      <c r="N1428" s="47"/>
      <c r="O1428" s="47"/>
      <c r="P1428" s="47"/>
      <c r="Q1428" s="47"/>
      <c r="R1428" s="47"/>
      <c r="S1428" s="47"/>
      <c r="T1428" s="47"/>
      <c r="U1428" s="47"/>
    </row>
    <row r="1429" spans="8:21" x14ac:dyDescent="0.3">
      <c r="H1429" s="47"/>
      <c r="I1429" s="47"/>
      <c r="J1429" s="47"/>
      <c r="K1429" s="47"/>
      <c r="L1429" s="47"/>
      <c r="M1429" s="47"/>
      <c r="N1429" s="47"/>
      <c r="O1429" s="47"/>
      <c r="P1429" s="47"/>
      <c r="Q1429" s="47"/>
      <c r="R1429" s="47"/>
      <c r="S1429" s="47"/>
      <c r="T1429" s="47"/>
      <c r="U1429" s="47"/>
    </row>
    <row r="1430" spans="8:21" x14ac:dyDescent="0.3"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  <c r="S1430" s="47"/>
      <c r="T1430" s="47"/>
      <c r="U1430" s="47"/>
    </row>
    <row r="1431" spans="8:21" x14ac:dyDescent="0.3"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  <c r="S1431" s="47"/>
      <c r="T1431" s="47"/>
      <c r="U1431" s="47"/>
    </row>
    <row r="1432" spans="8:21" x14ac:dyDescent="0.3">
      <c r="H1432" s="47"/>
      <c r="I1432" s="47"/>
      <c r="J1432" s="47"/>
      <c r="K1432" s="47"/>
      <c r="L1432" s="47"/>
      <c r="M1432" s="47"/>
      <c r="N1432" s="47"/>
      <c r="O1432" s="47"/>
      <c r="P1432" s="47"/>
      <c r="Q1432" s="47"/>
      <c r="R1432" s="47"/>
      <c r="S1432" s="47"/>
      <c r="T1432" s="47"/>
      <c r="U1432" s="47"/>
    </row>
    <row r="1433" spans="8:21" x14ac:dyDescent="0.3">
      <c r="H1433" s="47"/>
      <c r="I1433" s="47"/>
      <c r="J1433" s="47"/>
      <c r="K1433" s="47"/>
      <c r="L1433" s="47"/>
      <c r="M1433" s="47"/>
      <c r="N1433" s="47"/>
      <c r="O1433" s="47"/>
      <c r="P1433" s="47"/>
      <c r="Q1433" s="47"/>
      <c r="R1433" s="47"/>
      <c r="S1433" s="47"/>
      <c r="T1433" s="47"/>
      <c r="U1433" s="47"/>
    </row>
    <row r="1434" spans="8:21" x14ac:dyDescent="0.3"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  <c r="S1434" s="47"/>
      <c r="T1434" s="47"/>
      <c r="U1434" s="47"/>
    </row>
    <row r="1435" spans="8:21" x14ac:dyDescent="0.3"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  <c r="S1435" s="47"/>
      <c r="T1435" s="47"/>
      <c r="U1435" s="47"/>
    </row>
    <row r="1436" spans="8:21" x14ac:dyDescent="0.3">
      <c r="H1436" s="47"/>
      <c r="I1436" s="47"/>
      <c r="J1436" s="47"/>
      <c r="K1436" s="47"/>
      <c r="L1436" s="47"/>
      <c r="M1436" s="47"/>
      <c r="N1436" s="47"/>
      <c r="O1436" s="47"/>
      <c r="P1436" s="47"/>
      <c r="Q1436" s="47"/>
      <c r="R1436" s="47"/>
      <c r="S1436" s="47"/>
      <c r="T1436" s="47"/>
      <c r="U1436" s="47"/>
    </row>
    <row r="1437" spans="8:21" x14ac:dyDescent="0.3">
      <c r="H1437" s="47"/>
      <c r="I1437" s="47"/>
      <c r="J1437" s="47"/>
      <c r="K1437" s="47"/>
      <c r="L1437" s="47"/>
      <c r="M1437" s="47"/>
      <c r="N1437" s="47"/>
      <c r="O1437" s="47"/>
      <c r="P1437" s="47"/>
      <c r="Q1437" s="47"/>
      <c r="R1437" s="47"/>
      <c r="S1437" s="47"/>
      <c r="T1437" s="47"/>
      <c r="U1437" s="47"/>
    </row>
    <row r="1438" spans="8:21" x14ac:dyDescent="0.3">
      <c r="H1438" s="47"/>
      <c r="I1438" s="47"/>
      <c r="J1438" s="47"/>
      <c r="K1438" s="47"/>
      <c r="L1438" s="47"/>
      <c r="M1438" s="47"/>
      <c r="N1438" s="47"/>
      <c r="O1438" s="47"/>
      <c r="P1438" s="47"/>
      <c r="Q1438" s="47"/>
      <c r="R1438" s="47"/>
      <c r="S1438" s="47"/>
      <c r="T1438" s="47"/>
      <c r="U1438" s="47"/>
    </row>
    <row r="1439" spans="8:21" x14ac:dyDescent="0.3"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  <c r="S1439" s="47"/>
      <c r="T1439" s="47"/>
      <c r="U1439" s="47"/>
    </row>
    <row r="1440" spans="8:21" x14ac:dyDescent="0.3">
      <c r="H1440" s="47"/>
      <c r="I1440" s="47"/>
      <c r="J1440" s="47"/>
      <c r="K1440" s="47"/>
      <c r="L1440" s="47"/>
      <c r="M1440" s="47"/>
      <c r="N1440" s="47"/>
      <c r="O1440" s="47"/>
      <c r="P1440" s="47"/>
      <c r="Q1440" s="47"/>
      <c r="R1440" s="47"/>
      <c r="S1440" s="47"/>
      <c r="T1440" s="47"/>
      <c r="U1440" s="47"/>
    </row>
    <row r="1441" spans="8:21" x14ac:dyDescent="0.3">
      <c r="H1441" s="47"/>
      <c r="I1441" s="47"/>
      <c r="J1441" s="47"/>
      <c r="K1441" s="47"/>
      <c r="L1441" s="47"/>
      <c r="M1441" s="47"/>
      <c r="N1441" s="47"/>
      <c r="O1441" s="47"/>
      <c r="P1441" s="47"/>
      <c r="Q1441" s="47"/>
      <c r="R1441" s="47"/>
      <c r="S1441" s="47"/>
      <c r="T1441" s="47"/>
      <c r="U1441" s="47"/>
    </row>
    <row r="1442" spans="8:21" x14ac:dyDescent="0.3">
      <c r="H1442" s="47"/>
      <c r="I1442" s="47"/>
      <c r="J1442" s="47"/>
      <c r="K1442" s="47"/>
      <c r="L1442" s="47"/>
      <c r="M1442" s="47"/>
      <c r="N1442" s="47"/>
      <c r="O1442" s="47"/>
      <c r="P1442" s="47"/>
      <c r="Q1442" s="47"/>
      <c r="R1442" s="47"/>
      <c r="S1442" s="47"/>
      <c r="T1442" s="47"/>
      <c r="U1442" s="47"/>
    </row>
    <row r="1443" spans="8:21" x14ac:dyDescent="0.3"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  <c r="S1443" s="47"/>
      <c r="T1443" s="47"/>
      <c r="U1443" s="47"/>
    </row>
    <row r="1444" spans="8:21" x14ac:dyDescent="0.3">
      <c r="H1444" s="47"/>
      <c r="I1444" s="47"/>
      <c r="J1444" s="47"/>
      <c r="K1444" s="47"/>
      <c r="L1444" s="47"/>
      <c r="M1444" s="47"/>
      <c r="N1444" s="47"/>
      <c r="O1444" s="47"/>
      <c r="P1444" s="47"/>
      <c r="Q1444" s="47"/>
      <c r="R1444" s="47"/>
      <c r="S1444" s="47"/>
      <c r="T1444" s="47"/>
      <c r="U1444" s="47"/>
    </row>
    <row r="1445" spans="8:21" x14ac:dyDescent="0.3">
      <c r="H1445" s="47"/>
      <c r="I1445" s="47"/>
      <c r="J1445" s="47"/>
      <c r="K1445" s="47"/>
      <c r="L1445" s="47"/>
      <c r="M1445" s="47"/>
      <c r="N1445" s="47"/>
      <c r="O1445" s="47"/>
      <c r="P1445" s="47"/>
      <c r="Q1445" s="47"/>
      <c r="R1445" s="47"/>
      <c r="S1445" s="47"/>
      <c r="T1445" s="47"/>
      <c r="U1445" s="47"/>
    </row>
    <row r="1446" spans="8:21" x14ac:dyDescent="0.3">
      <c r="H1446" s="47"/>
      <c r="I1446" s="47"/>
      <c r="J1446" s="47"/>
      <c r="K1446" s="47"/>
      <c r="L1446" s="47"/>
      <c r="M1446" s="47"/>
      <c r="N1446" s="47"/>
      <c r="O1446" s="47"/>
      <c r="P1446" s="47"/>
      <c r="Q1446" s="47"/>
      <c r="R1446" s="47"/>
      <c r="S1446" s="47"/>
      <c r="T1446" s="47"/>
      <c r="U1446" s="47"/>
    </row>
    <row r="1447" spans="8:21" x14ac:dyDescent="0.3"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  <c r="S1447" s="47"/>
      <c r="T1447" s="47"/>
      <c r="U1447" s="47"/>
    </row>
    <row r="1448" spans="8:21" x14ac:dyDescent="0.3">
      <c r="H1448" s="47"/>
      <c r="I1448" s="47"/>
      <c r="J1448" s="47"/>
      <c r="K1448" s="47"/>
      <c r="L1448" s="47"/>
      <c r="M1448" s="47"/>
      <c r="N1448" s="47"/>
      <c r="O1448" s="47"/>
      <c r="P1448" s="47"/>
      <c r="Q1448" s="47"/>
      <c r="R1448" s="47"/>
      <c r="S1448" s="47"/>
      <c r="T1448" s="47"/>
      <c r="U1448" s="47"/>
    </row>
    <row r="1449" spans="8:21" x14ac:dyDescent="0.3">
      <c r="H1449" s="47"/>
      <c r="I1449" s="47"/>
      <c r="J1449" s="47"/>
      <c r="K1449" s="47"/>
      <c r="L1449" s="47"/>
      <c r="M1449" s="47"/>
      <c r="N1449" s="47"/>
      <c r="O1449" s="47"/>
      <c r="P1449" s="47"/>
      <c r="Q1449" s="47"/>
      <c r="R1449" s="47"/>
      <c r="S1449" s="47"/>
      <c r="T1449" s="47"/>
      <c r="U1449" s="47"/>
    </row>
    <row r="1450" spans="8:21" x14ac:dyDescent="0.3"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  <c r="S1450" s="47"/>
      <c r="T1450" s="47"/>
      <c r="U1450" s="47"/>
    </row>
    <row r="1451" spans="8:21" x14ac:dyDescent="0.3"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  <c r="S1451" s="47"/>
      <c r="T1451" s="47"/>
      <c r="U1451" s="47"/>
    </row>
    <row r="1452" spans="8:21" x14ac:dyDescent="0.3">
      <c r="H1452" s="47"/>
      <c r="I1452" s="47"/>
      <c r="J1452" s="47"/>
      <c r="K1452" s="47"/>
      <c r="L1452" s="47"/>
      <c r="M1452" s="47"/>
      <c r="N1452" s="47"/>
      <c r="O1452" s="47"/>
      <c r="P1452" s="47"/>
      <c r="Q1452" s="47"/>
      <c r="R1452" s="47"/>
      <c r="S1452" s="47"/>
      <c r="T1452" s="47"/>
      <c r="U1452" s="47"/>
    </row>
    <row r="1453" spans="8:21" x14ac:dyDescent="0.3">
      <c r="H1453" s="47"/>
      <c r="I1453" s="47"/>
      <c r="J1453" s="47"/>
      <c r="K1453" s="47"/>
      <c r="L1453" s="47"/>
      <c r="M1453" s="47"/>
      <c r="N1453" s="47"/>
      <c r="O1453" s="47"/>
      <c r="P1453" s="47"/>
      <c r="Q1453" s="47"/>
      <c r="R1453" s="47"/>
      <c r="S1453" s="47"/>
      <c r="T1453" s="47"/>
      <c r="U1453" s="47"/>
    </row>
    <row r="1454" spans="8:21" x14ac:dyDescent="0.3">
      <c r="H1454" s="47"/>
      <c r="I1454" s="47"/>
      <c r="J1454" s="47"/>
      <c r="K1454" s="47"/>
      <c r="L1454" s="47"/>
      <c r="M1454" s="47"/>
      <c r="N1454" s="47"/>
      <c r="O1454" s="47"/>
      <c r="P1454" s="47"/>
      <c r="Q1454" s="47"/>
      <c r="R1454" s="47"/>
      <c r="S1454" s="47"/>
      <c r="T1454" s="47"/>
      <c r="U1454" s="47"/>
    </row>
    <row r="1455" spans="8:21" x14ac:dyDescent="0.3"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  <c r="S1455" s="47"/>
      <c r="T1455" s="47"/>
      <c r="U1455" s="47"/>
    </row>
    <row r="1456" spans="8:21" x14ac:dyDescent="0.3">
      <c r="H1456" s="47"/>
      <c r="I1456" s="47"/>
      <c r="J1456" s="47"/>
      <c r="K1456" s="47"/>
      <c r="L1456" s="47"/>
      <c r="M1456" s="47"/>
      <c r="N1456" s="47"/>
      <c r="O1456" s="47"/>
      <c r="P1456" s="47"/>
      <c r="Q1456" s="47"/>
      <c r="R1456" s="47"/>
      <c r="S1456" s="47"/>
      <c r="T1456" s="47"/>
      <c r="U1456" s="47"/>
    </row>
    <row r="1457" spans="8:21" x14ac:dyDescent="0.3">
      <c r="H1457" s="47"/>
      <c r="I1457" s="47"/>
      <c r="J1457" s="47"/>
      <c r="K1457" s="47"/>
      <c r="L1457" s="47"/>
      <c r="M1457" s="47"/>
      <c r="N1457" s="47"/>
      <c r="O1457" s="47"/>
      <c r="P1457" s="47"/>
      <c r="Q1457" s="47"/>
      <c r="R1457" s="47"/>
      <c r="S1457" s="47"/>
      <c r="T1457" s="47"/>
      <c r="U1457" s="47"/>
    </row>
    <row r="1458" spans="8:21" x14ac:dyDescent="0.3">
      <c r="H1458" s="47"/>
      <c r="I1458" s="47"/>
      <c r="J1458" s="47"/>
      <c r="K1458" s="47"/>
      <c r="L1458" s="47"/>
      <c r="M1458" s="47"/>
      <c r="N1458" s="47"/>
      <c r="O1458" s="47"/>
      <c r="P1458" s="47"/>
      <c r="Q1458" s="47"/>
      <c r="R1458" s="47"/>
      <c r="S1458" s="47"/>
      <c r="T1458" s="47"/>
      <c r="U1458" s="47"/>
    </row>
    <row r="1459" spans="8:21" x14ac:dyDescent="0.3"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  <c r="S1459" s="47"/>
      <c r="T1459" s="47"/>
      <c r="U1459" s="47"/>
    </row>
    <row r="1460" spans="8:21" x14ac:dyDescent="0.3">
      <c r="H1460" s="47"/>
      <c r="I1460" s="47"/>
      <c r="J1460" s="47"/>
      <c r="K1460" s="47"/>
      <c r="L1460" s="47"/>
      <c r="M1460" s="47"/>
      <c r="N1460" s="47"/>
      <c r="O1460" s="47"/>
      <c r="P1460" s="47"/>
      <c r="Q1460" s="47"/>
      <c r="R1460" s="47"/>
      <c r="S1460" s="47"/>
      <c r="T1460" s="47"/>
      <c r="U1460" s="47"/>
    </row>
    <row r="1461" spans="8:21" x14ac:dyDescent="0.3">
      <c r="H1461" s="47"/>
      <c r="I1461" s="47"/>
      <c r="J1461" s="47"/>
      <c r="K1461" s="47"/>
      <c r="L1461" s="47"/>
      <c r="M1461" s="47"/>
      <c r="N1461" s="47"/>
      <c r="O1461" s="47"/>
      <c r="P1461" s="47"/>
      <c r="Q1461" s="47"/>
      <c r="R1461" s="47"/>
      <c r="S1461" s="47"/>
      <c r="T1461" s="47"/>
      <c r="U1461" s="47"/>
    </row>
    <row r="1462" spans="8:21" x14ac:dyDescent="0.3"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  <c r="S1462" s="47"/>
      <c r="T1462" s="47"/>
      <c r="U1462" s="47"/>
    </row>
    <row r="1463" spans="8:21" x14ac:dyDescent="0.3"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  <c r="S1463" s="47"/>
      <c r="T1463" s="47"/>
      <c r="U1463" s="47"/>
    </row>
    <row r="1464" spans="8:21" x14ac:dyDescent="0.3">
      <c r="H1464" s="47"/>
      <c r="I1464" s="47"/>
      <c r="J1464" s="47"/>
      <c r="K1464" s="47"/>
      <c r="L1464" s="47"/>
      <c r="M1464" s="47"/>
      <c r="N1464" s="47"/>
      <c r="O1464" s="47"/>
      <c r="P1464" s="47"/>
      <c r="Q1464" s="47"/>
      <c r="R1464" s="47"/>
      <c r="S1464" s="47"/>
      <c r="T1464" s="47"/>
      <c r="U1464" s="47"/>
    </row>
    <row r="1465" spans="8:21" x14ac:dyDescent="0.3">
      <c r="H1465" s="47"/>
      <c r="I1465" s="47"/>
      <c r="J1465" s="47"/>
      <c r="K1465" s="47"/>
      <c r="L1465" s="47"/>
      <c r="M1465" s="47"/>
      <c r="N1465" s="47"/>
      <c r="O1465" s="47"/>
      <c r="P1465" s="47"/>
      <c r="Q1465" s="47"/>
      <c r="R1465" s="47"/>
      <c r="S1465" s="47"/>
      <c r="T1465" s="47"/>
      <c r="U1465" s="47"/>
    </row>
    <row r="1466" spans="8:21" x14ac:dyDescent="0.3"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  <c r="S1466" s="47"/>
      <c r="T1466" s="47"/>
      <c r="U1466" s="47"/>
    </row>
    <row r="1467" spans="8:21" x14ac:dyDescent="0.3"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  <c r="S1467" s="47"/>
      <c r="T1467" s="47"/>
      <c r="U1467" s="47"/>
    </row>
    <row r="1468" spans="8:21" x14ac:dyDescent="0.3">
      <c r="H1468" s="47"/>
      <c r="I1468" s="47"/>
      <c r="J1468" s="47"/>
      <c r="K1468" s="47"/>
      <c r="L1468" s="47"/>
      <c r="M1468" s="47"/>
      <c r="N1468" s="47"/>
      <c r="O1468" s="47"/>
      <c r="P1468" s="47"/>
      <c r="Q1468" s="47"/>
      <c r="R1468" s="47"/>
      <c r="S1468" s="47"/>
      <c r="T1468" s="47"/>
      <c r="U1468" s="47"/>
    </row>
    <row r="1469" spans="8:21" x14ac:dyDescent="0.3">
      <c r="H1469" s="47"/>
      <c r="I1469" s="47"/>
      <c r="J1469" s="47"/>
      <c r="K1469" s="47"/>
      <c r="L1469" s="47"/>
      <c r="M1469" s="47"/>
      <c r="N1469" s="47"/>
      <c r="O1469" s="47"/>
      <c r="P1469" s="47"/>
      <c r="Q1469" s="47"/>
      <c r="R1469" s="47"/>
      <c r="S1469" s="47"/>
      <c r="T1469" s="47"/>
      <c r="U1469" s="47"/>
    </row>
    <row r="1470" spans="8:21" x14ac:dyDescent="0.3"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  <c r="S1470" s="47"/>
      <c r="T1470" s="47"/>
      <c r="U1470" s="47"/>
    </row>
    <row r="1471" spans="8:21" x14ac:dyDescent="0.3"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  <c r="S1471" s="47"/>
      <c r="T1471" s="47"/>
      <c r="U1471" s="47"/>
    </row>
    <row r="1472" spans="8:21" x14ac:dyDescent="0.3">
      <c r="H1472" s="47"/>
      <c r="I1472" s="47"/>
      <c r="J1472" s="47"/>
      <c r="K1472" s="47"/>
      <c r="L1472" s="47"/>
      <c r="M1472" s="47"/>
      <c r="N1472" s="47"/>
      <c r="O1472" s="47"/>
      <c r="P1472" s="47"/>
      <c r="Q1472" s="47"/>
      <c r="R1472" s="47"/>
      <c r="S1472" s="47"/>
      <c r="T1472" s="47"/>
      <c r="U1472" s="47"/>
    </row>
    <row r="1473" spans="8:21" x14ac:dyDescent="0.3">
      <c r="H1473" s="47"/>
      <c r="I1473" s="47"/>
      <c r="J1473" s="47"/>
      <c r="K1473" s="47"/>
      <c r="L1473" s="47"/>
      <c r="M1473" s="47"/>
      <c r="N1473" s="47"/>
      <c r="O1473" s="47"/>
      <c r="P1473" s="47"/>
      <c r="Q1473" s="47"/>
      <c r="R1473" s="47"/>
      <c r="S1473" s="47"/>
      <c r="T1473" s="47"/>
      <c r="U1473" s="47"/>
    </row>
    <row r="1474" spans="8:21" x14ac:dyDescent="0.3">
      <c r="H1474" s="47"/>
      <c r="I1474" s="47"/>
      <c r="J1474" s="47"/>
      <c r="K1474" s="47"/>
      <c r="L1474" s="47"/>
      <c r="M1474" s="47"/>
      <c r="N1474" s="47"/>
      <c r="O1474" s="47"/>
      <c r="P1474" s="47"/>
      <c r="Q1474" s="47"/>
      <c r="R1474" s="47"/>
      <c r="S1474" s="47"/>
      <c r="T1474" s="47"/>
      <c r="U1474" s="47"/>
    </row>
    <row r="1475" spans="8:21" x14ac:dyDescent="0.3"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  <c r="S1475" s="47"/>
      <c r="T1475" s="47"/>
      <c r="U1475" s="47"/>
    </row>
    <row r="1476" spans="8:21" x14ac:dyDescent="0.3">
      <c r="H1476" s="47"/>
      <c r="I1476" s="47"/>
      <c r="J1476" s="47"/>
      <c r="K1476" s="47"/>
      <c r="L1476" s="47"/>
      <c r="M1476" s="47"/>
      <c r="N1476" s="47"/>
      <c r="O1476" s="47"/>
      <c r="P1476" s="47"/>
      <c r="Q1476" s="47"/>
      <c r="R1476" s="47"/>
      <c r="S1476" s="47"/>
      <c r="T1476" s="47"/>
      <c r="U1476" s="47"/>
    </row>
    <row r="1477" spans="8:21" x14ac:dyDescent="0.3">
      <c r="H1477" s="47"/>
      <c r="I1477" s="47"/>
      <c r="J1477" s="47"/>
      <c r="K1477" s="47"/>
      <c r="L1477" s="47"/>
      <c r="M1477" s="47"/>
      <c r="N1477" s="47"/>
      <c r="O1477" s="47"/>
      <c r="P1477" s="47"/>
      <c r="Q1477" s="47"/>
      <c r="R1477" s="47"/>
      <c r="S1477" s="47"/>
      <c r="T1477" s="47"/>
      <c r="U1477" s="47"/>
    </row>
    <row r="1478" spans="8:21" x14ac:dyDescent="0.3">
      <c r="H1478" s="47"/>
      <c r="I1478" s="47"/>
      <c r="J1478" s="47"/>
      <c r="K1478" s="47"/>
      <c r="L1478" s="47"/>
      <c r="M1478" s="47"/>
      <c r="N1478" s="47"/>
      <c r="O1478" s="47"/>
      <c r="P1478" s="47"/>
      <c r="Q1478" s="47"/>
      <c r="R1478" s="47"/>
      <c r="S1478" s="47"/>
      <c r="T1478" s="47"/>
      <c r="U1478" s="47"/>
    </row>
    <row r="1479" spans="8:21" x14ac:dyDescent="0.3"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  <c r="S1479" s="47"/>
      <c r="T1479" s="47"/>
      <c r="U1479" s="47"/>
    </row>
    <row r="1480" spans="8:21" x14ac:dyDescent="0.3">
      <c r="H1480" s="47"/>
      <c r="I1480" s="47"/>
      <c r="J1480" s="47"/>
      <c r="K1480" s="47"/>
      <c r="L1480" s="47"/>
      <c r="M1480" s="47"/>
      <c r="N1480" s="47"/>
      <c r="O1480" s="47"/>
      <c r="P1480" s="47"/>
      <c r="Q1480" s="47"/>
      <c r="R1480" s="47"/>
      <c r="S1480" s="47"/>
      <c r="T1480" s="47"/>
      <c r="U1480" s="47"/>
    </row>
    <row r="1481" spans="8:21" x14ac:dyDescent="0.3">
      <c r="H1481" s="47"/>
      <c r="I1481" s="47"/>
      <c r="J1481" s="47"/>
      <c r="K1481" s="47"/>
      <c r="L1481" s="47"/>
      <c r="M1481" s="47"/>
      <c r="N1481" s="47"/>
      <c r="O1481" s="47"/>
      <c r="P1481" s="47"/>
      <c r="Q1481" s="47"/>
      <c r="R1481" s="47"/>
      <c r="S1481" s="47"/>
      <c r="T1481" s="47"/>
      <c r="U1481" s="47"/>
    </row>
    <row r="1482" spans="8:21" x14ac:dyDescent="0.3">
      <c r="H1482" s="47"/>
      <c r="I1482" s="47"/>
      <c r="J1482" s="47"/>
      <c r="K1482" s="47"/>
      <c r="L1482" s="47"/>
      <c r="M1482" s="47"/>
      <c r="N1482" s="47"/>
      <c r="O1482" s="47"/>
      <c r="P1482" s="47"/>
      <c r="Q1482" s="47"/>
      <c r="R1482" s="47"/>
      <c r="S1482" s="47"/>
      <c r="T1482" s="47"/>
      <c r="U1482" s="47"/>
    </row>
    <row r="1483" spans="8:21" x14ac:dyDescent="0.3"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  <c r="S1483" s="47"/>
      <c r="T1483" s="47"/>
      <c r="U1483" s="47"/>
    </row>
    <row r="1484" spans="8:21" x14ac:dyDescent="0.3">
      <c r="H1484" s="47"/>
      <c r="I1484" s="47"/>
      <c r="J1484" s="47"/>
      <c r="K1484" s="47"/>
      <c r="L1484" s="47"/>
      <c r="M1484" s="47"/>
      <c r="N1484" s="47"/>
      <c r="O1484" s="47"/>
      <c r="P1484" s="47"/>
      <c r="Q1484" s="47"/>
      <c r="R1484" s="47"/>
      <c r="S1484" s="47"/>
      <c r="T1484" s="47"/>
      <c r="U1484" s="47"/>
    </row>
    <row r="1485" spans="8:21" x14ac:dyDescent="0.3">
      <c r="H1485" s="47"/>
      <c r="I1485" s="47"/>
      <c r="J1485" s="47"/>
      <c r="K1485" s="47"/>
      <c r="L1485" s="47"/>
      <c r="M1485" s="47"/>
      <c r="N1485" s="47"/>
      <c r="O1485" s="47"/>
      <c r="P1485" s="47"/>
      <c r="Q1485" s="47"/>
      <c r="R1485" s="47"/>
      <c r="S1485" s="47"/>
      <c r="T1485" s="47"/>
      <c r="U1485" s="47"/>
    </row>
    <row r="1486" spans="8:21" x14ac:dyDescent="0.3"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  <c r="S1486" s="47"/>
      <c r="T1486" s="47"/>
      <c r="U1486" s="47"/>
    </row>
    <row r="1487" spans="8:21" x14ac:dyDescent="0.3"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  <c r="S1487" s="47"/>
      <c r="T1487" s="47"/>
      <c r="U1487" s="47"/>
    </row>
    <row r="1488" spans="8:21" x14ac:dyDescent="0.3">
      <c r="H1488" s="47"/>
      <c r="I1488" s="47"/>
      <c r="J1488" s="47"/>
      <c r="K1488" s="47"/>
      <c r="L1488" s="47"/>
      <c r="M1488" s="47"/>
      <c r="N1488" s="47"/>
      <c r="O1488" s="47"/>
      <c r="P1488" s="47"/>
      <c r="Q1488" s="47"/>
      <c r="R1488" s="47"/>
      <c r="S1488" s="47"/>
      <c r="T1488" s="47"/>
      <c r="U1488" s="47"/>
    </row>
    <row r="1489" spans="8:21" x14ac:dyDescent="0.3">
      <c r="H1489" s="47"/>
      <c r="I1489" s="47"/>
      <c r="J1489" s="47"/>
      <c r="K1489" s="47"/>
      <c r="L1489" s="47"/>
      <c r="M1489" s="47"/>
      <c r="N1489" s="47"/>
      <c r="O1489" s="47"/>
      <c r="P1489" s="47"/>
      <c r="Q1489" s="47"/>
      <c r="R1489" s="47"/>
      <c r="S1489" s="47"/>
      <c r="T1489" s="47"/>
      <c r="U1489" s="47"/>
    </row>
    <row r="1490" spans="8:21" x14ac:dyDescent="0.3">
      <c r="H1490" s="47"/>
      <c r="I1490" s="47"/>
      <c r="J1490" s="47"/>
      <c r="K1490" s="47"/>
      <c r="L1490" s="47"/>
      <c r="M1490" s="47"/>
      <c r="N1490" s="47"/>
      <c r="O1490" s="47"/>
      <c r="P1490" s="47"/>
      <c r="Q1490" s="47"/>
      <c r="R1490" s="47"/>
      <c r="S1490" s="47"/>
      <c r="T1490" s="47"/>
      <c r="U1490" s="47"/>
    </row>
    <row r="1491" spans="8:21" x14ac:dyDescent="0.3"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  <c r="S1491" s="47"/>
      <c r="T1491" s="47"/>
      <c r="U1491" s="47"/>
    </row>
    <row r="1492" spans="8:21" x14ac:dyDescent="0.3">
      <c r="H1492" s="47"/>
      <c r="I1492" s="47"/>
      <c r="J1492" s="47"/>
      <c r="K1492" s="47"/>
      <c r="L1492" s="47"/>
      <c r="M1492" s="47"/>
      <c r="N1492" s="47"/>
      <c r="O1492" s="47"/>
      <c r="P1492" s="47"/>
      <c r="Q1492" s="47"/>
      <c r="R1492" s="47"/>
      <c r="S1492" s="47"/>
      <c r="T1492" s="47"/>
      <c r="U1492" s="47"/>
    </row>
    <row r="1493" spans="8:21" x14ac:dyDescent="0.3">
      <c r="H1493" s="47"/>
      <c r="I1493" s="47"/>
      <c r="J1493" s="47"/>
      <c r="K1493" s="47"/>
      <c r="L1493" s="47"/>
      <c r="M1493" s="47"/>
      <c r="N1493" s="47"/>
      <c r="O1493" s="47"/>
      <c r="P1493" s="47"/>
      <c r="Q1493" s="47"/>
      <c r="R1493" s="47"/>
      <c r="S1493" s="47"/>
      <c r="T1493" s="47"/>
      <c r="U1493" s="47"/>
    </row>
    <row r="1494" spans="8:21" x14ac:dyDescent="0.3">
      <c r="H1494" s="47"/>
      <c r="I1494" s="47"/>
      <c r="J1494" s="47"/>
      <c r="K1494" s="47"/>
      <c r="L1494" s="47"/>
      <c r="M1494" s="47"/>
      <c r="N1494" s="47"/>
      <c r="O1494" s="47"/>
      <c r="P1494" s="47"/>
      <c r="Q1494" s="47"/>
      <c r="R1494" s="47"/>
      <c r="S1494" s="47"/>
      <c r="T1494" s="47"/>
      <c r="U1494" s="47"/>
    </row>
    <row r="1495" spans="8:21" x14ac:dyDescent="0.3"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  <c r="S1495" s="47"/>
      <c r="T1495" s="47"/>
      <c r="U1495" s="47"/>
    </row>
    <row r="1496" spans="8:21" x14ac:dyDescent="0.3">
      <c r="H1496" s="47"/>
      <c r="I1496" s="47"/>
      <c r="J1496" s="47"/>
      <c r="K1496" s="47"/>
      <c r="L1496" s="47"/>
      <c r="M1496" s="47"/>
      <c r="N1496" s="47"/>
      <c r="O1496" s="47"/>
      <c r="P1496" s="47"/>
      <c r="Q1496" s="47"/>
      <c r="R1496" s="47"/>
      <c r="S1496" s="47"/>
      <c r="T1496" s="47"/>
      <c r="U1496" s="47"/>
    </row>
    <row r="1497" spans="8:21" x14ac:dyDescent="0.3">
      <c r="H1497" s="47"/>
      <c r="I1497" s="47"/>
      <c r="J1497" s="47"/>
      <c r="K1497" s="47"/>
      <c r="L1497" s="47"/>
      <c r="M1497" s="47"/>
      <c r="N1497" s="47"/>
      <c r="O1497" s="47"/>
      <c r="P1497" s="47"/>
      <c r="Q1497" s="47"/>
      <c r="R1497" s="47"/>
      <c r="S1497" s="47"/>
      <c r="T1497" s="47"/>
      <c r="U1497" s="47"/>
    </row>
    <row r="1498" spans="8:21" x14ac:dyDescent="0.3"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R1498" s="47"/>
      <c r="S1498" s="47"/>
      <c r="T1498" s="47"/>
      <c r="U1498" s="47"/>
    </row>
    <row r="1499" spans="8:21" x14ac:dyDescent="0.3"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  <c r="S1499" s="47"/>
      <c r="T1499" s="47"/>
      <c r="U1499" s="47"/>
    </row>
    <row r="1500" spans="8:21" x14ac:dyDescent="0.3">
      <c r="H1500" s="47"/>
      <c r="I1500" s="47"/>
      <c r="J1500" s="47"/>
      <c r="K1500" s="47"/>
      <c r="L1500" s="47"/>
      <c r="M1500" s="47"/>
      <c r="N1500" s="47"/>
      <c r="O1500" s="47"/>
      <c r="P1500" s="47"/>
      <c r="Q1500" s="47"/>
      <c r="R1500" s="47"/>
      <c r="S1500" s="47"/>
      <c r="T1500" s="47"/>
      <c r="U1500" s="47"/>
    </row>
    <row r="1501" spans="8:21" x14ac:dyDescent="0.3">
      <c r="H1501" s="47"/>
      <c r="I1501" s="47"/>
      <c r="J1501" s="47"/>
      <c r="K1501" s="47"/>
      <c r="L1501" s="47"/>
      <c r="M1501" s="47"/>
      <c r="N1501" s="47"/>
      <c r="O1501" s="47"/>
      <c r="P1501" s="47"/>
      <c r="Q1501" s="47"/>
      <c r="R1501" s="47"/>
      <c r="S1501" s="47"/>
      <c r="T1501" s="47"/>
      <c r="U1501" s="47"/>
    </row>
    <row r="1502" spans="8:21" x14ac:dyDescent="0.3"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  <c r="S1502" s="47"/>
      <c r="T1502" s="47"/>
      <c r="U1502" s="47"/>
    </row>
    <row r="1503" spans="8:21" x14ac:dyDescent="0.3"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  <c r="S1503" s="47"/>
      <c r="T1503" s="47"/>
      <c r="U1503" s="47"/>
    </row>
    <row r="1504" spans="8:21" x14ac:dyDescent="0.3">
      <c r="H1504" s="47"/>
      <c r="I1504" s="47"/>
      <c r="J1504" s="47"/>
      <c r="K1504" s="47"/>
      <c r="L1504" s="47"/>
      <c r="M1504" s="47"/>
      <c r="N1504" s="47"/>
      <c r="O1504" s="47"/>
      <c r="P1504" s="47"/>
      <c r="Q1504" s="47"/>
      <c r="R1504" s="47"/>
      <c r="S1504" s="47"/>
      <c r="T1504" s="47"/>
      <c r="U1504" s="47"/>
    </row>
    <row r="1505" spans="8:21" x14ac:dyDescent="0.3">
      <c r="H1505" s="47"/>
      <c r="I1505" s="47"/>
      <c r="J1505" s="47"/>
      <c r="K1505" s="47"/>
      <c r="L1505" s="47"/>
      <c r="M1505" s="47"/>
      <c r="N1505" s="47"/>
      <c r="O1505" s="47"/>
      <c r="P1505" s="47"/>
      <c r="Q1505" s="47"/>
      <c r="R1505" s="47"/>
      <c r="S1505" s="47"/>
      <c r="T1505" s="47"/>
      <c r="U1505" s="47"/>
    </row>
    <row r="1506" spans="8:21" x14ac:dyDescent="0.3"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  <c r="S1506" s="47"/>
      <c r="T1506" s="47"/>
      <c r="U1506" s="47"/>
    </row>
    <row r="1507" spans="8:21" x14ac:dyDescent="0.3"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  <c r="S1507" s="47"/>
      <c r="T1507" s="47"/>
      <c r="U1507" s="47"/>
    </row>
    <row r="1508" spans="8:21" x14ac:dyDescent="0.3">
      <c r="H1508" s="47"/>
      <c r="I1508" s="47"/>
      <c r="J1508" s="47"/>
      <c r="K1508" s="47"/>
      <c r="L1508" s="47"/>
      <c r="M1508" s="47"/>
      <c r="N1508" s="47"/>
      <c r="O1508" s="47"/>
      <c r="P1508" s="47"/>
      <c r="Q1508" s="47"/>
      <c r="R1508" s="47"/>
      <c r="S1508" s="47"/>
      <c r="T1508" s="47"/>
      <c r="U1508" s="47"/>
    </row>
    <row r="1509" spans="8:21" x14ac:dyDescent="0.3">
      <c r="H1509" s="47"/>
      <c r="I1509" s="47"/>
      <c r="J1509" s="47"/>
      <c r="K1509" s="47"/>
      <c r="L1509" s="47"/>
      <c r="M1509" s="47"/>
      <c r="N1509" s="47"/>
      <c r="O1509" s="47"/>
      <c r="P1509" s="47"/>
      <c r="Q1509" s="47"/>
      <c r="R1509" s="47"/>
      <c r="S1509" s="47"/>
      <c r="T1509" s="47"/>
      <c r="U1509" s="47"/>
    </row>
    <row r="1510" spans="8:21" x14ac:dyDescent="0.3">
      <c r="H1510" s="47"/>
      <c r="I1510" s="47"/>
      <c r="J1510" s="47"/>
      <c r="K1510" s="47"/>
      <c r="L1510" s="47"/>
      <c r="M1510" s="47"/>
      <c r="N1510" s="47"/>
      <c r="O1510" s="47"/>
      <c r="P1510" s="47"/>
      <c r="Q1510" s="47"/>
      <c r="R1510" s="47"/>
      <c r="S1510" s="47"/>
      <c r="T1510" s="47"/>
      <c r="U1510" s="47"/>
    </row>
    <row r="1511" spans="8:21" x14ac:dyDescent="0.3"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  <c r="S1511" s="47"/>
      <c r="T1511" s="47"/>
      <c r="U1511" s="47"/>
    </row>
    <row r="1512" spans="8:21" x14ac:dyDescent="0.3">
      <c r="H1512" s="47"/>
      <c r="I1512" s="47"/>
      <c r="J1512" s="47"/>
      <c r="K1512" s="47"/>
      <c r="L1512" s="47"/>
      <c r="M1512" s="47"/>
      <c r="N1512" s="47"/>
      <c r="O1512" s="47"/>
      <c r="P1512" s="47"/>
      <c r="Q1512" s="47"/>
      <c r="R1512" s="47"/>
      <c r="S1512" s="47"/>
      <c r="T1512" s="47"/>
      <c r="U1512" s="47"/>
    </row>
    <row r="1513" spans="8:21" x14ac:dyDescent="0.3">
      <c r="H1513" s="47"/>
      <c r="I1513" s="47"/>
      <c r="J1513" s="47"/>
      <c r="K1513" s="47"/>
      <c r="L1513" s="47"/>
      <c r="M1513" s="47"/>
      <c r="N1513" s="47"/>
      <c r="O1513" s="47"/>
      <c r="P1513" s="47"/>
      <c r="Q1513" s="47"/>
      <c r="R1513" s="47"/>
      <c r="S1513" s="47"/>
      <c r="T1513" s="47"/>
      <c r="U1513" s="47"/>
    </row>
    <row r="1514" spans="8:21" x14ac:dyDescent="0.3"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  <c r="S1514" s="47"/>
      <c r="T1514" s="47"/>
      <c r="U1514" s="47"/>
    </row>
    <row r="1515" spans="8:21" x14ac:dyDescent="0.3"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  <c r="S1515" s="47"/>
      <c r="T1515" s="47"/>
      <c r="U1515" s="47"/>
    </row>
    <row r="1516" spans="8:21" x14ac:dyDescent="0.3">
      <c r="H1516" s="47"/>
      <c r="I1516" s="47"/>
      <c r="J1516" s="47"/>
      <c r="K1516" s="47"/>
      <c r="L1516" s="47"/>
      <c r="M1516" s="47"/>
      <c r="N1516" s="47"/>
      <c r="O1516" s="47"/>
      <c r="P1516" s="47"/>
      <c r="Q1516" s="47"/>
      <c r="R1516" s="47"/>
      <c r="S1516" s="47"/>
      <c r="T1516" s="47"/>
      <c r="U1516" s="47"/>
    </row>
    <row r="1517" spans="8:21" x14ac:dyDescent="0.3">
      <c r="H1517" s="47"/>
      <c r="I1517" s="47"/>
      <c r="J1517" s="47"/>
      <c r="K1517" s="47"/>
      <c r="L1517" s="47"/>
      <c r="M1517" s="47"/>
      <c r="N1517" s="47"/>
      <c r="O1517" s="47"/>
      <c r="P1517" s="47"/>
      <c r="Q1517" s="47"/>
      <c r="R1517" s="47"/>
      <c r="S1517" s="47"/>
      <c r="T1517" s="47"/>
      <c r="U1517" s="47"/>
    </row>
    <row r="1518" spans="8:21" x14ac:dyDescent="0.3">
      <c r="H1518" s="47"/>
      <c r="I1518" s="47"/>
      <c r="J1518" s="47"/>
      <c r="K1518" s="47"/>
      <c r="L1518" s="47"/>
      <c r="M1518" s="47"/>
      <c r="N1518" s="47"/>
      <c r="O1518" s="47"/>
      <c r="P1518" s="47"/>
      <c r="Q1518" s="47"/>
      <c r="R1518" s="47"/>
      <c r="S1518" s="47"/>
      <c r="T1518" s="47"/>
      <c r="U1518" s="47"/>
    </row>
    <row r="1519" spans="8:21" x14ac:dyDescent="0.3"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  <c r="S1519" s="47"/>
      <c r="T1519" s="47"/>
      <c r="U1519" s="47"/>
    </row>
    <row r="1520" spans="8:21" x14ac:dyDescent="0.3">
      <c r="H1520" s="47"/>
      <c r="I1520" s="47"/>
      <c r="J1520" s="47"/>
      <c r="K1520" s="47"/>
      <c r="L1520" s="47"/>
      <c r="M1520" s="47"/>
      <c r="N1520" s="47"/>
      <c r="O1520" s="47"/>
      <c r="P1520" s="47"/>
      <c r="Q1520" s="47"/>
      <c r="R1520" s="47"/>
      <c r="S1520" s="47"/>
      <c r="T1520" s="47"/>
      <c r="U1520" s="47"/>
    </row>
    <row r="1521" spans="8:21" x14ac:dyDescent="0.3">
      <c r="H1521" s="47"/>
      <c r="I1521" s="47"/>
      <c r="J1521" s="47"/>
      <c r="K1521" s="47"/>
      <c r="L1521" s="47"/>
      <c r="M1521" s="47"/>
      <c r="N1521" s="47"/>
      <c r="O1521" s="47"/>
      <c r="P1521" s="47"/>
      <c r="Q1521" s="47"/>
      <c r="R1521" s="47"/>
      <c r="S1521" s="47"/>
      <c r="T1521" s="47"/>
      <c r="U1521" s="47"/>
    </row>
    <row r="1522" spans="8:21" x14ac:dyDescent="0.3"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  <c r="S1522" s="47"/>
      <c r="T1522" s="47"/>
      <c r="U1522" s="47"/>
    </row>
    <row r="1523" spans="8:21" x14ac:dyDescent="0.3"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  <c r="S1523" s="47"/>
      <c r="T1523" s="47"/>
      <c r="U1523" s="47"/>
    </row>
    <row r="1524" spans="8:21" x14ac:dyDescent="0.3">
      <c r="H1524" s="47"/>
      <c r="I1524" s="47"/>
      <c r="J1524" s="47"/>
      <c r="K1524" s="47"/>
      <c r="L1524" s="47"/>
      <c r="M1524" s="47"/>
      <c r="N1524" s="47"/>
      <c r="O1524" s="47"/>
      <c r="P1524" s="47"/>
      <c r="Q1524" s="47"/>
      <c r="R1524" s="47"/>
      <c r="S1524" s="47"/>
      <c r="T1524" s="47"/>
      <c r="U1524" s="47"/>
    </row>
    <row r="1525" spans="8:21" x14ac:dyDescent="0.3">
      <c r="H1525" s="47"/>
      <c r="I1525" s="47"/>
      <c r="J1525" s="47"/>
      <c r="K1525" s="47"/>
      <c r="L1525" s="47"/>
      <c r="M1525" s="47"/>
      <c r="N1525" s="47"/>
      <c r="O1525" s="47"/>
      <c r="P1525" s="47"/>
      <c r="Q1525" s="47"/>
      <c r="R1525" s="47"/>
      <c r="S1525" s="47"/>
      <c r="T1525" s="47"/>
      <c r="U1525" s="47"/>
    </row>
    <row r="1526" spans="8:21" x14ac:dyDescent="0.3">
      <c r="H1526" s="47"/>
      <c r="I1526" s="47"/>
      <c r="J1526" s="47"/>
      <c r="K1526" s="47"/>
      <c r="L1526" s="47"/>
      <c r="M1526" s="47"/>
      <c r="N1526" s="47"/>
      <c r="O1526" s="47"/>
      <c r="P1526" s="47"/>
      <c r="Q1526" s="47"/>
      <c r="R1526" s="47"/>
      <c r="S1526" s="47"/>
      <c r="T1526" s="47"/>
      <c r="U1526" s="47"/>
    </row>
    <row r="1527" spans="8:21" x14ac:dyDescent="0.3"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  <c r="S1527" s="47"/>
      <c r="T1527" s="47"/>
      <c r="U1527" s="47"/>
    </row>
    <row r="1528" spans="8:21" x14ac:dyDescent="0.3">
      <c r="H1528" s="47"/>
      <c r="I1528" s="47"/>
      <c r="J1528" s="47"/>
      <c r="K1528" s="47"/>
      <c r="L1528" s="47"/>
      <c r="M1528" s="47"/>
      <c r="N1528" s="47"/>
      <c r="O1528" s="47"/>
      <c r="P1528" s="47"/>
      <c r="Q1528" s="47"/>
      <c r="R1528" s="47"/>
      <c r="S1528" s="47"/>
      <c r="T1528" s="47"/>
      <c r="U1528" s="47"/>
    </row>
    <row r="1529" spans="8:21" x14ac:dyDescent="0.3">
      <c r="H1529" s="47"/>
      <c r="I1529" s="47"/>
      <c r="J1529" s="47"/>
      <c r="K1529" s="47"/>
      <c r="L1529" s="47"/>
      <c r="M1529" s="47"/>
      <c r="N1529" s="47"/>
      <c r="O1529" s="47"/>
      <c r="P1529" s="47"/>
      <c r="Q1529" s="47"/>
      <c r="R1529" s="47"/>
      <c r="S1529" s="47"/>
      <c r="T1529" s="47"/>
      <c r="U1529" s="47"/>
    </row>
    <row r="1530" spans="8:21" x14ac:dyDescent="0.3">
      <c r="H1530" s="47"/>
      <c r="I1530" s="47"/>
      <c r="J1530" s="47"/>
      <c r="K1530" s="47"/>
      <c r="L1530" s="47"/>
      <c r="M1530" s="47"/>
      <c r="N1530" s="47"/>
      <c r="O1530" s="47"/>
      <c r="P1530" s="47"/>
      <c r="Q1530" s="47"/>
      <c r="R1530" s="47"/>
      <c r="S1530" s="47"/>
      <c r="T1530" s="47"/>
      <c r="U1530" s="47"/>
    </row>
    <row r="1531" spans="8:21" x14ac:dyDescent="0.3"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  <c r="S1531" s="47"/>
      <c r="T1531" s="47"/>
      <c r="U1531" s="47"/>
    </row>
    <row r="1532" spans="8:21" x14ac:dyDescent="0.3">
      <c r="H1532" s="47"/>
      <c r="I1532" s="47"/>
      <c r="J1532" s="47"/>
      <c r="K1532" s="47"/>
      <c r="L1532" s="47"/>
      <c r="M1532" s="47"/>
      <c r="N1532" s="47"/>
      <c r="O1532" s="47"/>
      <c r="P1532" s="47"/>
      <c r="Q1532" s="47"/>
      <c r="R1532" s="47"/>
      <c r="S1532" s="47"/>
      <c r="T1532" s="47"/>
      <c r="U1532" s="47"/>
    </row>
    <row r="1533" spans="8:21" x14ac:dyDescent="0.3">
      <c r="H1533" s="47"/>
      <c r="I1533" s="47"/>
      <c r="J1533" s="47"/>
      <c r="K1533" s="47"/>
      <c r="L1533" s="47"/>
      <c r="M1533" s="47"/>
      <c r="N1533" s="47"/>
      <c r="O1533" s="47"/>
      <c r="P1533" s="47"/>
      <c r="Q1533" s="47"/>
      <c r="R1533" s="47"/>
      <c r="S1533" s="47"/>
      <c r="T1533" s="47"/>
      <c r="U1533" s="47"/>
    </row>
    <row r="1534" spans="8:21" x14ac:dyDescent="0.3">
      <c r="H1534" s="47"/>
      <c r="I1534" s="47"/>
      <c r="J1534" s="47"/>
      <c r="K1534" s="47"/>
      <c r="L1534" s="47"/>
      <c r="M1534" s="47"/>
      <c r="N1534" s="47"/>
      <c r="O1534" s="47"/>
      <c r="P1534" s="47"/>
      <c r="Q1534" s="47"/>
      <c r="R1534" s="47"/>
      <c r="S1534" s="47"/>
      <c r="T1534" s="47"/>
      <c r="U1534" s="47"/>
    </row>
    <row r="1535" spans="8:21" x14ac:dyDescent="0.3"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  <c r="S1535" s="47"/>
      <c r="T1535" s="47"/>
      <c r="U1535" s="47"/>
    </row>
    <row r="1536" spans="8:21" x14ac:dyDescent="0.3">
      <c r="H1536" s="47"/>
      <c r="I1536" s="47"/>
      <c r="J1536" s="47"/>
      <c r="K1536" s="47"/>
      <c r="L1536" s="47"/>
      <c r="M1536" s="47"/>
      <c r="N1536" s="47"/>
      <c r="O1536" s="47"/>
      <c r="P1536" s="47"/>
      <c r="Q1536" s="47"/>
      <c r="R1536" s="47"/>
      <c r="S1536" s="47"/>
      <c r="T1536" s="47"/>
      <c r="U1536" s="47"/>
    </row>
    <row r="1537" spans="8:21" x14ac:dyDescent="0.3">
      <c r="H1537" s="47"/>
      <c r="I1537" s="47"/>
      <c r="J1537" s="47"/>
      <c r="K1537" s="47"/>
      <c r="L1537" s="47"/>
      <c r="M1537" s="47"/>
      <c r="N1537" s="47"/>
      <c r="O1537" s="47"/>
      <c r="P1537" s="47"/>
      <c r="Q1537" s="47"/>
      <c r="R1537" s="47"/>
      <c r="S1537" s="47"/>
      <c r="T1537" s="47"/>
      <c r="U1537" s="47"/>
    </row>
    <row r="1538" spans="8:21" x14ac:dyDescent="0.3"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  <c r="S1538" s="47"/>
      <c r="T1538" s="47"/>
      <c r="U1538" s="47"/>
    </row>
    <row r="1539" spans="8:21" x14ac:dyDescent="0.3"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  <c r="S1539" s="47"/>
      <c r="T1539" s="47"/>
      <c r="U1539" s="47"/>
    </row>
    <row r="1540" spans="8:21" x14ac:dyDescent="0.3">
      <c r="H1540" s="47"/>
      <c r="I1540" s="47"/>
      <c r="J1540" s="47"/>
      <c r="K1540" s="47"/>
      <c r="L1540" s="47"/>
      <c r="M1540" s="47"/>
      <c r="N1540" s="47"/>
      <c r="O1540" s="47"/>
      <c r="P1540" s="47"/>
      <c r="Q1540" s="47"/>
      <c r="R1540" s="47"/>
      <c r="S1540" s="47"/>
      <c r="T1540" s="47"/>
      <c r="U1540" s="47"/>
    </row>
    <row r="1541" spans="8:21" x14ac:dyDescent="0.3">
      <c r="H1541" s="47"/>
      <c r="I1541" s="47"/>
      <c r="J1541" s="47"/>
      <c r="K1541" s="47"/>
      <c r="L1541" s="47"/>
      <c r="M1541" s="47"/>
      <c r="N1541" s="47"/>
      <c r="O1541" s="47"/>
      <c r="P1541" s="47"/>
      <c r="Q1541" s="47"/>
      <c r="R1541" s="47"/>
      <c r="S1541" s="47"/>
      <c r="T1541" s="47"/>
      <c r="U1541" s="47"/>
    </row>
    <row r="1542" spans="8:21" x14ac:dyDescent="0.3"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  <c r="S1542" s="47"/>
      <c r="T1542" s="47"/>
      <c r="U1542" s="47"/>
    </row>
    <row r="1543" spans="8:21" x14ac:dyDescent="0.3"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  <c r="S1543" s="47"/>
      <c r="T1543" s="47"/>
      <c r="U1543" s="47"/>
    </row>
    <row r="1544" spans="8:21" x14ac:dyDescent="0.3">
      <c r="H1544" s="47"/>
      <c r="I1544" s="47"/>
      <c r="J1544" s="47"/>
      <c r="K1544" s="47"/>
      <c r="L1544" s="47"/>
      <c r="M1544" s="47"/>
      <c r="N1544" s="47"/>
      <c r="O1544" s="47"/>
      <c r="P1544" s="47"/>
      <c r="Q1544" s="47"/>
      <c r="R1544" s="47"/>
      <c r="S1544" s="47"/>
      <c r="T1544" s="47"/>
      <c r="U1544" s="47"/>
    </row>
    <row r="1545" spans="8:21" x14ac:dyDescent="0.3">
      <c r="H1545" s="47"/>
      <c r="I1545" s="47"/>
      <c r="J1545" s="47"/>
      <c r="K1545" s="47"/>
      <c r="L1545" s="47"/>
      <c r="M1545" s="47"/>
      <c r="N1545" s="47"/>
      <c r="O1545" s="47"/>
      <c r="P1545" s="47"/>
      <c r="Q1545" s="47"/>
      <c r="R1545" s="47"/>
      <c r="S1545" s="47"/>
      <c r="T1545" s="47"/>
      <c r="U1545" s="47"/>
    </row>
    <row r="1546" spans="8:21" x14ac:dyDescent="0.3">
      <c r="H1546" s="47"/>
      <c r="I1546" s="47"/>
      <c r="J1546" s="47"/>
      <c r="K1546" s="47"/>
      <c r="L1546" s="47"/>
      <c r="M1546" s="47"/>
      <c r="N1546" s="47"/>
      <c r="O1546" s="47"/>
      <c r="P1546" s="47"/>
      <c r="Q1546" s="47"/>
      <c r="R1546" s="47"/>
      <c r="S1546" s="47"/>
      <c r="T1546" s="47"/>
      <c r="U1546" s="47"/>
    </row>
    <row r="1547" spans="8:21" x14ac:dyDescent="0.3"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  <c r="S1547" s="47"/>
      <c r="T1547" s="47"/>
      <c r="U1547" s="47"/>
    </row>
    <row r="1548" spans="8:21" x14ac:dyDescent="0.3">
      <c r="H1548" s="47"/>
      <c r="I1548" s="47"/>
      <c r="J1548" s="47"/>
      <c r="K1548" s="47"/>
      <c r="L1548" s="47"/>
      <c r="M1548" s="47"/>
      <c r="N1548" s="47"/>
      <c r="O1548" s="47"/>
      <c r="P1548" s="47"/>
      <c r="Q1548" s="47"/>
      <c r="R1548" s="47"/>
      <c r="S1548" s="47"/>
      <c r="T1548" s="47"/>
      <c r="U1548" s="47"/>
    </row>
    <row r="1549" spans="8:21" x14ac:dyDescent="0.3">
      <c r="H1549" s="47"/>
      <c r="I1549" s="47"/>
      <c r="J1549" s="47"/>
      <c r="K1549" s="47"/>
      <c r="L1549" s="47"/>
      <c r="M1549" s="47"/>
      <c r="N1549" s="47"/>
      <c r="O1549" s="47"/>
      <c r="P1549" s="47"/>
      <c r="Q1549" s="47"/>
      <c r="R1549" s="47"/>
      <c r="S1549" s="47"/>
      <c r="T1549" s="47"/>
      <c r="U1549" s="47"/>
    </row>
    <row r="1550" spans="8:21" x14ac:dyDescent="0.3">
      <c r="H1550" s="47"/>
      <c r="I1550" s="47"/>
      <c r="J1550" s="47"/>
      <c r="K1550" s="47"/>
      <c r="L1550" s="47"/>
      <c r="M1550" s="47"/>
      <c r="N1550" s="47"/>
      <c r="O1550" s="47"/>
      <c r="P1550" s="47"/>
      <c r="Q1550" s="47"/>
      <c r="R1550" s="47"/>
      <c r="S1550" s="47"/>
      <c r="T1550" s="47"/>
      <c r="U1550" s="47"/>
    </row>
    <row r="1551" spans="8:21" x14ac:dyDescent="0.3"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  <c r="S1551" s="47"/>
      <c r="T1551" s="47"/>
      <c r="U1551" s="47"/>
    </row>
    <row r="1552" spans="8:21" x14ac:dyDescent="0.3">
      <c r="H1552" s="47"/>
      <c r="I1552" s="47"/>
      <c r="J1552" s="47"/>
      <c r="K1552" s="47"/>
      <c r="L1552" s="47"/>
      <c r="M1552" s="47"/>
      <c r="N1552" s="47"/>
      <c r="O1552" s="47"/>
      <c r="P1552" s="47"/>
      <c r="Q1552" s="47"/>
      <c r="R1552" s="47"/>
      <c r="S1552" s="47"/>
      <c r="T1552" s="47"/>
      <c r="U1552" s="47"/>
    </row>
    <row r="1553" spans="8:21" x14ac:dyDescent="0.3">
      <c r="H1553" s="47"/>
      <c r="I1553" s="47"/>
      <c r="J1553" s="47"/>
      <c r="K1553" s="47"/>
      <c r="L1553" s="47"/>
      <c r="M1553" s="47"/>
      <c r="N1553" s="47"/>
      <c r="O1553" s="47"/>
      <c r="P1553" s="47"/>
      <c r="Q1553" s="47"/>
      <c r="R1553" s="47"/>
      <c r="S1553" s="47"/>
      <c r="T1553" s="47"/>
      <c r="U1553" s="47"/>
    </row>
    <row r="1554" spans="8:21" x14ac:dyDescent="0.3">
      <c r="H1554" s="47"/>
      <c r="I1554" s="47"/>
      <c r="J1554" s="47"/>
      <c r="K1554" s="47"/>
      <c r="L1554" s="47"/>
      <c r="M1554" s="47"/>
      <c r="N1554" s="47"/>
      <c r="O1554" s="47"/>
      <c r="P1554" s="47"/>
      <c r="Q1554" s="47"/>
      <c r="R1554" s="47"/>
      <c r="S1554" s="47"/>
      <c r="T1554" s="47"/>
      <c r="U1554" s="47"/>
    </row>
    <row r="1555" spans="8:21" x14ac:dyDescent="0.3"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  <c r="S1555" s="47"/>
      <c r="T1555" s="47"/>
      <c r="U1555" s="47"/>
    </row>
    <row r="1556" spans="8:21" x14ac:dyDescent="0.3">
      <c r="H1556" s="47"/>
      <c r="I1556" s="47"/>
      <c r="J1556" s="47"/>
      <c r="K1556" s="47"/>
      <c r="L1556" s="47"/>
      <c r="M1556" s="47"/>
      <c r="N1556" s="47"/>
      <c r="O1556" s="47"/>
      <c r="P1556" s="47"/>
      <c r="Q1556" s="47"/>
      <c r="R1556" s="47"/>
      <c r="S1556" s="47"/>
      <c r="T1556" s="47"/>
      <c r="U1556" s="47"/>
    </row>
    <row r="1557" spans="8:21" x14ac:dyDescent="0.3">
      <c r="H1557" s="47"/>
      <c r="I1557" s="47"/>
      <c r="J1557" s="47"/>
      <c r="K1557" s="47"/>
      <c r="L1557" s="47"/>
      <c r="M1557" s="47"/>
      <c r="N1557" s="47"/>
      <c r="O1557" s="47"/>
      <c r="P1557" s="47"/>
      <c r="Q1557" s="47"/>
      <c r="R1557" s="47"/>
      <c r="S1557" s="47"/>
      <c r="T1557" s="47"/>
      <c r="U1557" s="47"/>
    </row>
    <row r="1558" spans="8:21" x14ac:dyDescent="0.3"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  <c r="S1558" s="47"/>
      <c r="T1558" s="47"/>
      <c r="U1558" s="47"/>
    </row>
    <row r="1559" spans="8:21" x14ac:dyDescent="0.3"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  <c r="S1559" s="47"/>
      <c r="T1559" s="47"/>
      <c r="U1559" s="47"/>
    </row>
    <row r="1560" spans="8:21" x14ac:dyDescent="0.3">
      <c r="H1560" s="47"/>
      <c r="I1560" s="47"/>
      <c r="J1560" s="47"/>
      <c r="K1560" s="47"/>
      <c r="L1560" s="47"/>
      <c r="M1560" s="47"/>
      <c r="N1560" s="47"/>
      <c r="O1560" s="47"/>
      <c r="P1560" s="47"/>
      <c r="Q1560" s="47"/>
      <c r="R1560" s="47"/>
      <c r="S1560" s="47"/>
      <c r="T1560" s="47"/>
      <c r="U1560" s="47"/>
    </row>
    <row r="1561" spans="8:21" x14ac:dyDescent="0.3">
      <c r="H1561" s="47"/>
      <c r="I1561" s="47"/>
      <c r="J1561" s="47"/>
      <c r="K1561" s="47"/>
      <c r="L1561" s="47"/>
      <c r="M1561" s="47"/>
      <c r="N1561" s="47"/>
      <c r="O1561" s="47"/>
      <c r="P1561" s="47"/>
      <c r="Q1561" s="47"/>
      <c r="R1561" s="47"/>
      <c r="S1561" s="47"/>
      <c r="T1561" s="47"/>
      <c r="U1561" s="47"/>
    </row>
    <row r="1562" spans="8:21" x14ac:dyDescent="0.3">
      <c r="H1562" s="47"/>
      <c r="I1562" s="47"/>
      <c r="J1562" s="47"/>
      <c r="K1562" s="47"/>
      <c r="L1562" s="47"/>
      <c r="M1562" s="47"/>
      <c r="N1562" s="47"/>
      <c r="O1562" s="47"/>
      <c r="P1562" s="47"/>
      <c r="Q1562" s="47"/>
      <c r="R1562" s="47"/>
      <c r="S1562" s="47"/>
      <c r="T1562" s="47"/>
      <c r="U1562" s="47"/>
    </row>
    <row r="1563" spans="8:21" x14ac:dyDescent="0.3"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  <c r="S1563" s="47"/>
      <c r="T1563" s="47"/>
      <c r="U1563" s="47"/>
    </row>
    <row r="1564" spans="8:21" x14ac:dyDescent="0.3">
      <c r="H1564" s="47"/>
      <c r="I1564" s="47"/>
      <c r="J1564" s="47"/>
      <c r="K1564" s="47"/>
      <c r="L1564" s="47"/>
      <c r="M1564" s="47"/>
      <c r="N1564" s="47"/>
      <c r="O1564" s="47"/>
      <c r="P1564" s="47"/>
      <c r="Q1564" s="47"/>
      <c r="R1564" s="47"/>
      <c r="S1564" s="47"/>
      <c r="T1564" s="47"/>
      <c r="U1564" s="47"/>
    </row>
    <row r="1565" spans="8:21" x14ac:dyDescent="0.3">
      <c r="H1565" s="47"/>
      <c r="I1565" s="47"/>
      <c r="J1565" s="47"/>
      <c r="K1565" s="47"/>
      <c r="L1565" s="47"/>
      <c r="M1565" s="47"/>
      <c r="N1565" s="47"/>
      <c r="O1565" s="47"/>
      <c r="P1565" s="47"/>
      <c r="Q1565" s="47"/>
      <c r="R1565" s="47"/>
      <c r="S1565" s="47"/>
      <c r="T1565" s="47"/>
      <c r="U1565" s="47"/>
    </row>
    <row r="1566" spans="8:21" x14ac:dyDescent="0.3"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  <c r="S1566" s="47"/>
      <c r="T1566" s="47"/>
      <c r="U1566" s="47"/>
    </row>
    <row r="1567" spans="8:21" x14ac:dyDescent="0.3"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  <c r="S1567" s="47"/>
      <c r="T1567" s="47"/>
      <c r="U1567" s="47"/>
    </row>
    <row r="1568" spans="8:21" x14ac:dyDescent="0.3">
      <c r="H1568" s="47"/>
      <c r="I1568" s="47"/>
      <c r="J1568" s="47"/>
      <c r="K1568" s="47"/>
      <c r="L1568" s="47"/>
      <c r="M1568" s="47"/>
      <c r="N1568" s="47"/>
      <c r="O1568" s="47"/>
      <c r="P1568" s="47"/>
      <c r="Q1568" s="47"/>
      <c r="R1568" s="47"/>
      <c r="S1568" s="47"/>
      <c r="T1568" s="47"/>
      <c r="U1568" s="47"/>
    </row>
    <row r="1569" spans="8:21" x14ac:dyDescent="0.3">
      <c r="H1569" s="47"/>
      <c r="I1569" s="47"/>
      <c r="J1569" s="47"/>
      <c r="K1569" s="47"/>
      <c r="L1569" s="47"/>
      <c r="M1569" s="47"/>
      <c r="N1569" s="47"/>
      <c r="O1569" s="47"/>
      <c r="P1569" s="47"/>
      <c r="Q1569" s="47"/>
      <c r="R1569" s="47"/>
      <c r="S1569" s="47"/>
      <c r="T1569" s="47"/>
      <c r="U1569" s="47"/>
    </row>
    <row r="1570" spans="8:21" x14ac:dyDescent="0.3">
      <c r="H1570" s="47"/>
      <c r="I1570" s="47"/>
      <c r="J1570" s="47"/>
      <c r="K1570" s="47"/>
      <c r="L1570" s="47"/>
      <c r="M1570" s="47"/>
      <c r="N1570" s="47"/>
      <c r="O1570" s="47"/>
      <c r="P1570" s="47"/>
      <c r="Q1570" s="47"/>
      <c r="R1570" s="47"/>
      <c r="S1570" s="47"/>
      <c r="T1570" s="47"/>
      <c r="U1570" s="47"/>
    </row>
    <row r="1571" spans="8:21" x14ac:dyDescent="0.3"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  <c r="S1571" s="47"/>
      <c r="T1571" s="47"/>
      <c r="U1571" s="47"/>
    </row>
    <row r="1572" spans="8:21" x14ac:dyDescent="0.3">
      <c r="H1572" s="47"/>
      <c r="I1572" s="47"/>
      <c r="J1572" s="47"/>
      <c r="K1572" s="47"/>
      <c r="L1572" s="47"/>
      <c r="M1572" s="47"/>
      <c r="N1572" s="47"/>
      <c r="O1572" s="47"/>
      <c r="P1572" s="47"/>
      <c r="Q1572" s="47"/>
      <c r="R1572" s="47"/>
      <c r="S1572" s="47"/>
      <c r="T1572" s="47"/>
      <c r="U1572" s="47"/>
    </row>
    <row r="1573" spans="8:21" x14ac:dyDescent="0.3">
      <c r="H1573" s="47"/>
      <c r="I1573" s="47"/>
      <c r="J1573" s="47"/>
      <c r="K1573" s="47"/>
      <c r="L1573" s="47"/>
      <c r="M1573" s="47"/>
      <c r="N1573" s="47"/>
      <c r="O1573" s="47"/>
      <c r="P1573" s="47"/>
      <c r="Q1573" s="47"/>
      <c r="R1573" s="47"/>
      <c r="S1573" s="47"/>
      <c r="T1573" s="47"/>
      <c r="U1573" s="47"/>
    </row>
    <row r="1574" spans="8:21" x14ac:dyDescent="0.3"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  <c r="S1574" s="47"/>
      <c r="T1574" s="47"/>
      <c r="U1574" s="47"/>
    </row>
    <row r="1575" spans="8:21" x14ac:dyDescent="0.3"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  <c r="S1575" s="47"/>
      <c r="T1575" s="47"/>
      <c r="U1575" s="47"/>
    </row>
    <row r="1576" spans="8:21" x14ac:dyDescent="0.3">
      <c r="H1576" s="47"/>
      <c r="I1576" s="47"/>
      <c r="J1576" s="47"/>
      <c r="K1576" s="47"/>
      <c r="L1576" s="47"/>
      <c r="M1576" s="47"/>
      <c r="N1576" s="47"/>
      <c r="O1576" s="47"/>
      <c r="P1576" s="47"/>
      <c r="Q1576" s="47"/>
      <c r="R1576" s="47"/>
      <c r="S1576" s="47"/>
      <c r="T1576" s="47"/>
      <c r="U1576" s="47"/>
    </row>
    <row r="1577" spans="8:21" x14ac:dyDescent="0.3">
      <c r="H1577" s="47"/>
      <c r="I1577" s="47"/>
      <c r="J1577" s="47"/>
      <c r="K1577" s="47"/>
      <c r="L1577" s="47"/>
      <c r="M1577" s="47"/>
      <c r="N1577" s="47"/>
      <c r="O1577" s="47"/>
      <c r="P1577" s="47"/>
      <c r="Q1577" s="47"/>
      <c r="R1577" s="47"/>
      <c r="S1577" s="47"/>
      <c r="T1577" s="47"/>
      <c r="U1577" s="47"/>
    </row>
    <row r="1578" spans="8:21" x14ac:dyDescent="0.3"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  <c r="S1578" s="47"/>
      <c r="T1578" s="47"/>
      <c r="U1578" s="47"/>
    </row>
    <row r="1579" spans="8:21" x14ac:dyDescent="0.3"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  <c r="S1579" s="47"/>
      <c r="T1579" s="47"/>
      <c r="U1579" s="47"/>
    </row>
    <row r="1580" spans="8:21" x14ac:dyDescent="0.3">
      <c r="H1580" s="47"/>
      <c r="I1580" s="47"/>
      <c r="J1580" s="47"/>
      <c r="K1580" s="47"/>
      <c r="L1580" s="47"/>
      <c r="M1580" s="47"/>
      <c r="N1580" s="47"/>
      <c r="O1580" s="47"/>
      <c r="P1580" s="47"/>
      <c r="Q1580" s="47"/>
      <c r="R1580" s="47"/>
      <c r="S1580" s="47"/>
      <c r="T1580" s="47"/>
      <c r="U1580" s="47"/>
    </row>
    <row r="1581" spans="8:21" x14ac:dyDescent="0.3">
      <c r="H1581" s="47"/>
      <c r="I1581" s="47"/>
      <c r="J1581" s="47"/>
      <c r="K1581" s="47"/>
      <c r="L1581" s="47"/>
      <c r="M1581" s="47"/>
      <c r="N1581" s="47"/>
      <c r="O1581" s="47"/>
      <c r="P1581" s="47"/>
      <c r="Q1581" s="47"/>
      <c r="R1581" s="47"/>
      <c r="S1581" s="47"/>
      <c r="T1581" s="47"/>
      <c r="U1581" s="47"/>
    </row>
    <row r="1582" spans="8:21" x14ac:dyDescent="0.3">
      <c r="H1582" s="47"/>
      <c r="I1582" s="47"/>
      <c r="J1582" s="47"/>
      <c r="K1582" s="47"/>
      <c r="L1582" s="47"/>
      <c r="M1582" s="47"/>
      <c r="N1582" s="47"/>
      <c r="O1582" s="47"/>
      <c r="P1582" s="47"/>
      <c r="Q1582" s="47"/>
      <c r="R1582" s="47"/>
      <c r="S1582" s="47"/>
      <c r="T1582" s="47"/>
      <c r="U1582" s="47"/>
    </row>
    <row r="1583" spans="8:21" x14ac:dyDescent="0.3"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  <c r="S1583" s="47"/>
      <c r="T1583" s="47"/>
      <c r="U1583" s="47"/>
    </row>
    <row r="1584" spans="8:21" x14ac:dyDescent="0.3">
      <c r="H1584" s="47"/>
      <c r="I1584" s="47"/>
      <c r="J1584" s="47"/>
      <c r="K1584" s="47"/>
      <c r="L1584" s="47"/>
      <c r="M1584" s="47"/>
      <c r="N1584" s="47"/>
      <c r="O1584" s="47"/>
      <c r="P1584" s="47"/>
      <c r="Q1584" s="47"/>
      <c r="R1584" s="47"/>
      <c r="S1584" s="47"/>
      <c r="T1584" s="47"/>
      <c r="U1584" s="47"/>
    </row>
    <row r="1585" spans="8:21" x14ac:dyDescent="0.3">
      <c r="H1585" s="47"/>
      <c r="I1585" s="47"/>
      <c r="J1585" s="47"/>
      <c r="K1585" s="47"/>
      <c r="L1585" s="47"/>
      <c r="M1585" s="47"/>
      <c r="N1585" s="47"/>
      <c r="O1585" s="47"/>
      <c r="P1585" s="47"/>
      <c r="Q1585" s="47"/>
      <c r="R1585" s="47"/>
      <c r="S1585" s="47"/>
      <c r="T1585" s="47"/>
      <c r="U1585" s="47"/>
    </row>
    <row r="1586" spans="8:21" x14ac:dyDescent="0.3">
      <c r="H1586" s="47"/>
      <c r="I1586" s="47"/>
      <c r="J1586" s="47"/>
      <c r="K1586" s="47"/>
      <c r="L1586" s="47"/>
      <c r="M1586" s="47"/>
      <c r="N1586" s="47"/>
      <c r="O1586" s="47"/>
      <c r="P1586" s="47"/>
      <c r="Q1586" s="47"/>
      <c r="R1586" s="47"/>
      <c r="S1586" s="47"/>
      <c r="T1586" s="47"/>
      <c r="U1586" s="47"/>
    </row>
    <row r="1587" spans="8:21" x14ac:dyDescent="0.3"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  <c r="S1587" s="47"/>
      <c r="T1587" s="47"/>
      <c r="U1587" s="47"/>
    </row>
    <row r="1588" spans="8:21" x14ac:dyDescent="0.3">
      <c r="H1588" s="47"/>
      <c r="I1588" s="47"/>
      <c r="J1588" s="47"/>
      <c r="K1588" s="47"/>
      <c r="L1588" s="47"/>
      <c r="M1588" s="47"/>
      <c r="N1588" s="47"/>
      <c r="O1588" s="47"/>
      <c r="P1588" s="47"/>
      <c r="Q1588" s="47"/>
      <c r="R1588" s="47"/>
      <c r="S1588" s="47"/>
      <c r="T1588" s="47"/>
      <c r="U1588" s="47"/>
    </row>
    <row r="1589" spans="8:21" x14ac:dyDescent="0.3">
      <c r="H1589" s="47"/>
      <c r="I1589" s="47"/>
      <c r="J1589" s="47"/>
      <c r="K1589" s="47"/>
      <c r="L1589" s="47"/>
      <c r="M1589" s="47"/>
      <c r="N1589" s="47"/>
      <c r="O1589" s="47"/>
      <c r="P1589" s="47"/>
      <c r="Q1589" s="47"/>
      <c r="R1589" s="47"/>
      <c r="S1589" s="47"/>
      <c r="T1589" s="47"/>
      <c r="U1589" s="47"/>
    </row>
    <row r="1590" spans="8:21" x14ac:dyDescent="0.3">
      <c r="H1590" s="47"/>
      <c r="I1590" s="47"/>
      <c r="J1590" s="47"/>
      <c r="K1590" s="47"/>
      <c r="L1590" s="47"/>
      <c r="M1590" s="47"/>
      <c r="N1590" s="47"/>
      <c r="O1590" s="47"/>
      <c r="P1590" s="47"/>
      <c r="Q1590" s="47"/>
      <c r="R1590" s="47"/>
      <c r="S1590" s="47"/>
      <c r="T1590" s="47"/>
      <c r="U1590" s="47"/>
    </row>
    <row r="1591" spans="8:21" x14ac:dyDescent="0.3"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  <c r="S1591" s="47"/>
      <c r="T1591" s="47"/>
      <c r="U1591" s="47"/>
    </row>
    <row r="1592" spans="8:21" x14ac:dyDescent="0.3">
      <c r="H1592" s="47"/>
      <c r="I1592" s="47"/>
      <c r="J1592" s="47"/>
      <c r="K1592" s="47"/>
      <c r="L1592" s="47"/>
      <c r="M1592" s="47"/>
      <c r="N1592" s="47"/>
      <c r="O1592" s="47"/>
      <c r="P1592" s="47"/>
      <c r="Q1592" s="47"/>
      <c r="R1592" s="47"/>
      <c r="S1592" s="47"/>
      <c r="T1592" s="47"/>
      <c r="U1592" s="47"/>
    </row>
    <row r="1593" spans="8:21" x14ac:dyDescent="0.3">
      <c r="H1593" s="47"/>
      <c r="I1593" s="47"/>
      <c r="J1593" s="47"/>
      <c r="K1593" s="47"/>
      <c r="L1593" s="47"/>
      <c r="M1593" s="47"/>
      <c r="N1593" s="47"/>
      <c r="O1593" s="47"/>
      <c r="P1593" s="47"/>
      <c r="Q1593" s="47"/>
      <c r="R1593" s="47"/>
      <c r="S1593" s="47"/>
      <c r="T1593" s="47"/>
      <c r="U1593" s="47"/>
    </row>
    <row r="1594" spans="8:21" x14ac:dyDescent="0.3"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  <c r="S1594" s="47"/>
      <c r="T1594" s="47"/>
      <c r="U1594" s="47"/>
    </row>
    <row r="1595" spans="8:21" x14ac:dyDescent="0.3"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  <c r="S1595" s="47"/>
      <c r="T1595" s="47"/>
      <c r="U1595" s="47"/>
    </row>
    <row r="1596" spans="8:21" x14ac:dyDescent="0.3">
      <c r="H1596" s="47"/>
      <c r="I1596" s="47"/>
      <c r="J1596" s="47"/>
      <c r="K1596" s="47"/>
      <c r="L1596" s="47"/>
      <c r="M1596" s="47"/>
      <c r="N1596" s="47"/>
      <c r="O1596" s="47"/>
      <c r="P1596" s="47"/>
      <c r="Q1596" s="47"/>
      <c r="R1596" s="47"/>
      <c r="S1596" s="47"/>
      <c r="T1596" s="47"/>
      <c r="U1596" s="47"/>
    </row>
    <row r="1597" spans="8:21" x14ac:dyDescent="0.3">
      <c r="H1597" s="47"/>
      <c r="I1597" s="47"/>
      <c r="J1597" s="47"/>
      <c r="K1597" s="47"/>
      <c r="L1597" s="47"/>
      <c r="M1597" s="47"/>
      <c r="N1597" s="47"/>
      <c r="O1597" s="47"/>
      <c r="P1597" s="47"/>
      <c r="Q1597" s="47"/>
      <c r="R1597" s="47"/>
      <c r="S1597" s="47"/>
      <c r="T1597" s="47"/>
      <c r="U1597" s="47"/>
    </row>
    <row r="1598" spans="8:21" x14ac:dyDescent="0.3">
      <c r="H1598" s="47"/>
      <c r="I1598" s="47"/>
      <c r="J1598" s="47"/>
      <c r="K1598" s="47"/>
      <c r="L1598" s="47"/>
      <c r="M1598" s="47"/>
      <c r="N1598" s="47"/>
      <c r="O1598" s="47"/>
      <c r="P1598" s="47"/>
      <c r="Q1598" s="47"/>
      <c r="R1598" s="47"/>
      <c r="S1598" s="47"/>
      <c r="T1598" s="47"/>
      <c r="U1598" s="47"/>
    </row>
    <row r="1599" spans="8:21" x14ac:dyDescent="0.3"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  <c r="S1599" s="47"/>
      <c r="T1599" s="47"/>
      <c r="U1599" s="47"/>
    </row>
    <row r="1600" spans="8:21" x14ac:dyDescent="0.3">
      <c r="H1600" s="47"/>
      <c r="I1600" s="47"/>
      <c r="J1600" s="47"/>
      <c r="K1600" s="47"/>
      <c r="L1600" s="47"/>
      <c r="M1600" s="47"/>
      <c r="N1600" s="47"/>
      <c r="O1600" s="47"/>
      <c r="P1600" s="47"/>
      <c r="Q1600" s="47"/>
      <c r="R1600" s="47"/>
      <c r="S1600" s="47"/>
      <c r="T1600" s="47"/>
      <c r="U1600" s="47"/>
    </row>
    <row r="1601" spans="8:21" x14ac:dyDescent="0.3">
      <c r="H1601" s="47"/>
      <c r="I1601" s="47"/>
      <c r="J1601" s="47"/>
      <c r="K1601" s="47"/>
      <c r="L1601" s="47"/>
      <c r="M1601" s="47"/>
      <c r="N1601" s="47"/>
      <c r="O1601" s="47"/>
      <c r="P1601" s="47"/>
      <c r="Q1601" s="47"/>
      <c r="R1601" s="47"/>
      <c r="S1601" s="47"/>
      <c r="T1601" s="47"/>
      <c r="U1601" s="47"/>
    </row>
    <row r="1602" spans="8:21" x14ac:dyDescent="0.3">
      <c r="H1602" s="47"/>
      <c r="I1602" s="47"/>
      <c r="J1602" s="47"/>
      <c r="K1602" s="47"/>
      <c r="L1602" s="47"/>
      <c r="M1602" s="47"/>
      <c r="N1602" s="47"/>
      <c r="O1602" s="47"/>
      <c r="P1602" s="47"/>
      <c r="Q1602" s="47"/>
      <c r="R1602" s="47"/>
      <c r="S1602" s="47"/>
      <c r="T1602" s="47"/>
      <c r="U1602" s="47"/>
    </row>
    <row r="1603" spans="8:21" x14ac:dyDescent="0.3"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  <c r="S1603" s="47"/>
      <c r="T1603" s="47"/>
      <c r="U1603" s="47"/>
    </row>
    <row r="1604" spans="8:21" x14ac:dyDescent="0.3">
      <c r="H1604" s="47"/>
      <c r="I1604" s="47"/>
      <c r="J1604" s="47"/>
      <c r="K1604" s="47"/>
      <c r="L1604" s="47"/>
      <c r="M1604" s="47"/>
      <c r="N1604" s="47"/>
      <c r="O1604" s="47"/>
      <c r="P1604" s="47"/>
      <c r="Q1604" s="47"/>
      <c r="R1604" s="47"/>
      <c r="S1604" s="47"/>
      <c r="T1604" s="47"/>
      <c r="U1604" s="47"/>
    </row>
    <row r="1605" spans="8:21" x14ac:dyDescent="0.3">
      <c r="H1605" s="47"/>
      <c r="I1605" s="47"/>
      <c r="J1605" s="47"/>
      <c r="K1605" s="47"/>
      <c r="L1605" s="47"/>
      <c r="M1605" s="47"/>
      <c r="N1605" s="47"/>
      <c r="O1605" s="47"/>
      <c r="P1605" s="47"/>
      <c r="Q1605" s="47"/>
      <c r="R1605" s="47"/>
      <c r="S1605" s="47"/>
      <c r="T1605" s="47"/>
      <c r="U1605" s="47"/>
    </row>
    <row r="1606" spans="8:21" x14ac:dyDescent="0.3">
      <c r="H1606" s="47"/>
      <c r="I1606" s="47"/>
      <c r="J1606" s="47"/>
      <c r="K1606" s="47"/>
      <c r="L1606" s="47"/>
      <c r="M1606" s="47"/>
      <c r="N1606" s="47"/>
      <c r="O1606" s="47"/>
      <c r="P1606" s="47"/>
      <c r="Q1606" s="47"/>
      <c r="R1606" s="47"/>
      <c r="S1606" s="47"/>
      <c r="T1606" s="47"/>
      <c r="U1606" s="47"/>
    </row>
    <row r="1607" spans="8:21" x14ac:dyDescent="0.3"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  <c r="S1607" s="47"/>
      <c r="T1607" s="47"/>
      <c r="U1607" s="47"/>
    </row>
    <row r="1608" spans="8:21" x14ac:dyDescent="0.3">
      <c r="H1608" s="47"/>
      <c r="I1608" s="47"/>
      <c r="J1608" s="47"/>
      <c r="K1608" s="47"/>
      <c r="L1608" s="47"/>
      <c r="M1608" s="47"/>
      <c r="N1608" s="47"/>
      <c r="O1608" s="47"/>
      <c r="P1608" s="47"/>
      <c r="Q1608" s="47"/>
      <c r="R1608" s="47"/>
      <c r="S1608" s="47"/>
      <c r="T1608" s="47"/>
      <c r="U1608" s="47"/>
    </row>
    <row r="1609" spans="8:21" x14ac:dyDescent="0.3">
      <c r="H1609" s="47"/>
      <c r="I1609" s="47"/>
      <c r="J1609" s="47"/>
      <c r="K1609" s="47"/>
      <c r="L1609" s="47"/>
      <c r="M1609" s="47"/>
      <c r="N1609" s="47"/>
      <c r="O1609" s="47"/>
      <c r="P1609" s="47"/>
      <c r="Q1609" s="47"/>
      <c r="R1609" s="47"/>
      <c r="S1609" s="47"/>
      <c r="T1609" s="47"/>
      <c r="U1609" s="47"/>
    </row>
    <row r="1610" spans="8:21" x14ac:dyDescent="0.3"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  <c r="S1610" s="47"/>
      <c r="T1610" s="47"/>
      <c r="U1610" s="47"/>
    </row>
    <row r="1611" spans="8:21" x14ac:dyDescent="0.3"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  <c r="S1611" s="47"/>
      <c r="T1611" s="47"/>
      <c r="U1611" s="47"/>
    </row>
    <row r="1612" spans="8:21" x14ac:dyDescent="0.3">
      <c r="H1612" s="47"/>
      <c r="I1612" s="47"/>
      <c r="J1612" s="47"/>
      <c r="K1612" s="47"/>
      <c r="L1612" s="47"/>
      <c r="M1612" s="47"/>
      <c r="N1612" s="47"/>
      <c r="O1612" s="47"/>
      <c r="P1612" s="47"/>
      <c r="Q1612" s="47"/>
      <c r="R1612" s="47"/>
      <c r="S1612" s="47"/>
      <c r="T1612" s="47"/>
      <c r="U1612" s="47"/>
    </row>
    <row r="1613" spans="8:21" x14ac:dyDescent="0.3">
      <c r="H1613" s="47"/>
      <c r="I1613" s="47"/>
      <c r="J1613" s="47"/>
      <c r="K1613" s="47"/>
      <c r="L1613" s="47"/>
      <c r="M1613" s="47"/>
      <c r="N1613" s="47"/>
      <c r="O1613" s="47"/>
      <c r="P1613" s="47"/>
      <c r="Q1613" s="47"/>
      <c r="R1613" s="47"/>
      <c r="S1613" s="47"/>
      <c r="T1613" s="47"/>
      <c r="U1613" s="47"/>
    </row>
    <row r="1614" spans="8:21" x14ac:dyDescent="0.3"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  <c r="S1614" s="47"/>
      <c r="T1614" s="47"/>
      <c r="U1614" s="47"/>
    </row>
    <row r="1615" spans="8:21" x14ac:dyDescent="0.3"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  <c r="S1615" s="47"/>
      <c r="T1615" s="47"/>
      <c r="U1615" s="47"/>
    </row>
    <row r="1616" spans="8:21" x14ac:dyDescent="0.3">
      <c r="H1616" s="47"/>
      <c r="I1616" s="47"/>
      <c r="J1616" s="47"/>
      <c r="K1616" s="47"/>
      <c r="L1616" s="47"/>
      <c r="M1616" s="47"/>
      <c r="N1616" s="47"/>
      <c r="O1616" s="47"/>
      <c r="P1616" s="47"/>
      <c r="Q1616" s="47"/>
      <c r="R1616" s="47"/>
      <c r="S1616" s="47"/>
      <c r="T1616" s="47"/>
      <c r="U1616" s="47"/>
    </row>
    <row r="1617" spans="8:21" x14ac:dyDescent="0.3">
      <c r="H1617" s="47"/>
      <c r="I1617" s="47"/>
      <c r="J1617" s="47"/>
      <c r="K1617" s="47"/>
      <c r="L1617" s="47"/>
      <c r="M1617" s="47"/>
      <c r="N1617" s="47"/>
      <c r="O1617" s="47"/>
      <c r="P1617" s="47"/>
      <c r="Q1617" s="47"/>
      <c r="R1617" s="47"/>
      <c r="S1617" s="47"/>
      <c r="T1617" s="47"/>
      <c r="U1617" s="47"/>
    </row>
    <row r="1618" spans="8:21" x14ac:dyDescent="0.3"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  <c r="S1618" s="47"/>
      <c r="T1618" s="47"/>
      <c r="U1618" s="47"/>
    </row>
    <row r="1619" spans="8:21" x14ac:dyDescent="0.3"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  <c r="S1619" s="47"/>
      <c r="T1619" s="47"/>
      <c r="U1619" s="47"/>
    </row>
    <row r="1620" spans="8:21" x14ac:dyDescent="0.3">
      <c r="H1620" s="47"/>
      <c r="I1620" s="47"/>
      <c r="J1620" s="47"/>
      <c r="K1620" s="47"/>
      <c r="L1620" s="47"/>
      <c r="M1620" s="47"/>
      <c r="N1620" s="47"/>
      <c r="O1620" s="47"/>
      <c r="P1620" s="47"/>
      <c r="Q1620" s="47"/>
      <c r="R1620" s="47"/>
      <c r="S1620" s="47"/>
      <c r="T1620" s="47"/>
      <c r="U1620" s="47"/>
    </row>
    <row r="1621" spans="8:21" x14ac:dyDescent="0.3">
      <c r="H1621" s="47"/>
      <c r="I1621" s="47"/>
      <c r="J1621" s="47"/>
      <c r="K1621" s="47"/>
      <c r="L1621" s="47"/>
      <c r="M1621" s="47"/>
      <c r="N1621" s="47"/>
      <c r="O1621" s="47"/>
      <c r="P1621" s="47"/>
      <c r="Q1621" s="47"/>
      <c r="R1621" s="47"/>
      <c r="S1621" s="47"/>
      <c r="T1621" s="47"/>
      <c r="U1621" s="47"/>
    </row>
    <row r="1622" spans="8:21" x14ac:dyDescent="0.3">
      <c r="H1622" s="47"/>
      <c r="I1622" s="47"/>
      <c r="J1622" s="47"/>
      <c r="K1622" s="47"/>
      <c r="L1622" s="47"/>
      <c r="M1622" s="47"/>
      <c r="N1622" s="47"/>
      <c r="O1622" s="47"/>
      <c r="P1622" s="47"/>
      <c r="Q1622" s="47"/>
      <c r="R1622" s="47"/>
      <c r="S1622" s="47"/>
      <c r="T1622" s="47"/>
      <c r="U1622" s="47"/>
    </row>
    <row r="1623" spans="8:21" x14ac:dyDescent="0.3"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  <c r="S1623" s="47"/>
      <c r="T1623" s="47"/>
      <c r="U1623" s="47"/>
    </row>
    <row r="1624" spans="8:21" x14ac:dyDescent="0.3">
      <c r="H1624" s="47"/>
      <c r="I1624" s="47"/>
      <c r="J1624" s="47"/>
      <c r="K1624" s="47"/>
      <c r="L1624" s="47"/>
      <c r="M1624" s="47"/>
      <c r="N1624" s="47"/>
      <c r="O1624" s="47"/>
      <c r="P1624" s="47"/>
      <c r="Q1624" s="47"/>
      <c r="R1624" s="47"/>
      <c r="S1624" s="47"/>
      <c r="T1624" s="47"/>
      <c r="U1624" s="47"/>
    </row>
    <row r="1625" spans="8:21" x14ac:dyDescent="0.3">
      <c r="H1625" s="47"/>
      <c r="I1625" s="47"/>
      <c r="J1625" s="47"/>
      <c r="K1625" s="47"/>
      <c r="L1625" s="47"/>
      <c r="M1625" s="47"/>
      <c r="N1625" s="47"/>
      <c r="O1625" s="47"/>
      <c r="P1625" s="47"/>
      <c r="Q1625" s="47"/>
      <c r="R1625" s="47"/>
      <c r="S1625" s="47"/>
      <c r="T1625" s="47"/>
      <c r="U1625" s="47"/>
    </row>
    <row r="1626" spans="8:21" x14ac:dyDescent="0.3">
      <c r="H1626" s="47"/>
      <c r="I1626" s="47"/>
      <c r="J1626" s="47"/>
      <c r="K1626" s="47"/>
      <c r="L1626" s="47"/>
      <c r="M1626" s="47"/>
      <c r="N1626" s="47"/>
      <c r="O1626" s="47"/>
      <c r="P1626" s="47"/>
      <c r="Q1626" s="47"/>
      <c r="R1626" s="47"/>
      <c r="S1626" s="47"/>
      <c r="T1626" s="47"/>
      <c r="U1626" s="47"/>
    </row>
    <row r="1627" spans="8:21" x14ac:dyDescent="0.3"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  <c r="S1627" s="47"/>
      <c r="T1627" s="47"/>
      <c r="U1627" s="47"/>
    </row>
    <row r="1628" spans="8:21" x14ac:dyDescent="0.3">
      <c r="H1628" s="47"/>
      <c r="I1628" s="47"/>
      <c r="J1628" s="47"/>
      <c r="K1628" s="47"/>
      <c r="L1628" s="47"/>
      <c r="M1628" s="47"/>
      <c r="N1628" s="47"/>
      <c r="O1628" s="47"/>
      <c r="P1628" s="47"/>
      <c r="Q1628" s="47"/>
      <c r="R1628" s="47"/>
      <c r="S1628" s="47"/>
      <c r="T1628" s="47"/>
      <c r="U1628" s="47"/>
    </row>
    <row r="1629" spans="8:21" x14ac:dyDescent="0.3">
      <c r="H1629" s="47"/>
      <c r="I1629" s="47"/>
      <c r="J1629" s="47"/>
      <c r="K1629" s="47"/>
      <c r="L1629" s="47"/>
      <c r="M1629" s="47"/>
      <c r="N1629" s="47"/>
      <c r="O1629" s="47"/>
      <c r="P1629" s="47"/>
      <c r="Q1629" s="47"/>
      <c r="R1629" s="47"/>
      <c r="S1629" s="47"/>
      <c r="T1629" s="47"/>
      <c r="U1629" s="47"/>
    </row>
    <row r="1630" spans="8:21" x14ac:dyDescent="0.3"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  <c r="S1630" s="47"/>
      <c r="T1630" s="47"/>
      <c r="U1630" s="47"/>
    </row>
    <row r="1631" spans="8:21" x14ac:dyDescent="0.3"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  <c r="S1631" s="47"/>
      <c r="T1631" s="47"/>
      <c r="U1631" s="47"/>
    </row>
    <row r="1632" spans="8:21" x14ac:dyDescent="0.3">
      <c r="H1632" s="47"/>
      <c r="I1632" s="47"/>
      <c r="J1632" s="47"/>
      <c r="K1632" s="47"/>
      <c r="L1632" s="47"/>
      <c r="M1632" s="47"/>
      <c r="N1632" s="47"/>
      <c r="O1632" s="47"/>
      <c r="P1632" s="47"/>
      <c r="Q1632" s="47"/>
      <c r="R1632" s="47"/>
      <c r="S1632" s="47"/>
      <c r="T1632" s="47"/>
      <c r="U1632" s="47"/>
    </row>
    <row r="1633" spans="8:21" x14ac:dyDescent="0.3">
      <c r="H1633" s="47"/>
      <c r="I1633" s="47"/>
      <c r="J1633" s="47"/>
      <c r="K1633" s="47"/>
      <c r="L1633" s="47"/>
      <c r="M1633" s="47"/>
      <c r="N1633" s="47"/>
      <c r="O1633" s="47"/>
      <c r="P1633" s="47"/>
      <c r="Q1633" s="47"/>
      <c r="R1633" s="47"/>
      <c r="S1633" s="47"/>
      <c r="T1633" s="47"/>
      <c r="U1633" s="47"/>
    </row>
    <row r="1634" spans="8:21" x14ac:dyDescent="0.3">
      <c r="H1634" s="47"/>
      <c r="I1634" s="47"/>
      <c r="J1634" s="47"/>
      <c r="K1634" s="47"/>
      <c r="L1634" s="47"/>
      <c r="M1634" s="47"/>
      <c r="N1634" s="47"/>
      <c r="O1634" s="47"/>
      <c r="P1634" s="47"/>
      <c r="Q1634" s="47"/>
      <c r="R1634" s="47"/>
      <c r="S1634" s="47"/>
      <c r="T1634" s="47"/>
      <c r="U1634" s="47"/>
    </row>
    <row r="1635" spans="8:21" x14ac:dyDescent="0.3"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  <c r="S1635" s="47"/>
      <c r="T1635" s="47"/>
      <c r="U1635" s="47"/>
    </row>
    <row r="1636" spans="8:21" x14ac:dyDescent="0.3">
      <c r="H1636" s="47"/>
      <c r="I1636" s="47"/>
      <c r="J1636" s="47"/>
      <c r="K1636" s="47"/>
      <c r="L1636" s="47"/>
      <c r="M1636" s="47"/>
      <c r="N1636" s="47"/>
      <c r="O1636" s="47"/>
      <c r="P1636" s="47"/>
      <c r="Q1636" s="47"/>
      <c r="R1636" s="47"/>
      <c r="S1636" s="47"/>
      <c r="T1636" s="47"/>
      <c r="U1636" s="47"/>
    </row>
    <row r="1637" spans="8:21" x14ac:dyDescent="0.3">
      <c r="H1637" s="47"/>
      <c r="I1637" s="47"/>
      <c r="J1637" s="47"/>
      <c r="K1637" s="47"/>
      <c r="L1637" s="47"/>
      <c r="M1637" s="47"/>
      <c r="N1637" s="47"/>
      <c r="O1637" s="47"/>
      <c r="P1637" s="47"/>
      <c r="Q1637" s="47"/>
      <c r="R1637" s="47"/>
      <c r="S1637" s="47"/>
      <c r="T1637" s="47"/>
      <c r="U1637" s="47"/>
    </row>
    <row r="1638" spans="8:21" x14ac:dyDescent="0.3">
      <c r="H1638" s="47"/>
      <c r="I1638" s="47"/>
      <c r="J1638" s="47"/>
      <c r="K1638" s="47"/>
      <c r="L1638" s="47"/>
      <c r="M1638" s="47"/>
      <c r="N1638" s="47"/>
      <c r="O1638" s="47"/>
      <c r="P1638" s="47"/>
      <c r="Q1638" s="47"/>
      <c r="R1638" s="47"/>
      <c r="S1638" s="47"/>
      <c r="T1638" s="47"/>
      <c r="U1638" s="47"/>
    </row>
    <row r="1639" spans="8:21" x14ac:dyDescent="0.3"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  <c r="S1639" s="47"/>
      <c r="T1639" s="47"/>
      <c r="U1639" s="47"/>
    </row>
    <row r="1640" spans="8:21" x14ac:dyDescent="0.3">
      <c r="H1640" s="47"/>
      <c r="I1640" s="47"/>
      <c r="J1640" s="47"/>
      <c r="K1640" s="47"/>
      <c r="L1640" s="47"/>
      <c r="M1640" s="47"/>
      <c r="N1640" s="47"/>
      <c r="O1640" s="47"/>
      <c r="P1640" s="47"/>
      <c r="Q1640" s="47"/>
      <c r="R1640" s="47"/>
      <c r="S1640" s="47"/>
      <c r="T1640" s="47"/>
      <c r="U1640" s="47"/>
    </row>
    <row r="1641" spans="8:21" x14ac:dyDescent="0.3">
      <c r="H1641" s="47"/>
      <c r="I1641" s="47"/>
      <c r="J1641" s="47"/>
      <c r="K1641" s="47"/>
      <c r="L1641" s="47"/>
      <c r="M1641" s="47"/>
      <c r="N1641" s="47"/>
      <c r="O1641" s="47"/>
      <c r="P1641" s="47"/>
      <c r="Q1641" s="47"/>
      <c r="R1641" s="47"/>
      <c r="S1641" s="47"/>
      <c r="T1641" s="47"/>
      <c r="U1641" s="47"/>
    </row>
    <row r="1642" spans="8:21" x14ac:dyDescent="0.3">
      <c r="H1642" s="47"/>
      <c r="I1642" s="47"/>
      <c r="J1642" s="47"/>
      <c r="K1642" s="47"/>
      <c r="L1642" s="47"/>
      <c r="M1642" s="47"/>
      <c r="N1642" s="47"/>
      <c r="O1642" s="47"/>
      <c r="P1642" s="47"/>
      <c r="Q1642" s="47"/>
      <c r="R1642" s="47"/>
      <c r="S1642" s="47"/>
      <c r="T1642" s="47"/>
      <c r="U1642" s="47"/>
    </row>
    <row r="1643" spans="8:21" x14ac:dyDescent="0.3"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  <c r="S1643" s="47"/>
      <c r="T1643" s="47"/>
      <c r="U1643" s="47"/>
    </row>
    <row r="1644" spans="8:21" x14ac:dyDescent="0.3">
      <c r="H1644" s="47"/>
      <c r="I1644" s="47"/>
      <c r="J1644" s="47"/>
      <c r="K1644" s="47"/>
      <c r="L1644" s="47"/>
      <c r="M1644" s="47"/>
      <c r="N1644" s="47"/>
      <c r="O1644" s="47"/>
      <c r="P1644" s="47"/>
      <c r="Q1644" s="47"/>
      <c r="R1644" s="47"/>
      <c r="S1644" s="47"/>
      <c r="T1644" s="47"/>
      <c r="U1644" s="47"/>
    </row>
    <row r="1645" spans="8:21" x14ac:dyDescent="0.3">
      <c r="H1645" s="47"/>
      <c r="I1645" s="47"/>
      <c r="J1645" s="47"/>
      <c r="K1645" s="47"/>
      <c r="L1645" s="47"/>
      <c r="M1645" s="47"/>
      <c r="N1645" s="47"/>
      <c r="O1645" s="47"/>
      <c r="P1645" s="47"/>
      <c r="Q1645" s="47"/>
      <c r="R1645" s="47"/>
      <c r="S1645" s="47"/>
      <c r="T1645" s="47"/>
      <c r="U1645" s="47"/>
    </row>
    <row r="1646" spans="8:21" x14ac:dyDescent="0.3"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  <c r="S1646" s="47"/>
      <c r="T1646" s="47"/>
      <c r="U1646" s="47"/>
    </row>
    <row r="1647" spans="8:21" x14ac:dyDescent="0.3"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  <c r="S1647" s="47"/>
      <c r="T1647" s="47"/>
      <c r="U1647" s="47"/>
    </row>
    <row r="1648" spans="8:21" x14ac:dyDescent="0.3">
      <c r="H1648" s="47"/>
      <c r="I1648" s="47"/>
      <c r="J1648" s="47"/>
      <c r="K1648" s="47"/>
      <c r="L1648" s="47"/>
      <c r="M1648" s="47"/>
      <c r="N1648" s="47"/>
      <c r="O1648" s="47"/>
      <c r="P1648" s="47"/>
      <c r="Q1648" s="47"/>
      <c r="R1648" s="47"/>
      <c r="S1648" s="47"/>
      <c r="T1648" s="47"/>
      <c r="U1648" s="47"/>
    </row>
    <row r="1649" spans="8:21" x14ac:dyDescent="0.3">
      <c r="H1649" s="47"/>
      <c r="I1649" s="47"/>
      <c r="J1649" s="47"/>
      <c r="K1649" s="47"/>
      <c r="L1649" s="47"/>
      <c r="M1649" s="47"/>
      <c r="N1649" s="47"/>
      <c r="O1649" s="47"/>
      <c r="P1649" s="47"/>
      <c r="Q1649" s="47"/>
      <c r="R1649" s="47"/>
      <c r="S1649" s="47"/>
      <c r="T1649" s="47"/>
      <c r="U1649" s="47"/>
    </row>
    <row r="1650" spans="8:21" x14ac:dyDescent="0.3"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  <c r="S1650" s="47"/>
      <c r="T1650" s="47"/>
      <c r="U1650" s="47"/>
    </row>
    <row r="1651" spans="8:21" x14ac:dyDescent="0.3"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  <c r="S1651" s="47"/>
      <c r="T1651" s="47"/>
      <c r="U1651" s="47"/>
    </row>
    <row r="1652" spans="8:21" x14ac:dyDescent="0.3">
      <c r="H1652" s="47"/>
      <c r="I1652" s="47"/>
      <c r="J1652" s="47"/>
      <c r="K1652" s="47"/>
      <c r="L1652" s="47"/>
      <c r="M1652" s="47"/>
      <c r="N1652" s="47"/>
      <c r="O1652" s="47"/>
      <c r="P1652" s="47"/>
      <c r="Q1652" s="47"/>
      <c r="R1652" s="47"/>
      <c r="S1652" s="47"/>
      <c r="T1652" s="47"/>
      <c r="U1652" s="47"/>
    </row>
    <row r="1653" spans="8:21" x14ac:dyDescent="0.3">
      <c r="H1653" s="47"/>
      <c r="I1653" s="47"/>
      <c r="J1653" s="47"/>
      <c r="K1653" s="47"/>
      <c r="L1653" s="47"/>
      <c r="M1653" s="47"/>
      <c r="N1653" s="47"/>
      <c r="O1653" s="47"/>
      <c r="P1653" s="47"/>
      <c r="Q1653" s="47"/>
      <c r="R1653" s="47"/>
      <c r="S1653" s="47"/>
      <c r="T1653" s="47"/>
      <c r="U1653" s="47"/>
    </row>
    <row r="1654" spans="8:21" x14ac:dyDescent="0.3">
      <c r="H1654" s="47"/>
      <c r="I1654" s="47"/>
      <c r="J1654" s="47"/>
      <c r="K1654" s="47"/>
      <c r="L1654" s="47"/>
      <c r="M1654" s="47"/>
      <c r="N1654" s="47"/>
      <c r="O1654" s="47"/>
      <c r="P1654" s="47"/>
      <c r="Q1654" s="47"/>
      <c r="R1654" s="47"/>
      <c r="S1654" s="47"/>
      <c r="T1654" s="47"/>
      <c r="U1654" s="47"/>
    </row>
    <row r="1655" spans="8:21" x14ac:dyDescent="0.3"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  <c r="S1655" s="47"/>
      <c r="T1655" s="47"/>
      <c r="U1655" s="47"/>
    </row>
    <row r="1656" spans="8:21" x14ac:dyDescent="0.3">
      <c r="H1656" s="47"/>
      <c r="I1656" s="47"/>
      <c r="J1656" s="47"/>
      <c r="K1656" s="47"/>
      <c r="L1656" s="47"/>
      <c r="M1656" s="47"/>
      <c r="N1656" s="47"/>
      <c r="O1656" s="47"/>
      <c r="P1656" s="47"/>
      <c r="Q1656" s="47"/>
      <c r="R1656" s="47"/>
      <c r="S1656" s="47"/>
      <c r="T1656" s="47"/>
      <c r="U1656" s="47"/>
    </row>
    <row r="1657" spans="8:21" x14ac:dyDescent="0.3">
      <c r="H1657" s="47"/>
      <c r="I1657" s="47"/>
      <c r="J1657" s="47"/>
      <c r="K1657" s="47"/>
      <c r="L1657" s="47"/>
      <c r="M1657" s="47"/>
      <c r="N1657" s="47"/>
      <c r="O1657" s="47"/>
      <c r="P1657" s="47"/>
      <c r="Q1657" s="47"/>
      <c r="R1657" s="47"/>
      <c r="S1657" s="47"/>
      <c r="T1657" s="47"/>
      <c r="U1657" s="47"/>
    </row>
    <row r="1658" spans="8:21" x14ac:dyDescent="0.3">
      <c r="H1658" s="47"/>
      <c r="I1658" s="47"/>
      <c r="J1658" s="47"/>
      <c r="K1658" s="47"/>
      <c r="L1658" s="47"/>
      <c r="M1658" s="47"/>
      <c r="N1658" s="47"/>
      <c r="O1658" s="47"/>
      <c r="P1658" s="47"/>
      <c r="Q1658" s="47"/>
      <c r="R1658" s="47"/>
      <c r="S1658" s="47"/>
      <c r="T1658" s="47"/>
      <c r="U1658" s="47"/>
    </row>
    <row r="1659" spans="8:21" x14ac:dyDescent="0.3"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  <c r="S1659" s="47"/>
      <c r="T1659" s="47"/>
      <c r="U1659" s="47"/>
    </row>
    <row r="1660" spans="8:21" x14ac:dyDescent="0.3">
      <c r="H1660" s="47"/>
      <c r="I1660" s="47"/>
      <c r="J1660" s="47"/>
      <c r="K1660" s="47"/>
      <c r="L1660" s="47"/>
      <c r="M1660" s="47"/>
      <c r="N1660" s="47"/>
      <c r="O1660" s="47"/>
      <c r="P1660" s="47"/>
      <c r="Q1660" s="47"/>
      <c r="R1660" s="47"/>
      <c r="S1660" s="47"/>
      <c r="T1660" s="47"/>
      <c r="U1660" s="47"/>
    </row>
    <row r="1661" spans="8:21" x14ac:dyDescent="0.3">
      <c r="H1661" s="47"/>
      <c r="I1661" s="47"/>
      <c r="J1661" s="47"/>
      <c r="K1661" s="47"/>
      <c r="L1661" s="47"/>
      <c r="M1661" s="47"/>
      <c r="N1661" s="47"/>
      <c r="O1661" s="47"/>
      <c r="P1661" s="47"/>
      <c r="Q1661" s="47"/>
      <c r="R1661" s="47"/>
      <c r="S1661" s="47"/>
      <c r="T1661" s="47"/>
      <c r="U1661" s="47"/>
    </row>
    <row r="1662" spans="8:21" x14ac:dyDescent="0.3">
      <c r="H1662" s="47"/>
      <c r="I1662" s="47"/>
      <c r="J1662" s="47"/>
      <c r="K1662" s="47"/>
      <c r="L1662" s="47"/>
      <c r="M1662" s="47"/>
      <c r="N1662" s="47"/>
      <c r="O1662" s="47"/>
      <c r="P1662" s="47"/>
      <c r="Q1662" s="47"/>
      <c r="R1662" s="47"/>
      <c r="S1662" s="47"/>
      <c r="T1662" s="47"/>
      <c r="U1662" s="47"/>
    </row>
    <row r="1663" spans="8:21" x14ac:dyDescent="0.3"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  <c r="S1663" s="47"/>
      <c r="T1663" s="47"/>
      <c r="U1663" s="47"/>
    </row>
    <row r="1664" spans="8:21" x14ac:dyDescent="0.3">
      <c r="H1664" s="47"/>
      <c r="I1664" s="47"/>
      <c r="J1664" s="47"/>
      <c r="K1664" s="47"/>
      <c r="L1664" s="47"/>
      <c r="M1664" s="47"/>
      <c r="N1664" s="47"/>
      <c r="O1664" s="47"/>
      <c r="P1664" s="47"/>
      <c r="Q1664" s="47"/>
      <c r="R1664" s="47"/>
      <c r="S1664" s="47"/>
      <c r="T1664" s="47"/>
      <c r="U1664" s="47"/>
    </row>
    <row r="1665" spans="8:21" x14ac:dyDescent="0.3">
      <c r="H1665" s="47"/>
      <c r="I1665" s="47"/>
      <c r="J1665" s="47"/>
      <c r="K1665" s="47"/>
      <c r="L1665" s="47"/>
      <c r="M1665" s="47"/>
      <c r="N1665" s="47"/>
      <c r="O1665" s="47"/>
      <c r="P1665" s="47"/>
      <c r="Q1665" s="47"/>
      <c r="R1665" s="47"/>
      <c r="S1665" s="47"/>
      <c r="T1665" s="47"/>
      <c r="U1665" s="47"/>
    </row>
    <row r="1666" spans="8:21" x14ac:dyDescent="0.3"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  <c r="S1666" s="47"/>
      <c r="T1666" s="47"/>
      <c r="U1666" s="47"/>
    </row>
    <row r="1667" spans="8:21" x14ac:dyDescent="0.3"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  <c r="S1667" s="47"/>
      <c r="T1667" s="47"/>
      <c r="U1667" s="47"/>
    </row>
    <row r="1668" spans="8:21" x14ac:dyDescent="0.3">
      <c r="H1668" s="47"/>
      <c r="I1668" s="47"/>
      <c r="J1668" s="47"/>
      <c r="K1668" s="47"/>
      <c r="L1668" s="47"/>
      <c r="M1668" s="47"/>
      <c r="N1668" s="47"/>
      <c r="O1668" s="47"/>
      <c r="P1668" s="47"/>
      <c r="Q1668" s="47"/>
      <c r="R1668" s="47"/>
      <c r="S1668" s="47"/>
      <c r="T1668" s="47"/>
      <c r="U1668" s="47"/>
    </row>
    <row r="1669" spans="8:21" x14ac:dyDescent="0.3">
      <c r="H1669" s="47"/>
      <c r="I1669" s="47"/>
      <c r="J1669" s="47"/>
      <c r="K1669" s="47"/>
      <c r="L1669" s="47"/>
      <c r="M1669" s="47"/>
      <c r="N1669" s="47"/>
      <c r="O1669" s="47"/>
      <c r="P1669" s="47"/>
      <c r="Q1669" s="47"/>
      <c r="R1669" s="47"/>
      <c r="S1669" s="47"/>
      <c r="T1669" s="47"/>
      <c r="U1669" s="47"/>
    </row>
    <row r="1670" spans="8:21" x14ac:dyDescent="0.3"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  <c r="S1670" s="47"/>
      <c r="T1670" s="47"/>
      <c r="U1670" s="47"/>
    </row>
    <row r="1671" spans="8:21" x14ac:dyDescent="0.3"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  <c r="S1671" s="47"/>
      <c r="T1671" s="47"/>
      <c r="U1671" s="47"/>
    </row>
    <row r="1672" spans="8:21" x14ac:dyDescent="0.3">
      <c r="H1672" s="47"/>
      <c r="I1672" s="47"/>
      <c r="J1672" s="47"/>
      <c r="K1672" s="47"/>
      <c r="L1672" s="47"/>
      <c r="M1672" s="47"/>
      <c r="N1672" s="47"/>
      <c r="O1672" s="47"/>
      <c r="P1672" s="47"/>
      <c r="Q1672" s="47"/>
      <c r="R1672" s="47"/>
      <c r="S1672" s="47"/>
      <c r="T1672" s="47"/>
      <c r="U1672" s="47"/>
    </row>
    <row r="1673" spans="8:21" x14ac:dyDescent="0.3">
      <c r="H1673" s="47"/>
      <c r="I1673" s="47"/>
      <c r="J1673" s="47"/>
      <c r="K1673" s="47"/>
      <c r="L1673" s="47"/>
      <c r="M1673" s="47"/>
      <c r="N1673" s="47"/>
      <c r="O1673" s="47"/>
      <c r="P1673" s="47"/>
      <c r="Q1673" s="47"/>
      <c r="R1673" s="47"/>
      <c r="S1673" s="47"/>
      <c r="T1673" s="47"/>
      <c r="U1673" s="47"/>
    </row>
    <row r="1674" spans="8:21" x14ac:dyDescent="0.3">
      <c r="H1674" s="47"/>
      <c r="I1674" s="47"/>
      <c r="J1674" s="47"/>
      <c r="K1674" s="47"/>
      <c r="L1674" s="47"/>
      <c r="M1674" s="47"/>
      <c r="N1674" s="47"/>
      <c r="O1674" s="47"/>
      <c r="P1674" s="47"/>
      <c r="Q1674" s="47"/>
      <c r="R1674" s="47"/>
      <c r="S1674" s="47"/>
      <c r="T1674" s="47"/>
      <c r="U1674" s="47"/>
    </row>
    <row r="1675" spans="8:21" x14ac:dyDescent="0.3"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  <c r="S1675" s="47"/>
      <c r="T1675" s="47"/>
      <c r="U1675" s="47"/>
    </row>
    <row r="1676" spans="8:21" x14ac:dyDescent="0.3">
      <c r="H1676" s="47"/>
      <c r="I1676" s="47"/>
      <c r="J1676" s="47"/>
      <c r="K1676" s="47"/>
      <c r="L1676" s="47"/>
      <c r="M1676" s="47"/>
      <c r="N1676" s="47"/>
      <c r="O1676" s="47"/>
      <c r="P1676" s="47"/>
      <c r="Q1676" s="47"/>
      <c r="R1676" s="47"/>
      <c r="S1676" s="47"/>
      <c r="T1676" s="47"/>
      <c r="U1676" s="47"/>
    </row>
    <row r="1677" spans="8:21" x14ac:dyDescent="0.3">
      <c r="H1677" s="47"/>
      <c r="I1677" s="47"/>
      <c r="J1677" s="47"/>
      <c r="K1677" s="47"/>
      <c r="L1677" s="47"/>
      <c r="M1677" s="47"/>
      <c r="N1677" s="47"/>
      <c r="O1677" s="47"/>
      <c r="P1677" s="47"/>
      <c r="Q1677" s="47"/>
      <c r="R1677" s="47"/>
      <c r="S1677" s="47"/>
      <c r="T1677" s="47"/>
      <c r="U1677" s="47"/>
    </row>
    <row r="1678" spans="8:21" x14ac:dyDescent="0.3">
      <c r="H1678" s="47"/>
      <c r="I1678" s="47"/>
      <c r="J1678" s="47"/>
      <c r="K1678" s="47"/>
      <c r="L1678" s="47"/>
      <c r="M1678" s="47"/>
      <c r="N1678" s="47"/>
      <c r="O1678" s="47"/>
      <c r="P1678" s="47"/>
      <c r="Q1678" s="47"/>
      <c r="R1678" s="47"/>
      <c r="S1678" s="47"/>
      <c r="T1678" s="47"/>
      <c r="U1678" s="47"/>
    </row>
    <row r="1679" spans="8:21" x14ac:dyDescent="0.3"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  <c r="S1679" s="47"/>
      <c r="T1679" s="47"/>
      <c r="U1679" s="47"/>
    </row>
    <row r="1680" spans="8:21" x14ac:dyDescent="0.3">
      <c r="H1680" s="47"/>
      <c r="I1680" s="47"/>
      <c r="J1680" s="47"/>
      <c r="K1680" s="47"/>
      <c r="L1680" s="47"/>
      <c r="M1680" s="47"/>
      <c r="N1680" s="47"/>
      <c r="O1680" s="47"/>
      <c r="P1680" s="47"/>
      <c r="Q1680" s="47"/>
      <c r="R1680" s="47"/>
      <c r="S1680" s="47"/>
      <c r="T1680" s="47"/>
      <c r="U1680" s="47"/>
    </row>
    <row r="1681" spans="8:21" x14ac:dyDescent="0.3">
      <c r="H1681" s="47"/>
      <c r="I1681" s="47"/>
      <c r="J1681" s="47"/>
      <c r="K1681" s="47"/>
      <c r="L1681" s="47"/>
      <c r="M1681" s="47"/>
      <c r="N1681" s="47"/>
      <c r="O1681" s="47"/>
      <c r="P1681" s="47"/>
      <c r="Q1681" s="47"/>
      <c r="R1681" s="47"/>
      <c r="S1681" s="47"/>
      <c r="T1681" s="47"/>
      <c r="U1681" s="47"/>
    </row>
    <row r="1682" spans="8:21" x14ac:dyDescent="0.3"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  <c r="S1682" s="47"/>
      <c r="T1682" s="47"/>
      <c r="U1682" s="47"/>
    </row>
    <row r="1683" spans="8:21" x14ac:dyDescent="0.3"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  <c r="S1683" s="47"/>
      <c r="T1683" s="47"/>
      <c r="U1683" s="47"/>
    </row>
    <row r="1684" spans="8:21" x14ac:dyDescent="0.3">
      <c r="H1684" s="47"/>
      <c r="I1684" s="47"/>
      <c r="J1684" s="47"/>
      <c r="K1684" s="47"/>
      <c r="L1684" s="47"/>
      <c r="M1684" s="47"/>
      <c r="N1684" s="47"/>
      <c r="O1684" s="47"/>
      <c r="P1684" s="47"/>
      <c r="Q1684" s="47"/>
      <c r="R1684" s="47"/>
      <c r="S1684" s="47"/>
      <c r="T1684" s="47"/>
      <c r="U1684" s="47"/>
    </row>
    <row r="1685" spans="8:21" x14ac:dyDescent="0.3">
      <c r="H1685" s="47"/>
      <c r="I1685" s="47"/>
      <c r="J1685" s="47"/>
      <c r="K1685" s="47"/>
      <c r="L1685" s="47"/>
      <c r="M1685" s="47"/>
      <c r="N1685" s="47"/>
      <c r="O1685" s="47"/>
      <c r="P1685" s="47"/>
      <c r="Q1685" s="47"/>
      <c r="R1685" s="47"/>
      <c r="S1685" s="47"/>
      <c r="T1685" s="47"/>
      <c r="U1685" s="47"/>
    </row>
    <row r="1686" spans="8:21" x14ac:dyDescent="0.3"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  <c r="S1686" s="47"/>
      <c r="T1686" s="47"/>
      <c r="U1686" s="47"/>
    </row>
    <row r="1687" spans="8:21" x14ac:dyDescent="0.3"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  <c r="S1687" s="47"/>
      <c r="T1687" s="47"/>
      <c r="U1687" s="47"/>
    </row>
    <row r="1688" spans="8:21" x14ac:dyDescent="0.3">
      <c r="H1688" s="47"/>
      <c r="I1688" s="47"/>
      <c r="J1688" s="47"/>
      <c r="K1688" s="47"/>
      <c r="L1688" s="47"/>
      <c r="M1688" s="47"/>
      <c r="N1688" s="47"/>
      <c r="O1688" s="47"/>
      <c r="P1688" s="47"/>
      <c r="Q1688" s="47"/>
      <c r="R1688" s="47"/>
      <c r="S1688" s="47"/>
      <c r="T1688" s="47"/>
      <c r="U1688" s="47"/>
    </row>
    <row r="1689" spans="8:21" x14ac:dyDescent="0.3">
      <c r="H1689" s="47"/>
      <c r="I1689" s="47"/>
      <c r="J1689" s="47"/>
      <c r="K1689" s="47"/>
      <c r="L1689" s="47"/>
      <c r="M1689" s="47"/>
      <c r="N1689" s="47"/>
      <c r="O1689" s="47"/>
      <c r="P1689" s="47"/>
      <c r="Q1689" s="47"/>
      <c r="R1689" s="47"/>
      <c r="S1689" s="47"/>
      <c r="T1689" s="47"/>
      <c r="U1689" s="47"/>
    </row>
    <row r="1690" spans="8:21" x14ac:dyDescent="0.3">
      <c r="H1690" s="47"/>
      <c r="I1690" s="47"/>
      <c r="J1690" s="47"/>
      <c r="K1690" s="47"/>
      <c r="L1690" s="47"/>
      <c r="M1690" s="47"/>
      <c r="N1690" s="47"/>
      <c r="O1690" s="47"/>
      <c r="P1690" s="47"/>
      <c r="Q1690" s="47"/>
      <c r="R1690" s="47"/>
      <c r="S1690" s="47"/>
      <c r="T1690" s="47"/>
      <c r="U1690" s="47"/>
    </row>
    <row r="1691" spans="8:21" x14ac:dyDescent="0.3"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  <c r="S1691" s="47"/>
      <c r="T1691" s="47"/>
      <c r="U1691" s="47"/>
    </row>
    <row r="1692" spans="8:21" x14ac:dyDescent="0.3">
      <c r="H1692" s="47"/>
      <c r="I1692" s="47"/>
      <c r="J1692" s="47"/>
      <c r="K1692" s="47"/>
      <c r="L1692" s="47"/>
      <c r="M1692" s="47"/>
      <c r="N1692" s="47"/>
      <c r="O1692" s="47"/>
      <c r="P1692" s="47"/>
      <c r="Q1692" s="47"/>
      <c r="R1692" s="47"/>
      <c r="S1692" s="47"/>
      <c r="T1692" s="47"/>
      <c r="U1692" s="47"/>
    </row>
    <row r="1693" spans="8:21" x14ac:dyDescent="0.3">
      <c r="H1693" s="47"/>
      <c r="I1693" s="47"/>
      <c r="J1693" s="47"/>
      <c r="K1693" s="47"/>
      <c r="L1693" s="47"/>
      <c r="M1693" s="47"/>
      <c r="N1693" s="47"/>
      <c r="O1693" s="47"/>
      <c r="P1693" s="47"/>
      <c r="Q1693" s="47"/>
      <c r="R1693" s="47"/>
      <c r="S1693" s="47"/>
      <c r="T1693" s="47"/>
      <c r="U1693" s="47"/>
    </row>
    <row r="1694" spans="8:21" x14ac:dyDescent="0.3">
      <c r="H1694" s="47"/>
      <c r="I1694" s="47"/>
      <c r="J1694" s="47"/>
      <c r="K1694" s="47"/>
      <c r="L1694" s="47"/>
      <c r="M1694" s="47"/>
      <c r="N1694" s="47"/>
      <c r="O1694" s="47"/>
      <c r="P1694" s="47"/>
      <c r="Q1694" s="47"/>
      <c r="R1694" s="47"/>
      <c r="S1694" s="47"/>
      <c r="T1694" s="47"/>
      <c r="U1694" s="47"/>
    </row>
    <row r="1695" spans="8:21" x14ac:dyDescent="0.3"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  <c r="S1695" s="47"/>
      <c r="T1695" s="47"/>
      <c r="U1695" s="47"/>
    </row>
    <row r="1696" spans="8:21" x14ac:dyDescent="0.3">
      <c r="H1696" s="47"/>
      <c r="I1696" s="47"/>
      <c r="J1696" s="47"/>
      <c r="K1696" s="47"/>
      <c r="L1696" s="47"/>
      <c r="M1696" s="47"/>
      <c r="N1696" s="47"/>
      <c r="O1696" s="47"/>
      <c r="P1696" s="47"/>
      <c r="Q1696" s="47"/>
      <c r="R1696" s="47"/>
      <c r="S1696" s="47"/>
      <c r="T1696" s="47"/>
      <c r="U1696" s="47"/>
    </row>
    <row r="1697" spans="8:21" x14ac:dyDescent="0.3">
      <c r="H1697" s="47"/>
      <c r="I1697" s="47"/>
      <c r="J1697" s="47"/>
      <c r="K1697" s="47"/>
      <c r="L1697" s="47"/>
      <c r="M1697" s="47"/>
      <c r="N1697" s="47"/>
      <c r="O1697" s="47"/>
      <c r="P1697" s="47"/>
      <c r="Q1697" s="47"/>
      <c r="R1697" s="47"/>
      <c r="S1697" s="47"/>
      <c r="T1697" s="47"/>
      <c r="U1697" s="47"/>
    </row>
    <row r="1698" spans="8:21" x14ac:dyDescent="0.3">
      <c r="H1698" s="47"/>
      <c r="I1698" s="47"/>
      <c r="J1698" s="47"/>
      <c r="K1698" s="47"/>
      <c r="L1698" s="47"/>
      <c r="M1698" s="47"/>
      <c r="N1698" s="47"/>
      <c r="O1698" s="47"/>
      <c r="P1698" s="47"/>
      <c r="Q1698" s="47"/>
      <c r="R1698" s="47"/>
      <c r="S1698" s="47"/>
      <c r="T1698" s="47"/>
      <c r="U1698" s="47"/>
    </row>
    <row r="1699" spans="8:21" x14ac:dyDescent="0.3"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  <c r="S1699" s="47"/>
      <c r="T1699" s="47"/>
      <c r="U1699" s="47"/>
    </row>
    <row r="1700" spans="8:21" x14ac:dyDescent="0.3">
      <c r="H1700" s="47"/>
      <c r="I1700" s="47"/>
      <c r="J1700" s="47"/>
      <c r="K1700" s="47"/>
      <c r="L1700" s="47"/>
      <c r="M1700" s="47"/>
      <c r="N1700" s="47"/>
      <c r="O1700" s="47"/>
      <c r="P1700" s="47"/>
      <c r="Q1700" s="47"/>
      <c r="R1700" s="47"/>
      <c r="S1700" s="47"/>
      <c r="T1700" s="47"/>
      <c r="U1700" s="47"/>
    </row>
    <row r="1701" spans="8:21" x14ac:dyDescent="0.3">
      <c r="H1701" s="47"/>
      <c r="I1701" s="47"/>
      <c r="J1701" s="47"/>
      <c r="K1701" s="47"/>
      <c r="L1701" s="47"/>
      <c r="M1701" s="47"/>
      <c r="N1701" s="47"/>
      <c r="O1701" s="47"/>
      <c r="P1701" s="47"/>
      <c r="Q1701" s="47"/>
      <c r="R1701" s="47"/>
      <c r="S1701" s="47"/>
      <c r="T1701" s="47"/>
      <c r="U1701" s="47"/>
    </row>
    <row r="1702" spans="8:21" x14ac:dyDescent="0.3"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  <c r="S1702" s="47"/>
      <c r="T1702" s="47"/>
      <c r="U1702" s="47"/>
    </row>
    <row r="1703" spans="8:21" x14ac:dyDescent="0.3"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  <c r="S1703" s="47"/>
      <c r="T1703" s="47"/>
      <c r="U1703" s="47"/>
    </row>
    <row r="1704" spans="8:21" x14ac:dyDescent="0.3">
      <c r="H1704" s="47"/>
      <c r="I1704" s="47"/>
      <c r="J1704" s="47"/>
      <c r="K1704" s="47"/>
      <c r="L1704" s="47"/>
      <c r="M1704" s="47"/>
      <c r="N1704" s="47"/>
      <c r="O1704" s="47"/>
      <c r="P1704" s="47"/>
      <c r="Q1704" s="47"/>
      <c r="R1704" s="47"/>
      <c r="S1704" s="47"/>
      <c r="T1704" s="47"/>
      <c r="U1704" s="47"/>
    </row>
    <row r="1705" spans="8:21" x14ac:dyDescent="0.3">
      <c r="H1705" s="47"/>
      <c r="I1705" s="47"/>
      <c r="J1705" s="47"/>
      <c r="K1705" s="47"/>
      <c r="L1705" s="47"/>
      <c r="M1705" s="47"/>
      <c r="N1705" s="47"/>
      <c r="O1705" s="47"/>
      <c r="P1705" s="47"/>
      <c r="Q1705" s="47"/>
      <c r="R1705" s="47"/>
      <c r="S1705" s="47"/>
      <c r="T1705" s="47"/>
      <c r="U1705" s="47"/>
    </row>
    <row r="1706" spans="8:21" x14ac:dyDescent="0.3">
      <c r="H1706" s="47"/>
      <c r="I1706" s="47"/>
      <c r="J1706" s="47"/>
      <c r="K1706" s="47"/>
      <c r="L1706" s="47"/>
      <c r="M1706" s="47"/>
      <c r="N1706" s="47"/>
      <c r="O1706" s="47"/>
      <c r="P1706" s="47"/>
      <c r="Q1706" s="47"/>
      <c r="R1706" s="47"/>
      <c r="S1706" s="47"/>
      <c r="T1706" s="47"/>
      <c r="U1706" s="47"/>
    </row>
    <row r="1707" spans="8:21" x14ac:dyDescent="0.3"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  <c r="S1707" s="47"/>
      <c r="T1707" s="47"/>
      <c r="U1707" s="47"/>
    </row>
    <row r="1708" spans="8:21" x14ac:dyDescent="0.3">
      <c r="H1708" s="47"/>
      <c r="I1708" s="47"/>
      <c r="J1708" s="47"/>
      <c r="K1708" s="47"/>
      <c r="L1708" s="47"/>
      <c r="M1708" s="47"/>
      <c r="N1708" s="47"/>
      <c r="O1708" s="47"/>
      <c r="P1708" s="47"/>
      <c r="Q1708" s="47"/>
      <c r="R1708" s="47"/>
      <c r="S1708" s="47"/>
      <c r="T1708" s="47"/>
      <c r="U1708" s="47"/>
    </row>
    <row r="1709" spans="8:21" x14ac:dyDescent="0.3">
      <c r="H1709" s="47"/>
      <c r="I1709" s="47"/>
      <c r="J1709" s="47"/>
      <c r="K1709" s="47"/>
      <c r="L1709" s="47"/>
      <c r="M1709" s="47"/>
      <c r="N1709" s="47"/>
      <c r="O1709" s="47"/>
      <c r="P1709" s="47"/>
      <c r="Q1709" s="47"/>
      <c r="R1709" s="47"/>
      <c r="S1709" s="47"/>
      <c r="T1709" s="47"/>
      <c r="U1709" s="47"/>
    </row>
    <row r="1710" spans="8:21" x14ac:dyDescent="0.3">
      <c r="H1710" s="47"/>
      <c r="I1710" s="47"/>
      <c r="J1710" s="47"/>
      <c r="K1710" s="47"/>
      <c r="L1710" s="47"/>
      <c r="M1710" s="47"/>
      <c r="N1710" s="47"/>
      <c r="O1710" s="47"/>
      <c r="P1710" s="47"/>
      <c r="Q1710" s="47"/>
      <c r="R1710" s="47"/>
      <c r="S1710" s="47"/>
      <c r="T1710" s="47"/>
      <c r="U1710" s="47"/>
    </row>
    <row r="1711" spans="8:21" x14ac:dyDescent="0.3"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  <c r="S1711" s="47"/>
      <c r="T1711" s="47"/>
      <c r="U1711" s="47"/>
    </row>
    <row r="1712" spans="8:21" x14ac:dyDescent="0.3">
      <c r="H1712" s="47"/>
      <c r="I1712" s="47"/>
      <c r="J1712" s="47"/>
      <c r="K1712" s="47"/>
      <c r="L1712" s="47"/>
      <c r="M1712" s="47"/>
      <c r="N1712" s="47"/>
      <c r="O1712" s="47"/>
      <c r="P1712" s="47"/>
      <c r="Q1712" s="47"/>
      <c r="R1712" s="47"/>
      <c r="S1712" s="47"/>
      <c r="T1712" s="47"/>
      <c r="U1712" s="47"/>
    </row>
    <row r="1713" spans="8:21" x14ac:dyDescent="0.3">
      <c r="H1713" s="47"/>
      <c r="I1713" s="47"/>
      <c r="J1713" s="47"/>
      <c r="K1713" s="47"/>
      <c r="L1713" s="47"/>
      <c r="M1713" s="47"/>
      <c r="N1713" s="47"/>
      <c r="O1713" s="47"/>
      <c r="P1713" s="47"/>
      <c r="Q1713" s="47"/>
      <c r="R1713" s="47"/>
      <c r="S1713" s="47"/>
      <c r="T1713" s="47"/>
      <c r="U1713" s="47"/>
    </row>
    <row r="1714" spans="8:21" x14ac:dyDescent="0.3">
      <c r="H1714" s="47"/>
      <c r="I1714" s="47"/>
      <c r="J1714" s="47"/>
      <c r="K1714" s="47"/>
      <c r="L1714" s="47"/>
      <c r="M1714" s="47"/>
      <c r="N1714" s="47"/>
      <c r="O1714" s="47"/>
      <c r="P1714" s="47"/>
      <c r="Q1714" s="47"/>
      <c r="R1714" s="47"/>
      <c r="S1714" s="47"/>
      <c r="T1714" s="47"/>
      <c r="U1714" s="47"/>
    </row>
    <row r="1715" spans="8:21" x14ac:dyDescent="0.3"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  <c r="S1715" s="47"/>
      <c r="T1715" s="47"/>
      <c r="U1715" s="47"/>
    </row>
    <row r="1716" spans="8:21" x14ac:dyDescent="0.3">
      <c r="H1716" s="47"/>
      <c r="I1716" s="47"/>
      <c r="J1716" s="47"/>
      <c r="K1716" s="47"/>
      <c r="L1716" s="47"/>
      <c r="M1716" s="47"/>
      <c r="N1716" s="47"/>
      <c r="O1716" s="47"/>
      <c r="P1716" s="47"/>
      <c r="Q1716" s="47"/>
      <c r="R1716" s="47"/>
      <c r="S1716" s="47"/>
      <c r="T1716" s="47"/>
      <c r="U1716" s="47"/>
    </row>
    <row r="1717" spans="8:21" x14ac:dyDescent="0.3">
      <c r="H1717" s="47"/>
      <c r="I1717" s="47"/>
      <c r="J1717" s="47"/>
      <c r="K1717" s="47"/>
      <c r="L1717" s="47"/>
      <c r="M1717" s="47"/>
      <c r="N1717" s="47"/>
      <c r="O1717" s="47"/>
      <c r="P1717" s="47"/>
      <c r="Q1717" s="47"/>
      <c r="R1717" s="47"/>
      <c r="S1717" s="47"/>
      <c r="T1717" s="47"/>
      <c r="U1717" s="47"/>
    </row>
    <row r="1718" spans="8:21" x14ac:dyDescent="0.3"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  <c r="S1718" s="47"/>
      <c r="T1718" s="47"/>
      <c r="U1718" s="47"/>
    </row>
    <row r="1719" spans="8:21" x14ac:dyDescent="0.3"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  <c r="S1719" s="47"/>
      <c r="T1719" s="47"/>
      <c r="U1719" s="47"/>
    </row>
    <row r="1720" spans="8:21" x14ac:dyDescent="0.3">
      <c r="H1720" s="47"/>
      <c r="I1720" s="47"/>
      <c r="J1720" s="47"/>
      <c r="K1720" s="47"/>
      <c r="L1720" s="47"/>
      <c r="M1720" s="47"/>
      <c r="N1720" s="47"/>
      <c r="O1720" s="47"/>
      <c r="P1720" s="47"/>
      <c r="Q1720" s="47"/>
      <c r="R1720" s="47"/>
      <c r="S1720" s="47"/>
      <c r="T1720" s="47"/>
      <c r="U1720" s="47"/>
    </row>
    <row r="1721" spans="8:21" x14ac:dyDescent="0.3">
      <c r="H1721" s="47"/>
      <c r="I1721" s="47"/>
      <c r="J1721" s="47"/>
      <c r="K1721" s="47"/>
      <c r="L1721" s="47"/>
      <c r="M1721" s="47"/>
      <c r="N1721" s="47"/>
      <c r="O1721" s="47"/>
      <c r="P1721" s="47"/>
      <c r="Q1721" s="47"/>
      <c r="R1721" s="47"/>
      <c r="S1721" s="47"/>
      <c r="T1721" s="47"/>
      <c r="U1721" s="47"/>
    </row>
    <row r="1722" spans="8:21" x14ac:dyDescent="0.3"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  <c r="S1722" s="47"/>
      <c r="T1722" s="47"/>
      <c r="U1722" s="47"/>
    </row>
    <row r="1723" spans="8:21" x14ac:dyDescent="0.3"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  <c r="S1723" s="47"/>
      <c r="T1723" s="47"/>
      <c r="U1723" s="47"/>
    </row>
    <row r="1724" spans="8:21" x14ac:dyDescent="0.3">
      <c r="H1724" s="47"/>
      <c r="I1724" s="47"/>
      <c r="J1724" s="47"/>
      <c r="K1724" s="47"/>
      <c r="L1724" s="47"/>
      <c r="M1724" s="47"/>
      <c r="N1724" s="47"/>
      <c r="O1724" s="47"/>
      <c r="P1724" s="47"/>
      <c r="Q1724" s="47"/>
      <c r="R1724" s="47"/>
      <c r="S1724" s="47"/>
      <c r="T1724" s="47"/>
      <c r="U1724" s="47"/>
    </row>
    <row r="1725" spans="8:21" x14ac:dyDescent="0.3">
      <c r="H1725" s="47"/>
      <c r="I1725" s="47"/>
      <c r="J1725" s="47"/>
      <c r="K1725" s="47"/>
      <c r="L1725" s="47"/>
      <c r="M1725" s="47"/>
      <c r="N1725" s="47"/>
      <c r="O1725" s="47"/>
      <c r="P1725" s="47"/>
      <c r="Q1725" s="47"/>
      <c r="R1725" s="47"/>
      <c r="S1725" s="47"/>
      <c r="T1725" s="47"/>
      <c r="U1725" s="47"/>
    </row>
    <row r="1726" spans="8:21" x14ac:dyDescent="0.3">
      <c r="H1726" s="47"/>
      <c r="I1726" s="47"/>
      <c r="J1726" s="47"/>
      <c r="K1726" s="47"/>
      <c r="L1726" s="47"/>
      <c r="M1726" s="47"/>
      <c r="N1726" s="47"/>
      <c r="O1726" s="47"/>
      <c r="P1726" s="47"/>
      <c r="Q1726" s="47"/>
      <c r="R1726" s="47"/>
      <c r="S1726" s="47"/>
      <c r="T1726" s="47"/>
      <c r="U1726" s="47"/>
    </row>
    <row r="1727" spans="8:21" x14ac:dyDescent="0.3"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  <c r="S1727" s="47"/>
      <c r="T1727" s="47"/>
      <c r="U1727" s="47"/>
    </row>
    <row r="1728" spans="8:21" x14ac:dyDescent="0.3">
      <c r="H1728" s="47"/>
      <c r="I1728" s="47"/>
      <c r="J1728" s="47"/>
      <c r="K1728" s="47"/>
      <c r="L1728" s="47"/>
      <c r="M1728" s="47"/>
      <c r="N1728" s="47"/>
      <c r="O1728" s="47"/>
      <c r="P1728" s="47"/>
      <c r="Q1728" s="47"/>
      <c r="R1728" s="47"/>
      <c r="S1728" s="47"/>
      <c r="T1728" s="47"/>
      <c r="U1728" s="47"/>
    </row>
    <row r="1729" spans="8:21" x14ac:dyDescent="0.3">
      <c r="H1729" s="47"/>
      <c r="I1729" s="47"/>
      <c r="J1729" s="47"/>
      <c r="K1729" s="47"/>
      <c r="L1729" s="47"/>
      <c r="M1729" s="47"/>
      <c r="N1729" s="47"/>
      <c r="O1729" s="47"/>
      <c r="P1729" s="47"/>
      <c r="Q1729" s="47"/>
      <c r="R1729" s="47"/>
      <c r="S1729" s="47"/>
      <c r="T1729" s="47"/>
      <c r="U1729" s="47"/>
    </row>
    <row r="1730" spans="8:21" x14ac:dyDescent="0.3">
      <c r="H1730" s="47"/>
      <c r="I1730" s="47"/>
      <c r="J1730" s="47"/>
      <c r="K1730" s="47"/>
      <c r="L1730" s="47"/>
      <c r="M1730" s="47"/>
      <c r="N1730" s="47"/>
      <c r="O1730" s="47"/>
      <c r="P1730" s="47"/>
      <c r="Q1730" s="47"/>
      <c r="R1730" s="47"/>
      <c r="S1730" s="47"/>
      <c r="T1730" s="47"/>
      <c r="U1730" s="47"/>
    </row>
    <row r="1731" spans="8:21" x14ac:dyDescent="0.3"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  <c r="S1731" s="47"/>
      <c r="T1731" s="47"/>
      <c r="U1731" s="47"/>
    </row>
    <row r="1732" spans="8:21" x14ac:dyDescent="0.3">
      <c r="H1732" s="47"/>
      <c r="I1732" s="47"/>
      <c r="J1732" s="47"/>
      <c r="K1732" s="47"/>
      <c r="L1732" s="47"/>
      <c r="M1732" s="47"/>
      <c r="N1732" s="47"/>
      <c r="O1732" s="47"/>
      <c r="P1732" s="47"/>
      <c r="Q1732" s="47"/>
      <c r="R1732" s="47"/>
      <c r="S1732" s="47"/>
      <c r="T1732" s="47"/>
      <c r="U1732" s="47"/>
    </row>
    <row r="1733" spans="8:21" x14ac:dyDescent="0.3">
      <c r="H1733" s="47"/>
      <c r="I1733" s="47"/>
      <c r="J1733" s="47"/>
      <c r="K1733" s="47"/>
      <c r="L1733" s="47"/>
      <c r="M1733" s="47"/>
      <c r="N1733" s="47"/>
      <c r="O1733" s="47"/>
      <c r="P1733" s="47"/>
      <c r="Q1733" s="47"/>
      <c r="R1733" s="47"/>
      <c r="S1733" s="47"/>
      <c r="T1733" s="47"/>
      <c r="U1733" s="47"/>
    </row>
    <row r="1734" spans="8:21" x14ac:dyDescent="0.3">
      <c r="H1734" s="47"/>
      <c r="I1734" s="47"/>
      <c r="J1734" s="47"/>
      <c r="K1734" s="47"/>
      <c r="L1734" s="47"/>
      <c r="M1734" s="47"/>
      <c r="N1734" s="47"/>
      <c r="O1734" s="47"/>
      <c r="P1734" s="47"/>
      <c r="Q1734" s="47"/>
      <c r="R1734" s="47"/>
      <c r="S1734" s="47"/>
      <c r="T1734" s="47"/>
      <c r="U1734" s="47"/>
    </row>
    <row r="1735" spans="8:21" x14ac:dyDescent="0.3"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  <c r="S1735" s="47"/>
      <c r="T1735" s="47"/>
      <c r="U1735" s="47"/>
    </row>
    <row r="1736" spans="8:21" x14ac:dyDescent="0.3">
      <c r="H1736" s="47"/>
      <c r="I1736" s="47"/>
      <c r="J1736" s="47"/>
      <c r="K1736" s="47"/>
      <c r="L1736" s="47"/>
      <c r="M1736" s="47"/>
      <c r="N1736" s="47"/>
      <c r="O1736" s="47"/>
      <c r="P1736" s="47"/>
      <c r="Q1736" s="47"/>
      <c r="R1736" s="47"/>
      <c r="S1736" s="47"/>
      <c r="T1736" s="47"/>
      <c r="U1736" s="47"/>
    </row>
    <row r="1737" spans="8:21" x14ac:dyDescent="0.3">
      <c r="H1737" s="47"/>
      <c r="I1737" s="47"/>
      <c r="J1737" s="47"/>
      <c r="K1737" s="47"/>
      <c r="L1737" s="47"/>
      <c r="M1737" s="47"/>
      <c r="N1737" s="47"/>
      <c r="O1737" s="47"/>
      <c r="P1737" s="47"/>
      <c r="Q1737" s="47"/>
      <c r="R1737" s="47"/>
      <c r="S1737" s="47"/>
      <c r="T1737" s="47"/>
      <c r="U1737" s="47"/>
    </row>
    <row r="1738" spans="8:21" x14ac:dyDescent="0.3"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  <c r="S1738" s="47"/>
      <c r="T1738" s="47"/>
      <c r="U1738" s="47"/>
    </row>
    <row r="1739" spans="8:21" x14ac:dyDescent="0.3"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  <c r="S1739" s="47"/>
      <c r="T1739" s="47"/>
      <c r="U1739" s="47"/>
    </row>
    <row r="1740" spans="8:21" x14ac:dyDescent="0.3">
      <c r="H1740" s="47"/>
      <c r="I1740" s="47"/>
      <c r="J1740" s="47"/>
      <c r="K1740" s="47"/>
      <c r="L1740" s="47"/>
      <c r="M1740" s="47"/>
      <c r="N1740" s="47"/>
      <c r="O1740" s="47"/>
      <c r="P1740" s="47"/>
      <c r="Q1740" s="47"/>
      <c r="R1740" s="47"/>
      <c r="S1740" s="47"/>
      <c r="T1740" s="47"/>
      <c r="U1740" s="47"/>
    </row>
    <row r="1741" spans="8:21" x14ac:dyDescent="0.3">
      <c r="H1741" s="47"/>
      <c r="I1741" s="47"/>
      <c r="J1741" s="47"/>
      <c r="K1741" s="47"/>
      <c r="L1741" s="47"/>
      <c r="M1741" s="47"/>
      <c r="N1741" s="47"/>
      <c r="O1741" s="47"/>
      <c r="P1741" s="47"/>
      <c r="Q1741" s="47"/>
      <c r="R1741" s="47"/>
      <c r="S1741" s="47"/>
      <c r="T1741" s="47"/>
      <c r="U1741" s="47"/>
    </row>
    <row r="1742" spans="8:21" x14ac:dyDescent="0.3">
      <c r="H1742" s="47"/>
      <c r="I1742" s="47"/>
      <c r="J1742" s="47"/>
      <c r="K1742" s="47"/>
      <c r="L1742" s="47"/>
      <c r="M1742" s="47"/>
      <c r="N1742" s="47"/>
      <c r="O1742" s="47"/>
      <c r="P1742" s="47"/>
      <c r="Q1742" s="47"/>
      <c r="R1742" s="47"/>
      <c r="S1742" s="47"/>
      <c r="T1742" s="47"/>
      <c r="U1742" s="47"/>
    </row>
    <row r="1743" spans="8:21" x14ac:dyDescent="0.3"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  <c r="S1743" s="47"/>
      <c r="T1743" s="47"/>
      <c r="U1743" s="47"/>
    </row>
    <row r="1744" spans="8:21" x14ac:dyDescent="0.3">
      <c r="H1744" s="47"/>
      <c r="I1744" s="47"/>
      <c r="J1744" s="47"/>
      <c r="K1744" s="47"/>
      <c r="L1744" s="47"/>
      <c r="M1744" s="47"/>
      <c r="N1744" s="47"/>
      <c r="O1744" s="47"/>
      <c r="P1744" s="47"/>
      <c r="Q1744" s="47"/>
      <c r="R1744" s="47"/>
      <c r="S1744" s="47"/>
      <c r="T1744" s="47"/>
      <c r="U1744" s="47"/>
    </row>
    <row r="1745" spans="8:21" x14ac:dyDescent="0.3">
      <c r="H1745" s="47"/>
      <c r="I1745" s="47"/>
      <c r="J1745" s="47"/>
      <c r="K1745" s="47"/>
      <c r="L1745" s="47"/>
      <c r="M1745" s="47"/>
      <c r="N1745" s="47"/>
      <c r="O1745" s="47"/>
      <c r="P1745" s="47"/>
      <c r="Q1745" s="47"/>
      <c r="R1745" s="47"/>
      <c r="S1745" s="47"/>
      <c r="T1745" s="47"/>
      <c r="U1745" s="47"/>
    </row>
    <row r="1746" spans="8:21" x14ac:dyDescent="0.3"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R1746" s="47"/>
      <c r="S1746" s="47"/>
      <c r="T1746" s="47"/>
      <c r="U1746" s="47"/>
    </row>
    <row r="1747" spans="8:21" x14ac:dyDescent="0.3"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  <c r="S1747" s="47"/>
      <c r="T1747" s="47"/>
      <c r="U1747" s="47"/>
    </row>
    <row r="1748" spans="8:21" x14ac:dyDescent="0.3">
      <c r="H1748" s="47"/>
      <c r="I1748" s="47"/>
      <c r="J1748" s="47"/>
      <c r="K1748" s="47"/>
      <c r="L1748" s="47"/>
      <c r="M1748" s="47"/>
      <c r="N1748" s="47"/>
      <c r="O1748" s="47"/>
      <c r="P1748" s="47"/>
      <c r="Q1748" s="47"/>
      <c r="R1748" s="47"/>
      <c r="S1748" s="47"/>
      <c r="T1748" s="47"/>
      <c r="U1748" s="47"/>
    </row>
    <row r="1749" spans="8:21" x14ac:dyDescent="0.3">
      <c r="H1749" s="47"/>
      <c r="I1749" s="47"/>
      <c r="J1749" s="47"/>
      <c r="K1749" s="47"/>
      <c r="L1749" s="47"/>
      <c r="M1749" s="47"/>
      <c r="N1749" s="47"/>
      <c r="O1749" s="47"/>
      <c r="P1749" s="47"/>
      <c r="Q1749" s="47"/>
      <c r="R1749" s="47"/>
      <c r="S1749" s="47"/>
      <c r="T1749" s="47"/>
      <c r="U1749" s="47"/>
    </row>
    <row r="1750" spans="8:21" x14ac:dyDescent="0.3">
      <c r="H1750" s="47"/>
      <c r="I1750" s="47"/>
      <c r="J1750" s="47"/>
      <c r="K1750" s="47"/>
      <c r="L1750" s="47"/>
      <c r="M1750" s="47"/>
      <c r="N1750" s="47"/>
      <c r="O1750" s="47"/>
      <c r="P1750" s="47"/>
      <c r="Q1750" s="47"/>
      <c r="R1750" s="47"/>
      <c r="S1750" s="47"/>
      <c r="T1750" s="47"/>
      <c r="U1750" s="47"/>
    </row>
    <row r="1751" spans="8:21" x14ac:dyDescent="0.3"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  <c r="S1751" s="47"/>
      <c r="T1751" s="47"/>
      <c r="U1751" s="47"/>
    </row>
    <row r="1752" spans="8:21" x14ac:dyDescent="0.3">
      <c r="H1752" s="47"/>
      <c r="I1752" s="47"/>
      <c r="J1752" s="47"/>
      <c r="K1752" s="47"/>
      <c r="L1752" s="47"/>
      <c r="M1752" s="47"/>
      <c r="N1752" s="47"/>
      <c r="O1752" s="47"/>
      <c r="P1752" s="47"/>
      <c r="Q1752" s="47"/>
      <c r="R1752" s="47"/>
      <c r="S1752" s="47"/>
      <c r="T1752" s="47"/>
      <c r="U1752" s="47"/>
    </row>
    <row r="1753" spans="8:21" x14ac:dyDescent="0.3">
      <c r="H1753" s="47"/>
      <c r="I1753" s="47"/>
      <c r="J1753" s="47"/>
      <c r="K1753" s="47"/>
      <c r="L1753" s="47"/>
      <c r="M1753" s="47"/>
      <c r="N1753" s="47"/>
      <c r="O1753" s="47"/>
      <c r="P1753" s="47"/>
      <c r="Q1753" s="47"/>
      <c r="R1753" s="47"/>
      <c r="S1753" s="47"/>
      <c r="T1753" s="47"/>
      <c r="U1753" s="47"/>
    </row>
    <row r="1754" spans="8:21" x14ac:dyDescent="0.3"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  <c r="S1754" s="47"/>
      <c r="T1754" s="47"/>
      <c r="U1754" s="47"/>
    </row>
    <row r="1755" spans="8:21" x14ac:dyDescent="0.3"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  <c r="S1755" s="47"/>
      <c r="T1755" s="47"/>
      <c r="U1755" s="47"/>
    </row>
    <row r="1756" spans="8:21" x14ac:dyDescent="0.3">
      <c r="H1756" s="47"/>
      <c r="I1756" s="47"/>
      <c r="J1756" s="47"/>
      <c r="K1756" s="47"/>
      <c r="L1756" s="47"/>
      <c r="M1756" s="47"/>
      <c r="N1756" s="47"/>
      <c r="O1756" s="47"/>
      <c r="P1756" s="47"/>
      <c r="Q1756" s="47"/>
      <c r="R1756" s="47"/>
      <c r="S1756" s="47"/>
      <c r="T1756" s="47"/>
      <c r="U1756" s="47"/>
    </row>
    <row r="1757" spans="8:21" x14ac:dyDescent="0.3">
      <c r="H1757" s="47"/>
      <c r="I1757" s="47"/>
      <c r="J1757" s="47"/>
      <c r="K1757" s="47"/>
      <c r="L1757" s="47"/>
      <c r="M1757" s="47"/>
      <c r="N1757" s="47"/>
      <c r="O1757" s="47"/>
      <c r="P1757" s="47"/>
      <c r="Q1757" s="47"/>
      <c r="R1757" s="47"/>
      <c r="S1757" s="47"/>
      <c r="T1757" s="47"/>
      <c r="U1757" s="47"/>
    </row>
    <row r="1758" spans="8:21" x14ac:dyDescent="0.3"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  <c r="S1758" s="47"/>
      <c r="T1758" s="47"/>
      <c r="U1758" s="47"/>
    </row>
    <row r="1759" spans="8:21" x14ac:dyDescent="0.3"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  <c r="S1759" s="47"/>
      <c r="T1759" s="47"/>
      <c r="U1759" s="47"/>
    </row>
    <row r="1760" spans="8:21" x14ac:dyDescent="0.3">
      <c r="H1760" s="47"/>
      <c r="I1760" s="47"/>
      <c r="J1760" s="47"/>
      <c r="K1760" s="47"/>
      <c r="L1760" s="47"/>
      <c r="M1760" s="47"/>
      <c r="N1760" s="47"/>
      <c r="O1760" s="47"/>
      <c r="P1760" s="47"/>
      <c r="Q1760" s="47"/>
      <c r="R1760" s="47"/>
      <c r="S1760" s="47"/>
      <c r="T1760" s="47"/>
      <c r="U1760" s="47"/>
    </row>
    <row r="1761" spans="8:21" x14ac:dyDescent="0.3">
      <c r="H1761" s="47"/>
      <c r="I1761" s="47"/>
      <c r="J1761" s="47"/>
      <c r="K1761" s="47"/>
      <c r="L1761" s="47"/>
      <c r="M1761" s="47"/>
      <c r="N1761" s="47"/>
      <c r="O1761" s="47"/>
      <c r="P1761" s="47"/>
      <c r="Q1761" s="47"/>
      <c r="R1761" s="47"/>
      <c r="S1761" s="47"/>
      <c r="T1761" s="47"/>
      <c r="U1761" s="47"/>
    </row>
    <row r="1762" spans="8:21" x14ac:dyDescent="0.3">
      <c r="H1762" s="47"/>
      <c r="I1762" s="47"/>
      <c r="J1762" s="47"/>
      <c r="K1762" s="47"/>
      <c r="L1762" s="47"/>
      <c r="M1762" s="47"/>
      <c r="N1762" s="47"/>
      <c r="O1762" s="47"/>
      <c r="P1762" s="47"/>
      <c r="Q1762" s="47"/>
      <c r="R1762" s="47"/>
      <c r="S1762" s="47"/>
      <c r="T1762" s="47"/>
      <c r="U1762" s="47"/>
    </row>
    <row r="1763" spans="8:21" x14ac:dyDescent="0.3"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  <c r="S1763" s="47"/>
      <c r="T1763" s="47"/>
      <c r="U1763" s="47"/>
    </row>
    <row r="1764" spans="8:21" x14ac:dyDescent="0.3">
      <c r="H1764" s="47"/>
      <c r="I1764" s="47"/>
      <c r="J1764" s="47"/>
      <c r="K1764" s="47"/>
      <c r="L1764" s="47"/>
      <c r="M1764" s="47"/>
      <c r="N1764" s="47"/>
      <c r="O1764" s="47"/>
      <c r="P1764" s="47"/>
      <c r="Q1764" s="47"/>
      <c r="R1764" s="47"/>
      <c r="S1764" s="47"/>
      <c r="T1764" s="47"/>
      <c r="U1764" s="47"/>
    </row>
    <row r="1765" spans="8:21" x14ac:dyDescent="0.3">
      <c r="H1765" s="47"/>
      <c r="I1765" s="47"/>
      <c r="J1765" s="47"/>
      <c r="K1765" s="47"/>
      <c r="L1765" s="47"/>
      <c r="M1765" s="47"/>
      <c r="N1765" s="47"/>
      <c r="O1765" s="47"/>
      <c r="P1765" s="47"/>
      <c r="Q1765" s="47"/>
      <c r="R1765" s="47"/>
      <c r="S1765" s="47"/>
      <c r="T1765" s="47"/>
      <c r="U1765" s="47"/>
    </row>
    <row r="1766" spans="8:21" x14ac:dyDescent="0.3">
      <c r="H1766" s="47"/>
      <c r="I1766" s="47"/>
      <c r="J1766" s="47"/>
      <c r="K1766" s="47"/>
      <c r="L1766" s="47"/>
      <c r="M1766" s="47"/>
      <c r="N1766" s="47"/>
      <c r="O1766" s="47"/>
      <c r="P1766" s="47"/>
      <c r="Q1766" s="47"/>
      <c r="R1766" s="47"/>
      <c r="S1766" s="47"/>
      <c r="T1766" s="47"/>
      <c r="U1766" s="47"/>
    </row>
    <row r="1767" spans="8:21" x14ac:dyDescent="0.3"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  <c r="S1767" s="47"/>
      <c r="T1767" s="47"/>
      <c r="U1767" s="47"/>
    </row>
    <row r="1768" spans="8:21" x14ac:dyDescent="0.3">
      <c r="H1768" s="47"/>
      <c r="I1768" s="47"/>
      <c r="J1768" s="47"/>
      <c r="K1768" s="47"/>
      <c r="L1768" s="47"/>
      <c r="M1768" s="47"/>
      <c r="N1768" s="47"/>
      <c r="O1768" s="47"/>
      <c r="P1768" s="47"/>
      <c r="Q1768" s="47"/>
      <c r="R1768" s="47"/>
      <c r="S1768" s="47"/>
      <c r="T1768" s="47"/>
      <c r="U1768" s="47"/>
    </row>
    <row r="1769" spans="8:21" x14ac:dyDescent="0.3">
      <c r="H1769" s="47"/>
      <c r="I1769" s="47"/>
      <c r="J1769" s="47"/>
      <c r="K1769" s="47"/>
      <c r="L1769" s="47"/>
      <c r="M1769" s="47"/>
      <c r="N1769" s="47"/>
      <c r="O1769" s="47"/>
      <c r="P1769" s="47"/>
      <c r="Q1769" s="47"/>
      <c r="R1769" s="47"/>
      <c r="S1769" s="47"/>
      <c r="T1769" s="47"/>
      <c r="U1769" s="47"/>
    </row>
    <row r="1770" spans="8:21" x14ac:dyDescent="0.3">
      <c r="H1770" s="47"/>
      <c r="I1770" s="47"/>
      <c r="J1770" s="47"/>
      <c r="K1770" s="47"/>
      <c r="L1770" s="47"/>
      <c r="M1770" s="47"/>
      <c r="N1770" s="47"/>
      <c r="O1770" s="47"/>
      <c r="P1770" s="47"/>
      <c r="Q1770" s="47"/>
      <c r="R1770" s="47"/>
      <c r="S1770" s="47"/>
      <c r="T1770" s="47"/>
      <c r="U1770" s="47"/>
    </row>
    <row r="1771" spans="8:21" x14ac:dyDescent="0.3"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  <c r="S1771" s="47"/>
      <c r="T1771" s="47"/>
      <c r="U1771" s="47"/>
    </row>
    <row r="1772" spans="8:21" x14ac:dyDescent="0.3">
      <c r="H1772" s="47"/>
      <c r="I1772" s="47"/>
      <c r="J1772" s="47"/>
      <c r="K1772" s="47"/>
      <c r="L1772" s="47"/>
      <c r="M1772" s="47"/>
      <c r="N1772" s="47"/>
      <c r="O1772" s="47"/>
      <c r="P1772" s="47"/>
      <c r="Q1772" s="47"/>
      <c r="R1772" s="47"/>
      <c r="S1772" s="47"/>
      <c r="T1772" s="47"/>
      <c r="U1772" s="47"/>
    </row>
    <row r="1773" spans="8:21" x14ac:dyDescent="0.3">
      <c r="H1773" s="47"/>
      <c r="I1773" s="47"/>
      <c r="J1773" s="47"/>
      <c r="K1773" s="47"/>
      <c r="L1773" s="47"/>
      <c r="M1773" s="47"/>
      <c r="N1773" s="47"/>
      <c r="O1773" s="47"/>
      <c r="P1773" s="47"/>
      <c r="Q1773" s="47"/>
      <c r="R1773" s="47"/>
      <c r="S1773" s="47"/>
      <c r="T1773" s="47"/>
      <c r="U1773" s="47"/>
    </row>
    <row r="1774" spans="8:21" x14ac:dyDescent="0.3"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  <c r="S1774" s="47"/>
      <c r="T1774" s="47"/>
      <c r="U1774" s="47"/>
    </row>
    <row r="1775" spans="8:21" x14ac:dyDescent="0.3"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  <c r="S1775" s="47"/>
      <c r="T1775" s="47"/>
      <c r="U1775" s="47"/>
    </row>
    <row r="1776" spans="8:21" x14ac:dyDescent="0.3">
      <c r="H1776" s="47"/>
      <c r="I1776" s="47"/>
      <c r="J1776" s="47"/>
      <c r="K1776" s="47"/>
      <c r="L1776" s="47"/>
      <c r="M1776" s="47"/>
      <c r="N1776" s="47"/>
      <c r="O1776" s="47"/>
      <c r="P1776" s="47"/>
      <c r="Q1776" s="47"/>
      <c r="R1776" s="47"/>
      <c r="S1776" s="47"/>
      <c r="T1776" s="47"/>
      <c r="U1776" s="47"/>
    </row>
    <row r="1777" spans="8:21" x14ac:dyDescent="0.3">
      <c r="H1777" s="47"/>
      <c r="I1777" s="47"/>
      <c r="J1777" s="47"/>
      <c r="K1777" s="47"/>
      <c r="L1777" s="47"/>
      <c r="M1777" s="47"/>
      <c r="N1777" s="47"/>
      <c r="O1777" s="47"/>
      <c r="P1777" s="47"/>
      <c r="Q1777" s="47"/>
      <c r="R1777" s="47"/>
      <c r="S1777" s="47"/>
      <c r="T1777" s="47"/>
      <c r="U1777" s="47"/>
    </row>
    <row r="1778" spans="8:21" x14ac:dyDescent="0.3">
      <c r="H1778" s="47"/>
      <c r="I1778" s="47"/>
      <c r="J1778" s="47"/>
      <c r="K1778" s="47"/>
      <c r="L1778" s="47"/>
      <c r="M1778" s="47"/>
      <c r="N1778" s="47"/>
      <c r="O1778" s="47"/>
      <c r="P1778" s="47"/>
      <c r="Q1778" s="47"/>
      <c r="R1778" s="47"/>
      <c r="S1778" s="47"/>
      <c r="T1778" s="47"/>
      <c r="U1778" s="47"/>
    </row>
    <row r="1779" spans="8:21" x14ac:dyDescent="0.3"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  <c r="S1779" s="47"/>
      <c r="T1779" s="47"/>
      <c r="U1779" s="47"/>
    </row>
    <row r="1780" spans="8:21" x14ac:dyDescent="0.3">
      <c r="H1780" s="47"/>
      <c r="I1780" s="47"/>
      <c r="J1780" s="47"/>
      <c r="K1780" s="47"/>
      <c r="L1780" s="47"/>
      <c r="M1780" s="47"/>
      <c r="N1780" s="47"/>
      <c r="O1780" s="47"/>
      <c r="P1780" s="47"/>
      <c r="Q1780" s="47"/>
      <c r="R1780" s="47"/>
      <c r="S1780" s="47"/>
      <c r="T1780" s="47"/>
      <c r="U1780" s="47"/>
    </row>
    <row r="1781" spans="8:21" x14ac:dyDescent="0.3">
      <c r="H1781" s="47"/>
      <c r="I1781" s="47"/>
      <c r="J1781" s="47"/>
      <c r="K1781" s="47"/>
      <c r="L1781" s="47"/>
      <c r="M1781" s="47"/>
      <c r="N1781" s="47"/>
      <c r="O1781" s="47"/>
      <c r="P1781" s="47"/>
      <c r="Q1781" s="47"/>
      <c r="R1781" s="47"/>
      <c r="S1781" s="47"/>
      <c r="T1781" s="47"/>
      <c r="U1781" s="47"/>
    </row>
    <row r="1782" spans="8:21" x14ac:dyDescent="0.3">
      <c r="H1782" s="47"/>
      <c r="I1782" s="47"/>
      <c r="J1782" s="47"/>
      <c r="K1782" s="47"/>
      <c r="L1782" s="47"/>
      <c r="M1782" s="47"/>
      <c r="N1782" s="47"/>
      <c r="O1782" s="47"/>
      <c r="P1782" s="47"/>
      <c r="Q1782" s="47"/>
      <c r="R1782" s="47"/>
      <c r="S1782" s="47"/>
      <c r="T1782" s="47"/>
      <c r="U1782" s="47"/>
    </row>
    <row r="1783" spans="8:21" x14ac:dyDescent="0.3"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  <c r="S1783" s="47"/>
      <c r="T1783" s="47"/>
      <c r="U1783" s="47"/>
    </row>
    <row r="1784" spans="8:21" x14ac:dyDescent="0.3">
      <c r="H1784" s="47"/>
      <c r="I1784" s="47"/>
      <c r="J1784" s="47"/>
      <c r="K1784" s="47"/>
      <c r="L1784" s="47"/>
      <c r="M1784" s="47"/>
      <c r="N1784" s="47"/>
      <c r="O1784" s="47"/>
      <c r="P1784" s="47"/>
      <c r="Q1784" s="47"/>
      <c r="R1784" s="47"/>
      <c r="S1784" s="47"/>
      <c r="T1784" s="47"/>
      <c r="U1784" s="47"/>
    </row>
    <row r="1785" spans="8:21" x14ac:dyDescent="0.3">
      <c r="H1785" s="47"/>
      <c r="I1785" s="47"/>
      <c r="J1785" s="47"/>
      <c r="K1785" s="47"/>
      <c r="L1785" s="47"/>
      <c r="M1785" s="47"/>
      <c r="N1785" s="47"/>
      <c r="O1785" s="47"/>
      <c r="P1785" s="47"/>
      <c r="Q1785" s="47"/>
      <c r="R1785" s="47"/>
      <c r="S1785" s="47"/>
      <c r="T1785" s="47"/>
      <c r="U1785" s="47"/>
    </row>
    <row r="1786" spans="8:21" x14ac:dyDescent="0.3">
      <c r="H1786" s="47"/>
      <c r="I1786" s="47"/>
      <c r="J1786" s="47"/>
      <c r="K1786" s="47"/>
      <c r="L1786" s="47"/>
      <c r="M1786" s="47"/>
      <c r="N1786" s="47"/>
      <c r="O1786" s="47"/>
      <c r="P1786" s="47"/>
      <c r="Q1786" s="47"/>
      <c r="R1786" s="47"/>
      <c r="S1786" s="47"/>
      <c r="T1786" s="47"/>
      <c r="U1786" s="47"/>
    </row>
    <row r="1787" spans="8:21" x14ac:dyDescent="0.3"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  <c r="S1787" s="47"/>
      <c r="T1787" s="47"/>
      <c r="U1787" s="47"/>
    </row>
    <row r="1788" spans="8:21" x14ac:dyDescent="0.3">
      <c r="H1788" s="47"/>
      <c r="I1788" s="47"/>
      <c r="J1788" s="47"/>
      <c r="K1788" s="47"/>
      <c r="L1788" s="47"/>
      <c r="M1788" s="47"/>
      <c r="N1788" s="47"/>
      <c r="O1788" s="47"/>
      <c r="P1788" s="47"/>
      <c r="Q1788" s="47"/>
      <c r="R1788" s="47"/>
      <c r="S1788" s="47"/>
      <c r="T1788" s="47"/>
      <c r="U1788" s="47"/>
    </row>
    <row r="1789" spans="8:21" x14ac:dyDescent="0.3">
      <c r="H1789" s="47"/>
      <c r="I1789" s="47"/>
      <c r="J1789" s="47"/>
      <c r="K1789" s="47"/>
      <c r="L1789" s="47"/>
      <c r="M1789" s="47"/>
      <c r="N1789" s="47"/>
      <c r="O1789" s="47"/>
      <c r="P1789" s="47"/>
      <c r="Q1789" s="47"/>
      <c r="R1789" s="47"/>
      <c r="S1789" s="47"/>
      <c r="T1789" s="47"/>
      <c r="U1789" s="47"/>
    </row>
    <row r="1790" spans="8:21" x14ac:dyDescent="0.3"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  <c r="S1790" s="47"/>
      <c r="T1790" s="47"/>
      <c r="U1790" s="47"/>
    </row>
    <row r="1791" spans="8:21" x14ac:dyDescent="0.3"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  <c r="S1791" s="47"/>
      <c r="T1791" s="47"/>
      <c r="U1791" s="47"/>
    </row>
    <row r="1792" spans="8:21" x14ac:dyDescent="0.3">
      <c r="H1792" s="47"/>
      <c r="I1792" s="47"/>
      <c r="J1792" s="47"/>
      <c r="K1792" s="47"/>
      <c r="L1792" s="47"/>
      <c r="M1792" s="47"/>
      <c r="N1792" s="47"/>
      <c r="O1792" s="47"/>
      <c r="P1792" s="47"/>
      <c r="Q1792" s="47"/>
      <c r="R1792" s="47"/>
      <c r="S1792" s="47"/>
      <c r="T1792" s="47"/>
      <c r="U1792" s="47"/>
    </row>
    <row r="1793" spans="8:21" x14ac:dyDescent="0.3">
      <c r="H1793" s="47"/>
      <c r="I1793" s="47"/>
      <c r="J1793" s="47"/>
      <c r="K1793" s="47"/>
      <c r="L1793" s="47"/>
      <c r="M1793" s="47"/>
      <c r="N1793" s="47"/>
      <c r="O1793" s="47"/>
      <c r="P1793" s="47"/>
      <c r="Q1793" s="47"/>
      <c r="R1793" s="47"/>
      <c r="S1793" s="47"/>
      <c r="T1793" s="47"/>
      <c r="U1793" s="47"/>
    </row>
    <row r="1794" spans="8:21" x14ac:dyDescent="0.3"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  <c r="S1794" s="47"/>
      <c r="T1794" s="47"/>
      <c r="U1794" s="47"/>
    </row>
    <row r="1795" spans="8:21" x14ac:dyDescent="0.3"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  <c r="S1795" s="47"/>
      <c r="T1795" s="47"/>
      <c r="U1795" s="47"/>
    </row>
    <row r="1796" spans="8:21" x14ac:dyDescent="0.3">
      <c r="H1796" s="47"/>
      <c r="I1796" s="47"/>
      <c r="J1796" s="47"/>
      <c r="K1796" s="47"/>
      <c r="L1796" s="47"/>
      <c r="M1796" s="47"/>
      <c r="N1796" s="47"/>
      <c r="O1796" s="47"/>
      <c r="P1796" s="47"/>
      <c r="Q1796" s="47"/>
      <c r="R1796" s="47"/>
      <c r="S1796" s="47"/>
      <c r="T1796" s="47"/>
      <c r="U1796" s="47"/>
    </row>
    <row r="1797" spans="8:21" x14ac:dyDescent="0.3">
      <c r="H1797" s="47"/>
      <c r="I1797" s="47"/>
      <c r="J1797" s="47"/>
      <c r="K1797" s="47"/>
      <c r="L1797" s="47"/>
      <c r="M1797" s="47"/>
      <c r="N1797" s="47"/>
      <c r="O1797" s="47"/>
      <c r="P1797" s="47"/>
      <c r="Q1797" s="47"/>
      <c r="R1797" s="47"/>
      <c r="S1797" s="47"/>
      <c r="T1797" s="47"/>
      <c r="U1797" s="47"/>
    </row>
    <row r="1798" spans="8:21" x14ac:dyDescent="0.3">
      <c r="H1798" s="47"/>
      <c r="I1798" s="47"/>
      <c r="J1798" s="47"/>
      <c r="K1798" s="47"/>
      <c r="L1798" s="47"/>
      <c r="M1798" s="47"/>
      <c r="N1798" s="47"/>
      <c r="O1798" s="47"/>
      <c r="P1798" s="47"/>
      <c r="Q1798" s="47"/>
      <c r="R1798" s="47"/>
      <c r="S1798" s="47"/>
      <c r="T1798" s="47"/>
      <c r="U1798" s="47"/>
    </row>
    <row r="1799" spans="8:21" x14ac:dyDescent="0.3"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  <c r="S1799" s="47"/>
      <c r="T1799" s="47"/>
      <c r="U1799" s="47"/>
    </row>
    <row r="1800" spans="8:21" x14ac:dyDescent="0.3">
      <c r="H1800" s="47"/>
      <c r="I1800" s="47"/>
      <c r="J1800" s="47"/>
      <c r="K1800" s="47"/>
      <c r="L1800" s="47"/>
      <c r="M1800" s="47"/>
      <c r="N1800" s="47"/>
      <c r="O1800" s="47"/>
      <c r="P1800" s="47"/>
      <c r="Q1800" s="47"/>
      <c r="R1800" s="47"/>
      <c r="S1800" s="47"/>
      <c r="T1800" s="47"/>
      <c r="U1800" s="47"/>
    </row>
    <row r="1801" spans="8:21" x14ac:dyDescent="0.3">
      <c r="H1801" s="47"/>
      <c r="I1801" s="47"/>
      <c r="J1801" s="47"/>
      <c r="K1801" s="47"/>
      <c r="L1801" s="47"/>
      <c r="M1801" s="47"/>
      <c r="N1801" s="47"/>
      <c r="O1801" s="47"/>
      <c r="P1801" s="47"/>
      <c r="Q1801" s="47"/>
      <c r="R1801" s="47"/>
      <c r="S1801" s="47"/>
      <c r="T1801" s="47"/>
      <c r="U1801" s="47"/>
    </row>
    <row r="1802" spans="8:21" x14ac:dyDescent="0.3">
      <c r="H1802" s="47"/>
      <c r="I1802" s="47"/>
      <c r="J1802" s="47"/>
      <c r="K1802" s="47"/>
      <c r="L1802" s="47"/>
      <c r="M1802" s="47"/>
      <c r="N1802" s="47"/>
      <c r="O1802" s="47"/>
      <c r="P1802" s="47"/>
      <c r="Q1802" s="47"/>
      <c r="R1802" s="47"/>
      <c r="S1802" s="47"/>
      <c r="T1802" s="47"/>
      <c r="U1802" s="47"/>
    </row>
    <row r="1803" spans="8:21" x14ac:dyDescent="0.3"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  <c r="S1803" s="47"/>
      <c r="T1803" s="47"/>
      <c r="U1803" s="47"/>
    </row>
    <row r="1804" spans="8:21" x14ac:dyDescent="0.3">
      <c r="H1804" s="47"/>
      <c r="I1804" s="47"/>
      <c r="J1804" s="47"/>
      <c r="K1804" s="47"/>
      <c r="L1804" s="47"/>
      <c r="M1804" s="47"/>
      <c r="N1804" s="47"/>
      <c r="O1804" s="47"/>
      <c r="P1804" s="47"/>
      <c r="Q1804" s="47"/>
      <c r="R1804" s="47"/>
      <c r="S1804" s="47"/>
      <c r="T1804" s="47"/>
      <c r="U1804" s="47"/>
    </row>
    <row r="1805" spans="8:21" x14ac:dyDescent="0.3">
      <c r="H1805" s="47"/>
      <c r="I1805" s="47"/>
      <c r="J1805" s="47"/>
      <c r="K1805" s="47"/>
      <c r="L1805" s="47"/>
      <c r="M1805" s="47"/>
      <c r="N1805" s="47"/>
      <c r="O1805" s="47"/>
      <c r="P1805" s="47"/>
      <c r="Q1805" s="47"/>
      <c r="R1805" s="47"/>
      <c r="S1805" s="47"/>
      <c r="T1805" s="47"/>
      <c r="U1805" s="47"/>
    </row>
    <row r="1806" spans="8:21" x14ac:dyDescent="0.3">
      <c r="H1806" s="47"/>
      <c r="I1806" s="47"/>
      <c r="J1806" s="47"/>
      <c r="K1806" s="47"/>
      <c r="L1806" s="47"/>
      <c r="M1806" s="47"/>
      <c r="N1806" s="47"/>
      <c r="O1806" s="47"/>
      <c r="P1806" s="47"/>
      <c r="Q1806" s="47"/>
      <c r="R1806" s="47"/>
      <c r="S1806" s="47"/>
      <c r="T1806" s="47"/>
      <c r="U1806" s="47"/>
    </row>
    <row r="1807" spans="8:21" x14ac:dyDescent="0.3"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  <c r="S1807" s="47"/>
      <c r="T1807" s="47"/>
      <c r="U1807" s="47"/>
    </row>
    <row r="1808" spans="8:21" x14ac:dyDescent="0.3">
      <c r="H1808" s="47"/>
      <c r="I1808" s="47"/>
      <c r="J1808" s="47"/>
      <c r="K1808" s="47"/>
      <c r="L1808" s="47"/>
      <c r="M1808" s="47"/>
      <c r="N1808" s="47"/>
      <c r="O1808" s="47"/>
      <c r="P1808" s="47"/>
      <c r="Q1808" s="47"/>
      <c r="R1808" s="47"/>
      <c r="S1808" s="47"/>
      <c r="T1808" s="47"/>
      <c r="U1808" s="47"/>
    </row>
    <row r="1809" spans="8:21" x14ac:dyDescent="0.3">
      <c r="H1809" s="47"/>
      <c r="I1809" s="47"/>
      <c r="J1809" s="47"/>
      <c r="K1809" s="47"/>
      <c r="L1809" s="47"/>
      <c r="M1809" s="47"/>
      <c r="N1809" s="47"/>
      <c r="O1809" s="47"/>
      <c r="P1809" s="47"/>
      <c r="Q1809" s="47"/>
      <c r="R1809" s="47"/>
      <c r="S1809" s="47"/>
      <c r="T1809" s="47"/>
      <c r="U1809" s="47"/>
    </row>
    <row r="1810" spans="8:21" x14ac:dyDescent="0.3"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  <c r="S1810" s="47"/>
      <c r="T1810" s="47"/>
      <c r="U1810" s="47"/>
    </row>
    <row r="1811" spans="8:21" x14ac:dyDescent="0.3"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  <c r="S1811" s="47"/>
      <c r="T1811" s="47"/>
      <c r="U1811" s="47"/>
    </row>
    <row r="1812" spans="8:21" x14ac:dyDescent="0.3">
      <c r="H1812" s="47"/>
      <c r="I1812" s="47"/>
      <c r="J1812" s="47"/>
      <c r="K1812" s="47"/>
      <c r="L1812" s="47"/>
      <c r="M1812" s="47"/>
      <c r="N1812" s="47"/>
      <c r="O1812" s="47"/>
      <c r="P1812" s="47"/>
      <c r="Q1812" s="47"/>
      <c r="R1812" s="47"/>
      <c r="S1812" s="47"/>
      <c r="T1812" s="47"/>
      <c r="U1812" s="47"/>
    </row>
    <row r="1813" spans="8:21" x14ac:dyDescent="0.3">
      <c r="H1813" s="47"/>
      <c r="I1813" s="47"/>
      <c r="J1813" s="47"/>
      <c r="K1813" s="47"/>
      <c r="L1813" s="47"/>
      <c r="M1813" s="47"/>
      <c r="N1813" s="47"/>
      <c r="O1813" s="47"/>
      <c r="P1813" s="47"/>
      <c r="Q1813" s="47"/>
      <c r="R1813" s="47"/>
      <c r="S1813" s="47"/>
      <c r="T1813" s="47"/>
      <c r="U1813" s="47"/>
    </row>
    <row r="1814" spans="8:21" x14ac:dyDescent="0.3">
      <c r="H1814" s="47"/>
      <c r="I1814" s="47"/>
      <c r="J1814" s="47"/>
      <c r="K1814" s="47"/>
      <c r="L1814" s="47"/>
      <c r="M1814" s="47"/>
      <c r="N1814" s="47"/>
      <c r="O1814" s="47"/>
      <c r="P1814" s="47"/>
      <c r="Q1814" s="47"/>
      <c r="R1814" s="47"/>
      <c r="S1814" s="47"/>
      <c r="T1814" s="47"/>
      <c r="U1814" s="47"/>
    </row>
    <row r="1815" spans="8:21" x14ac:dyDescent="0.3"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  <c r="S1815" s="47"/>
      <c r="T1815" s="47"/>
      <c r="U1815" s="47"/>
    </row>
    <row r="1816" spans="8:21" x14ac:dyDescent="0.3">
      <c r="H1816" s="47"/>
      <c r="I1816" s="47"/>
      <c r="J1816" s="47"/>
      <c r="K1816" s="47"/>
      <c r="L1816" s="47"/>
      <c r="M1816" s="47"/>
      <c r="N1816" s="47"/>
      <c r="O1816" s="47"/>
      <c r="P1816" s="47"/>
      <c r="Q1816" s="47"/>
      <c r="R1816" s="47"/>
      <c r="S1816" s="47"/>
      <c r="T1816" s="47"/>
      <c r="U1816" s="47"/>
    </row>
    <row r="1817" spans="8:21" x14ac:dyDescent="0.3">
      <c r="H1817" s="47"/>
      <c r="I1817" s="47"/>
      <c r="J1817" s="47"/>
      <c r="K1817" s="47"/>
      <c r="L1817" s="47"/>
      <c r="M1817" s="47"/>
      <c r="N1817" s="47"/>
      <c r="O1817" s="47"/>
      <c r="P1817" s="47"/>
      <c r="Q1817" s="47"/>
      <c r="R1817" s="47"/>
      <c r="S1817" s="47"/>
      <c r="T1817" s="47"/>
      <c r="U1817" s="47"/>
    </row>
    <row r="1818" spans="8:21" x14ac:dyDescent="0.3">
      <c r="H1818" s="47"/>
      <c r="I1818" s="47"/>
      <c r="J1818" s="47"/>
      <c r="K1818" s="47"/>
      <c r="L1818" s="47"/>
      <c r="M1818" s="47"/>
      <c r="N1818" s="47"/>
      <c r="O1818" s="47"/>
      <c r="P1818" s="47"/>
      <c r="Q1818" s="47"/>
      <c r="R1818" s="47"/>
      <c r="S1818" s="47"/>
      <c r="T1818" s="47"/>
      <c r="U1818" s="47"/>
    </row>
    <row r="1819" spans="8:21" x14ac:dyDescent="0.3"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  <c r="S1819" s="47"/>
      <c r="T1819" s="47"/>
      <c r="U1819" s="47"/>
    </row>
    <row r="1820" spans="8:21" x14ac:dyDescent="0.3">
      <c r="H1820" s="47"/>
      <c r="I1820" s="47"/>
      <c r="J1820" s="47"/>
      <c r="K1820" s="47"/>
      <c r="L1820" s="47"/>
      <c r="M1820" s="47"/>
      <c r="N1820" s="47"/>
      <c r="O1820" s="47"/>
      <c r="P1820" s="47"/>
      <c r="Q1820" s="47"/>
      <c r="R1820" s="47"/>
      <c r="S1820" s="47"/>
      <c r="T1820" s="47"/>
      <c r="U1820" s="47"/>
    </row>
    <row r="1821" spans="8:21" x14ac:dyDescent="0.3">
      <c r="H1821" s="47"/>
      <c r="I1821" s="47"/>
      <c r="J1821" s="47"/>
      <c r="K1821" s="47"/>
      <c r="L1821" s="47"/>
      <c r="M1821" s="47"/>
      <c r="N1821" s="47"/>
      <c r="O1821" s="47"/>
      <c r="P1821" s="47"/>
      <c r="Q1821" s="47"/>
      <c r="R1821" s="47"/>
      <c r="S1821" s="47"/>
      <c r="T1821" s="47"/>
      <c r="U1821" s="47"/>
    </row>
    <row r="1822" spans="8:21" x14ac:dyDescent="0.3">
      <c r="H1822" s="47"/>
      <c r="I1822" s="47"/>
      <c r="J1822" s="47"/>
      <c r="K1822" s="47"/>
      <c r="L1822" s="47"/>
      <c r="M1822" s="47"/>
      <c r="N1822" s="47"/>
      <c r="O1822" s="47"/>
      <c r="P1822" s="47"/>
      <c r="Q1822" s="47"/>
      <c r="R1822" s="47"/>
      <c r="S1822" s="47"/>
      <c r="T1822" s="47"/>
      <c r="U1822" s="47"/>
    </row>
    <row r="1823" spans="8:21" x14ac:dyDescent="0.3"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  <c r="S1823" s="47"/>
      <c r="T1823" s="47"/>
      <c r="U1823" s="47"/>
    </row>
    <row r="1824" spans="8:21" x14ac:dyDescent="0.3">
      <c r="H1824" s="47"/>
      <c r="I1824" s="47"/>
      <c r="J1824" s="47"/>
      <c r="K1824" s="47"/>
      <c r="L1824" s="47"/>
      <c r="M1824" s="47"/>
      <c r="N1824" s="47"/>
      <c r="O1824" s="47"/>
      <c r="P1824" s="47"/>
      <c r="Q1824" s="47"/>
      <c r="R1824" s="47"/>
      <c r="S1824" s="47"/>
      <c r="T1824" s="47"/>
      <c r="U1824" s="47"/>
    </row>
    <row r="1825" spans="8:21" x14ac:dyDescent="0.3">
      <c r="H1825" s="47"/>
      <c r="I1825" s="47"/>
      <c r="J1825" s="47"/>
      <c r="K1825" s="47"/>
      <c r="L1825" s="47"/>
      <c r="M1825" s="47"/>
      <c r="N1825" s="47"/>
      <c r="O1825" s="47"/>
      <c r="P1825" s="47"/>
      <c r="Q1825" s="47"/>
      <c r="R1825" s="47"/>
      <c r="S1825" s="47"/>
      <c r="T1825" s="47"/>
      <c r="U1825" s="47"/>
    </row>
    <row r="1826" spans="8:21" x14ac:dyDescent="0.3"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  <c r="S1826" s="47"/>
      <c r="T1826" s="47"/>
      <c r="U1826" s="47"/>
    </row>
    <row r="1827" spans="8:21" x14ac:dyDescent="0.3"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  <c r="S1827" s="47"/>
      <c r="T1827" s="47"/>
      <c r="U1827" s="47"/>
    </row>
    <row r="1828" spans="8:21" x14ac:dyDescent="0.3">
      <c r="H1828" s="47"/>
      <c r="I1828" s="47"/>
      <c r="J1828" s="47"/>
      <c r="K1828" s="47"/>
      <c r="L1828" s="47"/>
      <c r="M1828" s="47"/>
      <c r="N1828" s="47"/>
      <c r="O1828" s="47"/>
      <c r="P1828" s="47"/>
      <c r="Q1828" s="47"/>
      <c r="R1828" s="47"/>
      <c r="S1828" s="47"/>
      <c r="T1828" s="47"/>
      <c r="U1828" s="47"/>
    </row>
    <row r="1829" spans="8:21" x14ac:dyDescent="0.3">
      <c r="H1829" s="47"/>
      <c r="I1829" s="47"/>
      <c r="J1829" s="47"/>
      <c r="K1829" s="47"/>
      <c r="L1829" s="47"/>
      <c r="M1829" s="47"/>
      <c r="N1829" s="47"/>
      <c r="O1829" s="47"/>
      <c r="P1829" s="47"/>
      <c r="Q1829" s="47"/>
      <c r="R1829" s="47"/>
      <c r="S1829" s="47"/>
      <c r="T1829" s="47"/>
      <c r="U1829" s="47"/>
    </row>
    <row r="1830" spans="8:21" x14ac:dyDescent="0.3"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  <c r="S1830" s="47"/>
      <c r="T1830" s="47"/>
      <c r="U1830" s="47"/>
    </row>
    <row r="1831" spans="8:21" x14ac:dyDescent="0.3"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  <c r="S1831" s="47"/>
      <c r="T1831" s="47"/>
      <c r="U1831" s="47"/>
    </row>
    <row r="1832" spans="8:21" x14ac:dyDescent="0.3">
      <c r="H1832" s="47"/>
      <c r="I1832" s="47"/>
      <c r="J1832" s="47"/>
      <c r="K1832" s="47"/>
      <c r="L1832" s="47"/>
      <c r="M1832" s="47"/>
      <c r="N1832" s="47"/>
      <c r="O1832" s="47"/>
      <c r="P1832" s="47"/>
      <c r="Q1832" s="47"/>
      <c r="R1832" s="47"/>
      <c r="S1832" s="47"/>
      <c r="T1832" s="47"/>
      <c r="U1832" s="47"/>
    </row>
    <row r="1833" spans="8:21" x14ac:dyDescent="0.3">
      <c r="H1833" s="47"/>
      <c r="I1833" s="47"/>
      <c r="J1833" s="47"/>
      <c r="K1833" s="47"/>
      <c r="L1833" s="47"/>
      <c r="M1833" s="47"/>
      <c r="N1833" s="47"/>
      <c r="O1833" s="47"/>
      <c r="P1833" s="47"/>
      <c r="Q1833" s="47"/>
      <c r="R1833" s="47"/>
      <c r="S1833" s="47"/>
      <c r="T1833" s="47"/>
      <c r="U1833" s="47"/>
    </row>
    <row r="1834" spans="8:21" x14ac:dyDescent="0.3">
      <c r="H1834" s="47"/>
      <c r="I1834" s="47"/>
      <c r="J1834" s="47"/>
      <c r="K1834" s="47"/>
      <c r="L1834" s="47"/>
      <c r="M1834" s="47"/>
      <c r="N1834" s="47"/>
      <c r="O1834" s="47"/>
      <c r="P1834" s="47"/>
      <c r="Q1834" s="47"/>
      <c r="R1834" s="47"/>
      <c r="S1834" s="47"/>
      <c r="T1834" s="47"/>
      <c r="U1834" s="47"/>
    </row>
    <row r="1835" spans="8:21" x14ac:dyDescent="0.3"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  <c r="S1835" s="47"/>
      <c r="T1835" s="47"/>
      <c r="U1835" s="47"/>
    </row>
    <row r="1836" spans="8:21" x14ac:dyDescent="0.3">
      <c r="H1836" s="47"/>
      <c r="I1836" s="47"/>
      <c r="J1836" s="47"/>
      <c r="K1836" s="47"/>
      <c r="L1836" s="47"/>
      <c r="M1836" s="47"/>
      <c r="N1836" s="47"/>
      <c r="O1836" s="47"/>
      <c r="P1836" s="47"/>
      <c r="Q1836" s="47"/>
      <c r="R1836" s="47"/>
      <c r="S1836" s="47"/>
      <c r="T1836" s="47"/>
      <c r="U1836" s="47"/>
    </row>
    <row r="1837" spans="8:21" x14ac:dyDescent="0.3">
      <c r="H1837" s="47"/>
      <c r="I1837" s="47"/>
      <c r="J1837" s="47"/>
      <c r="K1837" s="47"/>
      <c r="L1837" s="47"/>
      <c r="M1837" s="47"/>
      <c r="N1837" s="47"/>
      <c r="O1837" s="47"/>
      <c r="P1837" s="47"/>
      <c r="Q1837" s="47"/>
      <c r="R1837" s="47"/>
      <c r="S1837" s="47"/>
      <c r="T1837" s="47"/>
      <c r="U1837" s="47"/>
    </row>
    <row r="1838" spans="8:21" x14ac:dyDescent="0.3">
      <c r="H1838" s="47"/>
      <c r="I1838" s="47"/>
      <c r="J1838" s="47"/>
      <c r="K1838" s="47"/>
      <c r="L1838" s="47"/>
      <c r="M1838" s="47"/>
      <c r="N1838" s="47"/>
      <c r="O1838" s="47"/>
      <c r="P1838" s="47"/>
      <c r="Q1838" s="47"/>
      <c r="R1838" s="47"/>
      <c r="S1838" s="47"/>
      <c r="T1838" s="47"/>
      <c r="U1838" s="47"/>
    </row>
    <row r="1839" spans="8:21" x14ac:dyDescent="0.3"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  <c r="S1839" s="47"/>
      <c r="T1839" s="47"/>
      <c r="U1839" s="47"/>
    </row>
    <row r="1840" spans="8:21" x14ac:dyDescent="0.3">
      <c r="H1840" s="47"/>
      <c r="I1840" s="47"/>
      <c r="J1840" s="47"/>
      <c r="K1840" s="47"/>
      <c r="L1840" s="47"/>
      <c r="M1840" s="47"/>
      <c r="N1840" s="47"/>
      <c r="O1840" s="47"/>
      <c r="P1840" s="47"/>
      <c r="Q1840" s="47"/>
      <c r="R1840" s="47"/>
      <c r="S1840" s="47"/>
      <c r="T1840" s="47"/>
      <c r="U1840" s="47"/>
    </row>
    <row r="1841" spans="8:21" x14ac:dyDescent="0.3">
      <c r="H1841" s="47"/>
      <c r="I1841" s="47"/>
      <c r="J1841" s="47"/>
      <c r="K1841" s="47"/>
      <c r="L1841" s="47"/>
      <c r="M1841" s="47"/>
      <c r="N1841" s="47"/>
      <c r="O1841" s="47"/>
      <c r="P1841" s="47"/>
      <c r="Q1841" s="47"/>
      <c r="R1841" s="47"/>
      <c r="S1841" s="47"/>
      <c r="T1841" s="47"/>
      <c r="U1841" s="47"/>
    </row>
    <row r="1842" spans="8:21" x14ac:dyDescent="0.3">
      <c r="H1842" s="47"/>
      <c r="I1842" s="47"/>
      <c r="J1842" s="47"/>
      <c r="K1842" s="47"/>
      <c r="L1842" s="47"/>
      <c r="M1842" s="47"/>
      <c r="N1842" s="47"/>
      <c r="O1842" s="47"/>
      <c r="P1842" s="47"/>
      <c r="Q1842" s="47"/>
      <c r="R1842" s="47"/>
      <c r="S1842" s="47"/>
      <c r="T1842" s="47"/>
      <c r="U1842" s="47"/>
    </row>
    <row r="1843" spans="8:21" x14ac:dyDescent="0.3"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  <c r="S1843" s="47"/>
      <c r="T1843" s="47"/>
      <c r="U1843" s="47"/>
    </row>
    <row r="1844" spans="8:21" x14ac:dyDescent="0.3">
      <c r="H1844" s="47"/>
      <c r="I1844" s="47"/>
      <c r="J1844" s="47"/>
      <c r="K1844" s="47"/>
      <c r="L1844" s="47"/>
      <c r="M1844" s="47"/>
      <c r="N1844" s="47"/>
      <c r="O1844" s="47"/>
      <c r="P1844" s="47"/>
      <c r="Q1844" s="47"/>
      <c r="R1844" s="47"/>
      <c r="S1844" s="47"/>
      <c r="T1844" s="47"/>
      <c r="U1844" s="47"/>
    </row>
    <row r="1845" spans="8:21" x14ac:dyDescent="0.3">
      <c r="H1845" s="47"/>
      <c r="I1845" s="47"/>
      <c r="J1845" s="47"/>
      <c r="K1845" s="47"/>
      <c r="L1845" s="47"/>
      <c r="M1845" s="47"/>
      <c r="N1845" s="47"/>
      <c r="O1845" s="47"/>
      <c r="P1845" s="47"/>
      <c r="Q1845" s="47"/>
      <c r="R1845" s="47"/>
      <c r="S1845" s="47"/>
      <c r="T1845" s="47"/>
      <c r="U1845" s="47"/>
    </row>
    <row r="1846" spans="8:21" x14ac:dyDescent="0.3"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  <c r="S1846" s="47"/>
      <c r="T1846" s="47"/>
      <c r="U1846" s="47"/>
    </row>
    <row r="1847" spans="8:21" x14ac:dyDescent="0.3"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  <c r="S1847" s="47"/>
      <c r="T1847" s="47"/>
      <c r="U1847" s="47"/>
    </row>
    <row r="1848" spans="8:21" x14ac:dyDescent="0.3">
      <c r="H1848" s="47"/>
      <c r="I1848" s="47"/>
      <c r="J1848" s="47"/>
      <c r="K1848" s="47"/>
      <c r="L1848" s="47"/>
      <c r="M1848" s="47"/>
      <c r="N1848" s="47"/>
      <c r="O1848" s="47"/>
      <c r="P1848" s="47"/>
      <c r="Q1848" s="47"/>
      <c r="R1848" s="47"/>
      <c r="S1848" s="47"/>
      <c r="T1848" s="47"/>
      <c r="U1848" s="47"/>
    </row>
    <row r="1849" spans="8:21" x14ac:dyDescent="0.3">
      <c r="H1849" s="47"/>
      <c r="I1849" s="47"/>
      <c r="J1849" s="47"/>
      <c r="K1849" s="47"/>
      <c r="L1849" s="47"/>
      <c r="M1849" s="47"/>
      <c r="N1849" s="47"/>
      <c r="O1849" s="47"/>
      <c r="P1849" s="47"/>
      <c r="Q1849" s="47"/>
      <c r="R1849" s="47"/>
      <c r="S1849" s="47"/>
      <c r="T1849" s="47"/>
      <c r="U1849" s="47"/>
    </row>
    <row r="1850" spans="8:21" x14ac:dyDescent="0.3">
      <c r="H1850" s="47"/>
      <c r="I1850" s="47"/>
      <c r="J1850" s="47"/>
      <c r="K1850" s="47"/>
      <c r="L1850" s="47"/>
      <c r="M1850" s="47"/>
      <c r="N1850" s="47"/>
      <c r="O1850" s="47"/>
      <c r="P1850" s="47"/>
      <c r="Q1850" s="47"/>
      <c r="R1850" s="47"/>
      <c r="S1850" s="47"/>
      <c r="T1850" s="47"/>
      <c r="U1850" s="47"/>
    </row>
    <row r="1851" spans="8:21" x14ac:dyDescent="0.3"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  <c r="S1851" s="47"/>
      <c r="T1851" s="47"/>
      <c r="U1851" s="47"/>
    </row>
    <row r="1852" spans="8:21" x14ac:dyDescent="0.3">
      <c r="H1852" s="47"/>
      <c r="I1852" s="47"/>
      <c r="J1852" s="47"/>
      <c r="K1852" s="47"/>
      <c r="L1852" s="47"/>
      <c r="M1852" s="47"/>
      <c r="N1852" s="47"/>
      <c r="O1852" s="47"/>
      <c r="P1852" s="47"/>
      <c r="Q1852" s="47"/>
      <c r="R1852" s="47"/>
      <c r="S1852" s="47"/>
      <c r="T1852" s="47"/>
      <c r="U1852" s="47"/>
    </row>
    <row r="1853" spans="8:21" x14ac:dyDescent="0.3">
      <c r="H1853" s="47"/>
      <c r="I1853" s="47"/>
      <c r="J1853" s="47"/>
      <c r="K1853" s="47"/>
      <c r="L1853" s="47"/>
      <c r="M1853" s="47"/>
      <c r="N1853" s="47"/>
      <c r="O1853" s="47"/>
      <c r="P1853" s="47"/>
      <c r="Q1853" s="47"/>
      <c r="R1853" s="47"/>
      <c r="S1853" s="47"/>
      <c r="T1853" s="47"/>
      <c r="U1853" s="47"/>
    </row>
    <row r="1854" spans="8:21" x14ac:dyDescent="0.3">
      <c r="H1854" s="47"/>
      <c r="I1854" s="47"/>
      <c r="J1854" s="47"/>
      <c r="K1854" s="47"/>
      <c r="L1854" s="47"/>
      <c r="M1854" s="47"/>
      <c r="N1854" s="47"/>
      <c r="O1854" s="47"/>
      <c r="P1854" s="47"/>
      <c r="Q1854" s="47"/>
      <c r="R1854" s="47"/>
      <c r="S1854" s="47"/>
      <c r="T1854" s="47"/>
      <c r="U1854" s="47"/>
    </row>
    <row r="1855" spans="8:21" x14ac:dyDescent="0.3"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  <c r="S1855" s="47"/>
      <c r="T1855" s="47"/>
      <c r="U1855" s="47"/>
    </row>
    <row r="1856" spans="8:21" x14ac:dyDescent="0.3">
      <c r="H1856" s="47"/>
      <c r="I1856" s="47"/>
      <c r="J1856" s="47"/>
      <c r="K1856" s="47"/>
      <c r="L1856" s="47"/>
      <c r="M1856" s="47"/>
      <c r="N1856" s="47"/>
      <c r="O1856" s="47"/>
      <c r="P1856" s="47"/>
      <c r="Q1856" s="47"/>
      <c r="R1856" s="47"/>
      <c r="S1856" s="47"/>
      <c r="T1856" s="47"/>
      <c r="U1856" s="47"/>
    </row>
    <row r="1857" spans="8:21" x14ac:dyDescent="0.3">
      <c r="H1857" s="47"/>
      <c r="I1857" s="47"/>
      <c r="J1857" s="47"/>
      <c r="K1857" s="47"/>
      <c r="L1857" s="47"/>
      <c r="M1857" s="47"/>
      <c r="N1857" s="47"/>
      <c r="O1857" s="47"/>
      <c r="P1857" s="47"/>
      <c r="Q1857" s="47"/>
      <c r="R1857" s="47"/>
      <c r="S1857" s="47"/>
      <c r="T1857" s="47"/>
      <c r="U1857" s="47"/>
    </row>
    <row r="1858" spans="8:21" x14ac:dyDescent="0.3">
      <c r="H1858" s="47"/>
      <c r="I1858" s="47"/>
      <c r="J1858" s="47"/>
      <c r="K1858" s="47"/>
      <c r="L1858" s="47"/>
      <c r="M1858" s="47"/>
      <c r="N1858" s="47"/>
      <c r="O1858" s="47"/>
      <c r="P1858" s="47"/>
      <c r="Q1858" s="47"/>
      <c r="R1858" s="47"/>
      <c r="S1858" s="47"/>
      <c r="T1858" s="47"/>
      <c r="U1858" s="47"/>
    </row>
    <row r="1859" spans="8:21" x14ac:dyDescent="0.3"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  <c r="S1859" s="47"/>
      <c r="T1859" s="47"/>
      <c r="U1859" s="47"/>
    </row>
    <row r="1860" spans="8:21" x14ac:dyDescent="0.3">
      <c r="H1860" s="47"/>
      <c r="I1860" s="47"/>
      <c r="J1860" s="47"/>
      <c r="K1860" s="47"/>
      <c r="L1860" s="47"/>
      <c r="M1860" s="47"/>
      <c r="N1860" s="47"/>
      <c r="O1860" s="47"/>
      <c r="P1860" s="47"/>
      <c r="Q1860" s="47"/>
      <c r="R1860" s="47"/>
      <c r="S1860" s="47"/>
      <c r="T1860" s="47"/>
      <c r="U1860" s="47"/>
    </row>
    <row r="1861" spans="8:21" x14ac:dyDescent="0.3">
      <c r="H1861" s="47"/>
      <c r="I1861" s="47"/>
      <c r="J1861" s="47"/>
      <c r="K1861" s="47"/>
      <c r="L1861" s="47"/>
      <c r="M1861" s="47"/>
      <c r="N1861" s="47"/>
      <c r="O1861" s="47"/>
      <c r="P1861" s="47"/>
      <c r="Q1861" s="47"/>
      <c r="R1861" s="47"/>
      <c r="S1861" s="47"/>
      <c r="T1861" s="47"/>
      <c r="U1861" s="47"/>
    </row>
    <row r="1862" spans="8:21" x14ac:dyDescent="0.3"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  <c r="S1862" s="47"/>
      <c r="T1862" s="47"/>
      <c r="U1862" s="47"/>
    </row>
    <row r="1863" spans="8:21" x14ac:dyDescent="0.3"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  <c r="S1863" s="47"/>
      <c r="T1863" s="47"/>
      <c r="U1863" s="47"/>
    </row>
    <row r="1864" spans="8:21" x14ac:dyDescent="0.3">
      <c r="H1864" s="47"/>
      <c r="I1864" s="47"/>
      <c r="J1864" s="47"/>
      <c r="K1864" s="47"/>
      <c r="L1864" s="47"/>
      <c r="M1864" s="47"/>
      <c r="N1864" s="47"/>
      <c r="O1864" s="47"/>
      <c r="P1864" s="47"/>
      <c r="Q1864" s="47"/>
      <c r="R1864" s="47"/>
      <c r="S1864" s="47"/>
      <c r="T1864" s="47"/>
      <c r="U1864" s="47"/>
    </row>
    <row r="1865" spans="8:21" x14ac:dyDescent="0.3">
      <c r="H1865" s="47"/>
      <c r="I1865" s="47"/>
      <c r="J1865" s="47"/>
      <c r="K1865" s="47"/>
      <c r="L1865" s="47"/>
      <c r="M1865" s="47"/>
      <c r="N1865" s="47"/>
      <c r="O1865" s="47"/>
      <c r="P1865" s="47"/>
      <c r="Q1865" s="47"/>
      <c r="R1865" s="47"/>
      <c r="S1865" s="47"/>
      <c r="T1865" s="47"/>
      <c r="U1865" s="47"/>
    </row>
    <row r="1866" spans="8:21" x14ac:dyDescent="0.3"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  <c r="S1866" s="47"/>
      <c r="T1866" s="47"/>
      <c r="U1866" s="47"/>
    </row>
    <row r="1867" spans="8:21" x14ac:dyDescent="0.3"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  <c r="S1867" s="47"/>
      <c r="T1867" s="47"/>
      <c r="U1867" s="47"/>
    </row>
    <row r="1868" spans="8:21" x14ac:dyDescent="0.3">
      <c r="H1868" s="47"/>
      <c r="I1868" s="47"/>
      <c r="J1868" s="47"/>
      <c r="K1868" s="47"/>
      <c r="L1868" s="47"/>
      <c r="M1868" s="47"/>
      <c r="N1868" s="47"/>
      <c r="O1868" s="47"/>
      <c r="P1868" s="47"/>
      <c r="Q1868" s="47"/>
      <c r="R1868" s="47"/>
      <c r="S1868" s="47"/>
      <c r="T1868" s="47"/>
      <c r="U1868" s="47"/>
    </row>
    <row r="1869" spans="8:21" x14ac:dyDescent="0.3">
      <c r="H1869" s="47"/>
      <c r="I1869" s="47"/>
      <c r="J1869" s="47"/>
      <c r="K1869" s="47"/>
      <c r="L1869" s="47"/>
      <c r="M1869" s="47"/>
      <c r="N1869" s="47"/>
      <c r="O1869" s="47"/>
      <c r="P1869" s="47"/>
      <c r="Q1869" s="47"/>
      <c r="R1869" s="47"/>
      <c r="S1869" s="47"/>
      <c r="T1869" s="47"/>
      <c r="U1869" s="47"/>
    </row>
    <row r="1870" spans="8:21" x14ac:dyDescent="0.3">
      <c r="H1870" s="47"/>
      <c r="I1870" s="47"/>
      <c r="J1870" s="47"/>
      <c r="K1870" s="47"/>
      <c r="L1870" s="47"/>
      <c r="M1870" s="47"/>
      <c r="N1870" s="47"/>
      <c r="O1870" s="47"/>
      <c r="P1870" s="47"/>
      <c r="Q1870" s="47"/>
      <c r="R1870" s="47"/>
      <c r="S1870" s="47"/>
      <c r="T1870" s="47"/>
      <c r="U1870" s="47"/>
    </row>
    <row r="1871" spans="8:21" x14ac:dyDescent="0.3"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  <c r="S1871" s="47"/>
      <c r="T1871" s="47"/>
      <c r="U1871" s="47"/>
    </row>
    <row r="1872" spans="8:21" x14ac:dyDescent="0.3">
      <c r="H1872" s="47"/>
      <c r="I1872" s="47"/>
      <c r="J1872" s="47"/>
      <c r="K1872" s="47"/>
      <c r="L1872" s="47"/>
      <c r="M1872" s="47"/>
      <c r="N1872" s="47"/>
      <c r="O1872" s="47"/>
      <c r="P1872" s="47"/>
      <c r="Q1872" s="47"/>
      <c r="R1872" s="47"/>
      <c r="S1872" s="47"/>
      <c r="T1872" s="47"/>
      <c r="U1872" s="47"/>
    </row>
    <row r="1873" spans="8:21" x14ac:dyDescent="0.3">
      <c r="H1873" s="47"/>
      <c r="I1873" s="47"/>
      <c r="J1873" s="47"/>
      <c r="K1873" s="47"/>
      <c r="L1873" s="47"/>
      <c r="M1873" s="47"/>
      <c r="N1873" s="47"/>
      <c r="O1873" s="47"/>
      <c r="P1873" s="47"/>
      <c r="Q1873" s="47"/>
      <c r="R1873" s="47"/>
      <c r="S1873" s="47"/>
      <c r="T1873" s="47"/>
      <c r="U1873" s="47"/>
    </row>
    <row r="1874" spans="8:21" x14ac:dyDescent="0.3">
      <c r="H1874" s="47"/>
      <c r="I1874" s="47"/>
      <c r="J1874" s="47"/>
      <c r="K1874" s="47"/>
      <c r="L1874" s="47"/>
      <c r="M1874" s="47"/>
      <c r="N1874" s="47"/>
      <c r="O1874" s="47"/>
      <c r="P1874" s="47"/>
      <c r="Q1874" s="47"/>
      <c r="R1874" s="47"/>
      <c r="S1874" s="47"/>
      <c r="T1874" s="47"/>
      <c r="U1874" s="47"/>
    </row>
    <row r="1875" spans="8:21" x14ac:dyDescent="0.3"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  <c r="S1875" s="47"/>
      <c r="T1875" s="47"/>
      <c r="U1875" s="47"/>
    </row>
    <row r="1876" spans="8:21" x14ac:dyDescent="0.3">
      <c r="H1876" s="47"/>
      <c r="I1876" s="47"/>
      <c r="J1876" s="47"/>
      <c r="K1876" s="47"/>
      <c r="L1876" s="47"/>
      <c r="M1876" s="47"/>
      <c r="N1876" s="47"/>
      <c r="O1876" s="47"/>
      <c r="P1876" s="47"/>
      <c r="Q1876" s="47"/>
      <c r="R1876" s="47"/>
      <c r="S1876" s="47"/>
      <c r="T1876" s="47"/>
      <c r="U1876" s="47"/>
    </row>
    <row r="1877" spans="8:21" x14ac:dyDescent="0.3">
      <c r="H1877" s="47"/>
      <c r="I1877" s="47"/>
      <c r="J1877" s="47"/>
      <c r="K1877" s="47"/>
      <c r="L1877" s="47"/>
      <c r="M1877" s="47"/>
      <c r="N1877" s="47"/>
      <c r="O1877" s="47"/>
      <c r="P1877" s="47"/>
      <c r="Q1877" s="47"/>
      <c r="R1877" s="47"/>
      <c r="S1877" s="47"/>
      <c r="T1877" s="47"/>
      <c r="U1877" s="47"/>
    </row>
    <row r="1878" spans="8:21" x14ac:dyDescent="0.3"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  <c r="S1878" s="47"/>
      <c r="T1878" s="47"/>
      <c r="U1878" s="47"/>
    </row>
    <row r="1879" spans="8:21" x14ac:dyDescent="0.3"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  <c r="S1879" s="47"/>
      <c r="T1879" s="47"/>
      <c r="U1879" s="47"/>
    </row>
    <row r="1880" spans="8:21" x14ac:dyDescent="0.3">
      <c r="H1880" s="47"/>
      <c r="I1880" s="47"/>
      <c r="J1880" s="47"/>
      <c r="K1880" s="47"/>
      <c r="L1880" s="47"/>
      <c r="M1880" s="47"/>
      <c r="N1880" s="47"/>
      <c r="O1880" s="47"/>
      <c r="P1880" s="47"/>
      <c r="Q1880" s="47"/>
      <c r="R1880" s="47"/>
      <c r="S1880" s="47"/>
      <c r="T1880" s="47"/>
      <c r="U1880" s="47"/>
    </row>
    <row r="1881" spans="8:21" x14ac:dyDescent="0.3">
      <c r="H1881" s="47"/>
      <c r="I1881" s="47"/>
      <c r="J1881" s="47"/>
      <c r="K1881" s="47"/>
      <c r="L1881" s="47"/>
      <c r="M1881" s="47"/>
      <c r="N1881" s="47"/>
      <c r="O1881" s="47"/>
      <c r="P1881" s="47"/>
      <c r="Q1881" s="47"/>
      <c r="R1881" s="47"/>
      <c r="S1881" s="47"/>
      <c r="T1881" s="47"/>
      <c r="U1881" s="47"/>
    </row>
    <row r="1882" spans="8:21" x14ac:dyDescent="0.3"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  <c r="S1882" s="47"/>
      <c r="T1882" s="47"/>
      <c r="U1882" s="47"/>
    </row>
    <row r="1883" spans="8:21" x14ac:dyDescent="0.3"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  <c r="S1883" s="47"/>
      <c r="T1883" s="47"/>
      <c r="U1883" s="47"/>
    </row>
    <row r="1884" spans="8:21" x14ac:dyDescent="0.3">
      <c r="H1884" s="47"/>
      <c r="I1884" s="47"/>
      <c r="J1884" s="47"/>
      <c r="K1884" s="47"/>
      <c r="L1884" s="47"/>
      <c r="M1884" s="47"/>
      <c r="N1884" s="47"/>
      <c r="O1884" s="47"/>
      <c r="P1884" s="47"/>
      <c r="Q1884" s="47"/>
      <c r="R1884" s="47"/>
      <c r="S1884" s="47"/>
      <c r="T1884" s="47"/>
      <c r="U1884" s="47"/>
    </row>
    <row r="1885" spans="8:21" x14ac:dyDescent="0.3">
      <c r="H1885" s="47"/>
      <c r="I1885" s="47"/>
      <c r="J1885" s="47"/>
      <c r="K1885" s="47"/>
      <c r="L1885" s="47"/>
      <c r="M1885" s="47"/>
      <c r="N1885" s="47"/>
      <c r="O1885" s="47"/>
      <c r="P1885" s="47"/>
      <c r="Q1885" s="47"/>
      <c r="R1885" s="47"/>
      <c r="S1885" s="47"/>
      <c r="T1885" s="47"/>
      <c r="U1885" s="47"/>
    </row>
    <row r="1886" spans="8:21" x14ac:dyDescent="0.3">
      <c r="H1886" s="47"/>
      <c r="I1886" s="47"/>
      <c r="J1886" s="47"/>
      <c r="K1886" s="47"/>
      <c r="L1886" s="47"/>
      <c r="M1886" s="47"/>
      <c r="N1886" s="47"/>
      <c r="O1886" s="47"/>
      <c r="P1886" s="47"/>
      <c r="Q1886" s="47"/>
      <c r="R1886" s="47"/>
      <c r="S1886" s="47"/>
      <c r="T1886" s="47"/>
      <c r="U1886" s="47"/>
    </row>
    <row r="1887" spans="8:21" x14ac:dyDescent="0.3"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  <c r="S1887" s="47"/>
      <c r="T1887" s="47"/>
      <c r="U1887" s="47"/>
    </row>
    <row r="1888" spans="8:21" x14ac:dyDescent="0.3">
      <c r="H1888" s="47"/>
      <c r="I1888" s="47"/>
      <c r="J1888" s="47"/>
      <c r="K1888" s="47"/>
      <c r="L1888" s="47"/>
      <c r="M1888" s="47"/>
      <c r="N1888" s="47"/>
      <c r="O1888" s="47"/>
      <c r="P1888" s="47"/>
      <c r="Q1888" s="47"/>
      <c r="R1888" s="47"/>
      <c r="S1888" s="47"/>
      <c r="T1888" s="47"/>
      <c r="U1888" s="47"/>
    </row>
    <row r="1889" spans="8:21" x14ac:dyDescent="0.3">
      <c r="H1889" s="47"/>
      <c r="I1889" s="47"/>
      <c r="J1889" s="47"/>
      <c r="K1889" s="47"/>
      <c r="L1889" s="47"/>
      <c r="M1889" s="47"/>
      <c r="N1889" s="47"/>
      <c r="O1889" s="47"/>
      <c r="P1889" s="47"/>
      <c r="Q1889" s="47"/>
      <c r="R1889" s="47"/>
      <c r="S1889" s="47"/>
      <c r="T1889" s="47"/>
      <c r="U1889" s="47"/>
    </row>
    <row r="1890" spans="8:21" x14ac:dyDescent="0.3">
      <c r="H1890" s="47"/>
      <c r="I1890" s="47"/>
      <c r="J1890" s="47"/>
      <c r="K1890" s="47"/>
      <c r="L1890" s="47"/>
      <c r="M1890" s="47"/>
      <c r="N1890" s="47"/>
      <c r="O1890" s="47"/>
      <c r="P1890" s="47"/>
      <c r="Q1890" s="47"/>
      <c r="R1890" s="47"/>
      <c r="S1890" s="47"/>
      <c r="T1890" s="47"/>
      <c r="U1890" s="47"/>
    </row>
    <row r="1891" spans="8:21" x14ac:dyDescent="0.3"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  <c r="S1891" s="47"/>
      <c r="T1891" s="47"/>
      <c r="U1891" s="47"/>
    </row>
    <row r="1892" spans="8:21" x14ac:dyDescent="0.3">
      <c r="H1892" s="47"/>
      <c r="I1892" s="47"/>
      <c r="J1892" s="47"/>
      <c r="K1892" s="47"/>
      <c r="L1892" s="47"/>
      <c r="M1892" s="47"/>
      <c r="N1892" s="47"/>
      <c r="O1892" s="47"/>
      <c r="P1892" s="47"/>
      <c r="Q1892" s="47"/>
      <c r="R1892" s="47"/>
      <c r="S1892" s="47"/>
      <c r="T1892" s="47"/>
      <c r="U1892" s="47"/>
    </row>
    <row r="1893" spans="8:21" x14ac:dyDescent="0.3">
      <c r="H1893" s="47"/>
      <c r="I1893" s="47"/>
      <c r="J1893" s="47"/>
      <c r="K1893" s="47"/>
      <c r="L1893" s="47"/>
      <c r="M1893" s="47"/>
      <c r="N1893" s="47"/>
      <c r="O1893" s="47"/>
      <c r="P1893" s="47"/>
      <c r="Q1893" s="47"/>
      <c r="R1893" s="47"/>
      <c r="S1893" s="47"/>
      <c r="T1893" s="47"/>
      <c r="U1893" s="47"/>
    </row>
    <row r="1894" spans="8:21" x14ac:dyDescent="0.3">
      <c r="H1894" s="47"/>
      <c r="I1894" s="47"/>
      <c r="J1894" s="47"/>
      <c r="K1894" s="47"/>
      <c r="L1894" s="47"/>
      <c r="M1894" s="47"/>
      <c r="N1894" s="47"/>
      <c r="O1894" s="47"/>
      <c r="P1894" s="47"/>
      <c r="Q1894" s="47"/>
      <c r="R1894" s="47"/>
      <c r="S1894" s="47"/>
      <c r="T1894" s="47"/>
      <c r="U1894" s="47"/>
    </row>
    <row r="1895" spans="8:21" x14ac:dyDescent="0.3"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  <c r="S1895" s="47"/>
      <c r="T1895" s="47"/>
      <c r="U1895" s="47"/>
    </row>
    <row r="1896" spans="8:21" x14ac:dyDescent="0.3">
      <c r="H1896" s="47"/>
      <c r="I1896" s="47"/>
      <c r="J1896" s="47"/>
      <c r="K1896" s="47"/>
      <c r="L1896" s="47"/>
      <c r="M1896" s="47"/>
      <c r="N1896" s="47"/>
      <c r="O1896" s="47"/>
      <c r="P1896" s="47"/>
      <c r="Q1896" s="47"/>
      <c r="R1896" s="47"/>
      <c r="S1896" s="47"/>
      <c r="T1896" s="47"/>
      <c r="U1896" s="47"/>
    </row>
    <row r="1897" spans="8:21" x14ac:dyDescent="0.3">
      <c r="H1897" s="47"/>
      <c r="I1897" s="47"/>
      <c r="J1897" s="47"/>
      <c r="K1897" s="47"/>
      <c r="L1897" s="47"/>
      <c r="M1897" s="47"/>
      <c r="N1897" s="47"/>
      <c r="O1897" s="47"/>
      <c r="P1897" s="47"/>
      <c r="Q1897" s="47"/>
      <c r="R1897" s="47"/>
      <c r="S1897" s="47"/>
      <c r="T1897" s="47"/>
      <c r="U1897" s="47"/>
    </row>
    <row r="1898" spans="8:21" x14ac:dyDescent="0.3"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  <c r="S1898" s="47"/>
      <c r="T1898" s="47"/>
      <c r="U1898" s="47"/>
    </row>
    <row r="1899" spans="8:21" x14ac:dyDescent="0.3"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  <c r="S1899" s="47"/>
      <c r="T1899" s="47"/>
      <c r="U1899" s="47"/>
    </row>
    <row r="1900" spans="8:21" x14ac:dyDescent="0.3">
      <c r="H1900" s="47"/>
      <c r="I1900" s="47"/>
      <c r="J1900" s="47"/>
      <c r="K1900" s="47"/>
      <c r="L1900" s="47"/>
      <c r="M1900" s="47"/>
      <c r="N1900" s="47"/>
      <c r="O1900" s="47"/>
      <c r="P1900" s="47"/>
      <c r="Q1900" s="47"/>
      <c r="R1900" s="47"/>
      <c r="S1900" s="47"/>
      <c r="T1900" s="47"/>
      <c r="U1900" s="47"/>
    </row>
    <row r="1901" spans="8:21" x14ac:dyDescent="0.3">
      <c r="H1901" s="47"/>
      <c r="I1901" s="47"/>
      <c r="J1901" s="47"/>
      <c r="K1901" s="47"/>
      <c r="L1901" s="47"/>
      <c r="M1901" s="47"/>
      <c r="N1901" s="47"/>
      <c r="O1901" s="47"/>
      <c r="P1901" s="47"/>
      <c r="Q1901" s="47"/>
      <c r="R1901" s="47"/>
      <c r="S1901" s="47"/>
      <c r="T1901" s="47"/>
      <c r="U1901" s="47"/>
    </row>
    <row r="1902" spans="8:21" x14ac:dyDescent="0.3"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  <c r="S1902" s="47"/>
      <c r="T1902" s="47"/>
      <c r="U1902" s="47"/>
    </row>
    <row r="1903" spans="8:21" x14ac:dyDescent="0.3"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  <c r="S1903" s="47"/>
      <c r="T1903" s="47"/>
      <c r="U1903" s="47"/>
    </row>
    <row r="1904" spans="8:21" x14ac:dyDescent="0.3">
      <c r="H1904" s="47"/>
      <c r="I1904" s="47"/>
      <c r="J1904" s="47"/>
      <c r="K1904" s="47"/>
      <c r="L1904" s="47"/>
      <c r="M1904" s="47"/>
      <c r="N1904" s="47"/>
      <c r="O1904" s="47"/>
      <c r="P1904" s="47"/>
      <c r="Q1904" s="47"/>
      <c r="R1904" s="47"/>
      <c r="S1904" s="47"/>
      <c r="T1904" s="47"/>
      <c r="U1904" s="47"/>
    </row>
    <row r="1905" spans="8:21" x14ac:dyDescent="0.3">
      <c r="H1905" s="47"/>
      <c r="I1905" s="47"/>
      <c r="J1905" s="47"/>
      <c r="K1905" s="47"/>
      <c r="L1905" s="47"/>
      <c r="M1905" s="47"/>
      <c r="N1905" s="47"/>
      <c r="O1905" s="47"/>
      <c r="P1905" s="47"/>
      <c r="Q1905" s="47"/>
      <c r="R1905" s="47"/>
      <c r="S1905" s="47"/>
      <c r="T1905" s="47"/>
      <c r="U1905" s="47"/>
    </row>
    <row r="1906" spans="8:21" x14ac:dyDescent="0.3">
      <c r="H1906" s="47"/>
      <c r="I1906" s="47"/>
      <c r="J1906" s="47"/>
      <c r="K1906" s="47"/>
      <c r="L1906" s="47"/>
      <c r="M1906" s="47"/>
      <c r="N1906" s="47"/>
      <c r="O1906" s="47"/>
      <c r="P1906" s="47"/>
      <c r="Q1906" s="47"/>
      <c r="R1906" s="47"/>
      <c r="S1906" s="47"/>
      <c r="T1906" s="47"/>
      <c r="U1906" s="47"/>
    </row>
    <row r="1907" spans="8:21" x14ac:dyDescent="0.3"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  <c r="S1907" s="47"/>
      <c r="T1907" s="47"/>
      <c r="U1907" s="47"/>
    </row>
    <row r="1908" spans="8:21" x14ac:dyDescent="0.3">
      <c r="H1908" s="47"/>
      <c r="I1908" s="47"/>
      <c r="J1908" s="47"/>
      <c r="K1908" s="47"/>
      <c r="L1908" s="47"/>
      <c r="M1908" s="47"/>
      <c r="N1908" s="47"/>
      <c r="O1908" s="47"/>
      <c r="P1908" s="47"/>
      <c r="Q1908" s="47"/>
      <c r="R1908" s="47"/>
      <c r="S1908" s="47"/>
      <c r="T1908" s="47"/>
      <c r="U1908" s="47"/>
    </row>
    <row r="1909" spans="8:21" x14ac:dyDescent="0.3">
      <c r="H1909" s="47"/>
      <c r="I1909" s="47"/>
      <c r="J1909" s="47"/>
      <c r="K1909" s="47"/>
      <c r="L1909" s="47"/>
      <c r="M1909" s="47"/>
      <c r="N1909" s="47"/>
      <c r="O1909" s="47"/>
      <c r="P1909" s="47"/>
      <c r="Q1909" s="47"/>
      <c r="R1909" s="47"/>
      <c r="S1909" s="47"/>
      <c r="T1909" s="47"/>
      <c r="U1909" s="47"/>
    </row>
    <row r="1910" spans="8:21" x14ac:dyDescent="0.3">
      <c r="H1910" s="47"/>
      <c r="I1910" s="47"/>
      <c r="J1910" s="47"/>
      <c r="K1910" s="47"/>
      <c r="L1910" s="47"/>
      <c r="M1910" s="47"/>
      <c r="N1910" s="47"/>
      <c r="O1910" s="47"/>
      <c r="P1910" s="47"/>
      <c r="Q1910" s="47"/>
      <c r="R1910" s="47"/>
      <c r="S1910" s="47"/>
      <c r="T1910" s="47"/>
      <c r="U1910" s="47"/>
    </row>
    <row r="1911" spans="8:21" x14ac:dyDescent="0.3"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  <c r="S1911" s="47"/>
      <c r="T1911" s="47"/>
      <c r="U1911" s="47"/>
    </row>
    <row r="1912" spans="8:21" x14ac:dyDescent="0.3">
      <c r="H1912" s="47"/>
      <c r="I1912" s="47"/>
      <c r="J1912" s="47"/>
      <c r="K1912" s="47"/>
      <c r="L1912" s="47"/>
      <c r="M1912" s="47"/>
      <c r="N1912" s="47"/>
      <c r="O1912" s="47"/>
      <c r="P1912" s="47"/>
      <c r="Q1912" s="47"/>
      <c r="R1912" s="47"/>
      <c r="S1912" s="47"/>
      <c r="T1912" s="47"/>
      <c r="U1912" s="47"/>
    </row>
    <row r="1913" spans="8:21" x14ac:dyDescent="0.3">
      <c r="H1913" s="47"/>
      <c r="I1913" s="47"/>
      <c r="J1913" s="47"/>
      <c r="K1913" s="47"/>
      <c r="L1913" s="47"/>
      <c r="M1913" s="47"/>
      <c r="N1913" s="47"/>
      <c r="O1913" s="47"/>
      <c r="P1913" s="47"/>
      <c r="Q1913" s="47"/>
      <c r="R1913" s="47"/>
      <c r="S1913" s="47"/>
      <c r="T1913" s="47"/>
      <c r="U1913" s="47"/>
    </row>
    <row r="1914" spans="8:21" x14ac:dyDescent="0.3">
      <c r="H1914" s="47"/>
      <c r="I1914" s="47"/>
      <c r="J1914" s="47"/>
      <c r="K1914" s="47"/>
      <c r="L1914" s="47"/>
      <c r="M1914" s="47"/>
      <c r="N1914" s="47"/>
      <c r="O1914" s="47"/>
      <c r="P1914" s="47"/>
      <c r="Q1914" s="47"/>
      <c r="R1914" s="47"/>
      <c r="S1914" s="47"/>
      <c r="T1914" s="47"/>
      <c r="U1914" s="47"/>
    </row>
    <row r="1915" spans="8:21" x14ac:dyDescent="0.3"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  <c r="S1915" s="47"/>
      <c r="T1915" s="47"/>
      <c r="U1915" s="47"/>
    </row>
    <row r="1916" spans="8:21" x14ac:dyDescent="0.3">
      <c r="H1916" s="47"/>
      <c r="I1916" s="47"/>
      <c r="J1916" s="47"/>
      <c r="K1916" s="47"/>
      <c r="L1916" s="47"/>
      <c r="M1916" s="47"/>
      <c r="N1916" s="47"/>
      <c r="O1916" s="47"/>
      <c r="P1916" s="47"/>
      <c r="Q1916" s="47"/>
      <c r="R1916" s="47"/>
      <c r="S1916" s="47"/>
      <c r="T1916" s="47"/>
      <c r="U1916" s="47"/>
    </row>
    <row r="1917" spans="8:21" x14ac:dyDescent="0.3">
      <c r="H1917" s="47"/>
      <c r="I1917" s="47"/>
      <c r="J1917" s="47"/>
      <c r="K1917" s="47"/>
      <c r="L1917" s="47"/>
      <c r="M1917" s="47"/>
      <c r="N1917" s="47"/>
      <c r="O1917" s="47"/>
      <c r="P1917" s="47"/>
      <c r="Q1917" s="47"/>
      <c r="R1917" s="47"/>
      <c r="S1917" s="47"/>
      <c r="T1917" s="47"/>
      <c r="U1917" s="47"/>
    </row>
    <row r="1918" spans="8:21" x14ac:dyDescent="0.3"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  <c r="S1918" s="47"/>
      <c r="T1918" s="47"/>
      <c r="U1918" s="47"/>
    </row>
    <row r="1919" spans="8:21" x14ac:dyDescent="0.3"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  <c r="S1919" s="47"/>
      <c r="T1919" s="47"/>
      <c r="U1919" s="47"/>
    </row>
    <row r="1920" spans="8:21" x14ac:dyDescent="0.3">
      <c r="H1920" s="47"/>
      <c r="I1920" s="47"/>
      <c r="J1920" s="47"/>
      <c r="K1920" s="47"/>
      <c r="L1920" s="47"/>
      <c r="M1920" s="47"/>
      <c r="N1920" s="47"/>
      <c r="O1920" s="47"/>
      <c r="P1920" s="47"/>
      <c r="Q1920" s="47"/>
      <c r="R1920" s="47"/>
      <c r="S1920" s="47"/>
      <c r="T1920" s="47"/>
      <c r="U1920" s="47"/>
    </row>
    <row r="1921" spans="8:21" x14ac:dyDescent="0.3">
      <c r="H1921" s="47"/>
      <c r="I1921" s="47"/>
      <c r="J1921" s="47"/>
      <c r="K1921" s="47"/>
      <c r="L1921" s="47"/>
      <c r="M1921" s="47"/>
      <c r="N1921" s="47"/>
      <c r="O1921" s="47"/>
      <c r="P1921" s="47"/>
      <c r="Q1921" s="47"/>
      <c r="R1921" s="47"/>
      <c r="S1921" s="47"/>
      <c r="T1921" s="47"/>
      <c r="U1921" s="47"/>
    </row>
    <row r="1922" spans="8:21" x14ac:dyDescent="0.3">
      <c r="H1922" s="47"/>
      <c r="I1922" s="47"/>
      <c r="J1922" s="47"/>
      <c r="K1922" s="47"/>
      <c r="L1922" s="47"/>
      <c r="M1922" s="47"/>
      <c r="N1922" s="47"/>
      <c r="O1922" s="47"/>
      <c r="P1922" s="47"/>
      <c r="Q1922" s="47"/>
      <c r="R1922" s="47"/>
      <c r="S1922" s="47"/>
      <c r="T1922" s="47"/>
      <c r="U1922" s="47"/>
    </row>
    <row r="1923" spans="8:21" x14ac:dyDescent="0.3"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  <c r="S1923" s="47"/>
      <c r="T1923" s="47"/>
      <c r="U1923" s="47"/>
    </row>
    <row r="1924" spans="8:21" x14ac:dyDescent="0.3">
      <c r="H1924" s="47"/>
      <c r="I1924" s="47"/>
      <c r="J1924" s="47"/>
      <c r="K1924" s="47"/>
      <c r="L1924" s="47"/>
      <c r="M1924" s="47"/>
      <c r="N1924" s="47"/>
      <c r="O1924" s="47"/>
      <c r="P1924" s="47"/>
      <c r="Q1924" s="47"/>
      <c r="R1924" s="47"/>
      <c r="S1924" s="47"/>
      <c r="T1924" s="47"/>
      <c r="U1924" s="47"/>
    </row>
    <row r="1925" spans="8:21" x14ac:dyDescent="0.3">
      <c r="H1925" s="47"/>
      <c r="I1925" s="47"/>
      <c r="J1925" s="47"/>
      <c r="K1925" s="47"/>
      <c r="L1925" s="47"/>
      <c r="M1925" s="47"/>
      <c r="N1925" s="47"/>
      <c r="O1925" s="47"/>
      <c r="P1925" s="47"/>
      <c r="Q1925" s="47"/>
      <c r="R1925" s="47"/>
      <c r="S1925" s="47"/>
      <c r="T1925" s="47"/>
      <c r="U1925" s="47"/>
    </row>
    <row r="1926" spans="8:21" x14ac:dyDescent="0.3">
      <c r="H1926" s="47"/>
      <c r="I1926" s="47"/>
      <c r="J1926" s="47"/>
      <c r="K1926" s="47"/>
      <c r="L1926" s="47"/>
      <c r="M1926" s="47"/>
      <c r="N1926" s="47"/>
      <c r="O1926" s="47"/>
      <c r="P1926" s="47"/>
      <c r="Q1926" s="47"/>
      <c r="R1926" s="47"/>
      <c r="S1926" s="47"/>
      <c r="T1926" s="47"/>
      <c r="U1926" s="47"/>
    </row>
    <row r="1927" spans="8:21" x14ac:dyDescent="0.3"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  <c r="S1927" s="47"/>
      <c r="T1927" s="47"/>
      <c r="U1927" s="47"/>
    </row>
    <row r="1928" spans="8:21" x14ac:dyDescent="0.3">
      <c r="H1928" s="47"/>
      <c r="I1928" s="47"/>
      <c r="J1928" s="47"/>
      <c r="K1928" s="47"/>
      <c r="L1928" s="47"/>
      <c r="M1928" s="47"/>
      <c r="N1928" s="47"/>
      <c r="O1928" s="47"/>
      <c r="P1928" s="47"/>
      <c r="Q1928" s="47"/>
      <c r="R1928" s="47"/>
      <c r="S1928" s="47"/>
      <c r="T1928" s="47"/>
      <c r="U1928" s="47"/>
    </row>
    <row r="1929" spans="8:21" x14ac:dyDescent="0.3">
      <c r="H1929" s="47"/>
      <c r="I1929" s="47"/>
      <c r="J1929" s="47"/>
      <c r="K1929" s="47"/>
      <c r="L1929" s="47"/>
      <c r="M1929" s="47"/>
      <c r="N1929" s="47"/>
      <c r="O1929" s="47"/>
      <c r="P1929" s="47"/>
      <c r="Q1929" s="47"/>
      <c r="R1929" s="47"/>
      <c r="S1929" s="47"/>
      <c r="T1929" s="47"/>
      <c r="U1929" s="47"/>
    </row>
    <row r="1930" spans="8:21" x14ac:dyDescent="0.3"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  <c r="S1930" s="47"/>
      <c r="T1930" s="47"/>
      <c r="U1930" s="47"/>
    </row>
    <row r="1931" spans="8:21" x14ac:dyDescent="0.3"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  <c r="S1931" s="47"/>
      <c r="T1931" s="47"/>
      <c r="U1931" s="47"/>
    </row>
    <row r="1932" spans="8:21" x14ac:dyDescent="0.3">
      <c r="H1932" s="47"/>
      <c r="I1932" s="47"/>
      <c r="J1932" s="47"/>
      <c r="K1932" s="47"/>
      <c r="L1932" s="47"/>
      <c r="M1932" s="47"/>
      <c r="N1932" s="47"/>
      <c r="O1932" s="47"/>
      <c r="P1932" s="47"/>
      <c r="Q1932" s="47"/>
      <c r="R1932" s="47"/>
      <c r="S1932" s="47"/>
      <c r="T1932" s="47"/>
      <c r="U1932" s="47"/>
    </row>
    <row r="1933" spans="8:21" x14ac:dyDescent="0.3">
      <c r="H1933" s="47"/>
      <c r="I1933" s="47"/>
      <c r="J1933" s="47"/>
      <c r="K1933" s="47"/>
      <c r="L1933" s="47"/>
      <c r="M1933" s="47"/>
      <c r="N1933" s="47"/>
      <c r="O1933" s="47"/>
      <c r="P1933" s="47"/>
      <c r="Q1933" s="47"/>
      <c r="R1933" s="47"/>
      <c r="S1933" s="47"/>
      <c r="T1933" s="47"/>
      <c r="U1933" s="47"/>
    </row>
    <row r="1934" spans="8:21" x14ac:dyDescent="0.3"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  <c r="S1934" s="47"/>
      <c r="T1934" s="47"/>
      <c r="U1934" s="47"/>
    </row>
    <row r="1935" spans="8:21" x14ac:dyDescent="0.3"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  <c r="S1935" s="47"/>
      <c r="T1935" s="47"/>
      <c r="U1935" s="47"/>
    </row>
    <row r="1936" spans="8:21" x14ac:dyDescent="0.3">
      <c r="H1936" s="47"/>
      <c r="I1936" s="47"/>
      <c r="J1936" s="47"/>
      <c r="K1936" s="47"/>
      <c r="L1936" s="47"/>
      <c r="M1936" s="47"/>
      <c r="N1936" s="47"/>
      <c r="O1936" s="47"/>
      <c r="P1936" s="47"/>
      <c r="Q1936" s="47"/>
      <c r="R1936" s="47"/>
      <c r="S1936" s="47"/>
      <c r="T1936" s="47"/>
      <c r="U1936" s="47"/>
    </row>
    <row r="1937" spans="8:21" x14ac:dyDescent="0.3">
      <c r="H1937" s="47"/>
      <c r="I1937" s="47"/>
      <c r="J1937" s="47"/>
      <c r="K1937" s="47"/>
      <c r="L1937" s="47"/>
      <c r="M1937" s="47"/>
      <c r="N1937" s="47"/>
      <c r="O1937" s="47"/>
      <c r="P1937" s="47"/>
      <c r="Q1937" s="47"/>
      <c r="R1937" s="47"/>
      <c r="S1937" s="47"/>
      <c r="T1937" s="47"/>
      <c r="U1937" s="47"/>
    </row>
    <row r="1938" spans="8:21" x14ac:dyDescent="0.3"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  <c r="S1938" s="47"/>
      <c r="T1938" s="47"/>
      <c r="U1938" s="47"/>
    </row>
    <row r="1939" spans="8:21" x14ac:dyDescent="0.3"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  <c r="S1939" s="47"/>
      <c r="T1939" s="47"/>
      <c r="U1939" s="47"/>
    </row>
    <row r="1940" spans="8:21" x14ac:dyDescent="0.3">
      <c r="H1940" s="47"/>
      <c r="I1940" s="47"/>
      <c r="J1940" s="47"/>
      <c r="K1940" s="47"/>
      <c r="L1940" s="47"/>
      <c r="M1940" s="47"/>
      <c r="N1940" s="47"/>
      <c r="O1940" s="47"/>
      <c r="P1940" s="47"/>
      <c r="Q1940" s="47"/>
      <c r="R1940" s="47"/>
      <c r="S1940" s="47"/>
      <c r="T1940" s="47"/>
      <c r="U1940" s="47"/>
    </row>
    <row r="1941" spans="8:21" x14ac:dyDescent="0.3">
      <c r="H1941" s="47"/>
      <c r="I1941" s="47"/>
      <c r="J1941" s="47"/>
      <c r="K1941" s="47"/>
      <c r="L1941" s="47"/>
      <c r="M1941" s="47"/>
      <c r="N1941" s="47"/>
      <c r="O1941" s="47"/>
      <c r="P1941" s="47"/>
      <c r="Q1941" s="47"/>
      <c r="R1941" s="47"/>
      <c r="S1941" s="47"/>
      <c r="T1941" s="47"/>
      <c r="U1941" s="47"/>
    </row>
    <row r="1942" spans="8:21" x14ac:dyDescent="0.3">
      <c r="H1942" s="47"/>
      <c r="I1942" s="47"/>
      <c r="J1942" s="47"/>
      <c r="K1942" s="47"/>
      <c r="L1942" s="47"/>
      <c r="M1942" s="47"/>
      <c r="N1942" s="47"/>
      <c r="O1942" s="47"/>
      <c r="P1942" s="47"/>
      <c r="Q1942" s="47"/>
      <c r="R1942" s="47"/>
      <c r="S1942" s="47"/>
      <c r="T1942" s="47"/>
      <c r="U1942" s="47"/>
    </row>
    <row r="1943" spans="8:21" x14ac:dyDescent="0.3"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  <c r="S1943" s="47"/>
      <c r="T1943" s="47"/>
      <c r="U1943" s="47"/>
    </row>
    <row r="1944" spans="8:21" x14ac:dyDescent="0.3">
      <c r="H1944" s="47"/>
      <c r="I1944" s="47"/>
      <c r="J1944" s="47"/>
      <c r="K1944" s="47"/>
      <c r="L1944" s="47"/>
      <c r="M1944" s="47"/>
      <c r="N1944" s="47"/>
      <c r="O1944" s="47"/>
      <c r="P1944" s="47"/>
      <c r="Q1944" s="47"/>
      <c r="R1944" s="47"/>
      <c r="S1944" s="47"/>
      <c r="T1944" s="47"/>
      <c r="U1944" s="47"/>
    </row>
    <row r="1945" spans="8:21" x14ac:dyDescent="0.3">
      <c r="H1945" s="47"/>
      <c r="I1945" s="47"/>
      <c r="J1945" s="47"/>
      <c r="K1945" s="47"/>
      <c r="L1945" s="47"/>
      <c r="M1945" s="47"/>
      <c r="N1945" s="47"/>
      <c r="O1945" s="47"/>
      <c r="P1945" s="47"/>
      <c r="Q1945" s="47"/>
      <c r="R1945" s="47"/>
      <c r="S1945" s="47"/>
      <c r="T1945" s="47"/>
      <c r="U1945" s="47"/>
    </row>
    <row r="1946" spans="8:21" x14ac:dyDescent="0.3">
      <c r="H1946" s="47"/>
      <c r="I1946" s="47"/>
      <c r="J1946" s="47"/>
      <c r="K1946" s="47"/>
      <c r="L1946" s="47"/>
      <c r="M1946" s="47"/>
      <c r="N1946" s="47"/>
      <c r="O1946" s="47"/>
      <c r="P1946" s="47"/>
      <c r="Q1946" s="47"/>
      <c r="R1946" s="47"/>
      <c r="S1946" s="47"/>
      <c r="T1946" s="47"/>
      <c r="U1946" s="47"/>
    </row>
    <row r="1947" spans="8:21" x14ac:dyDescent="0.3"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  <c r="S1947" s="47"/>
      <c r="T1947" s="47"/>
      <c r="U1947" s="47"/>
    </row>
    <row r="1948" spans="8:21" x14ac:dyDescent="0.3">
      <c r="H1948" s="47"/>
      <c r="I1948" s="47"/>
      <c r="J1948" s="47"/>
      <c r="K1948" s="47"/>
      <c r="L1948" s="47"/>
      <c r="M1948" s="47"/>
      <c r="N1948" s="47"/>
      <c r="O1948" s="47"/>
      <c r="P1948" s="47"/>
      <c r="Q1948" s="47"/>
      <c r="R1948" s="47"/>
      <c r="S1948" s="47"/>
      <c r="T1948" s="47"/>
      <c r="U1948" s="47"/>
    </row>
    <row r="1949" spans="8:21" x14ac:dyDescent="0.3">
      <c r="H1949" s="47"/>
      <c r="I1949" s="47"/>
      <c r="J1949" s="47"/>
      <c r="K1949" s="47"/>
      <c r="L1949" s="47"/>
      <c r="M1949" s="47"/>
      <c r="N1949" s="47"/>
      <c r="O1949" s="47"/>
      <c r="P1949" s="47"/>
      <c r="Q1949" s="47"/>
      <c r="R1949" s="47"/>
      <c r="S1949" s="47"/>
      <c r="T1949" s="47"/>
      <c r="U1949" s="47"/>
    </row>
    <row r="1950" spans="8:21" x14ac:dyDescent="0.3">
      <c r="H1950" s="47"/>
      <c r="I1950" s="47"/>
      <c r="J1950" s="47"/>
      <c r="K1950" s="47"/>
      <c r="L1950" s="47"/>
      <c r="M1950" s="47"/>
      <c r="N1950" s="47"/>
      <c r="O1950" s="47"/>
      <c r="P1950" s="47"/>
      <c r="Q1950" s="47"/>
      <c r="R1950" s="47"/>
      <c r="S1950" s="47"/>
      <c r="T1950" s="47"/>
      <c r="U1950" s="47"/>
    </row>
    <row r="1951" spans="8:21" x14ac:dyDescent="0.3"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  <c r="S1951" s="47"/>
      <c r="T1951" s="47"/>
      <c r="U1951" s="47"/>
    </row>
    <row r="1952" spans="8:21" x14ac:dyDescent="0.3">
      <c r="H1952" s="47"/>
      <c r="I1952" s="47"/>
      <c r="J1952" s="47"/>
      <c r="K1952" s="47"/>
      <c r="L1952" s="47"/>
      <c r="M1952" s="47"/>
      <c r="N1952" s="47"/>
      <c r="O1952" s="47"/>
      <c r="P1952" s="47"/>
      <c r="Q1952" s="47"/>
      <c r="R1952" s="47"/>
      <c r="S1952" s="47"/>
      <c r="T1952" s="47"/>
      <c r="U1952" s="47"/>
    </row>
    <row r="1953" spans="8:21" x14ac:dyDescent="0.3">
      <c r="H1953" s="47"/>
      <c r="I1953" s="47"/>
      <c r="J1953" s="47"/>
      <c r="K1953" s="47"/>
      <c r="L1953" s="47"/>
      <c r="M1953" s="47"/>
      <c r="N1953" s="47"/>
      <c r="O1953" s="47"/>
      <c r="P1953" s="47"/>
      <c r="Q1953" s="47"/>
      <c r="R1953" s="47"/>
      <c r="S1953" s="47"/>
      <c r="T1953" s="47"/>
      <c r="U1953" s="47"/>
    </row>
    <row r="1954" spans="8:21" x14ac:dyDescent="0.3">
      <c r="H1954" s="47"/>
      <c r="I1954" s="47"/>
      <c r="J1954" s="47"/>
      <c r="K1954" s="47"/>
      <c r="L1954" s="47"/>
      <c r="M1954" s="47"/>
      <c r="N1954" s="47"/>
      <c r="O1954" s="47"/>
      <c r="P1954" s="47"/>
      <c r="Q1954" s="47"/>
      <c r="R1954" s="47"/>
      <c r="S1954" s="47"/>
      <c r="T1954" s="47"/>
      <c r="U1954" s="47"/>
    </row>
    <row r="1955" spans="8:21" x14ac:dyDescent="0.3"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  <c r="S1955" s="47"/>
      <c r="T1955" s="47"/>
      <c r="U1955" s="47"/>
    </row>
    <row r="1956" spans="8:21" x14ac:dyDescent="0.3">
      <c r="H1956" s="47"/>
      <c r="I1956" s="47"/>
      <c r="J1956" s="47"/>
      <c r="K1956" s="47"/>
      <c r="L1956" s="47"/>
      <c r="M1956" s="47"/>
      <c r="N1956" s="47"/>
      <c r="O1956" s="47"/>
      <c r="P1956" s="47"/>
      <c r="Q1956" s="47"/>
      <c r="R1956" s="47"/>
      <c r="S1956" s="47"/>
      <c r="T1956" s="47"/>
      <c r="U1956" s="47"/>
    </row>
    <row r="1957" spans="8:21" x14ac:dyDescent="0.3">
      <c r="H1957" s="47"/>
      <c r="I1957" s="47"/>
      <c r="J1957" s="47"/>
      <c r="K1957" s="47"/>
      <c r="L1957" s="47"/>
      <c r="M1957" s="47"/>
      <c r="N1957" s="47"/>
      <c r="O1957" s="47"/>
      <c r="P1957" s="47"/>
      <c r="Q1957" s="47"/>
      <c r="R1957" s="47"/>
      <c r="S1957" s="47"/>
      <c r="T1957" s="47"/>
      <c r="U1957" s="47"/>
    </row>
    <row r="1958" spans="8:21" x14ac:dyDescent="0.3">
      <c r="H1958" s="47"/>
      <c r="I1958" s="47"/>
      <c r="J1958" s="47"/>
      <c r="K1958" s="47"/>
      <c r="L1958" s="47"/>
      <c r="M1958" s="47"/>
      <c r="N1958" s="47"/>
      <c r="O1958" s="47"/>
      <c r="P1958" s="47"/>
      <c r="Q1958" s="47"/>
      <c r="R1958" s="47"/>
      <c r="S1958" s="47"/>
      <c r="T1958" s="47"/>
      <c r="U1958" s="47"/>
    </row>
    <row r="1959" spans="8:21" x14ac:dyDescent="0.3"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  <c r="S1959" s="47"/>
      <c r="T1959" s="47"/>
      <c r="U1959" s="47"/>
    </row>
    <row r="1960" spans="8:21" x14ac:dyDescent="0.3">
      <c r="H1960" s="47"/>
      <c r="I1960" s="47"/>
      <c r="J1960" s="47"/>
      <c r="K1960" s="47"/>
      <c r="L1960" s="47"/>
      <c r="M1960" s="47"/>
      <c r="N1960" s="47"/>
      <c r="O1960" s="47"/>
      <c r="P1960" s="47"/>
      <c r="Q1960" s="47"/>
      <c r="R1960" s="47"/>
      <c r="S1960" s="47"/>
      <c r="T1960" s="47"/>
      <c r="U1960" s="47"/>
    </row>
    <row r="1961" spans="8:21" x14ac:dyDescent="0.3">
      <c r="H1961" s="47"/>
      <c r="I1961" s="47"/>
      <c r="J1961" s="47"/>
      <c r="K1961" s="47"/>
      <c r="L1961" s="47"/>
      <c r="M1961" s="47"/>
      <c r="N1961" s="47"/>
      <c r="O1961" s="47"/>
      <c r="P1961" s="47"/>
      <c r="Q1961" s="47"/>
      <c r="R1961" s="47"/>
      <c r="S1961" s="47"/>
      <c r="T1961" s="47"/>
      <c r="U1961" s="47"/>
    </row>
    <row r="1962" spans="8:21" x14ac:dyDescent="0.3">
      <c r="H1962" s="47"/>
      <c r="I1962" s="47"/>
      <c r="J1962" s="47"/>
      <c r="K1962" s="47"/>
      <c r="L1962" s="47"/>
      <c r="M1962" s="47"/>
      <c r="N1962" s="47"/>
      <c r="O1962" s="47"/>
      <c r="P1962" s="47"/>
      <c r="Q1962" s="47"/>
      <c r="R1962" s="47"/>
      <c r="S1962" s="47"/>
      <c r="T1962" s="47"/>
      <c r="U1962" s="47"/>
    </row>
    <row r="1963" spans="8:21" x14ac:dyDescent="0.3"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  <c r="S1963" s="47"/>
      <c r="T1963" s="47"/>
      <c r="U1963" s="47"/>
    </row>
    <row r="1964" spans="8:21" x14ac:dyDescent="0.3">
      <c r="H1964" s="47"/>
      <c r="I1964" s="47"/>
      <c r="J1964" s="47"/>
      <c r="K1964" s="47"/>
      <c r="L1964" s="47"/>
      <c r="M1964" s="47"/>
      <c r="N1964" s="47"/>
      <c r="O1964" s="47"/>
      <c r="P1964" s="47"/>
      <c r="Q1964" s="47"/>
      <c r="R1964" s="47"/>
      <c r="S1964" s="47"/>
      <c r="T1964" s="47"/>
      <c r="U1964" s="47"/>
    </row>
    <row r="1965" spans="8:21" x14ac:dyDescent="0.3">
      <c r="H1965" s="47"/>
      <c r="I1965" s="47"/>
      <c r="J1965" s="47"/>
      <c r="K1965" s="47"/>
      <c r="L1965" s="47"/>
      <c r="M1965" s="47"/>
      <c r="N1965" s="47"/>
      <c r="O1965" s="47"/>
      <c r="P1965" s="47"/>
      <c r="Q1965" s="47"/>
      <c r="R1965" s="47"/>
      <c r="S1965" s="47"/>
      <c r="T1965" s="47"/>
      <c r="U1965" s="47"/>
    </row>
    <row r="1966" spans="8:21" x14ac:dyDescent="0.3">
      <c r="H1966" s="47"/>
      <c r="I1966" s="47"/>
      <c r="J1966" s="47"/>
      <c r="K1966" s="47"/>
      <c r="L1966" s="47"/>
      <c r="M1966" s="47"/>
      <c r="N1966" s="47"/>
      <c r="O1966" s="47"/>
      <c r="P1966" s="47"/>
      <c r="Q1966" s="47"/>
      <c r="R1966" s="47"/>
      <c r="S1966" s="47"/>
      <c r="T1966" s="47"/>
      <c r="U1966" s="47"/>
    </row>
    <row r="1967" spans="8:21" x14ac:dyDescent="0.3"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  <c r="S1967" s="47"/>
      <c r="T1967" s="47"/>
      <c r="U1967" s="47"/>
    </row>
    <row r="1968" spans="8:21" x14ac:dyDescent="0.3">
      <c r="H1968" s="47"/>
      <c r="I1968" s="47"/>
      <c r="J1968" s="47"/>
      <c r="K1968" s="47"/>
      <c r="L1968" s="47"/>
      <c r="M1968" s="47"/>
      <c r="N1968" s="47"/>
      <c r="O1968" s="47"/>
      <c r="P1968" s="47"/>
      <c r="Q1968" s="47"/>
      <c r="R1968" s="47"/>
      <c r="S1968" s="47"/>
      <c r="T1968" s="47"/>
      <c r="U1968" s="47"/>
    </row>
    <row r="1969" spans="8:21" x14ac:dyDescent="0.3">
      <c r="H1969" s="47"/>
      <c r="I1969" s="47"/>
      <c r="J1969" s="47"/>
      <c r="K1969" s="47"/>
      <c r="L1969" s="47"/>
      <c r="M1969" s="47"/>
      <c r="N1969" s="47"/>
      <c r="O1969" s="47"/>
      <c r="P1969" s="47"/>
      <c r="Q1969" s="47"/>
      <c r="R1969" s="47"/>
      <c r="S1969" s="47"/>
      <c r="T1969" s="47"/>
      <c r="U1969" s="47"/>
    </row>
    <row r="1970" spans="8:21" x14ac:dyDescent="0.3">
      <c r="H1970" s="47"/>
      <c r="I1970" s="47"/>
      <c r="J1970" s="47"/>
      <c r="K1970" s="47"/>
      <c r="L1970" s="47"/>
      <c r="M1970" s="47"/>
      <c r="N1970" s="47"/>
      <c r="O1970" s="47"/>
      <c r="P1970" s="47"/>
      <c r="Q1970" s="47"/>
      <c r="R1970" s="47"/>
      <c r="S1970" s="47"/>
      <c r="T1970" s="47"/>
      <c r="U1970" s="47"/>
    </row>
    <row r="1971" spans="8:21" x14ac:dyDescent="0.3"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  <c r="S1971" s="47"/>
      <c r="T1971" s="47"/>
      <c r="U1971" s="47"/>
    </row>
    <row r="1972" spans="8:21" x14ac:dyDescent="0.3">
      <c r="H1972" s="47"/>
      <c r="I1972" s="47"/>
      <c r="J1972" s="47"/>
      <c r="K1972" s="47"/>
      <c r="L1972" s="47"/>
      <c r="M1972" s="47"/>
      <c r="N1972" s="47"/>
      <c r="O1972" s="47"/>
      <c r="P1972" s="47"/>
      <c r="Q1972" s="47"/>
      <c r="R1972" s="47"/>
      <c r="S1972" s="47"/>
      <c r="T1972" s="47"/>
      <c r="U1972" s="47"/>
    </row>
    <row r="1973" spans="8:21" x14ac:dyDescent="0.3">
      <c r="H1973" s="47"/>
      <c r="I1973" s="47"/>
      <c r="J1973" s="47"/>
      <c r="K1973" s="47"/>
      <c r="L1973" s="47"/>
      <c r="M1973" s="47"/>
      <c r="N1973" s="47"/>
      <c r="O1973" s="47"/>
      <c r="P1973" s="47"/>
      <c r="Q1973" s="47"/>
      <c r="R1973" s="47"/>
      <c r="S1973" s="47"/>
      <c r="T1973" s="47"/>
      <c r="U1973" s="47"/>
    </row>
    <row r="1974" spans="8:21" x14ac:dyDescent="0.3">
      <c r="H1974" s="47"/>
      <c r="I1974" s="47"/>
      <c r="J1974" s="47"/>
      <c r="K1974" s="47"/>
      <c r="L1974" s="47"/>
      <c r="M1974" s="47"/>
      <c r="N1974" s="47"/>
      <c r="O1974" s="47"/>
      <c r="P1974" s="47"/>
      <c r="Q1974" s="47"/>
      <c r="R1974" s="47"/>
      <c r="S1974" s="47"/>
      <c r="T1974" s="47"/>
      <c r="U1974" s="47"/>
    </row>
    <row r="1975" spans="8:21" x14ac:dyDescent="0.3"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  <c r="S1975" s="47"/>
      <c r="T1975" s="47"/>
      <c r="U1975" s="47"/>
    </row>
    <row r="1976" spans="8:21" x14ac:dyDescent="0.3">
      <c r="H1976" s="47"/>
      <c r="I1976" s="47"/>
      <c r="J1976" s="47"/>
      <c r="K1976" s="47"/>
      <c r="L1976" s="47"/>
      <c r="M1976" s="47"/>
      <c r="N1976" s="47"/>
      <c r="O1976" s="47"/>
      <c r="P1976" s="47"/>
      <c r="Q1976" s="47"/>
      <c r="R1976" s="47"/>
      <c r="S1976" s="47"/>
      <c r="T1976" s="47"/>
      <c r="U1976" s="47"/>
    </row>
    <row r="1977" spans="8:21" x14ac:dyDescent="0.3">
      <c r="H1977" s="47"/>
      <c r="I1977" s="47"/>
      <c r="J1977" s="47"/>
      <c r="K1977" s="47"/>
      <c r="L1977" s="47"/>
      <c r="M1977" s="47"/>
      <c r="N1977" s="47"/>
      <c r="O1977" s="47"/>
      <c r="P1977" s="47"/>
      <c r="Q1977" s="47"/>
      <c r="R1977" s="47"/>
      <c r="S1977" s="47"/>
      <c r="T1977" s="47"/>
      <c r="U1977" s="47"/>
    </row>
    <row r="1978" spans="8:21" x14ac:dyDescent="0.3">
      <c r="H1978" s="47"/>
      <c r="I1978" s="47"/>
      <c r="J1978" s="47"/>
      <c r="K1978" s="47"/>
      <c r="L1978" s="47"/>
      <c r="M1978" s="47"/>
      <c r="N1978" s="47"/>
      <c r="O1978" s="47"/>
      <c r="P1978" s="47"/>
      <c r="Q1978" s="47"/>
      <c r="R1978" s="47"/>
      <c r="S1978" s="47"/>
      <c r="T1978" s="47"/>
      <c r="U1978" s="47"/>
    </row>
    <row r="1979" spans="8:21" x14ac:dyDescent="0.3"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  <c r="S1979" s="47"/>
      <c r="T1979" s="47"/>
      <c r="U1979" s="47"/>
    </row>
    <row r="1980" spans="8:21" x14ac:dyDescent="0.3">
      <c r="H1980" s="47"/>
      <c r="I1980" s="47"/>
      <c r="J1980" s="47"/>
      <c r="K1980" s="47"/>
      <c r="L1980" s="47"/>
      <c r="M1980" s="47"/>
      <c r="N1980" s="47"/>
      <c r="O1980" s="47"/>
      <c r="P1980" s="47"/>
      <c r="Q1980" s="47"/>
      <c r="R1980" s="47"/>
      <c r="S1980" s="47"/>
      <c r="T1980" s="47"/>
      <c r="U1980" s="47"/>
    </row>
    <row r="1981" spans="8:21" x14ac:dyDescent="0.3">
      <c r="H1981" s="47"/>
      <c r="I1981" s="47"/>
      <c r="J1981" s="47"/>
      <c r="K1981" s="47"/>
      <c r="L1981" s="47"/>
      <c r="M1981" s="47"/>
      <c r="N1981" s="47"/>
      <c r="O1981" s="47"/>
      <c r="P1981" s="47"/>
      <c r="Q1981" s="47"/>
      <c r="R1981" s="47"/>
      <c r="S1981" s="47"/>
      <c r="T1981" s="47"/>
      <c r="U1981" s="47"/>
    </row>
    <row r="1982" spans="8:21" x14ac:dyDescent="0.3"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  <c r="S1982" s="47"/>
      <c r="T1982" s="47"/>
      <c r="U1982" s="47"/>
    </row>
    <row r="1983" spans="8:21" x14ac:dyDescent="0.3"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  <c r="S1983" s="47"/>
      <c r="T1983" s="47"/>
      <c r="U1983" s="47"/>
    </row>
    <row r="1984" spans="8:21" x14ac:dyDescent="0.3">
      <c r="H1984" s="47"/>
      <c r="I1984" s="47"/>
      <c r="J1984" s="47"/>
      <c r="K1984" s="47"/>
      <c r="L1984" s="47"/>
      <c r="M1984" s="47"/>
      <c r="N1984" s="47"/>
      <c r="O1984" s="47"/>
      <c r="P1984" s="47"/>
      <c r="Q1984" s="47"/>
      <c r="R1984" s="47"/>
      <c r="S1984" s="47"/>
      <c r="T1984" s="47"/>
      <c r="U1984" s="47"/>
    </row>
    <row r="1985" spans="8:21" x14ac:dyDescent="0.3">
      <c r="H1985" s="47"/>
      <c r="I1985" s="47"/>
      <c r="J1985" s="47"/>
      <c r="K1985" s="47"/>
      <c r="L1985" s="47"/>
      <c r="M1985" s="47"/>
      <c r="N1985" s="47"/>
      <c r="O1985" s="47"/>
      <c r="P1985" s="47"/>
      <c r="Q1985" s="47"/>
      <c r="R1985" s="47"/>
      <c r="S1985" s="47"/>
      <c r="T1985" s="47"/>
      <c r="U1985" s="47"/>
    </row>
    <row r="1986" spans="8:21" x14ac:dyDescent="0.3">
      <c r="H1986" s="47"/>
      <c r="I1986" s="47"/>
      <c r="J1986" s="47"/>
      <c r="K1986" s="47"/>
      <c r="L1986" s="47"/>
      <c r="M1986" s="47"/>
      <c r="N1986" s="47"/>
      <c r="O1986" s="47"/>
      <c r="P1986" s="47"/>
      <c r="Q1986" s="47"/>
      <c r="R1986" s="47"/>
      <c r="S1986" s="47"/>
      <c r="T1986" s="47"/>
      <c r="U1986" s="47"/>
    </row>
    <row r="1987" spans="8:21" x14ac:dyDescent="0.3"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  <c r="S1987" s="47"/>
      <c r="T1987" s="47"/>
      <c r="U1987" s="47"/>
    </row>
    <row r="1988" spans="8:21" x14ac:dyDescent="0.3">
      <c r="H1988" s="47"/>
      <c r="I1988" s="47"/>
      <c r="J1988" s="47"/>
      <c r="K1988" s="47"/>
      <c r="L1988" s="47"/>
      <c r="M1988" s="47"/>
      <c r="N1988" s="47"/>
      <c r="O1988" s="47"/>
      <c r="P1988" s="47"/>
      <c r="Q1988" s="47"/>
      <c r="R1988" s="47"/>
      <c r="S1988" s="47"/>
      <c r="T1988" s="47"/>
      <c r="U1988" s="47"/>
    </row>
    <row r="1989" spans="8:21" x14ac:dyDescent="0.3">
      <c r="H1989" s="47"/>
      <c r="I1989" s="47"/>
      <c r="J1989" s="47"/>
      <c r="K1989" s="47"/>
      <c r="L1989" s="47"/>
      <c r="M1989" s="47"/>
      <c r="N1989" s="47"/>
      <c r="O1989" s="47"/>
      <c r="P1989" s="47"/>
      <c r="Q1989" s="47"/>
      <c r="R1989" s="47"/>
      <c r="S1989" s="47"/>
      <c r="T1989" s="47"/>
      <c r="U1989" s="47"/>
    </row>
    <row r="1990" spans="8:21" x14ac:dyDescent="0.3">
      <c r="H1990" s="47"/>
      <c r="I1990" s="47"/>
      <c r="J1990" s="47"/>
      <c r="K1990" s="47"/>
      <c r="L1990" s="47"/>
      <c r="M1990" s="47"/>
      <c r="N1990" s="47"/>
      <c r="O1990" s="47"/>
      <c r="P1990" s="47"/>
      <c r="Q1990" s="47"/>
      <c r="R1990" s="47"/>
      <c r="S1990" s="47"/>
      <c r="T1990" s="47"/>
      <c r="U1990" s="47"/>
    </row>
    <row r="1991" spans="8:21" x14ac:dyDescent="0.3"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  <c r="S1991" s="47"/>
      <c r="T1991" s="47"/>
      <c r="U1991" s="47"/>
    </row>
    <row r="1992" spans="8:21" x14ac:dyDescent="0.3">
      <c r="H1992" s="47"/>
      <c r="I1992" s="47"/>
      <c r="J1992" s="47"/>
      <c r="K1992" s="47"/>
      <c r="L1992" s="47"/>
      <c r="M1992" s="47"/>
      <c r="N1992" s="47"/>
      <c r="O1992" s="47"/>
      <c r="P1992" s="47"/>
      <c r="Q1992" s="47"/>
      <c r="R1992" s="47"/>
      <c r="S1992" s="47"/>
      <c r="T1992" s="47"/>
      <c r="U1992" s="47"/>
    </row>
    <row r="1993" spans="8:21" x14ac:dyDescent="0.3">
      <c r="H1993" s="47"/>
      <c r="I1993" s="47"/>
      <c r="J1993" s="47"/>
      <c r="K1993" s="47"/>
      <c r="L1993" s="47"/>
      <c r="M1993" s="47"/>
      <c r="N1993" s="47"/>
      <c r="O1993" s="47"/>
      <c r="P1993" s="47"/>
      <c r="Q1993" s="47"/>
      <c r="R1993" s="47"/>
      <c r="S1993" s="47"/>
      <c r="T1993" s="47"/>
      <c r="U1993" s="47"/>
    </row>
    <row r="1994" spans="8:21" x14ac:dyDescent="0.3">
      <c r="H1994" s="47"/>
      <c r="I1994" s="47"/>
      <c r="J1994" s="47"/>
      <c r="K1994" s="47"/>
      <c r="L1994" s="47"/>
      <c r="M1994" s="47"/>
      <c r="N1994" s="47"/>
      <c r="O1994" s="47"/>
      <c r="P1994" s="47"/>
      <c r="Q1994" s="47"/>
      <c r="R1994" s="47"/>
      <c r="S1994" s="47"/>
      <c r="T1994" s="47"/>
      <c r="U1994" s="47"/>
    </row>
    <row r="1995" spans="8:21" x14ac:dyDescent="0.3"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  <c r="S1995" s="47"/>
      <c r="T1995" s="47"/>
      <c r="U1995" s="47"/>
    </row>
    <row r="1996" spans="8:21" x14ac:dyDescent="0.3">
      <c r="H1996" s="47"/>
      <c r="I1996" s="47"/>
      <c r="J1996" s="47"/>
      <c r="K1996" s="47"/>
      <c r="L1996" s="47"/>
      <c r="M1996" s="47"/>
      <c r="N1996" s="47"/>
      <c r="O1996" s="47"/>
      <c r="P1996" s="47"/>
      <c r="Q1996" s="47"/>
      <c r="R1996" s="47"/>
      <c r="S1996" s="47"/>
      <c r="T1996" s="47"/>
      <c r="U1996" s="47"/>
    </row>
    <row r="1997" spans="8:21" x14ac:dyDescent="0.3">
      <c r="H1997" s="47"/>
      <c r="I1997" s="47"/>
      <c r="J1997" s="47"/>
      <c r="K1997" s="47"/>
      <c r="L1997" s="47"/>
      <c r="M1997" s="47"/>
      <c r="N1997" s="47"/>
      <c r="O1997" s="47"/>
      <c r="P1997" s="47"/>
      <c r="Q1997" s="47"/>
      <c r="R1997" s="47"/>
      <c r="S1997" s="47"/>
      <c r="T1997" s="47"/>
      <c r="U1997" s="47"/>
    </row>
    <row r="1998" spans="8:21" x14ac:dyDescent="0.3">
      <c r="H1998" s="47"/>
      <c r="I1998" s="47"/>
      <c r="J1998" s="47"/>
      <c r="K1998" s="47"/>
      <c r="L1998" s="47"/>
      <c r="M1998" s="47"/>
      <c r="N1998" s="47"/>
      <c r="O1998" s="47"/>
      <c r="P1998" s="47"/>
      <c r="Q1998" s="47"/>
      <c r="R1998" s="47"/>
      <c r="S1998" s="47"/>
      <c r="T1998" s="47"/>
      <c r="U1998" s="47"/>
    </row>
    <row r="1999" spans="8:21" x14ac:dyDescent="0.3"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  <c r="S1999" s="47"/>
      <c r="T1999" s="47"/>
      <c r="U1999" s="47"/>
    </row>
    <row r="2000" spans="8:21" x14ac:dyDescent="0.3">
      <c r="H2000" s="47"/>
      <c r="I2000" s="47"/>
      <c r="J2000" s="47"/>
      <c r="K2000" s="47"/>
      <c r="L2000" s="47"/>
      <c r="M2000" s="47"/>
      <c r="N2000" s="47"/>
      <c r="O2000" s="47"/>
      <c r="P2000" s="47"/>
      <c r="Q2000" s="47"/>
      <c r="R2000" s="47"/>
      <c r="S2000" s="47"/>
      <c r="T2000" s="47"/>
      <c r="U2000" s="47"/>
    </row>
    <row r="2001" spans="8:21" x14ac:dyDescent="0.3">
      <c r="H2001" s="47"/>
      <c r="I2001" s="47"/>
      <c r="J2001" s="47"/>
      <c r="K2001" s="47"/>
      <c r="L2001" s="47"/>
      <c r="M2001" s="47"/>
      <c r="N2001" s="47"/>
      <c r="O2001" s="47"/>
      <c r="P2001" s="47"/>
      <c r="Q2001" s="47"/>
      <c r="R2001" s="47"/>
      <c r="S2001" s="47"/>
      <c r="T2001" s="47"/>
      <c r="U2001" s="47"/>
    </row>
    <row r="2002" spans="8:21" x14ac:dyDescent="0.3">
      <c r="H2002" s="47"/>
      <c r="I2002" s="47"/>
      <c r="J2002" s="47"/>
      <c r="K2002" s="47"/>
      <c r="L2002" s="47"/>
      <c r="M2002" s="47"/>
      <c r="N2002" s="47"/>
      <c r="O2002" s="47"/>
      <c r="P2002" s="47"/>
      <c r="Q2002" s="47"/>
      <c r="R2002" s="47"/>
      <c r="S2002" s="47"/>
      <c r="T2002" s="47"/>
      <c r="U2002" s="47"/>
    </row>
    <row r="2003" spans="8:21" x14ac:dyDescent="0.3"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  <c r="S2003" s="47"/>
      <c r="T2003" s="47"/>
      <c r="U2003" s="47"/>
    </row>
    <row r="2004" spans="8:21" x14ac:dyDescent="0.3">
      <c r="H2004" s="47"/>
      <c r="I2004" s="47"/>
      <c r="J2004" s="47"/>
      <c r="K2004" s="47"/>
      <c r="L2004" s="47"/>
      <c r="M2004" s="47"/>
      <c r="N2004" s="47"/>
      <c r="O2004" s="47"/>
      <c r="P2004" s="47"/>
      <c r="Q2004" s="47"/>
      <c r="R2004" s="47"/>
      <c r="S2004" s="47"/>
      <c r="T2004" s="47"/>
      <c r="U2004" s="47"/>
    </row>
    <row r="2005" spans="8:21" x14ac:dyDescent="0.3">
      <c r="H2005" s="47"/>
      <c r="I2005" s="47"/>
      <c r="J2005" s="47"/>
      <c r="K2005" s="47"/>
      <c r="L2005" s="47"/>
      <c r="M2005" s="47"/>
      <c r="N2005" s="47"/>
      <c r="O2005" s="47"/>
      <c r="P2005" s="47"/>
      <c r="Q2005" s="47"/>
      <c r="R2005" s="47"/>
      <c r="S2005" s="47"/>
      <c r="T2005" s="47"/>
      <c r="U2005" s="47"/>
    </row>
    <row r="2006" spans="8:21" x14ac:dyDescent="0.3">
      <c r="H2006" s="47"/>
      <c r="I2006" s="47"/>
      <c r="J2006" s="47"/>
      <c r="K2006" s="47"/>
      <c r="L2006" s="47"/>
      <c r="M2006" s="47"/>
      <c r="N2006" s="47"/>
      <c r="O2006" s="47"/>
      <c r="P2006" s="47"/>
      <c r="Q2006" s="47"/>
      <c r="R2006" s="47"/>
      <c r="S2006" s="47"/>
      <c r="T2006" s="47"/>
      <c r="U2006" s="47"/>
    </row>
    <row r="2007" spans="8:21" x14ac:dyDescent="0.3"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  <c r="S2007" s="47"/>
      <c r="T2007" s="47"/>
      <c r="U2007" s="47"/>
    </row>
    <row r="2008" spans="8:21" x14ac:dyDescent="0.3">
      <c r="H2008" s="47"/>
      <c r="I2008" s="47"/>
      <c r="J2008" s="47"/>
      <c r="K2008" s="47"/>
      <c r="L2008" s="47"/>
      <c r="M2008" s="47"/>
      <c r="N2008" s="47"/>
      <c r="O2008" s="47"/>
      <c r="P2008" s="47"/>
      <c r="Q2008" s="47"/>
      <c r="R2008" s="47"/>
      <c r="S2008" s="47"/>
      <c r="T2008" s="47"/>
      <c r="U2008" s="47"/>
    </row>
    <row r="2009" spans="8:21" x14ac:dyDescent="0.3">
      <c r="H2009" s="47"/>
      <c r="I2009" s="47"/>
      <c r="J2009" s="47"/>
      <c r="K2009" s="47"/>
      <c r="L2009" s="47"/>
      <c r="M2009" s="47"/>
      <c r="N2009" s="47"/>
      <c r="O2009" s="47"/>
      <c r="P2009" s="47"/>
      <c r="Q2009" s="47"/>
      <c r="R2009" s="47"/>
      <c r="S2009" s="47"/>
      <c r="T2009" s="47"/>
      <c r="U2009" s="47"/>
    </row>
    <row r="2010" spans="8:21" x14ac:dyDescent="0.3">
      <c r="H2010" s="47"/>
      <c r="I2010" s="47"/>
      <c r="J2010" s="47"/>
      <c r="K2010" s="47"/>
      <c r="L2010" s="47"/>
      <c r="M2010" s="47"/>
      <c r="N2010" s="47"/>
      <c r="O2010" s="47"/>
      <c r="P2010" s="47"/>
      <c r="Q2010" s="47"/>
      <c r="R2010" s="47"/>
      <c r="S2010" s="47"/>
      <c r="T2010" s="47"/>
      <c r="U2010" s="47"/>
    </row>
    <row r="2011" spans="8:21" x14ac:dyDescent="0.3"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  <c r="S2011" s="47"/>
      <c r="T2011" s="47"/>
      <c r="U2011" s="47"/>
    </row>
    <row r="2012" spans="8:21" x14ac:dyDescent="0.3">
      <c r="H2012" s="47"/>
      <c r="I2012" s="47"/>
      <c r="J2012" s="47"/>
      <c r="K2012" s="47"/>
      <c r="L2012" s="47"/>
      <c r="M2012" s="47"/>
      <c r="N2012" s="47"/>
      <c r="O2012" s="47"/>
      <c r="P2012" s="47"/>
      <c r="Q2012" s="47"/>
      <c r="R2012" s="47"/>
      <c r="S2012" s="47"/>
      <c r="T2012" s="47"/>
      <c r="U2012" s="47"/>
    </row>
    <row r="2013" spans="8:21" x14ac:dyDescent="0.3">
      <c r="H2013" s="47"/>
      <c r="I2013" s="47"/>
      <c r="J2013" s="47"/>
      <c r="K2013" s="47"/>
      <c r="L2013" s="47"/>
      <c r="M2013" s="47"/>
      <c r="N2013" s="47"/>
      <c r="O2013" s="47"/>
      <c r="P2013" s="47"/>
      <c r="Q2013" s="47"/>
      <c r="R2013" s="47"/>
      <c r="S2013" s="47"/>
      <c r="T2013" s="47"/>
      <c r="U2013" s="47"/>
    </row>
    <row r="2014" spans="8:21" x14ac:dyDescent="0.3">
      <c r="H2014" s="47"/>
      <c r="I2014" s="47"/>
      <c r="J2014" s="47"/>
      <c r="K2014" s="47"/>
      <c r="L2014" s="47"/>
      <c r="M2014" s="47"/>
      <c r="N2014" s="47"/>
      <c r="O2014" s="47"/>
      <c r="P2014" s="47"/>
      <c r="Q2014" s="47"/>
      <c r="R2014" s="47"/>
      <c r="S2014" s="47"/>
      <c r="T2014" s="47"/>
      <c r="U2014" s="47"/>
    </row>
    <row r="2015" spans="8:21" x14ac:dyDescent="0.3"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  <c r="S2015" s="47"/>
      <c r="T2015" s="47"/>
      <c r="U2015" s="47"/>
    </row>
    <row r="2016" spans="8:21" x14ac:dyDescent="0.3">
      <c r="H2016" s="47"/>
      <c r="I2016" s="47"/>
      <c r="J2016" s="47"/>
      <c r="K2016" s="47"/>
      <c r="L2016" s="47"/>
      <c r="M2016" s="47"/>
      <c r="N2016" s="47"/>
      <c r="O2016" s="47"/>
      <c r="P2016" s="47"/>
      <c r="Q2016" s="47"/>
      <c r="R2016" s="47"/>
      <c r="S2016" s="47"/>
      <c r="T2016" s="47"/>
      <c r="U2016" s="47"/>
    </row>
    <row r="2017" spans="8:21" x14ac:dyDescent="0.3">
      <c r="H2017" s="47"/>
      <c r="I2017" s="47"/>
      <c r="J2017" s="47"/>
      <c r="K2017" s="47"/>
      <c r="L2017" s="47"/>
      <c r="M2017" s="47"/>
      <c r="N2017" s="47"/>
      <c r="O2017" s="47"/>
      <c r="P2017" s="47"/>
      <c r="Q2017" s="47"/>
      <c r="R2017" s="47"/>
      <c r="S2017" s="47"/>
      <c r="T2017" s="47"/>
      <c r="U2017" s="47"/>
    </row>
    <row r="2018" spans="8:21" x14ac:dyDescent="0.3">
      <c r="H2018" s="47"/>
      <c r="I2018" s="47"/>
      <c r="J2018" s="47"/>
      <c r="K2018" s="47"/>
      <c r="L2018" s="47"/>
      <c r="M2018" s="47"/>
      <c r="N2018" s="47"/>
      <c r="O2018" s="47"/>
      <c r="P2018" s="47"/>
      <c r="Q2018" s="47"/>
      <c r="R2018" s="47"/>
      <c r="S2018" s="47"/>
      <c r="T2018" s="47"/>
      <c r="U2018" s="47"/>
    </row>
    <row r="2019" spans="8:21" x14ac:dyDescent="0.3"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  <c r="S2019" s="47"/>
      <c r="T2019" s="47"/>
      <c r="U2019" s="47"/>
    </row>
    <row r="2020" spans="8:21" x14ac:dyDescent="0.3">
      <c r="H2020" s="47"/>
      <c r="I2020" s="47"/>
      <c r="J2020" s="47"/>
      <c r="K2020" s="47"/>
      <c r="L2020" s="47"/>
      <c r="M2020" s="47"/>
      <c r="N2020" s="47"/>
      <c r="O2020" s="47"/>
      <c r="P2020" s="47"/>
      <c r="Q2020" s="47"/>
      <c r="R2020" s="47"/>
      <c r="S2020" s="47"/>
      <c r="T2020" s="47"/>
      <c r="U2020" s="47"/>
    </row>
    <row r="2021" spans="8:21" x14ac:dyDescent="0.3">
      <c r="H2021" s="47"/>
      <c r="I2021" s="47"/>
      <c r="J2021" s="47"/>
      <c r="K2021" s="47"/>
      <c r="L2021" s="47"/>
      <c r="M2021" s="47"/>
      <c r="N2021" s="47"/>
      <c r="O2021" s="47"/>
      <c r="P2021" s="47"/>
      <c r="Q2021" s="47"/>
      <c r="R2021" s="47"/>
      <c r="S2021" s="47"/>
      <c r="T2021" s="47"/>
      <c r="U2021" s="47"/>
    </row>
    <row r="2022" spans="8:21" x14ac:dyDescent="0.3">
      <c r="H2022" s="47"/>
      <c r="I2022" s="47"/>
      <c r="J2022" s="47"/>
      <c r="K2022" s="47"/>
      <c r="L2022" s="47"/>
      <c r="M2022" s="47"/>
      <c r="N2022" s="47"/>
      <c r="O2022" s="47"/>
      <c r="P2022" s="47"/>
      <c r="Q2022" s="47"/>
      <c r="R2022" s="47"/>
      <c r="S2022" s="47"/>
      <c r="T2022" s="47"/>
      <c r="U2022" s="47"/>
    </row>
    <row r="2023" spans="8:21" x14ac:dyDescent="0.3"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  <c r="S2023" s="47"/>
      <c r="T2023" s="47"/>
      <c r="U2023" s="47"/>
    </row>
    <row r="2024" spans="8:21" x14ac:dyDescent="0.3">
      <c r="H2024" s="47"/>
      <c r="I2024" s="47"/>
      <c r="J2024" s="47"/>
      <c r="K2024" s="47"/>
      <c r="L2024" s="47"/>
      <c r="M2024" s="47"/>
      <c r="N2024" s="47"/>
      <c r="O2024" s="47"/>
      <c r="P2024" s="47"/>
      <c r="Q2024" s="47"/>
      <c r="R2024" s="47"/>
      <c r="S2024" s="47"/>
      <c r="T2024" s="47"/>
      <c r="U2024" s="47"/>
    </row>
    <row r="2025" spans="8:21" x14ac:dyDescent="0.3">
      <c r="H2025" s="47"/>
      <c r="I2025" s="47"/>
      <c r="J2025" s="47"/>
      <c r="K2025" s="47"/>
      <c r="L2025" s="47"/>
      <c r="M2025" s="47"/>
      <c r="N2025" s="47"/>
      <c r="O2025" s="47"/>
      <c r="P2025" s="47"/>
      <c r="Q2025" s="47"/>
      <c r="R2025" s="47"/>
      <c r="S2025" s="47"/>
      <c r="T2025" s="47"/>
      <c r="U2025" s="47"/>
    </row>
    <row r="2026" spans="8:21" x14ac:dyDescent="0.3">
      <c r="H2026" s="47"/>
      <c r="I2026" s="47"/>
      <c r="J2026" s="47"/>
      <c r="K2026" s="47"/>
      <c r="L2026" s="47"/>
      <c r="M2026" s="47"/>
      <c r="N2026" s="47"/>
      <c r="O2026" s="47"/>
      <c r="P2026" s="47"/>
      <c r="Q2026" s="47"/>
      <c r="R2026" s="47"/>
      <c r="S2026" s="47"/>
      <c r="T2026" s="47"/>
      <c r="U2026" s="47"/>
    </row>
    <row r="2027" spans="8:21" x14ac:dyDescent="0.3"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  <c r="S2027" s="47"/>
      <c r="T2027" s="47"/>
      <c r="U2027" s="47"/>
    </row>
    <row r="2028" spans="8:21" x14ac:dyDescent="0.3">
      <c r="H2028" s="47"/>
      <c r="I2028" s="47"/>
      <c r="J2028" s="47"/>
      <c r="K2028" s="47"/>
      <c r="L2028" s="47"/>
      <c r="M2028" s="47"/>
      <c r="N2028" s="47"/>
      <c r="O2028" s="47"/>
      <c r="P2028" s="47"/>
      <c r="Q2028" s="47"/>
      <c r="R2028" s="47"/>
      <c r="S2028" s="47"/>
      <c r="T2028" s="47"/>
      <c r="U2028" s="47"/>
    </row>
    <row r="2029" spans="8:21" x14ac:dyDescent="0.3">
      <c r="H2029" s="47"/>
      <c r="I2029" s="47"/>
      <c r="J2029" s="47"/>
      <c r="K2029" s="47"/>
      <c r="L2029" s="47"/>
      <c r="M2029" s="47"/>
      <c r="N2029" s="47"/>
      <c r="O2029" s="47"/>
      <c r="P2029" s="47"/>
      <c r="Q2029" s="47"/>
      <c r="R2029" s="47"/>
      <c r="S2029" s="47"/>
      <c r="T2029" s="47"/>
      <c r="U2029" s="47"/>
    </row>
    <row r="2030" spans="8:21" x14ac:dyDescent="0.3">
      <c r="H2030" s="47"/>
      <c r="I2030" s="47"/>
      <c r="J2030" s="47"/>
      <c r="K2030" s="47"/>
      <c r="L2030" s="47"/>
      <c r="M2030" s="47"/>
      <c r="N2030" s="47"/>
      <c r="O2030" s="47"/>
      <c r="P2030" s="47"/>
      <c r="Q2030" s="47"/>
      <c r="R2030" s="47"/>
      <c r="S2030" s="47"/>
      <c r="T2030" s="47"/>
      <c r="U2030" s="47"/>
    </row>
    <row r="2031" spans="8:21" x14ac:dyDescent="0.3"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  <c r="S2031" s="47"/>
      <c r="T2031" s="47"/>
      <c r="U2031" s="47"/>
    </row>
    <row r="2032" spans="8:21" x14ac:dyDescent="0.3">
      <c r="H2032" s="47"/>
      <c r="I2032" s="47"/>
      <c r="J2032" s="47"/>
      <c r="K2032" s="47"/>
      <c r="L2032" s="47"/>
      <c r="M2032" s="47"/>
      <c r="N2032" s="47"/>
      <c r="O2032" s="47"/>
      <c r="P2032" s="47"/>
      <c r="Q2032" s="47"/>
      <c r="R2032" s="47"/>
      <c r="S2032" s="47"/>
      <c r="T2032" s="47"/>
      <c r="U2032" s="47"/>
    </row>
    <row r="2033" spans="8:21" x14ac:dyDescent="0.3">
      <c r="H2033" s="47"/>
      <c r="I2033" s="47"/>
      <c r="J2033" s="47"/>
      <c r="K2033" s="47"/>
      <c r="L2033" s="47"/>
      <c r="M2033" s="47"/>
      <c r="N2033" s="47"/>
      <c r="O2033" s="47"/>
      <c r="P2033" s="47"/>
      <c r="Q2033" s="47"/>
      <c r="R2033" s="47"/>
      <c r="S2033" s="47"/>
      <c r="T2033" s="47"/>
      <c r="U2033" s="47"/>
    </row>
    <row r="2034" spans="8:21" x14ac:dyDescent="0.3">
      <c r="H2034" s="47"/>
      <c r="I2034" s="47"/>
      <c r="J2034" s="47"/>
      <c r="K2034" s="47"/>
      <c r="L2034" s="47"/>
      <c r="M2034" s="47"/>
      <c r="N2034" s="47"/>
      <c r="O2034" s="47"/>
      <c r="P2034" s="47"/>
      <c r="Q2034" s="47"/>
      <c r="R2034" s="47"/>
      <c r="S2034" s="47"/>
      <c r="T2034" s="47"/>
      <c r="U2034" s="47"/>
    </row>
    <row r="2035" spans="8:21" x14ac:dyDescent="0.3"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  <c r="S2035" s="47"/>
      <c r="T2035" s="47"/>
      <c r="U2035" s="47"/>
    </row>
    <row r="2036" spans="8:21" x14ac:dyDescent="0.3">
      <c r="H2036" s="47"/>
      <c r="I2036" s="47"/>
      <c r="J2036" s="47"/>
      <c r="K2036" s="47"/>
      <c r="L2036" s="47"/>
      <c r="M2036" s="47"/>
      <c r="N2036" s="47"/>
      <c r="O2036" s="47"/>
      <c r="P2036" s="47"/>
      <c r="Q2036" s="47"/>
      <c r="R2036" s="47"/>
      <c r="S2036" s="47"/>
      <c r="T2036" s="47"/>
      <c r="U2036" s="47"/>
    </row>
    <row r="2037" spans="8:21" x14ac:dyDescent="0.3">
      <c r="H2037" s="47"/>
      <c r="I2037" s="47"/>
      <c r="J2037" s="47"/>
      <c r="K2037" s="47"/>
      <c r="L2037" s="47"/>
      <c r="M2037" s="47"/>
      <c r="N2037" s="47"/>
      <c r="O2037" s="47"/>
      <c r="P2037" s="47"/>
      <c r="Q2037" s="47"/>
      <c r="R2037" s="47"/>
      <c r="S2037" s="47"/>
      <c r="T2037" s="47"/>
      <c r="U2037" s="47"/>
    </row>
    <row r="2038" spans="8:21" x14ac:dyDescent="0.3">
      <c r="H2038" s="47"/>
      <c r="I2038" s="47"/>
      <c r="J2038" s="47"/>
      <c r="K2038" s="47"/>
      <c r="L2038" s="47"/>
      <c r="M2038" s="47"/>
      <c r="N2038" s="47"/>
      <c r="O2038" s="47"/>
      <c r="P2038" s="47"/>
      <c r="Q2038" s="47"/>
      <c r="R2038" s="47"/>
      <c r="S2038" s="47"/>
      <c r="T2038" s="47"/>
      <c r="U2038" s="47"/>
    </row>
    <row r="2039" spans="8:21" x14ac:dyDescent="0.3"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  <c r="S2039" s="47"/>
      <c r="T2039" s="47"/>
      <c r="U2039" s="47"/>
    </row>
    <row r="2040" spans="8:21" x14ac:dyDescent="0.3">
      <c r="H2040" s="47"/>
      <c r="I2040" s="47"/>
      <c r="J2040" s="47"/>
      <c r="K2040" s="47"/>
      <c r="L2040" s="47"/>
      <c r="M2040" s="47"/>
      <c r="N2040" s="47"/>
      <c r="O2040" s="47"/>
      <c r="P2040" s="47"/>
      <c r="Q2040" s="47"/>
      <c r="R2040" s="47"/>
      <c r="S2040" s="47"/>
      <c r="T2040" s="47"/>
      <c r="U2040" s="47"/>
    </row>
    <row r="2041" spans="8:21" x14ac:dyDescent="0.3">
      <c r="H2041" s="47"/>
      <c r="I2041" s="47"/>
      <c r="J2041" s="47"/>
      <c r="K2041" s="47"/>
      <c r="L2041" s="47"/>
      <c r="M2041" s="47"/>
      <c r="N2041" s="47"/>
      <c r="O2041" s="47"/>
      <c r="P2041" s="47"/>
      <c r="Q2041" s="47"/>
      <c r="R2041" s="47"/>
      <c r="S2041" s="47"/>
      <c r="T2041" s="47"/>
      <c r="U2041" s="47"/>
    </row>
    <row r="2042" spans="8:21" x14ac:dyDescent="0.3">
      <c r="H2042" s="47"/>
      <c r="I2042" s="47"/>
      <c r="J2042" s="47"/>
      <c r="K2042" s="47"/>
      <c r="L2042" s="47"/>
      <c r="M2042" s="47"/>
      <c r="N2042" s="47"/>
      <c r="O2042" s="47"/>
      <c r="P2042" s="47"/>
      <c r="Q2042" s="47"/>
      <c r="R2042" s="47"/>
      <c r="S2042" s="47"/>
      <c r="T2042" s="47"/>
      <c r="U2042" s="47"/>
    </row>
    <row r="2043" spans="8:21" x14ac:dyDescent="0.3"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  <c r="S2043" s="47"/>
      <c r="T2043" s="47"/>
      <c r="U2043" s="47"/>
    </row>
    <row r="2044" spans="8:21" x14ac:dyDescent="0.3">
      <c r="H2044" s="47"/>
      <c r="I2044" s="47"/>
      <c r="J2044" s="47"/>
      <c r="K2044" s="47"/>
      <c r="L2044" s="47"/>
      <c r="M2044" s="47"/>
      <c r="N2044" s="47"/>
      <c r="O2044" s="47"/>
      <c r="P2044" s="47"/>
      <c r="Q2044" s="47"/>
      <c r="R2044" s="47"/>
      <c r="S2044" s="47"/>
      <c r="T2044" s="47"/>
      <c r="U2044" s="47"/>
    </row>
    <row r="2045" spans="8:21" x14ac:dyDescent="0.3">
      <c r="H2045" s="47"/>
      <c r="I2045" s="47"/>
      <c r="J2045" s="47"/>
      <c r="K2045" s="47"/>
      <c r="L2045" s="47"/>
      <c r="M2045" s="47"/>
      <c r="N2045" s="47"/>
      <c r="O2045" s="47"/>
      <c r="P2045" s="47"/>
      <c r="Q2045" s="47"/>
      <c r="R2045" s="47"/>
      <c r="S2045" s="47"/>
      <c r="T2045" s="47"/>
      <c r="U2045" s="47"/>
    </row>
    <row r="2046" spans="8:21" x14ac:dyDescent="0.3">
      <c r="H2046" s="47"/>
      <c r="I2046" s="47"/>
      <c r="J2046" s="47"/>
      <c r="K2046" s="47"/>
      <c r="L2046" s="47"/>
      <c r="M2046" s="47"/>
      <c r="N2046" s="47"/>
      <c r="O2046" s="47"/>
      <c r="P2046" s="47"/>
      <c r="Q2046" s="47"/>
      <c r="R2046" s="47"/>
      <c r="S2046" s="47"/>
      <c r="T2046" s="47"/>
      <c r="U2046" s="47"/>
    </row>
    <row r="2047" spans="8:21" x14ac:dyDescent="0.3"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  <c r="S2047" s="47"/>
      <c r="T2047" s="47"/>
      <c r="U2047" s="47"/>
    </row>
    <row r="2048" spans="8:21" x14ac:dyDescent="0.3">
      <c r="H2048" s="47"/>
      <c r="I2048" s="47"/>
      <c r="J2048" s="47"/>
      <c r="K2048" s="47"/>
      <c r="L2048" s="47"/>
      <c r="M2048" s="47"/>
      <c r="N2048" s="47"/>
      <c r="O2048" s="47"/>
      <c r="P2048" s="47"/>
      <c r="Q2048" s="47"/>
      <c r="R2048" s="47"/>
      <c r="S2048" s="47"/>
      <c r="T2048" s="47"/>
      <c r="U2048" s="47"/>
    </row>
    <row r="2049" spans="8:21" x14ac:dyDescent="0.3">
      <c r="H2049" s="47"/>
      <c r="I2049" s="47"/>
      <c r="J2049" s="47"/>
      <c r="K2049" s="47"/>
      <c r="L2049" s="47"/>
      <c r="M2049" s="47"/>
      <c r="N2049" s="47"/>
      <c r="O2049" s="47"/>
      <c r="P2049" s="47"/>
      <c r="Q2049" s="47"/>
      <c r="R2049" s="47"/>
      <c r="S2049" s="47"/>
      <c r="T2049" s="47"/>
      <c r="U2049" s="47"/>
    </row>
    <row r="2050" spans="8:21" x14ac:dyDescent="0.3">
      <c r="H2050" s="47"/>
      <c r="I2050" s="47"/>
      <c r="J2050" s="47"/>
      <c r="K2050" s="47"/>
      <c r="L2050" s="47"/>
      <c r="M2050" s="47"/>
      <c r="N2050" s="47"/>
      <c r="O2050" s="47"/>
      <c r="P2050" s="47"/>
      <c r="Q2050" s="47"/>
      <c r="R2050" s="47"/>
      <c r="S2050" s="47"/>
      <c r="T2050" s="47"/>
      <c r="U2050" s="47"/>
    </row>
    <row r="2051" spans="8:21" x14ac:dyDescent="0.3"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  <c r="S2051" s="47"/>
      <c r="T2051" s="47"/>
      <c r="U2051" s="47"/>
    </row>
    <row r="2052" spans="8:21" x14ac:dyDescent="0.3">
      <c r="H2052" s="47"/>
      <c r="I2052" s="47"/>
      <c r="J2052" s="47"/>
      <c r="K2052" s="47"/>
      <c r="L2052" s="47"/>
      <c r="M2052" s="47"/>
      <c r="N2052" s="47"/>
      <c r="O2052" s="47"/>
      <c r="P2052" s="47"/>
      <c r="Q2052" s="47"/>
      <c r="R2052" s="47"/>
      <c r="S2052" s="47"/>
      <c r="T2052" s="47"/>
      <c r="U2052" s="47"/>
    </row>
    <row r="2053" spans="8:21" x14ac:dyDescent="0.3">
      <c r="H2053" s="47"/>
      <c r="I2053" s="47"/>
      <c r="J2053" s="47"/>
      <c r="K2053" s="47"/>
      <c r="L2053" s="47"/>
      <c r="M2053" s="47"/>
      <c r="N2053" s="47"/>
      <c r="O2053" s="47"/>
      <c r="P2053" s="47"/>
      <c r="Q2053" s="47"/>
      <c r="R2053" s="47"/>
      <c r="S2053" s="47"/>
      <c r="T2053" s="47"/>
      <c r="U2053" s="47"/>
    </row>
    <row r="2054" spans="8:21" x14ac:dyDescent="0.3">
      <c r="H2054" s="47"/>
      <c r="I2054" s="47"/>
      <c r="J2054" s="47"/>
      <c r="K2054" s="47"/>
      <c r="L2054" s="47"/>
      <c r="M2054" s="47"/>
      <c r="N2054" s="47"/>
      <c r="O2054" s="47"/>
      <c r="P2054" s="47"/>
      <c r="Q2054" s="47"/>
      <c r="R2054" s="47"/>
      <c r="S2054" s="47"/>
      <c r="T2054" s="47"/>
      <c r="U2054" s="47"/>
    </row>
    <row r="2055" spans="8:21" x14ac:dyDescent="0.3"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  <c r="S2055" s="47"/>
      <c r="T2055" s="47"/>
      <c r="U2055" s="47"/>
    </row>
    <row r="2056" spans="8:21" x14ac:dyDescent="0.3">
      <c r="H2056" s="47"/>
      <c r="I2056" s="47"/>
      <c r="J2056" s="47"/>
      <c r="K2056" s="47"/>
      <c r="L2056" s="47"/>
      <c r="M2056" s="47"/>
      <c r="N2056" s="47"/>
      <c r="O2056" s="47"/>
      <c r="P2056" s="47"/>
      <c r="Q2056" s="47"/>
      <c r="R2056" s="47"/>
      <c r="S2056" s="47"/>
      <c r="T2056" s="47"/>
      <c r="U2056" s="47"/>
    </row>
    <row r="2057" spans="8:21" x14ac:dyDescent="0.3">
      <c r="H2057" s="47"/>
      <c r="I2057" s="47"/>
      <c r="J2057" s="47"/>
      <c r="K2057" s="47"/>
      <c r="L2057" s="47"/>
      <c r="M2057" s="47"/>
      <c r="N2057" s="47"/>
      <c r="O2057" s="47"/>
      <c r="P2057" s="47"/>
      <c r="Q2057" s="47"/>
      <c r="R2057" s="47"/>
      <c r="S2057" s="47"/>
      <c r="T2057" s="47"/>
      <c r="U2057" s="47"/>
    </row>
    <row r="2058" spans="8:21" x14ac:dyDescent="0.3">
      <c r="H2058" s="47"/>
      <c r="I2058" s="47"/>
      <c r="J2058" s="47"/>
      <c r="K2058" s="47"/>
      <c r="L2058" s="47"/>
      <c r="M2058" s="47"/>
      <c r="N2058" s="47"/>
      <c r="O2058" s="47"/>
      <c r="P2058" s="47"/>
      <c r="Q2058" s="47"/>
      <c r="R2058" s="47"/>
      <c r="S2058" s="47"/>
      <c r="T2058" s="47"/>
      <c r="U2058" s="47"/>
    </row>
    <row r="2059" spans="8:21" x14ac:dyDescent="0.3"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  <c r="S2059" s="47"/>
      <c r="T2059" s="47"/>
      <c r="U2059" s="47"/>
    </row>
    <row r="2060" spans="8:21" x14ac:dyDescent="0.3">
      <c r="H2060" s="47"/>
      <c r="I2060" s="47"/>
      <c r="J2060" s="47"/>
      <c r="K2060" s="47"/>
      <c r="L2060" s="47"/>
      <c r="M2060" s="47"/>
      <c r="N2060" s="47"/>
      <c r="O2060" s="47"/>
      <c r="P2060" s="47"/>
      <c r="Q2060" s="47"/>
      <c r="R2060" s="47"/>
      <c r="S2060" s="47"/>
      <c r="T2060" s="47"/>
      <c r="U2060" s="47"/>
    </row>
    <row r="2061" spans="8:21" x14ac:dyDescent="0.3">
      <c r="H2061" s="47"/>
      <c r="I2061" s="47"/>
      <c r="J2061" s="47"/>
      <c r="K2061" s="47"/>
      <c r="L2061" s="47"/>
      <c r="M2061" s="47"/>
      <c r="N2061" s="47"/>
      <c r="O2061" s="47"/>
      <c r="P2061" s="47"/>
      <c r="Q2061" s="47"/>
      <c r="R2061" s="47"/>
      <c r="S2061" s="47"/>
      <c r="T2061" s="47"/>
      <c r="U2061" s="47"/>
    </row>
    <row r="2062" spans="8:21" x14ac:dyDescent="0.3">
      <c r="H2062" s="47"/>
      <c r="I2062" s="47"/>
      <c r="J2062" s="47"/>
      <c r="K2062" s="47"/>
      <c r="L2062" s="47"/>
      <c r="M2062" s="47"/>
      <c r="N2062" s="47"/>
      <c r="O2062" s="47"/>
      <c r="P2062" s="47"/>
      <c r="Q2062" s="47"/>
      <c r="R2062" s="47"/>
      <c r="S2062" s="47"/>
      <c r="T2062" s="47"/>
      <c r="U2062" s="47"/>
    </row>
    <row r="2063" spans="8:21" x14ac:dyDescent="0.3"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  <c r="S2063" s="47"/>
      <c r="T2063" s="47"/>
      <c r="U2063" s="47"/>
    </row>
    <row r="2064" spans="8:21" x14ac:dyDescent="0.3">
      <c r="H2064" s="47"/>
      <c r="I2064" s="47"/>
      <c r="J2064" s="47"/>
      <c r="K2064" s="47"/>
      <c r="L2064" s="47"/>
      <c r="M2064" s="47"/>
      <c r="N2064" s="47"/>
      <c r="O2064" s="47"/>
      <c r="P2064" s="47"/>
      <c r="Q2064" s="47"/>
      <c r="R2064" s="47"/>
      <c r="S2064" s="47"/>
      <c r="T2064" s="47"/>
      <c r="U2064" s="47"/>
    </row>
    <row r="2065" spans="8:21" x14ac:dyDescent="0.3">
      <c r="H2065" s="47"/>
      <c r="I2065" s="47"/>
      <c r="J2065" s="47"/>
      <c r="K2065" s="47"/>
      <c r="L2065" s="47"/>
      <c r="M2065" s="47"/>
      <c r="N2065" s="47"/>
      <c r="O2065" s="47"/>
      <c r="P2065" s="47"/>
      <c r="Q2065" s="47"/>
      <c r="R2065" s="47"/>
      <c r="S2065" s="47"/>
      <c r="T2065" s="47"/>
      <c r="U2065" s="47"/>
    </row>
    <row r="2066" spans="8:21" x14ac:dyDescent="0.3">
      <c r="H2066" s="47"/>
      <c r="I2066" s="47"/>
      <c r="J2066" s="47"/>
      <c r="K2066" s="47"/>
      <c r="L2066" s="47"/>
      <c r="M2066" s="47"/>
      <c r="N2066" s="47"/>
      <c r="O2066" s="47"/>
      <c r="P2066" s="47"/>
      <c r="Q2066" s="47"/>
      <c r="R2066" s="47"/>
      <c r="S2066" s="47"/>
      <c r="T2066" s="47"/>
      <c r="U2066" s="47"/>
    </row>
    <row r="2067" spans="8:21" x14ac:dyDescent="0.3"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  <c r="S2067" s="47"/>
      <c r="T2067" s="47"/>
      <c r="U2067" s="47"/>
    </row>
    <row r="2068" spans="8:21" x14ac:dyDescent="0.3">
      <c r="H2068" s="47"/>
      <c r="I2068" s="47"/>
      <c r="J2068" s="47"/>
      <c r="K2068" s="47"/>
      <c r="L2068" s="47"/>
      <c r="M2068" s="47"/>
      <c r="N2068" s="47"/>
      <c r="O2068" s="47"/>
      <c r="P2068" s="47"/>
      <c r="Q2068" s="47"/>
      <c r="R2068" s="47"/>
      <c r="S2068" s="47"/>
      <c r="T2068" s="47"/>
      <c r="U2068" s="47"/>
    </row>
    <row r="2069" spans="8:21" x14ac:dyDescent="0.3">
      <c r="H2069" s="47"/>
      <c r="I2069" s="47"/>
      <c r="J2069" s="47"/>
      <c r="K2069" s="47"/>
      <c r="L2069" s="47"/>
      <c r="M2069" s="47"/>
      <c r="N2069" s="47"/>
      <c r="O2069" s="47"/>
      <c r="P2069" s="47"/>
      <c r="Q2069" s="47"/>
      <c r="R2069" s="47"/>
      <c r="S2069" s="47"/>
      <c r="T2069" s="47"/>
      <c r="U2069" s="47"/>
    </row>
    <row r="2070" spans="8:21" x14ac:dyDescent="0.3">
      <c r="H2070" s="47"/>
      <c r="I2070" s="47"/>
      <c r="J2070" s="47"/>
      <c r="K2070" s="47"/>
      <c r="L2070" s="47"/>
      <c r="M2070" s="47"/>
      <c r="N2070" s="47"/>
      <c r="O2070" s="47"/>
      <c r="P2070" s="47"/>
      <c r="Q2070" s="47"/>
      <c r="R2070" s="47"/>
      <c r="S2070" s="47"/>
      <c r="T2070" s="47"/>
      <c r="U2070" s="47"/>
    </row>
    <row r="2071" spans="8:21" x14ac:dyDescent="0.3"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  <c r="S2071" s="47"/>
      <c r="T2071" s="47"/>
      <c r="U2071" s="47"/>
    </row>
    <row r="2072" spans="8:21" x14ac:dyDescent="0.3">
      <c r="H2072" s="47"/>
      <c r="I2072" s="47"/>
      <c r="J2072" s="47"/>
      <c r="K2072" s="47"/>
      <c r="L2072" s="47"/>
      <c r="M2072" s="47"/>
      <c r="N2072" s="47"/>
      <c r="O2072" s="47"/>
      <c r="P2072" s="47"/>
      <c r="Q2072" s="47"/>
      <c r="R2072" s="47"/>
      <c r="S2072" s="47"/>
      <c r="T2072" s="47"/>
      <c r="U2072" s="47"/>
    </row>
    <row r="2073" spans="8:21" x14ac:dyDescent="0.3">
      <c r="H2073" s="47"/>
      <c r="I2073" s="47"/>
      <c r="J2073" s="47"/>
      <c r="K2073" s="47"/>
      <c r="L2073" s="47"/>
      <c r="M2073" s="47"/>
      <c r="N2073" s="47"/>
      <c r="O2073" s="47"/>
      <c r="P2073" s="47"/>
      <c r="Q2073" s="47"/>
      <c r="R2073" s="47"/>
      <c r="S2073" s="47"/>
      <c r="T2073" s="47"/>
      <c r="U2073" s="47"/>
    </row>
    <row r="2074" spans="8:21" x14ac:dyDescent="0.3">
      <c r="H2074" s="47"/>
      <c r="I2074" s="47"/>
      <c r="J2074" s="47"/>
      <c r="K2074" s="47"/>
      <c r="L2074" s="47"/>
      <c r="M2074" s="47"/>
      <c r="N2074" s="47"/>
      <c r="O2074" s="47"/>
      <c r="P2074" s="47"/>
      <c r="Q2074" s="47"/>
      <c r="R2074" s="47"/>
      <c r="S2074" s="47"/>
      <c r="T2074" s="47"/>
      <c r="U2074" s="47"/>
    </row>
    <row r="2075" spans="8:21" x14ac:dyDescent="0.3"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  <c r="S2075" s="47"/>
      <c r="T2075" s="47"/>
      <c r="U2075" s="47"/>
    </row>
    <row r="2076" spans="8:21" x14ac:dyDescent="0.3">
      <c r="H2076" s="47"/>
      <c r="I2076" s="47"/>
      <c r="J2076" s="47"/>
      <c r="K2076" s="47"/>
      <c r="L2076" s="47"/>
      <c r="M2076" s="47"/>
      <c r="N2076" s="47"/>
      <c r="O2076" s="47"/>
      <c r="P2076" s="47"/>
      <c r="Q2076" s="47"/>
      <c r="R2076" s="47"/>
      <c r="S2076" s="47"/>
      <c r="T2076" s="47"/>
      <c r="U2076" s="47"/>
    </row>
    <row r="2077" spans="8:21" x14ac:dyDescent="0.3">
      <c r="H2077" s="47"/>
      <c r="I2077" s="47"/>
      <c r="J2077" s="47"/>
      <c r="K2077" s="47"/>
      <c r="L2077" s="47"/>
      <c r="M2077" s="47"/>
      <c r="N2077" s="47"/>
      <c r="O2077" s="47"/>
      <c r="P2077" s="47"/>
      <c r="Q2077" s="47"/>
      <c r="R2077" s="47"/>
      <c r="S2077" s="47"/>
      <c r="T2077" s="47"/>
      <c r="U2077" s="47"/>
    </row>
    <row r="2078" spans="8:21" x14ac:dyDescent="0.3">
      <c r="H2078" s="47"/>
      <c r="I2078" s="47"/>
      <c r="J2078" s="47"/>
      <c r="K2078" s="47"/>
      <c r="L2078" s="47"/>
      <c r="M2078" s="47"/>
      <c r="N2078" s="47"/>
      <c r="O2078" s="47"/>
      <c r="P2078" s="47"/>
      <c r="Q2078" s="47"/>
      <c r="R2078" s="47"/>
      <c r="S2078" s="47"/>
      <c r="T2078" s="47"/>
      <c r="U2078" s="47"/>
    </row>
    <row r="2079" spans="8:21" x14ac:dyDescent="0.3"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  <c r="S2079" s="47"/>
      <c r="T2079" s="47"/>
      <c r="U2079" s="47"/>
    </row>
    <row r="2080" spans="8:21" x14ac:dyDescent="0.3">
      <c r="H2080" s="47"/>
      <c r="I2080" s="47"/>
      <c r="J2080" s="47"/>
      <c r="K2080" s="47"/>
      <c r="L2080" s="47"/>
      <c r="M2080" s="47"/>
      <c r="N2080" s="47"/>
      <c r="O2080" s="47"/>
      <c r="P2080" s="47"/>
      <c r="Q2080" s="47"/>
      <c r="R2080" s="47"/>
      <c r="S2080" s="47"/>
      <c r="T2080" s="47"/>
      <c r="U2080" s="47"/>
    </row>
    <row r="2081" spans="8:21" x14ac:dyDescent="0.3">
      <c r="H2081" s="47"/>
      <c r="I2081" s="47"/>
      <c r="J2081" s="47"/>
      <c r="K2081" s="47"/>
      <c r="L2081" s="47"/>
      <c r="M2081" s="47"/>
      <c r="N2081" s="47"/>
      <c r="O2081" s="47"/>
      <c r="P2081" s="47"/>
      <c r="Q2081" s="47"/>
      <c r="R2081" s="47"/>
      <c r="S2081" s="47"/>
      <c r="T2081" s="47"/>
      <c r="U2081" s="47"/>
    </row>
    <row r="2082" spans="8:21" x14ac:dyDescent="0.3">
      <c r="H2082" s="47"/>
      <c r="I2082" s="47"/>
      <c r="J2082" s="47"/>
      <c r="K2082" s="47"/>
      <c r="L2082" s="47"/>
      <c r="M2082" s="47"/>
      <c r="N2082" s="47"/>
      <c r="O2082" s="47"/>
      <c r="P2082" s="47"/>
      <c r="Q2082" s="47"/>
      <c r="R2082" s="47"/>
      <c r="S2082" s="47"/>
      <c r="T2082" s="47"/>
      <c r="U2082" s="47"/>
    </row>
    <row r="2083" spans="8:21" x14ac:dyDescent="0.3"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  <c r="S2083" s="47"/>
      <c r="T2083" s="47"/>
      <c r="U2083" s="47"/>
    </row>
    <row r="2084" spans="8:21" x14ac:dyDescent="0.3">
      <c r="H2084" s="47"/>
      <c r="I2084" s="47"/>
      <c r="J2084" s="47"/>
      <c r="K2084" s="47"/>
      <c r="L2084" s="47"/>
      <c r="M2084" s="47"/>
      <c r="N2084" s="47"/>
      <c r="O2084" s="47"/>
      <c r="P2084" s="47"/>
      <c r="Q2084" s="47"/>
      <c r="R2084" s="47"/>
      <c r="S2084" s="47"/>
      <c r="T2084" s="47"/>
      <c r="U2084" s="47"/>
    </row>
    <row r="2085" spans="8:21" x14ac:dyDescent="0.3">
      <c r="H2085" s="47"/>
      <c r="I2085" s="47"/>
      <c r="J2085" s="47"/>
      <c r="K2085" s="47"/>
      <c r="L2085" s="47"/>
      <c r="M2085" s="47"/>
      <c r="N2085" s="47"/>
      <c r="O2085" s="47"/>
      <c r="P2085" s="47"/>
      <c r="Q2085" s="47"/>
      <c r="R2085" s="47"/>
      <c r="S2085" s="47"/>
      <c r="T2085" s="47"/>
      <c r="U2085" s="47"/>
    </row>
    <row r="2086" spans="8:21" x14ac:dyDescent="0.3">
      <c r="H2086" s="47"/>
      <c r="I2086" s="47"/>
      <c r="J2086" s="47"/>
      <c r="K2086" s="47"/>
      <c r="L2086" s="47"/>
      <c r="M2086" s="47"/>
      <c r="N2086" s="47"/>
      <c r="O2086" s="47"/>
      <c r="P2086" s="47"/>
      <c r="Q2086" s="47"/>
      <c r="R2086" s="47"/>
      <c r="S2086" s="47"/>
      <c r="T2086" s="47"/>
      <c r="U2086" s="47"/>
    </row>
    <row r="2087" spans="8:21" x14ac:dyDescent="0.3"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  <c r="S2087" s="47"/>
      <c r="T2087" s="47"/>
      <c r="U2087" s="47"/>
    </row>
    <row r="2088" spans="8:21" x14ac:dyDescent="0.3">
      <c r="H2088" s="47"/>
      <c r="I2088" s="47"/>
      <c r="J2088" s="47"/>
      <c r="K2088" s="47"/>
      <c r="L2088" s="47"/>
      <c r="M2088" s="47"/>
      <c r="N2088" s="47"/>
      <c r="O2088" s="47"/>
      <c r="P2088" s="47"/>
      <c r="Q2088" s="47"/>
      <c r="R2088" s="47"/>
      <c r="S2088" s="47"/>
      <c r="T2088" s="47"/>
      <c r="U2088" s="47"/>
    </row>
    <row r="2089" spans="8:21" x14ac:dyDescent="0.3">
      <c r="H2089" s="47"/>
      <c r="I2089" s="47"/>
      <c r="J2089" s="47"/>
      <c r="K2089" s="47"/>
      <c r="L2089" s="47"/>
      <c r="M2089" s="47"/>
      <c r="N2089" s="47"/>
      <c r="O2089" s="47"/>
      <c r="P2089" s="47"/>
      <c r="Q2089" s="47"/>
      <c r="R2089" s="47"/>
      <c r="S2089" s="47"/>
      <c r="T2089" s="47"/>
      <c r="U2089" s="47"/>
    </row>
    <row r="2090" spans="8:21" x14ac:dyDescent="0.3">
      <c r="H2090" s="47"/>
      <c r="I2090" s="47"/>
      <c r="J2090" s="47"/>
      <c r="K2090" s="47"/>
      <c r="L2090" s="47"/>
      <c r="M2090" s="47"/>
      <c r="N2090" s="47"/>
      <c r="O2090" s="47"/>
      <c r="P2090" s="47"/>
      <c r="Q2090" s="47"/>
      <c r="R2090" s="47"/>
      <c r="S2090" s="47"/>
      <c r="T2090" s="47"/>
      <c r="U2090" s="47"/>
    </row>
    <row r="2091" spans="8:21" x14ac:dyDescent="0.3"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  <c r="S2091" s="47"/>
      <c r="T2091" s="47"/>
      <c r="U2091" s="47"/>
    </row>
    <row r="2092" spans="8:21" x14ac:dyDescent="0.3">
      <c r="H2092" s="47"/>
      <c r="I2092" s="47"/>
      <c r="J2092" s="47"/>
      <c r="K2092" s="47"/>
      <c r="L2092" s="47"/>
      <c r="M2092" s="47"/>
      <c r="N2092" s="47"/>
      <c r="O2092" s="47"/>
      <c r="P2092" s="47"/>
      <c r="Q2092" s="47"/>
      <c r="R2092" s="47"/>
      <c r="S2092" s="47"/>
      <c r="T2092" s="47"/>
      <c r="U2092" s="47"/>
    </row>
    <row r="2093" spans="8:21" x14ac:dyDescent="0.3">
      <c r="H2093" s="47"/>
      <c r="I2093" s="47"/>
      <c r="J2093" s="47"/>
      <c r="K2093" s="47"/>
      <c r="L2093" s="47"/>
      <c r="M2093" s="47"/>
      <c r="N2093" s="47"/>
      <c r="O2093" s="47"/>
      <c r="P2093" s="47"/>
      <c r="Q2093" s="47"/>
      <c r="R2093" s="47"/>
      <c r="S2093" s="47"/>
      <c r="T2093" s="47"/>
      <c r="U2093" s="47"/>
    </row>
    <row r="2094" spans="8:21" x14ac:dyDescent="0.3">
      <c r="H2094" s="47"/>
      <c r="I2094" s="47"/>
      <c r="J2094" s="47"/>
      <c r="K2094" s="47"/>
      <c r="L2094" s="47"/>
      <c r="M2094" s="47"/>
      <c r="N2094" s="47"/>
      <c r="O2094" s="47"/>
      <c r="P2094" s="47"/>
      <c r="Q2094" s="47"/>
      <c r="R2094" s="47"/>
      <c r="S2094" s="47"/>
      <c r="T2094" s="47"/>
      <c r="U2094" s="47"/>
    </row>
    <row r="2095" spans="8:21" x14ac:dyDescent="0.3"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  <c r="S2095" s="47"/>
      <c r="T2095" s="47"/>
      <c r="U2095" s="47"/>
    </row>
    <row r="2096" spans="8:21" x14ac:dyDescent="0.3">
      <c r="H2096" s="47"/>
      <c r="I2096" s="47"/>
      <c r="J2096" s="47"/>
      <c r="K2096" s="47"/>
      <c r="L2096" s="47"/>
      <c r="M2096" s="47"/>
      <c r="N2096" s="47"/>
      <c r="O2096" s="47"/>
      <c r="P2096" s="47"/>
      <c r="Q2096" s="47"/>
      <c r="R2096" s="47"/>
      <c r="S2096" s="47"/>
      <c r="T2096" s="47"/>
      <c r="U2096" s="47"/>
    </row>
    <row r="2097" spans="8:21" x14ac:dyDescent="0.3">
      <c r="H2097" s="47"/>
      <c r="I2097" s="47"/>
      <c r="J2097" s="47"/>
      <c r="K2097" s="47"/>
      <c r="L2097" s="47"/>
      <c r="M2097" s="47"/>
      <c r="N2097" s="47"/>
      <c r="O2097" s="47"/>
      <c r="P2097" s="47"/>
      <c r="Q2097" s="47"/>
      <c r="R2097" s="47"/>
      <c r="S2097" s="47"/>
      <c r="T2097" s="47"/>
      <c r="U2097" s="47"/>
    </row>
    <row r="2098" spans="8:21" x14ac:dyDescent="0.3">
      <c r="H2098" s="47"/>
      <c r="I2098" s="47"/>
      <c r="J2098" s="47"/>
      <c r="K2098" s="47"/>
      <c r="L2098" s="47"/>
      <c r="M2098" s="47"/>
      <c r="N2098" s="47"/>
      <c r="O2098" s="47"/>
      <c r="P2098" s="47"/>
      <c r="Q2098" s="47"/>
      <c r="R2098" s="47"/>
      <c r="S2098" s="47"/>
      <c r="T2098" s="47"/>
      <c r="U2098" s="47"/>
    </row>
    <row r="2099" spans="8:21" x14ac:dyDescent="0.3"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  <c r="S2099" s="47"/>
      <c r="T2099" s="47"/>
      <c r="U2099" s="47"/>
    </row>
    <row r="2100" spans="8:21" x14ac:dyDescent="0.3">
      <c r="H2100" s="47"/>
      <c r="I2100" s="47"/>
      <c r="J2100" s="47"/>
      <c r="K2100" s="47"/>
      <c r="L2100" s="47"/>
      <c r="M2100" s="47"/>
      <c r="N2100" s="47"/>
      <c r="O2100" s="47"/>
      <c r="P2100" s="47"/>
      <c r="Q2100" s="47"/>
      <c r="R2100" s="47"/>
      <c r="S2100" s="47"/>
      <c r="T2100" s="47"/>
      <c r="U2100" s="47"/>
    </row>
    <row r="2101" spans="8:21" x14ac:dyDescent="0.3">
      <c r="H2101" s="47"/>
      <c r="I2101" s="47"/>
      <c r="J2101" s="47"/>
      <c r="K2101" s="47"/>
      <c r="L2101" s="47"/>
      <c r="M2101" s="47"/>
      <c r="N2101" s="47"/>
      <c r="O2101" s="47"/>
      <c r="P2101" s="47"/>
      <c r="Q2101" s="47"/>
      <c r="R2101" s="47"/>
      <c r="S2101" s="47"/>
      <c r="T2101" s="47"/>
      <c r="U2101" s="47"/>
    </row>
    <row r="2102" spans="8:21" x14ac:dyDescent="0.3">
      <c r="H2102" s="47"/>
      <c r="I2102" s="47"/>
      <c r="J2102" s="47"/>
      <c r="K2102" s="47"/>
      <c r="L2102" s="47"/>
      <c r="M2102" s="47"/>
      <c r="N2102" s="47"/>
      <c r="O2102" s="47"/>
      <c r="P2102" s="47"/>
      <c r="Q2102" s="47"/>
      <c r="R2102" s="47"/>
      <c r="S2102" s="47"/>
      <c r="T2102" s="47"/>
      <c r="U2102" s="47"/>
    </row>
    <row r="2103" spans="8:21" x14ac:dyDescent="0.3"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  <c r="S2103" s="47"/>
      <c r="T2103" s="47"/>
      <c r="U2103" s="47"/>
    </row>
    <row r="2104" spans="8:21" x14ac:dyDescent="0.3">
      <c r="H2104" s="47"/>
      <c r="I2104" s="47"/>
      <c r="J2104" s="47"/>
      <c r="K2104" s="47"/>
      <c r="L2104" s="47"/>
      <c r="M2104" s="47"/>
      <c r="N2104" s="47"/>
      <c r="O2104" s="47"/>
      <c r="P2104" s="47"/>
      <c r="Q2104" s="47"/>
      <c r="R2104" s="47"/>
      <c r="S2104" s="47"/>
      <c r="T2104" s="47"/>
      <c r="U2104" s="47"/>
    </row>
    <row r="2105" spans="8:21" x14ac:dyDescent="0.3">
      <c r="H2105" s="47"/>
      <c r="I2105" s="47"/>
      <c r="J2105" s="47"/>
      <c r="K2105" s="47"/>
      <c r="L2105" s="47"/>
      <c r="M2105" s="47"/>
      <c r="N2105" s="47"/>
      <c r="O2105" s="47"/>
      <c r="P2105" s="47"/>
      <c r="Q2105" s="47"/>
      <c r="R2105" s="47"/>
      <c r="S2105" s="47"/>
      <c r="T2105" s="47"/>
      <c r="U2105" s="47"/>
    </row>
    <row r="2106" spans="8:21" x14ac:dyDescent="0.3">
      <c r="H2106" s="47"/>
      <c r="I2106" s="47"/>
      <c r="J2106" s="47"/>
      <c r="K2106" s="47"/>
      <c r="L2106" s="47"/>
      <c r="M2106" s="47"/>
      <c r="N2106" s="47"/>
      <c r="O2106" s="47"/>
      <c r="P2106" s="47"/>
      <c r="Q2106" s="47"/>
      <c r="R2106" s="47"/>
      <c r="S2106" s="47"/>
      <c r="T2106" s="47"/>
      <c r="U2106" s="47"/>
    </row>
    <row r="2107" spans="8:21" x14ac:dyDescent="0.3"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  <c r="S2107" s="47"/>
      <c r="T2107" s="47"/>
      <c r="U2107" s="47"/>
    </row>
    <row r="2108" spans="8:21" x14ac:dyDescent="0.3">
      <c r="H2108" s="47"/>
      <c r="I2108" s="47"/>
      <c r="J2108" s="47"/>
      <c r="K2108" s="47"/>
      <c r="L2108" s="47"/>
      <c r="M2108" s="47"/>
      <c r="N2108" s="47"/>
      <c r="O2108" s="47"/>
      <c r="P2108" s="47"/>
      <c r="Q2108" s="47"/>
      <c r="R2108" s="47"/>
      <c r="S2108" s="47"/>
      <c r="T2108" s="47"/>
      <c r="U2108" s="47"/>
    </row>
    <row r="2109" spans="8:21" x14ac:dyDescent="0.3">
      <c r="H2109" s="47"/>
      <c r="I2109" s="47"/>
      <c r="J2109" s="47"/>
      <c r="K2109" s="47"/>
      <c r="L2109" s="47"/>
      <c r="M2109" s="47"/>
      <c r="N2109" s="47"/>
      <c r="O2109" s="47"/>
      <c r="P2109" s="47"/>
      <c r="Q2109" s="47"/>
      <c r="R2109" s="47"/>
      <c r="S2109" s="47"/>
      <c r="T2109" s="47"/>
      <c r="U2109" s="47"/>
    </row>
    <row r="2110" spans="8:21" x14ac:dyDescent="0.3">
      <c r="H2110" s="47"/>
      <c r="I2110" s="47"/>
      <c r="J2110" s="47"/>
      <c r="K2110" s="47"/>
      <c r="L2110" s="47"/>
      <c r="M2110" s="47"/>
      <c r="N2110" s="47"/>
      <c r="O2110" s="47"/>
      <c r="P2110" s="47"/>
      <c r="Q2110" s="47"/>
      <c r="R2110" s="47"/>
      <c r="S2110" s="47"/>
      <c r="T2110" s="47"/>
      <c r="U2110" s="47"/>
    </row>
    <row r="2111" spans="8:21" x14ac:dyDescent="0.3"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  <c r="S2111" s="47"/>
      <c r="T2111" s="47"/>
      <c r="U2111" s="47"/>
    </row>
    <row r="2112" spans="8:21" x14ac:dyDescent="0.3">
      <c r="H2112" s="47"/>
      <c r="I2112" s="47"/>
      <c r="J2112" s="47"/>
      <c r="K2112" s="47"/>
      <c r="L2112" s="47"/>
      <c r="M2112" s="47"/>
      <c r="N2112" s="47"/>
      <c r="O2112" s="47"/>
      <c r="P2112" s="47"/>
      <c r="Q2112" s="47"/>
      <c r="R2112" s="47"/>
      <c r="S2112" s="47"/>
      <c r="T2112" s="47"/>
      <c r="U2112" s="47"/>
    </row>
    <row r="2113" spans="8:21" x14ac:dyDescent="0.3">
      <c r="H2113" s="47"/>
      <c r="I2113" s="47"/>
      <c r="J2113" s="47"/>
      <c r="K2113" s="47"/>
      <c r="L2113" s="47"/>
      <c r="M2113" s="47"/>
      <c r="N2113" s="47"/>
      <c r="O2113" s="47"/>
      <c r="P2113" s="47"/>
      <c r="Q2113" s="47"/>
      <c r="R2113" s="47"/>
      <c r="S2113" s="47"/>
      <c r="T2113" s="47"/>
      <c r="U2113" s="47"/>
    </row>
    <row r="2114" spans="8:21" x14ac:dyDescent="0.3">
      <c r="H2114" s="47"/>
      <c r="I2114" s="47"/>
      <c r="J2114" s="47"/>
      <c r="K2114" s="47"/>
      <c r="L2114" s="47"/>
      <c r="M2114" s="47"/>
      <c r="N2114" s="47"/>
      <c r="O2114" s="47"/>
      <c r="P2114" s="47"/>
      <c r="Q2114" s="47"/>
      <c r="R2114" s="47"/>
      <c r="S2114" s="47"/>
      <c r="T2114" s="47"/>
      <c r="U2114" s="47"/>
    </row>
    <row r="2115" spans="8:21" x14ac:dyDescent="0.3"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  <c r="S2115" s="47"/>
      <c r="T2115" s="47"/>
      <c r="U2115" s="47"/>
    </row>
    <row r="2116" spans="8:21" x14ac:dyDescent="0.3">
      <c r="H2116" s="47"/>
      <c r="I2116" s="47"/>
      <c r="J2116" s="47"/>
      <c r="K2116" s="47"/>
      <c r="L2116" s="47"/>
      <c r="M2116" s="47"/>
      <c r="N2116" s="47"/>
      <c r="O2116" s="47"/>
      <c r="P2116" s="47"/>
      <c r="Q2116" s="47"/>
      <c r="R2116" s="47"/>
      <c r="S2116" s="47"/>
      <c r="T2116" s="47"/>
      <c r="U2116" s="47"/>
    </row>
    <row r="2117" spans="8:21" x14ac:dyDescent="0.3">
      <c r="H2117" s="47"/>
      <c r="I2117" s="47"/>
      <c r="J2117" s="47"/>
      <c r="K2117" s="47"/>
      <c r="L2117" s="47"/>
      <c r="M2117" s="47"/>
      <c r="N2117" s="47"/>
      <c r="O2117" s="47"/>
      <c r="P2117" s="47"/>
      <c r="Q2117" s="47"/>
      <c r="R2117" s="47"/>
      <c r="S2117" s="47"/>
      <c r="T2117" s="47"/>
      <c r="U2117" s="47"/>
    </row>
    <row r="2118" spans="8:21" x14ac:dyDescent="0.3">
      <c r="H2118" s="47"/>
      <c r="I2118" s="47"/>
      <c r="J2118" s="47"/>
      <c r="K2118" s="47"/>
      <c r="L2118" s="47"/>
      <c r="M2118" s="47"/>
      <c r="N2118" s="47"/>
      <c r="O2118" s="47"/>
      <c r="P2118" s="47"/>
      <c r="Q2118" s="47"/>
      <c r="R2118" s="47"/>
      <c r="S2118" s="47"/>
      <c r="T2118" s="47"/>
      <c r="U2118" s="47"/>
    </row>
    <row r="2119" spans="8:21" x14ac:dyDescent="0.3"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  <c r="S2119" s="47"/>
      <c r="T2119" s="47"/>
      <c r="U2119" s="47"/>
    </row>
    <row r="2120" spans="8:21" x14ac:dyDescent="0.3">
      <c r="H2120" s="47"/>
      <c r="I2120" s="47"/>
      <c r="J2120" s="47"/>
      <c r="K2120" s="47"/>
      <c r="L2120" s="47"/>
      <c r="M2120" s="47"/>
      <c r="N2120" s="47"/>
      <c r="O2120" s="47"/>
      <c r="P2120" s="47"/>
      <c r="Q2120" s="47"/>
      <c r="R2120" s="47"/>
      <c r="S2120" s="47"/>
      <c r="T2120" s="47"/>
      <c r="U2120" s="47"/>
    </row>
    <row r="2121" spans="8:21" x14ac:dyDescent="0.3">
      <c r="H2121" s="47"/>
      <c r="I2121" s="47"/>
      <c r="J2121" s="47"/>
      <c r="K2121" s="47"/>
      <c r="L2121" s="47"/>
      <c r="M2121" s="47"/>
      <c r="N2121" s="47"/>
      <c r="O2121" s="47"/>
      <c r="P2121" s="47"/>
      <c r="Q2121" s="47"/>
      <c r="R2121" s="47"/>
      <c r="S2121" s="47"/>
      <c r="T2121" s="47"/>
      <c r="U2121" s="47"/>
    </row>
    <row r="2122" spans="8:21" x14ac:dyDescent="0.3">
      <c r="H2122" s="47"/>
      <c r="I2122" s="47"/>
      <c r="J2122" s="47"/>
      <c r="K2122" s="47"/>
      <c r="L2122" s="47"/>
      <c r="M2122" s="47"/>
      <c r="N2122" s="47"/>
      <c r="O2122" s="47"/>
      <c r="P2122" s="47"/>
      <c r="Q2122" s="47"/>
      <c r="R2122" s="47"/>
      <c r="S2122" s="47"/>
      <c r="T2122" s="47"/>
      <c r="U2122" s="47"/>
    </row>
    <row r="2123" spans="8:21" x14ac:dyDescent="0.3"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  <c r="S2123" s="47"/>
      <c r="T2123" s="47"/>
      <c r="U2123" s="47"/>
    </row>
    <row r="2124" spans="8:21" x14ac:dyDescent="0.3">
      <c r="H2124" s="47"/>
      <c r="I2124" s="47"/>
      <c r="J2124" s="47"/>
      <c r="K2124" s="47"/>
      <c r="L2124" s="47"/>
      <c r="M2124" s="47"/>
      <c r="N2124" s="47"/>
      <c r="O2124" s="47"/>
      <c r="P2124" s="47"/>
      <c r="Q2124" s="47"/>
      <c r="R2124" s="47"/>
      <c r="S2124" s="47"/>
      <c r="T2124" s="47"/>
      <c r="U2124" s="47"/>
    </row>
    <row r="2125" spans="8:21" x14ac:dyDescent="0.3">
      <c r="H2125" s="47"/>
      <c r="I2125" s="47"/>
      <c r="J2125" s="47"/>
      <c r="K2125" s="47"/>
      <c r="L2125" s="47"/>
      <c r="M2125" s="47"/>
      <c r="N2125" s="47"/>
      <c r="O2125" s="47"/>
      <c r="P2125" s="47"/>
      <c r="Q2125" s="47"/>
      <c r="R2125" s="47"/>
      <c r="S2125" s="47"/>
      <c r="T2125" s="47"/>
      <c r="U2125" s="47"/>
    </row>
    <row r="2126" spans="8:21" x14ac:dyDescent="0.3">
      <c r="H2126" s="47"/>
      <c r="I2126" s="47"/>
      <c r="J2126" s="47"/>
      <c r="K2126" s="47"/>
      <c r="L2126" s="47"/>
      <c r="M2126" s="47"/>
      <c r="N2126" s="47"/>
      <c r="O2126" s="47"/>
      <c r="P2126" s="47"/>
      <c r="Q2126" s="47"/>
      <c r="R2126" s="47"/>
      <c r="S2126" s="47"/>
      <c r="T2126" s="47"/>
      <c r="U2126" s="47"/>
    </row>
    <row r="2127" spans="8:21" x14ac:dyDescent="0.3"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  <c r="S2127" s="47"/>
      <c r="T2127" s="47"/>
      <c r="U2127" s="47"/>
    </row>
    <row r="2128" spans="8:21" x14ac:dyDescent="0.3">
      <c r="H2128" s="47"/>
      <c r="I2128" s="47"/>
      <c r="J2128" s="47"/>
      <c r="K2128" s="47"/>
      <c r="L2128" s="47"/>
      <c r="M2128" s="47"/>
      <c r="N2128" s="47"/>
      <c r="O2128" s="47"/>
      <c r="P2128" s="47"/>
      <c r="Q2128" s="47"/>
      <c r="R2128" s="47"/>
      <c r="S2128" s="47"/>
      <c r="T2128" s="47"/>
      <c r="U2128" s="47"/>
    </row>
    <row r="2129" spans="8:21" x14ac:dyDescent="0.3">
      <c r="H2129" s="47"/>
      <c r="I2129" s="47"/>
      <c r="J2129" s="47"/>
      <c r="K2129" s="47"/>
      <c r="L2129" s="47"/>
      <c r="M2129" s="47"/>
      <c r="N2129" s="47"/>
      <c r="O2129" s="47"/>
      <c r="P2129" s="47"/>
      <c r="Q2129" s="47"/>
      <c r="R2129" s="47"/>
      <c r="S2129" s="47"/>
      <c r="T2129" s="47"/>
      <c r="U2129" s="47"/>
    </row>
    <row r="2130" spans="8:21" x14ac:dyDescent="0.3">
      <c r="H2130" s="47"/>
      <c r="I2130" s="47"/>
      <c r="J2130" s="47"/>
      <c r="K2130" s="47"/>
      <c r="L2130" s="47"/>
      <c r="M2130" s="47"/>
      <c r="N2130" s="47"/>
      <c r="O2130" s="47"/>
      <c r="P2130" s="47"/>
      <c r="Q2130" s="47"/>
      <c r="R2130" s="47"/>
      <c r="S2130" s="47"/>
      <c r="T2130" s="47"/>
      <c r="U2130" s="47"/>
    </row>
    <row r="2131" spans="8:21" x14ac:dyDescent="0.3"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  <c r="S2131" s="47"/>
      <c r="T2131" s="47"/>
      <c r="U2131" s="47"/>
    </row>
    <row r="2132" spans="8:21" x14ac:dyDescent="0.3">
      <c r="H2132" s="47"/>
      <c r="I2132" s="47"/>
      <c r="J2132" s="47"/>
      <c r="K2132" s="47"/>
      <c r="L2132" s="47"/>
      <c r="M2132" s="47"/>
      <c r="N2132" s="47"/>
      <c r="O2132" s="47"/>
      <c r="P2132" s="47"/>
      <c r="Q2132" s="47"/>
      <c r="R2132" s="47"/>
      <c r="S2132" s="47"/>
      <c r="T2132" s="47"/>
      <c r="U2132" s="47"/>
    </row>
    <row r="2133" spans="8:21" x14ac:dyDescent="0.3">
      <c r="H2133" s="47"/>
      <c r="I2133" s="47"/>
      <c r="J2133" s="47"/>
      <c r="K2133" s="47"/>
      <c r="L2133" s="47"/>
      <c r="M2133" s="47"/>
      <c r="N2133" s="47"/>
      <c r="O2133" s="47"/>
      <c r="P2133" s="47"/>
      <c r="Q2133" s="47"/>
      <c r="R2133" s="47"/>
      <c r="S2133" s="47"/>
      <c r="T2133" s="47"/>
      <c r="U2133" s="47"/>
    </row>
    <row r="2134" spans="8:21" x14ac:dyDescent="0.3">
      <c r="H2134" s="47"/>
      <c r="I2134" s="47"/>
      <c r="J2134" s="47"/>
      <c r="K2134" s="47"/>
      <c r="L2134" s="47"/>
      <c r="M2134" s="47"/>
      <c r="N2134" s="47"/>
      <c r="O2134" s="47"/>
      <c r="P2134" s="47"/>
      <c r="Q2134" s="47"/>
      <c r="R2134" s="47"/>
      <c r="S2134" s="47"/>
      <c r="T2134" s="47"/>
      <c r="U2134" s="47"/>
    </row>
    <row r="2135" spans="8:21" x14ac:dyDescent="0.3"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  <c r="S2135" s="47"/>
      <c r="T2135" s="47"/>
      <c r="U2135" s="47"/>
    </row>
    <row r="2136" spans="8:21" x14ac:dyDescent="0.3">
      <c r="H2136" s="47"/>
      <c r="I2136" s="47"/>
      <c r="J2136" s="47"/>
      <c r="K2136" s="47"/>
      <c r="L2136" s="47"/>
      <c r="M2136" s="47"/>
      <c r="N2136" s="47"/>
      <c r="O2136" s="47"/>
      <c r="P2136" s="47"/>
      <c r="Q2136" s="47"/>
      <c r="R2136" s="47"/>
      <c r="S2136" s="47"/>
      <c r="T2136" s="47"/>
      <c r="U2136" s="47"/>
    </row>
    <row r="2137" spans="8:21" x14ac:dyDescent="0.3">
      <c r="H2137" s="47"/>
      <c r="I2137" s="47"/>
      <c r="J2137" s="47"/>
      <c r="K2137" s="47"/>
      <c r="L2137" s="47"/>
      <c r="M2137" s="47"/>
      <c r="N2137" s="47"/>
      <c r="O2137" s="47"/>
      <c r="P2137" s="47"/>
      <c r="Q2137" s="47"/>
      <c r="R2137" s="47"/>
      <c r="S2137" s="47"/>
      <c r="T2137" s="47"/>
      <c r="U2137" s="47"/>
    </row>
    <row r="2138" spans="8:21" x14ac:dyDescent="0.3">
      <c r="H2138" s="47"/>
      <c r="I2138" s="47"/>
      <c r="J2138" s="47"/>
      <c r="K2138" s="47"/>
      <c r="L2138" s="47"/>
      <c r="M2138" s="47"/>
      <c r="N2138" s="47"/>
      <c r="O2138" s="47"/>
      <c r="P2138" s="47"/>
      <c r="Q2138" s="47"/>
      <c r="R2138" s="47"/>
      <c r="S2138" s="47"/>
      <c r="T2138" s="47"/>
      <c r="U2138" s="47"/>
    </row>
    <row r="2139" spans="8:21" x14ac:dyDescent="0.3"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  <c r="S2139" s="47"/>
      <c r="T2139" s="47"/>
      <c r="U2139" s="47"/>
    </row>
    <row r="2140" spans="8:21" x14ac:dyDescent="0.3">
      <c r="H2140" s="47"/>
      <c r="I2140" s="47"/>
      <c r="J2140" s="47"/>
      <c r="K2140" s="47"/>
      <c r="L2140" s="47"/>
      <c r="M2140" s="47"/>
      <c r="N2140" s="47"/>
      <c r="O2140" s="47"/>
      <c r="P2140" s="47"/>
      <c r="Q2140" s="47"/>
      <c r="R2140" s="47"/>
      <c r="S2140" s="47"/>
      <c r="T2140" s="47"/>
      <c r="U2140" s="47"/>
    </row>
    <row r="2141" spans="8:21" x14ac:dyDescent="0.3">
      <c r="H2141" s="47"/>
      <c r="I2141" s="47"/>
      <c r="J2141" s="47"/>
      <c r="K2141" s="47"/>
      <c r="L2141" s="47"/>
      <c r="M2141" s="47"/>
      <c r="N2141" s="47"/>
      <c r="O2141" s="47"/>
      <c r="P2141" s="47"/>
      <c r="Q2141" s="47"/>
      <c r="R2141" s="47"/>
      <c r="S2141" s="47"/>
      <c r="T2141" s="47"/>
      <c r="U2141" s="47"/>
    </row>
    <row r="2142" spans="8:21" x14ac:dyDescent="0.3">
      <c r="H2142" s="47"/>
      <c r="I2142" s="47"/>
      <c r="J2142" s="47"/>
      <c r="K2142" s="47"/>
      <c r="L2142" s="47"/>
      <c r="M2142" s="47"/>
      <c r="N2142" s="47"/>
      <c r="O2142" s="47"/>
      <c r="P2142" s="47"/>
      <c r="Q2142" s="47"/>
      <c r="R2142" s="47"/>
      <c r="S2142" s="47"/>
      <c r="T2142" s="47"/>
      <c r="U2142" s="47"/>
    </row>
    <row r="2143" spans="8:21" x14ac:dyDescent="0.3"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  <c r="S2143" s="47"/>
      <c r="T2143" s="47"/>
      <c r="U2143" s="47"/>
    </row>
    <row r="2144" spans="8:21" x14ac:dyDescent="0.3">
      <c r="H2144" s="47"/>
      <c r="I2144" s="47"/>
      <c r="J2144" s="47"/>
      <c r="K2144" s="47"/>
      <c r="L2144" s="47"/>
      <c r="M2144" s="47"/>
      <c r="N2144" s="47"/>
      <c r="O2144" s="47"/>
      <c r="P2144" s="47"/>
      <c r="Q2144" s="47"/>
      <c r="R2144" s="47"/>
      <c r="S2144" s="47"/>
      <c r="T2144" s="47"/>
      <c r="U2144" s="47"/>
    </row>
    <row r="2145" spans="8:21" x14ac:dyDescent="0.3">
      <c r="H2145" s="47"/>
      <c r="I2145" s="47"/>
      <c r="J2145" s="47"/>
      <c r="K2145" s="47"/>
      <c r="L2145" s="47"/>
      <c r="M2145" s="47"/>
      <c r="N2145" s="47"/>
      <c r="O2145" s="47"/>
      <c r="P2145" s="47"/>
      <c r="Q2145" s="47"/>
      <c r="R2145" s="47"/>
      <c r="S2145" s="47"/>
      <c r="T2145" s="47"/>
      <c r="U2145" s="47"/>
    </row>
    <row r="2146" spans="8:21" x14ac:dyDescent="0.3">
      <c r="H2146" s="47"/>
      <c r="I2146" s="47"/>
      <c r="J2146" s="47"/>
      <c r="K2146" s="47"/>
      <c r="L2146" s="47"/>
      <c r="M2146" s="47"/>
      <c r="N2146" s="47"/>
      <c r="O2146" s="47"/>
      <c r="P2146" s="47"/>
      <c r="Q2146" s="47"/>
      <c r="R2146" s="47"/>
      <c r="S2146" s="47"/>
      <c r="T2146" s="47"/>
      <c r="U2146" s="47"/>
    </row>
    <row r="2147" spans="8:21" x14ac:dyDescent="0.3"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  <c r="S2147" s="47"/>
      <c r="T2147" s="47"/>
      <c r="U2147" s="47"/>
    </row>
    <row r="2148" spans="8:21" x14ac:dyDescent="0.3">
      <c r="H2148" s="47"/>
      <c r="I2148" s="47"/>
      <c r="J2148" s="47"/>
      <c r="K2148" s="47"/>
      <c r="L2148" s="47"/>
      <c r="M2148" s="47"/>
      <c r="N2148" s="47"/>
      <c r="O2148" s="47"/>
      <c r="P2148" s="47"/>
      <c r="Q2148" s="47"/>
      <c r="R2148" s="47"/>
      <c r="S2148" s="47"/>
      <c r="T2148" s="47"/>
      <c r="U2148" s="47"/>
    </row>
    <row r="2149" spans="8:21" x14ac:dyDescent="0.3">
      <c r="H2149" s="47"/>
      <c r="I2149" s="47"/>
      <c r="J2149" s="47"/>
      <c r="K2149" s="47"/>
      <c r="L2149" s="47"/>
      <c r="M2149" s="47"/>
      <c r="N2149" s="47"/>
      <c r="O2149" s="47"/>
      <c r="P2149" s="47"/>
      <c r="Q2149" s="47"/>
      <c r="R2149" s="47"/>
      <c r="S2149" s="47"/>
      <c r="T2149" s="47"/>
      <c r="U2149" s="47"/>
    </row>
    <row r="2150" spans="8:21" x14ac:dyDescent="0.3">
      <c r="H2150" s="47"/>
      <c r="I2150" s="47"/>
      <c r="J2150" s="47"/>
      <c r="K2150" s="47"/>
      <c r="L2150" s="47"/>
      <c r="M2150" s="47"/>
      <c r="N2150" s="47"/>
      <c r="O2150" s="47"/>
      <c r="P2150" s="47"/>
      <c r="Q2150" s="47"/>
      <c r="R2150" s="47"/>
      <c r="S2150" s="47"/>
      <c r="T2150" s="47"/>
      <c r="U2150" s="47"/>
    </row>
    <row r="2151" spans="8:21" x14ac:dyDescent="0.3"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  <c r="S2151" s="47"/>
      <c r="T2151" s="47"/>
      <c r="U2151" s="47"/>
    </row>
    <row r="2152" spans="8:21" x14ac:dyDescent="0.3">
      <c r="H2152" s="47"/>
      <c r="I2152" s="47"/>
      <c r="J2152" s="47"/>
      <c r="K2152" s="47"/>
      <c r="L2152" s="47"/>
      <c r="M2152" s="47"/>
      <c r="N2152" s="47"/>
      <c r="O2152" s="47"/>
      <c r="P2152" s="47"/>
      <c r="Q2152" s="47"/>
      <c r="R2152" s="47"/>
      <c r="S2152" s="47"/>
      <c r="T2152" s="47"/>
      <c r="U2152" s="47"/>
    </row>
    <row r="2153" spans="8:21" x14ac:dyDescent="0.3">
      <c r="H2153" s="47"/>
      <c r="I2153" s="47"/>
      <c r="J2153" s="47"/>
      <c r="K2153" s="47"/>
      <c r="L2153" s="47"/>
      <c r="M2153" s="47"/>
      <c r="N2153" s="47"/>
      <c r="O2153" s="47"/>
      <c r="P2153" s="47"/>
      <c r="Q2153" s="47"/>
      <c r="R2153" s="47"/>
      <c r="S2153" s="47"/>
      <c r="T2153" s="47"/>
      <c r="U2153" s="47"/>
    </row>
    <row r="2154" spans="8:21" x14ac:dyDescent="0.3">
      <c r="H2154" s="47"/>
      <c r="I2154" s="47"/>
      <c r="J2154" s="47"/>
      <c r="K2154" s="47"/>
      <c r="L2154" s="47"/>
      <c r="M2154" s="47"/>
      <c r="N2154" s="47"/>
      <c r="O2154" s="47"/>
      <c r="P2154" s="47"/>
      <c r="Q2154" s="47"/>
      <c r="R2154" s="47"/>
      <c r="S2154" s="47"/>
      <c r="T2154" s="47"/>
      <c r="U2154" s="47"/>
    </row>
    <row r="2155" spans="8:21" x14ac:dyDescent="0.3"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  <c r="S2155" s="47"/>
      <c r="T2155" s="47"/>
      <c r="U2155" s="47"/>
    </row>
    <row r="2156" spans="8:21" x14ac:dyDescent="0.3">
      <c r="H2156" s="47"/>
      <c r="I2156" s="47"/>
      <c r="J2156" s="47"/>
      <c r="K2156" s="47"/>
      <c r="L2156" s="47"/>
      <c r="M2156" s="47"/>
      <c r="N2156" s="47"/>
      <c r="O2156" s="47"/>
      <c r="P2156" s="47"/>
      <c r="Q2156" s="47"/>
      <c r="R2156" s="47"/>
      <c r="S2156" s="47"/>
      <c r="T2156" s="47"/>
      <c r="U2156" s="47"/>
    </row>
    <row r="2157" spans="8:21" x14ac:dyDescent="0.3">
      <c r="H2157" s="47"/>
      <c r="I2157" s="47"/>
      <c r="J2157" s="47"/>
      <c r="K2157" s="47"/>
      <c r="L2157" s="47"/>
      <c r="M2157" s="47"/>
      <c r="N2157" s="47"/>
      <c r="O2157" s="47"/>
      <c r="P2157" s="47"/>
      <c r="Q2157" s="47"/>
      <c r="R2157" s="47"/>
      <c r="S2157" s="47"/>
      <c r="T2157" s="47"/>
      <c r="U2157" s="47"/>
    </row>
    <row r="2158" spans="8:21" x14ac:dyDescent="0.3">
      <c r="H2158" s="47"/>
      <c r="I2158" s="47"/>
      <c r="J2158" s="47"/>
      <c r="K2158" s="47"/>
      <c r="L2158" s="47"/>
      <c r="M2158" s="47"/>
      <c r="N2158" s="47"/>
      <c r="O2158" s="47"/>
      <c r="P2158" s="47"/>
      <c r="Q2158" s="47"/>
      <c r="R2158" s="47"/>
      <c r="S2158" s="47"/>
      <c r="T2158" s="47"/>
      <c r="U2158" s="47"/>
    </row>
    <row r="2159" spans="8:21" x14ac:dyDescent="0.3"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  <c r="S2159" s="47"/>
      <c r="T2159" s="47"/>
      <c r="U2159" s="47"/>
    </row>
    <row r="2160" spans="8:21" x14ac:dyDescent="0.3">
      <c r="H2160" s="47"/>
      <c r="I2160" s="47"/>
      <c r="J2160" s="47"/>
      <c r="K2160" s="47"/>
      <c r="L2160" s="47"/>
      <c r="M2160" s="47"/>
      <c r="N2160" s="47"/>
      <c r="O2160" s="47"/>
      <c r="P2160" s="47"/>
      <c r="Q2160" s="47"/>
      <c r="R2160" s="47"/>
      <c r="S2160" s="47"/>
      <c r="T2160" s="47"/>
      <c r="U2160" s="47"/>
    </row>
    <row r="2161" spans="8:21" x14ac:dyDescent="0.3">
      <c r="H2161" s="47"/>
      <c r="I2161" s="47"/>
      <c r="J2161" s="47"/>
      <c r="K2161" s="47"/>
      <c r="L2161" s="47"/>
      <c r="M2161" s="47"/>
      <c r="N2161" s="47"/>
      <c r="O2161" s="47"/>
      <c r="P2161" s="47"/>
      <c r="Q2161" s="47"/>
      <c r="R2161" s="47"/>
      <c r="S2161" s="47"/>
      <c r="T2161" s="47"/>
      <c r="U2161" s="47"/>
    </row>
    <row r="2162" spans="8:21" x14ac:dyDescent="0.3">
      <c r="H2162" s="47"/>
      <c r="I2162" s="47"/>
      <c r="J2162" s="47"/>
      <c r="K2162" s="47"/>
      <c r="L2162" s="47"/>
      <c r="M2162" s="47"/>
      <c r="N2162" s="47"/>
      <c r="O2162" s="47"/>
      <c r="P2162" s="47"/>
      <c r="Q2162" s="47"/>
      <c r="R2162" s="47"/>
      <c r="S2162" s="47"/>
      <c r="T2162" s="47"/>
      <c r="U2162" s="47"/>
    </row>
    <row r="2163" spans="8:21" x14ac:dyDescent="0.3"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  <c r="S2163" s="47"/>
      <c r="T2163" s="47"/>
      <c r="U2163" s="47"/>
    </row>
    <row r="2164" spans="8:21" x14ac:dyDescent="0.3">
      <c r="H2164" s="47"/>
      <c r="I2164" s="47"/>
      <c r="J2164" s="47"/>
      <c r="K2164" s="47"/>
      <c r="L2164" s="47"/>
      <c r="M2164" s="47"/>
      <c r="N2164" s="47"/>
      <c r="O2164" s="47"/>
      <c r="P2164" s="47"/>
      <c r="Q2164" s="47"/>
      <c r="R2164" s="47"/>
      <c r="S2164" s="47"/>
      <c r="T2164" s="47"/>
      <c r="U2164" s="47"/>
    </row>
    <row r="2165" spans="8:21" x14ac:dyDescent="0.3">
      <c r="H2165" s="47"/>
      <c r="I2165" s="47"/>
      <c r="J2165" s="47"/>
      <c r="K2165" s="47"/>
      <c r="L2165" s="47"/>
      <c r="M2165" s="47"/>
      <c r="N2165" s="47"/>
      <c r="O2165" s="47"/>
      <c r="P2165" s="47"/>
      <c r="Q2165" s="47"/>
      <c r="R2165" s="47"/>
      <c r="S2165" s="47"/>
      <c r="T2165" s="47"/>
      <c r="U2165" s="47"/>
    </row>
    <row r="2166" spans="8:21" x14ac:dyDescent="0.3">
      <c r="H2166" s="47"/>
      <c r="I2166" s="47"/>
      <c r="J2166" s="47"/>
      <c r="K2166" s="47"/>
      <c r="L2166" s="47"/>
      <c r="M2166" s="47"/>
      <c r="N2166" s="47"/>
      <c r="O2166" s="47"/>
      <c r="P2166" s="47"/>
      <c r="Q2166" s="47"/>
      <c r="R2166" s="47"/>
      <c r="S2166" s="47"/>
      <c r="T2166" s="47"/>
      <c r="U2166" s="47"/>
    </row>
    <row r="2167" spans="8:21" x14ac:dyDescent="0.3"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  <c r="S2167" s="47"/>
      <c r="T2167" s="47"/>
      <c r="U2167" s="47"/>
    </row>
    <row r="2168" spans="8:21" x14ac:dyDescent="0.3">
      <c r="H2168" s="47"/>
      <c r="I2168" s="47"/>
      <c r="J2168" s="47"/>
      <c r="K2168" s="47"/>
      <c r="L2168" s="47"/>
      <c r="M2168" s="47"/>
      <c r="N2168" s="47"/>
      <c r="O2168" s="47"/>
      <c r="P2168" s="47"/>
      <c r="Q2168" s="47"/>
      <c r="R2168" s="47"/>
      <c r="S2168" s="47"/>
      <c r="T2168" s="47"/>
      <c r="U2168" s="47"/>
    </row>
    <row r="2169" spans="8:21" x14ac:dyDescent="0.3">
      <c r="H2169" s="47"/>
      <c r="I2169" s="47"/>
      <c r="J2169" s="47"/>
      <c r="K2169" s="47"/>
      <c r="L2169" s="47"/>
      <c r="M2169" s="47"/>
      <c r="N2169" s="47"/>
      <c r="O2169" s="47"/>
      <c r="P2169" s="47"/>
      <c r="Q2169" s="47"/>
      <c r="R2169" s="47"/>
      <c r="S2169" s="47"/>
      <c r="T2169" s="47"/>
      <c r="U2169" s="47"/>
    </row>
    <row r="2170" spans="8:21" x14ac:dyDescent="0.3">
      <c r="H2170" s="47"/>
      <c r="I2170" s="47"/>
      <c r="J2170" s="47"/>
      <c r="K2170" s="47"/>
      <c r="L2170" s="47"/>
      <c r="M2170" s="47"/>
      <c r="N2170" s="47"/>
      <c r="O2170" s="47"/>
      <c r="P2170" s="47"/>
      <c r="Q2170" s="47"/>
      <c r="R2170" s="47"/>
      <c r="S2170" s="47"/>
      <c r="T2170" s="47"/>
      <c r="U2170" s="47"/>
    </row>
    <row r="2171" spans="8:21" x14ac:dyDescent="0.3"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  <c r="S2171" s="47"/>
      <c r="T2171" s="47"/>
      <c r="U2171" s="47"/>
    </row>
    <row r="2172" spans="8:21" x14ac:dyDescent="0.3">
      <c r="H2172" s="47"/>
      <c r="I2172" s="47"/>
      <c r="J2172" s="47"/>
      <c r="K2172" s="47"/>
      <c r="L2172" s="47"/>
      <c r="M2172" s="47"/>
      <c r="N2172" s="47"/>
      <c r="O2172" s="47"/>
      <c r="P2172" s="47"/>
      <c r="Q2172" s="47"/>
      <c r="R2172" s="47"/>
      <c r="S2172" s="47"/>
      <c r="T2172" s="47"/>
      <c r="U2172" s="47"/>
    </row>
    <row r="2173" spans="8:21" x14ac:dyDescent="0.3">
      <c r="H2173" s="47"/>
      <c r="I2173" s="47"/>
      <c r="J2173" s="47"/>
      <c r="K2173" s="47"/>
      <c r="L2173" s="47"/>
      <c r="M2173" s="47"/>
      <c r="N2173" s="47"/>
      <c r="O2173" s="47"/>
      <c r="P2173" s="47"/>
      <c r="Q2173" s="47"/>
      <c r="R2173" s="47"/>
      <c r="S2173" s="47"/>
      <c r="T2173" s="47"/>
      <c r="U2173" s="47"/>
    </row>
    <row r="2174" spans="8:21" x14ac:dyDescent="0.3">
      <c r="H2174" s="47"/>
      <c r="I2174" s="47"/>
      <c r="J2174" s="47"/>
      <c r="K2174" s="47"/>
      <c r="L2174" s="47"/>
      <c r="M2174" s="47"/>
      <c r="N2174" s="47"/>
      <c r="O2174" s="47"/>
      <c r="P2174" s="47"/>
      <c r="Q2174" s="47"/>
      <c r="R2174" s="47"/>
      <c r="S2174" s="47"/>
      <c r="T2174" s="47"/>
      <c r="U2174" s="47"/>
    </row>
    <row r="2175" spans="8:21" x14ac:dyDescent="0.3"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  <c r="S2175" s="47"/>
      <c r="T2175" s="47"/>
      <c r="U2175" s="47"/>
    </row>
    <row r="2176" spans="8:21" x14ac:dyDescent="0.3">
      <c r="H2176" s="47"/>
      <c r="I2176" s="47"/>
      <c r="J2176" s="47"/>
      <c r="K2176" s="47"/>
      <c r="L2176" s="47"/>
      <c r="M2176" s="47"/>
      <c r="N2176" s="47"/>
      <c r="O2176" s="47"/>
      <c r="P2176" s="47"/>
      <c r="Q2176" s="47"/>
      <c r="R2176" s="47"/>
      <c r="S2176" s="47"/>
      <c r="T2176" s="47"/>
      <c r="U2176" s="47"/>
    </row>
    <row r="2177" spans="8:21" x14ac:dyDescent="0.3">
      <c r="H2177" s="47"/>
      <c r="I2177" s="47"/>
      <c r="J2177" s="47"/>
      <c r="K2177" s="47"/>
      <c r="L2177" s="47"/>
      <c r="M2177" s="47"/>
      <c r="N2177" s="47"/>
      <c r="O2177" s="47"/>
      <c r="P2177" s="47"/>
      <c r="Q2177" s="47"/>
      <c r="R2177" s="47"/>
      <c r="S2177" s="47"/>
      <c r="T2177" s="47"/>
      <c r="U2177" s="47"/>
    </row>
    <row r="2178" spans="8:21" x14ac:dyDescent="0.3">
      <c r="H2178" s="47"/>
      <c r="I2178" s="47"/>
      <c r="J2178" s="47"/>
      <c r="K2178" s="47"/>
      <c r="L2178" s="47"/>
      <c r="M2178" s="47"/>
      <c r="N2178" s="47"/>
      <c r="O2178" s="47"/>
      <c r="P2178" s="47"/>
      <c r="Q2178" s="47"/>
      <c r="R2178" s="47"/>
      <c r="S2178" s="47"/>
      <c r="T2178" s="47"/>
      <c r="U2178" s="47"/>
    </row>
    <row r="2179" spans="8:21" x14ac:dyDescent="0.3"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  <c r="S2179" s="47"/>
      <c r="T2179" s="47"/>
      <c r="U2179" s="47"/>
    </row>
    <row r="2180" spans="8:21" x14ac:dyDescent="0.3">
      <c r="H2180" s="47"/>
      <c r="I2180" s="47"/>
      <c r="J2180" s="47"/>
      <c r="K2180" s="47"/>
      <c r="L2180" s="47"/>
      <c r="M2180" s="47"/>
      <c r="N2180" s="47"/>
      <c r="O2180" s="47"/>
      <c r="P2180" s="47"/>
      <c r="Q2180" s="47"/>
      <c r="R2180" s="47"/>
      <c r="S2180" s="47"/>
      <c r="T2180" s="47"/>
      <c r="U2180" s="47"/>
    </row>
    <row r="2181" spans="8:21" x14ac:dyDescent="0.3">
      <c r="H2181" s="47"/>
      <c r="I2181" s="47"/>
      <c r="J2181" s="47"/>
      <c r="K2181" s="47"/>
      <c r="L2181" s="47"/>
      <c r="M2181" s="47"/>
      <c r="N2181" s="47"/>
      <c r="O2181" s="47"/>
      <c r="P2181" s="47"/>
      <c r="Q2181" s="47"/>
      <c r="R2181" s="47"/>
      <c r="S2181" s="47"/>
      <c r="T2181" s="47"/>
      <c r="U2181" s="47"/>
    </row>
    <row r="2182" spans="8:21" x14ac:dyDescent="0.3">
      <c r="H2182" s="47"/>
      <c r="I2182" s="47"/>
      <c r="J2182" s="47"/>
      <c r="K2182" s="47"/>
      <c r="L2182" s="47"/>
      <c r="M2182" s="47"/>
      <c r="N2182" s="47"/>
      <c r="O2182" s="47"/>
      <c r="P2182" s="47"/>
      <c r="Q2182" s="47"/>
      <c r="R2182" s="47"/>
      <c r="S2182" s="47"/>
      <c r="T2182" s="47"/>
      <c r="U2182" s="47"/>
    </row>
    <row r="2183" spans="8:21" x14ac:dyDescent="0.3"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  <c r="S2183" s="47"/>
      <c r="T2183" s="47"/>
      <c r="U2183" s="47"/>
    </row>
    <row r="2184" spans="8:21" x14ac:dyDescent="0.3">
      <c r="H2184" s="47"/>
      <c r="I2184" s="47"/>
      <c r="J2184" s="47"/>
      <c r="K2184" s="47"/>
      <c r="L2184" s="47"/>
      <c r="M2184" s="47"/>
      <c r="N2184" s="47"/>
      <c r="O2184" s="47"/>
      <c r="P2184" s="47"/>
      <c r="Q2184" s="47"/>
      <c r="R2184" s="47"/>
      <c r="S2184" s="47"/>
      <c r="T2184" s="47"/>
      <c r="U2184" s="47"/>
    </row>
    <row r="2185" spans="8:21" x14ac:dyDescent="0.3">
      <c r="H2185" s="47"/>
      <c r="I2185" s="47"/>
      <c r="J2185" s="47"/>
      <c r="K2185" s="47"/>
      <c r="L2185" s="47"/>
      <c r="M2185" s="47"/>
      <c r="N2185" s="47"/>
      <c r="O2185" s="47"/>
      <c r="P2185" s="47"/>
      <c r="Q2185" s="47"/>
      <c r="R2185" s="47"/>
      <c r="S2185" s="47"/>
      <c r="T2185" s="47"/>
      <c r="U2185" s="47"/>
    </row>
    <row r="2186" spans="8:21" x14ac:dyDescent="0.3">
      <c r="H2186" s="47"/>
      <c r="I2186" s="47"/>
      <c r="J2186" s="47"/>
      <c r="K2186" s="47"/>
      <c r="L2186" s="47"/>
      <c r="M2186" s="47"/>
      <c r="N2186" s="47"/>
      <c r="O2186" s="47"/>
      <c r="P2186" s="47"/>
      <c r="Q2186" s="47"/>
      <c r="R2186" s="47"/>
      <c r="S2186" s="47"/>
      <c r="T2186" s="47"/>
      <c r="U2186" s="47"/>
    </row>
    <row r="2187" spans="8:21" x14ac:dyDescent="0.3"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  <c r="S2187" s="47"/>
      <c r="T2187" s="47"/>
      <c r="U2187" s="47"/>
    </row>
    <row r="2188" spans="8:21" x14ac:dyDescent="0.3">
      <c r="H2188" s="47"/>
      <c r="I2188" s="47"/>
      <c r="J2188" s="47"/>
      <c r="K2188" s="47"/>
      <c r="L2188" s="47"/>
      <c r="M2188" s="47"/>
      <c r="N2188" s="47"/>
      <c r="O2188" s="47"/>
      <c r="P2188" s="47"/>
      <c r="Q2188" s="47"/>
      <c r="R2188" s="47"/>
      <c r="S2188" s="47"/>
      <c r="T2188" s="47"/>
      <c r="U2188" s="47"/>
    </row>
    <row r="2189" spans="8:21" x14ac:dyDescent="0.3">
      <c r="H2189" s="47"/>
      <c r="I2189" s="47"/>
      <c r="J2189" s="47"/>
      <c r="K2189" s="47"/>
      <c r="L2189" s="47"/>
      <c r="M2189" s="47"/>
      <c r="N2189" s="47"/>
      <c r="O2189" s="47"/>
      <c r="P2189" s="47"/>
      <c r="Q2189" s="47"/>
      <c r="R2189" s="47"/>
      <c r="S2189" s="47"/>
      <c r="T2189" s="47"/>
      <c r="U2189" s="47"/>
    </row>
    <row r="2190" spans="8:21" x14ac:dyDescent="0.3">
      <c r="H2190" s="47"/>
      <c r="I2190" s="47"/>
      <c r="J2190" s="47"/>
      <c r="K2190" s="47"/>
      <c r="L2190" s="47"/>
      <c r="M2190" s="47"/>
      <c r="N2190" s="47"/>
      <c r="O2190" s="47"/>
      <c r="P2190" s="47"/>
      <c r="Q2190" s="47"/>
      <c r="R2190" s="47"/>
      <c r="S2190" s="47"/>
      <c r="T2190" s="47"/>
      <c r="U2190" s="47"/>
    </row>
    <row r="2191" spans="8:21" x14ac:dyDescent="0.3"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  <c r="S2191" s="47"/>
      <c r="T2191" s="47"/>
      <c r="U2191" s="47"/>
    </row>
    <row r="2192" spans="8:21" x14ac:dyDescent="0.3">
      <c r="H2192" s="47"/>
      <c r="I2192" s="47"/>
      <c r="J2192" s="47"/>
      <c r="K2192" s="47"/>
      <c r="L2192" s="47"/>
      <c r="M2192" s="47"/>
      <c r="N2192" s="47"/>
      <c r="O2192" s="47"/>
      <c r="P2192" s="47"/>
      <c r="Q2192" s="47"/>
      <c r="R2192" s="47"/>
      <c r="S2192" s="47"/>
      <c r="T2192" s="47"/>
      <c r="U2192" s="47"/>
    </row>
    <row r="2193" spans="8:21" x14ac:dyDescent="0.3">
      <c r="H2193" s="47"/>
      <c r="I2193" s="47"/>
      <c r="J2193" s="47"/>
      <c r="K2193" s="47"/>
      <c r="L2193" s="47"/>
      <c r="M2193" s="47"/>
      <c r="N2193" s="47"/>
      <c r="O2193" s="47"/>
      <c r="P2193" s="47"/>
      <c r="Q2193" s="47"/>
      <c r="R2193" s="47"/>
      <c r="S2193" s="47"/>
      <c r="T2193" s="47"/>
      <c r="U2193" s="47"/>
    </row>
    <row r="2194" spans="8:21" x14ac:dyDescent="0.3">
      <c r="H2194" s="47"/>
      <c r="I2194" s="47"/>
      <c r="J2194" s="47"/>
      <c r="K2194" s="47"/>
      <c r="L2194" s="47"/>
      <c r="M2194" s="47"/>
      <c r="N2194" s="47"/>
      <c r="O2194" s="47"/>
      <c r="P2194" s="47"/>
      <c r="Q2194" s="47"/>
      <c r="R2194" s="47"/>
      <c r="S2194" s="47"/>
      <c r="T2194" s="47"/>
      <c r="U2194" s="47"/>
    </row>
    <row r="2195" spans="8:21" x14ac:dyDescent="0.3"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  <c r="S2195" s="47"/>
      <c r="T2195" s="47"/>
      <c r="U2195" s="47"/>
    </row>
    <row r="2196" spans="8:21" x14ac:dyDescent="0.3">
      <c r="H2196" s="47"/>
      <c r="I2196" s="47"/>
      <c r="J2196" s="47"/>
      <c r="K2196" s="47"/>
      <c r="L2196" s="47"/>
      <c r="M2196" s="47"/>
      <c r="N2196" s="47"/>
      <c r="O2196" s="47"/>
      <c r="P2196" s="47"/>
      <c r="Q2196" s="47"/>
      <c r="R2196" s="47"/>
      <c r="S2196" s="47"/>
      <c r="T2196" s="47"/>
      <c r="U2196" s="47"/>
    </row>
    <row r="2197" spans="8:21" x14ac:dyDescent="0.3">
      <c r="H2197" s="47"/>
      <c r="I2197" s="47"/>
      <c r="J2197" s="47"/>
      <c r="K2197" s="47"/>
      <c r="L2197" s="47"/>
      <c r="M2197" s="47"/>
      <c r="N2197" s="47"/>
      <c r="O2197" s="47"/>
      <c r="P2197" s="47"/>
      <c r="Q2197" s="47"/>
      <c r="R2197" s="47"/>
      <c r="S2197" s="47"/>
      <c r="T2197" s="47"/>
      <c r="U2197" s="47"/>
    </row>
    <row r="2198" spans="8:21" x14ac:dyDescent="0.3">
      <c r="H2198" s="47"/>
      <c r="I2198" s="47"/>
      <c r="J2198" s="47"/>
      <c r="K2198" s="47"/>
      <c r="L2198" s="47"/>
      <c r="M2198" s="47"/>
      <c r="N2198" s="47"/>
      <c r="O2198" s="47"/>
      <c r="P2198" s="47"/>
      <c r="Q2198" s="47"/>
      <c r="R2198" s="47"/>
      <c r="S2198" s="47"/>
      <c r="T2198" s="47"/>
      <c r="U2198" s="47"/>
    </row>
    <row r="2199" spans="8:21" x14ac:dyDescent="0.3"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  <c r="S2199" s="47"/>
      <c r="T2199" s="47"/>
      <c r="U2199" s="47"/>
    </row>
    <row r="2200" spans="8:21" x14ac:dyDescent="0.3">
      <c r="H2200" s="47"/>
      <c r="I2200" s="47"/>
      <c r="J2200" s="47"/>
      <c r="K2200" s="47"/>
      <c r="L2200" s="47"/>
      <c r="M2200" s="47"/>
      <c r="N2200" s="47"/>
      <c r="O2200" s="47"/>
      <c r="P2200" s="47"/>
      <c r="Q2200" s="47"/>
      <c r="R2200" s="47"/>
      <c r="S2200" s="47"/>
      <c r="T2200" s="47"/>
      <c r="U2200" s="47"/>
    </row>
    <row r="2201" spans="8:21" x14ac:dyDescent="0.3">
      <c r="H2201" s="47"/>
      <c r="I2201" s="47"/>
      <c r="J2201" s="47"/>
      <c r="K2201" s="47"/>
      <c r="L2201" s="47"/>
      <c r="M2201" s="47"/>
      <c r="N2201" s="47"/>
      <c r="O2201" s="47"/>
      <c r="P2201" s="47"/>
      <c r="Q2201" s="47"/>
      <c r="R2201" s="47"/>
      <c r="S2201" s="47"/>
      <c r="T2201" s="47"/>
      <c r="U2201" s="47"/>
    </row>
    <row r="2202" spans="8:21" x14ac:dyDescent="0.3">
      <c r="H2202" s="47"/>
      <c r="I2202" s="47"/>
      <c r="J2202" s="47"/>
      <c r="K2202" s="47"/>
      <c r="L2202" s="47"/>
      <c r="M2202" s="47"/>
      <c r="N2202" s="47"/>
      <c r="O2202" s="47"/>
      <c r="P2202" s="47"/>
      <c r="Q2202" s="47"/>
      <c r="R2202" s="47"/>
      <c r="S2202" s="47"/>
      <c r="T2202" s="47"/>
      <c r="U2202" s="47"/>
    </row>
    <row r="2203" spans="8:21" x14ac:dyDescent="0.3"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  <c r="S2203" s="47"/>
      <c r="T2203" s="47"/>
      <c r="U2203" s="47"/>
    </row>
    <row r="2204" spans="8:21" x14ac:dyDescent="0.3">
      <c r="H2204" s="47"/>
      <c r="I2204" s="47"/>
      <c r="J2204" s="47"/>
      <c r="K2204" s="47"/>
      <c r="L2204" s="47"/>
      <c r="M2204" s="47"/>
      <c r="N2204" s="47"/>
      <c r="O2204" s="47"/>
      <c r="P2204" s="47"/>
      <c r="Q2204" s="47"/>
      <c r="R2204" s="47"/>
      <c r="S2204" s="47"/>
      <c r="T2204" s="47"/>
      <c r="U2204" s="47"/>
    </row>
    <row r="2205" spans="8:21" x14ac:dyDescent="0.3">
      <c r="H2205" s="47"/>
      <c r="I2205" s="47"/>
      <c r="J2205" s="47"/>
      <c r="K2205" s="47"/>
      <c r="L2205" s="47"/>
      <c r="M2205" s="47"/>
      <c r="N2205" s="47"/>
      <c r="O2205" s="47"/>
      <c r="P2205" s="47"/>
      <c r="Q2205" s="47"/>
      <c r="R2205" s="47"/>
      <c r="S2205" s="47"/>
      <c r="T2205" s="47"/>
      <c r="U2205" s="47"/>
    </row>
    <row r="2206" spans="8:21" x14ac:dyDescent="0.3">
      <c r="H2206" s="47"/>
      <c r="I2206" s="47"/>
      <c r="J2206" s="47"/>
      <c r="K2206" s="47"/>
      <c r="L2206" s="47"/>
      <c r="M2206" s="47"/>
      <c r="N2206" s="47"/>
      <c r="O2206" s="47"/>
      <c r="P2206" s="47"/>
      <c r="Q2206" s="47"/>
      <c r="R2206" s="47"/>
      <c r="S2206" s="47"/>
      <c r="T2206" s="47"/>
      <c r="U2206" s="47"/>
    </row>
    <row r="2207" spans="8:21" x14ac:dyDescent="0.3"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  <c r="S2207" s="47"/>
      <c r="T2207" s="47"/>
      <c r="U2207" s="47"/>
    </row>
    <row r="2208" spans="8:21" x14ac:dyDescent="0.3">
      <c r="H2208" s="47"/>
      <c r="I2208" s="47"/>
      <c r="J2208" s="47"/>
      <c r="K2208" s="47"/>
      <c r="L2208" s="47"/>
      <c r="M2208" s="47"/>
      <c r="N2208" s="47"/>
      <c r="O2208" s="47"/>
      <c r="P2208" s="47"/>
      <c r="Q2208" s="47"/>
      <c r="R2208" s="47"/>
      <c r="S2208" s="47"/>
      <c r="T2208" s="47"/>
      <c r="U2208" s="47"/>
    </row>
    <row r="2209" spans="8:21" x14ac:dyDescent="0.3">
      <c r="H2209" s="47"/>
      <c r="I2209" s="47"/>
      <c r="J2209" s="47"/>
      <c r="K2209" s="47"/>
      <c r="L2209" s="47"/>
      <c r="M2209" s="47"/>
      <c r="N2209" s="47"/>
      <c r="O2209" s="47"/>
      <c r="P2209" s="47"/>
      <c r="Q2209" s="47"/>
      <c r="R2209" s="47"/>
      <c r="S2209" s="47"/>
      <c r="T2209" s="47"/>
      <c r="U2209" s="47"/>
    </row>
    <row r="2210" spans="8:21" x14ac:dyDescent="0.3">
      <c r="H2210" s="47"/>
      <c r="I2210" s="47"/>
      <c r="J2210" s="47"/>
      <c r="K2210" s="47"/>
      <c r="L2210" s="47"/>
      <c r="M2210" s="47"/>
      <c r="N2210" s="47"/>
      <c r="O2210" s="47"/>
      <c r="P2210" s="47"/>
      <c r="Q2210" s="47"/>
      <c r="R2210" s="47"/>
      <c r="S2210" s="47"/>
      <c r="T2210" s="47"/>
      <c r="U2210" s="47"/>
    </row>
    <row r="2211" spans="8:21" x14ac:dyDescent="0.3"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  <c r="S2211" s="47"/>
      <c r="T2211" s="47"/>
      <c r="U2211" s="47"/>
    </row>
    <row r="2212" spans="8:21" x14ac:dyDescent="0.3">
      <c r="H2212" s="47"/>
      <c r="I2212" s="47"/>
      <c r="J2212" s="47"/>
      <c r="K2212" s="47"/>
      <c r="L2212" s="47"/>
      <c r="M2212" s="47"/>
      <c r="N2212" s="47"/>
      <c r="O2212" s="47"/>
      <c r="P2212" s="47"/>
      <c r="Q2212" s="47"/>
      <c r="R2212" s="47"/>
      <c r="S2212" s="47"/>
      <c r="T2212" s="47"/>
      <c r="U2212" s="47"/>
    </row>
    <row r="2213" spans="8:21" x14ac:dyDescent="0.3">
      <c r="H2213" s="47"/>
      <c r="I2213" s="47"/>
      <c r="J2213" s="47"/>
      <c r="K2213" s="47"/>
      <c r="L2213" s="47"/>
      <c r="M2213" s="47"/>
      <c r="N2213" s="47"/>
      <c r="O2213" s="47"/>
      <c r="P2213" s="47"/>
      <c r="Q2213" s="47"/>
      <c r="R2213" s="47"/>
      <c r="S2213" s="47"/>
      <c r="T2213" s="47"/>
      <c r="U2213" s="47"/>
    </row>
  </sheetData>
  <sheetProtection algorithmName="SHA-512" hashValue="mZi9kPIQQ1phJJJAC67y2jbZ4DibaH9N0OO3aaNPzj5fA9GNbbmRUHSPN7BdkRFL/6ENIs0nhsYS2C77yHEYfA==" saltValue="1zao3TYeIMJ3fLlTRNxQAg==" spinCount="100000" sheet="1" formatCells="0" formatColumns="0" formatRows="0" insertColumns="0" insertRows="0" insertHyperlinks="0" sort="0" autoFilter="0" pivotTables="0"/>
  <autoFilter ref="A2:J106" xr:uid="{00000000-0009-0000-0000-000000000000}">
    <filterColumn colId="1">
      <filters>
        <filter val="03944200040-8"/>
        <filter val="03944200042-2"/>
        <filter val="03944200075-0"/>
        <filter val="03944200076-7"/>
        <filter val="03944200152-0"/>
        <filter val="03944200156-6"/>
        <filter val="03944200157-3"/>
        <filter val="03944200190-0"/>
        <filter val="03944201065-0"/>
        <filter val="03944201066-7"/>
        <filter val="03944201211-1"/>
        <filter val="03944201212-8"/>
        <filter val="03944201432-0"/>
        <filter val="03944202705-4"/>
        <filter val="03944203014-6"/>
        <filter val="03944203023-8"/>
        <filter val="03944203028-3"/>
        <filter val="03944203032-0"/>
        <filter val="03944203035-1"/>
        <filter val="03944203052-8"/>
        <filter val="03944203054-2"/>
        <filter val="03944203055-9"/>
        <filter val="03944203058-0"/>
        <filter val="03944203065-8"/>
        <filter val="03944203066-5"/>
        <filter val="03944203067-2"/>
        <filter val="03944203107-5"/>
        <filter val="03944203108-2"/>
        <filter val="03944203111 2"/>
        <filter val="03944203112-9"/>
        <filter val="03944203115-0"/>
        <filter val="03944203116-7"/>
        <filter val="03944203119-8"/>
        <filter val="03944203120-4"/>
        <filter val="03944203121-1"/>
        <filter val="03944203123-5"/>
        <filter val="03944203133-4"/>
        <filter val="03944203134-1"/>
        <filter val="03944203138-9"/>
        <filter val="03944203226-3"/>
        <filter val="03944203250-8"/>
        <filter val="03944203251-5"/>
        <filter val="03944203258-4"/>
        <filter val="03944203259-1"/>
        <filter val="03944203267-6"/>
        <filter val="03944203268-3"/>
        <filter val="03944203271-3"/>
        <filter val="03944203281-2"/>
        <filter val="03944203285-0"/>
        <filter val="03944203288-1"/>
        <filter val="03944203289-8"/>
        <filter val="03944203292-8"/>
        <filter val="03944203293-5"/>
        <filter val="03944203294-2"/>
        <filter val="03944203324-6"/>
        <filter val="03944203325-3"/>
        <filter val="03944203326-0"/>
        <filter val="03944203327-7"/>
        <filter val="03944203331-4"/>
        <filter val="03944203332-1"/>
        <filter val="03944203343-7"/>
        <filter val="03944203345-1"/>
        <filter val="03944203349-9"/>
        <filter val="03944203352-9"/>
        <filter val="03944203930-9"/>
        <filter val="03944203931-6"/>
        <filter val="03944203941-5"/>
        <filter val="03944203963-7"/>
        <filter val="03944203964-4"/>
        <filter val="03944203965-1"/>
        <filter val="03944203970-5"/>
        <filter val="03944203971-2"/>
        <filter val="03944203991-0"/>
        <filter val="03944203992-7"/>
        <filter val="03944204091-6"/>
        <filter val="03944204210-1"/>
        <filter val="03944204391-7"/>
        <filter val="03944204392-4"/>
        <filter val="03944204542-3"/>
        <filter val="03944204677-2"/>
        <filter val="03944204711-3"/>
        <filter val="03944205245-2"/>
        <filter val="03944205246-9"/>
        <filter val="03944209435-3"/>
        <filter val="03944209746-0"/>
        <filter val="03944213011-2"/>
        <filter val="03944213023-5"/>
        <filter val="03944213028-0"/>
        <filter val="03944213034-1"/>
        <filter val="03944213037-2"/>
        <filter val="03944213050-1"/>
        <filter val="03944213052-5"/>
        <filter val="03944213221-5"/>
        <filter val="03944213223-9"/>
        <filter val="03944213292-5"/>
        <filter val="03944213293-2"/>
        <filter val="03944213327-4"/>
        <filter val="03944213940-5"/>
        <filter val="03944213941-2"/>
        <filter val="03994213009-9"/>
      </filters>
    </filterColumn>
  </autoFilter>
  <mergeCells count="2">
    <mergeCell ref="A1:J1"/>
    <mergeCell ref="N1:N2"/>
  </mergeCells>
  <conditionalFormatting sqref="R1">
    <cfRule type="expression" dxfId="0" priority="1">
      <formula>"&gt;0"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823D6162A0934AB318F30EE8B403C9" ma:contentTypeVersion="12" ma:contentTypeDescription="Create a new document." ma:contentTypeScope="" ma:versionID="88e6199e30714a4c86230e0373693e7a">
  <xsd:schema xmlns:xsd="http://www.w3.org/2001/XMLSchema" xmlns:xs="http://www.w3.org/2001/XMLSchema" xmlns:p="http://schemas.microsoft.com/office/2006/metadata/properties" xmlns:ns2="500f227c-d983-4ae2-9992-a69fb2849346" xmlns:ns3="df7550d3-5b48-4093-9668-6097e7535250" targetNamespace="http://schemas.microsoft.com/office/2006/metadata/properties" ma:root="true" ma:fieldsID="9301730bc9b9ff47b49ce90079622270" ns2:_="" ns3:_="">
    <xsd:import namespace="500f227c-d983-4ae2-9992-a69fb2849346"/>
    <xsd:import namespace="df7550d3-5b48-4093-9668-6097e75352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f227c-d983-4ae2-9992-a69fb28493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550d3-5b48-4093-9668-6097e753525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7FC6EA-2347-4A0E-A47C-880DDECFCE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0f227c-d983-4ae2-9992-a69fb2849346"/>
    <ds:schemaRef ds:uri="df7550d3-5b48-4093-9668-6097e7535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48F134-DB83-40DB-A72B-62401E6822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9D8F0E-50ED-47F0-A85C-3F28DE634C48}">
  <ds:schemaRefs>
    <ds:schemaRef ds:uri="http://schemas.microsoft.com/office/2006/documentManagement/types"/>
    <ds:schemaRef ds:uri="500f227c-d983-4ae2-9992-a69fb2849346"/>
    <ds:schemaRef ds:uri="http://purl.org/dc/elements/1.1/"/>
    <ds:schemaRef ds:uri="http://purl.org/dc/dcmitype/"/>
    <ds:schemaRef ds:uri="df7550d3-5b48-4093-9668-6097e7535250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(Universal)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Rockoff</dc:creator>
  <cp:keywords/>
  <dc:description/>
  <cp:lastModifiedBy>Tkachuk Valia</cp:lastModifiedBy>
  <cp:revision/>
  <cp:lastPrinted>2023-01-05T22:11:10Z</cp:lastPrinted>
  <dcterms:created xsi:type="dcterms:W3CDTF">2012-05-30T20:47:27Z</dcterms:created>
  <dcterms:modified xsi:type="dcterms:W3CDTF">2025-12-02T07:28:08Z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0x01010006823D6162A0934AB318F30EE8B403C9</vt:lpwstr>
  </property>
</Properties>
</file>