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\Всяке\прайсики\Project X\Міжнародка\"/>
    </mc:Choice>
  </mc:AlternateContent>
  <xr:revisionPtr revIDLastSave="0" documentId="13_ncr:1_{F1191F0D-A164-4547-984E-CFC2753801E3}" xr6:coauthVersionLast="47" xr6:coauthVersionMax="47" xr10:uidLastSave="{00000000-0000-0000-0000-000000000000}"/>
  <bookViews>
    <workbookView xWindow="-108" yWindow="-108" windowWidth="23256" windowHeight="13896" xr2:uid="{65020E0A-509C-4B81-874B-05C009234DBA}"/>
  </bookViews>
  <sheets>
    <sheet name="Sheet1" sheetId="1" r:id="rId1"/>
  </sheets>
  <definedNames>
    <definedName name="_xlnm._FilterDatabase" localSheetId="0" hidden="1">Sheet1!$A$2:$S$224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Q9" i="1" s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3" i="1"/>
  <c r="Q3" i="1"/>
  <c r="N4" i="1"/>
  <c r="O4" i="1" s="1"/>
  <c r="Q4" i="1"/>
  <c r="N5" i="1"/>
  <c r="O5" i="1" s="1"/>
  <c r="Q5" i="1"/>
  <c r="N6" i="1"/>
  <c r="O6" i="1" s="1"/>
  <c r="Q6" i="1"/>
  <c r="N7" i="1"/>
  <c r="O7" i="1" s="1"/>
  <c r="Q7" i="1"/>
  <c r="N8" i="1"/>
  <c r="O8" i="1" s="1"/>
  <c r="Q8" i="1"/>
  <c r="N9" i="1"/>
  <c r="O9" i="1" s="1"/>
  <c r="N10" i="1"/>
  <c r="O10" i="1" s="1"/>
  <c r="Q10" i="1"/>
  <c r="N11" i="1"/>
  <c r="O11" i="1" s="1"/>
  <c r="Q11" i="1"/>
  <c r="N12" i="1"/>
  <c r="O12" i="1" s="1"/>
  <c r="Q12" i="1"/>
  <c r="N13" i="1"/>
  <c r="O13" i="1" s="1"/>
  <c r="Q13" i="1"/>
  <c r="N14" i="1"/>
  <c r="O14" i="1" s="1"/>
  <c r="Q14" i="1"/>
  <c r="N15" i="1"/>
  <c r="O15" i="1" s="1"/>
  <c r="Q15" i="1"/>
  <c r="N16" i="1"/>
  <c r="O16" i="1" s="1"/>
  <c r="Q16" i="1"/>
  <c r="N17" i="1"/>
  <c r="O17" i="1" s="1"/>
  <c r="Q17" i="1"/>
  <c r="S17" i="1" s="1"/>
  <c r="N18" i="1"/>
  <c r="O18" i="1" s="1"/>
  <c r="Q18" i="1"/>
  <c r="S18" i="1" s="1"/>
  <c r="N19" i="1"/>
  <c r="O19" i="1" s="1"/>
  <c r="Q19" i="1"/>
  <c r="N20" i="1"/>
  <c r="O20" i="1" s="1"/>
  <c r="Q20" i="1"/>
  <c r="N21" i="1"/>
  <c r="O21" i="1" s="1"/>
  <c r="Q21" i="1"/>
  <c r="N22" i="1"/>
  <c r="O22" i="1" s="1"/>
  <c r="Q22" i="1"/>
  <c r="N23" i="1"/>
  <c r="O23" i="1" s="1"/>
  <c r="Q23" i="1"/>
  <c r="N24" i="1"/>
  <c r="O24" i="1" s="1"/>
  <c r="Q24" i="1"/>
  <c r="N25" i="1"/>
  <c r="O25" i="1" s="1"/>
  <c r="Q25" i="1"/>
  <c r="N26" i="1"/>
  <c r="O26" i="1" s="1"/>
  <c r="Q26" i="1"/>
  <c r="N27" i="1"/>
  <c r="O27" i="1" s="1"/>
  <c r="Q27" i="1"/>
  <c r="N28" i="1"/>
  <c r="O28" i="1" s="1"/>
  <c r="Q28" i="1"/>
  <c r="N29" i="1"/>
  <c r="O29" i="1" s="1"/>
  <c r="Q29" i="1"/>
  <c r="N30" i="1"/>
  <c r="O30" i="1" s="1"/>
  <c r="Q30" i="1"/>
  <c r="N31" i="1"/>
  <c r="O31" i="1" s="1"/>
  <c r="Q31" i="1"/>
  <c r="N32" i="1"/>
  <c r="O32" i="1" s="1"/>
  <c r="Q32" i="1"/>
  <c r="N33" i="1"/>
  <c r="O33" i="1" s="1"/>
  <c r="Q33" i="1"/>
  <c r="S33" i="1" s="1"/>
  <c r="N34" i="1"/>
  <c r="O34" i="1" s="1"/>
  <c r="Q34" i="1"/>
  <c r="N35" i="1"/>
  <c r="O35" i="1" s="1"/>
  <c r="Q35" i="1"/>
  <c r="N36" i="1"/>
  <c r="O36" i="1" s="1"/>
  <c r="Q36" i="1"/>
  <c r="N37" i="1"/>
  <c r="O37" i="1"/>
  <c r="Q37" i="1"/>
  <c r="N38" i="1"/>
  <c r="O38" i="1" s="1"/>
  <c r="Q38" i="1"/>
  <c r="N39" i="1"/>
  <c r="O39" i="1" s="1"/>
  <c r="Q39" i="1"/>
  <c r="N40" i="1"/>
  <c r="O40" i="1" s="1"/>
  <c r="Q40" i="1"/>
  <c r="N41" i="1"/>
  <c r="O41" i="1" s="1"/>
  <c r="Q41" i="1"/>
  <c r="N42" i="1"/>
  <c r="O42" i="1" s="1"/>
  <c r="Q42" i="1"/>
  <c r="N43" i="1"/>
  <c r="O43" i="1" s="1"/>
  <c r="Q43" i="1"/>
  <c r="N44" i="1"/>
  <c r="O44" i="1" s="1"/>
  <c r="Q44" i="1"/>
  <c r="N45" i="1"/>
  <c r="O45" i="1" s="1"/>
  <c r="Q45" i="1"/>
  <c r="N46" i="1"/>
  <c r="O46" i="1" s="1"/>
  <c r="Q46" i="1"/>
  <c r="N47" i="1"/>
  <c r="O47" i="1" s="1"/>
  <c r="Q47" i="1"/>
  <c r="N48" i="1"/>
  <c r="O48" i="1" s="1"/>
  <c r="Q48" i="1"/>
  <c r="N49" i="1"/>
  <c r="O49" i="1" s="1"/>
  <c r="Q49" i="1"/>
  <c r="N50" i="1"/>
  <c r="O50" i="1" s="1"/>
  <c r="Q50" i="1"/>
  <c r="N51" i="1"/>
  <c r="O51" i="1" s="1"/>
  <c r="Q51" i="1"/>
  <c r="N52" i="1"/>
  <c r="O52" i="1" s="1"/>
  <c r="Q52" i="1"/>
  <c r="N53" i="1"/>
  <c r="O53" i="1" s="1"/>
  <c r="Q53" i="1"/>
  <c r="N54" i="1"/>
  <c r="O54" i="1" s="1"/>
  <c r="Q54" i="1"/>
  <c r="N55" i="1"/>
  <c r="O55" i="1" s="1"/>
  <c r="Q55" i="1"/>
  <c r="N56" i="1"/>
  <c r="O56" i="1" s="1"/>
  <c r="Q56" i="1"/>
  <c r="N57" i="1"/>
  <c r="O57" i="1" s="1"/>
  <c r="Q57" i="1"/>
  <c r="N58" i="1"/>
  <c r="O58" i="1" s="1"/>
  <c r="Q58" i="1"/>
  <c r="N59" i="1"/>
  <c r="O59" i="1" s="1"/>
  <c r="Q59" i="1"/>
  <c r="N60" i="1"/>
  <c r="O60" i="1" s="1"/>
  <c r="Q60" i="1"/>
  <c r="N61" i="1"/>
  <c r="O61" i="1" s="1"/>
  <c r="Q61" i="1"/>
  <c r="N62" i="1"/>
  <c r="O62" i="1" s="1"/>
  <c r="Q62" i="1"/>
  <c r="N63" i="1"/>
  <c r="O63" i="1" s="1"/>
  <c r="Q63" i="1"/>
  <c r="N64" i="1"/>
  <c r="O64" i="1" s="1"/>
  <c r="Q64" i="1"/>
  <c r="N65" i="1"/>
  <c r="O65" i="1" s="1"/>
  <c r="Q65" i="1"/>
  <c r="N66" i="1"/>
  <c r="O66" i="1" s="1"/>
  <c r="Q66" i="1"/>
  <c r="N67" i="1"/>
  <c r="O67" i="1" s="1"/>
  <c r="Q67" i="1"/>
  <c r="N68" i="1"/>
  <c r="O68" i="1" s="1"/>
  <c r="Q68" i="1"/>
  <c r="N69" i="1"/>
  <c r="O69" i="1" s="1"/>
  <c r="Q69" i="1"/>
  <c r="N70" i="1"/>
  <c r="O70" i="1" s="1"/>
  <c r="Q70" i="1"/>
  <c r="N71" i="1"/>
  <c r="O71" i="1" s="1"/>
  <c r="Q71" i="1"/>
  <c r="N72" i="1"/>
  <c r="O72" i="1" s="1"/>
  <c r="Q72" i="1"/>
  <c r="N73" i="1"/>
  <c r="O73" i="1" s="1"/>
  <c r="Q73" i="1"/>
  <c r="N74" i="1"/>
  <c r="O74" i="1"/>
  <c r="Q74" i="1"/>
  <c r="N75" i="1"/>
  <c r="O75" i="1" s="1"/>
  <c r="Q75" i="1"/>
  <c r="S75" i="1" s="1"/>
  <c r="N76" i="1"/>
  <c r="O76" i="1" s="1"/>
  <c r="Q76" i="1"/>
  <c r="N77" i="1"/>
  <c r="O77" i="1" s="1"/>
  <c r="Q77" i="1"/>
  <c r="N78" i="1"/>
  <c r="O78" i="1" s="1"/>
  <c r="Q78" i="1"/>
  <c r="N79" i="1"/>
  <c r="O79" i="1" s="1"/>
  <c r="Q79" i="1"/>
  <c r="N80" i="1"/>
  <c r="O80" i="1" s="1"/>
  <c r="Q80" i="1"/>
  <c r="N81" i="1"/>
  <c r="O81" i="1" s="1"/>
  <c r="Q81" i="1"/>
  <c r="N82" i="1"/>
  <c r="O82" i="1" s="1"/>
  <c r="Q82" i="1"/>
  <c r="N83" i="1"/>
  <c r="O83" i="1" s="1"/>
  <c r="Q83" i="1"/>
  <c r="N84" i="1"/>
  <c r="O84" i="1" s="1"/>
  <c r="Q84" i="1"/>
  <c r="N85" i="1"/>
  <c r="O85" i="1" s="1"/>
  <c r="Q85" i="1"/>
  <c r="N86" i="1"/>
  <c r="O86" i="1" s="1"/>
  <c r="Q86" i="1"/>
  <c r="N87" i="1"/>
  <c r="O87" i="1" s="1"/>
  <c r="Q87" i="1"/>
  <c r="N88" i="1"/>
  <c r="O88" i="1" s="1"/>
  <c r="Q88" i="1"/>
  <c r="N89" i="1"/>
  <c r="O89" i="1" s="1"/>
  <c r="Q89" i="1"/>
  <c r="N90" i="1"/>
  <c r="O90" i="1" s="1"/>
  <c r="Q90" i="1"/>
  <c r="N91" i="1"/>
  <c r="O91" i="1" s="1"/>
  <c r="Q91" i="1"/>
  <c r="N92" i="1"/>
  <c r="O92" i="1" s="1"/>
  <c r="Q92" i="1"/>
  <c r="N93" i="1"/>
  <c r="O93" i="1" s="1"/>
  <c r="Q93" i="1"/>
  <c r="N94" i="1"/>
  <c r="O94" i="1" s="1"/>
  <c r="Q94" i="1"/>
  <c r="N95" i="1"/>
  <c r="O95" i="1"/>
  <c r="Q95" i="1"/>
  <c r="N96" i="1"/>
  <c r="Q96" i="1"/>
  <c r="N97" i="1"/>
  <c r="O97" i="1" s="1"/>
  <c r="Q97" i="1"/>
  <c r="N98" i="1"/>
  <c r="O98" i="1" s="1"/>
  <c r="Q98" i="1"/>
  <c r="N99" i="1"/>
  <c r="O99" i="1" s="1"/>
  <c r="Q99" i="1"/>
  <c r="N100" i="1"/>
  <c r="O100" i="1" s="1"/>
  <c r="Q100" i="1"/>
  <c r="N101" i="1"/>
  <c r="O101" i="1" s="1"/>
  <c r="Q101" i="1"/>
  <c r="N102" i="1"/>
  <c r="O102" i="1" s="1"/>
  <c r="Q102" i="1"/>
  <c r="N103" i="1"/>
  <c r="O103" i="1" s="1"/>
  <c r="Q103" i="1"/>
  <c r="N104" i="1"/>
  <c r="O104" i="1" s="1"/>
  <c r="Q104" i="1"/>
  <c r="N105" i="1"/>
  <c r="O105" i="1" s="1"/>
  <c r="Q105" i="1"/>
  <c r="N106" i="1"/>
  <c r="O106" i="1" s="1"/>
  <c r="Q106" i="1"/>
  <c r="N107" i="1"/>
  <c r="O107" i="1" s="1"/>
  <c r="Q107" i="1"/>
  <c r="N108" i="1"/>
  <c r="O108" i="1" s="1"/>
  <c r="Q108" i="1"/>
  <c r="N109" i="1"/>
  <c r="O109" i="1" s="1"/>
  <c r="Q109" i="1"/>
  <c r="N110" i="1"/>
  <c r="O110" i="1" s="1"/>
  <c r="Q110" i="1"/>
  <c r="N111" i="1"/>
  <c r="O111" i="1" s="1"/>
  <c r="Q111" i="1"/>
  <c r="N112" i="1"/>
  <c r="O112" i="1" s="1"/>
  <c r="Q112" i="1"/>
  <c r="N113" i="1"/>
  <c r="O113" i="1" s="1"/>
  <c r="Q113" i="1"/>
  <c r="S113" i="1" s="1"/>
  <c r="N114" i="1"/>
  <c r="O114" i="1" s="1"/>
  <c r="Q114" i="1"/>
  <c r="N115" i="1"/>
  <c r="O115" i="1" s="1"/>
  <c r="Q115" i="1"/>
  <c r="N116" i="1"/>
  <c r="O116" i="1" s="1"/>
  <c r="Q116" i="1"/>
  <c r="N117" i="1"/>
  <c r="O117" i="1" s="1"/>
  <c r="Q117" i="1"/>
  <c r="N118" i="1"/>
  <c r="Q118" i="1"/>
  <c r="N119" i="1"/>
  <c r="O119" i="1" s="1"/>
  <c r="Q119" i="1"/>
  <c r="N120" i="1"/>
  <c r="O120" i="1" s="1"/>
  <c r="Q120" i="1"/>
  <c r="N121" i="1"/>
  <c r="O121" i="1"/>
  <c r="Q121" i="1"/>
  <c r="N122" i="1"/>
  <c r="O122" i="1" s="1"/>
  <c r="Q122" i="1"/>
  <c r="N123" i="1"/>
  <c r="O123" i="1" s="1"/>
  <c r="Q123" i="1"/>
  <c r="N124" i="1"/>
  <c r="O124" i="1" s="1"/>
  <c r="Q124" i="1"/>
  <c r="N125" i="1"/>
  <c r="O125" i="1" s="1"/>
  <c r="Q125" i="1"/>
  <c r="N126" i="1"/>
  <c r="O126" i="1" s="1"/>
  <c r="Q126" i="1"/>
  <c r="N127" i="1"/>
  <c r="O127" i="1" s="1"/>
  <c r="Q127" i="1"/>
  <c r="N128" i="1"/>
  <c r="O128" i="1" s="1"/>
  <c r="Q128" i="1"/>
  <c r="N129" i="1"/>
  <c r="O129" i="1" s="1"/>
  <c r="Q129" i="1"/>
  <c r="S129" i="1" s="1"/>
  <c r="N130" i="1"/>
  <c r="O130" i="1" s="1"/>
  <c r="Q130" i="1"/>
  <c r="N131" i="1"/>
  <c r="O131" i="1" s="1"/>
  <c r="Q131" i="1"/>
  <c r="N132" i="1"/>
  <c r="O132" i="1" s="1"/>
  <c r="Q132" i="1"/>
  <c r="N133" i="1"/>
  <c r="O133" i="1" s="1"/>
  <c r="Q133" i="1"/>
  <c r="N134" i="1"/>
  <c r="Q134" i="1"/>
  <c r="N135" i="1"/>
  <c r="O135" i="1"/>
  <c r="Q135" i="1"/>
  <c r="N136" i="1"/>
  <c r="O136" i="1" s="1"/>
  <c r="Q136" i="1"/>
  <c r="N137" i="1"/>
  <c r="O137" i="1" s="1"/>
  <c r="Q137" i="1"/>
  <c r="N138" i="1"/>
  <c r="O138" i="1" s="1"/>
  <c r="Q138" i="1"/>
  <c r="N139" i="1"/>
  <c r="O139" i="1" s="1"/>
  <c r="Q139" i="1"/>
  <c r="N140" i="1"/>
  <c r="Q140" i="1"/>
  <c r="N141" i="1"/>
  <c r="Q141" i="1"/>
  <c r="N142" i="1"/>
  <c r="O142" i="1" s="1"/>
  <c r="Q142" i="1"/>
  <c r="N143" i="1"/>
  <c r="O143" i="1" s="1"/>
  <c r="Q143" i="1"/>
  <c r="N144" i="1"/>
  <c r="O144" i="1" s="1"/>
  <c r="Q144" i="1"/>
  <c r="N145" i="1"/>
  <c r="O145" i="1" s="1"/>
  <c r="Q145" i="1"/>
  <c r="N146" i="1"/>
  <c r="O146" i="1" s="1"/>
  <c r="Q146" i="1"/>
  <c r="N147" i="1"/>
  <c r="O147" i="1" s="1"/>
  <c r="Q147" i="1"/>
  <c r="N148" i="1"/>
  <c r="Q148" i="1"/>
  <c r="N149" i="1"/>
  <c r="O149" i="1" s="1"/>
  <c r="Q149" i="1"/>
  <c r="N150" i="1"/>
  <c r="O150" i="1"/>
  <c r="Q150" i="1"/>
  <c r="N151" i="1"/>
  <c r="O151" i="1" s="1"/>
  <c r="Q151" i="1"/>
  <c r="N152" i="1"/>
  <c r="O152" i="1" s="1"/>
  <c r="Q152" i="1"/>
  <c r="N153" i="1"/>
  <c r="O153" i="1" s="1"/>
  <c r="Q153" i="1"/>
  <c r="N154" i="1"/>
  <c r="O154" i="1" s="1"/>
  <c r="Q154" i="1"/>
  <c r="N155" i="1"/>
  <c r="O155" i="1" s="1"/>
  <c r="Q155" i="1"/>
  <c r="N156" i="1"/>
  <c r="O156" i="1" s="1"/>
  <c r="Q156" i="1"/>
  <c r="N157" i="1"/>
  <c r="O157" i="1" s="1"/>
  <c r="Q157" i="1"/>
  <c r="N158" i="1"/>
  <c r="O158" i="1" s="1"/>
  <c r="Q158" i="1"/>
  <c r="N159" i="1"/>
  <c r="O159" i="1" s="1"/>
  <c r="Q159" i="1"/>
  <c r="N160" i="1"/>
  <c r="O160" i="1" s="1"/>
  <c r="Q160" i="1"/>
  <c r="N161" i="1"/>
  <c r="O161" i="1" s="1"/>
  <c r="Q161" i="1"/>
  <c r="N162" i="1"/>
  <c r="O162" i="1" s="1"/>
  <c r="Q162" i="1"/>
  <c r="N163" i="1"/>
  <c r="O163" i="1" s="1"/>
  <c r="Q163" i="1"/>
  <c r="N164" i="1"/>
  <c r="O164" i="1" s="1"/>
  <c r="Q164" i="1"/>
  <c r="N165" i="1"/>
  <c r="O165" i="1" s="1"/>
  <c r="Q165" i="1"/>
  <c r="N166" i="1"/>
  <c r="O166" i="1"/>
  <c r="Q166" i="1"/>
  <c r="N167" i="1"/>
  <c r="O167" i="1" s="1"/>
  <c r="Q167" i="1"/>
  <c r="S167" i="1" s="1"/>
  <c r="N168" i="1"/>
  <c r="O168" i="1" s="1"/>
  <c r="Q168" i="1"/>
  <c r="N169" i="1"/>
  <c r="O169" i="1" s="1"/>
  <c r="Q169" i="1"/>
  <c r="N170" i="1"/>
  <c r="O170" i="1" s="1"/>
  <c r="Q170" i="1"/>
  <c r="N171" i="1"/>
  <c r="O171" i="1" s="1"/>
  <c r="Q171" i="1"/>
  <c r="S171" i="1" s="1"/>
  <c r="N172" i="1"/>
  <c r="O172" i="1" s="1"/>
  <c r="Q172" i="1"/>
  <c r="N173" i="1"/>
  <c r="O173" i="1" s="1"/>
  <c r="Q173" i="1"/>
  <c r="N174" i="1"/>
  <c r="O174" i="1"/>
  <c r="Q174" i="1"/>
  <c r="N175" i="1"/>
  <c r="O175" i="1" s="1"/>
  <c r="Q175" i="1"/>
  <c r="N176" i="1"/>
  <c r="O176" i="1" s="1"/>
  <c r="Q176" i="1"/>
  <c r="N177" i="1"/>
  <c r="O177" i="1" s="1"/>
  <c r="Q177" i="1"/>
  <c r="N178" i="1"/>
  <c r="O178" i="1" s="1"/>
  <c r="Q178" i="1"/>
  <c r="N179" i="1"/>
  <c r="O179" i="1" s="1"/>
  <c r="Q179" i="1"/>
  <c r="N180" i="1"/>
  <c r="O180" i="1" s="1"/>
  <c r="Q180" i="1"/>
  <c r="N181" i="1"/>
  <c r="O181" i="1"/>
  <c r="Q181" i="1"/>
  <c r="N182" i="1"/>
  <c r="O182" i="1" s="1"/>
  <c r="Q182" i="1"/>
  <c r="N183" i="1"/>
  <c r="O183" i="1" s="1"/>
  <c r="Q183" i="1"/>
  <c r="N184" i="1"/>
  <c r="O184" i="1" s="1"/>
  <c r="Q184" i="1"/>
  <c r="N185" i="1"/>
  <c r="O185" i="1" s="1"/>
  <c r="Q185" i="1"/>
  <c r="N186" i="1"/>
  <c r="O186" i="1" s="1"/>
  <c r="Q186" i="1"/>
  <c r="N187" i="1"/>
  <c r="O187" i="1" s="1"/>
  <c r="Q187" i="1"/>
  <c r="N188" i="1"/>
  <c r="O188" i="1" s="1"/>
  <c r="Q188" i="1"/>
  <c r="N189" i="1"/>
  <c r="O189" i="1" s="1"/>
  <c r="Q189" i="1"/>
  <c r="N190" i="1"/>
  <c r="O190" i="1" s="1"/>
  <c r="Q190" i="1"/>
  <c r="N191" i="1"/>
  <c r="O191" i="1" s="1"/>
  <c r="Q191" i="1"/>
  <c r="N192" i="1"/>
  <c r="O192" i="1" s="1"/>
  <c r="Q192" i="1"/>
  <c r="N193" i="1"/>
  <c r="O193" i="1" s="1"/>
  <c r="Q193" i="1"/>
  <c r="N194" i="1"/>
  <c r="Q194" i="1"/>
  <c r="N195" i="1"/>
  <c r="O195" i="1" s="1"/>
  <c r="Q195" i="1"/>
  <c r="N196" i="1"/>
  <c r="O196" i="1" s="1"/>
  <c r="Q196" i="1"/>
  <c r="N197" i="1"/>
  <c r="O197" i="1" s="1"/>
  <c r="Q197" i="1"/>
  <c r="N198" i="1"/>
  <c r="O198" i="1" s="1"/>
  <c r="Q198" i="1"/>
  <c r="S198" i="1" s="1"/>
  <c r="N199" i="1"/>
  <c r="O199" i="1" s="1"/>
  <c r="Q199" i="1"/>
  <c r="N200" i="1"/>
  <c r="O200" i="1" s="1"/>
  <c r="Q200" i="1"/>
  <c r="N201" i="1"/>
  <c r="O201" i="1" s="1"/>
  <c r="Q201" i="1"/>
  <c r="N202" i="1"/>
  <c r="O202" i="1" s="1"/>
  <c r="Q202" i="1"/>
  <c r="N203" i="1"/>
  <c r="O203" i="1" s="1"/>
  <c r="Q203" i="1"/>
  <c r="S203" i="1" s="1"/>
  <c r="N204" i="1"/>
  <c r="O204" i="1"/>
  <c r="Q204" i="1"/>
  <c r="N205" i="1"/>
  <c r="O205" i="1" s="1"/>
  <c r="Q205" i="1"/>
  <c r="N206" i="1"/>
  <c r="O206" i="1" s="1"/>
  <c r="Q206" i="1"/>
  <c r="N207" i="1"/>
  <c r="O207" i="1" s="1"/>
  <c r="Q207" i="1"/>
  <c r="N208" i="1"/>
  <c r="O208" i="1" s="1"/>
  <c r="Q208" i="1"/>
  <c r="N209" i="1"/>
  <c r="O209" i="1" s="1"/>
  <c r="Q209" i="1"/>
  <c r="N210" i="1"/>
  <c r="O210" i="1" s="1"/>
  <c r="Q210" i="1"/>
  <c r="N211" i="1"/>
  <c r="O211" i="1" s="1"/>
  <c r="Q211" i="1"/>
  <c r="N212" i="1"/>
  <c r="O212" i="1" s="1"/>
  <c r="Q212" i="1"/>
  <c r="N213" i="1"/>
  <c r="O213" i="1" s="1"/>
  <c r="Q213" i="1"/>
  <c r="N214" i="1"/>
  <c r="O214" i="1" s="1"/>
  <c r="Q214" i="1"/>
  <c r="N215" i="1"/>
  <c r="O215" i="1" s="1"/>
  <c r="Q215" i="1"/>
  <c r="N216" i="1"/>
  <c r="O216" i="1" s="1"/>
  <c r="Q216" i="1"/>
  <c r="N217" i="1"/>
  <c r="O217" i="1" s="1"/>
  <c r="Q217" i="1"/>
  <c r="N218" i="1"/>
  <c r="O218" i="1" s="1"/>
  <c r="Q218" i="1"/>
  <c r="N219" i="1"/>
  <c r="O219" i="1" s="1"/>
  <c r="Q219" i="1"/>
  <c r="N220" i="1"/>
  <c r="O220" i="1" s="1"/>
  <c r="Q220" i="1"/>
  <c r="N221" i="1"/>
  <c r="O221" i="1" s="1"/>
  <c r="Q221" i="1"/>
  <c r="N222" i="1"/>
  <c r="O222" i="1" s="1"/>
  <c r="Q222" i="1"/>
  <c r="N223" i="1"/>
  <c r="O223" i="1" s="1"/>
  <c r="Q223" i="1"/>
  <c r="N224" i="1"/>
  <c r="O224" i="1"/>
  <c r="Q224" i="1"/>
  <c r="N3" i="1"/>
  <c r="O3" i="1" s="1"/>
  <c r="I217" i="1"/>
  <c r="I205" i="1"/>
  <c r="I193" i="1"/>
  <c r="I185" i="1"/>
  <c r="I184" i="1"/>
  <c r="I174" i="1"/>
  <c r="I160" i="1"/>
  <c r="I159" i="1"/>
  <c r="I143" i="1"/>
  <c r="I142" i="1"/>
  <c r="I129" i="1"/>
  <c r="I127" i="1"/>
  <c r="I113" i="1"/>
  <c r="I112" i="1"/>
  <c r="I111" i="1"/>
  <c r="I97" i="1"/>
  <c r="I95" i="1"/>
  <c r="I81" i="1"/>
  <c r="I79" i="1"/>
  <c r="S79" i="1"/>
  <c r="I65" i="1"/>
  <c r="I64" i="1"/>
  <c r="I63" i="1"/>
  <c r="I49" i="1"/>
  <c r="I48" i="1"/>
  <c r="I33" i="1"/>
  <c r="I31" i="1"/>
  <c r="I17" i="1"/>
  <c r="I16" i="1"/>
  <c r="I15" i="1"/>
  <c r="A4" i="1"/>
  <c r="A5" i="1" s="1"/>
  <c r="A6" i="1" s="1"/>
  <c r="A7" i="1" s="1"/>
  <c r="A8" i="1" s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I145" i="1"/>
  <c r="I186" i="1"/>
  <c r="S186" i="1" s="1"/>
  <c r="I207" i="1"/>
  <c r="I35" i="1"/>
  <c r="I83" i="1"/>
  <c r="I131" i="1"/>
  <c r="I4" i="1"/>
  <c r="I20" i="1"/>
  <c r="I52" i="1"/>
  <c r="I84" i="1"/>
  <c r="I100" i="1"/>
  <c r="I116" i="1"/>
  <c r="I147" i="1"/>
  <c r="I163" i="1"/>
  <c r="I196" i="1"/>
  <c r="I18" i="1"/>
  <c r="I66" i="1"/>
  <c r="I82" i="1"/>
  <c r="I175" i="1"/>
  <c r="I194" i="1"/>
  <c r="I19" i="1"/>
  <c r="I67" i="1"/>
  <c r="I115" i="1"/>
  <c r="I146" i="1"/>
  <c r="I176" i="1"/>
  <c r="S176" i="1"/>
  <c r="I195" i="1"/>
  <c r="O194" i="1"/>
  <c r="I5" i="1"/>
  <c r="I21" i="1"/>
  <c r="I37" i="1"/>
  <c r="I53" i="1"/>
  <c r="I101" i="1"/>
  <c r="I117" i="1"/>
  <c r="I132" i="1"/>
  <c r="I148" i="1"/>
  <c r="I164" i="1"/>
  <c r="I178" i="1"/>
  <c r="I34" i="1"/>
  <c r="I6" i="1"/>
  <c r="I22" i="1"/>
  <c r="I38" i="1"/>
  <c r="I70" i="1"/>
  <c r="I86" i="1"/>
  <c r="I102" i="1"/>
  <c r="S102" i="1"/>
  <c r="I118" i="1"/>
  <c r="S118" i="1"/>
  <c r="I149" i="1"/>
  <c r="I165" i="1"/>
  <c r="I179" i="1"/>
  <c r="I198" i="1"/>
  <c r="I209" i="1"/>
  <c r="I220" i="1"/>
  <c r="I23" i="1"/>
  <c r="I71" i="1"/>
  <c r="I119" i="1"/>
  <c r="O148" i="1"/>
  <c r="I55" i="1"/>
  <c r="I24" i="1"/>
  <c r="I7" i="1"/>
  <c r="I87" i="1"/>
  <c r="I8" i="1"/>
  <c r="I40" i="1"/>
  <c r="I56" i="1"/>
  <c r="I72" i="1"/>
  <c r="I88" i="1"/>
  <c r="I104" i="1"/>
  <c r="I151" i="1"/>
  <c r="I180" i="1"/>
  <c r="I188" i="1"/>
  <c r="I200" i="1"/>
  <c r="I211" i="1"/>
  <c r="I222" i="1"/>
  <c r="I9" i="1"/>
  <c r="I25" i="1"/>
  <c r="I41" i="1"/>
  <c r="I73" i="1"/>
  <c r="I89" i="1"/>
  <c r="I105" i="1"/>
  <c r="I152" i="1"/>
  <c r="I168" i="1"/>
  <c r="I201" i="1"/>
  <c r="I212" i="1"/>
  <c r="I223" i="1"/>
  <c r="I50" i="1"/>
  <c r="I39" i="1"/>
  <c r="I221" i="1"/>
  <c r="I58" i="1"/>
  <c r="I10" i="1"/>
  <c r="I26" i="1"/>
  <c r="I42" i="1"/>
  <c r="I74" i="1"/>
  <c r="I90" i="1"/>
  <c r="I106" i="1"/>
  <c r="I122" i="1"/>
  <c r="I169" i="1"/>
  <c r="I202" i="1"/>
  <c r="I213" i="1"/>
  <c r="I11" i="1"/>
  <c r="I27" i="1"/>
  <c r="I43" i="1"/>
  <c r="I59" i="1"/>
  <c r="I91" i="1"/>
  <c r="I123" i="1"/>
  <c r="I138" i="1"/>
  <c r="I154" i="1"/>
  <c r="I170" i="1"/>
  <c r="I181" i="1"/>
  <c r="I203" i="1"/>
  <c r="I214" i="1"/>
  <c r="I60" i="1"/>
  <c r="I92" i="1"/>
  <c r="I139" i="1"/>
  <c r="I215" i="1"/>
  <c r="I114" i="1"/>
  <c r="I28" i="1"/>
  <c r="I44" i="1"/>
  <c r="I76" i="1"/>
  <c r="I108" i="1"/>
  <c r="I155" i="1"/>
  <c r="S155" i="1" s="1"/>
  <c r="I13" i="1"/>
  <c r="I29" i="1"/>
  <c r="I45" i="1"/>
  <c r="I61" i="1"/>
  <c r="I109" i="1"/>
  <c r="I125" i="1"/>
  <c r="I140" i="1"/>
  <c r="I156" i="1"/>
  <c r="I172" i="1"/>
  <c r="I183" i="1"/>
  <c r="I191" i="1"/>
  <c r="O141" i="1"/>
  <c r="O96" i="1"/>
  <c r="I14" i="1"/>
  <c r="I30" i="1"/>
  <c r="I46" i="1"/>
  <c r="I62" i="1"/>
  <c r="I78" i="1"/>
  <c r="I110" i="1"/>
  <c r="I126" i="1"/>
  <c r="I141" i="1"/>
  <c r="I157" i="1"/>
  <c r="I173" i="1"/>
  <c r="I192" i="1"/>
  <c r="I94" i="1"/>
  <c r="I216" i="1"/>
  <c r="I124" i="1"/>
  <c r="I12" i="1"/>
  <c r="I107" i="1"/>
  <c r="I137" i="1"/>
  <c r="I136" i="1"/>
  <c r="O118" i="1"/>
  <c r="I167" i="1"/>
  <c r="I199" i="1"/>
  <c r="I219" i="1"/>
  <c r="I51" i="1"/>
  <c r="I130" i="1"/>
  <c r="I208" i="1"/>
  <c r="O140" i="1"/>
  <c r="I47" i="1"/>
  <c r="I96" i="1"/>
  <c r="I144" i="1"/>
  <c r="I204" i="1"/>
  <c r="I77" i="1"/>
  <c r="I224" i="1"/>
  <c r="I121" i="1"/>
  <c r="I166" i="1"/>
  <c r="I150" i="1"/>
  <c r="I133" i="1"/>
  <c r="I161" i="1"/>
  <c r="I85" i="1"/>
  <c r="I68" i="1"/>
  <c r="I158" i="1"/>
  <c r="I3" i="1"/>
  <c r="I32" i="1"/>
  <c r="I162" i="1"/>
  <c r="I36" i="1"/>
  <c r="O134" i="1"/>
  <c r="I69" i="1"/>
  <c r="I54" i="1"/>
  <c r="I187" i="1"/>
  <c r="I134" i="1"/>
  <c r="I120" i="1"/>
  <c r="I57" i="1"/>
  <c r="I189" i="1"/>
  <c r="I190" i="1"/>
  <c r="I171" i="1"/>
  <c r="I93" i="1"/>
  <c r="I206" i="1"/>
  <c r="I128" i="1"/>
  <c r="I80" i="1"/>
  <c r="S80" i="1" s="1"/>
  <c r="I98" i="1"/>
  <c r="I177" i="1"/>
  <c r="I218" i="1"/>
  <c r="I99" i="1"/>
  <c r="I197" i="1"/>
  <c r="I210" i="1"/>
  <c r="I135" i="1"/>
  <c r="I103" i="1"/>
  <c r="I153" i="1"/>
  <c r="I75" i="1"/>
  <c r="I182" i="1"/>
  <c r="S189" i="1" l="1"/>
  <c r="S179" i="1"/>
  <c r="S72" i="1"/>
  <c r="S56" i="1"/>
  <c r="S48" i="1"/>
  <c r="S8" i="1"/>
  <c r="S133" i="1"/>
  <c r="S125" i="1"/>
  <c r="S16" i="1"/>
  <c r="S181" i="1"/>
  <c r="S41" i="1"/>
  <c r="S25" i="1"/>
  <c r="S78" i="1"/>
  <c r="S217" i="1"/>
  <c r="S32" i="1"/>
  <c r="S55" i="1"/>
  <c r="S39" i="1"/>
  <c r="S7" i="1"/>
  <c r="S193" i="1"/>
  <c r="S101" i="1"/>
  <c r="S170" i="1"/>
  <c r="S108" i="1"/>
  <c r="S62" i="1"/>
  <c r="S38" i="1"/>
  <c r="S47" i="1"/>
  <c r="S23" i="1"/>
  <c r="S213" i="1"/>
  <c r="S93" i="1"/>
  <c r="S162" i="1"/>
  <c r="S22" i="1"/>
  <c r="S149" i="1"/>
  <c r="S212" i="1"/>
  <c r="S124" i="1"/>
  <c r="S88" i="1"/>
  <c r="S103" i="1"/>
  <c r="S146" i="1"/>
  <c r="S86" i="1"/>
  <c r="S40" i="1"/>
  <c r="S191" i="1"/>
  <c r="S136" i="1"/>
  <c r="S199" i="1"/>
  <c r="S134" i="1"/>
  <c r="S206" i="1"/>
  <c r="S188" i="1"/>
  <c r="S169" i="1"/>
  <c r="S220" i="1"/>
  <c r="S205" i="1"/>
  <c r="S184" i="1"/>
  <c r="S153" i="1"/>
  <c r="S77" i="1"/>
  <c r="S46" i="1"/>
  <c r="S15" i="1"/>
  <c r="S192" i="1"/>
  <c r="S115" i="1"/>
  <c r="S92" i="1"/>
  <c r="S30" i="1"/>
  <c r="S6" i="1"/>
  <c r="S209" i="1"/>
  <c r="S143" i="1"/>
  <c r="S35" i="1"/>
  <c r="S204" i="1"/>
  <c r="S201" i="1"/>
  <c r="S63" i="1"/>
  <c r="S138" i="1"/>
  <c r="S210" i="1"/>
  <c r="S123" i="1"/>
  <c r="S145" i="1"/>
  <c r="S107" i="1"/>
  <c r="S122" i="1"/>
  <c r="S99" i="1"/>
  <c r="S84" i="1"/>
  <c r="S53" i="1"/>
  <c r="S109" i="1"/>
  <c r="S216" i="1"/>
  <c r="S114" i="1"/>
  <c r="S159" i="1"/>
  <c r="S98" i="1"/>
  <c r="S52" i="1"/>
  <c r="S21" i="1"/>
  <c r="S90" i="1"/>
  <c r="S82" i="1"/>
  <c r="S12" i="1"/>
  <c r="S173" i="1"/>
  <c r="S157" i="1"/>
  <c r="S66" i="1"/>
  <c r="S223" i="1"/>
  <c r="S177" i="1"/>
  <c r="S57" i="1"/>
  <c r="S49" i="1"/>
  <c r="S116" i="1"/>
  <c r="S100" i="1"/>
  <c r="S76" i="1"/>
  <c r="S144" i="1"/>
  <c r="S68" i="1"/>
  <c r="S44" i="1"/>
  <c r="S5" i="1"/>
  <c r="S197" i="1"/>
  <c r="S135" i="1"/>
  <c r="S28" i="1"/>
  <c r="S183" i="1"/>
  <c r="S158" i="1"/>
  <c r="S4" i="1"/>
  <c r="S166" i="1"/>
  <c r="S87" i="1"/>
  <c r="S85" i="1"/>
  <c r="S61" i="1"/>
  <c r="S121" i="1"/>
  <c r="S215" i="1"/>
  <c r="S13" i="1"/>
  <c r="S208" i="1"/>
  <c r="S128" i="1"/>
  <c r="S67" i="1"/>
  <c r="S59" i="1"/>
  <c r="S178" i="1"/>
  <c r="S120" i="1"/>
  <c r="S112" i="1"/>
  <c r="S20" i="1"/>
  <c r="S218" i="1"/>
  <c r="S182" i="1"/>
  <c r="S165" i="1"/>
  <c r="S127" i="1"/>
  <c r="S104" i="1"/>
  <c r="S96" i="1"/>
  <c r="S89" i="1"/>
  <c r="S27" i="1"/>
  <c r="S195" i="1"/>
  <c r="S190" i="1"/>
  <c r="S172" i="1"/>
  <c r="S141" i="1"/>
  <c r="S119" i="1"/>
  <c r="S111" i="1"/>
  <c r="S73" i="1"/>
  <c r="S50" i="1"/>
  <c r="S42" i="1"/>
  <c r="S19" i="1"/>
  <c r="S11" i="1"/>
  <c r="S3" i="1"/>
  <c r="S105" i="1"/>
  <c r="S95" i="1"/>
  <c r="S65" i="1"/>
  <c r="S34" i="1"/>
  <c r="S26" i="1"/>
  <c r="S221" i="1"/>
  <c r="S130" i="1"/>
  <c r="S45" i="1"/>
  <c r="S14" i="1"/>
  <c r="S83" i="1"/>
  <c r="S224" i="1"/>
  <c r="S150" i="1"/>
  <c r="S222" i="1"/>
  <c r="S163" i="1"/>
  <c r="S132" i="1"/>
  <c r="S64" i="1"/>
  <c r="S174" i="1"/>
  <c r="S168" i="1"/>
  <c r="S69" i="1"/>
  <c r="S54" i="1"/>
  <c r="S219" i="1"/>
  <c r="S152" i="1"/>
  <c r="S91" i="1"/>
  <c r="S151" i="1"/>
  <c r="S60" i="1"/>
  <c r="S29" i="1"/>
  <c r="S97" i="1"/>
  <c r="S74" i="1"/>
  <c r="S196" i="1"/>
  <c r="S207" i="1"/>
  <c r="S164" i="1"/>
  <c r="S126" i="1"/>
  <c r="S211" i="1"/>
  <c r="S202" i="1"/>
  <c r="S110" i="1"/>
  <c r="S140" i="1"/>
  <c r="S139" i="1"/>
  <c r="S117" i="1"/>
  <c r="S71" i="1"/>
  <c r="S9" i="1"/>
  <c r="S200" i="1"/>
  <c r="S24" i="1"/>
  <c r="S37" i="1"/>
  <c r="S175" i="1"/>
  <c r="S31" i="1"/>
  <c r="S137" i="1"/>
  <c r="S148" i="1"/>
  <c r="S187" i="1"/>
  <c r="S70" i="1"/>
  <c r="S160" i="1"/>
  <c r="S180" i="1"/>
  <c r="S43" i="1"/>
  <c r="S161" i="1"/>
  <c r="S36" i="1"/>
  <c r="S106" i="1"/>
  <c r="J2" i="1"/>
  <c r="Q2" i="1"/>
  <c r="S214" i="1"/>
  <c r="S10" i="1"/>
  <c r="S147" i="1"/>
  <c r="S94" i="1"/>
  <c r="S131" i="1"/>
  <c r="S142" i="1"/>
  <c r="S194" i="1"/>
  <c r="S156" i="1"/>
  <c r="P2" i="1"/>
  <c r="S58" i="1"/>
  <c r="S51" i="1"/>
  <c r="S81" i="1"/>
  <c r="S185" i="1"/>
  <c r="S154" i="1"/>
  <c r="S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<sst xmlns="http://schemas.openxmlformats.org/spreadsheetml/2006/main" count="748" uniqueCount="499">
  <si>
    <t>Rank</t>
  </si>
  <si>
    <t>SKU</t>
  </si>
  <si>
    <t>Product Name</t>
  </si>
  <si>
    <t>SF903</t>
  </si>
  <si>
    <t>CREATINE 90 SERVINGS</t>
  </si>
  <si>
    <t>VM2NC</t>
  </si>
  <si>
    <t>BASIC NUTRIENTS 2/DAY</t>
  </si>
  <si>
    <t>SF800</t>
  </si>
  <si>
    <t>BERBERINE</t>
  </si>
  <si>
    <t>VMP</t>
  </si>
  <si>
    <t>BASIC PRENATAL</t>
  </si>
  <si>
    <t>M204</t>
  </si>
  <si>
    <t>MAGNESIUM BISGLYCINATE</t>
  </si>
  <si>
    <t>SF814</t>
  </si>
  <si>
    <t>CURCUMIN PHYTOSOME 120s</t>
  </si>
  <si>
    <t>B104</t>
  </si>
  <si>
    <t>BASIC B COMPLEX</t>
  </si>
  <si>
    <t>VM114NC</t>
  </si>
  <si>
    <t>MULTI-VITAMIN ELITE</t>
  </si>
  <si>
    <t>SF904</t>
  </si>
  <si>
    <t>CREATINE 180 SERVINGS</t>
  </si>
  <si>
    <t>SP608NC</t>
  </si>
  <si>
    <t>SUPER EPA</t>
  </si>
  <si>
    <t>D138</t>
  </si>
  <si>
    <t>D-5000</t>
  </si>
  <si>
    <t>SB302</t>
  </si>
  <si>
    <t>RESVERACEL</t>
  </si>
  <si>
    <t>KD500</t>
  </si>
  <si>
    <t>VITAMIN D + K2</t>
  </si>
  <si>
    <t>SF789</t>
  </si>
  <si>
    <t>METHYL-GUARD PLUS</t>
  </si>
  <si>
    <t>SP616</t>
  </si>
  <si>
    <t>OMEGA-3 WITH COQ10</t>
  </si>
  <si>
    <t>SP624</t>
  </si>
  <si>
    <t>COQ10</t>
  </si>
  <si>
    <t>SP110</t>
  </si>
  <si>
    <t>WHEY PROTEIN ISOLATE CHOCOLATE</t>
  </si>
  <si>
    <t>SA560</t>
  </si>
  <si>
    <t>NAC</t>
  </si>
  <si>
    <t>M272</t>
  </si>
  <si>
    <t>MAGNESIUM CITRAMATE</t>
  </si>
  <si>
    <t>SF732</t>
  </si>
  <si>
    <t>S.A.T.</t>
  </si>
  <si>
    <t>SP684</t>
  </si>
  <si>
    <t>HORMONE ADVANTAGE</t>
  </si>
  <si>
    <t>SP641</t>
  </si>
  <si>
    <t>AMINO COMPLEX BERRY</t>
  </si>
  <si>
    <t>SF750</t>
  </si>
  <si>
    <t>ADVANCED IRON COMPLEX</t>
  </si>
  <si>
    <t>M226</t>
  </si>
  <si>
    <t>IRON BISGLYCINATE</t>
  </si>
  <si>
    <t>SP685</t>
  </si>
  <si>
    <t>COLLAGEN PLUS</t>
  </si>
  <si>
    <t>C154</t>
  </si>
  <si>
    <t>VITAMIN C 500 MG</t>
  </si>
  <si>
    <t>SF751</t>
  </si>
  <si>
    <t>RED YEAST RICE + COQ10</t>
  </si>
  <si>
    <t>B125</t>
  </si>
  <si>
    <t>VITAMIN B12</t>
  </si>
  <si>
    <t>SP686</t>
  </si>
  <si>
    <t>COLLAGEN FIT</t>
  </si>
  <si>
    <t>VM6W</t>
  </si>
  <si>
    <t>WOMENS MULTI 50+</t>
  </si>
  <si>
    <t>SP635</t>
  </si>
  <si>
    <t>FIBERMEND</t>
  </si>
  <si>
    <t>B107</t>
  </si>
  <si>
    <t>STRESS B-COMPLEX</t>
  </si>
  <si>
    <t>SA508</t>
  </si>
  <si>
    <t>THEANINE</t>
  </si>
  <si>
    <t>M284</t>
  </si>
  <si>
    <t>MAGNESIUM GLYCINATE</t>
  </si>
  <si>
    <t>SP111</t>
  </si>
  <si>
    <t>WHEY PROTEIN ISOLATE VANILLA</t>
  </si>
  <si>
    <t>SF811</t>
  </si>
  <si>
    <t>FLORAMEND PRIME PROBIOTIC</t>
  </si>
  <si>
    <t>B129</t>
  </si>
  <si>
    <t>5-MTHF 1MG</t>
  </si>
  <si>
    <t>SF903P</t>
  </si>
  <si>
    <t>CREATINE STICK PACKS</t>
  </si>
  <si>
    <t>VM6M</t>
  </si>
  <si>
    <t>MENS MULTI 50+</t>
  </si>
  <si>
    <t>SF813</t>
  </si>
  <si>
    <t>CURCUMIN PHYTOSOME 60s</t>
  </si>
  <si>
    <t>SP606P</t>
  </si>
  <si>
    <t>PRENATAL DHA</t>
  </si>
  <si>
    <t>SF817</t>
  </si>
  <si>
    <t>WOMEN'S DAILY PROBIOTIC</t>
  </si>
  <si>
    <t>SD405</t>
  </si>
  <si>
    <t>ADVANCED DIGESTIVE ENZYMES 180S</t>
  </si>
  <si>
    <t>SA540</t>
  </si>
  <si>
    <t>GLUTATHIONE-SR</t>
  </si>
  <si>
    <t>M277</t>
  </si>
  <si>
    <t>CALCIUM-MAGNESIUM MALATE</t>
  </si>
  <si>
    <t>M221</t>
  </si>
  <si>
    <t>ZINC PICOLINATE [180] 30MG</t>
  </si>
  <si>
    <t>SP654</t>
  </si>
  <si>
    <t>NIACEL 400</t>
  </si>
  <si>
    <t>SB335</t>
  </si>
  <si>
    <t>QUERCETIN PHYTOSOME</t>
  </si>
  <si>
    <t>M210</t>
  </si>
  <si>
    <t>ZINC PICOLINATE 15MG</t>
  </si>
  <si>
    <t>B112</t>
  </si>
  <si>
    <t>B-COMPLEX #12</t>
  </si>
  <si>
    <t>SA519</t>
  </si>
  <si>
    <t>L-GLUTAMINE POWDER</t>
  </si>
  <si>
    <t>SF815</t>
  </si>
  <si>
    <t>CURCUMIN PHYTOSOME- SR</t>
  </si>
  <si>
    <t>SP610</t>
  </si>
  <si>
    <t>SUPER EPA PRO [120's]</t>
  </si>
  <si>
    <t>SP637</t>
  </si>
  <si>
    <t>AMINO COMPLEX LEMON</t>
  </si>
  <si>
    <t>VM2</t>
  </si>
  <si>
    <t>B132</t>
  </si>
  <si>
    <t>5-MTHF 5MG</t>
  </si>
  <si>
    <t>VMX</t>
  </si>
  <si>
    <t>ADVANCED NUTRIENTS</t>
  </si>
  <si>
    <t>SF824</t>
  </si>
  <si>
    <t>ADVANCED TESTOSTERONE SUPPORT</t>
  </si>
  <si>
    <t>SG803</t>
  </si>
  <si>
    <t>ADRENAL CORTEX</t>
  </si>
  <si>
    <t>SF911P</t>
  </si>
  <si>
    <t>DAILY ELECTROLYTES 30 STICK VARIETY PACK</t>
  </si>
  <si>
    <t>SB300</t>
  </si>
  <si>
    <t>POLYRESVERATROL-SR [60's]</t>
  </si>
  <si>
    <t>VM114</t>
  </si>
  <si>
    <t>SF797</t>
  </si>
  <si>
    <t>ALPHA-LIPOIC-ACID</t>
  </si>
  <si>
    <t>SP687</t>
  </si>
  <si>
    <t>DAILY GREENS PLUS</t>
  </si>
  <si>
    <t>SP662</t>
  </si>
  <si>
    <t>PHARMAGABA-250</t>
  </si>
  <si>
    <t>SF787</t>
  </si>
  <si>
    <t>METHYL-GUARD [180'S]</t>
  </si>
  <si>
    <t>SF705</t>
  </si>
  <si>
    <t>RED YEAST RICE</t>
  </si>
  <si>
    <t>D148</t>
  </si>
  <si>
    <t>D-10,000</t>
  </si>
  <si>
    <t>SF767</t>
  </si>
  <si>
    <t>GLUCOSAMINE &amp; CHONDROITIN</t>
  </si>
  <si>
    <t>K171</t>
  </si>
  <si>
    <t>VITAMIN K</t>
  </si>
  <si>
    <t>SP608</t>
  </si>
  <si>
    <t>SUPER EPA [EPA 425/DHA 270]</t>
  </si>
  <si>
    <t>SF774</t>
  </si>
  <si>
    <t>JOINT SUPPORT NUTRIENTS</t>
  </si>
  <si>
    <t>SF823</t>
  </si>
  <si>
    <t>OVARIAN CARE</t>
  </si>
  <si>
    <t>D128</t>
  </si>
  <si>
    <t>D-1000</t>
  </si>
  <si>
    <t>M220NC</t>
  </si>
  <si>
    <t>ZINC PICOLINATE 30MG</t>
  </si>
  <si>
    <t>SF784</t>
  </si>
  <si>
    <t>THYROCSIN [120]</t>
  </si>
  <si>
    <t>M225</t>
  </si>
  <si>
    <t>SELENIUM</t>
  </si>
  <si>
    <t>SF760</t>
  </si>
  <si>
    <t>BERBERINE-200MG SERVING</t>
  </si>
  <si>
    <t>SF769</t>
  </si>
  <si>
    <t>LIVER CLEANSE</t>
  </si>
  <si>
    <t>SA520</t>
  </si>
  <si>
    <t>ACETYL-L-CARNITINE</t>
  </si>
  <si>
    <t>SF818</t>
  </si>
  <si>
    <t>FLORASPORT 20B</t>
  </si>
  <si>
    <t>VM8NC</t>
  </si>
  <si>
    <t>BASIC NUTRIENTS 2/DAY [120]</t>
  </si>
  <si>
    <t>SP660</t>
  </si>
  <si>
    <t>BROCCOLI SEED EXTRACT</t>
  </si>
  <si>
    <t>B118</t>
  </si>
  <si>
    <t>BIOTIN</t>
  </si>
  <si>
    <t>SF737</t>
  </si>
  <si>
    <t>MEMORACTIV</t>
  </si>
  <si>
    <t>SF907</t>
  </si>
  <si>
    <t>BETA ALANINE-SR</t>
  </si>
  <si>
    <t>SP606C</t>
  </si>
  <si>
    <t>ADVANCED DHA</t>
  </si>
  <si>
    <t>M281</t>
  </si>
  <si>
    <t>CALCIUM</t>
  </si>
  <si>
    <t>SF905</t>
  </si>
  <si>
    <t>CREATINE STRAWBERRY FLAVORED</t>
  </si>
  <si>
    <t>SP605</t>
  </si>
  <si>
    <t>PHOSPHATIDYL CHOLINE</t>
  </si>
  <si>
    <t>E143</t>
  </si>
  <si>
    <t>ULTIMATE-E [60'S]</t>
  </si>
  <si>
    <t>SA512</t>
  </si>
  <si>
    <t>GLYCINE [500 MG]</t>
  </si>
  <si>
    <t>SF801</t>
  </si>
  <si>
    <t>METABOLIC HEALTH</t>
  </si>
  <si>
    <t>SF814N</t>
  </si>
  <si>
    <t>CURCUMIN PHYTOSOME NSF</t>
  </si>
  <si>
    <t>SF711</t>
  </si>
  <si>
    <t>META-BALANCE</t>
  </si>
  <si>
    <t>SF722</t>
  </si>
  <si>
    <t>UNDECYLENIC ACID</t>
  </si>
  <si>
    <t>KIT012</t>
  </si>
  <si>
    <t>GUT HEALTH TEST</t>
  </si>
  <si>
    <t>SD415</t>
  </si>
  <si>
    <t>BETAINE HCL/PEPSIN [225]</t>
  </si>
  <si>
    <t>SG822</t>
  </si>
  <si>
    <t>ADVANCED BONE SUPPORT‡</t>
  </si>
  <si>
    <t>SF758</t>
  </si>
  <si>
    <t>BACILLUS COAGULANS</t>
  </si>
  <si>
    <t>SF908P</t>
  </si>
  <si>
    <t>DAILY ELECTROLYTES WATERMELON FLAVORED DRINK MIX</t>
  </si>
  <si>
    <t>SB332</t>
  </si>
  <si>
    <t>QUERCETIN COMPLEX</t>
  </si>
  <si>
    <t>SA525</t>
  </si>
  <si>
    <t>L-ARGININE</t>
  </si>
  <si>
    <t>SF715</t>
  </si>
  <si>
    <t>PHOSPHATIDYLSERINE</t>
  </si>
  <si>
    <t>B106</t>
  </si>
  <si>
    <t>B-COMPLEX #6</t>
  </si>
  <si>
    <t>B131</t>
  </si>
  <si>
    <t>NIACINAMIDE</t>
  </si>
  <si>
    <t>SP646</t>
  </si>
  <si>
    <t>MEDICLEAR-SGS CHOCOLATE</t>
  </si>
  <si>
    <t>SF714</t>
  </si>
  <si>
    <t>GI RELIEF</t>
  </si>
  <si>
    <t>SA518</t>
  </si>
  <si>
    <t>L-GLUTAMINE [90'S]</t>
  </si>
  <si>
    <t>SF101</t>
  </si>
  <si>
    <t>CATALYTE</t>
  </si>
  <si>
    <t>SF906</t>
  </si>
  <si>
    <t>CREATINE PINEAPPLE ORANGE FLAVORED</t>
  </si>
  <si>
    <t>M204P</t>
  </si>
  <si>
    <t>MAGNESIUM BISGLYCINATE STICK PACKS</t>
  </si>
  <si>
    <t>SA503</t>
  </si>
  <si>
    <t>5-HTP</t>
  </si>
  <si>
    <t>M228</t>
  </si>
  <si>
    <t>COPPER BISGLYCINATE</t>
  </si>
  <si>
    <t>SP645</t>
  </si>
  <si>
    <t>MEDICLEAR PLUS</t>
  </si>
  <si>
    <t>SF755</t>
  </si>
  <si>
    <t>RHODIOLA  [60'S]</t>
  </si>
  <si>
    <t>M291NC</t>
  </si>
  <si>
    <t>ZINC BISGLYCINATE 30 MG</t>
  </si>
  <si>
    <t>SF827</t>
  </si>
  <si>
    <t>COMPLETE BIOTIC</t>
  </si>
  <si>
    <t>SP648</t>
  </si>
  <si>
    <t>MEDICLEAR-SGS VANILLA</t>
  </si>
  <si>
    <t>SF757</t>
  </si>
  <si>
    <t>SACRO-B [250 MG]</t>
  </si>
  <si>
    <t>SP652</t>
  </si>
  <si>
    <t>PHARMAGABA-100</t>
  </si>
  <si>
    <t>M255</t>
  </si>
  <si>
    <t>CHROMIUM PICOLINATE [500 MCG]</t>
  </si>
  <si>
    <t>SF733</t>
  </si>
  <si>
    <t>MILK THISTLE PHYTOSOME</t>
  </si>
  <si>
    <t>SF909P</t>
  </si>
  <si>
    <t>DAILY ELECTROLYTES BLOOD ORANGE FLAVORED DRINK MIX</t>
  </si>
  <si>
    <t>SF752</t>
  </si>
  <si>
    <t>BRAIN FACTORS</t>
  </si>
  <si>
    <t>SA516</t>
  </si>
  <si>
    <t>LYSINE</t>
  </si>
  <si>
    <t>SF780</t>
  </si>
  <si>
    <t>MELATON-5</t>
  </si>
  <si>
    <t>SF912</t>
  </si>
  <si>
    <t>CREATINE + BCAAS PEACH MANGO FLAVORED</t>
  </si>
  <si>
    <t>ZF903</t>
  </si>
  <si>
    <t>CREATINE</t>
  </si>
  <si>
    <t>M242</t>
  </si>
  <si>
    <t>TRACE MINERALS</t>
  </si>
  <si>
    <t>SP681</t>
  </si>
  <si>
    <t>ENTEROMEND</t>
  </si>
  <si>
    <t>SG804</t>
  </si>
  <si>
    <t>STRESS BALANCE‡</t>
  </si>
  <si>
    <t>SF910P</t>
  </si>
  <si>
    <t>DAILY ELECTROLYTES MANGOLIMEADE FLAVORED DRINK MIX</t>
  </si>
  <si>
    <t>SF713</t>
  </si>
  <si>
    <t>HEART HEALTH COMPLEX</t>
  </si>
  <si>
    <t>B115</t>
  </si>
  <si>
    <t>RIBOFLAVIN 5' PHOSPHATE</t>
  </si>
  <si>
    <t>M290</t>
  </si>
  <si>
    <t>ZINC BISGLYCINATE 15 MG</t>
  </si>
  <si>
    <t>SF819</t>
  </si>
  <si>
    <t>BOSWELLIA PHYTOSOME</t>
  </si>
  <si>
    <t>ZMP</t>
  </si>
  <si>
    <t>SF828</t>
  </si>
  <si>
    <t>ASHWAGANDHA</t>
  </si>
  <si>
    <t>SP688</t>
  </si>
  <si>
    <t>PRE-WORKOUT ELITE</t>
  </si>
  <si>
    <t>SF788</t>
  </si>
  <si>
    <t>MELATON-3</t>
  </si>
  <si>
    <t>K170</t>
  </si>
  <si>
    <t>VITAMIN K2</t>
  </si>
  <si>
    <t>C153</t>
  </si>
  <si>
    <t>ASCORBIC ACID</t>
  </si>
  <si>
    <t>SA526</t>
  </si>
  <si>
    <t>L-ARGININE PLUS</t>
  </si>
  <si>
    <t>D168</t>
  </si>
  <si>
    <t>VITAMIN D</t>
  </si>
  <si>
    <t>SB336</t>
  </si>
  <si>
    <t>GREEN TEA PHYTOSOME</t>
  </si>
  <si>
    <t>SF802</t>
  </si>
  <si>
    <t>EMOTION BALANCE SUPPORT‡</t>
  </si>
  <si>
    <t>SF913</t>
  </si>
  <si>
    <t>CREATINE + ALPHA GPC</t>
  </si>
  <si>
    <t>SF826</t>
  </si>
  <si>
    <t>GINSENG PLUS</t>
  </si>
  <si>
    <t>B126</t>
  </si>
  <si>
    <t>PYRIDOXAL 5' PHOSPHATE [180]</t>
  </si>
  <si>
    <t>SP641P</t>
  </si>
  <si>
    <t>AMINO COMPLEX BERRY STICK PACKS</t>
  </si>
  <si>
    <t>M240</t>
  </si>
  <si>
    <t>POTASSIUM CITRATE</t>
  </si>
  <si>
    <t>SF790</t>
  </si>
  <si>
    <t>DIABENIL</t>
  </si>
  <si>
    <t>SD401</t>
  </si>
  <si>
    <t>PANCREATIC ENZYMES</t>
  </si>
  <si>
    <t>C155</t>
  </si>
  <si>
    <t>HIGH POTENCY VITAMIN C</t>
  </si>
  <si>
    <t>SP630</t>
  </si>
  <si>
    <t>PRO-RESOLVING MEDIATORS</t>
  </si>
  <si>
    <t>SP114</t>
  </si>
  <si>
    <t>RECOVERYPRO</t>
  </si>
  <si>
    <t>SF809</t>
  </si>
  <si>
    <t>CRAVING AND STRESS SUPPORT‡</t>
  </si>
  <si>
    <t>M220</t>
  </si>
  <si>
    <t>ZINC PICOLINATE 30MG [60]</t>
  </si>
  <si>
    <t>SP639</t>
  </si>
  <si>
    <t>OMEGA SUPERB - LEMON BERRY</t>
  </si>
  <si>
    <t>SF799</t>
  </si>
  <si>
    <t>PHYTOPROFEN</t>
  </si>
  <si>
    <t>SF829</t>
  </si>
  <si>
    <t>DEEP SLEEP COMPLEX</t>
  </si>
  <si>
    <t>SA561</t>
  </si>
  <si>
    <t>NAC [180]</t>
  </si>
  <si>
    <t>SP622NC</t>
  </si>
  <si>
    <t>SUPER EPA [180]</t>
  </si>
  <si>
    <t>D139</t>
  </si>
  <si>
    <t>D-5,000 [120]</t>
  </si>
  <si>
    <t>ZD405</t>
  </si>
  <si>
    <t>ADVANCED DIGESTIVE ENZYMES[180'S]</t>
  </si>
  <si>
    <t>SP637P</t>
  </si>
  <si>
    <t>AMINO COMPLEX LEMON STICK PACKS</t>
  </si>
  <si>
    <t>SD410</t>
  </si>
  <si>
    <t>MULTI ENZYME</t>
  </si>
  <si>
    <t>SP110P</t>
  </si>
  <si>
    <t>WHEY PROTEIN ISOLATE CHOCOLATE PACKETS</t>
  </si>
  <si>
    <t>KIT007</t>
  </si>
  <si>
    <t>WEIGHT MANAGEMENT</t>
  </si>
  <si>
    <t>SP111P</t>
  </si>
  <si>
    <t>WHEY PROTEIN ISOLATE VANILLA PACKETS</t>
  </si>
  <si>
    <t>DID004</t>
  </si>
  <si>
    <t>SYNAQUELL PLUS</t>
  </si>
  <si>
    <t>ZF750</t>
  </si>
  <si>
    <t>FERRASORB</t>
  </si>
  <si>
    <t>SF745</t>
  </si>
  <si>
    <t>GRAPE SEED EXTRACT</t>
  </si>
  <si>
    <t>ZB107</t>
  </si>
  <si>
    <t>M285</t>
  </si>
  <si>
    <t>MAGNESIUM GLYCINATE [180]</t>
  </si>
  <si>
    <t>ZB104</t>
  </si>
  <si>
    <t>ZF800</t>
  </si>
  <si>
    <t>BERBERINE-HP</t>
  </si>
  <si>
    <t>KIT001</t>
  </si>
  <si>
    <t>STRESS</t>
  </si>
  <si>
    <t>ZKD500</t>
  </si>
  <si>
    <t>VITAMIN D/K2</t>
  </si>
  <si>
    <t>DID003</t>
  </si>
  <si>
    <t>SYNAQUELL</t>
  </si>
  <si>
    <t>SF830</t>
  </si>
  <si>
    <t>VALERIAN ROOT</t>
  </si>
  <si>
    <t>ZM6</t>
  </si>
  <si>
    <t>Essential Nutrients 50+</t>
  </si>
  <si>
    <t>ZM272</t>
  </si>
  <si>
    <t>MAGNESIUM-CITRAMATE</t>
  </si>
  <si>
    <t>ZD415</t>
  </si>
  <si>
    <t>BETAINE HCL/PEPSIN</t>
  </si>
  <si>
    <t>ZB129</t>
  </si>
  <si>
    <t>5-MTHF</t>
  </si>
  <si>
    <t>SP119</t>
  </si>
  <si>
    <t>PLANT PROTEIN - CHOCOLATE</t>
  </si>
  <si>
    <t>ZVM114AM</t>
  </si>
  <si>
    <t>MULTI-VITAMIN ELITE AM</t>
  </si>
  <si>
    <t>ZF813</t>
  </si>
  <si>
    <t>ZM226</t>
  </si>
  <si>
    <t>KIT010</t>
  </si>
  <si>
    <t>MENOPAUSE</t>
  </si>
  <si>
    <t>ZF815</t>
  </si>
  <si>
    <t>CURCUMIN PHYTOSOME-SR</t>
  </si>
  <si>
    <t>ZC154</t>
  </si>
  <si>
    <t>VITAMIN C W/FLAVONOIDS</t>
  </si>
  <si>
    <t>ZP645</t>
  </si>
  <si>
    <t>KIT002</t>
  </si>
  <si>
    <t>SLEEP</t>
  </si>
  <si>
    <t>SP120</t>
  </si>
  <si>
    <t>PLANT PROTEIN - VANILLA</t>
  </si>
  <si>
    <t>ZF755</t>
  </si>
  <si>
    <t>RHODIOLA</t>
  </si>
  <si>
    <t>KIT004</t>
  </si>
  <si>
    <t>FERTILITY</t>
  </si>
  <si>
    <t>ZB106</t>
  </si>
  <si>
    <t>D129</t>
  </si>
  <si>
    <t>D-1,000 [180]</t>
  </si>
  <si>
    <t>ZF732</t>
  </si>
  <si>
    <t>ZF774</t>
  </si>
  <si>
    <t>KIT003</t>
  </si>
  <si>
    <t>THYROID</t>
  </si>
  <si>
    <t>ZM225</t>
  </si>
  <si>
    <t>ZVM114PM</t>
  </si>
  <si>
    <t>MULTI-VITAMIN ELITE PM</t>
  </si>
  <si>
    <t>ZM239</t>
  </si>
  <si>
    <t>ZINC CITRATE</t>
  </si>
  <si>
    <t>ZF802</t>
  </si>
  <si>
    <t>MOOD PLUS</t>
  </si>
  <si>
    <t>ZD128</t>
  </si>
  <si>
    <t>ZB335</t>
  </si>
  <si>
    <t>ZA560</t>
  </si>
  <si>
    <t>ZF714</t>
  </si>
  <si>
    <t>GI-RELIEF</t>
  </si>
  <si>
    <t>ZP624</t>
  </si>
  <si>
    <t>CoQ10</t>
  </si>
  <si>
    <t>ZC155</t>
  </si>
  <si>
    <t>BUFFERED VITAMIN C POWDER</t>
  </si>
  <si>
    <t>KIT006</t>
  </si>
  <si>
    <t>ZM277</t>
  </si>
  <si>
    <t>CALCIUM MAGNESIUM MALATE</t>
  </si>
  <si>
    <t>ZF789</t>
  </si>
  <si>
    <t>ZD168</t>
  </si>
  <si>
    <t>VITAMIN D LIQUID 500 IU</t>
  </si>
  <si>
    <t>ZA540</t>
  </si>
  <si>
    <t>ZF788</t>
  </si>
  <si>
    <t>ZA503</t>
  </si>
  <si>
    <t>5-HYDROXYTRYPTOPHAN</t>
  </si>
  <si>
    <t>ZF784</t>
  </si>
  <si>
    <t>THYROCSIN</t>
  </si>
  <si>
    <t>ZC153</t>
  </si>
  <si>
    <t>ASCORBIC ACID 1 GRAM</t>
  </si>
  <si>
    <t>UPC</t>
  </si>
  <si>
    <t>Price</t>
  </si>
  <si>
    <r>
      <rPr>
        <b/>
        <sz val="11"/>
        <color indexed="10"/>
        <rFont val="Calibri"/>
        <family val="2"/>
        <charset val="204"/>
      </rPr>
      <t>Importantly!</t>
    </r>
    <r>
      <rPr>
        <sz val="11"/>
        <color indexed="8"/>
        <rFont val="Calibri"/>
        <family val="2"/>
        <charset val="204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</si>
  <si>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Unіt Freight Cost</t>
  </si>
  <si>
    <t>Weight, kg</t>
  </si>
  <si>
    <t>Logistic Price</t>
  </si>
  <si>
    <t>693749015116  (Gusset)
693749015413 (Stick Pack)</t>
  </si>
  <si>
    <t>693749015314 (Gusset)</t>
  </si>
  <si>
    <t>693749015253 (Gusset)
693749015420 (Stick Pack)</t>
  </si>
  <si>
    <t>693749015130 (Gusset)
693749015390 (Stick Pack)</t>
  </si>
  <si>
    <t>693749015352 (Carton)
693749015406 (Stick Pack)</t>
  </si>
  <si>
    <t>693749015277 (Gusset)
693749015437 (Stick Pack)</t>
  </si>
  <si>
    <t/>
  </si>
  <si>
    <t>693749015291 (Gusset)
693749015444 (Stick Pack)</t>
  </si>
  <si>
    <t>693749015178 (Gusset)
693749015482 (Stick Pack)</t>
  </si>
  <si>
    <t>693749015154 (Gusset)
693749015475 (Stick Pack)</t>
  </si>
  <si>
    <t>693749015192 (Carton)
693749015451 (Packet)</t>
  </si>
  <si>
    <t>693749015215 (Carton)
693749015468 (Packet)</t>
  </si>
  <si>
    <t>Size</t>
  </si>
  <si>
    <t>16 oz (450 g)</t>
  </si>
  <si>
    <t>6.5 oz (187 g)</t>
  </si>
  <si>
    <t>2 Bottles (90 ea)</t>
  </si>
  <si>
    <t xml:space="preserve">32 oz (900 g) </t>
  </si>
  <si>
    <t>1 fl oz (30 ml)</t>
  </si>
  <si>
    <t>31.9 oz (906 g)</t>
  </si>
  <si>
    <t>8 oz (228 g)</t>
  </si>
  <si>
    <t xml:space="preserve">17.5 oz (495 g) </t>
  </si>
  <si>
    <t xml:space="preserve">17.8 oz (506 g) </t>
  </si>
  <si>
    <t>11.6 oz (330 g)</t>
  </si>
  <si>
    <t>29.5 oz (837 g)</t>
  </si>
  <si>
    <t>30 - 0.18 oz (5.15 g) / 5.45 oz (154.5 g)</t>
  </si>
  <si>
    <t>17.8 oz (504 g)</t>
  </si>
  <si>
    <t>8.1 oz (231 g)</t>
  </si>
  <si>
    <t>30 - 0.15 oz (4.37 g) / 4.62 oz (131.1 g)</t>
  </si>
  <si>
    <t xml:space="preserve">7.3 oz (207 g) </t>
  </si>
  <si>
    <t>7.55 oz (214 g)</t>
  </si>
  <si>
    <t>13.1 oz (372 g)</t>
  </si>
  <si>
    <t xml:space="preserve">38.2 oz (1,083 g) </t>
  </si>
  <si>
    <t>11.01 oz (312 g)</t>
  </si>
  <si>
    <t>13.5 oz (384 g)</t>
  </si>
  <si>
    <t>30 - 0.13 oz (3.8 g) / 4.02 oz (114 g)</t>
  </si>
  <si>
    <t xml:space="preserve">27.2 oz (772 g) </t>
  </si>
  <si>
    <t>30 - 0.04 oz (1 g) / 1.06 oz (30 g)</t>
  </si>
  <si>
    <t xml:space="preserve">34.4 oz (978 g) </t>
  </si>
  <si>
    <t xml:space="preserve">14.8 oz (420 g) </t>
  </si>
  <si>
    <t>450 g</t>
  </si>
  <si>
    <t xml:space="preserve">5.9 oz (168 g) </t>
  </si>
  <si>
    <t>4.32 oz (122.6 g)</t>
  </si>
  <si>
    <t>30 - 0.27 oz (7.7 g) / 8.15 oz (231 g)</t>
  </si>
  <si>
    <t>8.47 oz (240 g)</t>
  </si>
  <si>
    <t>16.8 oz (476 g)</t>
  </si>
  <si>
    <t>6.76 fl oz (200 ml)</t>
  </si>
  <si>
    <t>30 - 0.28 oz (7.8 g) / 8.25 oz (234 g)</t>
  </si>
  <si>
    <t>14 - 1.06 oz (30.2 g) / 14.91 oz (422.8 g)</t>
  </si>
  <si>
    <t>14 - 0.98 oz (27.9 g) / 13.78 oz (390.6 g)</t>
  </si>
  <si>
    <t>12.8 oz (363 g)</t>
  </si>
  <si>
    <t>8.25 oz (234 g)</t>
  </si>
  <si>
    <t>23.8 oz (676 g)</t>
  </si>
  <si>
    <t>772 g</t>
  </si>
  <si>
    <t>22.2 oz (630 g)</t>
  </si>
  <si>
    <t>244 g</t>
  </si>
  <si>
    <t>Qty</t>
  </si>
  <si>
    <t>Total</t>
  </si>
  <si>
    <t>unit, key</t>
  </si>
  <si>
    <t>Landed Cost</t>
  </si>
  <si>
    <t>Weight (kg)</t>
  </si>
  <si>
    <t>USA → +13-322-093-910</t>
  </si>
  <si>
    <t>Poland → +48-459-568-603</t>
  </si>
  <si>
    <t>WhatsApp → +380-9871-54085</t>
  </si>
  <si>
    <t>E-mail → info@dsn.group</t>
  </si>
  <si>
    <t>Instagram → https://www.instagram.com/dsngroup.official/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</si>
</sst>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[$$]#,##0.00_)_%;\([$$]#,##0.00\)_%;_(&quot;–&quot;_)_%;_(@_)_%"/>
    <numFmt numFmtId="165" formatCode="_-[$$-409]* #,##0.00_ ;_-[$$-409]* \-#,##0.00\ ;_-[$$-409]* &quot;-&quot;??_ ;_-@_ "/>
    <numFmt numFmtId="166" formatCode="[$$-409]#,##0.00"/>
    <numFmt numFmtId="167" formatCode="000000000000"/>
  </numFmts>
  <fonts count="15">
    <font>
      <sz val="11"/>
      <color theme="1"/>
      <name val="Calibri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Calibri"/>
      <family val="2"/>
      <charset val="204"/>
    </font>
    <font>
      <b/>
      <sz val="11"/>
      <color indexed="10"/>
      <name val="Calibri"/>
      <family val="2"/>
      <charset val="204"/>
    </font>
    <font>
      <b/>
      <sz val="12"/>
      <name val="Calibri"/>
      <family val="2"/>
      <charset val="204"/>
    </font>
    <font>
      <b/>
      <u val="singleAccounting"/>
      <sz val="10"/>
      <color theme="0"/>
      <name val="Arial"/>
      <family val="2"/>
    </font>
    <font>
      <sz val="10"/>
      <color rgb="FF000000"/>
      <name val="Arial"/>
      <family val="2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rgb="FF000000"/>
      <name val="Arial"/>
      <family val="2"/>
      <charset val="204"/>
    </font>
    <font>
      <b/>
      <sz val="12"/>
      <color rgb="FFFF000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</font>
    <font>
      <sz val="10"/>
      <name val="Arial"/>
      <family val="2"/>
      <charset val="1"/>
    </font>
    <font>
      <sz val="10"/>
      <name val="Tahoma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3" fillId="0" borderId="0"/>
  </cellStyleXfs>
  <cellXfs count="38">
    <xf numFmtId="0" fontId="0" fillId="0" borderId="0" xfId="0">
      <alignment vertical="center"/>
    </xf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164" fontId="6" fillId="0" borderId="0" xfId="0" applyNumberFormat="1" applyFont="1" applyAlignment="1"/>
    <xf numFmtId="14" fontId="7" fillId="0" borderId="0" xfId="0" quotePrefix="1" applyNumberFormat="1" applyFont="1" applyAlignment="1">
      <alignment horizontal="center" vertical="center"/>
    </xf>
    <xf numFmtId="0" fontId="0" fillId="0" borderId="0" xfId="0" applyAlignment="1"/>
    <xf numFmtId="14" fontId="8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 applyProtection="1">
      <alignment horizontal="center" vertical="center" wrapText="1" readingOrder="1"/>
      <protection hidden="1"/>
    </xf>
    <xf numFmtId="0" fontId="0" fillId="0" borderId="2" xfId="0" applyBorder="1" applyAlignment="1"/>
    <xf numFmtId="166" fontId="8" fillId="3" borderId="1" xfId="0" applyNumberFormat="1" applyFont="1" applyFill="1" applyBorder="1" applyAlignment="1">
      <alignment horizontal="center" vertical="center"/>
    </xf>
    <xf numFmtId="167" fontId="5" fillId="2" borderId="0" xfId="0" applyNumberFormat="1" applyFont="1" applyFill="1" applyAlignment="1">
      <alignment horizontal="center"/>
    </xf>
    <xf numFmtId="167" fontId="6" fillId="0" borderId="0" xfId="0" applyNumberFormat="1" applyFont="1" applyAlignment="1"/>
    <xf numFmtId="167" fontId="0" fillId="0" borderId="0" xfId="0" applyNumberFormat="1">
      <alignment vertical="center"/>
    </xf>
    <xf numFmtId="0" fontId="5" fillId="2" borderId="0" xfId="0" applyFont="1" applyFill="1" applyAlignment="1">
      <alignment horizontal="center" wrapText="1"/>
    </xf>
    <xf numFmtId="1" fontId="6" fillId="0" borderId="0" xfId="0" applyNumberFormat="1" applyFont="1" applyAlignment="1">
      <alignment horizontal="center" wrapText="1"/>
    </xf>
    <xf numFmtId="0" fontId="0" fillId="0" borderId="0" xfId="0" applyAlignment="1">
      <alignment vertical="center" wrapText="1"/>
    </xf>
    <xf numFmtId="164" fontId="9" fillId="0" borderId="0" xfId="0" applyNumberFormat="1" applyFont="1" applyAlignment="1"/>
    <xf numFmtId="0" fontId="10" fillId="4" borderId="1" xfId="0" applyFont="1" applyFill="1" applyBorder="1" applyAlignment="1" applyProtection="1">
      <alignment horizontal="center" vertical="center" wrapText="1" readingOrder="1"/>
      <protection locked="0"/>
    </xf>
    <xf numFmtId="4" fontId="8" fillId="4" borderId="3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 applyProtection="1">
      <alignment horizontal="center" vertical="center" wrapText="1" readingOrder="1"/>
      <protection hidden="1"/>
    </xf>
    <xf numFmtId="165" fontId="4" fillId="0" borderId="4" xfId="0" applyNumberFormat="1" applyFont="1" applyBorder="1" applyAlignment="1" applyProtection="1">
      <alignment vertical="center" wrapText="1" readingOrder="1"/>
      <protection hidden="1"/>
    </xf>
    <xf numFmtId="4" fontId="8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center" wrapText="1"/>
    </xf>
    <xf numFmtId="167" fontId="6" fillId="0" borderId="0" xfId="0" applyNumberFormat="1" applyFont="1" applyAlignment="1">
      <alignment wrapText="1"/>
    </xf>
    <xf numFmtId="0" fontId="11" fillId="0" borderId="0" xfId="0" applyFont="1" applyAlignment="1" applyProtection="1">
      <alignment horizontal="left" wrapText="1"/>
      <protection hidden="1"/>
    </xf>
    <xf numFmtId="14" fontId="8" fillId="3" borderId="5" xfId="0" applyNumberFormat="1" applyFont="1" applyFill="1" applyBorder="1" applyAlignment="1">
      <alignment horizontal="center" vertical="center" wrapText="1"/>
    </xf>
    <xf numFmtId="14" fontId="8" fillId="3" borderId="3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14" fillId="0" borderId="6" xfId="1" applyFont="1" applyBorder="1" applyAlignment="1">
      <alignment horizontal="center"/>
    </xf>
    <xf numFmtId="0" fontId="14" fillId="0" borderId="7" xfId="1" applyFont="1" applyBorder="1" applyAlignment="1">
      <alignment horizontal="center"/>
    </xf>
    <xf numFmtId="0" fontId="14" fillId="0" borderId="8" xfId="1" applyFont="1" applyBorder="1" applyAlignment="1">
      <alignment horizontal="center"/>
    </xf>
    <xf numFmtId="0" fontId="14" fillId="0" borderId="9" xfId="1" applyFont="1" applyBorder="1" applyAlignment="1">
      <alignment horizontal="center"/>
    </xf>
    <xf numFmtId="0" fontId="14" fillId="0" borderId="10" xfId="1" applyFont="1" applyBorder="1" applyAlignment="1">
      <alignment horizontal="center"/>
    </xf>
  </cellXfs>
  <cellStyles count="2">
    <cellStyle name="Excel Built-in Normal" xfId="1" xr:uid="{EA0156F1-C2F8-451A-B6BF-EB777E3454F0}"/>
    <cellStyle name="Звичайний" xfId="0" builtinId="0"/>
  </cellStyles>
  <dxfs count="3"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2110740</xdr:colOff>
      <xdr:row>0</xdr:row>
      <xdr:rowOff>243840</xdr:rowOff>
    </xdr:from>
    <xdr:to>
      <xdr:col>4</xdr:col>
      <xdr:colOff>845820</xdr:colOff>
      <xdr:row>0</xdr:row>
      <xdr:rowOff>655320</xdr:rowOff>
    </xdr:to>
    <xdr:pic>
      <xdr:nvPicPr>
        <xdr:cNvPr id="1054" name="Рисунок 1" descr="Thorne Merges with Onegevity; Announces New Parent Company, Thorne  HealthTech">
          <a:extLst>
            <a:ext uri="{FF2B5EF4-FFF2-40B4-BE49-F238E27FC236}">
              <a16:creationId xmlns:a16="http://schemas.microsoft.com/office/drawing/2014/main" id="{B34D72DF-042E-1772-D995-AC4DD2CB9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5380" y="243840"/>
          <a:ext cx="2667000" cy="411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8BB40-4939-41F4-BCE7-C68A20DDFD86}">
  <dimension ref="A1:S233"/>
  <sheetViews>
    <sheetView tabSelected="1" zoomScale="70" zoomScaleNormal="70" workbookViewId="0">
      <selection activeCell="K10" sqref="K10"/>
    </sheetView>
  </sheetViews>
  <sheetFormatPr defaultRowHeight="14.4"/>
  <cols>
    <col min="1" max="1" width="5.44140625" bestFit="1" customWidth="1"/>
    <col min="2" max="2" width="10.33203125" bestFit="1" customWidth="1"/>
    <col min="3" max="3" width="25.5546875" style="14" bestFit="1" customWidth="1"/>
    <col min="4" max="4" width="57.33203125" bestFit="1" customWidth="1"/>
    <col min="5" max="6" width="18.6640625" style="17" customWidth="1"/>
    <col min="7" max="7" width="16.88671875" bestFit="1" customWidth="1"/>
    <col min="8" max="8" width="14.109375" customWidth="1"/>
    <col min="9" max="9" width="17.6640625" customWidth="1"/>
    <col min="10" max="10" width="18.109375" customWidth="1"/>
    <col min="12" max="12" width="11" bestFit="1" customWidth="1"/>
    <col min="14" max="19" width="12.33203125" customWidth="1"/>
  </cols>
  <sheetData>
    <row r="1" spans="1:19" s="6" customFormat="1" ht="85.2" customHeight="1" thickBot="1">
      <c r="A1" s="29" t="s">
        <v>430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5">
        <v>46029</v>
      </c>
      <c r="N1" s="7" t="s">
        <v>431</v>
      </c>
      <c r="O1" s="30" t="s">
        <v>491</v>
      </c>
      <c r="P1" s="8" t="s">
        <v>432</v>
      </c>
      <c r="Q1" s="9" t="s">
        <v>433</v>
      </c>
      <c r="R1" s="10"/>
      <c r="S1" s="11" t="str">
        <f>IFERROR(IF(SUM(S3:S239)=0, "-", J2+Q2), "-")</f>
        <v>-</v>
      </c>
    </row>
    <row r="2" spans="1:19" ht="19.2" thickBot="1">
      <c r="A2" s="1" t="s">
        <v>0</v>
      </c>
      <c r="B2" s="1" t="s">
        <v>1</v>
      </c>
      <c r="C2" s="12" t="s">
        <v>428</v>
      </c>
      <c r="D2" s="1" t="s">
        <v>2</v>
      </c>
      <c r="E2" s="15" t="s">
        <v>446</v>
      </c>
      <c r="F2" s="15" t="s">
        <v>493</v>
      </c>
      <c r="G2" s="1" t="s">
        <v>429</v>
      </c>
      <c r="H2" s="15" t="s">
        <v>489</v>
      </c>
      <c r="I2" s="1" t="s">
        <v>490</v>
      </c>
      <c r="J2" s="18">
        <f>SUM(I:I)</f>
        <v>0</v>
      </c>
      <c r="N2" s="19"/>
      <c r="O2" s="31"/>
      <c r="P2" s="20" t="str">
        <f>IF(SUM(P3:P239)=0, "-", SUM(P3:P239))</f>
        <v>-</v>
      </c>
      <c r="Q2" s="21" t="str">
        <f>IF(SUM(Q3:Q239)=0, "-", SUM(Q3:Q239))</f>
        <v>-</v>
      </c>
      <c r="R2" s="22"/>
      <c r="S2" s="26" t="s">
        <v>492</v>
      </c>
    </row>
    <row r="3" spans="1:19">
      <c r="A3" s="2">
        <v>1</v>
      </c>
      <c r="B3" s="3" t="s">
        <v>3</v>
      </c>
      <c r="C3" s="13">
        <v>693749006350</v>
      </c>
      <c r="D3" s="3" t="s">
        <v>4</v>
      </c>
      <c r="E3" s="16" t="s">
        <v>447</v>
      </c>
      <c r="F3" s="27">
        <v>0.78262466229732175</v>
      </c>
      <c r="G3" s="4">
        <v>35.078400000000002</v>
      </c>
      <c r="H3" s="16"/>
      <c r="I3" s="4">
        <f>IFERROR(G3*H3,"")</f>
        <v>0</v>
      </c>
      <c r="J3" t="s">
        <v>440</v>
      </c>
      <c r="N3" s="23" t="str">
        <f>IFERROR(IF($N$2*F3=0, "-", $N$2*F3), "-")</f>
        <v>-</v>
      </c>
      <c r="O3" s="23" t="str">
        <f>IFERROR(IF(G3+N3=0, "-", IF(N3&gt;0, G3+N3, "-")), "-")</f>
        <v>-</v>
      </c>
      <c r="P3" s="24" t="str">
        <f>IF(H3&gt;0,H3*F3, "-")</f>
        <v>-</v>
      </c>
      <c r="Q3" s="25" t="str">
        <f>IFERROR(IF($N$2&gt;0, $N$2*P3, "-"), "-")</f>
        <v>-</v>
      </c>
      <c r="R3" s="6"/>
      <c r="S3" s="25" t="str">
        <f>IFERROR(IF(Q3+I3=0, "-", IF(Q3&gt;0, Q3+I3, "-")), "-")</f>
        <v>-</v>
      </c>
    </row>
    <row r="4" spans="1:19">
      <c r="A4" s="2">
        <f t="shared" ref="A4:A67" si="0">+A3+1</f>
        <v>2</v>
      </c>
      <c r="B4" s="3" t="s">
        <v>5</v>
      </c>
      <c r="C4" s="13">
        <v>693749006848</v>
      </c>
      <c r="D4" s="3" t="s">
        <v>6</v>
      </c>
      <c r="E4" s="16">
        <v>60</v>
      </c>
      <c r="F4" s="27">
        <v>0.10603301876286295</v>
      </c>
      <c r="G4" s="4">
        <v>31.698450000000001</v>
      </c>
      <c r="H4" s="16"/>
      <c r="I4" s="4">
        <f t="shared" ref="I4:I67" si="1">IFERROR(G4*H4,"")</f>
        <v>0</v>
      </c>
      <c r="J4" t="s">
        <v>440</v>
      </c>
      <c r="N4" s="23" t="str">
        <f t="shared" ref="N4:N67" si="2">IFERROR(IF($N$2*F4=0, "-", $N$2*F4), "-")</f>
        <v>-</v>
      </c>
      <c r="O4" s="23" t="str">
        <f t="shared" ref="O4:O67" si="3">IFERROR(IF(G4+N4=0, "-", IF(N4&gt;0, G4+N4, "-")), "-")</f>
        <v>-</v>
      </c>
      <c r="P4" s="24" t="str">
        <f t="shared" ref="P4:P67" si="4">IF(H4&gt;0,H4*F4, "-")</f>
        <v>-</v>
      </c>
      <c r="Q4" s="25" t="str">
        <f t="shared" ref="Q4:Q67" si="5">IFERROR(IF($N$2&gt;0, $N$2*P4, "-"), "-")</f>
        <v>-</v>
      </c>
      <c r="R4" s="6"/>
      <c r="S4" s="25" t="str">
        <f t="shared" ref="S4:S67" si="6">IFERROR(IF(Q4+I4=0, "-", IF(Q4&gt;0, Q4+I4, "-")), "-")</f>
        <v>-</v>
      </c>
    </row>
    <row r="5" spans="1:19">
      <c r="A5" s="2">
        <f t="shared" si="0"/>
        <v>3</v>
      </c>
      <c r="B5" s="3" t="s">
        <v>7</v>
      </c>
      <c r="C5" s="13">
        <v>693749048008</v>
      </c>
      <c r="D5" s="3" t="s">
        <v>8</v>
      </c>
      <c r="E5" s="16">
        <v>60</v>
      </c>
      <c r="F5" s="27">
        <v>0.10098382739320282</v>
      </c>
      <c r="G5" s="4">
        <v>34.3476</v>
      </c>
      <c r="H5" s="16"/>
      <c r="I5" s="4">
        <f t="shared" si="1"/>
        <v>0</v>
      </c>
      <c r="J5" t="s">
        <v>440</v>
      </c>
      <c r="N5" s="23" t="str">
        <f t="shared" si="2"/>
        <v>-</v>
      </c>
      <c r="O5" s="23" t="str">
        <f t="shared" si="3"/>
        <v>-</v>
      </c>
      <c r="P5" s="24" t="str">
        <f t="shared" si="4"/>
        <v>-</v>
      </c>
      <c r="Q5" s="25" t="str">
        <f t="shared" si="5"/>
        <v>-</v>
      </c>
      <c r="R5" s="6"/>
      <c r="S5" s="25" t="str">
        <f t="shared" si="6"/>
        <v>-</v>
      </c>
    </row>
    <row r="6" spans="1:19">
      <c r="A6" s="2">
        <f t="shared" si="0"/>
        <v>4</v>
      </c>
      <c r="B6" s="3" t="s">
        <v>9</v>
      </c>
      <c r="C6" s="13">
        <v>693749015048</v>
      </c>
      <c r="D6" s="3" t="s">
        <v>10</v>
      </c>
      <c r="E6" s="16">
        <v>90</v>
      </c>
      <c r="F6" s="27">
        <v>0.16157412382912451</v>
      </c>
      <c r="G6" s="4">
        <v>29.049299999999999</v>
      </c>
      <c r="H6" s="16"/>
      <c r="I6" s="4">
        <f t="shared" si="1"/>
        <v>0</v>
      </c>
      <c r="J6" t="s">
        <v>440</v>
      </c>
      <c r="N6" s="23" t="str">
        <f t="shared" si="2"/>
        <v>-</v>
      </c>
      <c r="O6" s="23" t="str">
        <f t="shared" si="3"/>
        <v>-</v>
      </c>
      <c r="P6" s="24" t="str">
        <f t="shared" si="4"/>
        <v>-</v>
      </c>
      <c r="Q6" s="25" t="str">
        <f t="shared" si="5"/>
        <v>-</v>
      </c>
      <c r="R6" s="6"/>
      <c r="S6" s="25" t="str">
        <f t="shared" si="6"/>
        <v>-</v>
      </c>
    </row>
    <row r="7" spans="1:19">
      <c r="A7" s="2">
        <f t="shared" si="0"/>
        <v>5</v>
      </c>
      <c r="B7" s="3" t="s">
        <v>11</v>
      </c>
      <c r="C7" s="13">
        <v>693749006442</v>
      </c>
      <c r="D7" s="3" t="s">
        <v>12</v>
      </c>
      <c r="E7" s="16" t="s">
        <v>448</v>
      </c>
      <c r="F7" s="27">
        <v>0.30800067354926852</v>
      </c>
      <c r="G7" s="4">
        <v>46.19265</v>
      </c>
      <c r="H7" s="16"/>
      <c r="I7" s="4">
        <f t="shared" si="1"/>
        <v>0</v>
      </c>
      <c r="J7" t="s">
        <v>440</v>
      </c>
      <c r="N7" s="23" t="str">
        <f t="shared" si="2"/>
        <v>-</v>
      </c>
      <c r="O7" s="23" t="str">
        <f t="shared" si="3"/>
        <v>-</v>
      </c>
      <c r="P7" s="24" t="str">
        <f t="shared" si="4"/>
        <v>-</v>
      </c>
      <c r="Q7" s="25" t="str">
        <f t="shared" si="5"/>
        <v>-</v>
      </c>
      <c r="R7" s="6"/>
      <c r="S7" s="25" t="str">
        <f t="shared" si="6"/>
        <v>-</v>
      </c>
    </row>
    <row r="8" spans="1:19">
      <c r="A8" s="2">
        <f t="shared" si="0"/>
        <v>6</v>
      </c>
      <c r="B8" s="3" t="s">
        <v>13</v>
      </c>
      <c r="C8" s="13">
        <v>693749004790</v>
      </c>
      <c r="D8" s="3" t="s">
        <v>14</v>
      </c>
      <c r="E8" s="16">
        <v>120</v>
      </c>
      <c r="F8" s="27">
        <v>0.19186927204708534</v>
      </c>
      <c r="G8" s="4">
        <v>56.423850000000002</v>
      </c>
      <c r="H8" s="16"/>
      <c r="I8" s="4">
        <f t="shared" si="1"/>
        <v>0</v>
      </c>
      <c r="J8" t="s">
        <v>440</v>
      </c>
      <c r="N8" s="23" t="str">
        <f t="shared" si="2"/>
        <v>-</v>
      </c>
      <c r="O8" s="23" t="str">
        <f t="shared" si="3"/>
        <v>-</v>
      </c>
      <c r="P8" s="24" t="str">
        <f t="shared" si="4"/>
        <v>-</v>
      </c>
      <c r="Q8" s="25" t="str">
        <f t="shared" si="5"/>
        <v>-</v>
      </c>
      <c r="R8" s="6"/>
      <c r="S8" s="25" t="str">
        <f t="shared" si="6"/>
        <v>-</v>
      </c>
    </row>
    <row r="9" spans="1:19">
      <c r="A9" s="2">
        <f t="shared" si="0"/>
        <v>7</v>
      </c>
      <c r="B9" s="3" t="s">
        <v>15</v>
      </c>
      <c r="C9" s="13">
        <v>693749104032</v>
      </c>
      <c r="D9" s="3" t="s">
        <v>16</v>
      </c>
      <c r="E9" s="16">
        <v>60</v>
      </c>
      <c r="F9" s="27">
        <v>0.10603301876286295</v>
      </c>
      <c r="G9" s="4">
        <v>20.553750000000001</v>
      </c>
      <c r="H9" s="16"/>
      <c r="I9" s="4">
        <f t="shared" si="1"/>
        <v>0</v>
      </c>
      <c r="J9" t="s">
        <v>440</v>
      </c>
      <c r="N9" s="23" t="str">
        <f t="shared" si="2"/>
        <v>-</v>
      </c>
      <c r="O9" s="23" t="str">
        <f t="shared" si="3"/>
        <v>-</v>
      </c>
      <c r="P9" s="24" t="str">
        <f t="shared" si="4"/>
        <v>-</v>
      </c>
      <c r="Q9" s="25" t="str">
        <f t="shared" si="5"/>
        <v>-</v>
      </c>
      <c r="R9" s="6"/>
      <c r="S9" s="25" t="str">
        <f t="shared" si="6"/>
        <v>-</v>
      </c>
    </row>
    <row r="10" spans="1:19">
      <c r="A10" s="2">
        <f t="shared" si="0"/>
        <v>8</v>
      </c>
      <c r="B10" s="3" t="s">
        <v>17</v>
      </c>
      <c r="C10" s="13">
        <v>693749007081</v>
      </c>
      <c r="D10" s="3" t="s">
        <v>18</v>
      </c>
      <c r="E10" s="16" t="s">
        <v>449</v>
      </c>
      <c r="F10" s="27">
        <v>0.29790229080994823</v>
      </c>
      <c r="G10" s="4">
        <v>68.603850000000008</v>
      </c>
      <c r="H10" s="16"/>
      <c r="I10" s="4">
        <f t="shared" si="1"/>
        <v>0</v>
      </c>
      <c r="J10" t="s">
        <v>440</v>
      </c>
      <c r="N10" s="23" t="str">
        <f t="shared" si="2"/>
        <v>-</v>
      </c>
      <c r="O10" s="23" t="str">
        <f t="shared" si="3"/>
        <v>-</v>
      </c>
      <c r="P10" s="24" t="str">
        <f t="shared" si="4"/>
        <v>-</v>
      </c>
      <c r="Q10" s="25" t="str">
        <f t="shared" si="5"/>
        <v>-</v>
      </c>
      <c r="R10" s="6"/>
      <c r="S10" s="25" t="str">
        <f t="shared" si="6"/>
        <v>-</v>
      </c>
    </row>
    <row r="11" spans="1:19">
      <c r="A11" s="2">
        <f t="shared" si="0"/>
        <v>9</v>
      </c>
      <c r="B11" s="3" t="s">
        <v>19</v>
      </c>
      <c r="C11" s="13">
        <v>693749015239</v>
      </c>
      <c r="D11" s="3" t="s">
        <v>20</v>
      </c>
      <c r="E11" s="16" t="s">
        <v>450</v>
      </c>
      <c r="F11" s="27">
        <v>1.4693146885711008</v>
      </c>
      <c r="G11" s="4">
        <v>67.066125</v>
      </c>
      <c r="H11" s="16"/>
      <c r="I11" s="4">
        <f t="shared" si="1"/>
        <v>0</v>
      </c>
      <c r="J11" t="s">
        <v>440</v>
      </c>
      <c r="N11" s="23" t="str">
        <f t="shared" si="2"/>
        <v>-</v>
      </c>
      <c r="O11" s="23" t="str">
        <f t="shared" si="3"/>
        <v>-</v>
      </c>
      <c r="P11" s="24" t="str">
        <f t="shared" si="4"/>
        <v>-</v>
      </c>
      <c r="Q11" s="25" t="str">
        <f t="shared" si="5"/>
        <v>-</v>
      </c>
      <c r="R11" s="6"/>
      <c r="S11" s="25" t="str">
        <f t="shared" si="6"/>
        <v>-</v>
      </c>
    </row>
    <row r="12" spans="1:19">
      <c r="A12" s="2">
        <f t="shared" si="0"/>
        <v>10</v>
      </c>
      <c r="B12" s="3" t="s">
        <v>21</v>
      </c>
      <c r="C12" s="13">
        <v>693749006909</v>
      </c>
      <c r="D12" s="3" t="s">
        <v>22</v>
      </c>
      <c r="E12" s="16">
        <v>90</v>
      </c>
      <c r="F12" s="27">
        <v>0.287803908070628</v>
      </c>
      <c r="G12" s="4">
        <v>31.211250000000003</v>
      </c>
      <c r="H12" s="16"/>
      <c r="I12" s="4">
        <f t="shared" si="1"/>
        <v>0</v>
      </c>
      <c r="J12" t="s">
        <v>440</v>
      </c>
      <c r="N12" s="23" t="str">
        <f t="shared" si="2"/>
        <v>-</v>
      </c>
      <c r="O12" s="23" t="str">
        <f t="shared" si="3"/>
        <v>-</v>
      </c>
      <c r="P12" s="24" t="str">
        <f t="shared" si="4"/>
        <v>-</v>
      </c>
      <c r="Q12" s="25" t="str">
        <f t="shared" si="5"/>
        <v>-</v>
      </c>
      <c r="R12" s="6"/>
      <c r="S12" s="25" t="str">
        <f t="shared" si="6"/>
        <v>-</v>
      </c>
    </row>
    <row r="13" spans="1:19">
      <c r="A13" s="2">
        <f t="shared" si="0"/>
        <v>11</v>
      </c>
      <c r="B13" s="3" t="s">
        <v>23</v>
      </c>
      <c r="C13" s="13">
        <v>693749138013</v>
      </c>
      <c r="D13" s="3" t="s">
        <v>24</v>
      </c>
      <c r="E13" s="16">
        <v>60</v>
      </c>
      <c r="F13" s="27">
        <v>3.0295148217960841E-2</v>
      </c>
      <c r="G13" s="4">
        <v>15.225</v>
      </c>
      <c r="H13" s="16"/>
      <c r="I13" s="4">
        <f t="shared" si="1"/>
        <v>0</v>
      </c>
      <c r="J13" t="s">
        <v>440</v>
      </c>
      <c r="N13" s="23" t="str">
        <f t="shared" si="2"/>
        <v>-</v>
      </c>
      <c r="O13" s="23" t="str">
        <f t="shared" si="3"/>
        <v>-</v>
      </c>
      <c r="P13" s="24" t="str">
        <f t="shared" si="4"/>
        <v>-</v>
      </c>
      <c r="Q13" s="25" t="str">
        <f t="shared" si="5"/>
        <v>-</v>
      </c>
      <c r="R13" s="6"/>
      <c r="S13" s="25" t="str">
        <f t="shared" si="6"/>
        <v>-</v>
      </c>
    </row>
    <row r="14" spans="1:19">
      <c r="A14" s="2">
        <f t="shared" si="0"/>
        <v>12</v>
      </c>
      <c r="B14" s="3" t="s">
        <v>25</v>
      </c>
      <c r="C14" s="13">
        <v>693749012504</v>
      </c>
      <c r="D14" s="3" t="s">
        <v>26</v>
      </c>
      <c r="E14" s="16">
        <v>60</v>
      </c>
      <c r="F14" s="27">
        <v>9.0885444653882527E-2</v>
      </c>
      <c r="G14" s="4">
        <v>46.497149999999998</v>
      </c>
      <c r="H14" s="16"/>
      <c r="I14" s="4">
        <f t="shared" si="1"/>
        <v>0</v>
      </c>
      <c r="J14" t="s">
        <v>440</v>
      </c>
      <c r="N14" s="23" t="str">
        <f t="shared" si="2"/>
        <v>-</v>
      </c>
      <c r="O14" s="23" t="str">
        <f t="shared" si="3"/>
        <v>-</v>
      </c>
      <c r="P14" s="24" t="str">
        <f t="shared" si="4"/>
        <v>-</v>
      </c>
      <c r="Q14" s="25" t="str">
        <f t="shared" si="5"/>
        <v>-</v>
      </c>
      <c r="R14" s="6"/>
      <c r="S14" s="25" t="str">
        <f t="shared" si="6"/>
        <v>-</v>
      </c>
    </row>
    <row r="15" spans="1:19">
      <c r="A15" s="2">
        <f t="shared" si="0"/>
        <v>13</v>
      </c>
      <c r="B15" s="3" t="s">
        <v>27</v>
      </c>
      <c r="C15" s="13">
        <v>693749500018</v>
      </c>
      <c r="D15" s="3" t="s">
        <v>28</v>
      </c>
      <c r="E15" s="16" t="s">
        <v>451</v>
      </c>
      <c r="F15" s="27">
        <v>0.10603301876286295</v>
      </c>
      <c r="G15" s="4">
        <v>25.8825</v>
      </c>
      <c r="H15" s="16"/>
      <c r="I15" s="4">
        <f t="shared" si="1"/>
        <v>0</v>
      </c>
      <c r="J15" t="s">
        <v>440</v>
      </c>
      <c r="N15" s="23" t="str">
        <f t="shared" si="2"/>
        <v>-</v>
      </c>
      <c r="O15" s="23" t="str">
        <f t="shared" si="3"/>
        <v>-</v>
      </c>
      <c r="P15" s="24" t="str">
        <f t="shared" si="4"/>
        <v>-</v>
      </c>
      <c r="Q15" s="25" t="str">
        <f t="shared" si="5"/>
        <v>-</v>
      </c>
      <c r="R15" s="6"/>
      <c r="S15" s="25" t="str">
        <f t="shared" si="6"/>
        <v>-</v>
      </c>
    </row>
    <row r="16" spans="1:19">
      <c r="A16" s="2">
        <f t="shared" si="0"/>
        <v>14</v>
      </c>
      <c r="B16" s="3" t="s">
        <v>29</v>
      </c>
      <c r="C16" s="13">
        <v>693749789017</v>
      </c>
      <c r="D16" s="3" t="s">
        <v>30</v>
      </c>
      <c r="E16" s="16">
        <v>90</v>
      </c>
      <c r="F16" s="27">
        <v>0.16157412382912451</v>
      </c>
      <c r="G16" s="4">
        <v>49.679175000000008</v>
      </c>
      <c r="H16" s="16"/>
      <c r="I16" s="4">
        <f t="shared" si="1"/>
        <v>0</v>
      </c>
      <c r="J16" t="s">
        <v>440</v>
      </c>
      <c r="N16" s="23" t="str">
        <f t="shared" si="2"/>
        <v>-</v>
      </c>
      <c r="O16" s="23" t="str">
        <f t="shared" si="3"/>
        <v>-</v>
      </c>
      <c r="P16" s="24" t="str">
        <f t="shared" si="4"/>
        <v>-</v>
      </c>
      <c r="Q16" s="25" t="str">
        <f t="shared" si="5"/>
        <v>-</v>
      </c>
      <c r="R16" s="6"/>
      <c r="S16" s="25" t="str">
        <f t="shared" si="6"/>
        <v>-</v>
      </c>
    </row>
    <row r="17" spans="1:19">
      <c r="A17" s="2">
        <f t="shared" si="0"/>
        <v>15</v>
      </c>
      <c r="B17" s="3" t="s">
        <v>31</v>
      </c>
      <c r="C17" s="13">
        <v>693749616030</v>
      </c>
      <c r="D17" s="3" t="s">
        <v>32</v>
      </c>
      <c r="E17" s="16">
        <v>90</v>
      </c>
      <c r="F17" s="27">
        <v>0.27770552533130771</v>
      </c>
      <c r="G17" s="4">
        <v>44.289525000000005</v>
      </c>
      <c r="H17" s="16"/>
      <c r="I17" s="4">
        <f t="shared" si="1"/>
        <v>0</v>
      </c>
      <c r="J17" t="s">
        <v>440</v>
      </c>
      <c r="N17" s="23" t="str">
        <f t="shared" si="2"/>
        <v>-</v>
      </c>
      <c r="O17" s="23" t="str">
        <f t="shared" si="3"/>
        <v>-</v>
      </c>
      <c r="P17" s="24" t="str">
        <f t="shared" si="4"/>
        <v>-</v>
      </c>
      <c r="Q17" s="25" t="str">
        <f t="shared" si="5"/>
        <v>-</v>
      </c>
      <c r="R17" s="6"/>
      <c r="S17" s="25" t="str">
        <f t="shared" si="6"/>
        <v>-</v>
      </c>
    </row>
    <row r="18" spans="1:19">
      <c r="A18" s="2">
        <f t="shared" si="0"/>
        <v>16</v>
      </c>
      <c r="B18" s="3" t="s">
        <v>33</v>
      </c>
      <c r="C18" s="13">
        <v>693749624011</v>
      </c>
      <c r="D18" s="3" t="s">
        <v>34</v>
      </c>
      <c r="E18" s="16">
        <v>60</v>
      </c>
      <c r="F18" s="27">
        <v>0.17672169793810488</v>
      </c>
      <c r="G18" s="4">
        <v>47.014800000000001</v>
      </c>
      <c r="H18" s="16"/>
      <c r="I18" s="4">
        <f t="shared" si="1"/>
        <v>0</v>
      </c>
      <c r="J18" t="s">
        <v>440</v>
      </c>
      <c r="N18" s="23" t="str">
        <f t="shared" si="2"/>
        <v>-</v>
      </c>
      <c r="O18" s="23" t="str">
        <f t="shared" si="3"/>
        <v>-</v>
      </c>
      <c r="P18" s="24" t="str">
        <f t="shared" si="4"/>
        <v>-</v>
      </c>
      <c r="Q18" s="25" t="str">
        <f t="shared" si="5"/>
        <v>-</v>
      </c>
      <c r="R18" s="6"/>
      <c r="S18" s="25" t="str">
        <f t="shared" si="6"/>
        <v>-</v>
      </c>
    </row>
    <row r="19" spans="1:19">
      <c r="A19" s="2">
        <f t="shared" si="0"/>
        <v>17</v>
      </c>
      <c r="B19" s="3" t="s">
        <v>35</v>
      </c>
      <c r="C19" s="13">
        <v>693749005674</v>
      </c>
      <c r="D19" s="3" t="s">
        <v>36</v>
      </c>
      <c r="E19" s="16" t="s">
        <v>452</v>
      </c>
      <c r="F19" s="27">
        <v>1.4592163058317806</v>
      </c>
      <c r="G19" s="4">
        <v>55.860524999999996</v>
      </c>
      <c r="H19" s="16"/>
      <c r="I19" s="4">
        <f t="shared" si="1"/>
        <v>0</v>
      </c>
      <c r="J19" t="s">
        <v>440</v>
      </c>
      <c r="N19" s="23" t="str">
        <f t="shared" si="2"/>
        <v>-</v>
      </c>
      <c r="O19" s="23" t="str">
        <f t="shared" si="3"/>
        <v>-</v>
      </c>
      <c r="P19" s="24" t="str">
        <f t="shared" si="4"/>
        <v>-</v>
      </c>
      <c r="Q19" s="25" t="str">
        <f t="shared" si="5"/>
        <v>-</v>
      </c>
      <c r="R19" s="6"/>
      <c r="S19" s="25" t="str">
        <f t="shared" si="6"/>
        <v>-</v>
      </c>
    </row>
    <row r="20" spans="1:19">
      <c r="A20" s="2">
        <f t="shared" si="0"/>
        <v>18</v>
      </c>
      <c r="B20" s="3" t="s">
        <v>37</v>
      </c>
      <c r="C20" s="13">
        <v>693749560029</v>
      </c>
      <c r="D20" s="3" t="s">
        <v>38</v>
      </c>
      <c r="E20" s="16">
        <v>90</v>
      </c>
      <c r="F20" s="27">
        <v>0.13127897561116364</v>
      </c>
      <c r="G20" s="4">
        <v>26.856900000000003</v>
      </c>
      <c r="H20" s="16"/>
      <c r="I20" s="4">
        <f t="shared" si="1"/>
        <v>0</v>
      </c>
      <c r="J20" t="s">
        <v>440</v>
      </c>
      <c r="N20" s="23" t="str">
        <f t="shared" si="2"/>
        <v>-</v>
      </c>
      <c r="O20" s="23" t="str">
        <f t="shared" si="3"/>
        <v>-</v>
      </c>
      <c r="P20" s="24" t="str">
        <f t="shared" si="4"/>
        <v>-</v>
      </c>
      <c r="Q20" s="25" t="str">
        <f t="shared" si="5"/>
        <v>-</v>
      </c>
      <c r="R20" s="6"/>
      <c r="S20" s="25" t="str">
        <f t="shared" si="6"/>
        <v>-</v>
      </c>
    </row>
    <row r="21" spans="1:19">
      <c r="A21" s="2">
        <f t="shared" si="0"/>
        <v>19</v>
      </c>
      <c r="B21" s="3" t="s">
        <v>39</v>
      </c>
      <c r="C21" s="13">
        <v>693749272021</v>
      </c>
      <c r="D21" s="3" t="s">
        <v>40</v>
      </c>
      <c r="E21" s="16">
        <v>90</v>
      </c>
      <c r="F21" s="27">
        <v>0.16157412382912451</v>
      </c>
      <c r="G21" s="4">
        <v>16.747500000000002</v>
      </c>
      <c r="H21" s="16"/>
      <c r="I21" s="4">
        <f t="shared" si="1"/>
        <v>0</v>
      </c>
      <c r="J21" t="s">
        <v>440</v>
      </c>
      <c r="N21" s="23" t="str">
        <f t="shared" si="2"/>
        <v>-</v>
      </c>
      <c r="O21" s="23" t="str">
        <f t="shared" si="3"/>
        <v>-</v>
      </c>
      <c r="P21" s="24" t="str">
        <f t="shared" si="4"/>
        <v>-</v>
      </c>
      <c r="Q21" s="25" t="str">
        <f t="shared" si="5"/>
        <v>-</v>
      </c>
      <c r="R21" s="6"/>
      <c r="S21" s="25" t="str">
        <f t="shared" si="6"/>
        <v>-</v>
      </c>
    </row>
    <row r="22" spans="1:19">
      <c r="A22" s="2">
        <f t="shared" si="0"/>
        <v>20</v>
      </c>
      <c r="B22" s="3" t="s">
        <v>41</v>
      </c>
      <c r="C22" s="13">
        <v>693749732020</v>
      </c>
      <c r="D22" s="3" t="s">
        <v>42</v>
      </c>
      <c r="E22" s="16">
        <v>60</v>
      </c>
      <c r="F22" s="27">
        <v>9.0885444653882527E-2</v>
      </c>
      <c r="G22" s="4">
        <v>35.778750000000002</v>
      </c>
      <c r="H22" s="16"/>
      <c r="I22" s="4">
        <f t="shared" si="1"/>
        <v>0</v>
      </c>
      <c r="J22" t="s">
        <v>440</v>
      </c>
      <c r="N22" s="23" t="str">
        <f t="shared" si="2"/>
        <v>-</v>
      </c>
      <c r="O22" s="23" t="str">
        <f t="shared" si="3"/>
        <v>-</v>
      </c>
      <c r="P22" s="24" t="str">
        <f t="shared" si="4"/>
        <v>-</v>
      </c>
      <c r="Q22" s="25" t="str">
        <f t="shared" si="5"/>
        <v>-</v>
      </c>
      <c r="R22" s="6"/>
      <c r="S22" s="25" t="str">
        <f t="shared" si="6"/>
        <v>-</v>
      </c>
    </row>
    <row r="23" spans="1:19">
      <c r="A23" s="2">
        <f t="shared" si="0"/>
        <v>21</v>
      </c>
      <c r="B23" s="3" t="s">
        <v>43</v>
      </c>
      <c r="C23" s="13">
        <v>693749006916</v>
      </c>
      <c r="D23" s="3" t="s">
        <v>44</v>
      </c>
      <c r="E23" s="16">
        <v>60</v>
      </c>
      <c r="F23" s="27">
        <v>8.5836253284222383E-2</v>
      </c>
      <c r="G23" s="4">
        <v>33.038249999999998</v>
      </c>
      <c r="H23" s="16"/>
      <c r="I23" s="4">
        <f t="shared" si="1"/>
        <v>0</v>
      </c>
      <c r="J23" t="s">
        <v>440</v>
      </c>
      <c r="N23" s="23" t="str">
        <f t="shared" si="2"/>
        <v>-</v>
      </c>
      <c r="O23" s="23" t="str">
        <f t="shared" si="3"/>
        <v>-</v>
      </c>
      <c r="P23" s="24" t="str">
        <f t="shared" si="4"/>
        <v>-</v>
      </c>
      <c r="Q23" s="25" t="str">
        <f t="shared" si="5"/>
        <v>-</v>
      </c>
      <c r="R23" s="6"/>
      <c r="S23" s="25" t="str">
        <f t="shared" si="6"/>
        <v>-</v>
      </c>
    </row>
    <row r="24" spans="1:19">
      <c r="A24" s="2">
        <f t="shared" si="0"/>
        <v>22</v>
      </c>
      <c r="B24" s="3" t="s">
        <v>45</v>
      </c>
      <c r="C24" s="13">
        <v>693749004646</v>
      </c>
      <c r="D24" s="3" t="s">
        <v>46</v>
      </c>
      <c r="E24" s="16" t="s">
        <v>453</v>
      </c>
      <c r="F24" s="27">
        <v>0.39383692683349092</v>
      </c>
      <c r="G24" s="4">
        <v>48.202350000000003</v>
      </c>
      <c r="H24" s="16"/>
      <c r="I24" s="4">
        <f t="shared" si="1"/>
        <v>0</v>
      </c>
      <c r="J24" t="s">
        <v>440</v>
      </c>
      <c r="N24" s="23" t="str">
        <f t="shared" si="2"/>
        <v>-</v>
      </c>
      <c r="O24" s="23" t="str">
        <f t="shared" si="3"/>
        <v>-</v>
      </c>
      <c r="P24" s="24" t="str">
        <f t="shared" si="4"/>
        <v>-</v>
      </c>
      <c r="Q24" s="25" t="str">
        <f t="shared" si="5"/>
        <v>-</v>
      </c>
      <c r="R24" s="6"/>
      <c r="S24" s="25" t="str">
        <f t="shared" si="6"/>
        <v>-</v>
      </c>
    </row>
    <row r="25" spans="1:19">
      <c r="A25" s="2">
        <f t="shared" si="0"/>
        <v>23</v>
      </c>
      <c r="B25" s="3" t="s">
        <v>47</v>
      </c>
      <c r="C25" s="13">
        <v>693749750031</v>
      </c>
      <c r="D25" s="3" t="s">
        <v>48</v>
      </c>
      <c r="E25" s="16">
        <v>60</v>
      </c>
      <c r="F25" s="27">
        <v>6.563948780558182E-2</v>
      </c>
      <c r="G25" s="4">
        <v>19.7925</v>
      </c>
      <c r="H25" s="16"/>
      <c r="I25" s="4">
        <f t="shared" si="1"/>
        <v>0</v>
      </c>
      <c r="J25" t="s">
        <v>440</v>
      </c>
      <c r="N25" s="23" t="str">
        <f t="shared" si="2"/>
        <v>-</v>
      </c>
      <c r="O25" s="23" t="str">
        <f t="shared" si="3"/>
        <v>-</v>
      </c>
      <c r="P25" s="24" t="str">
        <f t="shared" si="4"/>
        <v>-</v>
      </c>
      <c r="Q25" s="25" t="str">
        <f t="shared" si="5"/>
        <v>-</v>
      </c>
      <c r="R25" s="6"/>
      <c r="S25" s="25" t="str">
        <f t="shared" si="6"/>
        <v>-</v>
      </c>
    </row>
    <row r="26" spans="1:19">
      <c r="A26" s="2">
        <f t="shared" si="0"/>
        <v>24</v>
      </c>
      <c r="B26" s="3" t="s">
        <v>49</v>
      </c>
      <c r="C26" s="13">
        <v>693749003458</v>
      </c>
      <c r="D26" s="3" t="s">
        <v>50</v>
      </c>
      <c r="E26" s="16">
        <v>60</v>
      </c>
      <c r="F26" s="27">
        <v>6.563948780558182E-2</v>
      </c>
      <c r="G26" s="4">
        <v>12.18</v>
      </c>
      <c r="H26" s="16"/>
      <c r="I26" s="4">
        <f t="shared" si="1"/>
        <v>0</v>
      </c>
      <c r="J26" t="s">
        <v>440</v>
      </c>
      <c r="N26" s="23" t="str">
        <f t="shared" si="2"/>
        <v>-</v>
      </c>
      <c r="O26" s="23" t="str">
        <f t="shared" si="3"/>
        <v>-</v>
      </c>
      <c r="P26" s="24" t="str">
        <f t="shared" si="4"/>
        <v>-</v>
      </c>
      <c r="Q26" s="25" t="str">
        <f t="shared" si="5"/>
        <v>-</v>
      </c>
      <c r="R26" s="6"/>
      <c r="S26" s="25" t="str">
        <f t="shared" si="6"/>
        <v>-</v>
      </c>
    </row>
    <row r="27" spans="1:19">
      <c r="A27" s="2">
        <f t="shared" si="0"/>
        <v>25</v>
      </c>
      <c r="B27" s="3" t="s">
        <v>51</v>
      </c>
      <c r="C27" s="13">
        <v>693749013112</v>
      </c>
      <c r="D27" s="3" t="s">
        <v>52</v>
      </c>
      <c r="E27" s="16" t="s">
        <v>454</v>
      </c>
      <c r="F27" s="27">
        <v>0.84321495873324326</v>
      </c>
      <c r="G27" s="4">
        <v>62.057099999999998</v>
      </c>
      <c r="H27" s="16"/>
      <c r="I27" s="4">
        <f t="shared" si="1"/>
        <v>0</v>
      </c>
      <c r="J27" t="s">
        <v>440</v>
      </c>
      <c r="N27" s="23" t="str">
        <f t="shared" si="2"/>
        <v>-</v>
      </c>
      <c r="O27" s="23" t="str">
        <f t="shared" si="3"/>
        <v>-</v>
      </c>
      <c r="P27" s="24" t="str">
        <f t="shared" si="4"/>
        <v>-</v>
      </c>
      <c r="Q27" s="25" t="str">
        <f t="shared" si="5"/>
        <v>-</v>
      </c>
      <c r="R27" s="6"/>
      <c r="S27" s="25" t="str">
        <f t="shared" si="6"/>
        <v>-</v>
      </c>
    </row>
    <row r="28" spans="1:19">
      <c r="A28" s="2">
        <f t="shared" si="0"/>
        <v>26</v>
      </c>
      <c r="B28" s="3" t="s">
        <v>53</v>
      </c>
      <c r="C28" s="13">
        <v>693749012481</v>
      </c>
      <c r="D28" s="3" t="s">
        <v>54</v>
      </c>
      <c r="E28" s="16">
        <v>90</v>
      </c>
      <c r="F28" s="27">
        <v>0.17167250656844477</v>
      </c>
      <c r="G28" s="4">
        <v>17.508750000000003</v>
      </c>
      <c r="H28" s="16"/>
      <c r="I28" s="4">
        <f t="shared" si="1"/>
        <v>0</v>
      </c>
      <c r="J28" t="s">
        <v>440</v>
      </c>
      <c r="N28" s="23" t="str">
        <f t="shared" si="2"/>
        <v>-</v>
      </c>
      <c r="O28" s="23" t="str">
        <f t="shared" si="3"/>
        <v>-</v>
      </c>
      <c r="P28" s="24" t="str">
        <f t="shared" si="4"/>
        <v>-</v>
      </c>
      <c r="Q28" s="25" t="str">
        <f t="shared" si="5"/>
        <v>-</v>
      </c>
      <c r="R28" s="6"/>
      <c r="S28" s="25" t="str">
        <f t="shared" si="6"/>
        <v>-</v>
      </c>
    </row>
    <row r="29" spans="1:19">
      <c r="A29" s="2">
        <f t="shared" si="0"/>
        <v>27</v>
      </c>
      <c r="B29" s="3" t="s">
        <v>55</v>
      </c>
      <c r="C29" s="13">
        <v>693749751045</v>
      </c>
      <c r="D29" s="3" t="s">
        <v>56</v>
      </c>
      <c r="E29" s="16">
        <v>120</v>
      </c>
      <c r="F29" s="27">
        <v>0.18682008067742517</v>
      </c>
      <c r="G29" s="4">
        <v>37.651424999999996</v>
      </c>
      <c r="H29" s="16"/>
      <c r="I29" s="4">
        <f t="shared" si="1"/>
        <v>0</v>
      </c>
      <c r="J29" t="s">
        <v>440</v>
      </c>
      <c r="N29" s="23" t="str">
        <f t="shared" si="2"/>
        <v>-</v>
      </c>
      <c r="O29" s="23" t="str">
        <f t="shared" si="3"/>
        <v>-</v>
      </c>
      <c r="P29" s="24" t="str">
        <f t="shared" si="4"/>
        <v>-</v>
      </c>
      <c r="Q29" s="25" t="str">
        <f t="shared" si="5"/>
        <v>-</v>
      </c>
      <c r="R29" s="6"/>
      <c r="S29" s="25" t="str">
        <f t="shared" si="6"/>
        <v>-</v>
      </c>
    </row>
    <row r="30" spans="1:19">
      <c r="A30" s="2">
        <f t="shared" si="0"/>
        <v>28</v>
      </c>
      <c r="B30" s="3" t="s">
        <v>57</v>
      </c>
      <c r="C30" s="13">
        <v>693749125020</v>
      </c>
      <c r="D30" s="3" t="s">
        <v>58</v>
      </c>
      <c r="E30" s="16">
        <v>60</v>
      </c>
      <c r="F30" s="27">
        <v>4.5442722326941264E-2</v>
      </c>
      <c r="G30" s="4">
        <v>18.270000000000003</v>
      </c>
      <c r="H30" s="16"/>
      <c r="I30" s="4">
        <f t="shared" si="1"/>
        <v>0</v>
      </c>
      <c r="J30" t="s">
        <v>440</v>
      </c>
      <c r="N30" s="23" t="str">
        <f t="shared" si="2"/>
        <v>-</v>
      </c>
      <c r="O30" s="23" t="str">
        <f t="shared" si="3"/>
        <v>-</v>
      </c>
      <c r="P30" s="24" t="str">
        <f t="shared" si="4"/>
        <v>-</v>
      </c>
      <c r="Q30" s="25" t="str">
        <f t="shared" si="5"/>
        <v>-</v>
      </c>
      <c r="R30" s="6"/>
      <c r="S30" s="25" t="str">
        <f t="shared" si="6"/>
        <v>-</v>
      </c>
    </row>
    <row r="31" spans="1:19">
      <c r="A31" s="2">
        <f t="shared" si="0"/>
        <v>29</v>
      </c>
      <c r="B31" s="3" t="s">
        <v>59</v>
      </c>
      <c r="C31" s="13">
        <v>693749013532</v>
      </c>
      <c r="D31" s="3" t="s">
        <v>60</v>
      </c>
      <c r="E31" s="16" t="s">
        <v>455</v>
      </c>
      <c r="F31" s="27">
        <v>0.86846091558154415</v>
      </c>
      <c r="G31" s="4">
        <v>54.566400000000009</v>
      </c>
      <c r="H31" s="16"/>
      <c r="I31" s="4">
        <f t="shared" si="1"/>
        <v>0</v>
      </c>
      <c r="J31" t="s">
        <v>440</v>
      </c>
      <c r="N31" s="23" t="str">
        <f t="shared" si="2"/>
        <v>-</v>
      </c>
      <c r="O31" s="23" t="str">
        <f t="shared" si="3"/>
        <v>-</v>
      </c>
      <c r="P31" s="24" t="str">
        <f t="shared" si="4"/>
        <v>-</v>
      </c>
      <c r="Q31" s="25" t="str">
        <f t="shared" si="5"/>
        <v>-</v>
      </c>
      <c r="R31" s="6"/>
      <c r="S31" s="25" t="str">
        <f t="shared" si="6"/>
        <v>-</v>
      </c>
    </row>
    <row r="32" spans="1:19">
      <c r="A32" s="2">
        <f t="shared" si="0"/>
        <v>30</v>
      </c>
      <c r="B32" s="3" t="s">
        <v>61</v>
      </c>
      <c r="C32" s="13">
        <v>693749011316</v>
      </c>
      <c r="D32" s="3" t="s">
        <v>62</v>
      </c>
      <c r="E32" s="16">
        <v>180</v>
      </c>
      <c r="F32" s="27">
        <v>0.27770552533130771</v>
      </c>
      <c r="G32" s="4">
        <v>45.187800000000003</v>
      </c>
      <c r="H32" s="16"/>
      <c r="I32" s="4">
        <f t="shared" si="1"/>
        <v>0</v>
      </c>
      <c r="J32" t="s">
        <v>440</v>
      </c>
      <c r="N32" s="23" t="str">
        <f t="shared" si="2"/>
        <v>-</v>
      </c>
      <c r="O32" s="23" t="str">
        <f t="shared" si="3"/>
        <v>-</v>
      </c>
      <c r="P32" s="24" t="str">
        <f t="shared" si="4"/>
        <v>-</v>
      </c>
      <c r="Q32" s="25" t="str">
        <f t="shared" si="5"/>
        <v>-</v>
      </c>
      <c r="R32" s="6"/>
      <c r="S32" s="25" t="str">
        <f t="shared" si="6"/>
        <v>-</v>
      </c>
    </row>
    <row r="33" spans="1:19">
      <c r="A33" s="2">
        <f t="shared" si="0"/>
        <v>31</v>
      </c>
      <c r="B33" s="3" t="s">
        <v>63</v>
      </c>
      <c r="C33" s="13">
        <v>693749002826</v>
      </c>
      <c r="D33" s="3" t="s">
        <v>64</v>
      </c>
      <c r="E33" s="16" t="s">
        <v>456</v>
      </c>
      <c r="F33" s="27">
        <v>0.59580458161989647</v>
      </c>
      <c r="G33" s="4">
        <v>37.179450000000003</v>
      </c>
      <c r="H33" s="16"/>
      <c r="I33" s="4">
        <f t="shared" si="1"/>
        <v>0</v>
      </c>
      <c r="J33" t="s">
        <v>440</v>
      </c>
      <c r="N33" s="23" t="str">
        <f t="shared" si="2"/>
        <v>-</v>
      </c>
      <c r="O33" s="23" t="str">
        <f t="shared" si="3"/>
        <v>-</v>
      </c>
      <c r="P33" s="24" t="str">
        <f t="shared" si="4"/>
        <v>-</v>
      </c>
      <c r="Q33" s="25" t="str">
        <f t="shared" si="5"/>
        <v>-</v>
      </c>
      <c r="R33" s="6"/>
      <c r="S33" s="25" t="str">
        <f t="shared" si="6"/>
        <v>-</v>
      </c>
    </row>
    <row r="34" spans="1:19">
      <c r="A34" s="2">
        <f t="shared" si="0"/>
        <v>32</v>
      </c>
      <c r="B34" s="3" t="s">
        <v>65</v>
      </c>
      <c r="C34" s="13">
        <v>693749002963</v>
      </c>
      <c r="D34" s="3" t="s">
        <v>66</v>
      </c>
      <c r="E34" s="16">
        <v>60</v>
      </c>
      <c r="F34" s="27">
        <v>0.10098382739320282</v>
      </c>
      <c r="G34" s="4">
        <v>19.7925</v>
      </c>
      <c r="H34" s="16"/>
      <c r="I34" s="4">
        <f t="shared" si="1"/>
        <v>0</v>
      </c>
      <c r="J34" t="s">
        <v>440</v>
      </c>
      <c r="N34" s="23" t="str">
        <f t="shared" si="2"/>
        <v>-</v>
      </c>
      <c r="O34" s="23" t="str">
        <f t="shared" si="3"/>
        <v>-</v>
      </c>
      <c r="P34" s="24" t="str">
        <f t="shared" si="4"/>
        <v>-</v>
      </c>
      <c r="Q34" s="25" t="str">
        <f t="shared" si="5"/>
        <v>-</v>
      </c>
      <c r="R34" s="6"/>
      <c r="S34" s="25" t="str">
        <f t="shared" si="6"/>
        <v>-</v>
      </c>
    </row>
    <row r="35" spans="1:19">
      <c r="A35" s="2">
        <f t="shared" si="0"/>
        <v>33</v>
      </c>
      <c r="B35" s="3" t="s">
        <v>67</v>
      </c>
      <c r="C35" s="13">
        <v>693749508014</v>
      </c>
      <c r="D35" s="3" t="s">
        <v>68</v>
      </c>
      <c r="E35" s="16">
        <v>90</v>
      </c>
      <c r="F35" s="27">
        <v>7.0688679175241964E-2</v>
      </c>
      <c r="G35" s="4">
        <v>57.520050000000005</v>
      </c>
      <c r="H35" s="16"/>
      <c r="I35" s="4">
        <f t="shared" si="1"/>
        <v>0</v>
      </c>
      <c r="J35" t="s">
        <v>440</v>
      </c>
      <c r="N35" s="23" t="str">
        <f t="shared" si="2"/>
        <v>-</v>
      </c>
      <c r="O35" s="23" t="str">
        <f t="shared" si="3"/>
        <v>-</v>
      </c>
      <c r="P35" s="24" t="str">
        <f t="shared" si="4"/>
        <v>-</v>
      </c>
      <c r="Q35" s="25" t="str">
        <f t="shared" si="5"/>
        <v>-</v>
      </c>
      <c r="R35" s="6"/>
      <c r="S35" s="25" t="str">
        <f t="shared" si="6"/>
        <v>-</v>
      </c>
    </row>
    <row r="36" spans="1:19">
      <c r="A36" s="2">
        <f t="shared" si="0"/>
        <v>34</v>
      </c>
      <c r="B36" s="3" t="s">
        <v>69</v>
      </c>
      <c r="C36" s="13">
        <v>693749015338</v>
      </c>
      <c r="D36" s="3" t="s">
        <v>70</v>
      </c>
      <c r="E36" s="16">
        <v>90</v>
      </c>
      <c r="F36" s="27">
        <v>0.38373854409417069</v>
      </c>
      <c r="G36" s="4">
        <v>20.553750000000001</v>
      </c>
      <c r="H36" s="16"/>
      <c r="I36" s="4">
        <f t="shared" si="1"/>
        <v>0</v>
      </c>
      <c r="J36" t="s">
        <v>440</v>
      </c>
      <c r="N36" s="23" t="str">
        <f t="shared" si="2"/>
        <v>-</v>
      </c>
      <c r="O36" s="23" t="str">
        <f t="shared" si="3"/>
        <v>-</v>
      </c>
      <c r="P36" s="24" t="str">
        <f t="shared" si="4"/>
        <v>-</v>
      </c>
      <c r="Q36" s="25" t="str">
        <f t="shared" si="5"/>
        <v>-</v>
      </c>
      <c r="R36" s="6"/>
      <c r="S36" s="25" t="str">
        <f t="shared" si="6"/>
        <v>-</v>
      </c>
    </row>
    <row r="37" spans="1:19">
      <c r="A37" s="2">
        <f t="shared" si="0"/>
        <v>35</v>
      </c>
      <c r="B37" s="3" t="s">
        <v>71</v>
      </c>
      <c r="C37" s="13">
        <v>693749005681</v>
      </c>
      <c r="D37" s="3" t="s">
        <v>72</v>
      </c>
      <c r="E37" s="16" t="s">
        <v>457</v>
      </c>
      <c r="F37" s="27">
        <v>1.363281669808238</v>
      </c>
      <c r="G37" s="4">
        <v>55.860524999999996</v>
      </c>
      <c r="H37" s="16"/>
      <c r="I37" s="4">
        <f t="shared" si="1"/>
        <v>0</v>
      </c>
      <c r="J37" t="s">
        <v>440</v>
      </c>
      <c r="N37" s="23" t="str">
        <f t="shared" si="2"/>
        <v>-</v>
      </c>
      <c r="O37" s="23" t="str">
        <f t="shared" si="3"/>
        <v>-</v>
      </c>
      <c r="P37" s="24" t="str">
        <f t="shared" si="4"/>
        <v>-</v>
      </c>
      <c r="Q37" s="25" t="str">
        <f t="shared" si="5"/>
        <v>-</v>
      </c>
      <c r="R37" s="6"/>
      <c r="S37" s="25" t="str">
        <f t="shared" si="6"/>
        <v>-</v>
      </c>
    </row>
    <row r="38" spans="1:19">
      <c r="A38" s="2">
        <f t="shared" si="0"/>
        <v>36</v>
      </c>
      <c r="B38" s="3" t="s">
        <v>73</v>
      </c>
      <c r="C38" s="13">
        <v>693749048114</v>
      </c>
      <c r="D38" s="3" t="s">
        <v>74</v>
      </c>
      <c r="E38" s="16">
        <v>30</v>
      </c>
      <c r="F38" s="27">
        <v>0.16157412382912451</v>
      </c>
      <c r="G38" s="4">
        <v>42.645225000000003</v>
      </c>
      <c r="H38" s="16"/>
      <c r="I38" s="4">
        <f t="shared" si="1"/>
        <v>0</v>
      </c>
      <c r="J38" t="s">
        <v>440</v>
      </c>
      <c r="N38" s="23" t="str">
        <f t="shared" si="2"/>
        <v>-</v>
      </c>
      <c r="O38" s="23" t="str">
        <f t="shared" si="3"/>
        <v>-</v>
      </c>
      <c r="P38" s="24" t="str">
        <f t="shared" si="4"/>
        <v>-</v>
      </c>
      <c r="Q38" s="25" t="str">
        <f t="shared" si="5"/>
        <v>-</v>
      </c>
      <c r="R38" s="6"/>
      <c r="S38" s="25" t="str">
        <f t="shared" si="6"/>
        <v>-</v>
      </c>
    </row>
    <row r="39" spans="1:19">
      <c r="A39" s="2">
        <f t="shared" si="0"/>
        <v>37</v>
      </c>
      <c r="B39" s="3" t="s">
        <v>75</v>
      </c>
      <c r="C39" s="13">
        <v>693749129011</v>
      </c>
      <c r="D39" s="3" t="s">
        <v>76</v>
      </c>
      <c r="E39" s="16">
        <v>60</v>
      </c>
      <c r="F39" s="27">
        <v>3.5344339587620982E-2</v>
      </c>
      <c r="G39" s="4">
        <v>18.270000000000003</v>
      </c>
      <c r="H39" s="16"/>
      <c r="I39" s="4">
        <f t="shared" si="1"/>
        <v>0</v>
      </c>
      <c r="J39" t="s">
        <v>440</v>
      </c>
      <c r="N39" s="23" t="str">
        <f t="shared" si="2"/>
        <v>-</v>
      </c>
      <c r="O39" s="23" t="str">
        <f t="shared" si="3"/>
        <v>-</v>
      </c>
      <c r="P39" s="24" t="str">
        <f t="shared" si="4"/>
        <v>-</v>
      </c>
      <c r="Q39" s="25" t="str">
        <f t="shared" si="5"/>
        <v>-</v>
      </c>
      <c r="R39" s="6"/>
      <c r="S39" s="25" t="str">
        <f t="shared" si="6"/>
        <v>-</v>
      </c>
    </row>
    <row r="40" spans="1:19" ht="27">
      <c r="A40" s="2">
        <f t="shared" si="0"/>
        <v>38</v>
      </c>
      <c r="B40" s="3" t="s">
        <v>77</v>
      </c>
      <c r="C40" s="28" t="s">
        <v>434</v>
      </c>
      <c r="D40" s="3" t="s">
        <v>78</v>
      </c>
      <c r="E40" s="16" t="s">
        <v>458</v>
      </c>
      <c r="F40" s="27">
        <v>0.21711522889538604</v>
      </c>
      <c r="G40" s="4">
        <v>28.729575000000001</v>
      </c>
      <c r="H40" s="16"/>
      <c r="I40" s="4">
        <f t="shared" si="1"/>
        <v>0</v>
      </c>
      <c r="J40" t="s">
        <v>440</v>
      </c>
      <c r="N40" s="23" t="str">
        <f t="shared" si="2"/>
        <v>-</v>
      </c>
      <c r="O40" s="23" t="str">
        <f t="shared" si="3"/>
        <v>-</v>
      </c>
      <c r="P40" s="24" t="str">
        <f t="shared" si="4"/>
        <v>-</v>
      </c>
      <c r="Q40" s="25" t="str">
        <f t="shared" si="5"/>
        <v>-</v>
      </c>
      <c r="R40" s="6"/>
      <c r="S40" s="25" t="str">
        <f t="shared" si="6"/>
        <v>-</v>
      </c>
    </row>
    <row r="41" spans="1:19">
      <c r="A41" s="2">
        <f t="shared" si="0"/>
        <v>39</v>
      </c>
      <c r="B41" s="3" t="s">
        <v>79</v>
      </c>
      <c r="C41" s="13">
        <v>693749011323</v>
      </c>
      <c r="D41" s="3" t="s">
        <v>80</v>
      </c>
      <c r="E41" s="16">
        <v>180</v>
      </c>
      <c r="F41" s="27">
        <v>0.27770552533130771</v>
      </c>
      <c r="G41" s="4">
        <v>45.187800000000003</v>
      </c>
      <c r="H41" s="16"/>
      <c r="I41" s="4">
        <f t="shared" si="1"/>
        <v>0</v>
      </c>
      <c r="J41" t="s">
        <v>440</v>
      </c>
      <c r="N41" s="23" t="str">
        <f t="shared" si="2"/>
        <v>-</v>
      </c>
      <c r="O41" s="23" t="str">
        <f t="shared" si="3"/>
        <v>-</v>
      </c>
      <c r="P41" s="24" t="str">
        <f t="shared" si="4"/>
        <v>-</v>
      </c>
      <c r="Q41" s="25" t="str">
        <f t="shared" si="5"/>
        <v>-</v>
      </c>
      <c r="R41" s="6"/>
      <c r="S41" s="25" t="str">
        <f t="shared" si="6"/>
        <v>-</v>
      </c>
    </row>
    <row r="42" spans="1:19">
      <c r="A42" s="2">
        <f t="shared" si="0"/>
        <v>40</v>
      </c>
      <c r="B42" s="3" t="s">
        <v>81</v>
      </c>
      <c r="C42" s="13">
        <v>693749004851</v>
      </c>
      <c r="D42" s="3" t="s">
        <v>82</v>
      </c>
      <c r="E42" s="16">
        <v>60</v>
      </c>
      <c r="F42" s="27">
        <v>0.10603301876286295</v>
      </c>
      <c r="G42" s="4">
        <v>30.069375000000001</v>
      </c>
      <c r="H42" s="16"/>
      <c r="I42" s="4">
        <f t="shared" si="1"/>
        <v>0</v>
      </c>
      <c r="J42" t="s">
        <v>440</v>
      </c>
      <c r="N42" s="23" t="str">
        <f t="shared" si="2"/>
        <v>-</v>
      </c>
      <c r="O42" s="23" t="str">
        <f t="shared" si="3"/>
        <v>-</v>
      </c>
      <c r="P42" s="24" t="str">
        <f t="shared" si="4"/>
        <v>-</v>
      </c>
      <c r="Q42" s="25" t="str">
        <f t="shared" si="5"/>
        <v>-</v>
      </c>
      <c r="R42" s="6"/>
      <c r="S42" s="25" t="str">
        <f t="shared" si="6"/>
        <v>-</v>
      </c>
    </row>
    <row r="43" spans="1:19">
      <c r="A43" s="2">
        <f t="shared" si="0"/>
        <v>41</v>
      </c>
      <c r="B43" s="3" t="s">
        <v>83</v>
      </c>
      <c r="C43" s="13">
        <v>693749013259</v>
      </c>
      <c r="D43" s="3" t="s">
        <v>84</v>
      </c>
      <c r="E43" s="16">
        <v>60</v>
      </c>
      <c r="F43" s="27">
        <v>9.0885444653882527E-2</v>
      </c>
      <c r="G43" s="4">
        <v>22.837499999999999</v>
      </c>
      <c r="H43" s="16"/>
      <c r="I43" s="4">
        <f t="shared" si="1"/>
        <v>0</v>
      </c>
      <c r="J43" t="s">
        <v>440</v>
      </c>
      <c r="N43" s="23" t="str">
        <f t="shared" si="2"/>
        <v>-</v>
      </c>
      <c r="O43" s="23" t="str">
        <f t="shared" si="3"/>
        <v>-</v>
      </c>
      <c r="P43" s="24" t="str">
        <f t="shared" si="4"/>
        <v>-</v>
      </c>
      <c r="Q43" s="25" t="str">
        <f t="shared" si="5"/>
        <v>-</v>
      </c>
      <c r="R43" s="6"/>
      <c r="S43" s="25" t="str">
        <f t="shared" si="6"/>
        <v>-</v>
      </c>
    </row>
    <row r="44" spans="1:19">
      <c r="A44" s="2">
        <f t="shared" si="0"/>
        <v>42</v>
      </c>
      <c r="B44" s="3" t="s">
        <v>85</v>
      </c>
      <c r="C44" s="13">
        <v>693749013327</v>
      </c>
      <c r="D44" s="3" t="s">
        <v>86</v>
      </c>
      <c r="E44" s="16">
        <v>30</v>
      </c>
      <c r="F44" s="27">
        <v>6.2105053846819726E-2</v>
      </c>
      <c r="G44" s="4">
        <v>37.331700000000005</v>
      </c>
      <c r="H44" s="16"/>
      <c r="I44" s="4">
        <f t="shared" si="1"/>
        <v>0</v>
      </c>
      <c r="J44" t="s">
        <v>440</v>
      </c>
      <c r="N44" s="23" t="str">
        <f t="shared" si="2"/>
        <v>-</v>
      </c>
      <c r="O44" s="23" t="str">
        <f t="shared" si="3"/>
        <v>-</v>
      </c>
      <c r="P44" s="24" t="str">
        <f t="shared" si="4"/>
        <v>-</v>
      </c>
      <c r="Q44" s="25" t="str">
        <f t="shared" si="5"/>
        <v>-</v>
      </c>
      <c r="R44" s="6"/>
      <c r="S44" s="25" t="str">
        <f t="shared" si="6"/>
        <v>-</v>
      </c>
    </row>
    <row r="45" spans="1:19">
      <c r="A45" s="2">
        <f t="shared" si="0"/>
        <v>43</v>
      </c>
      <c r="B45" s="3" t="s">
        <v>87</v>
      </c>
      <c r="C45" s="13">
        <v>693749405023</v>
      </c>
      <c r="D45" s="3" t="s">
        <v>88</v>
      </c>
      <c r="E45" s="16">
        <v>180</v>
      </c>
      <c r="F45" s="27">
        <v>0.28275471670096786</v>
      </c>
      <c r="G45" s="4">
        <v>45.142125</v>
      </c>
      <c r="H45" s="16"/>
      <c r="I45" s="4">
        <f t="shared" si="1"/>
        <v>0</v>
      </c>
      <c r="J45" t="s">
        <v>440</v>
      </c>
      <c r="N45" s="23" t="str">
        <f t="shared" si="2"/>
        <v>-</v>
      </c>
      <c r="O45" s="23" t="str">
        <f t="shared" si="3"/>
        <v>-</v>
      </c>
      <c r="P45" s="24" t="str">
        <f t="shared" si="4"/>
        <v>-</v>
      </c>
      <c r="Q45" s="25" t="str">
        <f t="shared" si="5"/>
        <v>-</v>
      </c>
      <c r="R45" s="6"/>
      <c r="S45" s="25" t="str">
        <f t="shared" si="6"/>
        <v>-</v>
      </c>
    </row>
    <row r="46" spans="1:19">
      <c r="A46" s="2">
        <f t="shared" si="0"/>
        <v>44</v>
      </c>
      <c r="B46" s="3" t="s">
        <v>89</v>
      </c>
      <c r="C46" s="13">
        <v>693749540038</v>
      </c>
      <c r="D46" s="3" t="s">
        <v>90</v>
      </c>
      <c r="E46" s="16">
        <v>60</v>
      </c>
      <c r="F46" s="27">
        <v>5.5541105066261538E-2</v>
      </c>
      <c r="G46" s="4">
        <v>43.619624999999999</v>
      </c>
      <c r="H46" s="16"/>
      <c r="I46" s="4">
        <f t="shared" si="1"/>
        <v>0</v>
      </c>
      <c r="J46" t="s">
        <v>440</v>
      </c>
      <c r="N46" s="23" t="str">
        <f t="shared" si="2"/>
        <v>-</v>
      </c>
      <c r="O46" s="23" t="str">
        <f t="shared" si="3"/>
        <v>-</v>
      </c>
      <c r="P46" s="24" t="str">
        <f t="shared" si="4"/>
        <v>-</v>
      </c>
      <c r="Q46" s="25" t="str">
        <f t="shared" si="5"/>
        <v>-</v>
      </c>
      <c r="R46" s="6"/>
      <c r="S46" s="25" t="str">
        <f t="shared" si="6"/>
        <v>-</v>
      </c>
    </row>
    <row r="47" spans="1:19">
      <c r="A47" s="2">
        <f t="shared" si="0"/>
        <v>45</v>
      </c>
      <c r="B47" s="3" t="s">
        <v>91</v>
      </c>
      <c r="C47" s="13">
        <v>693749006718</v>
      </c>
      <c r="D47" s="3" t="s">
        <v>92</v>
      </c>
      <c r="E47" s="16">
        <v>240</v>
      </c>
      <c r="F47" s="27">
        <v>0.42413207505145178</v>
      </c>
      <c r="G47" s="4">
        <v>32.733750000000001</v>
      </c>
      <c r="H47" s="16"/>
      <c r="I47" s="4">
        <f t="shared" si="1"/>
        <v>0</v>
      </c>
      <c r="J47" t="s">
        <v>440</v>
      </c>
      <c r="N47" s="23" t="str">
        <f t="shared" si="2"/>
        <v>-</v>
      </c>
      <c r="O47" s="23" t="str">
        <f t="shared" si="3"/>
        <v>-</v>
      </c>
      <c r="P47" s="24" t="str">
        <f t="shared" si="4"/>
        <v>-</v>
      </c>
      <c r="Q47" s="25" t="str">
        <f t="shared" si="5"/>
        <v>-</v>
      </c>
      <c r="R47" s="6"/>
      <c r="S47" s="25" t="str">
        <f t="shared" si="6"/>
        <v>-</v>
      </c>
    </row>
    <row r="48" spans="1:19">
      <c r="A48" s="2">
        <f t="shared" si="0"/>
        <v>46</v>
      </c>
      <c r="B48" s="3" t="s">
        <v>93</v>
      </c>
      <c r="C48" s="13">
        <v>693749221029</v>
      </c>
      <c r="D48" s="3" t="s">
        <v>94</v>
      </c>
      <c r="E48" s="16">
        <v>180</v>
      </c>
      <c r="F48" s="27">
        <v>0.12118059287184337</v>
      </c>
      <c r="G48" s="4">
        <v>32.886000000000003</v>
      </c>
      <c r="H48" s="16"/>
      <c r="I48" s="4">
        <f t="shared" si="1"/>
        <v>0</v>
      </c>
      <c r="J48" t="s">
        <v>440</v>
      </c>
      <c r="N48" s="23" t="str">
        <f t="shared" si="2"/>
        <v>-</v>
      </c>
      <c r="O48" s="23" t="str">
        <f t="shared" si="3"/>
        <v>-</v>
      </c>
      <c r="P48" s="24" t="str">
        <f t="shared" si="4"/>
        <v>-</v>
      </c>
      <c r="Q48" s="25" t="str">
        <f t="shared" si="5"/>
        <v>-</v>
      </c>
      <c r="R48" s="6"/>
      <c r="S48" s="25" t="str">
        <f t="shared" si="6"/>
        <v>-</v>
      </c>
    </row>
    <row r="49" spans="1:19">
      <c r="A49" s="2">
        <f t="shared" si="0"/>
        <v>47</v>
      </c>
      <c r="B49" s="3" t="s">
        <v>95</v>
      </c>
      <c r="C49" s="13">
        <v>693749012085</v>
      </c>
      <c r="D49" s="3" t="s">
        <v>96</v>
      </c>
      <c r="E49" s="16">
        <v>60</v>
      </c>
      <c r="F49" s="27">
        <v>9.0885444653882527E-2</v>
      </c>
      <c r="G49" s="4">
        <v>62.133225000000003</v>
      </c>
      <c r="H49" s="16"/>
      <c r="I49" s="4">
        <f t="shared" si="1"/>
        <v>0</v>
      </c>
      <c r="J49" t="s">
        <v>440</v>
      </c>
      <c r="N49" s="23" t="str">
        <f t="shared" si="2"/>
        <v>-</v>
      </c>
      <c r="O49" s="23" t="str">
        <f t="shared" si="3"/>
        <v>-</v>
      </c>
      <c r="P49" s="24" t="str">
        <f t="shared" si="4"/>
        <v>-</v>
      </c>
      <c r="Q49" s="25" t="str">
        <f t="shared" si="5"/>
        <v>-</v>
      </c>
      <c r="R49" s="6"/>
      <c r="S49" s="25" t="str">
        <f t="shared" si="6"/>
        <v>-</v>
      </c>
    </row>
    <row r="50" spans="1:19">
      <c r="A50" s="2">
        <f t="shared" si="0"/>
        <v>48</v>
      </c>
      <c r="B50" s="3" t="s">
        <v>97</v>
      </c>
      <c r="C50" s="13">
        <v>693749004356</v>
      </c>
      <c r="D50" s="3" t="s">
        <v>98</v>
      </c>
      <c r="E50" s="16">
        <v>60</v>
      </c>
      <c r="F50" s="27">
        <v>8.0787061914562253E-2</v>
      </c>
      <c r="G50" s="4">
        <v>35.017500000000005</v>
      </c>
      <c r="H50" s="16"/>
      <c r="I50" s="4">
        <f t="shared" si="1"/>
        <v>0</v>
      </c>
      <c r="J50" t="s">
        <v>440</v>
      </c>
      <c r="N50" s="23" t="str">
        <f t="shared" si="2"/>
        <v>-</v>
      </c>
      <c r="O50" s="23" t="str">
        <f t="shared" si="3"/>
        <v>-</v>
      </c>
      <c r="P50" s="24" t="str">
        <f t="shared" si="4"/>
        <v>-</v>
      </c>
      <c r="Q50" s="25" t="str">
        <f t="shared" si="5"/>
        <v>-</v>
      </c>
      <c r="R50" s="6"/>
      <c r="S50" s="25" t="str">
        <f t="shared" si="6"/>
        <v>-</v>
      </c>
    </row>
    <row r="51" spans="1:19">
      <c r="A51" s="2">
        <f t="shared" si="0"/>
        <v>49</v>
      </c>
      <c r="B51" s="3" t="s">
        <v>99</v>
      </c>
      <c r="C51" s="13">
        <v>693749210023</v>
      </c>
      <c r="D51" s="3" t="s">
        <v>100</v>
      </c>
      <c r="E51" s="16">
        <v>60</v>
      </c>
      <c r="F51" s="27">
        <v>4.5442722326941264E-2</v>
      </c>
      <c r="G51" s="4">
        <v>11.418749999999999</v>
      </c>
      <c r="H51" s="16"/>
      <c r="I51" s="4">
        <f t="shared" si="1"/>
        <v>0</v>
      </c>
      <c r="J51" t="s">
        <v>440</v>
      </c>
      <c r="N51" s="23" t="str">
        <f t="shared" si="2"/>
        <v>-</v>
      </c>
      <c r="O51" s="23" t="str">
        <f t="shared" si="3"/>
        <v>-</v>
      </c>
      <c r="P51" s="24" t="str">
        <f t="shared" si="4"/>
        <v>-</v>
      </c>
      <c r="Q51" s="25" t="str">
        <f t="shared" si="5"/>
        <v>-</v>
      </c>
      <c r="R51" s="6"/>
      <c r="S51" s="25" t="str">
        <f t="shared" si="6"/>
        <v>-</v>
      </c>
    </row>
    <row r="52" spans="1:19">
      <c r="A52" s="2">
        <f t="shared" si="0"/>
        <v>50</v>
      </c>
      <c r="B52" s="3" t="s">
        <v>101</v>
      </c>
      <c r="C52" s="13">
        <v>693749112037</v>
      </c>
      <c r="D52" s="3" t="s">
        <v>102</v>
      </c>
      <c r="E52" s="16">
        <v>60</v>
      </c>
      <c r="F52" s="27">
        <v>7.5737870544902094E-2</v>
      </c>
      <c r="G52" s="4">
        <v>19.7925</v>
      </c>
      <c r="H52" s="16"/>
      <c r="I52" s="4">
        <f t="shared" si="1"/>
        <v>0</v>
      </c>
      <c r="J52" t="s">
        <v>440</v>
      </c>
      <c r="N52" s="23" t="str">
        <f t="shared" si="2"/>
        <v>-</v>
      </c>
      <c r="O52" s="23" t="str">
        <f t="shared" si="3"/>
        <v>-</v>
      </c>
      <c r="P52" s="24" t="str">
        <f t="shared" si="4"/>
        <v>-</v>
      </c>
      <c r="Q52" s="25" t="str">
        <f t="shared" si="5"/>
        <v>-</v>
      </c>
      <c r="R52" s="6"/>
      <c r="S52" s="25" t="str">
        <f t="shared" si="6"/>
        <v>-</v>
      </c>
    </row>
    <row r="53" spans="1:19">
      <c r="A53" s="2">
        <f t="shared" si="0"/>
        <v>51</v>
      </c>
      <c r="B53" s="3" t="s">
        <v>103</v>
      </c>
      <c r="C53" s="13">
        <v>693749519027</v>
      </c>
      <c r="D53" s="3" t="s">
        <v>104</v>
      </c>
      <c r="E53" s="16" t="s">
        <v>459</v>
      </c>
      <c r="F53" s="27">
        <v>0.84826415010290357</v>
      </c>
      <c r="G53" s="4">
        <v>61.524224999999994</v>
      </c>
      <c r="H53" s="16"/>
      <c r="I53" s="4">
        <f t="shared" si="1"/>
        <v>0</v>
      </c>
      <c r="J53" t="s">
        <v>440</v>
      </c>
      <c r="N53" s="23" t="str">
        <f t="shared" si="2"/>
        <v>-</v>
      </c>
      <c r="O53" s="23" t="str">
        <f t="shared" si="3"/>
        <v>-</v>
      </c>
      <c r="P53" s="24" t="str">
        <f t="shared" si="4"/>
        <v>-</v>
      </c>
      <c r="Q53" s="25" t="str">
        <f t="shared" si="5"/>
        <v>-</v>
      </c>
      <c r="R53" s="6"/>
      <c r="S53" s="25" t="str">
        <f t="shared" si="6"/>
        <v>-</v>
      </c>
    </row>
    <row r="54" spans="1:19">
      <c r="A54" s="2">
        <f t="shared" si="0"/>
        <v>52</v>
      </c>
      <c r="B54" s="3" t="s">
        <v>105</v>
      </c>
      <c r="C54" s="13">
        <v>693749004844</v>
      </c>
      <c r="D54" s="3" t="s">
        <v>106</v>
      </c>
      <c r="E54" s="16">
        <v>120</v>
      </c>
      <c r="F54" s="27">
        <v>0.14137735835048393</v>
      </c>
      <c r="G54" s="4">
        <v>37.301250000000003</v>
      </c>
      <c r="H54" s="16"/>
      <c r="I54" s="4">
        <f t="shared" si="1"/>
        <v>0</v>
      </c>
      <c r="J54" t="s">
        <v>440</v>
      </c>
      <c r="N54" s="23" t="str">
        <f t="shared" si="2"/>
        <v>-</v>
      </c>
      <c r="O54" s="23" t="str">
        <f t="shared" si="3"/>
        <v>-</v>
      </c>
      <c r="P54" s="24" t="str">
        <f t="shared" si="4"/>
        <v>-</v>
      </c>
      <c r="Q54" s="25" t="str">
        <f t="shared" si="5"/>
        <v>-</v>
      </c>
      <c r="R54" s="6"/>
      <c r="S54" s="25" t="str">
        <f t="shared" si="6"/>
        <v>-</v>
      </c>
    </row>
    <row r="55" spans="1:19">
      <c r="A55" s="2">
        <f t="shared" si="0"/>
        <v>53</v>
      </c>
      <c r="B55" s="3" t="s">
        <v>107</v>
      </c>
      <c r="C55" s="13">
        <v>693749610014</v>
      </c>
      <c r="D55" s="3" t="s">
        <v>108</v>
      </c>
      <c r="E55" s="16">
        <v>120</v>
      </c>
      <c r="F55" s="27">
        <v>0.31304986491892872</v>
      </c>
      <c r="G55" s="4">
        <v>76.246800000000007</v>
      </c>
      <c r="H55" s="16"/>
      <c r="I55" s="4">
        <f t="shared" si="1"/>
        <v>0</v>
      </c>
      <c r="J55" t="s">
        <v>440</v>
      </c>
      <c r="N55" s="23" t="str">
        <f t="shared" si="2"/>
        <v>-</v>
      </c>
      <c r="O55" s="23" t="str">
        <f t="shared" si="3"/>
        <v>-</v>
      </c>
      <c r="P55" s="24" t="str">
        <f t="shared" si="4"/>
        <v>-</v>
      </c>
      <c r="Q55" s="25" t="str">
        <f t="shared" si="5"/>
        <v>-</v>
      </c>
      <c r="R55" s="6"/>
      <c r="S55" s="25" t="str">
        <f t="shared" si="6"/>
        <v>-</v>
      </c>
    </row>
    <row r="56" spans="1:19">
      <c r="A56" s="2">
        <f t="shared" si="0"/>
        <v>54</v>
      </c>
      <c r="B56" s="3" t="s">
        <v>109</v>
      </c>
      <c r="C56" s="13">
        <v>693749003663</v>
      </c>
      <c r="D56" s="3" t="s">
        <v>110</v>
      </c>
      <c r="E56" s="16" t="s">
        <v>460</v>
      </c>
      <c r="F56" s="27">
        <v>0.39888611820315106</v>
      </c>
      <c r="G56" s="4">
        <v>48.202350000000003</v>
      </c>
      <c r="H56" s="16"/>
      <c r="I56" s="4">
        <f t="shared" si="1"/>
        <v>0</v>
      </c>
      <c r="J56" t="s">
        <v>440</v>
      </c>
      <c r="N56" s="23" t="str">
        <f t="shared" si="2"/>
        <v>-</v>
      </c>
      <c r="O56" s="23" t="str">
        <f t="shared" si="3"/>
        <v>-</v>
      </c>
      <c r="P56" s="24" t="str">
        <f t="shared" si="4"/>
        <v>-</v>
      </c>
      <c r="Q56" s="25" t="str">
        <f t="shared" si="5"/>
        <v>-</v>
      </c>
      <c r="R56" s="6"/>
      <c r="S56" s="25" t="str">
        <f t="shared" si="6"/>
        <v>-</v>
      </c>
    </row>
    <row r="57" spans="1:19">
      <c r="A57" s="2">
        <f t="shared" si="0"/>
        <v>55</v>
      </c>
      <c r="B57" s="3" t="s">
        <v>111</v>
      </c>
      <c r="C57" s="13">
        <v>693749002871</v>
      </c>
      <c r="D57" s="3" t="s">
        <v>6</v>
      </c>
      <c r="E57" s="16">
        <v>60</v>
      </c>
      <c r="F57" s="27">
        <v>0.10603301876286295</v>
      </c>
      <c r="G57" s="4">
        <v>33.662475000000001</v>
      </c>
      <c r="H57" s="16"/>
      <c r="I57" s="4">
        <f t="shared" si="1"/>
        <v>0</v>
      </c>
      <c r="J57" t="s">
        <v>440</v>
      </c>
      <c r="N57" s="23" t="str">
        <f t="shared" si="2"/>
        <v>-</v>
      </c>
      <c r="O57" s="23" t="str">
        <f t="shared" si="3"/>
        <v>-</v>
      </c>
      <c r="P57" s="24" t="str">
        <f t="shared" si="4"/>
        <v>-</v>
      </c>
      <c r="Q57" s="25" t="str">
        <f t="shared" si="5"/>
        <v>-</v>
      </c>
      <c r="R57" s="6"/>
      <c r="S57" s="25" t="str">
        <f t="shared" si="6"/>
        <v>-</v>
      </c>
    </row>
    <row r="58" spans="1:19">
      <c r="A58" s="2">
        <f t="shared" si="0"/>
        <v>56</v>
      </c>
      <c r="B58" s="3" t="s">
        <v>112</v>
      </c>
      <c r="C58" s="13">
        <v>693749132011</v>
      </c>
      <c r="D58" s="3" t="s">
        <v>113</v>
      </c>
      <c r="E58" s="16">
        <v>60</v>
      </c>
      <c r="F58" s="27">
        <v>3.5344339587620982E-2</v>
      </c>
      <c r="G58" s="4">
        <v>51.765000000000001</v>
      </c>
      <c r="H58" s="16"/>
      <c r="I58" s="4">
        <f t="shared" si="1"/>
        <v>0</v>
      </c>
      <c r="J58" t="s">
        <v>440</v>
      </c>
      <c r="N58" s="23" t="str">
        <f t="shared" si="2"/>
        <v>-</v>
      </c>
      <c r="O58" s="23" t="str">
        <f t="shared" si="3"/>
        <v>-</v>
      </c>
      <c r="P58" s="24" t="str">
        <f t="shared" si="4"/>
        <v>-</v>
      </c>
      <c r="Q58" s="25" t="str">
        <f t="shared" si="5"/>
        <v>-</v>
      </c>
      <c r="R58" s="6"/>
      <c r="S58" s="25" t="str">
        <f t="shared" si="6"/>
        <v>-</v>
      </c>
    </row>
    <row r="59" spans="1:19">
      <c r="A59" s="2">
        <f t="shared" si="0"/>
        <v>57</v>
      </c>
      <c r="B59" s="3" t="s">
        <v>114</v>
      </c>
      <c r="C59" s="13">
        <v>693749017066</v>
      </c>
      <c r="D59" s="3" t="s">
        <v>115</v>
      </c>
      <c r="E59" s="16">
        <v>240</v>
      </c>
      <c r="F59" s="27">
        <v>0.35849258724586996</v>
      </c>
      <c r="G59" s="4">
        <v>61.448099999999997</v>
      </c>
      <c r="H59" s="16"/>
      <c r="I59" s="4">
        <f t="shared" si="1"/>
        <v>0</v>
      </c>
      <c r="J59" t="s">
        <v>440</v>
      </c>
      <c r="N59" s="23" t="str">
        <f t="shared" si="2"/>
        <v>-</v>
      </c>
      <c r="O59" s="23" t="str">
        <f t="shared" si="3"/>
        <v>-</v>
      </c>
      <c r="P59" s="24" t="str">
        <f t="shared" si="4"/>
        <v>-</v>
      </c>
      <c r="Q59" s="25" t="str">
        <f t="shared" si="5"/>
        <v>-</v>
      </c>
      <c r="R59" s="6"/>
      <c r="S59" s="25" t="str">
        <f t="shared" si="6"/>
        <v>-</v>
      </c>
    </row>
    <row r="60" spans="1:19">
      <c r="A60" s="2">
        <f t="shared" si="0"/>
        <v>58</v>
      </c>
      <c r="B60" s="3" t="s">
        <v>116</v>
      </c>
      <c r="C60" s="13">
        <v>693749015093</v>
      </c>
      <c r="D60" s="3" t="s">
        <v>117</v>
      </c>
      <c r="E60" s="16">
        <v>60</v>
      </c>
      <c r="F60" s="27">
        <v>8.5836253284222383E-2</v>
      </c>
      <c r="G60" s="4">
        <v>34.286700000000003</v>
      </c>
      <c r="H60" s="16"/>
      <c r="I60" s="4">
        <f t="shared" si="1"/>
        <v>0</v>
      </c>
      <c r="J60" t="s">
        <v>440</v>
      </c>
      <c r="N60" s="23" t="str">
        <f t="shared" si="2"/>
        <v>-</v>
      </c>
      <c r="O60" s="23" t="str">
        <f t="shared" si="3"/>
        <v>-</v>
      </c>
      <c r="P60" s="24" t="str">
        <f t="shared" si="4"/>
        <v>-</v>
      </c>
      <c r="Q60" s="25" t="str">
        <f t="shared" si="5"/>
        <v>-</v>
      </c>
      <c r="R60" s="6"/>
      <c r="S60" s="25" t="str">
        <f t="shared" si="6"/>
        <v>-</v>
      </c>
    </row>
    <row r="61" spans="1:19">
      <c r="A61" s="2">
        <f t="shared" si="0"/>
        <v>59</v>
      </c>
      <c r="B61" s="3" t="s">
        <v>118</v>
      </c>
      <c r="C61" s="13">
        <v>693749803034</v>
      </c>
      <c r="D61" s="3" t="s">
        <v>119</v>
      </c>
      <c r="E61" s="16">
        <v>60</v>
      </c>
      <c r="F61" s="27">
        <v>5.0491913696601408E-2</v>
      </c>
      <c r="G61" s="4">
        <v>15.225</v>
      </c>
      <c r="H61" s="16"/>
      <c r="I61" s="4">
        <f t="shared" si="1"/>
        <v>0</v>
      </c>
      <c r="J61" t="s">
        <v>440</v>
      </c>
      <c r="N61" s="23" t="str">
        <f t="shared" si="2"/>
        <v>-</v>
      </c>
      <c r="O61" s="23" t="str">
        <f t="shared" si="3"/>
        <v>-</v>
      </c>
      <c r="P61" s="24" t="str">
        <f t="shared" si="4"/>
        <v>-</v>
      </c>
      <c r="Q61" s="25" t="str">
        <f t="shared" si="5"/>
        <v>-</v>
      </c>
      <c r="R61" s="6"/>
      <c r="S61" s="25" t="str">
        <f t="shared" si="6"/>
        <v>-</v>
      </c>
    </row>
    <row r="62" spans="1:19" ht="27">
      <c r="A62" s="2">
        <f t="shared" si="0"/>
        <v>60</v>
      </c>
      <c r="B62" s="3" t="s">
        <v>120</v>
      </c>
      <c r="C62" s="28" t="s">
        <v>435</v>
      </c>
      <c r="D62" s="3" t="s">
        <v>121</v>
      </c>
      <c r="E62" s="16" t="s">
        <v>461</v>
      </c>
      <c r="F62" s="27">
        <v>0.18682008067742517</v>
      </c>
      <c r="G62" s="4">
        <v>39.036900000000003</v>
      </c>
      <c r="H62" s="16"/>
      <c r="I62" s="4">
        <f t="shared" si="1"/>
        <v>0</v>
      </c>
      <c r="J62" t="s">
        <v>440</v>
      </c>
      <c r="N62" s="23" t="str">
        <f t="shared" si="2"/>
        <v>-</v>
      </c>
      <c r="O62" s="23" t="str">
        <f t="shared" si="3"/>
        <v>-</v>
      </c>
      <c r="P62" s="24" t="str">
        <f t="shared" si="4"/>
        <v>-</v>
      </c>
      <c r="Q62" s="25" t="str">
        <f t="shared" si="5"/>
        <v>-</v>
      </c>
      <c r="R62" s="6"/>
      <c r="S62" s="25" t="str">
        <f t="shared" si="6"/>
        <v>-</v>
      </c>
    </row>
    <row r="63" spans="1:19">
      <c r="A63" s="2">
        <f t="shared" si="0"/>
        <v>61</v>
      </c>
      <c r="B63" s="3" t="s">
        <v>122</v>
      </c>
      <c r="C63" s="13">
        <v>693749300014</v>
      </c>
      <c r="D63" s="3" t="s">
        <v>123</v>
      </c>
      <c r="E63" s="16">
        <v>60</v>
      </c>
      <c r="F63" s="27">
        <v>7.5737870544902094E-2</v>
      </c>
      <c r="G63" s="4">
        <v>50.42519999999999</v>
      </c>
      <c r="H63" s="16"/>
      <c r="I63" s="4">
        <f t="shared" si="1"/>
        <v>0</v>
      </c>
      <c r="J63" t="s">
        <v>440</v>
      </c>
      <c r="N63" s="23" t="str">
        <f t="shared" si="2"/>
        <v>-</v>
      </c>
      <c r="O63" s="23" t="str">
        <f t="shared" si="3"/>
        <v>-</v>
      </c>
      <c r="P63" s="24" t="str">
        <f t="shared" si="4"/>
        <v>-</v>
      </c>
      <c r="Q63" s="25" t="str">
        <f t="shared" si="5"/>
        <v>-</v>
      </c>
      <c r="R63" s="6"/>
      <c r="S63" s="25" t="str">
        <f t="shared" si="6"/>
        <v>-</v>
      </c>
    </row>
    <row r="64" spans="1:19">
      <c r="A64" s="2">
        <f t="shared" si="0"/>
        <v>62</v>
      </c>
      <c r="B64" s="3" t="s">
        <v>124</v>
      </c>
      <c r="C64" s="13">
        <v>693749006534</v>
      </c>
      <c r="D64" s="3" t="s">
        <v>18</v>
      </c>
      <c r="E64" s="16" t="s">
        <v>449</v>
      </c>
      <c r="F64" s="27">
        <v>0.29790229080994823</v>
      </c>
      <c r="G64" s="4">
        <v>73.384500000000003</v>
      </c>
      <c r="H64" s="16"/>
      <c r="I64" s="4">
        <f t="shared" si="1"/>
        <v>0</v>
      </c>
      <c r="J64" t="s">
        <v>440</v>
      </c>
      <c r="N64" s="23" t="str">
        <f t="shared" si="2"/>
        <v>-</v>
      </c>
      <c r="O64" s="23" t="str">
        <f t="shared" si="3"/>
        <v>-</v>
      </c>
      <c r="P64" s="24" t="str">
        <f t="shared" si="4"/>
        <v>-</v>
      </c>
      <c r="Q64" s="25" t="str">
        <f t="shared" si="5"/>
        <v>-</v>
      </c>
      <c r="R64" s="6"/>
      <c r="S64" s="25" t="str">
        <f t="shared" si="6"/>
        <v>-</v>
      </c>
    </row>
    <row r="65" spans="1:19">
      <c r="A65" s="2">
        <f t="shared" si="0"/>
        <v>63</v>
      </c>
      <c r="B65" s="3" t="s">
        <v>125</v>
      </c>
      <c r="C65" s="13">
        <v>693749797012</v>
      </c>
      <c r="D65" s="3" t="s">
        <v>126</v>
      </c>
      <c r="E65" s="16">
        <v>60</v>
      </c>
      <c r="F65" s="27">
        <v>8.5836253284222383E-2</v>
      </c>
      <c r="G65" s="4">
        <v>32.079074999999996</v>
      </c>
      <c r="H65" s="16"/>
      <c r="I65" s="4">
        <f t="shared" si="1"/>
        <v>0</v>
      </c>
      <c r="J65" t="s">
        <v>440</v>
      </c>
      <c r="N65" s="23" t="str">
        <f t="shared" si="2"/>
        <v>-</v>
      </c>
      <c r="O65" s="23" t="str">
        <f t="shared" si="3"/>
        <v>-</v>
      </c>
      <c r="P65" s="24" t="str">
        <f t="shared" si="4"/>
        <v>-</v>
      </c>
      <c r="Q65" s="25" t="str">
        <f t="shared" si="5"/>
        <v>-</v>
      </c>
      <c r="R65" s="6"/>
      <c r="S65" s="25" t="str">
        <f t="shared" si="6"/>
        <v>-</v>
      </c>
    </row>
    <row r="66" spans="1:19">
      <c r="A66" s="2">
        <f t="shared" si="0"/>
        <v>64</v>
      </c>
      <c r="B66" s="3" t="s">
        <v>127</v>
      </c>
      <c r="C66" s="13">
        <v>693749014225</v>
      </c>
      <c r="D66" s="3" t="s">
        <v>128</v>
      </c>
      <c r="E66" s="16" t="s">
        <v>462</v>
      </c>
      <c r="F66" s="27">
        <v>0.37364016135485034</v>
      </c>
      <c r="G66" s="4">
        <v>65.284800000000004</v>
      </c>
      <c r="H66" s="16"/>
      <c r="I66" s="4">
        <f t="shared" si="1"/>
        <v>0</v>
      </c>
      <c r="J66" t="s">
        <v>440</v>
      </c>
      <c r="N66" s="23" t="str">
        <f t="shared" si="2"/>
        <v>-</v>
      </c>
      <c r="O66" s="23" t="str">
        <f t="shared" si="3"/>
        <v>-</v>
      </c>
      <c r="P66" s="24" t="str">
        <f t="shared" si="4"/>
        <v>-</v>
      </c>
      <c r="Q66" s="25" t="str">
        <f t="shared" si="5"/>
        <v>-</v>
      </c>
      <c r="R66" s="6"/>
      <c r="S66" s="25" t="str">
        <f t="shared" si="6"/>
        <v>-</v>
      </c>
    </row>
    <row r="67" spans="1:19">
      <c r="A67" s="2">
        <f t="shared" si="0"/>
        <v>65</v>
      </c>
      <c r="B67" s="3" t="s">
        <v>129</v>
      </c>
      <c r="C67" s="13">
        <v>693749662013</v>
      </c>
      <c r="D67" s="3" t="s">
        <v>130</v>
      </c>
      <c r="E67" s="16">
        <v>60</v>
      </c>
      <c r="F67" s="27">
        <v>9.0885444653882527E-2</v>
      </c>
      <c r="G67" s="4">
        <v>52.526249999999997</v>
      </c>
      <c r="H67" s="16"/>
      <c r="I67" s="4">
        <f t="shared" si="1"/>
        <v>0</v>
      </c>
      <c r="J67" t="s">
        <v>440</v>
      </c>
      <c r="N67" s="23" t="str">
        <f t="shared" si="2"/>
        <v>-</v>
      </c>
      <c r="O67" s="23" t="str">
        <f t="shared" si="3"/>
        <v>-</v>
      </c>
      <c r="P67" s="24" t="str">
        <f t="shared" si="4"/>
        <v>-</v>
      </c>
      <c r="Q67" s="25" t="str">
        <f t="shared" si="5"/>
        <v>-</v>
      </c>
      <c r="R67" s="6"/>
      <c r="S67" s="25" t="str">
        <f t="shared" si="6"/>
        <v>-</v>
      </c>
    </row>
    <row r="68" spans="1:19">
      <c r="A68" s="2">
        <f t="shared" ref="A68:A131" si="7">+A67+1</f>
        <v>66</v>
      </c>
      <c r="B68" s="3" t="s">
        <v>131</v>
      </c>
      <c r="C68" s="13">
        <v>693749787037</v>
      </c>
      <c r="D68" s="3" t="s">
        <v>132</v>
      </c>
      <c r="E68" s="16">
        <v>180</v>
      </c>
      <c r="F68" s="27">
        <v>0.26255795122232728</v>
      </c>
      <c r="G68" s="4">
        <v>46.649400000000007</v>
      </c>
      <c r="H68" s="16"/>
      <c r="I68" s="4">
        <f t="shared" ref="I68:I131" si="8">IFERROR(G68*H68,"")</f>
        <v>0</v>
      </c>
      <c r="J68" t="s">
        <v>440</v>
      </c>
      <c r="N68" s="23" t="str">
        <f t="shared" ref="N68:N131" si="9">IFERROR(IF($N$2*F68=0, "-", $N$2*F68), "-")</f>
        <v>-</v>
      </c>
      <c r="O68" s="23" t="str">
        <f t="shared" ref="O68:O131" si="10">IFERROR(IF(G68+N68=0, "-", IF(N68&gt;0, G68+N68, "-")), "-")</f>
        <v>-</v>
      </c>
      <c r="P68" s="24" t="str">
        <f t="shared" ref="P68:P131" si="11">IF(H68&gt;0,H68*F68, "-")</f>
        <v>-</v>
      </c>
      <c r="Q68" s="25" t="str">
        <f t="shared" ref="Q68:Q131" si="12">IFERROR(IF($N$2&gt;0, $N$2*P68, "-"), "-")</f>
        <v>-</v>
      </c>
      <c r="R68" s="6"/>
      <c r="S68" s="25" t="str">
        <f t="shared" ref="S68:S131" si="13">IFERROR(IF(Q68+I68=0, "-", IF(Q68&gt;0, Q68+I68, "-")), "-")</f>
        <v>-</v>
      </c>
    </row>
    <row r="69" spans="1:19">
      <c r="A69" s="2">
        <f t="shared" si="7"/>
        <v>67</v>
      </c>
      <c r="B69" s="3" t="s">
        <v>133</v>
      </c>
      <c r="C69" s="13">
        <v>693749705017</v>
      </c>
      <c r="D69" s="3" t="s">
        <v>134</v>
      </c>
      <c r="E69" s="16">
        <v>120</v>
      </c>
      <c r="F69" s="27">
        <v>0.23226280300436644</v>
      </c>
      <c r="G69" s="4">
        <v>44.457000000000001</v>
      </c>
      <c r="H69" s="16"/>
      <c r="I69" s="4">
        <f t="shared" si="8"/>
        <v>0</v>
      </c>
      <c r="J69" t="s">
        <v>440</v>
      </c>
      <c r="N69" s="23" t="str">
        <f t="shared" si="9"/>
        <v>-</v>
      </c>
      <c r="O69" s="23" t="str">
        <f t="shared" si="10"/>
        <v>-</v>
      </c>
      <c r="P69" s="24" t="str">
        <f t="shared" si="11"/>
        <v>-</v>
      </c>
      <c r="Q69" s="25" t="str">
        <f t="shared" si="12"/>
        <v>-</v>
      </c>
      <c r="R69" s="6"/>
      <c r="S69" s="25" t="str">
        <f t="shared" si="13"/>
        <v>-</v>
      </c>
    </row>
    <row r="70" spans="1:19">
      <c r="A70" s="2">
        <f t="shared" si="7"/>
        <v>68</v>
      </c>
      <c r="B70" s="3" t="s">
        <v>135</v>
      </c>
      <c r="C70" s="13">
        <v>693749148012</v>
      </c>
      <c r="D70" s="3" t="s">
        <v>136</v>
      </c>
      <c r="E70" s="16">
        <v>60</v>
      </c>
      <c r="F70" s="27">
        <v>3.0295148217960841E-2</v>
      </c>
      <c r="G70" s="4">
        <v>19.7925</v>
      </c>
      <c r="H70" s="16"/>
      <c r="I70" s="4">
        <f t="shared" si="8"/>
        <v>0</v>
      </c>
      <c r="J70" t="s">
        <v>440</v>
      </c>
      <c r="N70" s="23" t="str">
        <f t="shared" si="9"/>
        <v>-</v>
      </c>
      <c r="O70" s="23" t="str">
        <f t="shared" si="10"/>
        <v>-</v>
      </c>
      <c r="P70" s="24" t="str">
        <f t="shared" si="11"/>
        <v>-</v>
      </c>
      <c r="Q70" s="25" t="str">
        <f t="shared" si="12"/>
        <v>-</v>
      </c>
      <c r="R70" s="6"/>
      <c r="S70" s="25" t="str">
        <f t="shared" si="13"/>
        <v>-</v>
      </c>
    </row>
    <row r="71" spans="1:19">
      <c r="A71" s="2">
        <f t="shared" si="7"/>
        <v>69</v>
      </c>
      <c r="B71" s="3" t="s">
        <v>137</v>
      </c>
      <c r="C71" s="13">
        <v>693749767022</v>
      </c>
      <c r="D71" s="3" t="s">
        <v>138</v>
      </c>
      <c r="E71" s="16">
        <v>90</v>
      </c>
      <c r="F71" s="27">
        <v>0.19186927204708534</v>
      </c>
      <c r="G71" s="4">
        <v>32.353124999999999</v>
      </c>
      <c r="H71" s="16"/>
      <c r="I71" s="4">
        <f t="shared" si="8"/>
        <v>0</v>
      </c>
      <c r="J71" t="s">
        <v>440</v>
      </c>
      <c r="N71" s="23" t="str">
        <f t="shared" si="9"/>
        <v>-</v>
      </c>
      <c r="O71" s="23" t="str">
        <f t="shared" si="10"/>
        <v>-</v>
      </c>
      <c r="P71" s="24" t="str">
        <f t="shared" si="11"/>
        <v>-</v>
      </c>
      <c r="Q71" s="25" t="str">
        <f t="shared" si="12"/>
        <v>-</v>
      </c>
      <c r="R71" s="6"/>
      <c r="S71" s="25" t="str">
        <f t="shared" si="13"/>
        <v>-</v>
      </c>
    </row>
    <row r="72" spans="1:19">
      <c r="A72" s="2">
        <f t="shared" si="7"/>
        <v>70</v>
      </c>
      <c r="B72" s="3" t="s">
        <v>139</v>
      </c>
      <c r="C72" s="13">
        <v>693749006619</v>
      </c>
      <c r="D72" s="3" t="s">
        <v>140</v>
      </c>
      <c r="E72" s="16">
        <v>60</v>
      </c>
      <c r="F72" s="27">
        <v>7.5737870544902094E-2</v>
      </c>
      <c r="G72" s="4">
        <v>23.598750000000003</v>
      </c>
      <c r="H72" s="16"/>
      <c r="I72" s="4">
        <f t="shared" si="8"/>
        <v>0</v>
      </c>
      <c r="J72" t="s">
        <v>440</v>
      </c>
      <c r="N72" s="23" t="str">
        <f t="shared" si="9"/>
        <v>-</v>
      </c>
      <c r="O72" s="23" t="str">
        <f t="shared" si="10"/>
        <v>-</v>
      </c>
      <c r="P72" s="24" t="str">
        <f t="shared" si="11"/>
        <v>-</v>
      </c>
      <c r="Q72" s="25" t="str">
        <f t="shared" si="12"/>
        <v>-</v>
      </c>
      <c r="R72" s="6"/>
      <c r="S72" s="25" t="str">
        <f t="shared" si="13"/>
        <v>-</v>
      </c>
    </row>
    <row r="73" spans="1:19">
      <c r="A73" s="2">
        <f t="shared" si="7"/>
        <v>71</v>
      </c>
      <c r="B73" s="3" t="s">
        <v>141</v>
      </c>
      <c r="C73" s="13">
        <v>693749608059</v>
      </c>
      <c r="D73" s="3" t="s">
        <v>142</v>
      </c>
      <c r="E73" s="16">
        <v>90</v>
      </c>
      <c r="F73" s="27">
        <v>0.287803908070628</v>
      </c>
      <c r="G73" s="4">
        <v>35.063175000000001</v>
      </c>
      <c r="H73" s="16"/>
      <c r="I73" s="4">
        <f t="shared" si="8"/>
        <v>0</v>
      </c>
      <c r="J73" t="s">
        <v>440</v>
      </c>
      <c r="N73" s="23" t="str">
        <f t="shared" si="9"/>
        <v>-</v>
      </c>
      <c r="O73" s="23" t="str">
        <f t="shared" si="10"/>
        <v>-</v>
      </c>
      <c r="P73" s="24" t="str">
        <f t="shared" si="11"/>
        <v>-</v>
      </c>
      <c r="Q73" s="25" t="str">
        <f t="shared" si="12"/>
        <v>-</v>
      </c>
      <c r="R73" s="6"/>
      <c r="S73" s="25" t="str">
        <f t="shared" si="13"/>
        <v>-</v>
      </c>
    </row>
    <row r="74" spans="1:19">
      <c r="A74" s="2">
        <f t="shared" si="7"/>
        <v>72</v>
      </c>
      <c r="B74" s="3" t="s">
        <v>143</v>
      </c>
      <c r="C74" s="13">
        <v>693749774020</v>
      </c>
      <c r="D74" s="3" t="s">
        <v>144</v>
      </c>
      <c r="E74" s="16">
        <v>240</v>
      </c>
      <c r="F74" s="27">
        <v>0.35344339587620976</v>
      </c>
      <c r="G74" s="4">
        <v>50.562224999999998</v>
      </c>
      <c r="H74" s="16"/>
      <c r="I74" s="4">
        <f t="shared" si="8"/>
        <v>0</v>
      </c>
      <c r="J74" t="s">
        <v>440</v>
      </c>
      <c r="N74" s="23" t="str">
        <f t="shared" si="9"/>
        <v>-</v>
      </c>
      <c r="O74" s="23" t="str">
        <f t="shared" si="10"/>
        <v>-</v>
      </c>
      <c r="P74" s="24" t="str">
        <f t="shared" si="11"/>
        <v>-</v>
      </c>
      <c r="Q74" s="25" t="str">
        <f t="shared" si="12"/>
        <v>-</v>
      </c>
      <c r="R74" s="6"/>
      <c r="S74" s="25" t="str">
        <f t="shared" si="13"/>
        <v>-</v>
      </c>
    </row>
    <row r="75" spans="1:19">
      <c r="A75" s="2">
        <f t="shared" si="7"/>
        <v>73</v>
      </c>
      <c r="B75" s="3" t="s">
        <v>145</v>
      </c>
      <c r="C75" s="13">
        <v>693749013587</v>
      </c>
      <c r="D75" s="3" t="s">
        <v>146</v>
      </c>
      <c r="E75" s="16" t="s">
        <v>463</v>
      </c>
      <c r="F75" s="27">
        <v>0.36859096998519025</v>
      </c>
      <c r="G75" s="4">
        <v>52.22175</v>
      </c>
      <c r="H75" s="16"/>
      <c r="I75" s="4">
        <f t="shared" si="8"/>
        <v>0</v>
      </c>
      <c r="J75" t="s">
        <v>440</v>
      </c>
      <c r="N75" s="23" t="str">
        <f t="shared" si="9"/>
        <v>-</v>
      </c>
      <c r="O75" s="23" t="str">
        <f t="shared" si="10"/>
        <v>-</v>
      </c>
      <c r="P75" s="24" t="str">
        <f t="shared" si="11"/>
        <v>-</v>
      </c>
      <c r="Q75" s="25" t="str">
        <f t="shared" si="12"/>
        <v>-</v>
      </c>
      <c r="R75" s="6"/>
      <c r="S75" s="25" t="str">
        <f t="shared" si="13"/>
        <v>-</v>
      </c>
    </row>
    <row r="76" spans="1:19">
      <c r="A76" s="2">
        <f t="shared" si="7"/>
        <v>74</v>
      </c>
      <c r="B76" s="3" t="s">
        <v>147</v>
      </c>
      <c r="C76" s="13">
        <v>693749128014</v>
      </c>
      <c r="D76" s="3" t="s">
        <v>148</v>
      </c>
      <c r="E76" s="16">
        <v>90</v>
      </c>
      <c r="F76" s="27">
        <v>4.0393530957281126E-2</v>
      </c>
      <c r="G76" s="4">
        <v>12.94125</v>
      </c>
      <c r="H76" s="16"/>
      <c r="I76" s="4">
        <f t="shared" si="8"/>
        <v>0</v>
      </c>
      <c r="J76" t="s">
        <v>440</v>
      </c>
      <c r="N76" s="23" t="str">
        <f t="shared" si="9"/>
        <v>-</v>
      </c>
      <c r="O76" s="23" t="str">
        <f t="shared" si="10"/>
        <v>-</v>
      </c>
      <c r="P76" s="24" t="str">
        <f t="shared" si="11"/>
        <v>-</v>
      </c>
      <c r="Q76" s="25" t="str">
        <f t="shared" si="12"/>
        <v>-</v>
      </c>
      <c r="R76" s="6"/>
      <c r="S76" s="25" t="str">
        <f t="shared" si="13"/>
        <v>-</v>
      </c>
    </row>
    <row r="77" spans="1:19">
      <c r="A77" s="2">
        <f t="shared" si="7"/>
        <v>75</v>
      </c>
      <c r="B77" s="3" t="s">
        <v>149</v>
      </c>
      <c r="C77" s="13">
        <v>693749006923</v>
      </c>
      <c r="D77" s="3" t="s">
        <v>150</v>
      </c>
      <c r="E77" s="16">
        <v>60</v>
      </c>
      <c r="F77" s="27">
        <v>5.0491913696601408E-2</v>
      </c>
      <c r="G77" s="4">
        <v>15.225</v>
      </c>
      <c r="H77" s="16"/>
      <c r="I77" s="4">
        <f t="shared" si="8"/>
        <v>0</v>
      </c>
      <c r="J77" t="s">
        <v>440</v>
      </c>
      <c r="N77" s="23" t="str">
        <f t="shared" si="9"/>
        <v>-</v>
      </c>
      <c r="O77" s="23" t="str">
        <f t="shared" si="10"/>
        <v>-</v>
      </c>
      <c r="P77" s="24" t="str">
        <f t="shared" si="11"/>
        <v>-</v>
      </c>
      <c r="Q77" s="25" t="str">
        <f t="shared" si="12"/>
        <v>-</v>
      </c>
      <c r="R77" s="6"/>
      <c r="S77" s="25" t="str">
        <f t="shared" si="13"/>
        <v>-</v>
      </c>
    </row>
    <row r="78" spans="1:19">
      <c r="A78" s="2">
        <f t="shared" si="7"/>
        <v>76</v>
      </c>
      <c r="B78" s="3" t="s">
        <v>151</v>
      </c>
      <c r="C78" s="13">
        <v>693749784012</v>
      </c>
      <c r="D78" s="3" t="s">
        <v>152</v>
      </c>
      <c r="E78" s="16">
        <v>120</v>
      </c>
      <c r="F78" s="27">
        <v>0.14137735835048393</v>
      </c>
      <c r="G78" s="4">
        <v>30.45</v>
      </c>
      <c r="H78" s="16"/>
      <c r="I78" s="4">
        <f t="shared" si="8"/>
        <v>0</v>
      </c>
      <c r="J78" t="s">
        <v>440</v>
      </c>
      <c r="N78" s="23" t="str">
        <f t="shared" si="9"/>
        <v>-</v>
      </c>
      <c r="O78" s="23" t="str">
        <f t="shared" si="10"/>
        <v>-</v>
      </c>
      <c r="P78" s="24" t="str">
        <f t="shared" si="11"/>
        <v>-</v>
      </c>
      <c r="Q78" s="25" t="str">
        <f t="shared" si="12"/>
        <v>-</v>
      </c>
      <c r="R78" s="6"/>
      <c r="S78" s="25" t="str">
        <f t="shared" si="13"/>
        <v>-</v>
      </c>
    </row>
    <row r="79" spans="1:19">
      <c r="A79" s="2">
        <f t="shared" si="7"/>
        <v>77</v>
      </c>
      <c r="B79" s="3" t="s">
        <v>153</v>
      </c>
      <c r="C79" s="13">
        <v>693749225010</v>
      </c>
      <c r="D79" s="3" t="s">
        <v>154</v>
      </c>
      <c r="E79" s="16">
        <v>60</v>
      </c>
      <c r="F79" s="27">
        <v>3.5344339587620982E-2</v>
      </c>
      <c r="G79" s="4">
        <v>10.657500000000001</v>
      </c>
      <c r="H79" s="16"/>
      <c r="I79" s="4">
        <f t="shared" si="8"/>
        <v>0</v>
      </c>
      <c r="J79" t="s">
        <v>440</v>
      </c>
      <c r="N79" s="23" t="str">
        <f t="shared" si="9"/>
        <v>-</v>
      </c>
      <c r="O79" s="23" t="str">
        <f t="shared" si="10"/>
        <v>-</v>
      </c>
      <c r="P79" s="24" t="str">
        <f t="shared" si="11"/>
        <v>-</v>
      </c>
      <c r="Q79" s="25" t="str">
        <f t="shared" si="12"/>
        <v>-</v>
      </c>
      <c r="R79" s="6"/>
      <c r="S79" s="25" t="str">
        <f t="shared" si="13"/>
        <v>-</v>
      </c>
    </row>
    <row r="80" spans="1:19">
      <c r="A80" s="2">
        <f t="shared" si="7"/>
        <v>78</v>
      </c>
      <c r="B80" s="3" t="s">
        <v>155</v>
      </c>
      <c r="C80" s="13">
        <v>693749760023</v>
      </c>
      <c r="D80" s="3" t="s">
        <v>156</v>
      </c>
      <c r="E80" s="16">
        <v>60</v>
      </c>
      <c r="F80" s="27">
        <v>7.5737870544902094E-2</v>
      </c>
      <c r="G80" s="4">
        <v>23.690100000000001</v>
      </c>
      <c r="H80" s="16"/>
      <c r="I80" s="4">
        <f t="shared" si="8"/>
        <v>0</v>
      </c>
      <c r="J80" t="s">
        <v>440</v>
      </c>
      <c r="N80" s="23" t="str">
        <f t="shared" si="9"/>
        <v>-</v>
      </c>
      <c r="O80" s="23" t="str">
        <f t="shared" si="10"/>
        <v>-</v>
      </c>
      <c r="P80" s="24" t="str">
        <f t="shared" si="11"/>
        <v>-</v>
      </c>
      <c r="Q80" s="25" t="str">
        <f t="shared" si="12"/>
        <v>-</v>
      </c>
      <c r="R80" s="6"/>
      <c r="S80" s="25" t="str">
        <f t="shared" si="13"/>
        <v>-</v>
      </c>
    </row>
    <row r="81" spans="1:19">
      <c r="A81" s="2">
        <f t="shared" si="7"/>
        <v>79</v>
      </c>
      <c r="B81" s="3" t="s">
        <v>157</v>
      </c>
      <c r="C81" s="13">
        <v>693749769026</v>
      </c>
      <c r="D81" s="3" t="s">
        <v>158</v>
      </c>
      <c r="E81" s="16">
        <v>60</v>
      </c>
      <c r="F81" s="27">
        <v>9.0885444653882527E-2</v>
      </c>
      <c r="G81" s="4">
        <v>20.553750000000001</v>
      </c>
      <c r="H81" s="16"/>
      <c r="I81" s="4">
        <f t="shared" si="8"/>
        <v>0</v>
      </c>
      <c r="J81" t="s">
        <v>440</v>
      </c>
      <c r="N81" s="23" t="str">
        <f t="shared" si="9"/>
        <v>-</v>
      </c>
      <c r="O81" s="23" t="str">
        <f t="shared" si="10"/>
        <v>-</v>
      </c>
      <c r="P81" s="24" t="str">
        <f t="shared" si="11"/>
        <v>-</v>
      </c>
      <c r="Q81" s="25" t="str">
        <f t="shared" si="12"/>
        <v>-</v>
      </c>
      <c r="R81" s="6"/>
      <c r="S81" s="25" t="str">
        <f t="shared" si="13"/>
        <v>-</v>
      </c>
    </row>
    <row r="82" spans="1:19">
      <c r="A82" s="2">
        <f t="shared" si="7"/>
        <v>80</v>
      </c>
      <c r="B82" s="3" t="s">
        <v>159</v>
      </c>
      <c r="C82" s="13">
        <v>693749520023</v>
      </c>
      <c r="D82" s="3" t="s">
        <v>160</v>
      </c>
      <c r="E82" s="16">
        <v>60</v>
      </c>
      <c r="F82" s="27">
        <v>9.5934636023542672E-2</v>
      </c>
      <c r="G82" s="4">
        <v>24.36</v>
      </c>
      <c r="H82" s="16"/>
      <c r="I82" s="4">
        <f t="shared" si="8"/>
        <v>0</v>
      </c>
      <c r="J82" t="s">
        <v>440</v>
      </c>
      <c r="N82" s="23" t="str">
        <f t="shared" si="9"/>
        <v>-</v>
      </c>
      <c r="O82" s="23" t="str">
        <f t="shared" si="10"/>
        <v>-</v>
      </c>
      <c r="P82" s="24" t="str">
        <f t="shared" si="11"/>
        <v>-</v>
      </c>
      <c r="Q82" s="25" t="str">
        <f t="shared" si="12"/>
        <v>-</v>
      </c>
      <c r="R82" s="6"/>
      <c r="S82" s="25" t="str">
        <f t="shared" si="13"/>
        <v>-</v>
      </c>
    </row>
    <row r="83" spans="1:19">
      <c r="A83" s="2">
        <f t="shared" si="7"/>
        <v>81</v>
      </c>
      <c r="B83" s="3" t="s">
        <v>161</v>
      </c>
      <c r="C83" s="13">
        <v>693749006312</v>
      </c>
      <c r="D83" s="3" t="s">
        <v>162</v>
      </c>
      <c r="E83" s="16">
        <v>30</v>
      </c>
      <c r="F83" s="27">
        <v>0.1262297842415035</v>
      </c>
      <c r="G83" s="4">
        <v>32.109524999999998</v>
      </c>
      <c r="H83" s="16"/>
      <c r="I83" s="4">
        <f t="shared" si="8"/>
        <v>0</v>
      </c>
      <c r="J83" t="s">
        <v>440</v>
      </c>
      <c r="N83" s="23" t="str">
        <f t="shared" si="9"/>
        <v>-</v>
      </c>
      <c r="O83" s="23" t="str">
        <f t="shared" si="10"/>
        <v>-</v>
      </c>
      <c r="P83" s="24" t="str">
        <f t="shared" si="11"/>
        <v>-</v>
      </c>
      <c r="Q83" s="25" t="str">
        <f t="shared" si="12"/>
        <v>-</v>
      </c>
      <c r="R83" s="6"/>
      <c r="S83" s="25" t="str">
        <f t="shared" si="13"/>
        <v>-</v>
      </c>
    </row>
    <row r="84" spans="1:19">
      <c r="A84" s="2">
        <f t="shared" si="7"/>
        <v>82</v>
      </c>
      <c r="B84" s="3" t="s">
        <v>163</v>
      </c>
      <c r="C84" s="13">
        <v>693749015666</v>
      </c>
      <c r="D84" s="3" t="s">
        <v>164</v>
      </c>
      <c r="E84" s="16">
        <v>120</v>
      </c>
      <c r="F84" s="27">
        <v>0.19994797823854155</v>
      </c>
      <c r="G84" s="4">
        <v>59.864699999999999</v>
      </c>
      <c r="H84" s="16"/>
      <c r="I84" s="4">
        <f t="shared" si="8"/>
        <v>0</v>
      </c>
      <c r="J84" t="s">
        <v>440</v>
      </c>
      <c r="N84" s="23" t="str">
        <f t="shared" si="9"/>
        <v>-</v>
      </c>
      <c r="O84" s="23" t="str">
        <f t="shared" si="10"/>
        <v>-</v>
      </c>
      <c r="P84" s="24" t="str">
        <f t="shared" si="11"/>
        <v>-</v>
      </c>
      <c r="Q84" s="25" t="str">
        <f t="shared" si="12"/>
        <v>-</v>
      </c>
      <c r="R84" s="6"/>
      <c r="S84" s="25" t="str">
        <f t="shared" si="13"/>
        <v>-</v>
      </c>
    </row>
    <row r="85" spans="1:19">
      <c r="A85" s="2">
        <f t="shared" si="7"/>
        <v>83</v>
      </c>
      <c r="B85" s="3" t="s">
        <v>165</v>
      </c>
      <c r="C85" s="13">
        <v>693749660019</v>
      </c>
      <c r="D85" s="3" t="s">
        <v>166</v>
      </c>
      <c r="E85" s="16">
        <v>60</v>
      </c>
      <c r="F85" s="27">
        <v>0.10098382739320282</v>
      </c>
      <c r="G85" s="4">
        <v>56.027999999999999</v>
      </c>
      <c r="H85" s="16"/>
      <c r="I85" s="4">
        <f t="shared" si="8"/>
        <v>0</v>
      </c>
      <c r="J85" t="s">
        <v>440</v>
      </c>
      <c r="N85" s="23" t="str">
        <f t="shared" si="9"/>
        <v>-</v>
      </c>
      <c r="O85" s="23" t="str">
        <f t="shared" si="10"/>
        <v>-</v>
      </c>
      <c r="P85" s="24" t="str">
        <f t="shared" si="11"/>
        <v>-</v>
      </c>
      <c r="Q85" s="25" t="str">
        <f t="shared" si="12"/>
        <v>-</v>
      </c>
      <c r="R85" s="6"/>
      <c r="S85" s="25" t="str">
        <f t="shared" si="13"/>
        <v>-</v>
      </c>
    </row>
    <row r="86" spans="1:19">
      <c r="A86" s="2">
        <f t="shared" si="7"/>
        <v>84</v>
      </c>
      <c r="B86" s="3" t="s">
        <v>167</v>
      </c>
      <c r="C86" s="13">
        <v>693749118022</v>
      </c>
      <c r="D86" s="3" t="s">
        <v>168</v>
      </c>
      <c r="E86" s="16">
        <v>60</v>
      </c>
      <c r="F86" s="27">
        <v>3.5344339587620982E-2</v>
      </c>
      <c r="G86" s="4">
        <v>21.315000000000001</v>
      </c>
      <c r="H86" s="16"/>
      <c r="I86" s="4">
        <f t="shared" si="8"/>
        <v>0</v>
      </c>
      <c r="J86" t="s">
        <v>440</v>
      </c>
      <c r="N86" s="23" t="str">
        <f t="shared" si="9"/>
        <v>-</v>
      </c>
      <c r="O86" s="23" t="str">
        <f t="shared" si="10"/>
        <v>-</v>
      </c>
      <c r="P86" s="24" t="str">
        <f t="shared" si="11"/>
        <v>-</v>
      </c>
      <c r="Q86" s="25" t="str">
        <f t="shared" si="12"/>
        <v>-</v>
      </c>
      <c r="R86" s="6"/>
      <c r="S86" s="25" t="str">
        <f t="shared" si="13"/>
        <v>-</v>
      </c>
    </row>
    <row r="87" spans="1:19">
      <c r="A87" s="2">
        <f t="shared" si="7"/>
        <v>85</v>
      </c>
      <c r="B87" s="3" t="s">
        <v>169</v>
      </c>
      <c r="C87" s="13">
        <v>693749737025</v>
      </c>
      <c r="D87" s="3" t="s">
        <v>170</v>
      </c>
      <c r="E87" s="16">
        <v>60</v>
      </c>
      <c r="F87" s="27">
        <v>0.10098382739320282</v>
      </c>
      <c r="G87" s="4">
        <v>64.584450000000004</v>
      </c>
      <c r="H87" s="16"/>
      <c r="I87" s="4">
        <f t="shared" si="8"/>
        <v>0</v>
      </c>
      <c r="J87" t="s">
        <v>440</v>
      </c>
      <c r="N87" s="23" t="str">
        <f t="shared" si="9"/>
        <v>-</v>
      </c>
      <c r="O87" s="23" t="str">
        <f t="shared" si="10"/>
        <v>-</v>
      </c>
      <c r="P87" s="24" t="str">
        <f t="shared" si="11"/>
        <v>-</v>
      </c>
      <c r="Q87" s="25" t="str">
        <f t="shared" si="12"/>
        <v>-</v>
      </c>
      <c r="R87" s="6"/>
      <c r="S87" s="25" t="str">
        <f t="shared" si="13"/>
        <v>-</v>
      </c>
    </row>
    <row r="88" spans="1:19">
      <c r="A88" s="2">
        <f t="shared" si="7"/>
        <v>86</v>
      </c>
      <c r="B88" s="3" t="s">
        <v>171</v>
      </c>
      <c r="C88" s="13">
        <v>693749006459</v>
      </c>
      <c r="D88" s="3" t="s">
        <v>172</v>
      </c>
      <c r="E88" s="16">
        <v>120</v>
      </c>
      <c r="F88" s="27">
        <v>0.26255795122232728</v>
      </c>
      <c r="G88" s="4">
        <v>46.207875000000001</v>
      </c>
      <c r="H88" s="16"/>
      <c r="I88" s="4">
        <f t="shared" si="8"/>
        <v>0</v>
      </c>
      <c r="J88" t="s">
        <v>440</v>
      </c>
      <c r="N88" s="23" t="str">
        <f t="shared" si="9"/>
        <v>-</v>
      </c>
      <c r="O88" s="23" t="str">
        <f t="shared" si="10"/>
        <v>-</v>
      </c>
      <c r="P88" s="24" t="str">
        <f t="shared" si="11"/>
        <v>-</v>
      </c>
      <c r="Q88" s="25" t="str">
        <f t="shared" si="12"/>
        <v>-</v>
      </c>
      <c r="R88" s="6"/>
      <c r="S88" s="25" t="str">
        <f t="shared" si="13"/>
        <v>-</v>
      </c>
    </row>
    <row r="89" spans="1:19">
      <c r="A89" s="2">
        <f t="shared" si="7"/>
        <v>87</v>
      </c>
      <c r="B89" s="3" t="s">
        <v>173</v>
      </c>
      <c r="C89" s="13">
        <v>693749013273</v>
      </c>
      <c r="D89" s="3" t="s">
        <v>174</v>
      </c>
      <c r="E89" s="16">
        <v>60</v>
      </c>
      <c r="F89" s="27">
        <v>9.0885444653882527E-2</v>
      </c>
      <c r="G89" s="4">
        <v>22.837499999999999</v>
      </c>
      <c r="H89" s="16"/>
      <c r="I89" s="4">
        <f t="shared" si="8"/>
        <v>0</v>
      </c>
      <c r="J89" t="s">
        <v>440</v>
      </c>
      <c r="N89" s="23" t="str">
        <f t="shared" si="9"/>
        <v>-</v>
      </c>
      <c r="O89" s="23" t="str">
        <f t="shared" si="10"/>
        <v>-</v>
      </c>
      <c r="P89" s="24" t="str">
        <f t="shared" si="11"/>
        <v>-</v>
      </c>
      <c r="Q89" s="25" t="str">
        <f t="shared" si="12"/>
        <v>-</v>
      </c>
      <c r="R89" s="6"/>
      <c r="S89" s="25" t="str">
        <f t="shared" si="13"/>
        <v>-</v>
      </c>
    </row>
    <row r="90" spans="1:19">
      <c r="A90" s="2">
        <f t="shared" si="7"/>
        <v>88</v>
      </c>
      <c r="B90" s="3" t="s">
        <v>175</v>
      </c>
      <c r="C90" s="13">
        <v>693749006503</v>
      </c>
      <c r="D90" s="3" t="s">
        <v>176</v>
      </c>
      <c r="E90" s="16">
        <v>120</v>
      </c>
      <c r="F90" s="27">
        <v>0.2272136116347063</v>
      </c>
      <c r="G90" s="4">
        <v>21.315000000000001</v>
      </c>
      <c r="H90" s="16"/>
      <c r="I90" s="4">
        <f t="shared" si="8"/>
        <v>0</v>
      </c>
      <c r="J90" t="s">
        <v>440</v>
      </c>
      <c r="N90" s="23" t="str">
        <f t="shared" si="9"/>
        <v>-</v>
      </c>
      <c r="O90" s="23" t="str">
        <f t="shared" si="10"/>
        <v>-</v>
      </c>
      <c r="P90" s="24" t="str">
        <f t="shared" si="11"/>
        <v>-</v>
      </c>
      <c r="Q90" s="25" t="str">
        <f t="shared" si="12"/>
        <v>-</v>
      </c>
      <c r="R90" s="6"/>
      <c r="S90" s="25" t="str">
        <f t="shared" si="13"/>
        <v>-</v>
      </c>
    </row>
    <row r="91" spans="1:19">
      <c r="A91" s="2">
        <f t="shared" si="7"/>
        <v>89</v>
      </c>
      <c r="B91" s="3" t="s">
        <v>177</v>
      </c>
      <c r="C91" s="13">
        <v>693749015567</v>
      </c>
      <c r="D91" s="3" t="s">
        <v>178</v>
      </c>
      <c r="E91" s="16" t="s">
        <v>464</v>
      </c>
      <c r="F91" s="27">
        <v>0.41403369231213144</v>
      </c>
      <c r="G91" s="4">
        <v>38.290875</v>
      </c>
      <c r="H91" s="16"/>
      <c r="I91" s="4">
        <f t="shared" si="8"/>
        <v>0</v>
      </c>
      <c r="J91" t="s">
        <v>440</v>
      </c>
      <c r="N91" s="23" t="str">
        <f t="shared" si="9"/>
        <v>-</v>
      </c>
      <c r="O91" s="23" t="str">
        <f t="shared" si="10"/>
        <v>-</v>
      </c>
      <c r="P91" s="24" t="str">
        <f t="shared" si="11"/>
        <v>-</v>
      </c>
      <c r="Q91" s="25" t="str">
        <f t="shared" si="12"/>
        <v>-</v>
      </c>
      <c r="R91" s="6"/>
      <c r="S91" s="25" t="str">
        <f t="shared" si="13"/>
        <v>-</v>
      </c>
    </row>
    <row r="92" spans="1:19">
      <c r="A92" s="2">
        <f t="shared" si="7"/>
        <v>90</v>
      </c>
      <c r="B92" s="3" t="s">
        <v>179</v>
      </c>
      <c r="C92" s="13">
        <v>693749605010</v>
      </c>
      <c r="D92" s="3" t="s">
        <v>180</v>
      </c>
      <c r="E92" s="16">
        <v>60</v>
      </c>
      <c r="F92" s="27">
        <v>0.21711522889538604</v>
      </c>
      <c r="G92" s="4">
        <v>25.8825</v>
      </c>
      <c r="H92" s="16"/>
      <c r="I92" s="4">
        <f t="shared" si="8"/>
        <v>0</v>
      </c>
      <c r="J92" t="s">
        <v>440</v>
      </c>
      <c r="N92" s="23" t="str">
        <f t="shared" si="9"/>
        <v>-</v>
      </c>
      <c r="O92" s="23" t="str">
        <f t="shared" si="10"/>
        <v>-</v>
      </c>
      <c r="P92" s="24" t="str">
        <f t="shared" si="11"/>
        <v>-</v>
      </c>
      <c r="Q92" s="25" t="str">
        <f t="shared" si="12"/>
        <v>-</v>
      </c>
      <c r="R92" s="6"/>
      <c r="S92" s="25" t="str">
        <f t="shared" si="13"/>
        <v>-</v>
      </c>
    </row>
    <row r="93" spans="1:19">
      <c r="A93" s="2">
        <f t="shared" si="7"/>
        <v>91</v>
      </c>
      <c r="B93" s="3" t="s">
        <v>181</v>
      </c>
      <c r="C93" s="13">
        <v>693749143017</v>
      </c>
      <c r="D93" s="3" t="s">
        <v>182</v>
      </c>
      <c r="E93" s="16">
        <v>60</v>
      </c>
      <c r="F93" s="27">
        <v>0.20701684615606572</v>
      </c>
      <c r="G93" s="4">
        <v>44.152500000000003</v>
      </c>
      <c r="H93" s="16"/>
      <c r="I93" s="4">
        <f t="shared" si="8"/>
        <v>0</v>
      </c>
      <c r="J93" t="s">
        <v>440</v>
      </c>
      <c r="N93" s="23" t="str">
        <f t="shared" si="9"/>
        <v>-</v>
      </c>
      <c r="O93" s="23" t="str">
        <f t="shared" si="10"/>
        <v>-</v>
      </c>
      <c r="P93" s="24" t="str">
        <f t="shared" si="11"/>
        <v>-</v>
      </c>
      <c r="Q93" s="25" t="str">
        <f t="shared" si="12"/>
        <v>-</v>
      </c>
      <c r="R93" s="6"/>
      <c r="S93" s="25" t="str">
        <f t="shared" si="13"/>
        <v>-</v>
      </c>
    </row>
    <row r="94" spans="1:19">
      <c r="A94" s="2">
        <f t="shared" si="7"/>
        <v>92</v>
      </c>
      <c r="B94" s="3" t="s">
        <v>183</v>
      </c>
      <c r="C94" s="13">
        <v>693749512028</v>
      </c>
      <c r="D94" s="3" t="s">
        <v>184</v>
      </c>
      <c r="E94" s="16">
        <v>250</v>
      </c>
      <c r="F94" s="27">
        <v>0.287803908070628</v>
      </c>
      <c r="G94" s="4">
        <v>23.598750000000003</v>
      </c>
      <c r="H94" s="16"/>
      <c r="I94" s="4">
        <f t="shared" si="8"/>
        <v>0</v>
      </c>
      <c r="J94" t="s">
        <v>440</v>
      </c>
      <c r="N94" s="23" t="str">
        <f t="shared" si="9"/>
        <v>-</v>
      </c>
      <c r="O94" s="23" t="str">
        <f t="shared" si="10"/>
        <v>-</v>
      </c>
      <c r="P94" s="24" t="str">
        <f t="shared" si="11"/>
        <v>-</v>
      </c>
      <c r="Q94" s="25" t="str">
        <f t="shared" si="12"/>
        <v>-</v>
      </c>
      <c r="R94" s="6"/>
      <c r="S94" s="25" t="str">
        <f t="shared" si="13"/>
        <v>-</v>
      </c>
    </row>
    <row r="95" spans="1:19">
      <c r="A95" s="2">
        <f t="shared" si="7"/>
        <v>93</v>
      </c>
      <c r="B95" s="3" t="s">
        <v>185</v>
      </c>
      <c r="C95" s="13">
        <v>693749013167</v>
      </c>
      <c r="D95" s="3" t="s">
        <v>186</v>
      </c>
      <c r="E95" s="16">
        <v>120</v>
      </c>
      <c r="F95" s="27">
        <v>0.14137735835048393</v>
      </c>
      <c r="G95" s="4">
        <v>48.202350000000003</v>
      </c>
      <c r="H95" s="16"/>
      <c r="I95" s="4">
        <f t="shared" si="8"/>
        <v>0</v>
      </c>
      <c r="J95" t="s">
        <v>440</v>
      </c>
      <c r="N95" s="23" t="str">
        <f t="shared" si="9"/>
        <v>-</v>
      </c>
      <c r="O95" s="23" t="str">
        <f t="shared" si="10"/>
        <v>-</v>
      </c>
      <c r="P95" s="24" t="str">
        <f t="shared" si="11"/>
        <v>-</v>
      </c>
      <c r="Q95" s="25" t="str">
        <f t="shared" si="12"/>
        <v>-</v>
      </c>
      <c r="R95" s="6"/>
      <c r="S95" s="25" t="str">
        <f t="shared" si="13"/>
        <v>-</v>
      </c>
    </row>
    <row r="96" spans="1:19">
      <c r="A96" s="2">
        <f t="shared" si="7"/>
        <v>94</v>
      </c>
      <c r="B96" s="3" t="s">
        <v>187</v>
      </c>
      <c r="C96" s="13">
        <v>693749006305</v>
      </c>
      <c r="D96" s="3" t="s">
        <v>188</v>
      </c>
      <c r="E96" s="16">
        <v>120</v>
      </c>
      <c r="F96" s="27">
        <v>0.19186927204708534</v>
      </c>
      <c r="G96" s="4">
        <v>59.484074999999997</v>
      </c>
      <c r="H96" s="16"/>
      <c r="I96" s="4">
        <f t="shared" si="8"/>
        <v>0</v>
      </c>
      <c r="J96" t="s">
        <v>440</v>
      </c>
      <c r="N96" s="23" t="str">
        <f t="shared" si="9"/>
        <v>-</v>
      </c>
      <c r="O96" s="23" t="str">
        <f t="shared" si="10"/>
        <v>-</v>
      </c>
      <c r="P96" s="24" t="str">
        <f t="shared" si="11"/>
        <v>-</v>
      </c>
      <c r="Q96" s="25" t="str">
        <f t="shared" si="12"/>
        <v>-</v>
      </c>
      <c r="R96" s="6"/>
      <c r="S96" s="25" t="str">
        <f t="shared" si="13"/>
        <v>-</v>
      </c>
    </row>
    <row r="97" spans="1:19">
      <c r="A97" s="2">
        <f t="shared" si="7"/>
        <v>95</v>
      </c>
      <c r="B97" s="3" t="s">
        <v>189</v>
      </c>
      <c r="C97" s="13">
        <v>693749711032</v>
      </c>
      <c r="D97" s="3" t="s">
        <v>190</v>
      </c>
      <c r="E97" s="16">
        <v>60</v>
      </c>
      <c r="F97" s="27">
        <v>7.5737870544902094E-2</v>
      </c>
      <c r="G97" s="4">
        <v>45.690225000000005</v>
      </c>
      <c r="H97" s="16"/>
      <c r="I97" s="4">
        <f t="shared" si="8"/>
        <v>0</v>
      </c>
      <c r="J97" t="s">
        <v>440</v>
      </c>
      <c r="N97" s="23" t="str">
        <f t="shared" si="9"/>
        <v>-</v>
      </c>
      <c r="O97" s="23" t="str">
        <f t="shared" si="10"/>
        <v>-</v>
      </c>
      <c r="P97" s="24" t="str">
        <f t="shared" si="11"/>
        <v>-</v>
      </c>
      <c r="Q97" s="25" t="str">
        <f t="shared" si="12"/>
        <v>-</v>
      </c>
      <c r="R97" s="6"/>
      <c r="S97" s="25" t="str">
        <f t="shared" si="13"/>
        <v>-</v>
      </c>
    </row>
    <row r="98" spans="1:19">
      <c r="A98" s="2">
        <f t="shared" si="7"/>
        <v>96</v>
      </c>
      <c r="B98" s="3" t="s">
        <v>191</v>
      </c>
      <c r="C98" s="13">
        <v>693749722014</v>
      </c>
      <c r="D98" s="3" t="s">
        <v>192</v>
      </c>
      <c r="E98" s="16">
        <v>250</v>
      </c>
      <c r="F98" s="27">
        <v>0.26760714259198742</v>
      </c>
      <c r="G98" s="4">
        <v>38.245200000000004</v>
      </c>
      <c r="H98" s="16"/>
      <c r="I98" s="4">
        <f t="shared" si="8"/>
        <v>0</v>
      </c>
      <c r="J98" t="s">
        <v>440</v>
      </c>
      <c r="N98" s="23" t="str">
        <f t="shared" si="9"/>
        <v>-</v>
      </c>
      <c r="O98" s="23" t="str">
        <f t="shared" si="10"/>
        <v>-</v>
      </c>
      <c r="P98" s="24" t="str">
        <f t="shared" si="11"/>
        <v>-</v>
      </c>
      <c r="Q98" s="25" t="str">
        <f t="shared" si="12"/>
        <v>-</v>
      </c>
      <c r="R98" s="6"/>
      <c r="S98" s="25" t="str">
        <f t="shared" si="13"/>
        <v>-</v>
      </c>
    </row>
    <row r="99" spans="1:19">
      <c r="A99" s="2">
        <f t="shared" si="7"/>
        <v>97</v>
      </c>
      <c r="B99" s="3" t="s">
        <v>193</v>
      </c>
      <c r="C99" s="13">
        <v>693749013419</v>
      </c>
      <c r="D99" s="3" t="s">
        <v>194</v>
      </c>
      <c r="E99" s="16">
        <v>1</v>
      </c>
      <c r="F99" s="27">
        <v>8.5179858406166556E-2</v>
      </c>
      <c r="G99" s="4">
        <v>274.05</v>
      </c>
      <c r="H99" s="16"/>
      <c r="I99" s="4">
        <f t="shared" si="8"/>
        <v>0</v>
      </c>
      <c r="J99" t="s">
        <v>440</v>
      </c>
      <c r="N99" s="23" t="str">
        <f t="shared" si="9"/>
        <v>-</v>
      </c>
      <c r="O99" s="23" t="str">
        <f t="shared" si="10"/>
        <v>-</v>
      </c>
      <c r="P99" s="24" t="str">
        <f t="shared" si="11"/>
        <v>-</v>
      </c>
      <c r="Q99" s="25" t="str">
        <f t="shared" si="12"/>
        <v>-</v>
      </c>
      <c r="R99" s="6"/>
      <c r="S99" s="25" t="str">
        <f t="shared" si="13"/>
        <v>-</v>
      </c>
    </row>
    <row r="100" spans="1:19">
      <c r="A100" s="2">
        <f t="shared" si="7"/>
        <v>98</v>
      </c>
      <c r="B100" s="3" t="s">
        <v>195</v>
      </c>
      <c r="C100" s="13">
        <v>693749415022</v>
      </c>
      <c r="D100" s="3" t="s">
        <v>196</v>
      </c>
      <c r="E100" s="16">
        <v>225</v>
      </c>
      <c r="F100" s="27">
        <v>0.29790229080994823</v>
      </c>
      <c r="G100" s="4">
        <v>35.778750000000002</v>
      </c>
      <c r="H100" s="16"/>
      <c r="I100" s="4">
        <f t="shared" si="8"/>
        <v>0</v>
      </c>
      <c r="J100" t="s">
        <v>440</v>
      </c>
      <c r="N100" s="23" t="str">
        <f t="shared" si="9"/>
        <v>-</v>
      </c>
      <c r="O100" s="23" t="str">
        <f t="shared" si="10"/>
        <v>-</v>
      </c>
      <c r="P100" s="24" t="str">
        <f t="shared" si="11"/>
        <v>-</v>
      </c>
      <c r="Q100" s="25" t="str">
        <f t="shared" si="12"/>
        <v>-</v>
      </c>
      <c r="R100" s="6"/>
      <c r="S100" s="25" t="str">
        <f t="shared" si="13"/>
        <v>-</v>
      </c>
    </row>
    <row r="101" spans="1:19">
      <c r="A101" s="2">
        <f t="shared" si="7"/>
        <v>99</v>
      </c>
      <c r="B101" s="3" t="s">
        <v>197</v>
      </c>
      <c r="C101" s="13">
        <v>693749822042</v>
      </c>
      <c r="D101" s="3" t="s">
        <v>198</v>
      </c>
      <c r="E101" s="16">
        <v>120</v>
      </c>
      <c r="F101" s="27">
        <v>0.21711522889538604</v>
      </c>
      <c r="G101" s="4">
        <v>26.978699999999996</v>
      </c>
      <c r="H101" s="16"/>
      <c r="I101" s="4">
        <f t="shared" si="8"/>
        <v>0</v>
      </c>
      <c r="J101" t="s">
        <v>440</v>
      </c>
      <c r="N101" s="23" t="str">
        <f t="shared" si="9"/>
        <v>-</v>
      </c>
      <c r="O101" s="23" t="str">
        <f t="shared" si="10"/>
        <v>-</v>
      </c>
      <c r="P101" s="24" t="str">
        <f t="shared" si="11"/>
        <v>-</v>
      </c>
      <c r="Q101" s="25" t="str">
        <f t="shared" si="12"/>
        <v>-</v>
      </c>
      <c r="R101" s="6"/>
      <c r="S101" s="25" t="str">
        <f t="shared" si="13"/>
        <v>-</v>
      </c>
    </row>
    <row r="102" spans="1:19">
      <c r="A102" s="2">
        <f t="shared" si="7"/>
        <v>100</v>
      </c>
      <c r="B102" s="3" t="s">
        <v>199</v>
      </c>
      <c r="C102" s="13">
        <v>693749758020</v>
      </c>
      <c r="D102" s="3" t="s">
        <v>200</v>
      </c>
      <c r="E102" s="16">
        <v>60</v>
      </c>
      <c r="F102" s="27">
        <v>0.18177088930776505</v>
      </c>
      <c r="G102" s="4">
        <v>25.12125</v>
      </c>
      <c r="H102" s="16"/>
      <c r="I102" s="4">
        <f t="shared" si="8"/>
        <v>0</v>
      </c>
      <c r="J102" t="s">
        <v>440</v>
      </c>
      <c r="N102" s="23" t="str">
        <f t="shared" si="9"/>
        <v>-</v>
      </c>
      <c r="O102" s="23" t="str">
        <f t="shared" si="10"/>
        <v>-</v>
      </c>
      <c r="P102" s="24" t="str">
        <f t="shared" si="11"/>
        <v>-</v>
      </c>
      <c r="Q102" s="25" t="str">
        <f t="shared" si="12"/>
        <v>-</v>
      </c>
      <c r="R102" s="6"/>
      <c r="S102" s="25" t="str">
        <f t="shared" si="13"/>
        <v>-</v>
      </c>
    </row>
    <row r="103" spans="1:19" ht="27">
      <c r="A103" s="2">
        <f t="shared" si="7"/>
        <v>101</v>
      </c>
      <c r="B103" s="3" t="s">
        <v>201</v>
      </c>
      <c r="C103" s="28" t="s">
        <v>436</v>
      </c>
      <c r="D103" s="3" t="s">
        <v>202</v>
      </c>
      <c r="E103" s="16" t="s">
        <v>461</v>
      </c>
      <c r="F103" s="27">
        <v>0.18682008067742517</v>
      </c>
      <c r="G103" s="4">
        <v>39.036900000000003</v>
      </c>
      <c r="H103" s="16"/>
      <c r="I103" s="4">
        <f t="shared" si="8"/>
        <v>0</v>
      </c>
      <c r="J103" t="s">
        <v>440</v>
      </c>
      <c r="N103" s="23" t="str">
        <f t="shared" si="9"/>
        <v>-</v>
      </c>
      <c r="O103" s="23" t="str">
        <f t="shared" si="10"/>
        <v>-</v>
      </c>
      <c r="P103" s="24" t="str">
        <f t="shared" si="11"/>
        <v>-</v>
      </c>
      <c r="Q103" s="25" t="str">
        <f t="shared" si="12"/>
        <v>-</v>
      </c>
      <c r="R103" s="6"/>
      <c r="S103" s="25" t="str">
        <f t="shared" si="13"/>
        <v>-</v>
      </c>
    </row>
    <row r="104" spans="1:19">
      <c r="A104" s="2">
        <f t="shared" si="7"/>
        <v>102</v>
      </c>
      <c r="B104" s="3" t="s">
        <v>203</v>
      </c>
      <c r="C104" s="13">
        <v>693749332022</v>
      </c>
      <c r="D104" s="3" t="s">
        <v>204</v>
      </c>
      <c r="E104" s="16">
        <v>60</v>
      </c>
      <c r="F104" s="27">
        <v>8.0787061914562253E-2</v>
      </c>
      <c r="G104" s="4">
        <v>42.477749999999993</v>
      </c>
      <c r="H104" s="16"/>
      <c r="I104" s="4">
        <f t="shared" si="8"/>
        <v>0</v>
      </c>
      <c r="J104" t="s">
        <v>440</v>
      </c>
      <c r="N104" s="23" t="str">
        <f t="shared" si="9"/>
        <v>-</v>
      </c>
      <c r="O104" s="23" t="str">
        <f t="shared" si="10"/>
        <v>-</v>
      </c>
      <c r="P104" s="24" t="str">
        <f t="shared" si="11"/>
        <v>-</v>
      </c>
      <c r="Q104" s="25" t="str">
        <f t="shared" si="12"/>
        <v>-</v>
      </c>
      <c r="R104" s="6"/>
      <c r="S104" s="25" t="str">
        <f t="shared" si="13"/>
        <v>-</v>
      </c>
    </row>
    <row r="105" spans="1:19">
      <c r="A105" s="2">
        <f t="shared" si="7"/>
        <v>103</v>
      </c>
      <c r="B105" s="3" t="s">
        <v>205</v>
      </c>
      <c r="C105" s="13">
        <v>693749525028</v>
      </c>
      <c r="D105" s="3" t="s">
        <v>206</v>
      </c>
      <c r="E105" s="16">
        <v>120</v>
      </c>
      <c r="F105" s="27">
        <v>0.19186927204708534</v>
      </c>
      <c r="G105" s="4">
        <v>33.495000000000005</v>
      </c>
      <c r="H105" s="16"/>
      <c r="I105" s="4">
        <f t="shared" si="8"/>
        <v>0</v>
      </c>
      <c r="J105" t="s">
        <v>440</v>
      </c>
      <c r="N105" s="23" t="str">
        <f t="shared" si="9"/>
        <v>-</v>
      </c>
      <c r="O105" s="23" t="str">
        <f t="shared" si="10"/>
        <v>-</v>
      </c>
      <c r="P105" s="24" t="str">
        <f t="shared" si="11"/>
        <v>-</v>
      </c>
      <c r="Q105" s="25" t="str">
        <f t="shared" si="12"/>
        <v>-</v>
      </c>
      <c r="R105" s="6"/>
      <c r="S105" s="25" t="str">
        <f t="shared" si="13"/>
        <v>-</v>
      </c>
    </row>
    <row r="106" spans="1:19">
      <c r="A106" s="2">
        <f t="shared" si="7"/>
        <v>104</v>
      </c>
      <c r="B106" s="3" t="s">
        <v>207</v>
      </c>
      <c r="C106" s="13">
        <v>693749715023</v>
      </c>
      <c r="D106" s="3" t="s">
        <v>208</v>
      </c>
      <c r="E106" s="16">
        <v>60</v>
      </c>
      <c r="F106" s="27">
        <v>8.0787061914562253E-2</v>
      </c>
      <c r="G106" s="4">
        <v>56.941500000000005</v>
      </c>
      <c r="H106" s="16"/>
      <c r="I106" s="4">
        <f t="shared" si="8"/>
        <v>0</v>
      </c>
      <c r="J106" t="s">
        <v>440</v>
      </c>
      <c r="N106" s="23" t="str">
        <f t="shared" si="9"/>
        <v>-</v>
      </c>
      <c r="O106" s="23" t="str">
        <f t="shared" si="10"/>
        <v>-</v>
      </c>
      <c r="P106" s="24" t="str">
        <f t="shared" si="11"/>
        <v>-</v>
      </c>
      <c r="Q106" s="25" t="str">
        <f t="shared" si="12"/>
        <v>-</v>
      </c>
      <c r="R106" s="6"/>
      <c r="S106" s="25" t="str">
        <f t="shared" si="13"/>
        <v>-</v>
      </c>
    </row>
    <row r="107" spans="1:19">
      <c r="A107" s="2">
        <f t="shared" si="7"/>
        <v>105</v>
      </c>
      <c r="B107" s="3" t="s">
        <v>209</v>
      </c>
      <c r="C107" s="13">
        <v>693749106036</v>
      </c>
      <c r="D107" s="3" t="s">
        <v>210</v>
      </c>
      <c r="E107" s="16">
        <v>60</v>
      </c>
      <c r="F107" s="27">
        <v>9.0885444653882527E-2</v>
      </c>
      <c r="G107" s="4">
        <v>19.7925</v>
      </c>
      <c r="H107" s="16"/>
      <c r="I107" s="4">
        <f t="shared" si="8"/>
        <v>0</v>
      </c>
      <c r="J107" t="s">
        <v>440</v>
      </c>
      <c r="N107" s="23" t="str">
        <f t="shared" si="9"/>
        <v>-</v>
      </c>
      <c r="O107" s="23" t="str">
        <f t="shared" si="10"/>
        <v>-</v>
      </c>
      <c r="P107" s="24" t="str">
        <f t="shared" si="11"/>
        <v>-</v>
      </c>
      <c r="Q107" s="25" t="str">
        <f t="shared" si="12"/>
        <v>-</v>
      </c>
      <c r="R107" s="6"/>
      <c r="S107" s="25" t="str">
        <f t="shared" si="13"/>
        <v>-</v>
      </c>
    </row>
    <row r="108" spans="1:19">
      <c r="A108" s="2">
        <f t="shared" si="7"/>
        <v>106</v>
      </c>
      <c r="B108" s="3" t="s">
        <v>211</v>
      </c>
      <c r="C108" s="13">
        <v>693749131021</v>
      </c>
      <c r="D108" s="3" t="s">
        <v>212</v>
      </c>
      <c r="E108" s="16">
        <v>180</v>
      </c>
      <c r="F108" s="27">
        <v>0.20196765478640563</v>
      </c>
      <c r="G108" s="4">
        <v>19.7925</v>
      </c>
      <c r="H108" s="16"/>
      <c r="I108" s="4">
        <f t="shared" si="8"/>
        <v>0</v>
      </c>
      <c r="J108" t="s">
        <v>440</v>
      </c>
      <c r="N108" s="23" t="str">
        <f t="shared" si="9"/>
        <v>-</v>
      </c>
      <c r="O108" s="23" t="str">
        <f t="shared" si="10"/>
        <v>-</v>
      </c>
      <c r="P108" s="24" t="str">
        <f t="shared" si="11"/>
        <v>-</v>
      </c>
      <c r="Q108" s="25" t="str">
        <f t="shared" si="12"/>
        <v>-</v>
      </c>
      <c r="R108" s="6"/>
      <c r="S108" s="25" t="str">
        <f t="shared" si="13"/>
        <v>-</v>
      </c>
    </row>
    <row r="109" spans="1:19">
      <c r="A109" s="2">
        <f t="shared" si="7"/>
        <v>107</v>
      </c>
      <c r="B109" s="3" t="s">
        <v>213</v>
      </c>
      <c r="C109" s="13">
        <v>693749012559</v>
      </c>
      <c r="D109" s="3" t="s">
        <v>214</v>
      </c>
      <c r="E109" s="16" t="s">
        <v>465</v>
      </c>
      <c r="F109" s="27">
        <v>1.7470202139024085</v>
      </c>
      <c r="G109" s="4">
        <v>80.053049999999999</v>
      </c>
      <c r="H109" s="16"/>
      <c r="I109" s="4">
        <f t="shared" si="8"/>
        <v>0</v>
      </c>
      <c r="J109" t="s">
        <v>440</v>
      </c>
      <c r="N109" s="23" t="str">
        <f t="shared" si="9"/>
        <v>-</v>
      </c>
      <c r="O109" s="23" t="str">
        <f t="shared" si="10"/>
        <v>-</v>
      </c>
      <c r="P109" s="24" t="str">
        <f t="shared" si="11"/>
        <v>-</v>
      </c>
      <c r="Q109" s="25" t="str">
        <f t="shared" si="12"/>
        <v>-</v>
      </c>
      <c r="R109" s="6"/>
      <c r="S109" s="25" t="str">
        <f t="shared" si="13"/>
        <v>-</v>
      </c>
    </row>
    <row r="110" spans="1:19">
      <c r="A110" s="2">
        <f t="shared" si="7"/>
        <v>108</v>
      </c>
      <c r="B110" s="3" t="s">
        <v>215</v>
      </c>
      <c r="C110" s="13">
        <v>693749714019</v>
      </c>
      <c r="D110" s="3" t="s">
        <v>216</v>
      </c>
      <c r="E110" s="16">
        <v>180</v>
      </c>
      <c r="F110" s="27">
        <v>0.19691846341674546</v>
      </c>
      <c r="G110" s="4">
        <v>31.211250000000003</v>
      </c>
      <c r="H110" s="16"/>
      <c r="I110" s="4">
        <f t="shared" si="8"/>
        <v>0</v>
      </c>
      <c r="J110" t="s">
        <v>440</v>
      </c>
      <c r="N110" s="23" t="str">
        <f t="shared" si="9"/>
        <v>-</v>
      </c>
      <c r="O110" s="23" t="str">
        <f t="shared" si="10"/>
        <v>-</v>
      </c>
      <c r="P110" s="24" t="str">
        <f t="shared" si="11"/>
        <v>-</v>
      </c>
      <c r="Q110" s="25" t="str">
        <f t="shared" si="12"/>
        <v>-</v>
      </c>
      <c r="R110" s="6"/>
      <c r="S110" s="25" t="str">
        <f t="shared" si="13"/>
        <v>-</v>
      </c>
    </row>
    <row r="111" spans="1:19">
      <c r="A111" s="2">
        <f t="shared" si="7"/>
        <v>109</v>
      </c>
      <c r="B111" s="3" t="s">
        <v>217</v>
      </c>
      <c r="C111" s="13">
        <v>693749518020</v>
      </c>
      <c r="D111" s="3" t="s">
        <v>218</v>
      </c>
      <c r="E111" s="16">
        <v>90</v>
      </c>
      <c r="F111" s="27">
        <v>0.11108221013252308</v>
      </c>
      <c r="G111" s="4">
        <v>19.7925</v>
      </c>
      <c r="H111" s="16"/>
      <c r="I111" s="4">
        <f t="shared" si="8"/>
        <v>0</v>
      </c>
      <c r="J111" t="s">
        <v>440</v>
      </c>
      <c r="N111" s="23" t="str">
        <f t="shared" si="9"/>
        <v>-</v>
      </c>
      <c r="O111" s="23" t="str">
        <f t="shared" si="10"/>
        <v>-</v>
      </c>
      <c r="P111" s="24" t="str">
        <f t="shared" si="11"/>
        <v>-</v>
      </c>
      <c r="Q111" s="25" t="str">
        <f t="shared" si="12"/>
        <v>-</v>
      </c>
      <c r="R111" s="6"/>
      <c r="S111" s="25" t="str">
        <f t="shared" si="13"/>
        <v>-</v>
      </c>
    </row>
    <row r="112" spans="1:19">
      <c r="A112" s="2">
        <f t="shared" si="7"/>
        <v>110</v>
      </c>
      <c r="B112" s="3" t="s">
        <v>219</v>
      </c>
      <c r="C112" s="13">
        <v>693749006299</v>
      </c>
      <c r="D112" s="3" t="s">
        <v>220</v>
      </c>
      <c r="E112" s="16" t="s">
        <v>466</v>
      </c>
      <c r="F112" s="27">
        <v>0.52511590244465456</v>
      </c>
      <c r="G112" s="4">
        <v>29.460375000000003</v>
      </c>
      <c r="H112" s="16"/>
      <c r="I112" s="4">
        <f t="shared" si="8"/>
        <v>0</v>
      </c>
      <c r="J112" t="s">
        <v>440</v>
      </c>
      <c r="N112" s="23" t="str">
        <f t="shared" si="9"/>
        <v>-</v>
      </c>
      <c r="O112" s="23" t="str">
        <f t="shared" si="10"/>
        <v>-</v>
      </c>
      <c r="P112" s="24" t="str">
        <f t="shared" si="11"/>
        <v>-</v>
      </c>
      <c r="Q112" s="25" t="str">
        <f t="shared" si="12"/>
        <v>-</v>
      </c>
      <c r="R112" s="6"/>
      <c r="S112" s="25" t="str">
        <f t="shared" si="13"/>
        <v>-</v>
      </c>
    </row>
    <row r="113" spans="1:19">
      <c r="A113" s="2">
        <f t="shared" si="7"/>
        <v>111</v>
      </c>
      <c r="B113" s="3" t="s">
        <v>221</v>
      </c>
      <c r="C113" s="13">
        <v>693749015581</v>
      </c>
      <c r="D113" s="3" t="s">
        <v>222</v>
      </c>
      <c r="E113" s="16" t="s">
        <v>467</v>
      </c>
      <c r="F113" s="27">
        <v>0.42413207505145178</v>
      </c>
      <c r="G113" s="4">
        <v>38.290875</v>
      </c>
      <c r="H113" s="16"/>
      <c r="I113" s="4">
        <f t="shared" si="8"/>
        <v>0</v>
      </c>
      <c r="J113" t="s">
        <v>440</v>
      </c>
      <c r="N113" s="23" t="str">
        <f t="shared" si="9"/>
        <v>-</v>
      </c>
      <c r="O113" s="23" t="str">
        <f t="shared" si="10"/>
        <v>-</v>
      </c>
      <c r="P113" s="24" t="str">
        <f t="shared" si="11"/>
        <v>-</v>
      </c>
      <c r="Q113" s="25" t="str">
        <f t="shared" si="12"/>
        <v>-</v>
      </c>
      <c r="R113" s="6"/>
      <c r="S113" s="25" t="str">
        <f t="shared" si="13"/>
        <v>-</v>
      </c>
    </row>
    <row r="114" spans="1:19" ht="27">
      <c r="A114" s="2">
        <f t="shared" si="7"/>
        <v>112</v>
      </c>
      <c r="B114" s="3" t="s">
        <v>223</v>
      </c>
      <c r="C114" s="28" t="s">
        <v>437</v>
      </c>
      <c r="D114" s="3" t="s">
        <v>224</v>
      </c>
      <c r="E114" s="16" t="s">
        <v>468</v>
      </c>
      <c r="F114" s="27">
        <v>0.16662331519878462</v>
      </c>
      <c r="G114" s="4">
        <v>37.331700000000005</v>
      </c>
      <c r="H114" s="16"/>
      <c r="I114" s="4">
        <f t="shared" si="8"/>
        <v>0</v>
      </c>
      <c r="J114" t="s">
        <v>440</v>
      </c>
      <c r="N114" s="23" t="str">
        <f t="shared" si="9"/>
        <v>-</v>
      </c>
      <c r="O114" s="23" t="str">
        <f t="shared" si="10"/>
        <v>-</v>
      </c>
      <c r="P114" s="24" t="str">
        <f t="shared" si="11"/>
        <v>-</v>
      </c>
      <c r="Q114" s="25" t="str">
        <f t="shared" si="12"/>
        <v>-</v>
      </c>
      <c r="R114" s="6"/>
      <c r="S114" s="25" t="str">
        <f t="shared" si="13"/>
        <v>-</v>
      </c>
    </row>
    <row r="115" spans="1:19">
      <c r="A115" s="2">
        <f t="shared" si="7"/>
        <v>113</v>
      </c>
      <c r="B115" s="3" t="s">
        <v>225</v>
      </c>
      <c r="C115" s="13">
        <v>693749503026</v>
      </c>
      <c r="D115" s="3" t="s">
        <v>226</v>
      </c>
      <c r="E115" s="16">
        <v>90</v>
      </c>
      <c r="F115" s="27">
        <v>5.5541105066261538E-2</v>
      </c>
      <c r="G115" s="4">
        <v>30.17595</v>
      </c>
      <c r="H115" s="16"/>
      <c r="I115" s="4">
        <f t="shared" si="8"/>
        <v>0</v>
      </c>
      <c r="J115" t="s">
        <v>440</v>
      </c>
      <c r="N115" s="23" t="str">
        <f t="shared" si="9"/>
        <v>-</v>
      </c>
      <c r="O115" s="23" t="str">
        <f t="shared" si="10"/>
        <v>-</v>
      </c>
      <c r="P115" s="24" t="str">
        <f t="shared" si="11"/>
        <v>-</v>
      </c>
      <c r="Q115" s="25" t="str">
        <f t="shared" si="12"/>
        <v>-</v>
      </c>
      <c r="R115" s="6"/>
      <c r="S115" s="25" t="str">
        <f t="shared" si="13"/>
        <v>-</v>
      </c>
    </row>
    <row r="116" spans="1:19">
      <c r="A116" s="2">
        <f t="shared" si="7"/>
        <v>114</v>
      </c>
      <c r="B116" s="3" t="s">
        <v>227</v>
      </c>
      <c r="C116" s="13">
        <v>693749003410</v>
      </c>
      <c r="D116" s="3" t="s">
        <v>228</v>
      </c>
      <c r="E116" s="16">
        <v>60</v>
      </c>
      <c r="F116" s="27">
        <v>3.5344339587620982E-2</v>
      </c>
      <c r="G116" s="4">
        <v>15.31635</v>
      </c>
      <c r="H116" s="16"/>
      <c r="I116" s="4">
        <f t="shared" si="8"/>
        <v>0</v>
      </c>
      <c r="J116" t="s">
        <v>440</v>
      </c>
      <c r="N116" s="23" t="str">
        <f t="shared" si="9"/>
        <v>-</v>
      </c>
      <c r="O116" s="23" t="str">
        <f t="shared" si="10"/>
        <v>-</v>
      </c>
      <c r="P116" s="24" t="str">
        <f t="shared" si="11"/>
        <v>-</v>
      </c>
      <c r="Q116" s="25" t="str">
        <f t="shared" si="12"/>
        <v>-</v>
      </c>
      <c r="R116" s="6"/>
      <c r="S116" s="25" t="str">
        <f t="shared" si="13"/>
        <v>-</v>
      </c>
    </row>
    <row r="117" spans="1:19">
      <c r="A117" s="2">
        <f t="shared" si="7"/>
        <v>115</v>
      </c>
      <c r="B117" s="3" t="s">
        <v>229</v>
      </c>
      <c r="C117" s="13">
        <v>693749012542</v>
      </c>
      <c r="D117" s="3" t="s">
        <v>230</v>
      </c>
      <c r="E117" s="16" t="s">
        <v>469</v>
      </c>
      <c r="F117" s="27">
        <v>1.2521994596757149</v>
      </c>
      <c r="G117" s="4">
        <v>68.512500000000003</v>
      </c>
      <c r="H117" s="16"/>
      <c r="I117" s="4">
        <f t="shared" si="8"/>
        <v>0</v>
      </c>
      <c r="J117" t="s">
        <v>440</v>
      </c>
      <c r="N117" s="23" t="str">
        <f t="shared" si="9"/>
        <v>-</v>
      </c>
      <c r="O117" s="23" t="str">
        <f t="shared" si="10"/>
        <v>-</v>
      </c>
      <c r="P117" s="24" t="str">
        <f t="shared" si="11"/>
        <v>-</v>
      </c>
      <c r="Q117" s="25" t="str">
        <f t="shared" si="12"/>
        <v>-</v>
      </c>
      <c r="R117" s="6"/>
      <c r="S117" s="25" t="str">
        <f t="shared" si="13"/>
        <v>-</v>
      </c>
    </row>
    <row r="118" spans="1:19">
      <c r="A118" s="2">
        <f t="shared" si="7"/>
        <v>116</v>
      </c>
      <c r="B118" s="3" t="s">
        <v>231</v>
      </c>
      <c r="C118" s="13">
        <v>693749755029</v>
      </c>
      <c r="D118" s="3" t="s">
        <v>232</v>
      </c>
      <c r="E118" s="16">
        <v>60</v>
      </c>
      <c r="F118" s="27">
        <v>5.0491913696601408E-2</v>
      </c>
      <c r="G118" s="4">
        <v>19.350975000000002</v>
      </c>
      <c r="H118" s="16"/>
      <c r="I118" s="4">
        <f t="shared" si="8"/>
        <v>0</v>
      </c>
      <c r="J118" t="s">
        <v>440</v>
      </c>
      <c r="N118" s="23" t="str">
        <f t="shared" si="9"/>
        <v>-</v>
      </c>
      <c r="O118" s="23" t="str">
        <f t="shared" si="10"/>
        <v>-</v>
      </c>
      <c r="P118" s="24" t="str">
        <f t="shared" si="11"/>
        <v>-</v>
      </c>
      <c r="Q118" s="25" t="str">
        <f t="shared" si="12"/>
        <v>-</v>
      </c>
      <c r="R118" s="6"/>
      <c r="S118" s="25" t="str">
        <f t="shared" si="13"/>
        <v>-</v>
      </c>
    </row>
    <row r="119" spans="1:19">
      <c r="A119" s="2">
        <f t="shared" si="7"/>
        <v>117</v>
      </c>
      <c r="B119" s="3" t="s">
        <v>233</v>
      </c>
      <c r="C119" s="13">
        <v>693749011743</v>
      </c>
      <c r="D119" s="3" t="s">
        <v>234</v>
      </c>
      <c r="E119" s="16">
        <v>60</v>
      </c>
      <c r="F119" s="27">
        <v>5.0491913696601408E-2</v>
      </c>
      <c r="G119" s="4">
        <v>15.225</v>
      </c>
      <c r="H119" s="16"/>
      <c r="I119" s="4">
        <f t="shared" si="8"/>
        <v>0</v>
      </c>
      <c r="J119" t="s">
        <v>440</v>
      </c>
      <c r="N119" s="23" t="str">
        <f t="shared" si="9"/>
        <v>-</v>
      </c>
      <c r="O119" s="23" t="str">
        <f t="shared" si="10"/>
        <v>-</v>
      </c>
      <c r="P119" s="24" t="str">
        <f t="shared" si="11"/>
        <v>-</v>
      </c>
      <c r="Q119" s="25" t="str">
        <f t="shared" si="12"/>
        <v>-</v>
      </c>
      <c r="R119" s="6"/>
      <c r="S119" s="25" t="str">
        <f t="shared" si="13"/>
        <v>-</v>
      </c>
    </row>
    <row r="120" spans="1:19" ht="27">
      <c r="A120" s="2">
        <f t="shared" si="7"/>
        <v>118</v>
      </c>
      <c r="B120" s="3" t="s">
        <v>235</v>
      </c>
      <c r="C120" s="28" t="s">
        <v>438</v>
      </c>
      <c r="D120" s="3" t="s">
        <v>236</v>
      </c>
      <c r="E120" s="16" t="s">
        <v>470</v>
      </c>
      <c r="F120" s="27">
        <v>7.4425080788790468E-2</v>
      </c>
      <c r="G120" s="4">
        <v>33.418875</v>
      </c>
      <c r="H120" s="16"/>
      <c r="I120" s="4">
        <f t="shared" si="8"/>
        <v>0</v>
      </c>
      <c r="J120" t="s">
        <v>440</v>
      </c>
      <c r="N120" s="23" t="str">
        <f t="shared" si="9"/>
        <v>-</v>
      </c>
      <c r="O120" s="23" t="str">
        <f t="shared" si="10"/>
        <v>-</v>
      </c>
      <c r="P120" s="24" t="str">
        <f t="shared" si="11"/>
        <v>-</v>
      </c>
      <c r="Q120" s="25" t="str">
        <f t="shared" si="12"/>
        <v>-</v>
      </c>
      <c r="R120" s="6"/>
      <c r="S120" s="25" t="str">
        <f t="shared" si="13"/>
        <v>-</v>
      </c>
    </row>
    <row r="121" spans="1:19">
      <c r="A121" s="2">
        <f t="shared" si="7"/>
        <v>119</v>
      </c>
      <c r="B121" s="3" t="s">
        <v>237</v>
      </c>
      <c r="C121" s="13">
        <v>693749012566</v>
      </c>
      <c r="D121" s="3" t="s">
        <v>238</v>
      </c>
      <c r="E121" s="16" t="s">
        <v>471</v>
      </c>
      <c r="F121" s="27">
        <v>1.5955444728126043</v>
      </c>
      <c r="G121" s="4">
        <v>80.053049999999999</v>
      </c>
      <c r="H121" s="16"/>
      <c r="I121" s="4">
        <f t="shared" si="8"/>
        <v>0</v>
      </c>
      <c r="J121" t="s">
        <v>440</v>
      </c>
      <c r="N121" s="23" t="str">
        <f t="shared" si="9"/>
        <v>-</v>
      </c>
      <c r="O121" s="23" t="str">
        <f t="shared" si="10"/>
        <v>-</v>
      </c>
      <c r="P121" s="24" t="str">
        <f t="shared" si="11"/>
        <v>-</v>
      </c>
      <c r="Q121" s="25" t="str">
        <f t="shared" si="12"/>
        <v>-</v>
      </c>
      <c r="R121" s="6"/>
      <c r="S121" s="25" t="str">
        <f t="shared" si="13"/>
        <v>-</v>
      </c>
    </row>
    <row r="122" spans="1:19">
      <c r="A122" s="2">
        <f t="shared" si="7"/>
        <v>120</v>
      </c>
      <c r="B122" s="3" t="s">
        <v>239</v>
      </c>
      <c r="C122" s="13">
        <v>693749757030</v>
      </c>
      <c r="D122" s="3" t="s">
        <v>240</v>
      </c>
      <c r="E122" s="16">
        <v>60</v>
      </c>
      <c r="F122" s="27">
        <v>0.18682008067742517</v>
      </c>
      <c r="G122" s="4">
        <v>34.332374999999999</v>
      </c>
      <c r="H122" s="16"/>
      <c r="I122" s="4">
        <f t="shared" si="8"/>
        <v>0</v>
      </c>
      <c r="J122" t="s">
        <v>440</v>
      </c>
      <c r="N122" s="23" t="str">
        <f t="shared" si="9"/>
        <v>-</v>
      </c>
      <c r="O122" s="23" t="str">
        <f t="shared" si="10"/>
        <v>-</v>
      </c>
      <c r="P122" s="24" t="str">
        <f t="shared" si="11"/>
        <v>-</v>
      </c>
      <c r="Q122" s="25" t="str">
        <f t="shared" si="12"/>
        <v>-</v>
      </c>
      <c r="R122" s="6"/>
      <c r="S122" s="25" t="str">
        <f t="shared" si="13"/>
        <v>-</v>
      </c>
    </row>
    <row r="123" spans="1:19">
      <c r="A123" s="2">
        <f t="shared" si="7"/>
        <v>121</v>
      </c>
      <c r="B123" s="3" t="s">
        <v>241</v>
      </c>
      <c r="C123" s="13">
        <v>693749652014</v>
      </c>
      <c r="D123" s="3" t="s">
        <v>242</v>
      </c>
      <c r="E123" s="16">
        <v>60</v>
      </c>
      <c r="F123" s="27">
        <v>7.5737870544902094E-2</v>
      </c>
      <c r="G123" s="4">
        <v>27.405000000000001</v>
      </c>
      <c r="H123" s="16"/>
      <c r="I123" s="4">
        <f t="shared" si="8"/>
        <v>0</v>
      </c>
      <c r="J123" t="s">
        <v>440</v>
      </c>
      <c r="N123" s="23" t="str">
        <f t="shared" si="9"/>
        <v>-</v>
      </c>
      <c r="O123" s="23" t="str">
        <f t="shared" si="10"/>
        <v>-</v>
      </c>
      <c r="P123" s="24" t="str">
        <f t="shared" si="11"/>
        <v>-</v>
      </c>
      <c r="Q123" s="25" t="str">
        <f t="shared" si="12"/>
        <v>-</v>
      </c>
      <c r="R123" s="6"/>
      <c r="S123" s="25" t="str">
        <f t="shared" si="13"/>
        <v>-</v>
      </c>
    </row>
    <row r="124" spans="1:19">
      <c r="A124" s="2">
        <f t="shared" si="7"/>
        <v>122</v>
      </c>
      <c r="B124" s="3" t="s">
        <v>243</v>
      </c>
      <c r="C124" s="13">
        <v>693749255024</v>
      </c>
      <c r="D124" s="3" t="s">
        <v>244</v>
      </c>
      <c r="E124" s="16">
        <v>60</v>
      </c>
      <c r="F124" s="27">
        <v>3.0295148217960841E-2</v>
      </c>
      <c r="G124" s="4">
        <v>15.225</v>
      </c>
      <c r="H124" s="16"/>
      <c r="I124" s="4">
        <f t="shared" si="8"/>
        <v>0</v>
      </c>
      <c r="J124" t="s">
        <v>440</v>
      </c>
      <c r="N124" s="23" t="str">
        <f t="shared" si="9"/>
        <v>-</v>
      </c>
      <c r="O124" s="23" t="str">
        <f t="shared" si="10"/>
        <v>-</v>
      </c>
      <c r="P124" s="24" t="str">
        <f t="shared" si="11"/>
        <v>-</v>
      </c>
      <c r="Q124" s="25" t="str">
        <f t="shared" si="12"/>
        <v>-</v>
      </c>
      <c r="R124" s="6"/>
      <c r="S124" s="25" t="str">
        <f t="shared" si="13"/>
        <v>-</v>
      </c>
    </row>
    <row r="125" spans="1:19">
      <c r="A125" s="2">
        <f t="shared" si="7"/>
        <v>123</v>
      </c>
      <c r="B125" s="3" t="s">
        <v>245</v>
      </c>
      <c r="C125" s="13">
        <v>693749733010</v>
      </c>
      <c r="D125" s="3" t="s">
        <v>246</v>
      </c>
      <c r="E125" s="16">
        <v>90</v>
      </c>
      <c r="F125" s="27">
        <v>6.563948780558182E-2</v>
      </c>
      <c r="G125" s="4">
        <v>39.859050000000003</v>
      </c>
      <c r="H125" s="16"/>
      <c r="I125" s="4">
        <f t="shared" si="8"/>
        <v>0</v>
      </c>
      <c r="J125" t="s">
        <v>440</v>
      </c>
      <c r="N125" s="23" t="str">
        <f t="shared" si="9"/>
        <v>-</v>
      </c>
      <c r="O125" s="23" t="str">
        <f t="shared" si="10"/>
        <v>-</v>
      </c>
      <c r="P125" s="24" t="str">
        <f t="shared" si="11"/>
        <v>-</v>
      </c>
      <c r="Q125" s="25" t="str">
        <f t="shared" si="12"/>
        <v>-</v>
      </c>
      <c r="R125" s="6"/>
      <c r="S125" s="25" t="str">
        <f t="shared" si="13"/>
        <v>-</v>
      </c>
    </row>
    <row r="126" spans="1:19" ht="27">
      <c r="A126" s="2">
        <f t="shared" si="7"/>
        <v>124</v>
      </c>
      <c r="B126" s="3" t="s">
        <v>247</v>
      </c>
      <c r="C126" s="28" t="s">
        <v>439</v>
      </c>
      <c r="D126" s="3" t="s">
        <v>248</v>
      </c>
      <c r="E126" s="16" t="s">
        <v>461</v>
      </c>
      <c r="F126" s="27">
        <v>0.18682008067742517</v>
      </c>
      <c r="G126" s="4">
        <v>39.036900000000003</v>
      </c>
      <c r="H126" s="16"/>
      <c r="I126" s="4">
        <f t="shared" si="8"/>
        <v>0</v>
      </c>
      <c r="J126" t="s">
        <v>440</v>
      </c>
      <c r="N126" s="23" t="str">
        <f t="shared" si="9"/>
        <v>-</v>
      </c>
      <c r="O126" s="23" t="str">
        <f t="shared" si="10"/>
        <v>-</v>
      </c>
      <c r="P126" s="24" t="str">
        <f t="shared" si="11"/>
        <v>-</v>
      </c>
      <c r="Q126" s="25" t="str">
        <f t="shared" si="12"/>
        <v>-</v>
      </c>
      <c r="R126" s="6"/>
      <c r="S126" s="25" t="str">
        <f t="shared" si="13"/>
        <v>-</v>
      </c>
    </row>
    <row r="127" spans="1:19">
      <c r="A127" s="2">
        <f t="shared" si="7"/>
        <v>125</v>
      </c>
      <c r="B127" s="3" t="s">
        <v>249</v>
      </c>
      <c r="C127" s="13">
        <v>693749013433</v>
      </c>
      <c r="D127" s="3" t="s">
        <v>250</v>
      </c>
      <c r="E127" s="16">
        <v>30</v>
      </c>
      <c r="F127" s="27">
        <v>6.563948780558182E-2</v>
      </c>
      <c r="G127" s="4">
        <v>42.066675000000004</v>
      </c>
      <c r="H127" s="16"/>
      <c r="I127" s="4">
        <f t="shared" si="8"/>
        <v>0</v>
      </c>
      <c r="J127" t="s">
        <v>440</v>
      </c>
      <c r="N127" s="23" t="str">
        <f t="shared" si="9"/>
        <v>-</v>
      </c>
      <c r="O127" s="23" t="str">
        <f t="shared" si="10"/>
        <v>-</v>
      </c>
      <c r="P127" s="24" t="str">
        <f t="shared" si="11"/>
        <v>-</v>
      </c>
      <c r="Q127" s="25" t="str">
        <f t="shared" si="12"/>
        <v>-</v>
      </c>
      <c r="R127" s="6"/>
      <c r="S127" s="25" t="str">
        <f t="shared" si="13"/>
        <v>-</v>
      </c>
    </row>
    <row r="128" spans="1:19">
      <c r="A128" s="2">
        <f t="shared" si="7"/>
        <v>126</v>
      </c>
      <c r="B128" s="3" t="s">
        <v>251</v>
      </c>
      <c r="C128" s="13">
        <v>693749516026</v>
      </c>
      <c r="D128" s="3" t="s">
        <v>252</v>
      </c>
      <c r="E128" s="16">
        <v>60</v>
      </c>
      <c r="F128" s="27">
        <v>0.10603301876286295</v>
      </c>
      <c r="G128" s="4">
        <v>11.418749999999999</v>
      </c>
      <c r="H128" s="16"/>
      <c r="I128" s="4">
        <f t="shared" si="8"/>
        <v>0</v>
      </c>
      <c r="J128" t="s">
        <v>440</v>
      </c>
      <c r="N128" s="23" t="str">
        <f t="shared" si="9"/>
        <v>-</v>
      </c>
      <c r="O128" s="23" t="str">
        <f t="shared" si="10"/>
        <v>-</v>
      </c>
      <c r="P128" s="24" t="str">
        <f t="shared" si="11"/>
        <v>-</v>
      </c>
      <c r="Q128" s="25" t="str">
        <f t="shared" si="12"/>
        <v>-</v>
      </c>
      <c r="R128" s="6"/>
      <c r="S128" s="25" t="str">
        <f t="shared" si="13"/>
        <v>-</v>
      </c>
    </row>
    <row r="129" spans="1:19">
      <c r="A129" s="2">
        <f t="shared" si="7"/>
        <v>127</v>
      </c>
      <c r="B129" s="3" t="s">
        <v>253</v>
      </c>
      <c r="C129" s="13">
        <v>693749780021</v>
      </c>
      <c r="D129" s="3" t="s">
        <v>254</v>
      </c>
      <c r="E129" s="16">
        <v>60</v>
      </c>
      <c r="F129" s="27">
        <v>3.5344339587620982E-2</v>
      </c>
      <c r="G129" s="4">
        <v>16.747500000000002</v>
      </c>
      <c r="H129" s="16"/>
      <c r="I129" s="4">
        <f t="shared" si="8"/>
        <v>0</v>
      </c>
      <c r="J129" t="s">
        <v>440</v>
      </c>
      <c r="N129" s="23" t="str">
        <f t="shared" si="9"/>
        <v>-</v>
      </c>
      <c r="O129" s="23" t="str">
        <f t="shared" si="10"/>
        <v>-</v>
      </c>
      <c r="P129" s="24" t="str">
        <f t="shared" si="11"/>
        <v>-</v>
      </c>
      <c r="Q129" s="25" t="str">
        <f t="shared" si="12"/>
        <v>-</v>
      </c>
      <c r="R129" s="6"/>
      <c r="S129" s="25" t="str">
        <f t="shared" si="13"/>
        <v>-</v>
      </c>
    </row>
    <row r="130" spans="1:19">
      <c r="A130" s="2">
        <f t="shared" si="7"/>
        <v>128</v>
      </c>
      <c r="B130" s="3" t="s">
        <v>255</v>
      </c>
      <c r="C130" s="13">
        <v>693749015604</v>
      </c>
      <c r="D130" s="3" t="s">
        <v>256</v>
      </c>
      <c r="E130" s="16" t="s">
        <v>472</v>
      </c>
      <c r="F130" s="27">
        <v>0.47967318011771332</v>
      </c>
      <c r="G130" s="4">
        <v>41.488124999999997</v>
      </c>
      <c r="H130" s="16"/>
      <c r="I130" s="4">
        <f t="shared" si="8"/>
        <v>0</v>
      </c>
      <c r="J130" t="s">
        <v>440</v>
      </c>
      <c r="N130" s="23" t="str">
        <f t="shared" si="9"/>
        <v>-</v>
      </c>
      <c r="O130" s="23" t="str">
        <f t="shared" si="10"/>
        <v>-</v>
      </c>
      <c r="P130" s="24" t="str">
        <f t="shared" si="11"/>
        <v>-</v>
      </c>
      <c r="Q130" s="25" t="str">
        <f t="shared" si="12"/>
        <v>-</v>
      </c>
      <c r="R130" s="6"/>
      <c r="S130" s="25" t="str">
        <f t="shared" si="13"/>
        <v>-</v>
      </c>
    </row>
    <row r="131" spans="1:19">
      <c r="A131" s="2">
        <f t="shared" si="7"/>
        <v>129</v>
      </c>
      <c r="B131" s="3" t="s">
        <v>257</v>
      </c>
      <c r="C131" s="13">
        <v>872331001311</v>
      </c>
      <c r="D131" s="3" t="s">
        <v>258</v>
      </c>
      <c r="E131" s="16" t="s">
        <v>473</v>
      </c>
      <c r="F131" s="27">
        <v>0.79272304503664204</v>
      </c>
      <c r="G131" s="4">
        <v>35.078400000000002</v>
      </c>
      <c r="H131" s="16"/>
      <c r="I131" s="4">
        <f t="shared" si="8"/>
        <v>0</v>
      </c>
      <c r="J131" t="s">
        <v>440</v>
      </c>
      <c r="N131" s="23" t="str">
        <f t="shared" si="9"/>
        <v>-</v>
      </c>
      <c r="O131" s="23" t="str">
        <f t="shared" si="10"/>
        <v>-</v>
      </c>
      <c r="P131" s="24" t="str">
        <f t="shared" si="11"/>
        <v>-</v>
      </c>
      <c r="Q131" s="25" t="str">
        <f t="shared" si="12"/>
        <v>-</v>
      </c>
      <c r="R131" s="6"/>
      <c r="S131" s="25" t="str">
        <f t="shared" si="13"/>
        <v>-</v>
      </c>
    </row>
    <row r="132" spans="1:19">
      <c r="A132" s="2" t="e">
        <f>+#REF!+1</f>
        <v>#REF!</v>
      </c>
      <c r="B132" s="3" t="s">
        <v>259</v>
      </c>
      <c r="C132" s="13">
        <v>693749242031</v>
      </c>
      <c r="D132" s="3" t="s">
        <v>260</v>
      </c>
      <c r="E132" s="16">
        <v>90</v>
      </c>
      <c r="F132" s="27">
        <v>6.563948780558182E-2</v>
      </c>
      <c r="G132" s="4">
        <v>18.270000000000003</v>
      </c>
      <c r="H132" s="16"/>
      <c r="I132" s="4">
        <f t="shared" ref="I132:I186" si="14">IFERROR(G132*H132,"")</f>
        <v>0</v>
      </c>
      <c r="J132" t="s">
        <v>440</v>
      </c>
      <c r="N132" s="23" t="str">
        <f t="shared" ref="N132:N186" si="15">IFERROR(IF($N$2*F132=0, "-", $N$2*F132), "-")</f>
        <v>-</v>
      </c>
      <c r="O132" s="23" t="str">
        <f t="shared" ref="O132:O186" si="16">IFERROR(IF(G132+N132=0, "-", IF(N132&gt;0, G132+N132, "-")), "-")</f>
        <v>-</v>
      </c>
      <c r="P132" s="24" t="str">
        <f t="shared" ref="P132:P186" si="17">IF(H132&gt;0,H132*F132, "-")</f>
        <v>-</v>
      </c>
      <c r="Q132" s="25" t="str">
        <f t="shared" ref="Q132:Q186" si="18">IFERROR(IF($N$2&gt;0, $N$2*P132, "-"), "-")</f>
        <v>-</v>
      </c>
      <c r="R132" s="6"/>
      <c r="S132" s="25" t="str">
        <f t="shared" ref="S132:S186" si="19">IFERROR(IF(Q132+I132=0, "-", IF(Q132&gt;0, Q132+I132, "-")), "-")</f>
        <v>-</v>
      </c>
    </row>
    <row r="133" spans="1:19">
      <c r="A133" s="2" t="e">
        <f t="shared" ref="A133:A186" si="20">+A132+1</f>
        <v>#REF!</v>
      </c>
      <c r="B133" s="3" t="s">
        <v>261</v>
      </c>
      <c r="C133" s="13">
        <v>693749006251</v>
      </c>
      <c r="D133" s="3" t="s">
        <v>262</v>
      </c>
      <c r="E133" s="16" t="s">
        <v>474</v>
      </c>
      <c r="F133" s="27">
        <v>0.29285309944028814</v>
      </c>
      <c r="G133" s="4">
        <v>44.411325000000005</v>
      </c>
      <c r="H133" s="16"/>
      <c r="I133" s="4">
        <f t="shared" si="14"/>
        <v>0</v>
      </c>
      <c r="J133" t="s">
        <v>440</v>
      </c>
      <c r="N133" s="23" t="str">
        <f t="shared" si="15"/>
        <v>-</v>
      </c>
      <c r="O133" s="23" t="str">
        <f t="shared" si="16"/>
        <v>-</v>
      </c>
      <c r="P133" s="24" t="str">
        <f t="shared" si="17"/>
        <v>-</v>
      </c>
      <c r="Q133" s="25" t="str">
        <f t="shared" si="18"/>
        <v>-</v>
      </c>
      <c r="R133" s="6"/>
      <c r="S133" s="25" t="str">
        <f t="shared" si="19"/>
        <v>-</v>
      </c>
    </row>
    <row r="134" spans="1:19">
      <c r="A134" s="2" t="e">
        <f t="shared" si="20"/>
        <v>#REF!</v>
      </c>
      <c r="B134" s="3" t="s">
        <v>263</v>
      </c>
      <c r="C134" s="13">
        <v>693749804024</v>
      </c>
      <c r="D134" s="3" t="s">
        <v>264</v>
      </c>
      <c r="E134" s="16">
        <v>60</v>
      </c>
      <c r="F134" s="27">
        <v>8.5836253284222383E-2</v>
      </c>
      <c r="G134" s="4">
        <v>17.554424999999998</v>
      </c>
      <c r="H134" s="16"/>
      <c r="I134" s="4">
        <f t="shared" si="14"/>
        <v>0</v>
      </c>
      <c r="J134" t="s">
        <v>440</v>
      </c>
      <c r="N134" s="23" t="str">
        <f t="shared" si="15"/>
        <v>-</v>
      </c>
      <c r="O134" s="23" t="str">
        <f t="shared" si="16"/>
        <v>-</v>
      </c>
      <c r="P134" s="24" t="str">
        <f t="shared" si="17"/>
        <v>-</v>
      </c>
      <c r="Q134" s="25" t="str">
        <f t="shared" si="18"/>
        <v>-</v>
      </c>
      <c r="R134" s="6"/>
      <c r="S134" s="25" t="str">
        <f t="shared" si="19"/>
        <v>-</v>
      </c>
    </row>
    <row r="135" spans="1:19" ht="27">
      <c r="A135" s="2" t="e">
        <f t="shared" si="20"/>
        <v>#REF!</v>
      </c>
      <c r="B135" s="3" t="s">
        <v>265</v>
      </c>
      <c r="C135" s="28" t="s">
        <v>441</v>
      </c>
      <c r="D135" s="3" t="s">
        <v>266</v>
      </c>
      <c r="E135" s="16" t="s">
        <v>461</v>
      </c>
      <c r="F135" s="27">
        <v>0.18682008067742517</v>
      </c>
      <c r="G135" s="4">
        <v>39.036900000000003</v>
      </c>
      <c r="H135" s="16"/>
      <c r="I135" s="4">
        <f t="shared" si="14"/>
        <v>0</v>
      </c>
      <c r="J135" t="s">
        <v>440</v>
      </c>
      <c r="N135" s="23" t="str">
        <f t="shared" si="15"/>
        <v>-</v>
      </c>
      <c r="O135" s="23" t="str">
        <f t="shared" si="16"/>
        <v>-</v>
      </c>
      <c r="P135" s="24" t="str">
        <f t="shared" si="17"/>
        <v>-</v>
      </c>
      <c r="Q135" s="25" t="str">
        <f t="shared" si="18"/>
        <v>-</v>
      </c>
      <c r="R135" s="6"/>
      <c r="S135" s="25" t="str">
        <f t="shared" si="19"/>
        <v>-</v>
      </c>
    </row>
    <row r="136" spans="1:19">
      <c r="A136" s="2" t="e">
        <f t="shared" si="20"/>
        <v>#REF!</v>
      </c>
      <c r="B136" s="3" t="s">
        <v>267</v>
      </c>
      <c r="C136" s="13">
        <v>693749713029</v>
      </c>
      <c r="D136" s="3" t="s">
        <v>268</v>
      </c>
      <c r="E136" s="16">
        <v>90</v>
      </c>
      <c r="F136" s="27">
        <v>0.17167250656844477</v>
      </c>
      <c r="G136" s="4">
        <v>34.895700000000005</v>
      </c>
      <c r="H136" s="16"/>
      <c r="I136" s="4">
        <f t="shared" si="14"/>
        <v>0</v>
      </c>
      <c r="J136" t="s">
        <v>440</v>
      </c>
      <c r="N136" s="23" t="str">
        <f t="shared" si="15"/>
        <v>-</v>
      </c>
      <c r="O136" s="23" t="str">
        <f t="shared" si="16"/>
        <v>-</v>
      </c>
      <c r="P136" s="24" t="str">
        <f t="shared" si="17"/>
        <v>-</v>
      </c>
      <c r="Q136" s="25" t="str">
        <f t="shared" si="18"/>
        <v>-</v>
      </c>
      <c r="R136" s="6"/>
      <c r="S136" s="25" t="str">
        <f t="shared" si="19"/>
        <v>-</v>
      </c>
    </row>
    <row r="137" spans="1:19">
      <c r="A137" s="2" t="e">
        <f t="shared" si="20"/>
        <v>#REF!</v>
      </c>
      <c r="B137" s="3" t="s">
        <v>269</v>
      </c>
      <c r="C137" s="13">
        <v>693749115021</v>
      </c>
      <c r="D137" s="3" t="s">
        <v>270</v>
      </c>
      <c r="E137" s="16">
        <v>60</v>
      </c>
      <c r="F137" s="27">
        <v>3.5344339587620982E-2</v>
      </c>
      <c r="G137" s="4">
        <v>24.36</v>
      </c>
      <c r="H137" s="16"/>
      <c r="I137" s="4">
        <f t="shared" si="14"/>
        <v>0</v>
      </c>
      <c r="J137" t="s">
        <v>440</v>
      </c>
      <c r="N137" s="23" t="str">
        <f t="shared" si="15"/>
        <v>-</v>
      </c>
      <c r="O137" s="23" t="str">
        <f t="shared" si="16"/>
        <v>-</v>
      </c>
      <c r="P137" s="24" t="str">
        <f t="shared" si="17"/>
        <v>-</v>
      </c>
      <c r="Q137" s="25" t="str">
        <f t="shared" si="18"/>
        <v>-</v>
      </c>
      <c r="R137" s="6"/>
      <c r="S137" s="25" t="str">
        <f t="shared" si="19"/>
        <v>-</v>
      </c>
    </row>
    <row r="138" spans="1:19">
      <c r="A138" s="2" t="e">
        <f t="shared" si="20"/>
        <v>#REF!</v>
      </c>
      <c r="B138" s="3" t="s">
        <v>271</v>
      </c>
      <c r="C138" s="13">
        <v>693749011750</v>
      </c>
      <c r="D138" s="3" t="s">
        <v>272</v>
      </c>
      <c r="E138" s="16">
        <v>60</v>
      </c>
      <c r="F138" s="27">
        <v>5.0491913696601408E-2</v>
      </c>
      <c r="G138" s="4">
        <v>11.418749999999999</v>
      </c>
      <c r="H138" s="16"/>
      <c r="I138" s="4">
        <f t="shared" si="14"/>
        <v>0</v>
      </c>
      <c r="J138" t="s">
        <v>440</v>
      </c>
      <c r="N138" s="23" t="str">
        <f t="shared" si="15"/>
        <v>-</v>
      </c>
      <c r="O138" s="23" t="str">
        <f t="shared" si="16"/>
        <v>-</v>
      </c>
      <c r="P138" s="24" t="str">
        <f t="shared" si="17"/>
        <v>-</v>
      </c>
      <c r="Q138" s="25" t="str">
        <f t="shared" si="18"/>
        <v>-</v>
      </c>
      <c r="R138" s="6"/>
      <c r="S138" s="25" t="str">
        <f t="shared" si="19"/>
        <v>-</v>
      </c>
    </row>
    <row r="139" spans="1:19">
      <c r="A139" s="2" t="e">
        <f t="shared" si="20"/>
        <v>#REF!</v>
      </c>
      <c r="B139" s="3" t="s">
        <v>273</v>
      </c>
      <c r="C139" s="13">
        <v>693749006435</v>
      </c>
      <c r="D139" s="3" t="s">
        <v>274</v>
      </c>
      <c r="E139" s="16">
        <v>60</v>
      </c>
      <c r="F139" s="27">
        <v>8.5836253284222383E-2</v>
      </c>
      <c r="G139" s="4">
        <v>44.91375</v>
      </c>
      <c r="H139" s="16"/>
      <c r="I139" s="4">
        <f t="shared" si="14"/>
        <v>0</v>
      </c>
      <c r="J139" t="s">
        <v>440</v>
      </c>
      <c r="N139" s="23" t="str">
        <f t="shared" si="15"/>
        <v>-</v>
      </c>
      <c r="O139" s="23" t="str">
        <f t="shared" si="16"/>
        <v>-</v>
      </c>
      <c r="P139" s="24" t="str">
        <f t="shared" si="17"/>
        <v>-</v>
      </c>
      <c r="Q139" s="25" t="str">
        <f t="shared" si="18"/>
        <v>-</v>
      </c>
      <c r="R139" s="6"/>
      <c r="S139" s="25" t="str">
        <f t="shared" si="19"/>
        <v>-</v>
      </c>
    </row>
    <row r="140" spans="1:19">
      <c r="A140" s="2" t="e">
        <f t="shared" si="20"/>
        <v>#REF!</v>
      </c>
      <c r="B140" s="3" t="s">
        <v>275</v>
      </c>
      <c r="C140" s="13">
        <v>872331000017</v>
      </c>
      <c r="D140" s="3" t="s">
        <v>10</v>
      </c>
      <c r="E140" s="16">
        <v>90</v>
      </c>
      <c r="F140" s="27">
        <v>0.16157412382912451</v>
      </c>
      <c r="G140" s="4">
        <v>29.049299999999999</v>
      </c>
      <c r="H140" s="16"/>
      <c r="I140" s="4">
        <f t="shared" si="14"/>
        <v>0</v>
      </c>
      <c r="J140" t="s">
        <v>440</v>
      </c>
      <c r="N140" s="23" t="str">
        <f t="shared" si="15"/>
        <v>-</v>
      </c>
      <c r="O140" s="23" t="str">
        <f t="shared" si="16"/>
        <v>-</v>
      </c>
      <c r="P140" s="24" t="str">
        <f t="shared" si="17"/>
        <v>-</v>
      </c>
      <c r="Q140" s="25" t="str">
        <f t="shared" si="18"/>
        <v>-</v>
      </c>
      <c r="R140" s="6"/>
      <c r="S140" s="25" t="str">
        <f t="shared" si="19"/>
        <v>-</v>
      </c>
    </row>
    <row r="141" spans="1:19">
      <c r="A141" s="2" t="e">
        <f t="shared" si="20"/>
        <v>#REF!</v>
      </c>
      <c r="B141" s="3" t="s">
        <v>276</v>
      </c>
      <c r="C141" s="13">
        <v>693749015543</v>
      </c>
      <c r="D141" s="3" t="s">
        <v>277</v>
      </c>
      <c r="E141" s="16">
        <v>30</v>
      </c>
      <c r="F141" s="27">
        <v>3.7061064653305435E-2</v>
      </c>
      <c r="G141" s="4">
        <v>16.747500000000002</v>
      </c>
      <c r="H141" s="16"/>
      <c r="I141" s="4">
        <f t="shared" si="14"/>
        <v>0</v>
      </c>
      <c r="J141" t="s">
        <v>440</v>
      </c>
      <c r="N141" s="23" t="str">
        <f t="shared" si="15"/>
        <v>-</v>
      </c>
      <c r="O141" s="23" t="str">
        <f t="shared" si="16"/>
        <v>-</v>
      </c>
      <c r="P141" s="24" t="str">
        <f t="shared" si="17"/>
        <v>-</v>
      </c>
      <c r="Q141" s="25" t="str">
        <f t="shared" si="18"/>
        <v>-</v>
      </c>
      <c r="R141" s="6"/>
      <c r="S141" s="25" t="str">
        <f t="shared" si="19"/>
        <v>-</v>
      </c>
    </row>
    <row r="142" spans="1:19">
      <c r="A142" s="2" t="e">
        <f t="shared" si="20"/>
        <v>#REF!</v>
      </c>
      <c r="B142" s="3" t="s">
        <v>278</v>
      </c>
      <c r="C142" s="13">
        <v>693749014362</v>
      </c>
      <c r="D142" s="3" t="s">
        <v>279</v>
      </c>
      <c r="E142" s="16" t="s">
        <v>475</v>
      </c>
      <c r="F142" s="27">
        <v>0.23226280300436644</v>
      </c>
      <c r="G142" s="4">
        <v>41.000925000000002</v>
      </c>
      <c r="H142" s="16"/>
      <c r="I142" s="4">
        <f t="shared" si="14"/>
        <v>0</v>
      </c>
      <c r="J142" t="s">
        <v>440</v>
      </c>
      <c r="N142" s="23" t="str">
        <f t="shared" si="15"/>
        <v>-</v>
      </c>
      <c r="O142" s="23" t="str">
        <f t="shared" si="16"/>
        <v>-</v>
      </c>
      <c r="P142" s="24" t="str">
        <f t="shared" si="17"/>
        <v>-</v>
      </c>
      <c r="Q142" s="25" t="str">
        <f t="shared" si="18"/>
        <v>-</v>
      </c>
      <c r="R142" s="6"/>
      <c r="S142" s="25" t="str">
        <f t="shared" si="19"/>
        <v>-</v>
      </c>
    </row>
    <row r="143" spans="1:19">
      <c r="A143" s="2" t="e">
        <f t="shared" si="20"/>
        <v>#REF!</v>
      </c>
      <c r="B143" s="3" t="s">
        <v>280</v>
      </c>
      <c r="C143" s="13">
        <v>693749788027</v>
      </c>
      <c r="D143" s="3" t="s">
        <v>281</v>
      </c>
      <c r="E143" s="16">
        <v>60</v>
      </c>
      <c r="F143" s="27">
        <v>2.5245956848300704E-2</v>
      </c>
      <c r="G143" s="4">
        <v>12.18</v>
      </c>
      <c r="H143" s="16"/>
      <c r="I143" s="4">
        <f t="shared" si="14"/>
        <v>0</v>
      </c>
      <c r="J143" t="s">
        <v>440</v>
      </c>
      <c r="N143" s="23" t="str">
        <f t="shared" si="15"/>
        <v>-</v>
      </c>
      <c r="O143" s="23" t="str">
        <f t="shared" si="16"/>
        <v>-</v>
      </c>
      <c r="P143" s="24" t="str">
        <f t="shared" si="17"/>
        <v>-</v>
      </c>
      <c r="Q143" s="25" t="str">
        <f t="shared" si="18"/>
        <v>-</v>
      </c>
      <c r="R143" s="6"/>
      <c r="S143" s="25" t="str">
        <f t="shared" si="19"/>
        <v>-</v>
      </c>
    </row>
    <row r="144" spans="1:19">
      <c r="A144" s="2" t="e">
        <f t="shared" si="20"/>
        <v>#REF!</v>
      </c>
      <c r="B144" s="3" t="s">
        <v>282</v>
      </c>
      <c r="C144" s="13">
        <v>693749170013</v>
      </c>
      <c r="D144" s="3" t="s">
        <v>283</v>
      </c>
      <c r="E144" s="16" t="s">
        <v>451</v>
      </c>
      <c r="F144" s="27">
        <v>0.10603301876286295</v>
      </c>
      <c r="G144" s="4">
        <v>65.254350000000002</v>
      </c>
      <c r="H144" s="16"/>
      <c r="I144" s="4">
        <f t="shared" si="14"/>
        <v>0</v>
      </c>
      <c r="J144" t="s">
        <v>440</v>
      </c>
      <c r="N144" s="23" t="str">
        <f t="shared" si="15"/>
        <v>-</v>
      </c>
      <c r="O144" s="23" t="str">
        <f t="shared" si="16"/>
        <v>-</v>
      </c>
      <c r="P144" s="24" t="str">
        <f t="shared" si="17"/>
        <v>-</v>
      </c>
      <c r="Q144" s="25" t="str">
        <f t="shared" si="18"/>
        <v>-</v>
      </c>
      <c r="R144" s="6"/>
      <c r="S144" s="25" t="str">
        <f t="shared" si="19"/>
        <v>-</v>
      </c>
    </row>
    <row r="145" spans="1:19">
      <c r="A145" s="2" t="e">
        <f t="shared" si="20"/>
        <v>#REF!</v>
      </c>
      <c r="B145" s="3" t="s">
        <v>284</v>
      </c>
      <c r="C145" s="13">
        <v>693749012498</v>
      </c>
      <c r="D145" s="3" t="s">
        <v>285</v>
      </c>
      <c r="E145" s="16">
        <v>60</v>
      </c>
      <c r="F145" s="27">
        <v>0.14642654972014407</v>
      </c>
      <c r="G145" s="4">
        <v>15.31635</v>
      </c>
      <c r="H145" s="16"/>
      <c r="I145" s="4">
        <f t="shared" si="14"/>
        <v>0</v>
      </c>
      <c r="J145" t="s">
        <v>440</v>
      </c>
      <c r="N145" s="23" t="str">
        <f t="shared" si="15"/>
        <v>-</v>
      </c>
      <c r="O145" s="23" t="str">
        <f t="shared" si="16"/>
        <v>-</v>
      </c>
      <c r="P145" s="24" t="str">
        <f t="shared" si="17"/>
        <v>-</v>
      </c>
      <c r="Q145" s="25" t="str">
        <f t="shared" si="18"/>
        <v>-</v>
      </c>
      <c r="R145" s="6"/>
      <c r="S145" s="25" t="str">
        <f t="shared" si="19"/>
        <v>-</v>
      </c>
    </row>
    <row r="146" spans="1:19">
      <c r="A146" s="2" t="e">
        <f t="shared" si="20"/>
        <v>#REF!</v>
      </c>
      <c r="B146" s="3" t="s">
        <v>286</v>
      </c>
      <c r="C146" s="13">
        <v>693749526018</v>
      </c>
      <c r="D146" s="3" t="s">
        <v>287</v>
      </c>
      <c r="E146" s="16">
        <v>180</v>
      </c>
      <c r="F146" s="27">
        <v>0.27265633396164757</v>
      </c>
      <c r="G146" s="4">
        <v>59.453624999999995</v>
      </c>
      <c r="H146" s="16"/>
      <c r="I146" s="4">
        <f t="shared" si="14"/>
        <v>0</v>
      </c>
      <c r="J146" t="s">
        <v>440</v>
      </c>
      <c r="N146" s="23" t="str">
        <f t="shared" si="15"/>
        <v>-</v>
      </c>
      <c r="O146" s="23" t="str">
        <f t="shared" si="16"/>
        <v>-</v>
      </c>
      <c r="P146" s="24" t="str">
        <f t="shared" si="17"/>
        <v>-</v>
      </c>
      <c r="Q146" s="25" t="str">
        <f t="shared" si="18"/>
        <v>-</v>
      </c>
      <c r="R146" s="6"/>
      <c r="S146" s="25" t="str">
        <f t="shared" si="19"/>
        <v>-</v>
      </c>
    </row>
    <row r="147" spans="1:19">
      <c r="A147" s="2" t="e">
        <f t="shared" si="20"/>
        <v>#REF!</v>
      </c>
      <c r="B147" s="3" t="s">
        <v>288</v>
      </c>
      <c r="C147" s="13">
        <v>693749168010</v>
      </c>
      <c r="D147" s="3" t="s">
        <v>289</v>
      </c>
      <c r="E147" s="16" t="s">
        <v>451</v>
      </c>
      <c r="F147" s="27">
        <v>0.10603301876286295</v>
      </c>
      <c r="G147" s="4">
        <v>15.225</v>
      </c>
      <c r="H147" s="16"/>
      <c r="I147" s="4">
        <f t="shared" si="14"/>
        <v>0</v>
      </c>
      <c r="J147" t="s">
        <v>440</v>
      </c>
      <c r="N147" s="23" t="str">
        <f t="shared" si="15"/>
        <v>-</v>
      </c>
      <c r="O147" s="23" t="str">
        <f t="shared" si="16"/>
        <v>-</v>
      </c>
      <c r="P147" s="24" t="str">
        <f t="shared" si="17"/>
        <v>-</v>
      </c>
      <c r="Q147" s="25" t="str">
        <f t="shared" si="18"/>
        <v>-</v>
      </c>
      <c r="R147" s="6"/>
      <c r="S147" s="25" t="str">
        <f t="shared" si="19"/>
        <v>-</v>
      </c>
    </row>
    <row r="148" spans="1:19">
      <c r="A148" s="2" t="e">
        <f t="shared" si="20"/>
        <v>#REF!</v>
      </c>
      <c r="B148" s="3" t="s">
        <v>290</v>
      </c>
      <c r="C148" s="13">
        <v>693749336020</v>
      </c>
      <c r="D148" s="3" t="s">
        <v>291</v>
      </c>
      <c r="E148" s="16">
        <v>60</v>
      </c>
      <c r="F148" s="27">
        <v>7.5737870544902094E-2</v>
      </c>
      <c r="G148" s="4">
        <v>25.8825</v>
      </c>
      <c r="H148" s="16"/>
      <c r="I148" s="4">
        <f t="shared" si="14"/>
        <v>0</v>
      </c>
      <c r="J148" t="s">
        <v>440</v>
      </c>
      <c r="N148" s="23" t="str">
        <f t="shared" si="15"/>
        <v>-</v>
      </c>
      <c r="O148" s="23" t="str">
        <f t="shared" si="16"/>
        <v>-</v>
      </c>
      <c r="P148" s="24" t="str">
        <f t="shared" si="17"/>
        <v>-</v>
      </c>
      <c r="Q148" s="25" t="str">
        <f t="shared" si="18"/>
        <v>-</v>
      </c>
      <c r="R148" s="6"/>
      <c r="S148" s="25" t="str">
        <f t="shared" si="19"/>
        <v>-</v>
      </c>
    </row>
    <row r="149" spans="1:19">
      <c r="A149" s="2" t="e">
        <f t="shared" si="20"/>
        <v>#REF!</v>
      </c>
      <c r="B149" s="3" t="s">
        <v>292</v>
      </c>
      <c r="C149" s="13">
        <v>693749048022</v>
      </c>
      <c r="D149" s="3" t="s">
        <v>293</v>
      </c>
      <c r="E149" s="16">
        <v>120</v>
      </c>
      <c r="F149" s="27">
        <v>0.15147574108980419</v>
      </c>
      <c r="G149" s="4">
        <v>50.440425000000005</v>
      </c>
      <c r="H149" s="16"/>
      <c r="I149" s="4">
        <f t="shared" si="14"/>
        <v>0</v>
      </c>
      <c r="J149" t="s">
        <v>440</v>
      </c>
      <c r="N149" s="23" t="str">
        <f t="shared" si="15"/>
        <v>-</v>
      </c>
      <c r="O149" s="23" t="str">
        <f t="shared" si="16"/>
        <v>-</v>
      </c>
      <c r="P149" s="24" t="str">
        <f t="shared" si="17"/>
        <v>-</v>
      </c>
      <c r="Q149" s="25" t="str">
        <f t="shared" si="18"/>
        <v>-</v>
      </c>
      <c r="R149" s="6"/>
      <c r="S149" s="25" t="str">
        <f t="shared" si="19"/>
        <v>-</v>
      </c>
    </row>
    <row r="150" spans="1:19">
      <c r="A150" s="2" t="e">
        <f t="shared" si="20"/>
        <v>#REF!</v>
      </c>
      <c r="B150" s="3" t="s">
        <v>294</v>
      </c>
      <c r="C150" s="13">
        <v>693749015628</v>
      </c>
      <c r="D150" s="3" t="s">
        <v>295</v>
      </c>
      <c r="E150" s="16" t="s">
        <v>460</v>
      </c>
      <c r="F150" s="27">
        <v>0.25245956848300699</v>
      </c>
      <c r="G150" s="4">
        <v>39.097799999999999</v>
      </c>
      <c r="H150" s="16"/>
      <c r="I150" s="4">
        <f t="shared" si="14"/>
        <v>0</v>
      </c>
      <c r="J150" t="s">
        <v>440</v>
      </c>
      <c r="N150" s="23" t="str">
        <f t="shared" si="15"/>
        <v>-</v>
      </c>
      <c r="O150" s="23" t="str">
        <f t="shared" si="16"/>
        <v>-</v>
      </c>
      <c r="P150" s="24" t="str">
        <f t="shared" si="17"/>
        <v>-</v>
      </c>
      <c r="Q150" s="25" t="str">
        <f t="shared" si="18"/>
        <v>-</v>
      </c>
      <c r="R150" s="6"/>
      <c r="S150" s="25" t="str">
        <f t="shared" si="19"/>
        <v>-</v>
      </c>
    </row>
    <row r="151" spans="1:19">
      <c r="A151" s="2" t="e">
        <f t="shared" si="20"/>
        <v>#REF!</v>
      </c>
      <c r="B151" s="3" t="s">
        <v>296</v>
      </c>
      <c r="C151" s="13">
        <v>693749015000</v>
      </c>
      <c r="D151" s="3" t="s">
        <v>297</v>
      </c>
      <c r="E151" s="16">
        <v>60</v>
      </c>
      <c r="F151" s="27">
        <v>0.11613140150218322</v>
      </c>
      <c r="G151" s="4">
        <v>48.72</v>
      </c>
      <c r="H151" s="16"/>
      <c r="I151" s="4">
        <f t="shared" si="14"/>
        <v>0</v>
      </c>
      <c r="J151" t="s">
        <v>440</v>
      </c>
      <c r="N151" s="23" t="str">
        <f t="shared" si="15"/>
        <v>-</v>
      </c>
      <c r="O151" s="23" t="str">
        <f t="shared" si="16"/>
        <v>-</v>
      </c>
      <c r="P151" s="24" t="str">
        <f t="shared" si="17"/>
        <v>-</v>
      </c>
      <c r="Q151" s="25" t="str">
        <f t="shared" si="18"/>
        <v>-</v>
      </c>
      <c r="R151" s="6"/>
      <c r="S151" s="25" t="str">
        <f t="shared" si="19"/>
        <v>-</v>
      </c>
    </row>
    <row r="152" spans="1:19">
      <c r="A152" s="2" t="e">
        <f t="shared" si="20"/>
        <v>#REF!</v>
      </c>
      <c r="B152" s="3" t="s">
        <v>298</v>
      </c>
      <c r="C152" s="13">
        <v>693749126034</v>
      </c>
      <c r="D152" s="3" t="s">
        <v>299</v>
      </c>
      <c r="E152" s="16">
        <v>180</v>
      </c>
      <c r="F152" s="27">
        <v>7.5737870544902094E-2</v>
      </c>
      <c r="G152" s="4">
        <v>42.63</v>
      </c>
      <c r="H152" s="16"/>
      <c r="I152" s="4">
        <f t="shared" si="14"/>
        <v>0</v>
      </c>
      <c r="J152" t="s">
        <v>440</v>
      </c>
      <c r="N152" s="23" t="str">
        <f t="shared" si="15"/>
        <v>-</v>
      </c>
      <c r="O152" s="23" t="str">
        <f t="shared" si="16"/>
        <v>-</v>
      </c>
      <c r="P152" s="24" t="str">
        <f t="shared" si="17"/>
        <v>-</v>
      </c>
      <c r="Q152" s="25" t="str">
        <f t="shared" si="18"/>
        <v>-</v>
      </c>
      <c r="R152" s="6"/>
      <c r="S152" s="25" t="str">
        <f t="shared" si="19"/>
        <v>-</v>
      </c>
    </row>
    <row r="153" spans="1:19" ht="27">
      <c r="A153" s="2" t="e">
        <f t="shared" si="20"/>
        <v>#REF!</v>
      </c>
      <c r="B153" s="3" t="s">
        <v>300</v>
      </c>
      <c r="C153" s="28" t="s">
        <v>442</v>
      </c>
      <c r="D153" s="3" t="s">
        <v>301</v>
      </c>
      <c r="E153" s="16" t="s">
        <v>476</v>
      </c>
      <c r="F153" s="27">
        <v>0.30295148217960838</v>
      </c>
      <c r="G153" s="4">
        <v>44.2134</v>
      </c>
      <c r="H153" s="16"/>
      <c r="I153" s="4">
        <f t="shared" si="14"/>
        <v>0</v>
      </c>
      <c r="J153" t="s">
        <v>440</v>
      </c>
      <c r="N153" s="23" t="str">
        <f t="shared" si="15"/>
        <v>-</v>
      </c>
      <c r="O153" s="23" t="str">
        <f t="shared" si="16"/>
        <v>-</v>
      </c>
      <c r="P153" s="24" t="str">
        <f t="shared" si="17"/>
        <v>-</v>
      </c>
      <c r="Q153" s="25" t="str">
        <f t="shared" si="18"/>
        <v>-</v>
      </c>
      <c r="R153" s="6"/>
      <c r="S153" s="25" t="str">
        <f t="shared" si="19"/>
        <v>-</v>
      </c>
    </row>
    <row r="154" spans="1:19">
      <c r="A154" s="2" t="e">
        <f t="shared" si="20"/>
        <v>#REF!</v>
      </c>
      <c r="B154" s="3" t="s">
        <v>302</v>
      </c>
      <c r="C154" s="13">
        <v>693749240020</v>
      </c>
      <c r="D154" s="3" t="s">
        <v>303</v>
      </c>
      <c r="E154" s="16">
        <v>90</v>
      </c>
      <c r="F154" s="27">
        <v>8.0787061914562253E-2</v>
      </c>
      <c r="G154" s="4">
        <v>12.94125</v>
      </c>
      <c r="H154" s="16"/>
      <c r="I154" s="4">
        <f t="shared" si="14"/>
        <v>0</v>
      </c>
      <c r="J154" t="s">
        <v>440</v>
      </c>
      <c r="N154" s="23" t="str">
        <f t="shared" si="15"/>
        <v>-</v>
      </c>
      <c r="O154" s="23" t="str">
        <f t="shared" si="16"/>
        <v>-</v>
      </c>
      <c r="P154" s="24" t="str">
        <f t="shared" si="17"/>
        <v>-</v>
      </c>
      <c r="Q154" s="25" t="str">
        <f t="shared" si="18"/>
        <v>-</v>
      </c>
      <c r="R154" s="6"/>
      <c r="S154" s="25" t="str">
        <f t="shared" si="19"/>
        <v>-</v>
      </c>
    </row>
    <row r="155" spans="1:19">
      <c r="A155" s="2" t="e">
        <f t="shared" si="20"/>
        <v>#REF!</v>
      </c>
      <c r="B155" s="3" t="s">
        <v>304</v>
      </c>
      <c r="C155" s="13">
        <v>693749790020</v>
      </c>
      <c r="D155" s="3" t="s">
        <v>305</v>
      </c>
      <c r="E155" s="16">
        <v>90</v>
      </c>
      <c r="F155" s="27">
        <v>0.13632816698082378</v>
      </c>
      <c r="G155" s="4">
        <v>53.287500000000001</v>
      </c>
      <c r="H155" s="16"/>
      <c r="I155" s="4">
        <f t="shared" si="14"/>
        <v>0</v>
      </c>
      <c r="J155" t="s">
        <v>440</v>
      </c>
      <c r="N155" s="23" t="str">
        <f t="shared" si="15"/>
        <v>-</v>
      </c>
      <c r="O155" s="23" t="str">
        <f t="shared" si="16"/>
        <v>-</v>
      </c>
      <c r="P155" s="24" t="str">
        <f t="shared" si="17"/>
        <v>-</v>
      </c>
      <c r="Q155" s="25" t="str">
        <f t="shared" si="18"/>
        <v>-</v>
      </c>
      <c r="R155" s="6"/>
      <c r="S155" s="25" t="str">
        <f t="shared" si="19"/>
        <v>-</v>
      </c>
    </row>
    <row r="156" spans="1:19">
      <c r="A156" s="2" t="e">
        <f t="shared" si="20"/>
        <v>#REF!</v>
      </c>
      <c r="B156" s="3" t="s">
        <v>306</v>
      </c>
      <c r="C156" s="13">
        <v>693749401025</v>
      </c>
      <c r="D156" s="3" t="s">
        <v>307</v>
      </c>
      <c r="E156" s="16">
        <v>180</v>
      </c>
      <c r="F156" s="27">
        <v>0.22216442026504615</v>
      </c>
      <c r="G156" s="4">
        <v>74.298000000000002</v>
      </c>
      <c r="H156" s="16"/>
      <c r="I156" s="4">
        <f t="shared" si="14"/>
        <v>0</v>
      </c>
      <c r="J156" t="s">
        <v>440</v>
      </c>
      <c r="N156" s="23" t="str">
        <f t="shared" si="15"/>
        <v>-</v>
      </c>
      <c r="O156" s="23" t="str">
        <f t="shared" si="16"/>
        <v>-</v>
      </c>
      <c r="P156" s="24" t="str">
        <f t="shared" si="17"/>
        <v>-</v>
      </c>
      <c r="Q156" s="25" t="str">
        <f t="shared" si="18"/>
        <v>-</v>
      </c>
      <c r="R156" s="6"/>
      <c r="S156" s="25" t="str">
        <f t="shared" si="19"/>
        <v>-</v>
      </c>
    </row>
    <row r="157" spans="1:19">
      <c r="A157" s="2" t="e">
        <f t="shared" si="20"/>
        <v>#REF!</v>
      </c>
      <c r="B157" s="3" t="s">
        <v>308</v>
      </c>
      <c r="C157" s="13">
        <v>693749155027</v>
      </c>
      <c r="D157" s="3" t="s">
        <v>309</v>
      </c>
      <c r="E157" s="16" t="s">
        <v>477</v>
      </c>
      <c r="F157" s="27">
        <v>0.38373854409417069</v>
      </c>
      <c r="G157" s="4">
        <v>22.076250000000002</v>
      </c>
      <c r="H157" s="16"/>
      <c r="I157" s="4">
        <f t="shared" si="14"/>
        <v>0</v>
      </c>
      <c r="J157" t="s">
        <v>440</v>
      </c>
      <c r="N157" s="23" t="str">
        <f t="shared" si="15"/>
        <v>-</v>
      </c>
      <c r="O157" s="23" t="str">
        <f t="shared" si="16"/>
        <v>-</v>
      </c>
      <c r="P157" s="24" t="str">
        <f t="shared" si="17"/>
        <v>-</v>
      </c>
      <c r="Q157" s="25" t="str">
        <f t="shared" si="18"/>
        <v>-</v>
      </c>
      <c r="R157" s="6"/>
      <c r="S157" s="25" t="str">
        <f t="shared" si="19"/>
        <v>-</v>
      </c>
    </row>
    <row r="158" spans="1:19">
      <c r="A158" s="2" t="e">
        <f t="shared" si="20"/>
        <v>#REF!</v>
      </c>
      <c r="B158" s="3" t="s">
        <v>310</v>
      </c>
      <c r="C158" s="13">
        <v>693749013358</v>
      </c>
      <c r="D158" s="3" t="s">
        <v>311</v>
      </c>
      <c r="E158" s="16">
        <v>60</v>
      </c>
      <c r="F158" s="27">
        <v>0.11108221013252308</v>
      </c>
      <c r="G158" s="4">
        <v>60.458475</v>
      </c>
      <c r="H158" s="16"/>
      <c r="I158" s="4">
        <f t="shared" si="14"/>
        <v>0</v>
      </c>
      <c r="J158" t="s">
        <v>440</v>
      </c>
      <c r="N158" s="23" t="str">
        <f t="shared" si="15"/>
        <v>-</v>
      </c>
      <c r="O158" s="23" t="str">
        <f t="shared" si="16"/>
        <v>-</v>
      </c>
      <c r="P158" s="24" t="str">
        <f t="shared" si="17"/>
        <v>-</v>
      </c>
      <c r="Q158" s="25" t="str">
        <f t="shared" si="18"/>
        <v>-</v>
      </c>
      <c r="R158" s="6"/>
      <c r="S158" s="25" t="str">
        <f t="shared" si="19"/>
        <v>-</v>
      </c>
    </row>
    <row r="159" spans="1:19">
      <c r="A159" s="2" t="e">
        <f t="shared" si="20"/>
        <v>#REF!</v>
      </c>
      <c r="B159" s="3" t="s">
        <v>312</v>
      </c>
      <c r="C159" s="13">
        <v>693749011330</v>
      </c>
      <c r="D159" s="3" t="s">
        <v>313</v>
      </c>
      <c r="E159" s="16" t="s">
        <v>478</v>
      </c>
      <c r="F159" s="27">
        <v>0.82301819325460268</v>
      </c>
      <c r="G159" s="4">
        <v>55.266750000000002</v>
      </c>
      <c r="H159" s="16"/>
      <c r="I159" s="4">
        <f t="shared" si="14"/>
        <v>0</v>
      </c>
      <c r="J159" t="s">
        <v>440</v>
      </c>
      <c r="N159" s="23" t="str">
        <f t="shared" si="15"/>
        <v>-</v>
      </c>
      <c r="O159" s="23" t="str">
        <f t="shared" si="16"/>
        <v>-</v>
      </c>
      <c r="P159" s="24" t="str">
        <f t="shared" si="17"/>
        <v>-</v>
      </c>
      <c r="Q159" s="25" t="str">
        <f t="shared" si="18"/>
        <v>-</v>
      </c>
      <c r="R159" s="6"/>
      <c r="S159" s="25" t="str">
        <f t="shared" si="19"/>
        <v>-</v>
      </c>
    </row>
    <row r="160" spans="1:19">
      <c r="A160" s="2" t="e">
        <f t="shared" si="20"/>
        <v>#REF!</v>
      </c>
      <c r="B160" s="3" t="s">
        <v>314</v>
      </c>
      <c r="C160" s="13">
        <v>693749048091</v>
      </c>
      <c r="D160" s="3" t="s">
        <v>315</v>
      </c>
      <c r="E160" s="16">
        <v>60</v>
      </c>
      <c r="F160" s="27">
        <v>6.563948780558182E-2</v>
      </c>
      <c r="G160" s="4">
        <v>31.378724999999999</v>
      </c>
      <c r="H160" s="16"/>
      <c r="I160" s="4">
        <f t="shared" si="14"/>
        <v>0</v>
      </c>
      <c r="J160" t="s">
        <v>440</v>
      </c>
      <c r="N160" s="23" t="str">
        <f t="shared" si="15"/>
        <v>-</v>
      </c>
      <c r="O160" s="23" t="str">
        <f t="shared" si="16"/>
        <v>-</v>
      </c>
      <c r="P160" s="24" t="str">
        <f t="shared" si="17"/>
        <v>-</v>
      </c>
      <c r="Q160" s="25" t="str">
        <f t="shared" si="18"/>
        <v>-</v>
      </c>
      <c r="R160" s="6"/>
      <c r="S160" s="25" t="str">
        <f t="shared" si="19"/>
        <v>-</v>
      </c>
    </row>
    <row r="161" spans="1:19">
      <c r="A161" s="2" t="e">
        <f t="shared" si="20"/>
        <v>#REF!</v>
      </c>
      <c r="B161" s="3" t="s">
        <v>316</v>
      </c>
      <c r="C161" s="13">
        <v>693749220022</v>
      </c>
      <c r="D161" s="3" t="s">
        <v>317</v>
      </c>
      <c r="E161" s="16">
        <v>60</v>
      </c>
      <c r="F161" s="27">
        <v>5.0491913696601408E-2</v>
      </c>
      <c r="G161" s="4">
        <v>17.508750000000003</v>
      </c>
      <c r="H161" s="16"/>
      <c r="I161" s="4">
        <f t="shared" si="14"/>
        <v>0</v>
      </c>
      <c r="J161" t="s">
        <v>440</v>
      </c>
      <c r="N161" s="23" t="str">
        <f t="shared" si="15"/>
        <v>-</v>
      </c>
      <c r="O161" s="23" t="str">
        <f t="shared" si="16"/>
        <v>-</v>
      </c>
      <c r="P161" s="24" t="str">
        <f t="shared" si="17"/>
        <v>-</v>
      </c>
      <c r="Q161" s="25" t="str">
        <f t="shared" si="18"/>
        <v>-</v>
      </c>
      <c r="R161" s="6"/>
      <c r="S161" s="25" t="str">
        <f t="shared" si="19"/>
        <v>-</v>
      </c>
    </row>
    <row r="162" spans="1:19">
      <c r="A162" s="2" t="e">
        <f t="shared" si="20"/>
        <v>#REF!</v>
      </c>
      <c r="B162" s="3" t="s">
        <v>318</v>
      </c>
      <c r="C162" s="13">
        <v>693749004288</v>
      </c>
      <c r="D162" s="3" t="s">
        <v>319</v>
      </c>
      <c r="E162" s="16" t="s">
        <v>479</v>
      </c>
      <c r="F162" s="27">
        <v>0.59075539025023627</v>
      </c>
      <c r="G162" s="4">
        <v>45.994725000000003</v>
      </c>
      <c r="H162" s="16"/>
      <c r="I162" s="4">
        <f t="shared" si="14"/>
        <v>0</v>
      </c>
      <c r="J162" t="s">
        <v>440</v>
      </c>
      <c r="N162" s="23" t="str">
        <f t="shared" si="15"/>
        <v>-</v>
      </c>
      <c r="O162" s="23" t="str">
        <f t="shared" si="16"/>
        <v>-</v>
      </c>
      <c r="P162" s="24" t="str">
        <f t="shared" si="17"/>
        <v>-</v>
      </c>
      <c r="Q162" s="25" t="str">
        <f t="shared" si="18"/>
        <v>-</v>
      </c>
      <c r="R162" s="6"/>
      <c r="S162" s="25" t="str">
        <f t="shared" si="19"/>
        <v>-</v>
      </c>
    </row>
    <row r="163" spans="1:19">
      <c r="A163" s="2" t="e">
        <f t="shared" si="20"/>
        <v>#REF!</v>
      </c>
      <c r="B163" s="3" t="s">
        <v>320</v>
      </c>
      <c r="C163" s="13">
        <v>693749799047</v>
      </c>
      <c r="D163" s="3" t="s">
        <v>321</v>
      </c>
      <c r="E163" s="16">
        <v>60</v>
      </c>
      <c r="F163" s="27">
        <v>0.10098382739320282</v>
      </c>
      <c r="G163" s="4">
        <v>34.682549999999999</v>
      </c>
      <c r="H163" s="16"/>
      <c r="I163" s="4">
        <f t="shared" si="14"/>
        <v>0</v>
      </c>
      <c r="J163" t="s">
        <v>440</v>
      </c>
      <c r="N163" s="23" t="str">
        <f t="shared" si="15"/>
        <v>-</v>
      </c>
      <c r="O163" s="23" t="str">
        <f t="shared" si="16"/>
        <v>-</v>
      </c>
      <c r="P163" s="24" t="str">
        <f t="shared" si="17"/>
        <v>-</v>
      </c>
      <c r="Q163" s="25" t="str">
        <f t="shared" si="18"/>
        <v>-</v>
      </c>
      <c r="R163" s="6"/>
      <c r="S163" s="25" t="str">
        <f t="shared" si="19"/>
        <v>-</v>
      </c>
    </row>
    <row r="164" spans="1:19">
      <c r="A164" s="2" t="e">
        <f t="shared" si="20"/>
        <v>#REF!</v>
      </c>
      <c r="B164" s="3" t="s">
        <v>322</v>
      </c>
      <c r="C164" s="13">
        <v>693749015826</v>
      </c>
      <c r="D164" s="3" t="s">
        <v>323</v>
      </c>
      <c r="E164" s="16">
        <v>60</v>
      </c>
      <c r="F164" s="27">
        <v>7.523295140793608E-2</v>
      </c>
      <c r="G164" s="4">
        <v>39.585000000000001</v>
      </c>
      <c r="H164" s="16"/>
      <c r="I164" s="4">
        <f t="shared" si="14"/>
        <v>0</v>
      </c>
      <c r="J164" t="s">
        <v>440</v>
      </c>
      <c r="N164" s="23" t="str">
        <f t="shared" si="15"/>
        <v>-</v>
      </c>
      <c r="O164" s="23" t="str">
        <f t="shared" si="16"/>
        <v>-</v>
      </c>
      <c r="P164" s="24" t="str">
        <f t="shared" si="17"/>
        <v>-</v>
      </c>
      <c r="Q164" s="25" t="str">
        <f t="shared" si="18"/>
        <v>-</v>
      </c>
      <c r="R164" s="6"/>
      <c r="S164" s="25" t="str">
        <f t="shared" si="19"/>
        <v>-</v>
      </c>
    </row>
    <row r="165" spans="1:19">
      <c r="A165" s="2" t="e">
        <f t="shared" si="20"/>
        <v>#REF!</v>
      </c>
      <c r="B165" s="3" t="s">
        <v>324</v>
      </c>
      <c r="C165" s="13">
        <v>693749015703</v>
      </c>
      <c r="D165" s="3" t="s">
        <v>325</v>
      </c>
      <c r="E165" s="16">
        <v>180</v>
      </c>
      <c r="F165" s="27">
        <v>0.22923328818257035</v>
      </c>
      <c r="G165" s="4">
        <v>51.277800000000006</v>
      </c>
      <c r="H165" s="16"/>
      <c r="I165" s="4">
        <f t="shared" si="14"/>
        <v>0</v>
      </c>
      <c r="J165" t="s">
        <v>440</v>
      </c>
      <c r="N165" s="23" t="str">
        <f t="shared" si="15"/>
        <v>-</v>
      </c>
      <c r="O165" s="23" t="str">
        <f t="shared" si="16"/>
        <v>-</v>
      </c>
      <c r="P165" s="24" t="str">
        <f t="shared" si="17"/>
        <v>-</v>
      </c>
      <c r="Q165" s="25" t="str">
        <f t="shared" si="18"/>
        <v>-</v>
      </c>
      <c r="R165" s="6"/>
      <c r="S165" s="25" t="str">
        <f t="shared" si="19"/>
        <v>-</v>
      </c>
    </row>
    <row r="166" spans="1:19">
      <c r="A166" s="2" t="e">
        <f t="shared" si="20"/>
        <v>#REF!</v>
      </c>
      <c r="B166" s="3" t="s">
        <v>326</v>
      </c>
      <c r="C166" s="13">
        <v>693749015727</v>
      </c>
      <c r="D166" s="3" t="s">
        <v>327</v>
      </c>
      <c r="E166" s="16">
        <v>180</v>
      </c>
      <c r="F166" s="27">
        <v>5.5541105066261538E-2</v>
      </c>
      <c r="G166" s="4">
        <v>60.9</v>
      </c>
      <c r="H166" s="16"/>
      <c r="I166" s="4">
        <f t="shared" si="14"/>
        <v>0</v>
      </c>
      <c r="J166" t="s">
        <v>440</v>
      </c>
      <c r="N166" s="23" t="str">
        <f t="shared" si="15"/>
        <v>-</v>
      </c>
      <c r="O166" s="23" t="str">
        <f t="shared" si="16"/>
        <v>-</v>
      </c>
      <c r="P166" s="24" t="str">
        <f t="shared" si="17"/>
        <v>-</v>
      </c>
      <c r="Q166" s="25" t="str">
        <f t="shared" si="18"/>
        <v>-</v>
      </c>
      <c r="R166" s="6"/>
      <c r="S166" s="25" t="str">
        <f t="shared" si="19"/>
        <v>-</v>
      </c>
    </row>
    <row r="167" spans="1:19">
      <c r="A167" s="2" t="e">
        <f t="shared" si="20"/>
        <v>#REF!</v>
      </c>
      <c r="B167" s="3" t="s">
        <v>328</v>
      </c>
      <c r="C167" s="13">
        <v>693749015642</v>
      </c>
      <c r="D167" s="3" t="s">
        <v>329</v>
      </c>
      <c r="E167" s="16">
        <v>120</v>
      </c>
      <c r="F167" s="27">
        <v>5.4026347655363495E-2</v>
      </c>
      <c r="G167" s="4">
        <v>29.688750000000002</v>
      </c>
      <c r="H167" s="16"/>
      <c r="I167" s="4">
        <f t="shared" si="14"/>
        <v>0</v>
      </c>
      <c r="J167" t="s">
        <v>440</v>
      </c>
      <c r="N167" s="23" t="str">
        <f t="shared" si="15"/>
        <v>-</v>
      </c>
      <c r="O167" s="23" t="str">
        <f t="shared" si="16"/>
        <v>-</v>
      </c>
      <c r="P167" s="24" t="str">
        <f t="shared" si="17"/>
        <v>-</v>
      </c>
      <c r="Q167" s="25" t="str">
        <f t="shared" si="18"/>
        <v>-</v>
      </c>
      <c r="R167" s="6"/>
      <c r="S167" s="25" t="str">
        <f t="shared" si="19"/>
        <v>-</v>
      </c>
    </row>
    <row r="168" spans="1:19">
      <c r="A168" s="2" t="e">
        <f t="shared" si="20"/>
        <v>#REF!</v>
      </c>
      <c r="B168" s="3" t="s">
        <v>330</v>
      </c>
      <c r="C168" s="13">
        <v>872331000673</v>
      </c>
      <c r="D168" s="3" t="s">
        <v>331</v>
      </c>
      <c r="E168" s="16">
        <v>180</v>
      </c>
      <c r="F168" s="27">
        <v>0.28275471670096786</v>
      </c>
      <c r="G168" s="4">
        <v>45.142125</v>
      </c>
      <c r="H168" s="16"/>
      <c r="I168" s="4">
        <f t="shared" si="14"/>
        <v>0</v>
      </c>
      <c r="J168" t="s">
        <v>440</v>
      </c>
      <c r="N168" s="23" t="str">
        <f t="shared" si="15"/>
        <v>-</v>
      </c>
      <c r="O168" s="23" t="str">
        <f t="shared" si="16"/>
        <v>-</v>
      </c>
      <c r="P168" s="24" t="str">
        <f t="shared" si="17"/>
        <v>-</v>
      </c>
      <c r="Q168" s="25" t="str">
        <f t="shared" si="18"/>
        <v>-</v>
      </c>
      <c r="R168" s="6"/>
      <c r="S168" s="25" t="str">
        <f t="shared" si="19"/>
        <v>-</v>
      </c>
    </row>
    <row r="169" spans="1:19" ht="27">
      <c r="A169" s="2" t="e">
        <f t="shared" si="20"/>
        <v>#REF!</v>
      </c>
      <c r="B169" s="3" t="s">
        <v>332</v>
      </c>
      <c r="C169" s="28" t="s">
        <v>443</v>
      </c>
      <c r="D169" s="3" t="s">
        <v>333</v>
      </c>
      <c r="E169" s="16" t="s">
        <v>480</v>
      </c>
      <c r="F169" s="27">
        <v>0.30295148217960838</v>
      </c>
      <c r="G169" s="4">
        <v>44.2134</v>
      </c>
      <c r="H169" s="16"/>
      <c r="I169" s="4">
        <f t="shared" si="14"/>
        <v>0</v>
      </c>
      <c r="J169" t="s">
        <v>440</v>
      </c>
      <c r="N169" s="23" t="str">
        <f t="shared" si="15"/>
        <v>-</v>
      </c>
      <c r="O169" s="23" t="str">
        <f t="shared" si="16"/>
        <v>-</v>
      </c>
      <c r="P169" s="24" t="str">
        <f t="shared" si="17"/>
        <v>-</v>
      </c>
      <c r="Q169" s="25" t="str">
        <f t="shared" si="18"/>
        <v>-</v>
      </c>
      <c r="R169" s="6"/>
      <c r="S169" s="25" t="str">
        <f t="shared" si="19"/>
        <v>-</v>
      </c>
    </row>
    <row r="170" spans="1:19">
      <c r="A170" s="2" t="e">
        <f t="shared" si="20"/>
        <v>#REF!</v>
      </c>
      <c r="B170" s="3" t="s">
        <v>334</v>
      </c>
      <c r="C170" s="13">
        <v>693749410027</v>
      </c>
      <c r="D170" s="3" t="s">
        <v>335</v>
      </c>
      <c r="E170" s="16">
        <v>180</v>
      </c>
      <c r="F170" s="27">
        <v>0.27265633396164757</v>
      </c>
      <c r="G170" s="4">
        <v>38.854199999999999</v>
      </c>
      <c r="H170" s="16"/>
      <c r="I170" s="4">
        <f t="shared" si="14"/>
        <v>0</v>
      </c>
      <c r="J170" t="s">
        <v>440</v>
      </c>
      <c r="N170" s="23" t="str">
        <f t="shared" si="15"/>
        <v>-</v>
      </c>
      <c r="O170" s="23" t="str">
        <f t="shared" si="16"/>
        <v>-</v>
      </c>
      <c r="P170" s="24" t="str">
        <f t="shared" si="17"/>
        <v>-</v>
      </c>
      <c r="Q170" s="25" t="str">
        <f t="shared" si="18"/>
        <v>-</v>
      </c>
      <c r="R170" s="6"/>
      <c r="S170" s="25" t="str">
        <f t="shared" si="19"/>
        <v>-</v>
      </c>
    </row>
    <row r="171" spans="1:19" ht="27">
      <c r="A171" s="2" t="e">
        <f t="shared" si="20"/>
        <v>#REF!</v>
      </c>
      <c r="B171" s="3" t="s">
        <v>336</v>
      </c>
      <c r="C171" s="28" t="s">
        <v>444</v>
      </c>
      <c r="D171" s="3" t="s">
        <v>337</v>
      </c>
      <c r="E171" s="16" t="s">
        <v>481</v>
      </c>
      <c r="F171" s="27">
        <v>0.54531266792329514</v>
      </c>
      <c r="G171" s="4">
        <v>38.823750000000004</v>
      </c>
      <c r="H171" s="16"/>
      <c r="I171" s="4">
        <f t="shared" si="14"/>
        <v>0</v>
      </c>
      <c r="J171" t="s">
        <v>440</v>
      </c>
      <c r="N171" s="23" t="str">
        <f t="shared" si="15"/>
        <v>-</v>
      </c>
      <c r="O171" s="23" t="str">
        <f t="shared" si="16"/>
        <v>-</v>
      </c>
      <c r="P171" s="24" t="str">
        <f t="shared" si="17"/>
        <v>-</v>
      </c>
      <c r="Q171" s="25" t="str">
        <f t="shared" si="18"/>
        <v>-</v>
      </c>
      <c r="R171" s="6"/>
      <c r="S171" s="25" t="str">
        <f t="shared" si="19"/>
        <v>-</v>
      </c>
    </row>
    <row r="172" spans="1:19">
      <c r="A172" s="2" t="e">
        <f t="shared" si="20"/>
        <v>#REF!</v>
      </c>
      <c r="B172" s="3" t="s">
        <v>338</v>
      </c>
      <c r="C172" s="13">
        <v>693749006879</v>
      </c>
      <c r="D172" s="3" t="s">
        <v>339</v>
      </c>
      <c r="E172" s="16">
        <v>1</v>
      </c>
      <c r="F172" s="27">
        <v>0.11108221013252308</v>
      </c>
      <c r="G172" s="4">
        <v>354.74250000000001</v>
      </c>
      <c r="H172" s="16"/>
      <c r="I172" s="4">
        <f t="shared" si="14"/>
        <v>0</v>
      </c>
      <c r="J172" t="s">
        <v>440</v>
      </c>
      <c r="N172" s="23" t="str">
        <f t="shared" si="15"/>
        <v>-</v>
      </c>
      <c r="O172" s="23" t="str">
        <f t="shared" si="16"/>
        <v>-</v>
      </c>
      <c r="P172" s="24" t="str">
        <f t="shared" si="17"/>
        <v>-</v>
      </c>
      <c r="Q172" s="25" t="str">
        <f t="shared" si="18"/>
        <v>-</v>
      </c>
      <c r="R172" s="6"/>
      <c r="S172" s="25" t="str">
        <f t="shared" si="19"/>
        <v>-</v>
      </c>
    </row>
    <row r="173" spans="1:19" ht="27">
      <c r="A173" s="2" t="e">
        <f t="shared" si="20"/>
        <v>#REF!</v>
      </c>
      <c r="B173" s="3" t="s">
        <v>340</v>
      </c>
      <c r="C173" s="28" t="s">
        <v>445</v>
      </c>
      <c r="D173" s="3" t="s">
        <v>341</v>
      </c>
      <c r="E173" s="16" t="s">
        <v>482</v>
      </c>
      <c r="F173" s="27">
        <v>0.50996832833567418</v>
      </c>
      <c r="G173" s="4">
        <v>38.823750000000004</v>
      </c>
      <c r="H173" s="16"/>
      <c r="I173" s="4">
        <f t="shared" si="14"/>
        <v>0</v>
      </c>
      <c r="J173" t="s">
        <v>440</v>
      </c>
      <c r="N173" s="23" t="str">
        <f t="shared" si="15"/>
        <v>-</v>
      </c>
      <c r="O173" s="23" t="str">
        <f t="shared" si="16"/>
        <v>-</v>
      </c>
      <c r="P173" s="24" t="str">
        <f t="shared" si="17"/>
        <v>-</v>
      </c>
      <c r="Q173" s="25" t="str">
        <f t="shared" si="18"/>
        <v>-</v>
      </c>
      <c r="R173" s="6"/>
      <c r="S173" s="25" t="str">
        <f t="shared" si="19"/>
        <v>-</v>
      </c>
    </row>
    <row r="174" spans="1:19">
      <c r="A174" s="2" t="e">
        <f>+#REF!+1</f>
        <v>#REF!</v>
      </c>
      <c r="B174" s="3" t="s">
        <v>342</v>
      </c>
      <c r="C174" s="13">
        <v>693749013204</v>
      </c>
      <c r="D174" s="3" t="s">
        <v>343</v>
      </c>
      <c r="E174" s="16" t="s">
        <v>483</v>
      </c>
      <c r="F174" s="27">
        <v>0.65134568668615811</v>
      </c>
      <c r="G174" s="4">
        <v>125.65192500000001</v>
      </c>
      <c r="H174" s="16"/>
      <c r="I174" s="4">
        <f t="shared" si="14"/>
        <v>0</v>
      </c>
      <c r="J174" t="s">
        <v>440</v>
      </c>
      <c r="N174" s="23" t="str">
        <f t="shared" si="15"/>
        <v>-</v>
      </c>
      <c r="O174" s="23" t="str">
        <f t="shared" si="16"/>
        <v>-</v>
      </c>
      <c r="P174" s="24" t="str">
        <f t="shared" si="17"/>
        <v>-</v>
      </c>
      <c r="Q174" s="25" t="str">
        <f t="shared" si="18"/>
        <v>-</v>
      </c>
      <c r="R174" s="6"/>
      <c r="S174" s="25" t="str">
        <f t="shared" si="19"/>
        <v>-</v>
      </c>
    </row>
    <row r="175" spans="1:19">
      <c r="A175" s="2" t="e">
        <f t="shared" si="20"/>
        <v>#REF!</v>
      </c>
      <c r="B175" s="3" t="s">
        <v>344</v>
      </c>
      <c r="C175" s="13">
        <v>872331007504</v>
      </c>
      <c r="D175" s="3" t="s">
        <v>345</v>
      </c>
      <c r="E175" s="16">
        <v>60</v>
      </c>
      <c r="F175" s="27">
        <v>6.563948780558182E-2</v>
      </c>
      <c r="G175" s="4">
        <v>19.7925</v>
      </c>
      <c r="H175" s="16"/>
      <c r="I175" s="4">
        <f t="shared" si="14"/>
        <v>0</v>
      </c>
      <c r="J175" t="s">
        <v>440</v>
      </c>
      <c r="N175" s="23" t="str">
        <f t="shared" si="15"/>
        <v>-</v>
      </c>
      <c r="O175" s="23" t="str">
        <f t="shared" si="16"/>
        <v>-</v>
      </c>
      <c r="P175" s="24" t="str">
        <f t="shared" si="17"/>
        <v>-</v>
      </c>
      <c r="Q175" s="25" t="str">
        <f t="shared" si="18"/>
        <v>-</v>
      </c>
      <c r="R175" s="6"/>
      <c r="S175" s="25" t="str">
        <f t="shared" si="19"/>
        <v>-</v>
      </c>
    </row>
    <row r="176" spans="1:19">
      <c r="A176" s="2" t="e">
        <f t="shared" si="20"/>
        <v>#REF!</v>
      </c>
      <c r="B176" s="3" t="s">
        <v>346</v>
      </c>
      <c r="C176" s="13">
        <v>693749745020</v>
      </c>
      <c r="D176" s="3" t="s">
        <v>347</v>
      </c>
      <c r="E176" s="16">
        <v>60</v>
      </c>
      <c r="F176" s="27">
        <v>5.0491913696601408E-2</v>
      </c>
      <c r="G176" s="4">
        <v>44.548349999999999</v>
      </c>
      <c r="H176" s="16"/>
      <c r="I176" s="4">
        <f t="shared" si="14"/>
        <v>0</v>
      </c>
      <c r="J176" t="s">
        <v>440</v>
      </c>
      <c r="N176" s="23" t="str">
        <f t="shared" si="15"/>
        <v>-</v>
      </c>
      <c r="O176" s="23" t="str">
        <f t="shared" si="16"/>
        <v>-</v>
      </c>
      <c r="P176" s="24" t="str">
        <f t="shared" si="17"/>
        <v>-</v>
      </c>
      <c r="Q176" s="25" t="str">
        <f t="shared" si="18"/>
        <v>-</v>
      </c>
      <c r="R176" s="6"/>
      <c r="S176" s="25" t="str">
        <f t="shared" si="19"/>
        <v>-</v>
      </c>
    </row>
    <row r="177" spans="1:19">
      <c r="A177" s="2" t="e">
        <f t="shared" si="20"/>
        <v>#REF!</v>
      </c>
      <c r="B177" s="3" t="s">
        <v>348</v>
      </c>
      <c r="C177" s="13">
        <v>872331000352</v>
      </c>
      <c r="D177" s="3" t="s">
        <v>66</v>
      </c>
      <c r="E177" s="16">
        <v>60</v>
      </c>
      <c r="F177" s="27">
        <v>0.10098382739320282</v>
      </c>
      <c r="G177" s="4">
        <v>19.7925</v>
      </c>
      <c r="H177" s="16"/>
      <c r="I177" s="4">
        <f t="shared" si="14"/>
        <v>0</v>
      </c>
      <c r="J177" t="s">
        <v>440</v>
      </c>
      <c r="N177" s="23" t="str">
        <f t="shared" si="15"/>
        <v>-</v>
      </c>
      <c r="O177" s="23" t="str">
        <f t="shared" si="16"/>
        <v>-</v>
      </c>
      <c r="P177" s="24" t="str">
        <f t="shared" si="17"/>
        <v>-</v>
      </c>
      <c r="Q177" s="25" t="str">
        <f t="shared" si="18"/>
        <v>-</v>
      </c>
      <c r="R177" s="6"/>
      <c r="S177" s="25" t="str">
        <f t="shared" si="19"/>
        <v>-</v>
      </c>
    </row>
    <row r="178" spans="1:19">
      <c r="A178" s="2" t="e">
        <f t="shared" si="20"/>
        <v>#REF!</v>
      </c>
      <c r="B178" s="3" t="s">
        <v>349</v>
      </c>
      <c r="C178" s="13">
        <v>693749015680</v>
      </c>
      <c r="D178" s="3" t="s">
        <v>350</v>
      </c>
      <c r="E178" s="16">
        <v>180</v>
      </c>
      <c r="F178" s="27">
        <v>5.5541105066261538E-2</v>
      </c>
      <c r="G178" s="4">
        <v>39.463200000000008</v>
      </c>
      <c r="H178" s="16"/>
      <c r="I178" s="4">
        <f t="shared" si="14"/>
        <v>0</v>
      </c>
      <c r="J178" t="s">
        <v>440</v>
      </c>
      <c r="N178" s="23" t="str">
        <f t="shared" si="15"/>
        <v>-</v>
      </c>
      <c r="O178" s="23" t="str">
        <f t="shared" si="16"/>
        <v>-</v>
      </c>
      <c r="P178" s="24" t="str">
        <f t="shared" si="17"/>
        <v>-</v>
      </c>
      <c r="Q178" s="25" t="str">
        <f t="shared" si="18"/>
        <v>-</v>
      </c>
      <c r="R178" s="6"/>
      <c r="S178" s="25" t="str">
        <f t="shared" si="19"/>
        <v>-</v>
      </c>
    </row>
    <row r="179" spans="1:19">
      <c r="A179" s="2" t="e">
        <f t="shared" si="20"/>
        <v>#REF!</v>
      </c>
      <c r="B179" s="3" t="s">
        <v>351</v>
      </c>
      <c r="C179" s="13">
        <v>872331001045</v>
      </c>
      <c r="D179" s="3" t="s">
        <v>16</v>
      </c>
      <c r="E179" s="16">
        <v>60</v>
      </c>
      <c r="F179" s="27">
        <v>0.10603301876286295</v>
      </c>
      <c r="G179" s="4">
        <v>20.553750000000001</v>
      </c>
      <c r="H179" s="16"/>
      <c r="I179" s="4">
        <f t="shared" si="14"/>
        <v>0</v>
      </c>
      <c r="J179" t="s">
        <v>440</v>
      </c>
      <c r="N179" s="23" t="str">
        <f t="shared" si="15"/>
        <v>-</v>
      </c>
      <c r="O179" s="23" t="str">
        <f t="shared" si="16"/>
        <v>-</v>
      </c>
      <c r="P179" s="24" t="str">
        <f t="shared" si="17"/>
        <v>-</v>
      </c>
      <c r="Q179" s="25" t="str">
        <f t="shared" si="18"/>
        <v>-</v>
      </c>
      <c r="R179" s="6"/>
      <c r="S179" s="25" t="str">
        <f t="shared" si="19"/>
        <v>-</v>
      </c>
    </row>
    <row r="180" spans="1:19">
      <c r="A180" s="2" t="e">
        <f>+#REF!+1</f>
        <v>#REF!</v>
      </c>
      <c r="B180" s="3" t="s">
        <v>352</v>
      </c>
      <c r="C180" s="13">
        <v>872331000659</v>
      </c>
      <c r="D180" s="3" t="s">
        <v>353</v>
      </c>
      <c r="E180" s="16">
        <v>60</v>
      </c>
      <c r="F180" s="27">
        <v>0.10098382739320282</v>
      </c>
      <c r="G180" s="4">
        <v>34.3476</v>
      </c>
      <c r="H180" s="16"/>
      <c r="I180" s="4">
        <f t="shared" si="14"/>
        <v>0</v>
      </c>
      <c r="J180" t="s">
        <v>440</v>
      </c>
      <c r="N180" s="23" t="str">
        <f t="shared" si="15"/>
        <v>-</v>
      </c>
      <c r="O180" s="23" t="str">
        <f t="shared" si="16"/>
        <v>-</v>
      </c>
      <c r="P180" s="24" t="str">
        <f t="shared" si="17"/>
        <v>-</v>
      </c>
      <c r="Q180" s="25" t="str">
        <f t="shared" si="18"/>
        <v>-</v>
      </c>
      <c r="R180" s="6"/>
      <c r="S180" s="25" t="str">
        <f t="shared" si="19"/>
        <v>-</v>
      </c>
    </row>
    <row r="181" spans="1:19">
      <c r="A181" s="2" t="e">
        <f>+#REF!+1</f>
        <v>#REF!</v>
      </c>
      <c r="B181" s="3" t="s">
        <v>354</v>
      </c>
      <c r="C181" s="13">
        <v>693749006725</v>
      </c>
      <c r="D181" s="3" t="s">
        <v>355</v>
      </c>
      <c r="E181" s="16">
        <v>1</v>
      </c>
      <c r="F181" s="27">
        <v>0.11108221013252308</v>
      </c>
      <c r="G181" s="4">
        <v>210.86625000000001</v>
      </c>
      <c r="H181" s="16"/>
      <c r="I181" s="4">
        <f t="shared" si="14"/>
        <v>0</v>
      </c>
      <c r="J181" t="s">
        <v>440</v>
      </c>
      <c r="N181" s="23" t="str">
        <f t="shared" si="15"/>
        <v>-</v>
      </c>
      <c r="O181" s="23" t="str">
        <f t="shared" si="16"/>
        <v>-</v>
      </c>
      <c r="P181" s="24" t="str">
        <f t="shared" si="17"/>
        <v>-</v>
      </c>
      <c r="Q181" s="25" t="str">
        <f t="shared" si="18"/>
        <v>-</v>
      </c>
      <c r="R181" s="6"/>
      <c r="S181" s="25" t="str">
        <f t="shared" si="19"/>
        <v>-</v>
      </c>
    </row>
    <row r="182" spans="1:19">
      <c r="A182" s="2" t="e">
        <f t="shared" si="20"/>
        <v>#REF!</v>
      </c>
      <c r="B182" s="3" t="s">
        <v>356</v>
      </c>
      <c r="C182" s="13">
        <v>872331005005</v>
      </c>
      <c r="D182" s="3" t="s">
        <v>357</v>
      </c>
      <c r="E182" s="16" t="s">
        <v>451</v>
      </c>
      <c r="F182" s="27">
        <v>0.10603301876286295</v>
      </c>
      <c r="G182" s="4">
        <v>25.8825</v>
      </c>
      <c r="H182" s="16"/>
      <c r="I182" s="4">
        <f t="shared" si="14"/>
        <v>0</v>
      </c>
      <c r="J182" t="s">
        <v>440</v>
      </c>
      <c r="N182" s="23" t="str">
        <f t="shared" si="15"/>
        <v>-</v>
      </c>
      <c r="O182" s="23" t="str">
        <f t="shared" si="16"/>
        <v>-</v>
      </c>
      <c r="P182" s="24" t="str">
        <f t="shared" si="17"/>
        <v>-</v>
      </c>
      <c r="Q182" s="25" t="str">
        <f t="shared" si="18"/>
        <v>-</v>
      </c>
      <c r="R182" s="6"/>
      <c r="S182" s="25" t="str">
        <f t="shared" si="19"/>
        <v>-</v>
      </c>
    </row>
    <row r="183" spans="1:19">
      <c r="A183" s="2" t="e">
        <f t="shared" si="20"/>
        <v>#REF!</v>
      </c>
      <c r="B183" s="3" t="s">
        <v>358</v>
      </c>
      <c r="C183" s="13">
        <v>693749013181</v>
      </c>
      <c r="D183" s="3" t="s">
        <v>359</v>
      </c>
      <c r="E183" s="16" t="s">
        <v>484</v>
      </c>
      <c r="F183" s="27">
        <v>0.45947641463907274</v>
      </c>
      <c r="G183" s="4">
        <v>66.304874999999996</v>
      </c>
      <c r="H183" s="16"/>
      <c r="I183" s="4">
        <f t="shared" si="14"/>
        <v>0</v>
      </c>
      <c r="J183" t="s">
        <v>440</v>
      </c>
      <c r="N183" s="23" t="str">
        <f t="shared" si="15"/>
        <v>-</v>
      </c>
      <c r="O183" s="23" t="str">
        <f t="shared" si="16"/>
        <v>-</v>
      </c>
      <c r="P183" s="24" t="str">
        <f t="shared" si="17"/>
        <v>-</v>
      </c>
      <c r="Q183" s="25" t="str">
        <f t="shared" si="18"/>
        <v>-</v>
      </c>
      <c r="R183" s="6"/>
      <c r="S183" s="25" t="str">
        <f t="shared" si="19"/>
        <v>-</v>
      </c>
    </row>
    <row r="184" spans="1:19">
      <c r="A184" s="2" t="e">
        <f>+#REF!+1</f>
        <v>#REF!</v>
      </c>
      <c r="B184" s="3" t="s">
        <v>360</v>
      </c>
      <c r="C184" s="13">
        <v>693749015840</v>
      </c>
      <c r="D184" s="3" t="s">
        <v>361</v>
      </c>
      <c r="E184" s="16">
        <v>30</v>
      </c>
      <c r="F184" s="27">
        <v>5.4026347655363495E-2</v>
      </c>
      <c r="G184" s="4">
        <v>22.837499999999999</v>
      </c>
      <c r="H184" s="16"/>
      <c r="I184" s="4">
        <f t="shared" si="14"/>
        <v>0</v>
      </c>
      <c r="J184" t="s">
        <v>440</v>
      </c>
      <c r="N184" s="23" t="str">
        <f t="shared" si="15"/>
        <v>-</v>
      </c>
      <c r="O184" s="23" t="str">
        <f t="shared" si="16"/>
        <v>-</v>
      </c>
      <c r="P184" s="24" t="str">
        <f t="shared" si="17"/>
        <v>-</v>
      </c>
      <c r="Q184" s="25" t="str">
        <f t="shared" si="18"/>
        <v>-</v>
      </c>
      <c r="R184" s="6"/>
      <c r="S184" s="25" t="str">
        <f t="shared" si="19"/>
        <v>-</v>
      </c>
    </row>
    <row r="185" spans="1:19">
      <c r="A185" s="2" t="e">
        <f t="shared" si="20"/>
        <v>#REF!</v>
      </c>
      <c r="B185" s="3" t="s">
        <v>362</v>
      </c>
      <c r="C185" s="13">
        <v>872331006019</v>
      </c>
      <c r="D185" s="3" t="s">
        <v>363</v>
      </c>
      <c r="E185" s="16">
        <v>180</v>
      </c>
      <c r="F185" s="27">
        <v>0.27770552533130771</v>
      </c>
      <c r="G185" s="4">
        <v>45.187800000000003</v>
      </c>
      <c r="H185" s="16"/>
      <c r="I185" s="4">
        <f t="shared" si="14"/>
        <v>0</v>
      </c>
      <c r="J185" t="s">
        <v>440</v>
      </c>
      <c r="N185" s="23" t="str">
        <f t="shared" si="15"/>
        <v>-</v>
      </c>
      <c r="O185" s="23" t="str">
        <f t="shared" si="16"/>
        <v>-</v>
      </c>
      <c r="P185" s="24" t="str">
        <f t="shared" si="17"/>
        <v>-</v>
      </c>
      <c r="Q185" s="25" t="str">
        <f t="shared" si="18"/>
        <v>-</v>
      </c>
      <c r="R185" s="6"/>
      <c r="S185" s="25" t="str">
        <f t="shared" si="19"/>
        <v>-</v>
      </c>
    </row>
    <row r="186" spans="1:19">
      <c r="A186" s="2" t="e">
        <f t="shared" si="20"/>
        <v>#REF!</v>
      </c>
      <c r="B186" s="3" t="s">
        <v>364</v>
      </c>
      <c r="C186" s="13">
        <v>872331002721</v>
      </c>
      <c r="D186" s="3" t="s">
        <v>365</v>
      </c>
      <c r="E186" s="16">
        <v>90</v>
      </c>
      <c r="F186" s="27">
        <v>0.16157412382912451</v>
      </c>
      <c r="G186" s="4">
        <v>16.747500000000002</v>
      </c>
      <c r="H186" s="16"/>
      <c r="I186" s="4">
        <f t="shared" si="14"/>
        <v>0</v>
      </c>
      <c r="J186" t="s">
        <v>440</v>
      </c>
      <c r="N186" s="23" t="str">
        <f t="shared" si="15"/>
        <v>-</v>
      </c>
      <c r="O186" s="23" t="str">
        <f t="shared" si="16"/>
        <v>-</v>
      </c>
      <c r="P186" s="24" t="str">
        <f t="shared" si="17"/>
        <v>-</v>
      </c>
      <c r="Q186" s="25" t="str">
        <f t="shared" si="18"/>
        <v>-</v>
      </c>
      <c r="R186" s="6"/>
      <c r="S186" s="25" t="str">
        <f t="shared" si="19"/>
        <v>-</v>
      </c>
    </row>
    <row r="187" spans="1:19">
      <c r="A187" s="2" t="e">
        <f>+#REF!+1</f>
        <v>#REF!</v>
      </c>
      <c r="B187" s="3" t="s">
        <v>366</v>
      </c>
      <c r="C187" s="13">
        <v>872331004152</v>
      </c>
      <c r="D187" s="3" t="s">
        <v>367</v>
      </c>
      <c r="E187" s="16">
        <v>225</v>
      </c>
      <c r="F187" s="27">
        <v>0.29790229080994823</v>
      </c>
      <c r="G187" s="4">
        <v>35.778750000000002</v>
      </c>
      <c r="H187" s="16"/>
      <c r="I187" s="4">
        <f t="shared" ref="I187:I224" si="21">IFERROR(G187*H187,"")</f>
        <v>0</v>
      </c>
      <c r="J187" t="s">
        <v>440</v>
      </c>
      <c r="N187" s="23" t="str">
        <f t="shared" ref="N187:N224" si="22">IFERROR(IF($N$2*F187=0, "-", $N$2*F187), "-")</f>
        <v>-</v>
      </c>
      <c r="O187" s="23" t="str">
        <f t="shared" ref="O187:O224" si="23">IFERROR(IF(G187+N187=0, "-", IF(N187&gt;0, G187+N187, "-")), "-")</f>
        <v>-</v>
      </c>
      <c r="P187" s="24" t="str">
        <f t="shared" ref="P187:P224" si="24">IF(H187&gt;0,H187*F187, "-")</f>
        <v>-</v>
      </c>
      <c r="Q187" s="25" t="str">
        <f t="shared" ref="Q187:Q224" si="25">IFERROR(IF($N$2&gt;0, $N$2*P187, "-"), "-")</f>
        <v>-</v>
      </c>
      <c r="R187" s="6"/>
      <c r="S187" s="25" t="str">
        <f t="shared" ref="S187:S224" si="26">IFERROR(IF(Q187+I187=0, "-", IF(Q187&gt;0, Q187+I187, "-")), "-")</f>
        <v>-</v>
      </c>
    </row>
    <row r="188" spans="1:19">
      <c r="A188" s="2" t="e">
        <f>+#REF!+1</f>
        <v>#REF!</v>
      </c>
      <c r="B188" s="3" t="s">
        <v>368</v>
      </c>
      <c r="C188" s="13">
        <v>872331001298</v>
      </c>
      <c r="D188" s="3" t="s">
        <v>369</v>
      </c>
      <c r="E188" s="16">
        <v>60</v>
      </c>
      <c r="F188" s="27">
        <v>3.5344339587620982E-2</v>
      </c>
      <c r="G188" s="4">
        <v>18.270000000000003</v>
      </c>
      <c r="H188" s="16"/>
      <c r="I188" s="4">
        <f t="shared" si="21"/>
        <v>0</v>
      </c>
      <c r="J188" t="s">
        <v>440</v>
      </c>
      <c r="N188" s="23" t="str">
        <f t="shared" si="22"/>
        <v>-</v>
      </c>
      <c r="O188" s="23" t="str">
        <f t="shared" si="23"/>
        <v>-</v>
      </c>
      <c r="P188" s="24" t="str">
        <f t="shared" si="24"/>
        <v>-</v>
      </c>
      <c r="Q188" s="25" t="str">
        <f t="shared" si="25"/>
        <v>-</v>
      </c>
      <c r="R188" s="6"/>
      <c r="S188" s="25" t="str">
        <f t="shared" si="26"/>
        <v>-</v>
      </c>
    </row>
    <row r="189" spans="1:19">
      <c r="A189" s="2" t="e">
        <f t="shared" ref="A189:A223" si="27">+A188+1</f>
        <v>#REF!</v>
      </c>
      <c r="B189" s="3" t="s">
        <v>370</v>
      </c>
      <c r="C189" s="13">
        <v>693749015765</v>
      </c>
      <c r="D189" s="3" t="s">
        <v>371</v>
      </c>
      <c r="E189" s="16" t="s">
        <v>485</v>
      </c>
      <c r="F189" s="27">
        <v>0.75232951407936077</v>
      </c>
      <c r="G189" s="4">
        <v>42.112349999999999</v>
      </c>
      <c r="H189" s="16"/>
      <c r="I189" s="4">
        <f t="shared" si="21"/>
        <v>0</v>
      </c>
      <c r="J189" t="s">
        <v>440</v>
      </c>
      <c r="N189" s="23" t="str">
        <f t="shared" si="22"/>
        <v>-</v>
      </c>
      <c r="O189" s="23" t="str">
        <f t="shared" si="23"/>
        <v>-</v>
      </c>
      <c r="P189" s="24" t="str">
        <f t="shared" si="24"/>
        <v>-</v>
      </c>
      <c r="Q189" s="25" t="str">
        <f t="shared" si="25"/>
        <v>-</v>
      </c>
      <c r="R189" s="6"/>
      <c r="S189" s="25" t="str">
        <f t="shared" si="26"/>
        <v>-</v>
      </c>
    </row>
    <row r="190" spans="1:19">
      <c r="A190" s="2" t="e">
        <f>+#REF!+1</f>
        <v>#REF!</v>
      </c>
      <c r="B190" s="3" t="s">
        <v>372</v>
      </c>
      <c r="C190" s="13">
        <v>872331008334</v>
      </c>
      <c r="D190" s="3" t="s">
        <v>373</v>
      </c>
      <c r="E190" s="16">
        <v>90</v>
      </c>
      <c r="F190" s="27">
        <v>0.15147574108980419</v>
      </c>
      <c r="G190" s="4">
        <v>36.418200000000006</v>
      </c>
      <c r="H190" s="16"/>
      <c r="I190" s="4">
        <f t="shared" si="21"/>
        <v>0</v>
      </c>
      <c r="J190" t="s">
        <v>440</v>
      </c>
      <c r="N190" s="23" t="str">
        <f t="shared" si="22"/>
        <v>-</v>
      </c>
      <c r="O190" s="23" t="str">
        <f t="shared" si="23"/>
        <v>-</v>
      </c>
      <c r="P190" s="24" t="str">
        <f t="shared" si="24"/>
        <v>-</v>
      </c>
      <c r="Q190" s="25" t="str">
        <f t="shared" si="25"/>
        <v>-</v>
      </c>
      <c r="R190" s="6"/>
      <c r="S190" s="25" t="str">
        <f t="shared" si="26"/>
        <v>-</v>
      </c>
    </row>
    <row r="191" spans="1:19">
      <c r="A191" s="2" t="e">
        <f>+#REF!+1</f>
        <v>#REF!</v>
      </c>
      <c r="B191" s="3" t="s">
        <v>374</v>
      </c>
      <c r="C191" s="13">
        <v>872331008266</v>
      </c>
      <c r="D191" s="3" t="s">
        <v>82</v>
      </c>
      <c r="E191" s="16">
        <v>60</v>
      </c>
      <c r="F191" s="27">
        <v>0.10603301876286295</v>
      </c>
      <c r="G191" s="4">
        <v>30.069375000000001</v>
      </c>
      <c r="H191" s="16"/>
      <c r="I191" s="4">
        <f t="shared" si="21"/>
        <v>0</v>
      </c>
      <c r="J191" t="s">
        <v>440</v>
      </c>
      <c r="N191" s="23" t="str">
        <f t="shared" si="22"/>
        <v>-</v>
      </c>
      <c r="O191" s="23" t="str">
        <f t="shared" si="23"/>
        <v>-</v>
      </c>
      <c r="P191" s="24" t="str">
        <f t="shared" si="24"/>
        <v>-</v>
      </c>
      <c r="Q191" s="25" t="str">
        <f t="shared" si="25"/>
        <v>-</v>
      </c>
      <c r="R191" s="6"/>
      <c r="S191" s="25" t="str">
        <f t="shared" si="26"/>
        <v>-</v>
      </c>
    </row>
    <row r="192" spans="1:19">
      <c r="A192" s="2" t="e">
        <f>+#REF!+1</f>
        <v>#REF!</v>
      </c>
      <c r="B192" s="3" t="s">
        <v>375</v>
      </c>
      <c r="C192" s="13">
        <v>872331000383</v>
      </c>
      <c r="D192" s="3" t="s">
        <v>50</v>
      </c>
      <c r="E192" s="16">
        <v>60</v>
      </c>
      <c r="F192" s="27">
        <v>6.563948780558182E-2</v>
      </c>
      <c r="G192" s="4">
        <v>12.18</v>
      </c>
      <c r="H192" s="16"/>
      <c r="I192" s="4">
        <f t="shared" si="21"/>
        <v>0</v>
      </c>
      <c r="J192" t="s">
        <v>440</v>
      </c>
      <c r="N192" s="23" t="str">
        <f t="shared" si="22"/>
        <v>-</v>
      </c>
      <c r="O192" s="23" t="str">
        <f t="shared" si="23"/>
        <v>-</v>
      </c>
      <c r="P192" s="24" t="str">
        <f t="shared" si="24"/>
        <v>-</v>
      </c>
      <c r="Q192" s="25" t="str">
        <f t="shared" si="25"/>
        <v>-</v>
      </c>
      <c r="R192" s="6"/>
      <c r="S192" s="25" t="str">
        <f t="shared" si="26"/>
        <v>-</v>
      </c>
    </row>
    <row r="193" spans="1:19">
      <c r="A193" s="2" t="e">
        <f>+#REF!+1</f>
        <v>#REF!</v>
      </c>
      <c r="B193" s="3" t="s">
        <v>376</v>
      </c>
      <c r="C193" s="13">
        <v>693749006893</v>
      </c>
      <c r="D193" s="3" t="s">
        <v>377</v>
      </c>
      <c r="E193" s="16">
        <v>1</v>
      </c>
      <c r="F193" s="27">
        <v>0.11108221013252308</v>
      </c>
      <c r="G193" s="4">
        <v>267.19875000000002</v>
      </c>
      <c r="H193" s="16"/>
      <c r="I193" s="4">
        <f t="shared" si="21"/>
        <v>0</v>
      </c>
      <c r="J193" t="s">
        <v>440</v>
      </c>
      <c r="N193" s="23" t="str">
        <f t="shared" si="22"/>
        <v>-</v>
      </c>
      <c r="O193" s="23" t="str">
        <f t="shared" si="23"/>
        <v>-</v>
      </c>
      <c r="P193" s="24" t="str">
        <f t="shared" si="24"/>
        <v>-</v>
      </c>
      <c r="Q193" s="25" t="str">
        <f t="shared" si="25"/>
        <v>-</v>
      </c>
      <c r="R193" s="6"/>
      <c r="S193" s="25" t="str">
        <f t="shared" si="26"/>
        <v>-</v>
      </c>
    </row>
    <row r="194" spans="1:19">
      <c r="A194" s="2" t="e">
        <f t="shared" si="27"/>
        <v>#REF!</v>
      </c>
      <c r="B194" s="3" t="s">
        <v>378</v>
      </c>
      <c r="C194" s="13">
        <v>872331008303</v>
      </c>
      <c r="D194" s="3" t="s">
        <v>379</v>
      </c>
      <c r="E194" s="16">
        <v>120</v>
      </c>
      <c r="F194" s="27">
        <v>0.14137735835048393</v>
      </c>
      <c r="G194" s="4">
        <v>37.301250000000003</v>
      </c>
      <c r="H194" s="16"/>
      <c r="I194" s="4">
        <f t="shared" si="21"/>
        <v>0</v>
      </c>
      <c r="J194" t="s">
        <v>440</v>
      </c>
      <c r="N194" s="23" t="str">
        <f t="shared" si="22"/>
        <v>-</v>
      </c>
      <c r="O194" s="23" t="str">
        <f t="shared" si="23"/>
        <v>-</v>
      </c>
      <c r="P194" s="24" t="str">
        <f t="shared" si="24"/>
        <v>-</v>
      </c>
      <c r="Q194" s="25" t="str">
        <f t="shared" si="25"/>
        <v>-</v>
      </c>
      <c r="R194" s="6"/>
      <c r="S194" s="25" t="str">
        <f t="shared" si="26"/>
        <v>-</v>
      </c>
    </row>
    <row r="195" spans="1:19">
      <c r="A195" s="2" t="e">
        <f t="shared" si="27"/>
        <v>#REF!</v>
      </c>
      <c r="B195" s="3" t="s">
        <v>380</v>
      </c>
      <c r="C195" s="13">
        <v>872331001274</v>
      </c>
      <c r="D195" s="3" t="s">
        <v>381</v>
      </c>
      <c r="E195" s="16">
        <v>90</v>
      </c>
      <c r="F195" s="27">
        <v>0.17167250656844477</v>
      </c>
      <c r="G195" s="4">
        <v>17.508750000000003</v>
      </c>
      <c r="H195" s="16"/>
      <c r="I195" s="4">
        <f t="shared" si="21"/>
        <v>0</v>
      </c>
      <c r="J195" t="s">
        <v>440</v>
      </c>
      <c r="N195" s="23" t="str">
        <f t="shared" si="22"/>
        <v>-</v>
      </c>
      <c r="O195" s="23" t="str">
        <f t="shared" si="23"/>
        <v>-</v>
      </c>
      <c r="P195" s="24" t="str">
        <f t="shared" si="24"/>
        <v>-</v>
      </c>
      <c r="Q195" s="25" t="str">
        <f t="shared" si="25"/>
        <v>-</v>
      </c>
      <c r="R195" s="6"/>
      <c r="S195" s="25" t="str">
        <f t="shared" si="26"/>
        <v>-</v>
      </c>
    </row>
    <row r="196" spans="1:19">
      <c r="A196" s="2" t="e">
        <f t="shared" si="27"/>
        <v>#REF!</v>
      </c>
      <c r="B196" s="3" t="s">
        <v>382</v>
      </c>
      <c r="C196" s="13">
        <v>872331000215</v>
      </c>
      <c r="D196" s="3" t="s">
        <v>230</v>
      </c>
      <c r="E196" s="16" t="s">
        <v>486</v>
      </c>
      <c r="F196" s="27">
        <v>1.2774454165240152</v>
      </c>
      <c r="G196" s="4">
        <v>68.512500000000003</v>
      </c>
      <c r="H196" s="16"/>
      <c r="I196" s="4">
        <f t="shared" si="21"/>
        <v>0</v>
      </c>
      <c r="J196" t="s">
        <v>440</v>
      </c>
      <c r="N196" s="23" t="str">
        <f t="shared" si="22"/>
        <v>-</v>
      </c>
      <c r="O196" s="23" t="str">
        <f t="shared" si="23"/>
        <v>-</v>
      </c>
      <c r="P196" s="24" t="str">
        <f t="shared" si="24"/>
        <v>-</v>
      </c>
      <c r="Q196" s="25" t="str">
        <f t="shared" si="25"/>
        <v>-</v>
      </c>
      <c r="R196" s="6"/>
      <c r="S196" s="25" t="str">
        <f t="shared" si="26"/>
        <v>-</v>
      </c>
    </row>
    <row r="197" spans="1:19">
      <c r="A197" s="2" t="e">
        <f t="shared" si="27"/>
        <v>#REF!</v>
      </c>
      <c r="B197" s="3" t="s">
        <v>383</v>
      </c>
      <c r="C197" s="13">
        <v>693749006732</v>
      </c>
      <c r="D197" s="3" t="s">
        <v>384</v>
      </c>
      <c r="E197" s="16">
        <v>1</v>
      </c>
      <c r="F197" s="27">
        <v>0.11108221013252308</v>
      </c>
      <c r="G197" s="4">
        <v>274.05</v>
      </c>
      <c r="H197" s="16"/>
      <c r="I197" s="4">
        <f t="shared" si="21"/>
        <v>0</v>
      </c>
      <c r="J197" t="s">
        <v>440</v>
      </c>
      <c r="N197" s="23" t="str">
        <f t="shared" si="22"/>
        <v>-</v>
      </c>
      <c r="O197" s="23" t="str">
        <f t="shared" si="23"/>
        <v>-</v>
      </c>
      <c r="P197" s="24" t="str">
        <f t="shared" si="24"/>
        <v>-</v>
      </c>
      <c r="Q197" s="25" t="str">
        <f t="shared" si="25"/>
        <v>-</v>
      </c>
      <c r="R197" s="6"/>
      <c r="S197" s="25" t="str">
        <f t="shared" si="26"/>
        <v>-</v>
      </c>
    </row>
    <row r="198" spans="1:19">
      <c r="A198" s="2" t="e">
        <f t="shared" si="27"/>
        <v>#REF!</v>
      </c>
      <c r="B198" s="3" t="s">
        <v>385</v>
      </c>
      <c r="C198" s="13">
        <v>693749015772</v>
      </c>
      <c r="D198" s="3" t="s">
        <v>386</v>
      </c>
      <c r="E198" s="16" t="s">
        <v>487</v>
      </c>
      <c r="F198" s="27">
        <v>0.75232951407936077</v>
      </c>
      <c r="G198" s="4">
        <v>42.112349999999999</v>
      </c>
      <c r="H198" s="16"/>
      <c r="I198" s="4">
        <f t="shared" si="21"/>
        <v>0</v>
      </c>
      <c r="J198" t="s">
        <v>440</v>
      </c>
      <c r="N198" s="23" t="str">
        <f t="shared" si="22"/>
        <v>-</v>
      </c>
      <c r="O198" s="23" t="str">
        <f t="shared" si="23"/>
        <v>-</v>
      </c>
      <c r="P198" s="24" t="str">
        <f t="shared" si="24"/>
        <v>-</v>
      </c>
      <c r="Q198" s="25" t="str">
        <f t="shared" si="25"/>
        <v>-</v>
      </c>
      <c r="R198" s="6"/>
      <c r="S198" s="25" t="str">
        <f t="shared" si="26"/>
        <v>-</v>
      </c>
    </row>
    <row r="199" spans="1:19">
      <c r="A199" s="2" t="e">
        <f t="shared" si="27"/>
        <v>#REF!</v>
      </c>
      <c r="B199" s="3" t="s">
        <v>387</v>
      </c>
      <c r="C199" s="13">
        <v>872331000185</v>
      </c>
      <c r="D199" s="3" t="s">
        <v>388</v>
      </c>
      <c r="E199" s="16">
        <v>60</v>
      </c>
      <c r="F199" s="27">
        <v>5.0491913696601408E-2</v>
      </c>
      <c r="G199" s="4">
        <v>19.350975000000002</v>
      </c>
      <c r="H199" s="16"/>
      <c r="I199" s="4">
        <f t="shared" si="21"/>
        <v>0</v>
      </c>
      <c r="J199" t="s">
        <v>440</v>
      </c>
      <c r="N199" s="23" t="str">
        <f t="shared" si="22"/>
        <v>-</v>
      </c>
      <c r="O199" s="23" t="str">
        <f t="shared" si="23"/>
        <v>-</v>
      </c>
      <c r="P199" s="24" t="str">
        <f t="shared" si="24"/>
        <v>-</v>
      </c>
      <c r="Q199" s="25" t="str">
        <f t="shared" si="25"/>
        <v>-</v>
      </c>
      <c r="R199" s="6"/>
      <c r="S199" s="25" t="str">
        <f t="shared" si="26"/>
        <v>-</v>
      </c>
    </row>
    <row r="200" spans="1:19">
      <c r="A200" s="2" t="e">
        <f t="shared" si="27"/>
        <v>#REF!</v>
      </c>
      <c r="B200" s="3" t="s">
        <v>389</v>
      </c>
      <c r="C200" s="13">
        <v>693749006756</v>
      </c>
      <c r="D200" s="3" t="s">
        <v>390</v>
      </c>
      <c r="E200" s="16">
        <v>1</v>
      </c>
      <c r="F200" s="27">
        <v>0.11108221013252308</v>
      </c>
      <c r="G200" s="4">
        <v>398.13374999999996</v>
      </c>
      <c r="H200" s="16"/>
      <c r="I200" s="4">
        <f t="shared" si="21"/>
        <v>0</v>
      </c>
      <c r="J200" t="s">
        <v>440</v>
      </c>
      <c r="N200" s="23" t="str">
        <f t="shared" si="22"/>
        <v>-</v>
      </c>
      <c r="O200" s="23" t="str">
        <f t="shared" si="23"/>
        <v>-</v>
      </c>
      <c r="P200" s="24" t="str">
        <f t="shared" si="24"/>
        <v>-</v>
      </c>
      <c r="Q200" s="25" t="str">
        <f t="shared" si="25"/>
        <v>-</v>
      </c>
      <c r="R200" s="6"/>
      <c r="S200" s="25" t="str">
        <f t="shared" si="26"/>
        <v>-</v>
      </c>
    </row>
    <row r="201" spans="1:19">
      <c r="A201" s="2" t="e">
        <f t="shared" si="27"/>
        <v>#REF!</v>
      </c>
      <c r="B201" s="3" t="s">
        <v>391</v>
      </c>
      <c r="C201" s="13">
        <v>872331001069</v>
      </c>
      <c r="D201" s="3" t="s">
        <v>210</v>
      </c>
      <c r="E201" s="16">
        <v>60</v>
      </c>
      <c r="F201" s="27">
        <v>9.0885444653882527E-2</v>
      </c>
      <c r="G201" s="4">
        <v>19.7925</v>
      </c>
      <c r="H201" s="16"/>
      <c r="I201" s="4">
        <f t="shared" si="21"/>
        <v>0</v>
      </c>
      <c r="J201" t="s">
        <v>440</v>
      </c>
      <c r="N201" s="23" t="str">
        <f t="shared" si="22"/>
        <v>-</v>
      </c>
      <c r="O201" s="23" t="str">
        <f t="shared" si="23"/>
        <v>-</v>
      </c>
      <c r="P201" s="24" t="str">
        <f t="shared" si="24"/>
        <v>-</v>
      </c>
      <c r="Q201" s="25" t="str">
        <f t="shared" si="25"/>
        <v>-</v>
      </c>
      <c r="R201" s="6"/>
      <c r="S201" s="25" t="str">
        <f t="shared" si="26"/>
        <v>-</v>
      </c>
    </row>
    <row r="202" spans="1:19">
      <c r="A202" s="2" t="e">
        <f t="shared" si="27"/>
        <v>#REF!</v>
      </c>
      <c r="B202" s="3" t="s">
        <v>392</v>
      </c>
      <c r="C202" s="13">
        <v>693749015741</v>
      </c>
      <c r="D202" s="3" t="s">
        <v>393</v>
      </c>
      <c r="E202" s="16">
        <v>180</v>
      </c>
      <c r="F202" s="27">
        <v>7.0688679175241964E-2</v>
      </c>
      <c r="G202" s="4">
        <v>25.12125</v>
      </c>
      <c r="H202" s="16"/>
      <c r="I202" s="4">
        <f t="shared" si="21"/>
        <v>0</v>
      </c>
      <c r="J202" t="s">
        <v>440</v>
      </c>
      <c r="N202" s="23" t="str">
        <f t="shared" si="22"/>
        <v>-</v>
      </c>
      <c r="O202" s="23" t="str">
        <f t="shared" si="23"/>
        <v>-</v>
      </c>
      <c r="P202" s="24" t="str">
        <f t="shared" si="24"/>
        <v>-</v>
      </c>
      <c r="Q202" s="25" t="str">
        <f t="shared" si="25"/>
        <v>-</v>
      </c>
      <c r="R202" s="6"/>
      <c r="S202" s="25" t="str">
        <f t="shared" si="26"/>
        <v>-</v>
      </c>
    </row>
    <row r="203" spans="1:19">
      <c r="A203" s="2" t="e">
        <f t="shared" si="27"/>
        <v>#REF!</v>
      </c>
      <c r="B203" s="3" t="s">
        <v>394</v>
      </c>
      <c r="C203" s="13">
        <v>872331000369</v>
      </c>
      <c r="D203" s="3" t="s">
        <v>42</v>
      </c>
      <c r="E203" s="16">
        <v>60</v>
      </c>
      <c r="F203" s="27">
        <v>9.0885444653882527E-2</v>
      </c>
      <c r="G203" s="4">
        <v>35.778750000000002</v>
      </c>
      <c r="H203" s="16"/>
      <c r="I203" s="4">
        <f t="shared" si="21"/>
        <v>0</v>
      </c>
      <c r="J203" t="s">
        <v>440</v>
      </c>
      <c r="N203" s="23" t="str">
        <f t="shared" si="22"/>
        <v>-</v>
      </c>
      <c r="O203" s="23" t="str">
        <f t="shared" si="23"/>
        <v>-</v>
      </c>
      <c r="P203" s="24" t="str">
        <f t="shared" si="24"/>
        <v>-</v>
      </c>
      <c r="Q203" s="25" t="str">
        <f t="shared" si="25"/>
        <v>-</v>
      </c>
      <c r="R203" s="6"/>
      <c r="S203" s="25" t="str">
        <f t="shared" si="26"/>
        <v>-</v>
      </c>
    </row>
    <row r="204" spans="1:19">
      <c r="A204" s="2" t="e">
        <f>+#REF!+1</f>
        <v>#REF!</v>
      </c>
      <c r="B204" s="3" t="s">
        <v>395</v>
      </c>
      <c r="C204" s="13">
        <v>872331007740</v>
      </c>
      <c r="D204" s="3" t="s">
        <v>144</v>
      </c>
      <c r="E204" s="16">
        <v>240</v>
      </c>
      <c r="F204" s="27">
        <v>0.35344339587620976</v>
      </c>
      <c r="G204" s="4">
        <v>50.562224999999998</v>
      </c>
      <c r="H204" s="16"/>
      <c r="I204" s="4">
        <f t="shared" si="21"/>
        <v>0</v>
      </c>
      <c r="J204" t="s">
        <v>440</v>
      </c>
      <c r="N204" s="23" t="str">
        <f t="shared" si="22"/>
        <v>-</v>
      </c>
      <c r="O204" s="23" t="str">
        <f t="shared" si="23"/>
        <v>-</v>
      </c>
      <c r="P204" s="24" t="str">
        <f t="shared" si="24"/>
        <v>-</v>
      </c>
      <c r="Q204" s="25" t="str">
        <f t="shared" si="25"/>
        <v>-</v>
      </c>
      <c r="R204" s="6"/>
      <c r="S204" s="25" t="str">
        <f t="shared" si="26"/>
        <v>-</v>
      </c>
    </row>
    <row r="205" spans="1:19">
      <c r="A205" s="2" t="e">
        <f>+#REF!+1</f>
        <v>#REF!</v>
      </c>
      <c r="B205" s="3" t="s">
        <v>396</v>
      </c>
      <c r="C205" s="13">
        <v>693749006749</v>
      </c>
      <c r="D205" s="3" t="s">
        <v>397</v>
      </c>
      <c r="E205" s="16">
        <v>1</v>
      </c>
      <c r="F205" s="27">
        <v>0.11108221013252308</v>
      </c>
      <c r="G205" s="4">
        <v>189.55124999999998</v>
      </c>
      <c r="H205" s="16"/>
      <c r="I205" s="4">
        <f t="shared" si="21"/>
        <v>0</v>
      </c>
      <c r="J205" t="s">
        <v>440</v>
      </c>
      <c r="N205" s="23" t="str">
        <f t="shared" si="22"/>
        <v>-</v>
      </c>
      <c r="O205" s="23" t="str">
        <f t="shared" si="23"/>
        <v>-</v>
      </c>
      <c r="P205" s="24" t="str">
        <f t="shared" si="24"/>
        <v>-</v>
      </c>
      <c r="Q205" s="25" t="str">
        <f t="shared" si="25"/>
        <v>-</v>
      </c>
      <c r="R205" s="6"/>
      <c r="S205" s="25" t="str">
        <f t="shared" si="26"/>
        <v>-</v>
      </c>
    </row>
    <row r="206" spans="1:19">
      <c r="A206" s="2" t="e">
        <f t="shared" si="27"/>
        <v>#REF!</v>
      </c>
      <c r="B206" s="3" t="s">
        <v>398</v>
      </c>
      <c r="C206" s="13">
        <v>872331000116</v>
      </c>
      <c r="D206" s="3" t="s">
        <v>154</v>
      </c>
      <c r="E206" s="16">
        <v>60</v>
      </c>
      <c r="F206" s="27">
        <v>3.5344339587620982E-2</v>
      </c>
      <c r="G206" s="4">
        <v>10.657500000000001</v>
      </c>
      <c r="H206" s="16"/>
      <c r="I206" s="4">
        <f t="shared" si="21"/>
        <v>0</v>
      </c>
      <c r="J206" t="s">
        <v>440</v>
      </c>
      <c r="N206" s="23" t="str">
        <f t="shared" si="22"/>
        <v>-</v>
      </c>
      <c r="O206" s="23" t="str">
        <f t="shared" si="23"/>
        <v>-</v>
      </c>
      <c r="P206" s="24" t="str">
        <f t="shared" si="24"/>
        <v>-</v>
      </c>
      <c r="Q206" s="25" t="str">
        <f t="shared" si="25"/>
        <v>-</v>
      </c>
      <c r="R206" s="6"/>
      <c r="S206" s="25" t="str">
        <f t="shared" si="26"/>
        <v>-</v>
      </c>
    </row>
    <row r="207" spans="1:19">
      <c r="A207" s="2" t="e">
        <f>+#REF!+1</f>
        <v>#REF!</v>
      </c>
      <c r="B207" s="3" t="s">
        <v>399</v>
      </c>
      <c r="C207" s="13">
        <v>872331008327</v>
      </c>
      <c r="D207" s="3" t="s">
        <v>400</v>
      </c>
      <c r="E207" s="16">
        <v>90</v>
      </c>
      <c r="F207" s="27">
        <v>0.14642654972014407</v>
      </c>
      <c r="G207" s="4">
        <v>38.260424999999998</v>
      </c>
      <c r="H207" s="16"/>
      <c r="I207" s="4">
        <f t="shared" si="21"/>
        <v>0</v>
      </c>
      <c r="J207" t="s">
        <v>440</v>
      </c>
      <c r="N207" s="23" t="str">
        <f t="shared" si="22"/>
        <v>-</v>
      </c>
      <c r="O207" s="23" t="str">
        <f t="shared" si="23"/>
        <v>-</v>
      </c>
      <c r="P207" s="24" t="str">
        <f t="shared" si="24"/>
        <v>-</v>
      </c>
      <c r="Q207" s="25" t="str">
        <f t="shared" si="25"/>
        <v>-</v>
      </c>
      <c r="R207" s="6"/>
      <c r="S207" s="25" t="str">
        <f t="shared" si="26"/>
        <v>-</v>
      </c>
    </row>
    <row r="208" spans="1:19">
      <c r="A208" s="2" t="e">
        <f>+#REF!+1</f>
        <v>#REF!</v>
      </c>
      <c r="B208" s="3" t="s">
        <v>401</v>
      </c>
      <c r="C208" s="13">
        <v>872331000338</v>
      </c>
      <c r="D208" s="3" t="s">
        <v>402</v>
      </c>
      <c r="E208" s="16">
        <v>60</v>
      </c>
      <c r="F208" s="27">
        <v>5.0491913696601408E-2</v>
      </c>
      <c r="G208" s="4">
        <v>9.1350000000000016</v>
      </c>
      <c r="H208" s="16"/>
      <c r="I208" s="4">
        <f t="shared" si="21"/>
        <v>0</v>
      </c>
      <c r="J208" t="s">
        <v>440</v>
      </c>
      <c r="N208" s="23" t="str">
        <f t="shared" si="22"/>
        <v>-</v>
      </c>
      <c r="O208" s="23" t="str">
        <f t="shared" si="23"/>
        <v>-</v>
      </c>
      <c r="P208" s="24" t="str">
        <f t="shared" si="24"/>
        <v>-</v>
      </c>
      <c r="Q208" s="25" t="str">
        <f t="shared" si="25"/>
        <v>-</v>
      </c>
      <c r="R208" s="6"/>
      <c r="S208" s="25" t="str">
        <f t="shared" si="26"/>
        <v>-</v>
      </c>
    </row>
    <row r="209" spans="1:19">
      <c r="A209" s="2" t="e">
        <f>+#REF!+1</f>
        <v>#REF!</v>
      </c>
      <c r="B209" s="3" t="s">
        <v>403</v>
      </c>
      <c r="C209" s="13">
        <v>872331000703</v>
      </c>
      <c r="D209" s="3" t="s">
        <v>404</v>
      </c>
      <c r="E209" s="16">
        <v>120</v>
      </c>
      <c r="F209" s="27">
        <v>0.15147574108980419</v>
      </c>
      <c r="G209" s="4">
        <v>50.440425000000005</v>
      </c>
      <c r="H209" s="16"/>
      <c r="I209" s="4">
        <f t="shared" si="21"/>
        <v>0</v>
      </c>
      <c r="J209" t="s">
        <v>440</v>
      </c>
      <c r="N209" s="23" t="str">
        <f t="shared" si="22"/>
        <v>-</v>
      </c>
      <c r="O209" s="23" t="str">
        <f t="shared" si="23"/>
        <v>-</v>
      </c>
      <c r="P209" s="24" t="str">
        <f t="shared" si="24"/>
        <v>-</v>
      </c>
      <c r="Q209" s="25" t="str">
        <f t="shared" si="25"/>
        <v>-</v>
      </c>
      <c r="R209" s="6"/>
      <c r="S209" s="25" t="str">
        <f t="shared" si="26"/>
        <v>-</v>
      </c>
    </row>
    <row r="210" spans="1:19">
      <c r="A210" s="2" t="e">
        <f t="shared" si="27"/>
        <v>#REF!</v>
      </c>
      <c r="B210" s="3" t="s">
        <v>405</v>
      </c>
      <c r="C210" s="13">
        <v>872331001281</v>
      </c>
      <c r="D210" s="3" t="s">
        <v>148</v>
      </c>
      <c r="E210" s="16">
        <v>90</v>
      </c>
      <c r="F210" s="27">
        <v>4.0393530957281126E-2</v>
      </c>
      <c r="G210" s="4">
        <v>12.94125</v>
      </c>
      <c r="H210" s="16"/>
      <c r="I210" s="4">
        <f t="shared" si="21"/>
        <v>0</v>
      </c>
      <c r="J210" t="s">
        <v>440</v>
      </c>
      <c r="N210" s="23" t="str">
        <f t="shared" si="22"/>
        <v>-</v>
      </c>
      <c r="O210" s="23" t="str">
        <f t="shared" si="23"/>
        <v>-</v>
      </c>
      <c r="P210" s="24" t="str">
        <f t="shared" si="24"/>
        <v>-</v>
      </c>
      <c r="Q210" s="25" t="str">
        <f t="shared" si="25"/>
        <v>-</v>
      </c>
      <c r="R210" s="6"/>
      <c r="S210" s="25" t="str">
        <f t="shared" si="26"/>
        <v>-</v>
      </c>
    </row>
    <row r="211" spans="1:19">
      <c r="A211" s="2" t="e">
        <f t="shared" si="27"/>
        <v>#REF!</v>
      </c>
      <c r="B211" s="3" t="s">
        <v>406</v>
      </c>
      <c r="C211" s="13">
        <v>872331001335</v>
      </c>
      <c r="D211" s="3" t="s">
        <v>98</v>
      </c>
      <c r="E211" s="16">
        <v>60</v>
      </c>
      <c r="F211" s="27">
        <v>8.0787061914562253E-2</v>
      </c>
      <c r="G211" s="4">
        <v>35.017500000000005</v>
      </c>
      <c r="H211" s="16"/>
      <c r="I211" s="4">
        <f t="shared" si="21"/>
        <v>0</v>
      </c>
      <c r="J211" t="s">
        <v>440</v>
      </c>
      <c r="N211" s="23" t="str">
        <f t="shared" si="22"/>
        <v>-</v>
      </c>
      <c r="O211" s="23" t="str">
        <f t="shared" si="23"/>
        <v>-</v>
      </c>
      <c r="P211" s="24" t="str">
        <f t="shared" si="24"/>
        <v>-</v>
      </c>
      <c r="Q211" s="25" t="str">
        <f t="shared" si="25"/>
        <v>-</v>
      </c>
      <c r="R211" s="6"/>
      <c r="S211" s="25" t="str">
        <f t="shared" si="26"/>
        <v>-</v>
      </c>
    </row>
    <row r="212" spans="1:19">
      <c r="A212" s="2" t="e">
        <f t="shared" si="27"/>
        <v>#REF!</v>
      </c>
      <c r="B212" s="3" t="s">
        <v>407</v>
      </c>
      <c r="C212" s="13">
        <v>872331000178</v>
      </c>
      <c r="D212" s="3" t="s">
        <v>38</v>
      </c>
      <c r="E212" s="16">
        <v>90</v>
      </c>
      <c r="F212" s="27">
        <v>0.13127897561116364</v>
      </c>
      <c r="G212" s="4">
        <v>26.856900000000003</v>
      </c>
      <c r="H212" s="16"/>
      <c r="I212" s="4">
        <f t="shared" si="21"/>
        <v>0</v>
      </c>
      <c r="J212" t="s">
        <v>440</v>
      </c>
      <c r="N212" s="23" t="str">
        <f t="shared" si="22"/>
        <v>-</v>
      </c>
      <c r="O212" s="23" t="str">
        <f t="shared" si="23"/>
        <v>-</v>
      </c>
      <c r="P212" s="24" t="str">
        <f t="shared" si="24"/>
        <v>-</v>
      </c>
      <c r="Q212" s="25" t="str">
        <f t="shared" si="25"/>
        <v>-</v>
      </c>
      <c r="R212" s="6"/>
      <c r="S212" s="25" t="str">
        <f t="shared" si="26"/>
        <v>-</v>
      </c>
    </row>
    <row r="213" spans="1:19">
      <c r="A213" s="2" t="e">
        <f t="shared" si="27"/>
        <v>#REF!</v>
      </c>
      <c r="B213" s="3" t="s">
        <v>408</v>
      </c>
      <c r="C213" s="13">
        <v>872331008280</v>
      </c>
      <c r="D213" s="3" t="s">
        <v>409</v>
      </c>
      <c r="E213" s="16">
        <v>180</v>
      </c>
      <c r="F213" s="27">
        <v>0.19691846341674546</v>
      </c>
      <c r="G213" s="4">
        <v>31.211250000000003</v>
      </c>
      <c r="H213" s="16"/>
      <c r="I213" s="4">
        <f t="shared" si="21"/>
        <v>0</v>
      </c>
      <c r="J213" t="s">
        <v>440</v>
      </c>
      <c r="N213" s="23" t="str">
        <f t="shared" si="22"/>
        <v>-</v>
      </c>
      <c r="O213" s="23" t="str">
        <f t="shared" si="23"/>
        <v>-</v>
      </c>
      <c r="P213" s="24" t="str">
        <f t="shared" si="24"/>
        <v>-</v>
      </c>
      <c r="Q213" s="25" t="str">
        <f t="shared" si="25"/>
        <v>-</v>
      </c>
      <c r="R213" s="6"/>
      <c r="S213" s="25" t="str">
        <f t="shared" si="26"/>
        <v>-</v>
      </c>
    </row>
    <row r="214" spans="1:19">
      <c r="A214" s="2" t="e">
        <f t="shared" si="27"/>
        <v>#REF!</v>
      </c>
      <c r="B214" s="3" t="s">
        <v>410</v>
      </c>
      <c r="C214" s="13">
        <v>872331006248</v>
      </c>
      <c r="D214" s="3" t="s">
        <v>411</v>
      </c>
      <c r="E214" s="16">
        <v>60</v>
      </c>
      <c r="F214" s="27">
        <v>0.17672169793810488</v>
      </c>
      <c r="G214" s="4">
        <v>47.014800000000001</v>
      </c>
      <c r="H214" s="16"/>
      <c r="I214" s="4">
        <f t="shared" si="21"/>
        <v>0</v>
      </c>
      <c r="J214" t="s">
        <v>440</v>
      </c>
      <c r="N214" s="23" t="str">
        <f t="shared" si="22"/>
        <v>-</v>
      </c>
      <c r="O214" s="23" t="str">
        <f t="shared" si="23"/>
        <v>-</v>
      </c>
      <c r="P214" s="24" t="str">
        <f t="shared" si="24"/>
        <v>-</v>
      </c>
      <c r="Q214" s="25" t="str">
        <f t="shared" si="25"/>
        <v>-</v>
      </c>
      <c r="R214" s="6"/>
      <c r="S214" s="25" t="str">
        <f t="shared" si="26"/>
        <v>-</v>
      </c>
    </row>
    <row r="215" spans="1:19">
      <c r="A215" s="2" t="e">
        <f t="shared" si="27"/>
        <v>#REF!</v>
      </c>
      <c r="B215" s="3" t="s">
        <v>412</v>
      </c>
      <c r="C215" s="13">
        <v>872331001557</v>
      </c>
      <c r="D215" s="3" t="s">
        <v>413</v>
      </c>
      <c r="E215" s="16" t="s">
        <v>488</v>
      </c>
      <c r="F215" s="27">
        <v>0.39383692683349092</v>
      </c>
      <c r="G215" s="4">
        <v>22.076250000000002</v>
      </c>
      <c r="H215" s="16"/>
      <c r="I215" s="4">
        <f t="shared" si="21"/>
        <v>0</v>
      </c>
      <c r="J215" t="s">
        <v>440</v>
      </c>
      <c r="N215" s="23" t="str">
        <f t="shared" si="22"/>
        <v>-</v>
      </c>
      <c r="O215" s="23" t="str">
        <f t="shared" si="23"/>
        <v>-</v>
      </c>
      <c r="P215" s="24" t="str">
        <f t="shared" si="24"/>
        <v>-</v>
      </c>
      <c r="Q215" s="25" t="str">
        <f t="shared" si="25"/>
        <v>-</v>
      </c>
      <c r="R215" s="6"/>
      <c r="S215" s="25" t="str">
        <f t="shared" si="26"/>
        <v>-</v>
      </c>
    </row>
    <row r="216" spans="1:19">
      <c r="A216" s="2" t="e">
        <f t="shared" si="27"/>
        <v>#REF!</v>
      </c>
      <c r="B216" s="3" t="s">
        <v>414</v>
      </c>
      <c r="C216" s="13">
        <v>693749006862</v>
      </c>
      <c r="D216" s="3" t="s">
        <v>289</v>
      </c>
      <c r="E216" s="16">
        <v>1</v>
      </c>
      <c r="F216" s="27">
        <v>0.11108221013252308</v>
      </c>
      <c r="G216" s="4">
        <v>120.2775</v>
      </c>
      <c r="H216" s="16"/>
      <c r="I216" s="4">
        <f t="shared" si="21"/>
        <v>0</v>
      </c>
      <c r="J216" t="s">
        <v>440</v>
      </c>
      <c r="N216" s="23" t="str">
        <f t="shared" si="22"/>
        <v>-</v>
      </c>
      <c r="O216" s="23" t="str">
        <f t="shared" si="23"/>
        <v>-</v>
      </c>
      <c r="P216" s="24" t="str">
        <f t="shared" si="24"/>
        <v>-</v>
      </c>
      <c r="Q216" s="25" t="str">
        <f t="shared" si="25"/>
        <v>-</v>
      </c>
      <c r="R216" s="6"/>
      <c r="S216" s="25" t="str">
        <f t="shared" si="26"/>
        <v>-</v>
      </c>
    </row>
    <row r="217" spans="1:19">
      <c r="A217" s="2" t="e">
        <f>+#REF!+1</f>
        <v>#REF!</v>
      </c>
      <c r="B217" s="3" t="s">
        <v>415</v>
      </c>
      <c r="C217" s="13">
        <v>872331008310</v>
      </c>
      <c r="D217" s="3" t="s">
        <v>416</v>
      </c>
      <c r="E217" s="16">
        <v>240</v>
      </c>
      <c r="F217" s="27">
        <v>0.42413207505145178</v>
      </c>
      <c r="G217" s="4">
        <v>32.733750000000001</v>
      </c>
      <c r="H217" s="16"/>
      <c r="I217" s="4">
        <f t="shared" si="21"/>
        <v>0</v>
      </c>
      <c r="J217" t="s">
        <v>440</v>
      </c>
      <c r="N217" s="23" t="str">
        <f t="shared" si="22"/>
        <v>-</v>
      </c>
      <c r="O217" s="23" t="str">
        <f t="shared" si="23"/>
        <v>-</v>
      </c>
      <c r="P217" s="24" t="str">
        <f t="shared" si="24"/>
        <v>-</v>
      </c>
      <c r="Q217" s="25" t="str">
        <f t="shared" si="25"/>
        <v>-</v>
      </c>
      <c r="R217" s="6"/>
      <c r="S217" s="25" t="str">
        <f t="shared" si="26"/>
        <v>-</v>
      </c>
    </row>
    <row r="218" spans="1:19">
      <c r="A218" s="2" t="e">
        <f>+#REF!+1</f>
        <v>#REF!</v>
      </c>
      <c r="B218" s="3" t="s">
        <v>417</v>
      </c>
      <c r="C218" s="13">
        <v>872331001205</v>
      </c>
      <c r="D218" s="3" t="s">
        <v>30</v>
      </c>
      <c r="E218" s="16">
        <v>90</v>
      </c>
      <c r="F218" s="27">
        <v>0.15147574108980419</v>
      </c>
      <c r="G218" s="4">
        <v>49.679175000000008</v>
      </c>
      <c r="H218" s="16"/>
      <c r="I218" s="4">
        <f t="shared" si="21"/>
        <v>0</v>
      </c>
      <c r="J218" t="s">
        <v>440</v>
      </c>
      <c r="N218" s="23" t="str">
        <f t="shared" si="22"/>
        <v>-</v>
      </c>
      <c r="O218" s="23" t="str">
        <f t="shared" si="23"/>
        <v>-</v>
      </c>
      <c r="P218" s="24" t="str">
        <f t="shared" si="24"/>
        <v>-</v>
      </c>
      <c r="Q218" s="25" t="str">
        <f t="shared" si="25"/>
        <v>-</v>
      </c>
      <c r="R218" s="6"/>
      <c r="S218" s="25" t="str">
        <f t="shared" si="26"/>
        <v>-</v>
      </c>
    </row>
    <row r="219" spans="1:19">
      <c r="A219" s="2" t="e">
        <f>+#REF!+1</f>
        <v>#REF!</v>
      </c>
      <c r="B219" s="3" t="s">
        <v>418</v>
      </c>
      <c r="C219" s="13">
        <v>872331001687</v>
      </c>
      <c r="D219" s="3" t="s">
        <v>419</v>
      </c>
      <c r="E219" s="16" t="s">
        <v>451</v>
      </c>
      <c r="F219" s="27">
        <v>8.5836253284222383E-2</v>
      </c>
      <c r="G219" s="4">
        <v>15.225</v>
      </c>
      <c r="H219" s="16"/>
      <c r="I219" s="4">
        <f t="shared" si="21"/>
        <v>0</v>
      </c>
      <c r="J219" t="s">
        <v>440</v>
      </c>
      <c r="N219" s="23" t="str">
        <f t="shared" si="22"/>
        <v>-</v>
      </c>
      <c r="O219" s="23" t="str">
        <f t="shared" si="23"/>
        <v>-</v>
      </c>
      <c r="P219" s="24" t="str">
        <f t="shared" si="24"/>
        <v>-</v>
      </c>
      <c r="Q219" s="25" t="str">
        <f t="shared" si="25"/>
        <v>-</v>
      </c>
      <c r="R219" s="6"/>
      <c r="S219" s="25" t="str">
        <f t="shared" si="26"/>
        <v>-</v>
      </c>
    </row>
    <row r="220" spans="1:19">
      <c r="A220" s="2" t="e">
        <f t="shared" si="27"/>
        <v>#REF!</v>
      </c>
      <c r="B220" s="3" t="s">
        <v>420</v>
      </c>
      <c r="C220" s="13">
        <v>872331001373</v>
      </c>
      <c r="D220" s="3" t="s">
        <v>90</v>
      </c>
      <c r="E220" s="16">
        <v>60</v>
      </c>
      <c r="F220" s="27">
        <v>5.5541105066261538E-2</v>
      </c>
      <c r="G220" s="4">
        <v>43.619624999999999</v>
      </c>
      <c r="H220" s="16"/>
      <c r="I220" s="4">
        <f t="shared" si="21"/>
        <v>0</v>
      </c>
      <c r="J220" t="s">
        <v>440</v>
      </c>
      <c r="N220" s="23" t="str">
        <f t="shared" si="22"/>
        <v>-</v>
      </c>
      <c r="O220" s="23" t="str">
        <f t="shared" si="23"/>
        <v>-</v>
      </c>
      <c r="P220" s="24" t="str">
        <f t="shared" si="24"/>
        <v>-</v>
      </c>
      <c r="Q220" s="25" t="str">
        <f t="shared" si="25"/>
        <v>-</v>
      </c>
      <c r="R220" s="6"/>
      <c r="S220" s="25" t="str">
        <f t="shared" si="26"/>
        <v>-</v>
      </c>
    </row>
    <row r="221" spans="1:19">
      <c r="A221" s="2" t="e">
        <f t="shared" si="27"/>
        <v>#REF!</v>
      </c>
      <c r="B221" s="3" t="s">
        <v>421</v>
      </c>
      <c r="C221" s="13">
        <v>872331000093</v>
      </c>
      <c r="D221" s="3" t="s">
        <v>281</v>
      </c>
      <c r="E221" s="16">
        <v>60</v>
      </c>
      <c r="F221" s="27">
        <v>2.5245956848300704E-2</v>
      </c>
      <c r="G221" s="4">
        <v>12.18</v>
      </c>
      <c r="H221" s="16"/>
      <c r="I221" s="4">
        <f t="shared" si="21"/>
        <v>0</v>
      </c>
      <c r="J221" t="s">
        <v>440</v>
      </c>
      <c r="N221" s="23" t="str">
        <f t="shared" si="22"/>
        <v>-</v>
      </c>
      <c r="O221" s="23" t="str">
        <f t="shared" si="23"/>
        <v>-</v>
      </c>
      <c r="P221" s="24" t="str">
        <f t="shared" si="24"/>
        <v>-</v>
      </c>
      <c r="Q221" s="25" t="str">
        <f t="shared" si="25"/>
        <v>-</v>
      </c>
      <c r="R221" s="6"/>
      <c r="S221" s="25" t="str">
        <f t="shared" si="26"/>
        <v>-</v>
      </c>
    </row>
    <row r="222" spans="1:19">
      <c r="A222" s="2" t="e">
        <f t="shared" si="27"/>
        <v>#REF!</v>
      </c>
      <c r="B222" s="3" t="s">
        <v>422</v>
      </c>
      <c r="C222" s="13">
        <v>872331005036</v>
      </c>
      <c r="D222" s="3" t="s">
        <v>423</v>
      </c>
      <c r="E222" s="16">
        <v>90</v>
      </c>
      <c r="F222" s="27">
        <v>5.5541105066261538E-2</v>
      </c>
      <c r="G222" s="4">
        <v>30.17595</v>
      </c>
      <c r="H222" s="16"/>
      <c r="I222" s="4">
        <f t="shared" si="21"/>
        <v>0</v>
      </c>
      <c r="J222" t="s">
        <v>440</v>
      </c>
      <c r="N222" s="23" t="str">
        <f t="shared" si="22"/>
        <v>-</v>
      </c>
      <c r="O222" s="23" t="str">
        <f t="shared" si="23"/>
        <v>-</v>
      </c>
      <c r="P222" s="24" t="str">
        <f t="shared" si="24"/>
        <v>-</v>
      </c>
      <c r="Q222" s="25" t="str">
        <f t="shared" si="25"/>
        <v>-</v>
      </c>
      <c r="R222" s="6"/>
      <c r="S222" s="25" t="str">
        <f t="shared" si="26"/>
        <v>-</v>
      </c>
    </row>
    <row r="223" spans="1:19">
      <c r="A223" s="2" t="e">
        <f t="shared" si="27"/>
        <v>#REF!</v>
      </c>
      <c r="B223" s="3" t="s">
        <v>424</v>
      </c>
      <c r="C223" s="13">
        <v>872331008297</v>
      </c>
      <c r="D223" s="3" t="s">
        <v>425</v>
      </c>
      <c r="E223" s="16">
        <v>120</v>
      </c>
      <c r="F223" s="27">
        <v>0.14642654972014407</v>
      </c>
      <c r="G223" s="4">
        <v>30.45</v>
      </c>
      <c r="H223" s="16"/>
      <c r="I223" s="4">
        <f t="shared" si="21"/>
        <v>0</v>
      </c>
      <c r="J223" t="s">
        <v>440</v>
      </c>
      <c r="N223" s="23" t="str">
        <f t="shared" si="22"/>
        <v>-</v>
      </c>
      <c r="O223" s="23" t="str">
        <f t="shared" si="23"/>
        <v>-</v>
      </c>
      <c r="P223" s="24" t="str">
        <f t="shared" si="24"/>
        <v>-</v>
      </c>
      <c r="Q223" s="25" t="str">
        <f t="shared" si="25"/>
        <v>-</v>
      </c>
      <c r="R223" s="6"/>
      <c r="S223" s="25" t="str">
        <f t="shared" si="26"/>
        <v>-</v>
      </c>
    </row>
    <row r="224" spans="1:19">
      <c r="A224" s="2" t="e">
        <f>+#REF!+1</f>
        <v>#REF!</v>
      </c>
      <c r="B224" s="3" t="s">
        <v>426</v>
      </c>
      <c r="C224" s="13">
        <v>872331001243</v>
      </c>
      <c r="D224" s="3" t="s">
        <v>427</v>
      </c>
      <c r="E224" s="16">
        <v>60</v>
      </c>
      <c r="F224" s="27">
        <v>0.14642654972014407</v>
      </c>
      <c r="G224" s="4">
        <v>15.31635</v>
      </c>
      <c r="H224" s="16"/>
      <c r="I224" s="4">
        <f t="shared" si="21"/>
        <v>0</v>
      </c>
      <c r="J224" t="s">
        <v>440</v>
      </c>
      <c r="N224" s="23" t="str">
        <f t="shared" si="22"/>
        <v>-</v>
      </c>
      <c r="O224" s="23" t="str">
        <f t="shared" si="23"/>
        <v>-</v>
      </c>
      <c r="P224" s="24" t="str">
        <f t="shared" si="24"/>
        <v>-</v>
      </c>
      <c r="Q224" s="25" t="str">
        <f t="shared" si="25"/>
        <v>-</v>
      </c>
      <c r="R224" s="6"/>
      <c r="S224" s="25" t="str">
        <f t="shared" si="26"/>
        <v>-</v>
      </c>
    </row>
    <row r="227" spans="4:4" ht="15" thickBot="1"/>
    <row r="228" spans="4:4" ht="15" thickBot="1">
      <c r="D228" s="32" t="e" vm="1">
        <v>#VALUE!</v>
      </c>
    </row>
    <row r="229" spans="4:4">
      <c r="D229" s="33" t="s">
        <v>494</v>
      </c>
    </row>
    <row r="230" spans="4:4">
      <c r="D230" s="34" t="s">
        <v>495</v>
      </c>
    </row>
    <row r="231" spans="4:4" ht="15" thickBot="1">
      <c r="D231" s="35" t="s">
        <v>496</v>
      </c>
    </row>
    <row r="232" spans="4:4">
      <c r="D232" s="36" t="s">
        <v>497</v>
      </c>
    </row>
    <row r="233" spans="4:4" ht="15" thickBot="1">
      <c r="D233" s="37" t="s">
        <v>498</v>
      </c>
    </row>
  </sheetData>
  <sheetProtection algorithmName="SHA-512" hashValue="IhDhKupZeVTbdHiEHupsv+iXZJweW2CW2rZDdPQdxNpnqDqlm6HZkkVcJ9KHNfljpZcNExlI52GxJWByLRGJGw==" saltValue="O3QYhKNJdLzYeBfk1kQpmw==" spinCount="100000" sheet="1" formatCells="0" formatColumns="0" formatRows="0" insertColumns="0" insertRows="0" insertHyperlinks="0" deleteColumns="0" deleteRows="0" sort="0" autoFilter="0" pivotTables="0"/>
  <protectedRanges>
    <protectedRange sqref="H132:H1048576 H1:H131" name="Кількість"/>
  </protectedRanges>
  <autoFilter ref="A2:S224" xr:uid="{3DBAA60E-BAA1-411F-B4E8-4E2FAE6E26B9}"/>
  <mergeCells count="2">
    <mergeCell ref="A1:K1"/>
    <mergeCell ref="O1:O2"/>
  </mergeCells>
  <phoneticPr fontId="1" type="noConversion"/>
  <conditionalFormatting sqref="A3:I224">
    <cfRule type="expression" dxfId="2" priority="3">
      <formula>MOD(ROW(),2)=0</formula>
    </cfRule>
  </conditionalFormatting>
  <conditionalFormatting sqref="J2">
    <cfRule type="expression" dxfId="1" priority="2">
      <formula>MOD(ROW(),2)=0</formula>
    </cfRule>
  </conditionalFormatting>
  <conditionalFormatting sqref="S1">
    <cfRule type="expression" dxfId="0" priority="1">
      <formula>"&gt;0"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eurob</dc:creator>
  <cp:lastModifiedBy>Денис Хомик</cp:lastModifiedBy>
  <dcterms:created xsi:type="dcterms:W3CDTF">2025-12-05T01:32:36Z</dcterms:created>
  <dcterms:modified xsi:type="dcterms:W3CDTF">2026-02-20T10:19:55Z</dcterms:modified>
</cp:coreProperties>
</file>