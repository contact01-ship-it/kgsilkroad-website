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cer\Desktop\Prices\Quicksilver\Продаж\"/>
    </mc:Choice>
  </mc:AlternateContent>
  <xr:revisionPtr revIDLastSave="0" documentId="13_ncr:1_{2ADD500F-1444-4AC7-9E20-F70332438A2B}" xr6:coauthVersionLast="47" xr6:coauthVersionMax="47" xr10:uidLastSave="{00000000-0000-0000-0000-000000000000}"/>
  <bookViews>
    <workbookView xWindow="6024" yWindow="336" windowWidth="18444" windowHeight="11748" xr2:uid="{83CBE7A9-33EC-4FCE-A8FD-9596E96FEF76}"/>
  </bookViews>
  <sheets>
    <sheet name="DSN GROUP (Quicksilver )" sheetId="1" r:id="rId1"/>
  </sheets>
  <definedNames>
    <definedName name="_xlnm._FilterDatabase" localSheetId="0" hidden="1">'DSN GROUP (Quicksilver )'!$A$2:$G$125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107" i="1"/>
  <c r="G108" i="1"/>
  <c r="G109" i="1"/>
  <c r="G110" i="1"/>
  <c r="G111" i="1"/>
  <c r="G112" i="1"/>
  <c r="G113" i="1"/>
  <c r="G114" i="1"/>
  <c r="G115" i="1"/>
  <c r="G116" i="1"/>
  <c r="G117" i="1"/>
  <c r="G3" i="1"/>
  <c r="H2" i="1" l="1"/>
</calcChain>
</file>

<file path=xl/sharedStrings.xml><?xml version="1.0" encoding="utf-8"?>
<sst xmlns="http://schemas.openxmlformats.org/spreadsheetml/2006/main" count="372" uniqueCount="277">
  <si>
    <t>Product Name</t>
  </si>
  <si>
    <t>SKU</t>
  </si>
  <si>
    <t>Product Size</t>
  </si>
  <si>
    <t>30 Day Reset Program</t>
  </si>
  <si>
    <t>QB-3073</t>
  </si>
  <si>
    <t xml:space="preserve">Protocol </t>
  </si>
  <si>
    <t>Advanced Push Catch® Liver Detox System</t>
  </si>
  <si>
    <t>QB-3094</t>
  </si>
  <si>
    <t>Protocol</t>
  </si>
  <si>
    <t>AmalgaClear®</t>
  </si>
  <si>
    <t>Q-1061</t>
  </si>
  <si>
    <t>73 g</t>
  </si>
  <si>
    <t>AMPK Charge+™</t>
  </si>
  <si>
    <t>Q-1152</t>
  </si>
  <si>
    <t>100 mL</t>
  </si>
  <si>
    <t>Q-1158</t>
  </si>
  <si>
    <t>300 mL</t>
  </si>
  <si>
    <t xml:space="preserve">Artemisinin </t>
  </si>
  <si>
    <t>Q-1006</t>
  </si>
  <si>
    <t>120 mL</t>
  </si>
  <si>
    <t>Bio-Age Activate</t>
  </si>
  <si>
    <t>QB-3084</t>
  </si>
  <si>
    <t>Bio-Age Elevate</t>
  </si>
  <si>
    <t>QB-3085</t>
  </si>
  <si>
    <t>Bio-Age Reset</t>
  </si>
  <si>
    <t>QB-3083</t>
  </si>
  <si>
    <t>Bio-Age Reversal</t>
  </si>
  <si>
    <t>QB-3087</t>
  </si>
  <si>
    <t>Biocidin® LSF</t>
  </si>
  <si>
    <t>Q-1013</t>
  </si>
  <si>
    <t>50 mL</t>
  </si>
  <si>
    <t xml:space="preserve">Bitters No. 9 </t>
  </si>
  <si>
    <t>Q-1014</t>
  </si>
  <si>
    <t>Bitter X</t>
  </si>
  <si>
    <t>Q-1042</t>
  </si>
  <si>
    <t>Black Box® II</t>
  </si>
  <si>
    <t>S-2027</t>
  </si>
  <si>
    <t>Broad Spectrum THC Free CBD</t>
  </si>
  <si>
    <t>Q-1206</t>
  </si>
  <si>
    <t xml:space="preserve">Cardio Elite </t>
  </si>
  <si>
    <t>Q-1214</t>
  </si>
  <si>
    <t>Cardio Elite - 300mL</t>
  </si>
  <si>
    <t>Q-1231</t>
  </si>
  <si>
    <t>Cat's Claw Elite®</t>
  </si>
  <si>
    <t>Q-1087</t>
  </si>
  <si>
    <t>Cats Claw V Max</t>
  </si>
  <si>
    <t>Q-1233</t>
  </si>
  <si>
    <t>CBD Synergies-AX+</t>
  </si>
  <si>
    <t>Q-1204</t>
  </si>
  <si>
    <t>CBD Synergies-PN</t>
  </si>
  <si>
    <t>Q-1124</t>
  </si>
  <si>
    <t>60 softgels</t>
  </si>
  <si>
    <t>CBD Synergies-SP+</t>
  </si>
  <si>
    <t>Q-1207</t>
  </si>
  <si>
    <t>Clear Way Cofactors®</t>
  </si>
  <si>
    <t>Q-1002</t>
  </si>
  <si>
    <t>75 capsules</t>
  </si>
  <si>
    <t>Q-1034</t>
  </si>
  <si>
    <t>120 capsules</t>
  </si>
  <si>
    <t>Copper GHK</t>
  </si>
  <si>
    <t>Q-1242</t>
  </si>
  <si>
    <t>30mL</t>
  </si>
  <si>
    <t xml:space="preserve">CoQ10 </t>
  </si>
  <si>
    <t>Q-1026</t>
  </si>
  <si>
    <t>Core Hormone Support</t>
  </si>
  <si>
    <t>Q-1220</t>
  </si>
  <si>
    <t>Crypto Co-Max</t>
  </si>
  <si>
    <t>Q-1229</t>
  </si>
  <si>
    <t>Cryptolepis</t>
  </si>
  <si>
    <t>Q-1230</t>
  </si>
  <si>
    <t>D3K2</t>
  </si>
  <si>
    <t>Q-1023</t>
  </si>
  <si>
    <t>DHEA+</t>
  </si>
  <si>
    <t>Q-1163</t>
  </si>
  <si>
    <t>100mL</t>
  </si>
  <si>
    <t>Q-1172</t>
  </si>
  <si>
    <t>300mL</t>
  </si>
  <si>
    <t>DIM</t>
  </si>
  <si>
    <t>Q-1028</t>
  </si>
  <si>
    <t>Dr. Jill's Miracle Mold Detox Box</t>
  </si>
  <si>
    <t>PL-JILL-2001</t>
  </si>
  <si>
    <t>Dr. Shade's Catalyzed Mineral Complex Capsules</t>
  </si>
  <si>
    <t>Q-1239</t>
  </si>
  <si>
    <t>120 Ct. Capsules</t>
  </si>
  <si>
    <t>EDTA</t>
  </si>
  <si>
    <t>Q-1004</t>
  </si>
  <si>
    <t xml:space="preserve">Ergo-Thione+  </t>
  </si>
  <si>
    <t>Q-1241</t>
  </si>
  <si>
    <t>Facial Beauty Serum</t>
  </si>
  <si>
    <t>Q-1219</t>
  </si>
  <si>
    <t>30 mL</t>
  </si>
  <si>
    <t>Focus + Clarity Shots</t>
  </si>
  <si>
    <t>Q-1235</t>
  </si>
  <si>
    <t>12, 10mL Shots</t>
  </si>
  <si>
    <t>Full Spectrum Bliss</t>
  </si>
  <si>
    <t>Q-1205</t>
  </si>
  <si>
    <t>G.I. Detox Box</t>
  </si>
  <si>
    <t>S-2028</t>
  </si>
  <si>
    <t>GABA</t>
  </si>
  <si>
    <t>Q-1007</t>
  </si>
  <si>
    <t>Glutathione + Cacao Mint</t>
  </si>
  <si>
    <t>Q-1234</t>
  </si>
  <si>
    <t>Glutathione + Lemon Mint</t>
  </si>
  <si>
    <t>Q-1005</t>
  </si>
  <si>
    <t>Glutathione Complex</t>
  </si>
  <si>
    <t>Q-1060</t>
  </si>
  <si>
    <t>H2 Elite®</t>
  </si>
  <si>
    <t>Q-1045</t>
  </si>
  <si>
    <t>60 tablets</t>
  </si>
  <si>
    <t>Q-1122</t>
  </si>
  <si>
    <t>30 tablets</t>
  </si>
  <si>
    <t>Hista-Aid®</t>
  </si>
  <si>
    <t>Q-1088</t>
  </si>
  <si>
    <t xml:space="preserve">IMD® </t>
  </si>
  <si>
    <t>Q-1001</t>
  </si>
  <si>
    <t>6 g</t>
  </si>
  <si>
    <t>Q-1035</t>
  </si>
  <si>
    <t>9 g</t>
  </si>
  <si>
    <t xml:space="preserve">Immune Charge+ Throat Spray - 9 Pack </t>
  </si>
  <si>
    <t>Q-1203</t>
  </si>
  <si>
    <t>9 Pack of .9 fl oz Bottles</t>
  </si>
  <si>
    <t>Immune Charge+®</t>
  </si>
  <si>
    <t>Q-1151</t>
  </si>
  <si>
    <t>Immune Charge+® Box</t>
  </si>
  <si>
    <t>S-3049</t>
  </si>
  <si>
    <t>12 count 12 mL shots</t>
  </si>
  <si>
    <t>Immune Charge+® Throat Spray</t>
  </si>
  <si>
    <t>Q-1156</t>
  </si>
  <si>
    <t>0.9 fl oz (27 mL)</t>
  </si>
  <si>
    <t>Immune Charge+® Zinc Ionophore</t>
  </si>
  <si>
    <t>Q-1157</t>
  </si>
  <si>
    <t>Kidney Care</t>
  </si>
  <si>
    <t>Q-1173</t>
  </si>
  <si>
    <t xml:space="preserve">LipoCalm® </t>
  </si>
  <si>
    <t>Q-1096</t>
  </si>
  <si>
    <t>Liver Sauce®</t>
  </si>
  <si>
    <t>Q-1059</t>
  </si>
  <si>
    <t xml:space="preserve">Longevity Elite™ </t>
  </si>
  <si>
    <t>Q-1162</t>
  </si>
  <si>
    <t>Longevity Phyto Caps</t>
  </si>
  <si>
    <t>Q-1180</t>
  </si>
  <si>
    <t>60 Softgels</t>
  </si>
  <si>
    <t>Magnesium Hydroxide</t>
  </si>
  <si>
    <t>Q-1223</t>
  </si>
  <si>
    <t>Melatonin</t>
  </si>
  <si>
    <t>Q-1057</t>
  </si>
  <si>
    <t>Melatonin Professional Dose</t>
  </si>
  <si>
    <t>Q-1058</t>
  </si>
  <si>
    <t>Membrane Mend™</t>
  </si>
  <si>
    <t>Q-1159</t>
  </si>
  <si>
    <t>Membrane Renewal Protocol</t>
  </si>
  <si>
    <t>QB-3080</t>
  </si>
  <si>
    <t>MerProtect®</t>
  </si>
  <si>
    <t>S-2030</t>
  </si>
  <si>
    <t>Methyl B-12</t>
  </si>
  <si>
    <t>Q-1008</t>
  </si>
  <si>
    <t>Methyl B-Complex - Lemon Raspberry</t>
  </si>
  <si>
    <t>Q-1032</t>
  </si>
  <si>
    <t>Methyl Charge+™</t>
  </si>
  <si>
    <t>Q-1148</t>
  </si>
  <si>
    <t>Microb-Manager™</t>
  </si>
  <si>
    <t>Q-1130</t>
  </si>
  <si>
    <t>Milk Thistle</t>
  </si>
  <si>
    <t>Q-1064</t>
  </si>
  <si>
    <t>Naba's Adaptogenic Black Label Reserve Blend</t>
  </si>
  <si>
    <t>CM-NABA-1001</t>
  </si>
  <si>
    <t>NAD+ Gold®</t>
  </si>
  <si>
    <t>Q-1136</t>
  </si>
  <si>
    <t>Q-1127</t>
  </si>
  <si>
    <t>NAD+ Platinum™</t>
  </si>
  <si>
    <t>Q-1154</t>
  </si>
  <si>
    <t>NanoFuel™</t>
  </si>
  <si>
    <t>Q-1161</t>
  </si>
  <si>
    <t>NanoMojo®</t>
  </si>
  <si>
    <t>Q-1022</t>
  </si>
  <si>
    <t>Peace Progesterone Serum</t>
  </si>
  <si>
    <t>Q-1221</t>
  </si>
  <si>
    <t xml:space="preserve">Performance Cardio+ </t>
  </si>
  <si>
    <t>Q-1175</t>
  </si>
  <si>
    <t xml:space="preserve">100 mL </t>
  </si>
  <si>
    <t>PreTox Detox System</t>
  </si>
  <si>
    <t>QB-3095</t>
  </si>
  <si>
    <t>Professional Bi-EST</t>
  </si>
  <si>
    <t>Q-1226</t>
  </si>
  <si>
    <t xml:space="preserve">Professional Estradiol+ </t>
  </si>
  <si>
    <t>Q-1228</t>
  </si>
  <si>
    <t>Professional Estriol</t>
  </si>
  <si>
    <t>Q-1227</t>
  </si>
  <si>
    <t xml:space="preserve">30 mL </t>
  </si>
  <si>
    <t>Professional Progesterone</t>
  </si>
  <si>
    <t>Pure DHEA</t>
  </si>
  <si>
    <t>Q-1193</t>
  </si>
  <si>
    <t>Pure PC®</t>
  </si>
  <si>
    <t>Q-1009</t>
  </si>
  <si>
    <t>PushCatch® Liver Detox</t>
  </si>
  <si>
    <t>S-2029</t>
  </si>
  <si>
    <t>Qube® 2.0 Pro Detox System</t>
  </si>
  <si>
    <t>QB-3072</t>
  </si>
  <si>
    <t>Quinton Daily Nasal Spray - Isotonic Daily Eau de Quinton</t>
  </si>
  <si>
    <t>Q-1201</t>
  </si>
  <si>
    <t>100 mL Nasal Spray</t>
  </si>
  <si>
    <t>QuintEssential® 0.9 Sachet Box</t>
  </si>
  <si>
    <t>LQ-1133</t>
  </si>
  <si>
    <t>Box of 30 10 mL sachets</t>
  </si>
  <si>
    <t>QuintEssential® 3.3 Sachet Box</t>
  </si>
  <si>
    <t>LQ-1135</t>
  </si>
  <si>
    <t>Quinton Daily Nasal Spray - Action Plus Eau De Quinton</t>
  </si>
  <si>
    <t>Q-1202</t>
  </si>
  <si>
    <t>Quinton Hypertonic Liter</t>
  </si>
  <si>
    <t>Q-1031</t>
  </si>
  <si>
    <t>1000 mL</t>
  </si>
  <si>
    <t>Quinton Isotonic Liter</t>
  </si>
  <si>
    <t>Q-1030</t>
  </si>
  <si>
    <t>Quinton Totum Sport</t>
  </si>
  <si>
    <t>Q-1216</t>
  </si>
  <si>
    <t>Box of 21 20mL Sachets</t>
  </si>
  <si>
    <t>Quinton Totum Sport Night</t>
  </si>
  <si>
    <t>Q-1217</t>
  </si>
  <si>
    <t>Box of 21 25mL Sachets</t>
  </si>
  <si>
    <t>Quinton® Hypertonic 30 Amps</t>
  </si>
  <si>
    <t>Q-1016</t>
  </si>
  <si>
    <t>Box of 30 ampoules</t>
  </si>
  <si>
    <t>Quinton® Isotonic 30 Amps</t>
  </si>
  <si>
    <t>Q-1015</t>
  </si>
  <si>
    <t>The One</t>
  </si>
  <si>
    <t>Q-1025</t>
  </si>
  <si>
    <t>Thrivagen</t>
  </si>
  <si>
    <t>Q-1043</t>
  </si>
  <si>
    <t>Triplicity Protocol</t>
  </si>
  <si>
    <t>QB-3081</t>
  </si>
  <si>
    <t>Ultra Binder®</t>
  </si>
  <si>
    <t>Q-1029</t>
  </si>
  <si>
    <t>120 g</t>
  </si>
  <si>
    <t>Ultra Binder® Capsules</t>
  </si>
  <si>
    <t>Q-1165</t>
  </si>
  <si>
    <t>Ultra Binder® Sensitive Formula</t>
  </si>
  <si>
    <t>Q-1066</t>
  </si>
  <si>
    <t>Ultra Binder® Stick Packs</t>
  </si>
  <si>
    <t>S-3007</t>
  </si>
  <si>
    <t>Box of 20 Stick Packs</t>
  </si>
  <si>
    <t>Ultra Energy®</t>
  </si>
  <si>
    <t>Q-1089</t>
  </si>
  <si>
    <t>Ultra Vitamin®</t>
  </si>
  <si>
    <t>Q-1024</t>
  </si>
  <si>
    <t>Vaginal Beauty Serum</t>
  </si>
  <si>
    <t>Q-1218</t>
  </si>
  <si>
    <t>Vitamin C</t>
  </si>
  <si>
    <t>Q-1033</t>
  </si>
  <si>
    <t>Vitamin C+ Elderberry</t>
  </si>
  <si>
    <t>Q-1149</t>
  </si>
  <si>
    <t>Vitamin-C with R-Lipoic Acid</t>
  </si>
  <si>
    <t>Q-1003</t>
  </si>
  <si>
    <t>XX Factor - Female Hormone System</t>
  </si>
  <si>
    <t>QB-3089</t>
  </si>
  <si>
    <t>Hormone System</t>
  </si>
  <si>
    <t>UPC Code</t>
  </si>
  <si>
    <t>N/A</t>
  </si>
  <si>
    <t>644216048601 &amp; 644216048700</t>
  </si>
  <si>
    <t>Price</t>
  </si>
  <si>
    <t>Order</t>
  </si>
  <si>
    <t>Total</t>
  </si>
  <si>
    <r>
      <rPr>
        <b/>
        <sz val="11"/>
        <color rgb="FFFF0000"/>
        <rFont val="Aptos Narrow"/>
        <family val="2"/>
        <scheme val="minor"/>
      </rPr>
      <t>Importantly!</t>
    </r>
    <r>
      <rPr>
        <sz val="11"/>
        <color theme="1"/>
        <rFont val="Aptos Narrow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</si>
  <si>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</si>
  <si>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</si>
  <si>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</si>
  <si>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</si>
  <si>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</si>
  <si>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Magtein</t>
  </si>
  <si>
    <t>Q-1243</t>
  </si>
  <si>
    <t>450 mL</t>
  </si>
  <si>
    <t>Q-1225</t>
  </si>
  <si>
    <t>18.04.2025</t>
  </si>
  <si>
    <t>GLP-1 Amplifier</t>
  </si>
  <si>
    <t>Q-1249</t>
  </si>
  <si>
    <t>Professional Progesterone+ 300 ml</t>
  </si>
  <si>
    <t>Q-1248</t>
  </si>
  <si>
    <t>300 mL (refill)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</si>
</sst>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-[$$-2809]* #,##0.00_-;\-[$$-2809]* #,##0.00_-;_-[$$-2809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E4B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165" fontId="0" fillId="0" borderId="0" xfId="0" applyNumberFormat="1"/>
    <xf numFmtId="1" fontId="2" fillId="0" borderId="2" xfId="0" applyNumberFormat="1" applyFont="1" applyBorder="1" applyAlignment="1">
      <alignment horizontal="right" vertical="center"/>
    </xf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5" fontId="0" fillId="0" borderId="2" xfId="0" applyNumberFormat="1" applyBorder="1"/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right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1" fillId="0" borderId="2" xfId="0" applyNumberFormat="1" applyFont="1" applyBorder="1"/>
    <xf numFmtId="165" fontId="1" fillId="0" borderId="2" xfId="0" applyNumberFormat="1" applyFont="1" applyBorder="1" applyAlignment="1">
      <alignment horizontal="right"/>
    </xf>
    <xf numFmtId="165" fontId="3" fillId="0" borderId="2" xfId="0" applyNumberFormat="1" applyFont="1" applyBorder="1"/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7" fillId="0" borderId="0" xfId="0" quotePrefix="1" applyNumberFormat="1" applyFont="1" applyAlignment="1">
      <alignment horizontal="center" vertical="center"/>
    </xf>
    <xf numFmtId="1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A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161364</xdr:colOff>
      <xdr:row>0</xdr:row>
      <xdr:rowOff>347963</xdr:rowOff>
    </xdr:from>
    <xdr:to>
      <xdr:col>6</xdr:col>
      <xdr:colOff>563369</xdr:colOff>
      <xdr:row>0</xdr:row>
      <xdr:rowOff>941294</xdr:rowOff>
    </xdr:to>
    <xdr:pic>
      <xdr:nvPicPr>
        <xdr:cNvPr id="3" name="Рисунок 2" descr="Latest Health News, Scientific Research &amp; Wellness Insights">
          <a:extLst>
            <a:ext uri="{FF2B5EF4-FFF2-40B4-BE49-F238E27FC236}">
              <a16:creationId xmlns:a16="http://schemas.microsoft.com/office/drawing/2014/main" id="{65803B1B-C9D8-8846-8EAC-E0CF8971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9" y="347963"/>
          <a:ext cx="1908076" cy="59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798542</xdr:colOff>
      <xdr:row>119</xdr:row>
      <xdr:rowOff>42429</xdr:rowOff>
    </xdr:from>
    <xdr:to>
      <xdr:col>1</xdr:col>
      <xdr:colOff>2492756</xdr:colOff>
      <xdr:row>119</xdr:row>
      <xdr:rowOff>365760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DB9A68E4-ACE8-4ECC-BE4E-68882BB60A0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842" y="23961609"/>
          <a:ext cx="1694214" cy="323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DBCF-10C3-4335-9E37-62A9A4BB60E0}">
  <sheetPr filterMode="1"/>
  <dimension ref="A1:H125"/>
  <sheetViews>
    <sheetView tabSelected="1" zoomScale="85" zoomScaleNormal="85" workbookViewId="0">
      <pane ySplit="2" topLeftCell="A3" activePane="bottomLeft" state="frozen"/>
      <selection pane="bottomLeft" activeCell="G11" sqref="G11"/>
    </sheetView>
  </sheetViews>
  <sheetFormatPr defaultRowHeight="14.4" x14ac:dyDescent="0.3"/>
  <cols>
    <col min="1" max="1" width="12.77734375" style="2" customWidth="1"/>
    <col min="2" max="2" width="51.6640625" bestFit="1" customWidth="1"/>
    <col min="3" max="3" width="13.33203125" bestFit="1" customWidth="1"/>
    <col min="4" max="4" width="19.88671875" bestFit="1" customWidth="1"/>
    <col min="5" max="5" width="11.44140625" style="3" customWidth="1"/>
    <col min="6" max="6" width="10.44140625" style="32" bestFit="1" customWidth="1"/>
    <col min="7" max="7" width="13.6640625" style="3" bestFit="1" customWidth="1"/>
    <col min="8" max="8" width="14.44140625" customWidth="1"/>
  </cols>
  <sheetData>
    <row r="1" spans="1:8" ht="88.8" customHeight="1" x14ac:dyDescent="0.3">
      <c r="A1" s="34" t="s">
        <v>261</v>
      </c>
      <c r="B1" s="35"/>
      <c r="C1" s="35"/>
      <c r="D1" s="35"/>
      <c r="E1" s="35"/>
      <c r="F1" s="35"/>
      <c r="G1" s="35"/>
      <c r="H1" s="33" t="s">
        <v>271</v>
      </c>
    </row>
    <row r="2" spans="1:8" s="1" customFormat="1" ht="51.6" customHeight="1" x14ac:dyDescent="0.3">
      <c r="A2" s="18" t="s">
        <v>255</v>
      </c>
      <c r="B2" s="19" t="s">
        <v>0</v>
      </c>
      <c r="C2" s="19" t="s">
        <v>1</v>
      </c>
      <c r="D2" s="19" t="s">
        <v>2</v>
      </c>
      <c r="E2" s="20" t="s">
        <v>258</v>
      </c>
      <c r="F2" s="29" t="s">
        <v>259</v>
      </c>
      <c r="G2" s="21" t="s">
        <v>260</v>
      </c>
      <c r="H2" s="22">
        <f>SUM(G3:G117)</f>
        <v>0</v>
      </c>
    </row>
    <row r="3" spans="1:8" x14ac:dyDescent="0.3">
      <c r="A3" s="4">
        <v>644216048809</v>
      </c>
      <c r="B3" s="5" t="s">
        <v>3</v>
      </c>
      <c r="C3" s="6" t="s">
        <v>4</v>
      </c>
      <c r="D3" s="7" t="s">
        <v>5</v>
      </c>
      <c r="E3" s="15">
        <v>163.35</v>
      </c>
      <c r="F3" s="30"/>
      <c r="G3" s="8">
        <f t="shared" ref="G3:G12" si="0">F3*E3</f>
        <v>0</v>
      </c>
    </row>
    <row r="4" spans="1:8" x14ac:dyDescent="0.3">
      <c r="A4" s="4">
        <v>793888078611</v>
      </c>
      <c r="B4" s="5" t="s">
        <v>6</v>
      </c>
      <c r="C4" s="6" t="s">
        <v>7</v>
      </c>
      <c r="D4" s="7" t="s">
        <v>8</v>
      </c>
      <c r="E4" s="15">
        <v>333.18000000000006</v>
      </c>
      <c r="F4" s="31"/>
      <c r="G4" s="8">
        <f t="shared" si="0"/>
        <v>0</v>
      </c>
    </row>
    <row r="5" spans="1:8" x14ac:dyDescent="0.3">
      <c r="A5" s="4">
        <v>752830005983</v>
      </c>
      <c r="B5" s="5" t="s">
        <v>9</v>
      </c>
      <c r="C5" s="6" t="s">
        <v>10</v>
      </c>
      <c r="D5" s="6" t="s">
        <v>11</v>
      </c>
      <c r="E5" s="15">
        <v>24.03</v>
      </c>
      <c r="F5" s="31"/>
      <c r="G5" s="8">
        <f t="shared" si="0"/>
        <v>0</v>
      </c>
    </row>
    <row r="6" spans="1:8" x14ac:dyDescent="0.3">
      <c r="A6" s="4">
        <v>644216047802</v>
      </c>
      <c r="B6" s="5" t="s">
        <v>12</v>
      </c>
      <c r="C6" s="6" t="s">
        <v>13</v>
      </c>
      <c r="D6" s="6" t="s">
        <v>14</v>
      </c>
      <c r="E6" s="15">
        <v>31.860000000000003</v>
      </c>
      <c r="F6" s="31"/>
      <c r="G6" s="8">
        <f t="shared" si="0"/>
        <v>0</v>
      </c>
    </row>
    <row r="7" spans="1:8" x14ac:dyDescent="0.3">
      <c r="A7" s="4">
        <v>644216047802</v>
      </c>
      <c r="B7" s="5" t="s">
        <v>12</v>
      </c>
      <c r="C7" s="7" t="s">
        <v>15</v>
      </c>
      <c r="D7" s="6" t="s">
        <v>16</v>
      </c>
      <c r="E7" s="15">
        <v>85.050000000000011</v>
      </c>
      <c r="F7" s="31"/>
      <c r="G7" s="8">
        <f t="shared" si="0"/>
        <v>0</v>
      </c>
    </row>
    <row r="8" spans="1:8" x14ac:dyDescent="0.3">
      <c r="A8" s="4">
        <v>653341620606</v>
      </c>
      <c r="B8" s="5" t="s">
        <v>17</v>
      </c>
      <c r="C8" s="6" t="s">
        <v>18</v>
      </c>
      <c r="D8" s="6" t="s">
        <v>19</v>
      </c>
      <c r="E8" s="15">
        <v>42.660000000000004</v>
      </c>
      <c r="F8" s="31"/>
      <c r="G8" s="8">
        <f t="shared" si="0"/>
        <v>0</v>
      </c>
    </row>
    <row r="9" spans="1:8" x14ac:dyDescent="0.3">
      <c r="A9" s="4">
        <v>793888085114</v>
      </c>
      <c r="B9" s="5" t="s">
        <v>20</v>
      </c>
      <c r="C9" s="6" t="s">
        <v>21</v>
      </c>
      <c r="D9" s="7" t="s">
        <v>8</v>
      </c>
      <c r="E9" s="15">
        <v>287.28000000000003</v>
      </c>
      <c r="F9" s="31"/>
      <c r="G9" s="8">
        <f t="shared" si="0"/>
        <v>0</v>
      </c>
    </row>
    <row r="10" spans="1:8" x14ac:dyDescent="0.3">
      <c r="A10" s="4">
        <v>793888085015</v>
      </c>
      <c r="B10" s="5" t="s">
        <v>22</v>
      </c>
      <c r="C10" s="6" t="s">
        <v>23</v>
      </c>
      <c r="D10" s="6" t="s">
        <v>8</v>
      </c>
      <c r="E10" s="15">
        <v>191.43000000000004</v>
      </c>
      <c r="F10" s="31"/>
      <c r="G10" s="8">
        <f t="shared" si="0"/>
        <v>0</v>
      </c>
    </row>
    <row r="11" spans="1:8" x14ac:dyDescent="0.3">
      <c r="A11" s="4">
        <v>793888085213</v>
      </c>
      <c r="B11" s="5" t="s">
        <v>24</v>
      </c>
      <c r="C11" s="6" t="s">
        <v>25</v>
      </c>
      <c r="D11" s="6" t="s">
        <v>8</v>
      </c>
      <c r="E11" s="15">
        <v>261.90000000000003</v>
      </c>
      <c r="F11" s="31"/>
      <c r="G11" s="8">
        <f t="shared" si="0"/>
        <v>0</v>
      </c>
    </row>
    <row r="12" spans="1:8" x14ac:dyDescent="0.3">
      <c r="A12" s="4"/>
      <c r="B12" s="5" t="s">
        <v>26</v>
      </c>
      <c r="C12" s="6" t="s">
        <v>27</v>
      </c>
      <c r="D12" s="7" t="s">
        <v>8</v>
      </c>
      <c r="E12" s="15">
        <v>769.5</v>
      </c>
      <c r="F12" s="31"/>
      <c r="G12" s="8">
        <f t="shared" si="0"/>
        <v>0</v>
      </c>
    </row>
    <row r="13" spans="1:8" hidden="1" x14ac:dyDescent="0.3">
      <c r="A13" s="4"/>
      <c r="B13" s="5" t="s">
        <v>28</v>
      </c>
      <c r="C13" s="6" t="s">
        <v>29</v>
      </c>
      <c r="D13" s="6" t="s">
        <v>30</v>
      </c>
      <c r="E13" s="16" t="s">
        <v>256</v>
      </c>
      <c r="F13" s="31"/>
      <c r="G13" s="8">
        <v>0</v>
      </c>
    </row>
    <row r="14" spans="1:8" x14ac:dyDescent="0.3">
      <c r="A14" s="4">
        <v>653341620705</v>
      </c>
      <c r="B14" s="5" t="s">
        <v>31</v>
      </c>
      <c r="C14" s="6" t="s">
        <v>32</v>
      </c>
      <c r="D14" s="6" t="s">
        <v>30</v>
      </c>
      <c r="E14" s="15">
        <v>26.730000000000004</v>
      </c>
      <c r="F14" s="31"/>
      <c r="G14" s="8">
        <f t="shared" ref="G14:G39" si="1">F14*E14</f>
        <v>0</v>
      </c>
    </row>
    <row r="15" spans="1:8" x14ac:dyDescent="0.3">
      <c r="A15" s="4">
        <v>653341624604</v>
      </c>
      <c r="B15" s="5" t="s">
        <v>33</v>
      </c>
      <c r="C15" s="6" t="s">
        <v>34</v>
      </c>
      <c r="D15" s="6" t="s">
        <v>30</v>
      </c>
      <c r="E15" s="15">
        <v>26.730000000000004</v>
      </c>
      <c r="F15" s="31"/>
      <c r="G15" s="8">
        <f t="shared" si="1"/>
        <v>0</v>
      </c>
    </row>
    <row r="16" spans="1:8" x14ac:dyDescent="0.3">
      <c r="A16" s="4">
        <v>752830412293</v>
      </c>
      <c r="B16" s="5" t="s">
        <v>35</v>
      </c>
      <c r="C16" s="6" t="s">
        <v>36</v>
      </c>
      <c r="D16" s="7" t="s">
        <v>8</v>
      </c>
      <c r="E16" s="15">
        <v>349.38000000000005</v>
      </c>
      <c r="F16" s="31"/>
      <c r="G16" s="8">
        <f t="shared" si="1"/>
        <v>0</v>
      </c>
    </row>
    <row r="17" spans="1:7" x14ac:dyDescent="0.3">
      <c r="A17" s="4">
        <v>810147500000</v>
      </c>
      <c r="B17" s="5" t="s">
        <v>37</v>
      </c>
      <c r="C17" s="6" t="s">
        <v>38</v>
      </c>
      <c r="D17" s="6" t="s">
        <v>30</v>
      </c>
      <c r="E17" s="15">
        <v>40.5</v>
      </c>
      <c r="F17" s="31"/>
      <c r="G17" s="8">
        <f t="shared" si="1"/>
        <v>0</v>
      </c>
    </row>
    <row r="18" spans="1:7" x14ac:dyDescent="0.3">
      <c r="A18" s="4">
        <v>810147500246</v>
      </c>
      <c r="B18" s="5" t="s">
        <v>39</v>
      </c>
      <c r="C18" s="6" t="s">
        <v>40</v>
      </c>
      <c r="D18" s="6" t="s">
        <v>14</v>
      </c>
      <c r="E18" s="15">
        <v>41.85</v>
      </c>
      <c r="F18" s="31"/>
      <c r="G18" s="8">
        <f t="shared" si="1"/>
        <v>0</v>
      </c>
    </row>
    <row r="19" spans="1:7" x14ac:dyDescent="0.3">
      <c r="A19" s="4">
        <v>810147500512</v>
      </c>
      <c r="B19" s="5" t="s">
        <v>41</v>
      </c>
      <c r="C19" s="6" t="s">
        <v>42</v>
      </c>
      <c r="D19" s="6" t="s">
        <v>16</v>
      </c>
      <c r="E19" s="15">
        <v>113.4</v>
      </c>
      <c r="F19" s="31"/>
      <c r="G19" s="8">
        <f t="shared" si="1"/>
        <v>0</v>
      </c>
    </row>
    <row r="20" spans="1:7" x14ac:dyDescent="0.3">
      <c r="A20" s="4">
        <v>752830989085</v>
      </c>
      <c r="B20" s="5" t="s">
        <v>43</v>
      </c>
      <c r="C20" s="6" t="s">
        <v>44</v>
      </c>
      <c r="D20" s="6" t="s">
        <v>30</v>
      </c>
      <c r="E20" s="15">
        <v>25.380000000000003</v>
      </c>
      <c r="F20" s="31"/>
      <c r="G20" s="8">
        <f t="shared" si="1"/>
        <v>0</v>
      </c>
    </row>
    <row r="21" spans="1:7" x14ac:dyDescent="0.3">
      <c r="A21" s="4">
        <v>810147500543</v>
      </c>
      <c r="B21" s="5" t="s">
        <v>45</v>
      </c>
      <c r="C21" s="6" t="s">
        <v>46</v>
      </c>
      <c r="D21" s="6" t="s">
        <v>14</v>
      </c>
      <c r="E21" s="15">
        <v>32.400000000000006</v>
      </c>
      <c r="F21" s="31"/>
      <c r="G21" s="8">
        <f t="shared" si="1"/>
        <v>0</v>
      </c>
    </row>
    <row r="22" spans="1:7" x14ac:dyDescent="0.3">
      <c r="A22" s="4">
        <v>810147500017</v>
      </c>
      <c r="B22" s="5" t="s">
        <v>47</v>
      </c>
      <c r="C22" s="6" t="s">
        <v>48</v>
      </c>
      <c r="D22" s="6" t="s">
        <v>30</v>
      </c>
      <c r="E22" s="15">
        <v>40.5</v>
      </c>
      <c r="F22" s="31"/>
      <c r="G22" s="8">
        <f t="shared" si="1"/>
        <v>0</v>
      </c>
    </row>
    <row r="23" spans="1:7" x14ac:dyDescent="0.3">
      <c r="A23" s="4">
        <v>644216045105</v>
      </c>
      <c r="B23" s="5" t="s">
        <v>49</v>
      </c>
      <c r="C23" s="6" t="s">
        <v>50</v>
      </c>
      <c r="D23" s="6" t="s">
        <v>51</v>
      </c>
      <c r="E23" s="15">
        <v>44.550000000000004</v>
      </c>
      <c r="F23" s="31"/>
      <c r="G23" s="8">
        <f t="shared" si="1"/>
        <v>0</v>
      </c>
    </row>
    <row r="24" spans="1:7" x14ac:dyDescent="0.3">
      <c r="A24" s="4">
        <v>810147500024</v>
      </c>
      <c r="B24" s="5" t="s">
        <v>52</v>
      </c>
      <c r="C24" s="6" t="s">
        <v>53</v>
      </c>
      <c r="D24" s="6" t="s">
        <v>30</v>
      </c>
      <c r="E24" s="15">
        <v>40.5</v>
      </c>
      <c r="F24" s="31"/>
      <c r="G24" s="8">
        <f t="shared" si="1"/>
        <v>0</v>
      </c>
    </row>
    <row r="25" spans="1:7" x14ac:dyDescent="0.3">
      <c r="A25" s="4">
        <v>653341620101</v>
      </c>
      <c r="B25" s="5" t="s">
        <v>54</v>
      </c>
      <c r="C25" s="6" t="s">
        <v>55</v>
      </c>
      <c r="D25" s="6" t="s">
        <v>56</v>
      </c>
      <c r="E25" s="15">
        <v>35.640000000000008</v>
      </c>
      <c r="F25" s="31"/>
      <c r="G25" s="8">
        <f t="shared" si="1"/>
        <v>0</v>
      </c>
    </row>
    <row r="26" spans="1:7" x14ac:dyDescent="0.3">
      <c r="A26" s="4">
        <v>653341620101</v>
      </c>
      <c r="B26" s="5" t="s">
        <v>54</v>
      </c>
      <c r="C26" s="6" t="s">
        <v>57</v>
      </c>
      <c r="D26" s="6" t="s">
        <v>58</v>
      </c>
      <c r="E26" s="15">
        <v>53.460000000000008</v>
      </c>
      <c r="F26" s="31"/>
      <c r="G26" s="8">
        <f t="shared" si="1"/>
        <v>0</v>
      </c>
    </row>
    <row r="27" spans="1:7" x14ac:dyDescent="0.3">
      <c r="A27" s="4">
        <v>810147501243</v>
      </c>
      <c r="B27" s="5" t="s">
        <v>59</v>
      </c>
      <c r="C27" s="6" t="s">
        <v>60</v>
      </c>
      <c r="D27" s="7" t="s">
        <v>61</v>
      </c>
      <c r="E27" s="15">
        <v>43.2</v>
      </c>
      <c r="F27" s="31"/>
      <c r="G27" s="8">
        <f t="shared" si="1"/>
        <v>0</v>
      </c>
    </row>
    <row r="28" spans="1:7" x14ac:dyDescent="0.3">
      <c r="A28" s="4">
        <v>653341621306</v>
      </c>
      <c r="B28" s="5" t="s">
        <v>62</v>
      </c>
      <c r="C28" s="6" t="s">
        <v>63</v>
      </c>
      <c r="D28" s="7" t="s">
        <v>30</v>
      </c>
      <c r="E28" s="15">
        <v>29.700000000000003</v>
      </c>
      <c r="F28" s="31"/>
      <c r="G28" s="8">
        <f t="shared" si="1"/>
        <v>0</v>
      </c>
    </row>
    <row r="29" spans="1:7" x14ac:dyDescent="0.3">
      <c r="A29" s="4">
        <v>810147500307</v>
      </c>
      <c r="B29" s="5" t="s">
        <v>64</v>
      </c>
      <c r="C29" s="6" t="s">
        <v>65</v>
      </c>
      <c r="D29" s="7" t="s">
        <v>14</v>
      </c>
      <c r="E29" s="15">
        <v>32.130000000000003</v>
      </c>
      <c r="F29" s="31"/>
      <c r="G29" s="8">
        <f t="shared" si="1"/>
        <v>0</v>
      </c>
    </row>
    <row r="30" spans="1:7" x14ac:dyDescent="0.3">
      <c r="A30" s="4">
        <v>810147500505</v>
      </c>
      <c r="B30" s="5" t="s">
        <v>66</v>
      </c>
      <c r="C30" s="6" t="s">
        <v>67</v>
      </c>
      <c r="D30" s="7" t="s">
        <v>14</v>
      </c>
      <c r="E30" s="15">
        <v>40.5</v>
      </c>
      <c r="F30" s="31"/>
      <c r="G30" s="8">
        <f t="shared" si="1"/>
        <v>0</v>
      </c>
    </row>
    <row r="31" spans="1:7" x14ac:dyDescent="0.3">
      <c r="A31" s="4">
        <v>810147500499</v>
      </c>
      <c r="B31" s="5" t="s">
        <v>68</v>
      </c>
      <c r="C31" s="6" t="s">
        <v>69</v>
      </c>
      <c r="D31" s="7" t="s">
        <v>30</v>
      </c>
      <c r="E31" s="15">
        <v>24.3</v>
      </c>
      <c r="F31" s="31"/>
      <c r="G31" s="8">
        <f t="shared" si="1"/>
        <v>0</v>
      </c>
    </row>
    <row r="32" spans="1:7" x14ac:dyDescent="0.3">
      <c r="A32" s="4">
        <v>653341621009</v>
      </c>
      <c r="B32" s="5" t="s">
        <v>70</v>
      </c>
      <c r="C32" s="6" t="s">
        <v>71</v>
      </c>
      <c r="D32" s="7" t="s">
        <v>30</v>
      </c>
      <c r="E32" s="15">
        <v>29.700000000000003</v>
      </c>
      <c r="F32" s="31"/>
      <c r="G32" s="8">
        <f t="shared" si="1"/>
        <v>0</v>
      </c>
    </row>
    <row r="33" spans="1:7" x14ac:dyDescent="0.3">
      <c r="A33" s="4">
        <v>644216049400</v>
      </c>
      <c r="B33" s="5" t="s">
        <v>72</v>
      </c>
      <c r="C33" s="6" t="s">
        <v>73</v>
      </c>
      <c r="D33" s="7" t="s">
        <v>74</v>
      </c>
      <c r="E33" s="15">
        <v>39.690000000000005</v>
      </c>
      <c r="F33" s="31"/>
      <c r="G33" s="8">
        <f t="shared" si="1"/>
        <v>0</v>
      </c>
    </row>
    <row r="34" spans="1:7" x14ac:dyDescent="0.3">
      <c r="A34" s="4">
        <v>644216049400</v>
      </c>
      <c r="B34" s="5" t="s">
        <v>72</v>
      </c>
      <c r="C34" s="6" t="s">
        <v>75</v>
      </c>
      <c r="D34" s="7" t="s">
        <v>76</v>
      </c>
      <c r="E34" s="15">
        <v>96.390000000000015</v>
      </c>
      <c r="F34" s="31"/>
      <c r="G34" s="8">
        <f t="shared" si="1"/>
        <v>0</v>
      </c>
    </row>
    <row r="35" spans="1:7" x14ac:dyDescent="0.3">
      <c r="A35" s="4">
        <v>653341621504</v>
      </c>
      <c r="B35" s="5" t="s">
        <v>77</v>
      </c>
      <c r="C35" s="6" t="s">
        <v>78</v>
      </c>
      <c r="D35" s="7" t="s">
        <v>30</v>
      </c>
      <c r="E35" s="15">
        <v>29.700000000000003</v>
      </c>
      <c r="F35" s="31"/>
      <c r="G35" s="8">
        <f t="shared" si="1"/>
        <v>0</v>
      </c>
    </row>
    <row r="36" spans="1:7" hidden="1" x14ac:dyDescent="0.3">
      <c r="A36" s="4"/>
      <c r="B36" s="5" t="s">
        <v>79</v>
      </c>
      <c r="C36" s="6" t="s">
        <v>80</v>
      </c>
      <c r="D36" s="7" t="s">
        <v>8</v>
      </c>
      <c r="E36" s="16" t="s">
        <v>256</v>
      </c>
      <c r="F36" s="31"/>
      <c r="G36" s="8">
        <v>0</v>
      </c>
    </row>
    <row r="37" spans="1:7" x14ac:dyDescent="0.3">
      <c r="A37" s="9">
        <v>810147500642</v>
      </c>
      <c r="B37" s="5" t="s">
        <v>81</v>
      </c>
      <c r="C37" s="6" t="s">
        <v>82</v>
      </c>
      <c r="D37" s="6" t="s">
        <v>83</v>
      </c>
      <c r="E37" s="15">
        <v>26.730000000000004</v>
      </c>
      <c r="F37" s="31"/>
      <c r="G37" s="8">
        <f t="shared" si="1"/>
        <v>0</v>
      </c>
    </row>
    <row r="38" spans="1:7" x14ac:dyDescent="0.3">
      <c r="A38" s="4">
        <v>653341620507</v>
      </c>
      <c r="B38" s="5" t="s">
        <v>84</v>
      </c>
      <c r="C38" s="6" t="s">
        <v>85</v>
      </c>
      <c r="D38" s="6" t="s">
        <v>74</v>
      </c>
      <c r="E38" s="15">
        <v>32.400000000000006</v>
      </c>
      <c r="F38" s="31"/>
      <c r="G38" s="8">
        <f t="shared" si="1"/>
        <v>0</v>
      </c>
    </row>
    <row r="39" spans="1:7" x14ac:dyDescent="0.3">
      <c r="A39" s="4">
        <v>810147501236</v>
      </c>
      <c r="B39" s="5" t="s">
        <v>86</v>
      </c>
      <c r="C39" s="6" t="s">
        <v>87</v>
      </c>
      <c r="D39" s="6" t="s">
        <v>74</v>
      </c>
      <c r="E39" s="15">
        <v>33.75</v>
      </c>
      <c r="F39" s="31"/>
      <c r="G39" s="8">
        <f t="shared" si="1"/>
        <v>0</v>
      </c>
    </row>
    <row r="40" spans="1:7" x14ac:dyDescent="0.3">
      <c r="A40" s="4">
        <v>810147500284</v>
      </c>
      <c r="B40" s="5" t="s">
        <v>88</v>
      </c>
      <c r="C40" s="10" t="s">
        <v>89</v>
      </c>
      <c r="D40" s="6" t="s">
        <v>90</v>
      </c>
      <c r="E40" s="16">
        <v>26.460000000000004</v>
      </c>
      <c r="F40" s="31"/>
      <c r="G40" s="8">
        <v>0</v>
      </c>
    </row>
    <row r="41" spans="1:7" x14ac:dyDescent="0.3">
      <c r="A41" s="4">
        <v>810147500604</v>
      </c>
      <c r="B41" s="5" t="s">
        <v>91</v>
      </c>
      <c r="C41" s="6" t="s">
        <v>92</v>
      </c>
      <c r="D41" s="6" t="s">
        <v>93</v>
      </c>
      <c r="E41" s="15">
        <v>39.150000000000006</v>
      </c>
      <c r="F41" s="31"/>
      <c r="G41" s="8">
        <f t="shared" ref="G41:G72" si="2">F41*E41</f>
        <v>0</v>
      </c>
    </row>
    <row r="42" spans="1:7" x14ac:dyDescent="0.3">
      <c r="A42" s="4">
        <v>810147500031</v>
      </c>
      <c r="B42" s="5" t="s">
        <v>94</v>
      </c>
      <c r="C42" s="6" t="s">
        <v>95</v>
      </c>
      <c r="D42" s="6" t="s">
        <v>30</v>
      </c>
      <c r="E42" s="15">
        <v>44.550000000000004</v>
      </c>
      <c r="F42" s="31"/>
      <c r="G42" s="8">
        <f t="shared" si="2"/>
        <v>0</v>
      </c>
    </row>
    <row r="43" spans="1:7" x14ac:dyDescent="0.3">
      <c r="A43" s="4">
        <v>653341622907</v>
      </c>
      <c r="B43" s="5" t="s">
        <v>96</v>
      </c>
      <c r="C43" s="6" t="s">
        <v>97</v>
      </c>
      <c r="D43" s="6" t="s">
        <v>5</v>
      </c>
      <c r="E43" s="15">
        <v>376.65000000000003</v>
      </c>
      <c r="F43" s="31"/>
      <c r="G43" s="8">
        <f t="shared" si="2"/>
        <v>0</v>
      </c>
    </row>
    <row r="44" spans="1:7" x14ac:dyDescent="0.3">
      <c r="A44" s="4">
        <v>653341620002</v>
      </c>
      <c r="B44" s="5" t="s">
        <v>98</v>
      </c>
      <c r="C44" s="6" t="s">
        <v>99</v>
      </c>
      <c r="D44" s="6" t="s">
        <v>30</v>
      </c>
      <c r="E44" s="15">
        <v>19.980000000000004</v>
      </c>
      <c r="F44" s="31"/>
      <c r="G44" s="8">
        <f t="shared" si="2"/>
        <v>0</v>
      </c>
    </row>
    <row r="45" spans="1:7" x14ac:dyDescent="0.3">
      <c r="A45" s="4"/>
      <c r="B45" s="5" t="s">
        <v>272</v>
      </c>
      <c r="C45" s="6" t="s">
        <v>273</v>
      </c>
      <c r="D45" s="6" t="s">
        <v>14</v>
      </c>
      <c r="E45" s="15">
        <v>31.860000000000003</v>
      </c>
      <c r="F45" s="31"/>
      <c r="G45" s="8">
        <f t="shared" si="2"/>
        <v>0</v>
      </c>
    </row>
    <row r="46" spans="1:7" x14ac:dyDescent="0.3">
      <c r="A46" s="4">
        <v>810147500574</v>
      </c>
      <c r="B46" s="5" t="s">
        <v>100</v>
      </c>
      <c r="C46" s="6" t="s">
        <v>101</v>
      </c>
      <c r="D46" s="6" t="s">
        <v>30</v>
      </c>
      <c r="E46" s="15">
        <v>24.3</v>
      </c>
      <c r="F46" s="31"/>
      <c r="G46" s="8">
        <f t="shared" si="2"/>
        <v>0</v>
      </c>
    </row>
    <row r="47" spans="1:7" x14ac:dyDescent="0.3">
      <c r="A47" s="4">
        <v>19962509117</v>
      </c>
      <c r="B47" s="5" t="s">
        <v>102</v>
      </c>
      <c r="C47" s="6" t="s">
        <v>103</v>
      </c>
      <c r="D47" s="6" t="s">
        <v>30</v>
      </c>
      <c r="E47" s="15">
        <v>24.3</v>
      </c>
      <c r="F47" s="31"/>
      <c r="G47" s="8">
        <f t="shared" si="2"/>
        <v>0</v>
      </c>
    </row>
    <row r="48" spans="1:7" x14ac:dyDescent="0.3">
      <c r="A48" s="4">
        <v>752830006089</v>
      </c>
      <c r="B48" s="5" t="s">
        <v>104</v>
      </c>
      <c r="C48" s="6" t="s">
        <v>105</v>
      </c>
      <c r="D48" s="6" t="s">
        <v>14</v>
      </c>
      <c r="E48" s="15">
        <v>48.330000000000005</v>
      </c>
      <c r="F48" s="31"/>
      <c r="G48" s="8">
        <f t="shared" si="2"/>
        <v>0</v>
      </c>
    </row>
    <row r="49" spans="1:7" x14ac:dyDescent="0.3">
      <c r="A49" s="4">
        <v>653341624703</v>
      </c>
      <c r="B49" s="5" t="s">
        <v>106</v>
      </c>
      <c r="C49" s="6" t="s">
        <v>107</v>
      </c>
      <c r="D49" s="6" t="s">
        <v>108</v>
      </c>
      <c r="E49" s="15">
        <v>29.700000000000003</v>
      </c>
      <c r="F49" s="31"/>
      <c r="G49" s="8">
        <f t="shared" si="2"/>
        <v>0</v>
      </c>
    </row>
    <row r="50" spans="1:7" x14ac:dyDescent="0.3">
      <c r="A50" s="4">
        <v>653341624703</v>
      </c>
      <c r="B50" s="5" t="s">
        <v>106</v>
      </c>
      <c r="C50" s="6" t="s">
        <v>109</v>
      </c>
      <c r="D50" s="6" t="s">
        <v>110</v>
      </c>
      <c r="E50" s="15">
        <v>14.850000000000001</v>
      </c>
      <c r="F50" s="31"/>
      <c r="G50" s="8">
        <f t="shared" si="2"/>
        <v>0</v>
      </c>
    </row>
    <row r="51" spans="1:7" x14ac:dyDescent="0.3">
      <c r="A51" s="4">
        <v>752830988989</v>
      </c>
      <c r="B51" s="5" t="s">
        <v>111</v>
      </c>
      <c r="C51" s="6" t="s">
        <v>112</v>
      </c>
      <c r="D51" s="6" t="s">
        <v>30</v>
      </c>
      <c r="E51" s="15">
        <v>26.730000000000004</v>
      </c>
      <c r="F51" s="31"/>
      <c r="G51" s="8">
        <f t="shared" si="2"/>
        <v>0</v>
      </c>
    </row>
    <row r="52" spans="1:7" x14ac:dyDescent="0.3">
      <c r="A52" s="4">
        <v>653341620408</v>
      </c>
      <c r="B52" s="5" t="s">
        <v>113</v>
      </c>
      <c r="C52" s="6" t="s">
        <v>114</v>
      </c>
      <c r="D52" s="6" t="s">
        <v>115</v>
      </c>
      <c r="E52" s="15">
        <v>68.040000000000006</v>
      </c>
      <c r="F52" s="31"/>
      <c r="G52" s="8">
        <f t="shared" si="2"/>
        <v>0</v>
      </c>
    </row>
    <row r="53" spans="1:7" x14ac:dyDescent="0.3">
      <c r="A53" s="4">
        <v>653341620408</v>
      </c>
      <c r="B53" s="5" t="s">
        <v>113</v>
      </c>
      <c r="C53" s="6" t="s">
        <v>116</v>
      </c>
      <c r="D53" s="6" t="s">
        <v>117</v>
      </c>
      <c r="E53" s="15">
        <v>99.360000000000014</v>
      </c>
      <c r="F53" s="31"/>
      <c r="G53" s="8">
        <f t="shared" si="2"/>
        <v>0</v>
      </c>
    </row>
    <row r="54" spans="1:7" x14ac:dyDescent="0.3">
      <c r="A54" s="4">
        <v>691835027609</v>
      </c>
      <c r="B54" s="5" t="s">
        <v>118</v>
      </c>
      <c r="C54" s="6" t="s">
        <v>119</v>
      </c>
      <c r="D54" s="6" t="s">
        <v>120</v>
      </c>
      <c r="E54" s="15">
        <v>102.06000000000002</v>
      </c>
      <c r="F54" s="31"/>
      <c r="G54" s="8">
        <f t="shared" si="2"/>
        <v>0</v>
      </c>
    </row>
    <row r="55" spans="1:7" x14ac:dyDescent="0.3">
      <c r="A55" s="4">
        <v>644216047703</v>
      </c>
      <c r="B55" s="5" t="s">
        <v>121</v>
      </c>
      <c r="C55" s="6" t="s">
        <v>122</v>
      </c>
      <c r="D55" s="6" t="s">
        <v>14</v>
      </c>
      <c r="E55" s="15">
        <v>25.650000000000002</v>
      </c>
      <c r="F55" s="31"/>
      <c r="G55" s="8">
        <f t="shared" si="2"/>
        <v>0</v>
      </c>
    </row>
    <row r="56" spans="1:7" x14ac:dyDescent="0.3">
      <c r="A56" s="4">
        <v>644216047505</v>
      </c>
      <c r="B56" s="5" t="s">
        <v>123</v>
      </c>
      <c r="C56" s="6" t="s">
        <v>124</v>
      </c>
      <c r="D56" s="6" t="s">
        <v>125</v>
      </c>
      <c r="E56" s="15">
        <v>39.150000000000006</v>
      </c>
      <c r="F56" s="31"/>
      <c r="G56" s="8">
        <f t="shared" si="2"/>
        <v>0</v>
      </c>
    </row>
    <row r="57" spans="1:7" x14ac:dyDescent="0.3">
      <c r="A57" s="4">
        <v>644216048403</v>
      </c>
      <c r="B57" s="5" t="s">
        <v>126</v>
      </c>
      <c r="C57" s="6" t="s">
        <v>127</v>
      </c>
      <c r="D57" s="6" t="s">
        <v>128</v>
      </c>
      <c r="E57" s="15">
        <v>11.340000000000002</v>
      </c>
      <c r="F57" s="31"/>
      <c r="G57" s="8">
        <f t="shared" si="2"/>
        <v>0</v>
      </c>
    </row>
    <row r="58" spans="1:7" x14ac:dyDescent="0.3">
      <c r="A58" s="4">
        <v>644216048502</v>
      </c>
      <c r="B58" s="5" t="s">
        <v>129</v>
      </c>
      <c r="C58" s="6" t="s">
        <v>130</v>
      </c>
      <c r="D58" s="6" t="s">
        <v>51</v>
      </c>
      <c r="E58" s="15">
        <v>39.690000000000005</v>
      </c>
      <c r="F58" s="31"/>
      <c r="G58" s="8">
        <f t="shared" si="2"/>
        <v>0</v>
      </c>
    </row>
    <row r="59" spans="1:7" x14ac:dyDescent="0.3">
      <c r="A59" s="4">
        <v>793888084513</v>
      </c>
      <c r="B59" s="5" t="s">
        <v>131</v>
      </c>
      <c r="C59" s="6" t="s">
        <v>132</v>
      </c>
      <c r="D59" s="6" t="s">
        <v>14</v>
      </c>
      <c r="E59" s="15">
        <v>39.420000000000009</v>
      </c>
      <c r="F59" s="31"/>
      <c r="G59" s="8">
        <f t="shared" si="2"/>
        <v>0</v>
      </c>
    </row>
    <row r="60" spans="1:7" x14ac:dyDescent="0.3">
      <c r="A60" s="4">
        <v>752830989689</v>
      </c>
      <c r="B60" s="5" t="s">
        <v>133</v>
      </c>
      <c r="C60" s="6" t="s">
        <v>134</v>
      </c>
      <c r="D60" s="6" t="s">
        <v>30</v>
      </c>
      <c r="E60" s="15">
        <v>22.950000000000003</v>
      </c>
      <c r="F60" s="31"/>
      <c r="G60" s="8">
        <f t="shared" si="2"/>
        <v>0</v>
      </c>
    </row>
    <row r="61" spans="1:7" x14ac:dyDescent="0.3">
      <c r="A61" s="4">
        <v>752830605633</v>
      </c>
      <c r="B61" s="5" t="s">
        <v>135</v>
      </c>
      <c r="C61" s="6" t="s">
        <v>136</v>
      </c>
      <c r="D61" s="6" t="s">
        <v>14</v>
      </c>
      <c r="E61" s="15">
        <v>39.420000000000009</v>
      </c>
      <c r="F61" s="31"/>
      <c r="G61" s="8">
        <f t="shared" si="2"/>
        <v>0</v>
      </c>
    </row>
    <row r="62" spans="1:7" x14ac:dyDescent="0.3">
      <c r="A62" s="4">
        <v>644216049301</v>
      </c>
      <c r="B62" s="5" t="s">
        <v>137</v>
      </c>
      <c r="C62" s="6" t="s">
        <v>138</v>
      </c>
      <c r="D62" s="6" t="s">
        <v>14</v>
      </c>
      <c r="E62" s="15">
        <v>82.350000000000009</v>
      </c>
      <c r="F62" s="31"/>
      <c r="G62" s="8">
        <f t="shared" si="2"/>
        <v>0</v>
      </c>
    </row>
    <row r="63" spans="1:7" x14ac:dyDescent="0.3">
      <c r="A63" s="4">
        <v>793888083110</v>
      </c>
      <c r="B63" s="5" t="s">
        <v>139</v>
      </c>
      <c r="C63" s="6" t="s">
        <v>140</v>
      </c>
      <c r="D63" s="6" t="s">
        <v>141</v>
      </c>
      <c r="E63" s="15">
        <v>45.360000000000007</v>
      </c>
      <c r="F63" s="31"/>
      <c r="G63" s="8">
        <f t="shared" si="2"/>
        <v>0</v>
      </c>
    </row>
    <row r="64" spans="1:7" x14ac:dyDescent="0.3">
      <c r="A64" s="11">
        <v>810147500321</v>
      </c>
      <c r="B64" s="12" t="s">
        <v>142</v>
      </c>
      <c r="C64" s="13" t="s">
        <v>143</v>
      </c>
      <c r="D64" s="13" t="s">
        <v>83</v>
      </c>
      <c r="E64" s="17">
        <v>20.25</v>
      </c>
      <c r="F64" s="31"/>
      <c r="G64" s="8">
        <f t="shared" si="2"/>
        <v>0</v>
      </c>
    </row>
    <row r="65" spans="1:7" x14ac:dyDescent="0.3">
      <c r="A65" s="4">
        <v>810147501267</v>
      </c>
      <c r="B65" s="5" t="s">
        <v>267</v>
      </c>
      <c r="C65" s="6" t="s">
        <v>268</v>
      </c>
      <c r="D65" s="6" t="s">
        <v>269</v>
      </c>
      <c r="E65" s="15">
        <v>45.900000000000006</v>
      </c>
      <c r="F65" s="31"/>
      <c r="G65" s="8">
        <f t="shared" si="2"/>
        <v>0</v>
      </c>
    </row>
    <row r="66" spans="1:7" x14ac:dyDescent="0.3">
      <c r="A66" s="9">
        <v>752830605138</v>
      </c>
      <c r="B66" s="5" t="s">
        <v>144</v>
      </c>
      <c r="C66" s="7" t="s">
        <v>145</v>
      </c>
      <c r="D66" s="6" t="s">
        <v>90</v>
      </c>
      <c r="E66" s="15">
        <v>19.440000000000001</v>
      </c>
      <c r="F66" s="31"/>
      <c r="G66" s="8">
        <f t="shared" si="2"/>
        <v>0</v>
      </c>
    </row>
    <row r="67" spans="1:7" x14ac:dyDescent="0.3">
      <c r="A67" s="4">
        <v>752830605237</v>
      </c>
      <c r="B67" s="5" t="s">
        <v>146</v>
      </c>
      <c r="C67" s="6" t="s">
        <v>147</v>
      </c>
      <c r="D67" s="6" t="s">
        <v>90</v>
      </c>
      <c r="E67" s="15">
        <v>24.3</v>
      </c>
      <c r="F67" s="31"/>
      <c r="G67" s="8">
        <f t="shared" si="2"/>
        <v>0</v>
      </c>
    </row>
    <row r="68" spans="1:7" x14ac:dyDescent="0.3">
      <c r="A68" s="4">
        <v>644216049004</v>
      </c>
      <c r="B68" s="5" t="s">
        <v>148</v>
      </c>
      <c r="C68" s="6" t="s">
        <v>149</v>
      </c>
      <c r="D68" s="6" t="s">
        <v>74</v>
      </c>
      <c r="E68" s="15">
        <v>36.99</v>
      </c>
      <c r="F68" s="31"/>
      <c r="G68" s="8">
        <f t="shared" si="2"/>
        <v>0</v>
      </c>
    </row>
    <row r="69" spans="1:7" x14ac:dyDescent="0.3">
      <c r="A69" s="4">
        <v>793888088214</v>
      </c>
      <c r="B69" s="5" t="s">
        <v>150</v>
      </c>
      <c r="C69" s="6" t="s">
        <v>151</v>
      </c>
      <c r="D69" s="6" t="s">
        <v>8</v>
      </c>
      <c r="E69" s="15">
        <v>219.78000000000003</v>
      </c>
      <c r="F69" s="31"/>
      <c r="G69" s="8">
        <f t="shared" si="2"/>
        <v>0</v>
      </c>
    </row>
    <row r="70" spans="1:7" x14ac:dyDescent="0.3">
      <c r="A70" s="4">
        <v>752830006386</v>
      </c>
      <c r="B70" s="5" t="s">
        <v>152</v>
      </c>
      <c r="C70" s="6" t="s">
        <v>153</v>
      </c>
      <c r="D70" s="6" t="s">
        <v>8</v>
      </c>
      <c r="E70" s="15">
        <v>72.360000000000014</v>
      </c>
      <c r="F70" s="31"/>
      <c r="G70" s="8">
        <f t="shared" si="2"/>
        <v>0</v>
      </c>
    </row>
    <row r="71" spans="1:7" x14ac:dyDescent="0.3">
      <c r="A71" s="4">
        <v>19962509315</v>
      </c>
      <c r="B71" s="5" t="s">
        <v>154</v>
      </c>
      <c r="C71" s="6" t="s">
        <v>155</v>
      </c>
      <c r="D71" s="6" t="s">
        <v>90</v>
      </c>
      <c r="E71" s="15">
        <v>28.35</v>
      </c>
      <c r="F71" s="31"/>
      <c r="G71" s="8">
        <f t="shared" si="2"/>
        <v>0</v>
      </c>
    </row>
    <row r="72" spans="1:7" x14ac:dyDescent="0.3">
      <c r="A72" s="4">
        <v>653341620804</v>
      </c>
      <c r="B72" s="5" t="s">
        <v>156</v>
      </c>
      <c r="C72" s="6" t="s">
        <v>157</v>
      </c>
      <c r="D72" s="6" t="s">
        <v>30</v>
      </c>
      <c r="E72" s="15">
        <v>27</v>
      </c>
      <c r="F72" s="31"/>
      <c r="G72" s="8">
        <f t="shared" si="2"/>
        <v>0</v>
      </c>
    </row>
    <row r="73" spans="1:7" x14ac:dyDescent="0.3">
      <c r="A73" s="4">
        <v>644216047208</v>
      </c>
      <c r="B73" s="5" t="s">
        <v>158</v>
      </c>
      <c r="C73" s="10" t="s">
        <v>159</v>
      </c>
      <c r="D73" s="6" t="s">
        <v>30</v>
      </c>
      <c r="E73" s="15">
        <v>18.090000000000003</v>
      </c>
      <c r="F73" s="31"/>
      <c r="G73" s="8">
        <f t="shared" ref="G73:G95" si="3">F73*E73</f>
        <v>0</v>
      </c>
    </row>
    <row r="74" spans="1:7" x14ac:dyDescent="0.3">
      <c r="A74" s="4">
        <v>644216045501</v>
      </c>
      <c r="B74" s="5" t="s">
        <v>160</v>
      </c>
      <c r="C74" s="6" t="s">
        <v>161</v>
      </c>
      <c r="D74" s="6" t="s">
        <v>51</v>
      </c>
      <c r="E74" s="15">
        <v>51.030000000000008</v>
      </c>
      <c r="F74" s="31"/>
      <c r="G74" s="8">
        <f t="shared" si="3"/>
        <v>0</v>
      </c>
    </row>
    <row r="75" spans="1:7" x14ac:dyDescent="0.3">
      <c r="A75" s="4">
        <v>752830988880</v>
      </c>
      <c r="B75" s="5" t="s">
        <v>162</v>
      </c>
      <c r="C75" s="6" t="s">
        <v>163</v>
      </c>
      <c r="D75" s="6" t="s">
        <v>30</v>
      </c>
      <c r="E75" s="15">
        <v>21.060000000000002</v>
      </c>
      <c r="F75" s="31"/>
      <c r="G75" s="8">
        <f t="shared" si="3"/>
        <v>0</v>
      </c>
    </row>
    <row r="76" spans="1:7" x14ac:dyDescent="0.3">
      <c r="A76" s="4">
        <v>691835027401</v>
      </c>
      <c r="B76" s="5" t="s">
        <v>164</v>
      </c>
      <c r="C76" s="6" t="s">
        <v>165</v>
      </c>
      <c r="D76" s="6" t="s">
        <v>30</v>
      </c>
      <c r="E76" s="15">
        <v>41.580000000000005</v>
      </c>
      <c r="F76" s="31"/>
      <c r="G76" s="8">
        <f t="shared" si="3"/>
        <v>0</v>
      </c>
    </row>
    <row r="77" spans="1:7" x14ac:dyDescent="0.3">
      <c r="A77" s="4">
        <v>644216046102</v>
      </c>
      <c r="B77" s="5" t="s">
        <v>166</v>
      </c>
      <c r="C77" s="6" t="s">
        <v>167</v>
      </c>
      <c r="D77" s="6" t="s">
        <v>90</v>
      </c>
      <c r="E77" s="15">
        <v>24.3</v>
      </c>
      <c r="F77" s="31"/>
      <c r="G77" s="8">
        <f t="shared" si="3"/>
        <v>0</v>
      </c>
    </row>
    <row r="78" spans="1:7" x14ac:dyDescent="0.3">
      <c r="A78" s="4">
        <v>644216046102</v>
      </c>
      <c r="B78" s="5" t="s">
        <v>166</v>
      </c>
      <c r="C78" s="6" t="s">
        <v>168</v>
      </c>
      <c r="D78" s="6" t="s">
        <v>30</v>
      </c>
      <c r="E78" s="15">
        <v>36.99</v>
      </c>
      <c r="F78" s="31"/>
      <c r="G78" s="8">
        <f t="shared" si="3"/>
        <v>0</v>
      </c>
    </row>
    <row r="79" spans="1:7" x14ac:dyDescent="0.3">
      <c r="A79" s="4">
        <v>644216048007</v>
      </c>
      <c r="B79" s="5" t="s">
        <v>169</v>
      </c>
      <c r="C79" s="6" t="s">
        <v>170</v>
      </c>
      <c r="D79" s="6" t="s">
        <v>14</v>
      </c>
      <c r="E79" s="15">
        <v>45.360000000000007</v>
      </c>
      <c r="F79" s="31"/>
      <c r="G79" s="8">
        <f t="shared" si="3"/>
        <v>0</v>
      </c>
    </row>
    <row r="80" spans="1:7" x14ac:dyDescent="0.3">
      <c r="A80" s="4">
        <v>644216049202</v>
      </c>
      <c r="B80" s="5" t="s">
        <v>171</v>
      </c>
      <c r="C80" s="6" t="s">
        <v>172</v>
      </c>
      <c r="D80" s="6" t="s">
        <v>74</v>
      </c>
      <c r="E80" s="15">
        <v>36.99</v>
      </c>
      <c r="F80" s="31"/>
      <c r="G80" s="8">
        <f t="shared" si="3"/>
        <v>0</v>
      </c>
    </row>
    <row r="81" spans="1:7" x14ac:dyDescent="0.3">
      <c r="A81" s="4">
        <v>19962509513</v>
      </c>
      <c r="B81" s="5" t="s">
        <v>173</v>
      </c>
      <c r="C81" s="6" t="s">
        <v>174</v>
      </c>
      <c r="D81" s="6" t="s">
        <v>30</v>
      </c>
      <c r="E81" s="15">
        <v>35.640000000000008</v>
      </c>
      <c r="F81" s="31"/>
      <c r="G81" s="8">
        <f t="shared" si="3"/>
        <v>0</v>
      </c>
    </row>
    <row r="82" spans="1:7" x14ac:dyDescent="0.3">
      <c r="A82" s="11">
        <v>810147500291</v>
      </c>
      <c r="B82" s="5" t="s">
        <v>175</v>
      </c>
      <c r="C82" s="14" t="s">
        <v>176</v>
      </c>
      <c r="D82" s="14" t="s">
        <v>90</v>
      </c>
      <c r="E82" s="15">
        <v>21.330000000000002</v>
      </c>
      <c r="F82" s="31"/>
      <c r="G82" s="8">
        <f t="shared" si="3"/>
        <v>0</v>
      </c>
    </row>
    <row r="83" spans="1:7" x14ac:dyDescent="0.3">
      <c r="A83" s="9">
        <v>793888084414</v>
      </c>
      <c r="B83" s="5" t="s">
        <v>177</v>
      </c>
      <c r="C83" s="7" t="s">
        <v>178</v>
      </c>
      <c r="D83" s="7" t="s">
        <v>179</v>
      </c>
      <c r="E83" s="15">
        <v>39.420000000000009</v>
      </c>
      <c r="F83" s="31"/>
      <c r="G83" s="8">
        <f t="shared" si="3"/>
        <v>0</v>
      </c>
    </row>
    <row r="84" spans="1:7" x14ac:dyDescent="0.3">
      <c r="A84" s="4">
        <v>691835026909</v>
      </c>
      <c r="B84" s="5" t="s">
        <v>180</v>
      </c>
      <c r="C84" s="6" t="s">
        <v>181</v>
      </c>
      <c r="D84" s="6" t="s">
        <v>8</v>
      </c>
      <c r="E84" s="15">
        <v>297.81000000000006</v>
      </c>
      <c r="F84" s="31"/>
      <c r="G84" s="8">
        <f t="shared" si="3"/>
        <v>0</v>
      </c>
    </row>
    <row r="85" spans="1:7" x14ac:dyDescent="0.3">
      <c r="A85" s="4">
        <v>810147500468</v>
      </c>
      <c r="B85" s="5" t="s">
        <v>182</v>
      </c>
      <c r="C85" s="6" t="s">
        <v>183</v>
      </c>
      <c r="D85" s="6" t="s">
        <v>90</v>
      </c>
      <c r="E85" s="15">
        <v>21.6</v>
      </c>
      <c r="F85" s="31"/>
      <c r="G85" s="8">
        <f t="shared" si="3"/>
        <v>0</v>
      </c>
    </row>
    <row r="86" spans="1:7" x14ac:dyDescent="0.3">
      <c r="A86" s="4">
        <v>810147500482</v>
      </c>
      <c r="B86" s="5" t="s">
        <v>184</v>
      </c>
      <c r="C86" s="6" t="s">
        <v>185</v>
      </c>
      <c r="D86" s="6" t="s">
        <v>90</v>
      </c>
      <c r="E86" s="15">
        <v>19.980000000000004</v>
      </c>
      <c r="F86" s="31"/>
      <c r="G86" s="8">
        <f t="shared" si="3"/>
        <v>0</v>
      </c>
    </row>
    <row r="87" spans="1:7" x14ac:dyDescent="0.3">
      <c r="A87" s="4">
        <v>810147500475</v>
      </c>
      <c r="B87" s="5" t="s">
        <v>186</v>
      </c>
      <c r="C87" s="6" t="s">
        <v>187</v>
      </c>
      <c r="D87" s="6" t="s">
        <v>188</v>
      </c>
      <c r="E87" s="15">
        <v>18.900000000000002</v>
      </c>
      <c r="F87" s="31"/>
      <c r="G87" s="8">
        <f t="shared" si="3"/>
        <v>0</v>
      </c>
    </row>
    <row r="88" spans="1:7" x14ac:dyDescent="0.3">
      <c r="A88" s="4">
        <v>810147500451</v>
      </c>
      <c r="B88" s="5" t="s">
        <v>189</v>
      </c>
      <c r="C88" s="6" t="s">
        <v>270</v>
      </c>
      <c r="D88" s="6" t="s">
        <v>90</v>
      </c>
      <c r="E88" s="15">
        <v>22.950000000000003</v>
      </c>
      <c r="F88" s="31"/>
      <c r="G88" s="8">
        <f t="shared" si="3"/>
        <v>0</v>
      </c>
    </row>
    <row r="89" spans="1:7" x14ac:dyDescent="0.3">
      <c r="A89" s="4"/>
      <c r="B89" s="5" t="s">
        <v>274</v>
      </c>
      <c r="C89" s="6" t="s">
        <v>275</v>
      </c>
      <c r="D89" s="6" t="s">
        <v>276</v>
      </c>
      <c r="E89" s="15">
        <v>189</v>
      </c>
      <c r="F89" s="31"/>
      <c r="G89" s="8">
        <f t="shared" si="3"/>
        <v>0</v>
      </c>
    </row>
    <row r="90" spans="1:7" x14ac:dyDescent="0.3">
      <c r="A90" s="4">
        <v>691835027005</v>
      </c>
      <c r="B90" s="5" t="s">
        <v>190</v>
      </c>
      <c r="C90" s="6" t="s">
        <v>191</v>
      </c>
      <c r="D90" s="6" t="s">
        <v>30</v>
      </c>
      <c r="E90" s="15">
        <v>24.3</v>
      </c>
      <c r="F90" s="31"/>
      <c r="G90" s="8">
        <f t="shared" si="3"/>
        <v>0</v>
      </c>
    </row>
    <row r="91" spans="1:7" x14ac:dyDescent="0.3">
      <c r="A91" s="9">
        <v>653341620309</v>
      </c>
      <c r="B91" s="5" t="s">
        <v>192</v>
      </c>
      <c r="C91" s="6" t="s">
        <v>193</v>
      </c>
      <c r="D91" s="6" t="s">
        <v>19</v>
      </c>
      <c r="E91" s="15">
        <v>31.320000000000007</v>
      </c>
      <c r="F91" s="31"/>
      <c r="G91" s="8">
        <f t="shared" si="3"/>
        <v>0</v>
      </c>
    </row>
    <row r="92" spans="1:7" x14ac:dyDescent="0.3">
      <c r="A92" s="9">
        <v>752830005785</v>
      </c>
      <c r="B92" s="5" t="s">
        <v>194</v>
      </c>
      <c r="C92" s="6" t="s">
        <v>195</v>
      </c>
      <c r="D92" s="6" t="s">
        <v>5</v>
      </c>
      <c r="E92" s="15">
        <v>71.820000000000007</v>
      </c>
      <c r="F92" s="31"/>
      <c r="G92" s="8">
        <f t="shared" si="3"/>
        <v>0</v>
      </c>
    </row>
    <row r="93" spans="1:7" x14ac:dyDescent="0.3">
      <c r="A93" s="4" t="s">
        <v>257</v>
      </c>
      <c r="B93" s="5" t="s">
        <v>196</v>
      </c>
      <c r="C93" s="6" t="s">
        <v>197</v>
      </c>
      <c r="D93" s="6" t="s">
        <v>8</v>
      </c>
      <c r="E93" s="15">
        <v>1116.72</v>
      </c>
      <c r="F93" s="31"/>
      <c r="G93" s="8">
        <f t="shared" si="3"/>
        <v>0</v>
      </c>
    </row>
    <row r="94" spans="1:7" hidden="1" x14ac:dyDescent="0.3">
      <c r="A94" s="4"/>
      <c r="B94" s="5" t="s">
        <v>198</v>
      </c>
      <c r="C94" s="6" t="s">
        <v>199</v>
      </c>
      <c r="D94" s="6" t="s">
        <v>200</v>
      </c>
      <c r="E94" s="16" t="s">
        <v>256</v>
      </c>
      <c r="F94" s="31"/>
      <c r="G94" s="8">
        <v>0</v>
      </c>
    </row>
    <row r="95" spans="1:7" hidden="1" x14ac:dyDescent="0.3">
      <c r="A95" s="4"/>
      <c r="B95" s="5" t="s">
        <v>201</v>
      </c>
      <c r="C95" s="6" t="s">
        <v>202</v>
      </c>
      <c r="D95" s="6" t="s">
        <v>203</v>
      </c>
      <c r="E95" s="16" t="s">
        <v>256</v>
      </c>
      <c r="F95" s="31"/>
      <c r="G95" s="8">
        <v>0</v>
      </c>
    </row>
    <row r="96" spans="1:7" hidden="1" x14ac:dyDescent="0.3">
      <c r="A96" s="4"/>
      <c r="B96" s="5" t="s">
        <v>204</v>
      </c>
      <c r="C96" s="6" t="s">
        <v>205</v>
      </c>
      <c r="D96" s="6" t="s">
        <v>203</v>
      </c>
      <c r="E96" s="16" t="s">
        <v>256</v>
      </c>
      <c r="F96" s="31"/>
      <c r="G96" s="8">
        <v>0</v>
      </c>
    </row>
    <row r="97" spans="1:7" hidden="1" x14ac:dyDescent="0.3">
      <c r="A97" s="4"/>
      <c r="B97" s="5" t="s">
        <v>206</v>
      </c>
      <c r="C97" s="6" t="s">
        <v>207</v>
      </c>
      <c r="D97" s="6" t="s">
        <v>200</v>
      </c>
      <c r="E97" s="16" t="s">
        <v>256</v>
      </c>
      <c r="F97" s="31"/>
      <c r="G97" s="8">
        <v>0</v>
      </c>
    </row>
    <row r="98" spans="1:7" hidden="1" x14ac:dyDescent="0.3">
      <c r="A98" s="4"/>
      <c r="B98" s="5" t="s">
        <v>208</v>
      </c>
      <c r="C98" s="6" t="s">
        <v>209</v>
      </c>
      <c r="D98" s="6" t="s">
        <v>210</v>
      </c>
      <c r="E98" s="16" t="s">
        <v>256</v>
      </c>
      <c r="F98" s="31"/>
      <c r="G98" s="8">
        <v>0</v>
      </c>
    </row>
    <row r="99" spans="1:7" hidden="1" x14ac:dyDescent="0.3">
      <c r="A99" s="4"/>
      <c r="B99" s="5" t="s">
        <v>211</v>
      </c>
      <c r="C99" s="6" t="s">
        <v>212</v>
      </c>
      <c r="D99" s="6" t="s">
        <v>210</v>
      </c>
      <c r="E99" s="16" t="s">
        <v>256</v>
      </c>
      <c r="F99" s="31"/>
      <c r="G99" s="8">
        <v>0</v>
      </c>
    </row>
    <row r="100" spans="1:7" hidden="1" x14ac:dyDescent="0.3">
      <c r="A100" s="4"/>
      <c r="B100" s="5" t="s">
        <v>213</v>
      </c>
      <c r="C100" s="6" t="s">
        <v>214</v>
      </c>
      <c r="D100" s="6" t="s">
        <v>215</v>
      </c>
      <c r="E100" s="16" t="s">
        <v>256</v>
      </c>
      <c r="F100" s="31"/>
      <c r="G100" s="8">
        <v>0</v>
      </c>
    </row>
    <row r="101" spans="1:7" hidden="1" x14ac:dyDescent="0.3">
      <c r="A101" s="4"/>
      <c r="B101" s="5" t="s">
        <v>216</v>
      </c>
      <c r="C101" s="6" t="s">
        <v>217</v>
      </c>
      <c r="D101" s="6" t="s">
        <v>218</v>
      </c>
      <c r="E101" s="16" t="s">
        <v>256</v>
      </c>
      <c r="F101" s="31"/>
      <c r="G101" s="8">
        <v>0</v>
      </c>
    </row>
    <row r="102" spans="1:7" hidden="1" x14ac:dyDescent="0.3">
      <c r="A102" s="4"/>
      <c r="B102" s="5" t="s">
        <v>219</v>
      </c>
      <c r="C102" s="6" t="s">
        <v>220</v>
      </c>
      <c r="D102" s="6" t="s">
        <v>221</v>
      </c>
      <c r="E102" s="16" t="s">
        <v>256</v>
      </c>
      <c r="F102" s="31"/>
      <c r="G102" s="8">
        <v>0</v>
      </c>
    </row>
    <row r="103" spans="1:7" hidden="1" x14ac:dyDescent="0.3">
      <c r="A103" s="4"/>
      <c r="B103" s="5" t="s">
        <v>222</v>
      </c>
      <c r="C103" s="6" t="s">
        <v>223</v>
      </c>
      <c r="D103" s="6" t="s">
        <v>221</v>
      </c>
      <c r="E103" s="16" t="s">
        <v>256</v>
      </c>
      <c r="F103" s="31"/>
      <c r="G103" s="8">
        <v>0</v>
      </c>
    </row>
    <row r="104" spans="1:7" x14ac:dyDescent="0.3">
      <c r="A104" s="4">
        <v>653341623003</v>
      </c>
      <c r="B104" s="5" t="s">
        <v>224</v>
      </c>
      <c r="C104" s="6" t="s">
        <v>225</v>
      </c>
      <c r="D104" s="6" t="s">
        <v>14</v>
      </c>
      <c r="E104" s="16">
        <v>42.660000000000004</v>
      </c>
      <c r="F104" s="31"/>
      <c r="G104" s="8">
        <v>0</v>
      </c>
    </row>
    <row r="105" spans="1:7" x14ac:dyDescent="0.3">
      <c r="A105" s="4">
        <v>653341624505</v>
      </c>
      <c r="B105" s="5" t="s">
        <v>226</v>
      </c>
      <c r="C105" s="6" t="s">
        <v>227</v>
      </c>
      <c r="D105" s="6" t="s">
        <v>30</v>
      </c>
      <c r="E105" s="16">
        <v>35.640000000000008</v>
      </c>
      <c r="F105" s="31"/>
      <c r="G105" s="8">
        <v>0</v>
      </c>
    </row>
    <row r="106" spans="1:7" x14ac:dyDescent="0.3">
      <c r="A106" s="4"/>
      <c r="B106" s="5" t="s">
        <v>228</v>
      </c>
      <c r="C106" s="6" t="s">
        <v>229</v>
      </c>
      <c r="D106" s="6" t="s">
        <v>8</v>
      </c>
      <c r="E106" s="16">
        <v>190.89000000000001</v>
      </c>
      <c r="F106" s="31"/>
      <c r="G106" s="8">
        <v>0</v>
      </c>
    </row>
    <row r="107" spans="1:7" x14ac:dyDescent="0.3">
      <c r="A107" s="4">
        <v>653341623508</v>
      </c>
      <c r="B107" s="5" t="s">
        <v>230</v>
      </c>
      <c r="C107" s="6" t="s">
        <v>231</v>
      </c>
      <c r="D107" s="6" t="s">
        <v>232</v>
      </c>
      <c r="E107" s="15">
        <v>45.360000000000007</v>
      </c>
      <c r="F107" s="31"/>
      <c r="G107" s="8">
        <f t="shared" ref="G107:G117" si="4">F107*E107</f>
        <v>0</v>
      </c>
    </row>
    <row r="108" spans="1:7" x14ac:dyDescent="0.3">
      <c r="A108" s="4">
        <v>793888088313</v>
      </c>
      <c r="B108" s="5" t="s">
        <v>233</v>
      </c>
      <c r="C108" s="6" t="s">
        <v>234</v>
      </c>
      <c r="D108" s="6" t="s">
        <v>58</v>
      </c>
      <c r="E108" s="15">
        <v>42.660000000000004</v>
      </c>
      <c r="F108" s="31"/>
      <c r="G108" s="8">
        <f t="shared" si="4"/>
        <v>0</v>
      </c>
    </row>
    <row r="109" spans="1:7" x14ac:dyDescent="0.3">
      <c r="A109" s="4">
        <v>752830990388</v>
      </c>
      <c r="B109" s="5" t="s">
        <v>235</v>
      </c>
      <c r="C109" s="6" t="s">
        <v>236</v>
      </c>
      <c r="D109" s="6" t="s">
        <v>232</v>
      </c>
      <c r="E109" s="15">
        <v>36.99</v>
      </c>
      <c r="F109" s="31"/>
      <c r="G109" s="8">
        <f t="shared" si="4"/>
        <v>0</v>
      </c>
    </row>
    <row r="110" spans="1:7" x14ac:dyDescent="0.3">
      <c r="A110" s="4">
        <v>752830005686</v>
      </c>
      <c r="B110" s="5" t="s">
        <v>237</v>
      </c>
      <c r="C110" s="10" t="s">
        <v>238</v>
      </c>
      <c r="D110" s="6" t="s">
        <v>239</v>
      </c>
      <c r="E110" s="15">
        <v>36.99</v>
      </c>
      <c r="F110" s="31"/>
      <c r="G110" s="8">
        <f t="shared" si="4"/>
        <v>0</v>
      </c>
    </row>
    <row r="111" spans="1:7" x14ac:dyDescent="0.3">
      <c r="A111" s="4">
        <v>752830006584</v>
      </c>
      <c r="B111" s="5" t="s">
        <v>240</v>
      </c>
      <c r="C111" s="6" t="s">
        <v>241</v>
      </c>
      <c r="D111" s="6" t="s">
        <v>30</v>
      </c>
      <c r="E111" s="15">
        <v>35.640000000000008</v>
      </c>
      <c r="F111" s="31"/>
      <c r="G111" s="8">
        <f t="shared" si="4"/>
        <v>0</v>
      </c>
    </row>
    <row r="112" spans="1:7" x14ac:dyDescent="0.3">
      <c r="A112" s="4">
        <v>653341620200</v>
      </c>
      <c r="B112" s="5" t="s">
        <v>242</v>
      </c>
      <c r="C112" s="6" t="s">
        <v>243</v>
      </c>
      <c r="D112" s="6" t="s">
        <v>14</v>
      </c>
      <c r="E112" s="15">
        <v>29.700000000000003</v>
      </c>
      <c r="F112" s="31"/>
      <c r="G112" s="8">
        <f t="shared" si="4"/>
        <v>0</v>
      </c>
    </row>
    <row r="113" spans="1:7" x14ac:dyDescent="0.3">
      <c r="A113" s="4">
        <v>810147500277</v>
      </c>
      <c r="B113" s="5" t="s">
        <v>244</v>
      </c>
      <c r="C113" s="6" t="s">
        <v>245</v>
      </c>
      <c r="D113" s="6" t="s">
        <v>90</v>
      </c>
      <c r="E113" s="15">
        <v>26.730000000000004</v>
      </c>
      <c r="F113" s="31"/>
      <c r="G113" s="8">
        <f t="shared" si="4"/>
        <v>0</v>
      </c>
    </row>
    <row r="114" spans="1:7" x14ac:dyDescent="0.3">
      <c r="A114" s="4">
        <v>653341621108</v>
      </c>
      <c r="B114" s="5" t="s">
        <v>246</v>
      </c>
      <c r="C114" s="6" t="s">
        <v>247</v>
      </c>
      <c r="D114" s="6" t="s">
        <v>19</v>
      </c>
      <c r="E114" s="15">
        <v>18.090000000000003</v>
      </c>
      <c r="F114" s="31"/>
      <c r="G114" s="8">
        <f t="shared" si="4"/>
        <v>0</v>
      </c>
    </row>
    <row r="115" spans="1:7" x14ac:dyDescent="0.3">
      <c r="A115" s="4">
        <v>644216047406</v>
      </c>
      <c r="B115" s="5" t="s">
        <v>248</v>
      </c>
      <c r="C115" s="6" t="s">
        <v>249</v>
      </c>
      <c r="D115" s="6" t="s">
        <v>14</v>
      </c>
      <c r="E115" s="15">
        <v>21.060000000000002</v>
      </c>
      <c r="F115" s="31"/>
      <c r="G115" s="8">
        <f t="shared" si="4"/>
        <v>0</v>
      </c>
    </row>
    <row r="116" spans="1:7" x14ac:dyDescent="0.3">
      <c r="A116" s="9">
        <v>19962509018</v>
      </c>
      <c r="B116" s="5" t="s">
        <v>250</v>
      </c>
      <c r="C116" s="6" t="s">
        <v>251</v>
      </c>
      <c r="D116" s="6" t="s">
        <v>30</v>
      </c>
      <c r="E116" s="15">
        <v>18.090000000000003</v>
      </c>
      <c r="F116" s="31"/>
      <c r="G116" s="8">
        <f t="shared" si="4"/>
        <v>0</v>
      </c>
    </row>
    <row r="117" spans="1:7" x14ac:dyDescent="0.3">
      <c r="A117" s="9"/>
      <c r="B117" s="5" t="s">
        <v>252</v>
      </c>
      <c r="C117" s="6" t="s">
        <v>253</v>
      </c>
      <c r="D117" s="6" t="s">
        <v>254</v>
      </c>
      <c r="E117" s="15">
        <v>130.41000000000003</v>
      </c>
      <c r="F117" s="31"/>
      <c r="G117" s="8">
        <f t="shared" si="4"/>
        <v>0</v>
      </c>
    </row>
    <row r="119" spans="1:7" ht="15" thickBot="1" x14ac:dyDescent="0.35"/>
    <row r="120" spans="1:7" ht="31.8" customHeight="1" thickBot="1" x14ac:dyDescent="0.35">
      <c r="B120" s="23"/>
    </row>
    <row r="121" spans="1:7" x14ac:dyDescent="0.3">
      <c r="B121" s="24" t="s">
        <v>262</v>
      </c>
    </row>
    <row r="122" spans="1:7" x14ac:dyDescent="0.3">
      <c r="B122" s="25" t="s">
        <v>263</v>
      </c>
    </row>
    <row r="123" spans="1:7" ht="15" thickBot="1" x14ac:dyDescent="0.35">
      <c r="B123" s="26" t="s">
        <v>264</v>
      </c>
    </row>
    <row r="124" spans="1:7" x14ac:dyDescent="0.3">
      <c r="B124" s="27" t="s">
        <v>265</v>
      </c>
    </row>
    <row r="125" spans="1:7" ht="15" thickBot="1" x14ac:dyDescent="0.35">
      <c r="B125" s="28" t="s">
        <v>266</v>
      </c>
    </row>
  </sheetData>
  <sheetProtection algorithmName="SHA-512" hashValue="Z34oH4OLMbEo+knVTLoZPF65yzuLOCwdTHixKtgIh+epI9LrrFJC5g5Ml/BMiH3Nn97GIE/QE+aVcZvR21lGQA==" saltValue="1UD5ot/mc/fgyl0n+ayoFw==" spinCount="100000" sheet="1" formatCells="0" formatColumns="0" formatRows="0" insertColumns="0" insertRows="0" insertHyperlinks="0" deleteColumns="0" deleteRows="0" sort="0" autoFilter="0" pivotTables="0"/>
  <autoFilter ref="A2:G125" xr:uid="{6649DBCF-10C3-4335-9E37-62A9A4BB60E0}">
    <filterColumn colId="4">
      <filters blank="1">
        <filter val="$1 116,72"/>
        <filter val="$102,06"/>
        <filter val="$11,34"/>
        <filter val="$113,40"/>
        <filter val="$130,41"/>
        <filter val="$14,85"/>
        <filter val="$163,35"/>
        <filter val="$18,09"/>
        <filter val="$18,90"/>
        <filter val="$189,00"/>
        <filter val="$19,44"/>
        <filter val="$19,98"/>
        <filter val="$190,89"/>
        <filter val="$191,43"/>
        <filter val="$20,25"/>
        <filter val="$21,06"/>
        <filter val="$21,33"/>
        <filter val="$21,60"/>
        <filter val="$219,78"/>
        <filter val="$22,95"/>
        <filter val="$24,03"/>
        <filter val="$24,30"/>
        <filter val="$25,38"/>
        <filter val="$25,65"/>
        <filter val="$26,46"/>
        <filter val="$26,73"/>
        <filter val="$261,90"/>
        <filter val="$27,00"/>
        <filter val="$28,35"/>
        <filter val="$287,28"/>
        <filter val="$29,70"/>
        <filter val="$297,81"/>
        <filter val="$31,32"/>
        <filter val="$31,86"/>
        <filter val="$32,13"/>
        <filter val="$32,40"/>
        <filter val="$33,75"/>
        <filter val="$333,18"/>
        <filter val="$349,38"/>
        <filter val="$35,64"/>
        <filter val="$36,99"/>
        <filter val="$376,65"/>
        <filter val="$39,15"/>
        <filter val="$39,42"/>
        <filter val="$39,69"/>
        <filter val="$40,50"/>
        <filter val="$41,58"/>
        <filter val="$41,85"/>
        <filter val="$42,66"/>
        <filter val="$43,20"/>
        <filter val="$44,55"/>
        <filter val="$45,36"/>
        <filter val="$45,90"/>
        <filter val="$48,33"/>
        <filter val="$51,03"/>
        <filter val="$53,46"/>
        <filter val="$68,04"/>
        <filter val="$71,82"/>
        <filter val="$72,36"/>
        <filter val="$769,50"/>
        <filter val="$82,35"/>
        <filter val="$85,05"/>
        <filter val="$96,39"/>
        <filter val="$99,36"/>
      </filters>
    </filterColumn>
  </autoFilter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(Quicksilver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2025-01-14T17:46:51Z</dcterms:created>
  <dcterms:modified xsi:type="dcterms:W3CDTF">2025-05-20T07:05:40Z</dcterms:modified>
</cp:coreProperties>
</file>