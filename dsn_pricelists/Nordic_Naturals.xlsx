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W\Всяке\прайсики\Project X\Міжнародка\"/>
    </mc:Choice>
  </mc:AlternateContent>
  <xr:revisionPtr revIDLastSave="0" documentId="8_{685CFF39-F6DE-472E-A3BD-F79A703927E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SN GROUP (Nordic)" sheetId="2" r:id="rId1"/>
  </sheets>
  <definedNames>
    <definedName name="_xlnm._FilterDatabase" localSheetId="0" hidden="1">'DSN GROUP (Nordic)'!$A$2:$J$168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40" i="2" l="1"/>
  <c r="N140" i="2"/>
  <c r="O140" i="2"/>
  <c r="M141" i="2"/>
  <c r="N141" i="2"/>
  <c r="O141" i="2"/>
  <c r="M142" i="2"/>
  <c r="N142" i="2"/>
  <c r="O142" i="2"/>
  <c r="M143" i="2"/>
  <c r="N143" i="2"/>
  <c r="O143" i="2"/>
  <c r="M144" i="2"/>
  <c r="N144" i="2"/>
  <c r="O144" i="2"/>
  <c r="M145" i="2"/>
  <c r="N145" i="2"/>
  <c r="O145" i="2"/>
  <c r="M146" i="2"/>
  <c r="N146" i="2"/>
  <c r="O146" i="2"/>
  <c r="M147" i="2"/>
  <c r="N147" i="2"/>
  <c r="O147" i="2"/>
  <c r="M148" i="2"/>
  <c r="N148" i="2"/>
  <c r="O148" i="2"/>
  <c r="M149" i="2"/>
  <c r="N149" i="2"/>
  <c r="O149" i="2"/>
  <c r="M150" i="2"/>
  <c r="N150" i="2"/>
  <c r="O150" i="2"/>
  <c r="M151" i="2"/>
  <c r="N151" i="2"/>
  <c r="O151" i="2"/>
  <c r="M152" i="2"/>
  <c r="N152" i="2"/>
  <c r="O152" i="2"/>
  <c r="M153" i="2"/>
  <c r="N153" i="2"/>
  <c r="O153" i="2"/>
  <c r="M154" i="2"/>
  <c r="N154" i="2"/>
  <c r="O154" i="2"/>
  <c r="M155" i="2"/>
  <c r="N155" i="2"/>
  <c r="O155" i="2"/>
  <c r="M156" i="2"/>
  <c r="N156" i="2"/>
  <c r="O156" i="2"/>
  <c r="M157" i="2"/>
  <c r="N157" i="2"/>
  <c r="O157" i="2"/>
  <c r="M158" i="2"/>
  <c r="N158" i="2"/>
  <c r="O158" i="2"/>
  <c r="M159" i="2"/>
  <c r="N159" i="2"/>
  <c r="O159" i="2"/>
  <c r="M160" i="2"/>
  <c r="N160" i="2"/>
  <c r="O160" i="2"/>
  <c r="M161" i="2"/>
  <c r="N161" i="2"/>
  <c r="O161" i="2"/>
  <c r="M162" i="2"/>
  <c r="N162" i="2"/>
  <c r="O162" i="2"/>
  <c r="M163" i="2"/>
  <c r="N163" i="2"/>
  <c r="O163" i="2"/>
  <c r="M164" i="2"/>
  <c r="N164" i="2"/>
  <c r="O164" i="2"/>
  <c r="M165" i="2"/>
  <c r="N165" i="2"/>
  <c r="O165" i="2"/>
  <c r="M166" i="2"/>
  <c r="N166" i="2"/>
  <c r="O166" i="2"/>
  <c r="M167" i="2"/>
  <c r="N167" i="2"/>
  <c r="O167" i="2"/>
  <c r="M168" i="2"/>
  <c r="N168" i="2"/>
  <c r="O168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3" i="2"/>
  <c r="L163" i="2" l="1"/>
  <c r="L160" i="2"/>
  <c r="L157" i="2"/>
  <c r="L154" i="2"/>
  <c r="L151" i="2"/>
  <c r="L148" i="2"/>
  <c r="L145" i="2"/>
  <c r="L142" i="2"/>
  <c r="L166" i="2"/>
  <c r="L168" i="2"/>
  <c r="L165" i="2"/>
  <c r="L162" i="2"/>
  <c r="L159" i="2"/>
  <c r="L156" i="2"/>
  <c r="L153" i="2"/>
  <c r="L150" i="2"/>
  <c r="L147" i="2"/>
  <c r="L144" i="2"/>
  <c r="L141" i="2"/>
  <c r="L167" i="2"/>
  <c r="L164" i="2"/>
  <c r="L161" i="2"/>
  <c r="L158" i="2"/>
  <c r="L155" i="2"/>
  <c r="L152" i="2"/>
  <c r="L149" i="2"/>
  <c r="L146" i="2"/>
  <c r="L143" i="2"/>
  <c r="L140" i="2"/>
  <c r="N3" i="2"/>
  <c r="O3" i="2" s="1"/>
  <c r="N4" i="2"/>
  <c r="O4" i="2" s="1"/>
  <c r="N5" i="2"/>
  <c r="O5" i="2" s="1"/>
  <c r="N6" i="2"/>
  <c r="O6" i="2" s="1"/>
  <c r="N7" i="2"/>
  <c r="O7" i="2" s="1"/>
  <c r="N8" i="2"/>
  <c r="O8" i="2" s="1"/>
  <c r="N9" i="2"/>
  <c r="O9" i="2" s="1"/>
  <c r="N10" i="2"/>
  <c r="O10" i="2" s="1"/>
  <c r="N11" i="2"/>
  <c r="O11" i="2" s="1"/>
  <c r="N12" i="2"/>
  <c r="O12" i="2" s="1"/>
  <c r="N13" i="2"/>
  <c r="O13" i="2" s="1"/>
  <c r="N14" i="2"/>
  <c r="O14" i="2" s="1"/>
  <c r="N15" i="2"/>
  <c r="O15" i="2" s="1"/>
  <c r="N16" i="2"/>
  <c r="O16" i="2" s="1"/>
  <c r="N17" i="2"/>
  <c r="O17" i="2" s="1"/>
  <c r="N18" i="2"/>
  <c r="O18" i="2" s="1"/>
  <c r="N19" i="2"/>
  <c r="O19" i="2" s="1"/>
  <c r="N20" i="2"/>
  <c r="N21" i="2"/>
  <c r="O21" i="2" s="1"/>
  <c r="N22" i="2"/>
  <c r="O22" i="2" s="1"/>
  <c r="N23" i="2"/>
  <c r="O23" i="2" s="1"/>
  <c r="N24" i="2"/>
  <c r="O24" i="2" s="1"/>
  <c r="N25" i="2"/>
  <c r="O25" i="2" s="1"/>
  <c r="N26" i="2"/>
  <c r="O26" i="2" s="1"/>
  <c r="N27" i="2"/>
  <c r="O27" i="2" s="1"/>
  <c r="N28" i="2"/>
  <c r="O28" i="2" s="1"/>
  <c r="N29" i="2"/>
  <c r="O29" i="2" s="1"/>
  <c r="N30" i="2"/>
  <c r="O30" i="2" s="1"/>
  <c r="N31" i="2"/>
  <c r="O31" i="2" s="1"/>
  <c r="N32" i="2"/>
  <c r="O32" i="2" s="1"/>
  <c r="N33" i="2"/>
  <c r="O33" i="2" s="1"/>
  <c r="N34" i="2"/>
  <c r="O34" i="2" s="1"/>
  <c r="N35" i="2"/>
  <c r="O35" i="2" s="1"/>
  <c r="N36" i="2"/>
  <c r="O36" i="2" s="1"/>
  <c r="N37" i="2"/>
  <c r="N38" i="2"/>
  <c r="O38" i="2" s="1"/>
  <c r="N39" i="2"/>
  <c r="O39" i="2" s="1"/>
  <c r="N40" i="2"/>
  <c r="O40" i="2" s="1"/>
  <c r="N41" i="2"/>
  <c r="O41" i="2" s="1"/>
  <c r="N42" i="2"/>
  <c r="O42" i="2" s="1"/>
  <c r="N43" i="2"/>
  <c r="O43" i="2" s="1"/>
  <c r="N44" i="2"/>
  <c r="O44" i="2" s="1"/>
  <c r="N45" i="2"/>
  <c r="O45" i="2" s="1"/>
  <c r="N46" i="2"/>
  <c r="O46" i="2" s="1"/>
  <c r="N47" i="2"/>
  <c r="O47" i="2" s="1"/>
  <c r="N48" i="2"/>
  <c r="O48" i="2" s="1"/>
  <c r="N49" i="2"/>
  <c r="O49" i="2" s="1"/>
  <c r="N50" i="2"/>
  <c r="O50" i="2" s="1"/>
  <c r="N51" i="2"/>
  <c r="O51" i="2" s="1"/>
  <c r="N52" i="2"/>
  <c r="O52" i="2" s="1"/>
  <c r="N53" i="2"/>
  <c r="O53" i="2" s="1"/>
  <c r="N54" i="2"/>
  <c r="O54" i="2" s="1"/>
  <c r="N55" i="2"/>
  <c r="O55" i="2" s="1"/>
  <c r="N56" i="2"/>
  <c r="O56" i="2" s="1"/>
  <c r="N57" i="2"/>
  <c r="O57" i="2" s="1"/>
  <c r="N58" i="2"/>
  <c r="O58" i="2" s="1"/>
  <c r="N59" i="2"/>
  <c r="O59" i="2" s="1"/>
  <c r="N60" i="2"/>
  <c r="O60" i="2" s="1"/>
  <c r="N61" i="2"/>
  <c r="O61" i="2" s="1"/>
  <c r="N62" i="2"/>
  <c r="O62" i="2" s="1"/>
  <c r="N63" i="2"/>
  <c r="O63" i="2" s="1"/>
  <c r="N64" i="2"/>
  <c r="O64" i="2" s="1"/>
  <c r="N65" i="2"/>
  <c r="N66" i="2"/>
  <c r="O66" i="2" s="1"/>
  <c r="N67" i="2"/>
  <c r="O67" i="2" s="1"/>
  <c r="N68" i="2"/>
  <c r="O68" i="2" s="1"/>
  <c r="N69" i="2"/>
  <c r="O69" i="2" s="1"/>
  <c r="N70" i="2"/>
  <c r="O70" i="2" s="1"/>
  <c r="N71" i="2"/>
  <c r="O71" i="2" s="1"/>
  <c r="N72" i="2"/>
  <c r="O72" i="2" s="1"/>
  <c r="N73" i="2"/>
  <c r="O73" i="2" s="1"/>
  <c r="N74" i="2"/>
  <c r="O74" i="2" s="1"/>
  <c r="N75" i="2"/>
  <c r="O75" i="2" s="1"/>
  <c r="N76" i="2"/>
  <c r="O76" i="2" s="1"/>
  <c r="N77" i="2"/>
  <c r="O77" i="2" s="1"/>
  <c r="N78" i="2"/>
  <c r="N79" i="2"/>
  <c r="O79" i="2" s="1"/>
  <c r="N80" i="2"/>
  <c r="O80" i="2" s="1"/>
  <c r="N81" i="2"/>
  <c r="O81" i="2" s="1"/>
  <c r="N82" i="2"/>
  <c r="O82" i="2" s="1"/>
  <c r="N83" i="2"/>
  <c r="O83" i="2" s="1"/>
  <c r="N84" i="2"/>
  <c r="O84" i="2" s="1"/>
  <c r="N85" i="2"/>
  <c r="O85" i="2" s="1"/>
  <c r="N86" i="2"/>
  <c r="O86" i="2" s="1"/>
  <c r="N87" i="2"/>
  <c r="O87" i="2" s="1"/>
  <c r="N88" i="2"/>
  <c r="O88" i="2" s="1"/>
  <c r="N89" i="2"/>
  <c r="O89" i="2" s="1"/>
  <c r="N90" i="2"/>
  <c r="O90" i="2" s="1"/>
  <c r="N91" i="2"/>
  <c r="O91" i="2" s="1"/>
  <c r="N92" i="2"/>
  <c r="O92" i="2" s="1"/>
  <c r="N93" i="2"/>
  <c r="O93" i="2" s="1"/>
  <c r="N94" i="2"/>
  <c r="O94" i="2" s="1"/>
  <c r="N95" i="2"/>
  <c r="O95" i="2" s="1"/>
  <c r="N96" i="2"/>
  <c r="O96" i="2" s="1"/>
  <c r="N97" i="2"/>
  <c r="O97" i="2" s="1"/>
  <c r="N98" i="2"/>
  <c r="O98" i="2" s="1"/>
  <c r="N99" i="2"/>
  <c r="O99" i="2" s="1"/>
  <c r="N100" i="2"/>
  <c r="O100" i="2" s="1"/>
  <c r="N101" i="2"/>
  <c r="O101" i="2" s="1"/>
  <c r="N102" i="2"/>
  <c r="O102" i="2" s="1"/>
  <c r="N103" i="2"/>
  <c r="O103" i="2" s="1"/>
  <c r="N104" i="2"/>
  <c r="O104" i="2" s="1"/>
  <c r="N105" i="2"/>
  <c r="O105" i="2" s="1"/>
  <c r="N106" i="2"/>
  <c r="O106" i="2" s="1"/>
  <c r="N107" i="2"/>
  <c r="O107" i="2" s="1"/>
  <c r="N108" i="2"/>
  <c r="O108" i="2" s="1"/>
  <c r="N109" i="2"/>
  <c r="O109" i="2" s="1"/>
  <c r="N110" i="2"/>
  <c r="O110" i="2" s="1"/>
  <c r="N111" i="2"/>
  <c r="O111" i="2" s="1"/>
  <c r="N112" i="2"/>
  <c r="N113" i="2"/>
  <c r="O113" i="2" s="1"/>
  <c r="N114" i="2"/>
  <c r="O114" i="2" s="1"/>
  <c r="N115" i="2"/>
  <c r="O115" i="2" s="1"/>
  <c r="N116" i="2"/>
  <c r="N117" i="2"/>
  <c r="O117" i="2" s="1"/>
  <c r="N118" i="2"/>
  <c r="O118" i="2" s="1"/>
  <c r="N119" i="2"/>
  <c r="O119" i="2" s="1"/>
  <c r="N120" i="2"/>
  <c r="O120" i="2" s="1"/>
  <c r="N121" i="2"/>
  <c r="O121" i="2" s="1"/>
  <c r="N122" i="2"/>
  <c r="O122" i="2" s="1"/>
  <c r="N123" i="2"/>
  <c r="O123" i="2" s="1"/>
  <c r="N124" i="2"/>
  <c r="O124" i="2" s="1"/>
  <c r="N125" i="2"/>
  <c r="O125" i="2" s="1"/>
  <c r="N126" i="2"/>
  <c r="O126" i="2" s="1"/>
  <c r="N127" i="2"/>
  <c r="O127" i="2" s="1"/>
  <c r="N128" i="2"/>
  <c r="O128" i="2" s="1"/>
  <c r="N129" i="2"/>
  <c r="O129" i="2" s="1"/>
  <c r="N130" i="2"/>
  <c r="O130" i="2" s="1"/>
  <c r="N131" i="2"/>
  <c r="O131" i="2" s="1"/>
  <c r="N132" i="2"/>
  <c r="O132" i="2" s="1"/>
  <c r="N133" i="2"/>
  <c r="O133" i="2" s="1"/>
  <c r="N134" i="2"/>
  <c r="O134" i="2" s="1"/>
  <c r="N135" i="2"/>
  <c r="O135" i="2" s="1"/>
  <c r="N136" i="2"/>
  <c r="O136" i="2" s="1"/>
  <c r="N137" i="2"/>
  <c r="O137" i="2" s="1"/>
  <c r="N138" i="2"/>
  <c r="N139" i="2"/>
  <c r="O139" i="2" s="1"/>
  <c r="L138" i="2"/>
  <c r="L137" i="2"/>
  <c r="L134" i="2"/>
  <c r="L133" i="2"/>
  <c r="L132" i="2"/>
  <c r="L131" i="2"/>
  <c r="L130" i="2"/>
  <c r="L129" i="2"/>
  <c r="L128" i="2"/>
  <c r="L127" i="2"/>
  <c r="L126" i="2"/>
  <c r="L125" i="2"/>
  <c r="L124" i="2"/>
  <c r="L120" i="2"/>
  <c r="L117" i="2"/>
  <c r="L116" i="2"/>
  <c r="L115" i="2"/>
  <c r="L114" i="2"/>
  <c r="L113" i="2"/>
  <c r="L112" i="2"/>
  <c r="L111" i="2"/>
  <c r="L110" i="2"/>
  <c r="L109" i="2"/>
  <c r="L108" i="2"/>
  <c r="L106" i="2"/>
  <c r="L104" i="2"/>
  <c r="L100" i="2"/>
  <c r="L99" i="2"/>
  <c r="L98" i="2"/>
  <c r="L97" i="2"/>
  <c r="L96" i="2"/>
  <c r="L95" i="2"/>
  <c r="L94" i="2"/>
  <c r="L93" i="2"/>
  <c r="L92" i="2"/>
  <c r="L89" i="2"/>
  <c r="L88" i="2"/>
  <c r="L85" i="2"/>
  <c r="L82" i="2"/>
  <c r="L81" i="2"/>
  <c r="L80" i="2"/>
  <c r="L79" i="2"/>
  <c r="L78" i="2"/>
  <c r="L77" i="2"/>
  <c r="L76" i="2"/>
  <c r="L71" i="2"/>
  <c r="L70" i="2"/>
  <c r="L69" i="2"/>
  <c r="L68" i="2"/>
  <c r="L67" i="2"/>
  <c r="L66" i="2"/>
  <c r="L65" i="2"/>
  <c r="L64" i="2"/>
  <c r="L63" i="2"/>
  <c r="L62" i="2"/>
  <c r="L61" i="2"/>
  <c r="L60" i="2"/>
  <c r="L56" i="2"/>
  <c r="L53" i="2"/>
  <c r="L52" i="2"/>
  <c r="L51" i="2"/>
  <c r="L49" i="2"/>
  <c r="L48" i="2"/>
  <c r="L47" i="2"/>
  <c r="L46" i="2"/>
  <c r="L45" i="2"/>
  <c r="L44" i="2"/>
  <c r="L42" i="2"/>
  <c r="L38" i="2"/>
  <c r="L36" i="2"/>
  <c r="L35" i="2"/>
  <c r="L34" i="2"/>
  <c r="L33" i="2"/>
  <c r="L31" i="2"/>
  <c r="L30" i="2"/>
  <c r="L29" i="2"/>
  <c r="L28" i="2"/>
  <c r="L21" i="2"/>
  <c r="L20" i="2"/>
  <c r="L19" i="2"/>
  <c r="L18" i="2"/>
  <c r="L17" i="2"/>
  <c r="L16" i="2"/>
  <c r="L15" i="2"/>
  <c r="L14" i="2"/>
  <c r="L13" i="2"/>
  <c r="L12" i="2"/>
  <c r="L10" i="2"/>
  <c r="L6" i="2"/>
  <c r="L5" i="2"/>
  <c r="L3" i="2"/>
  <c r="L139" i="2"/>
  <c r="O138" i="2"/>
  <c r="L136" i="2"/>
  <c r="L135" i="2"/>
  <c r="L123" i="2"/>
  <c r="L122" i="2"/>
  <c r="L121" i="2"/>
  <c r="L119" i="2"/>
  <c r="L118" i="2"/>
  <c r="O116" i="2"/>
  <c r="O112" i="2"/>
  <c r="L107" i="2"/>
  <c r="L105" i="2"/>
  <c r="L103" i="2"/>
  <c r="L102" i="2"/>
  <c r="L101" i="2"/>
  <c r="L91" i="2"/>
  <c r="L90" i="2"/>
  <c r="L87" i="2"/>
  <c r="L86" i="2"/>
  <c r="L84" i="2"/>
  <c r="L83" i="2"/>
  <c r="O78" i="2"/>
  <c r="L75" i="2"/>
  <c r="L74" i="2"/>
  <c r="L73" i="2"/>
  <c r="L72" i="2"/>
  <c r="O65" i="2"/>
  <c r="L59" i="2"/>
  <c r="L58" i="2"/>
  <c r="L57" i="2"/>
  <c r="L55" i="2"/>
  <c r="L54" i="2"/>
  <c r="L50" i="2"/>
  <c r="L43" i="2"/>
  <c r="L41" i="2"/>
  <c r="L40" i="2"/>
  <c r="L39" i="2"/>
  <c r="O37" i="2"/>
  <c r="L37" i="2"/>
  <c r="L32" i="2"/>
  <c r="L27" i="2"/>
  <c r="L26" i="2"/>
  <c r="L25" i="2"/>
  <c r="L24" i="2"/>
  <c r="L23" i="2"/>
  <c r="L22" i="2"/>
  <c r="O20" i="2"/>
  <c r="L11" i="2"/>
  <c r="L9" i="2"/>
  <c r="L8" i="2"/>
  <c r="L7" i="2"/>
  <c r="L4" i="2"/>
  <c r="I115" i="2" l="1"/>
  <c r="O2" i="2"/>
  <c r="N2" i="2"/>
  <c r="I80" i="2" l="1"/>
  <c r="I124" i="2"/>
  <c r="I100" i="2"/>
  <c r="I139" i="2"/>
  <c r="I14" i="2"/>
  <c r="I159" i="2"/>
  <c r="I118" i="2"/>
  <c r="Q142" i="2" s="1"/>
  <c r="I65" i="2"/>
  <c r="I110" i="2"/>
  <c r="I152" i="2"/>
  <c r="I68" i="2"/>
  <c r="I39" i="2"/>
  <c r="I86" i="2"/>
  <c r="I17" i="2"/>
  <c r="I116" i="2"/>
  <c r="I48" i="2"/>
  <c r="I137" i="2"/>
  <c r="I45" i="2"/>
  <c r="I126" i="2"/>
  <c r="I167" i="2"/>
  <c r="I148" i="2"/>
  <c r="I107" i="2"/>
  <c r="I102" i="2"/>
  <c r="I34" i="2"/>
  <c r="I92" i="2"/>
  <c r="I108" i="2"/>
  <c r="I26" i="2"/>
  <c r="I95" i="2"/>
  <c r="I73" i="2"/>
  <c r="I13" i="2"/>
  <c r="I24" i="2"/>
  <c r="I87" i="2"/>
  <c r="I36" i="2"/>
  <c r="I78" i="2"/>
  <c r="I162" i="2"/>
  <c r="I158" i="2"/>
  <c r="I49" i="2"/>
  <c r="I15" i="2"/>
  <c r="I7" i="2"/>
  <c r="I89" i="2"/>
  <c r="I74" i="2"/>
  <c r="I11" i="2"/>
  <c r="Q49" i="2" s="1"/>
  <c r="I31" i="2"/>
  <c r="I53" i="2"/>
  <c r="I57" i="2"/>
  <c r="I109" i="2"/>
  <c r="I130" i="2"/>
  <c r="I67" i="2"/>
  <c r="I85" i="2"/>
  <c r="I103" i="2"/>
  <c r="I82" i="2"/>
  <c r="I72" i="2"/>
  <c r="Q26" i="2" s="1"/>
  <c r="I9" i="2"/>
  <c r="I61" i="2"/>
  <c r="I160" i="2"/>
  <c r="I101" i="2"/>
  <c r="I93" i="2"/>
  <c r="I138" i="2"/>
  <c r="I16" i="2"/>
  <c r="I38" i="2"/>
  <c r="I164" i="2"/>
  <c r="I136" i="2"/>
  <c r="I69" i="2"/>
  <c r="I123" i="2"/>
  <c r="I104" i="2"/>
  <c r="Q100" i="2" s="1"/>
  <c r="I58" i="2"/>
  <c r="I79" i="2"/>
  <c r="Q41" i="2" s="1"/>
  <c r="I122" i="2"/>
  <c r="I20" i="2"/>
  <c r="I143" i="2"/>
  <c r="I5" i="2"/>
  <c r="I46" i="2"/>
  <c r="I105" i="2"/>
  <c r="I113" i="2"/>
  <c r="I156" i="2"/>
  <c r="I146" i="2"/>
  <c r="Q108" i="2" s="1"/>
  <c r="I33" i="2"/>
  <c r="I140" i="2"/>
  <c r="I3" i="2"/>
  <c r="I84" i="2"/>
  <c r="I88" i="2"/>
  <c r="I128" i="2"/>
  <c r="I166" i="2"/>
  <c r="I44" i="2"/>
  <c r="I40" i="2"/>
  <c r="I147" i="2"/>
  <c r="I114" i="2"/>
  <c r="I29" i="2"/>
  <c r="I28" i="2"/>
  <c r="Q7" i="2" s="1"/>
  <c r="I112" i="2"/>
  <c r="I145" i="2"/>
  <c r="I56" i="2"/>
  <c r="Q115" i="2" s="1"/>
  <c r="I66" i="2"/>
  <c r="I70" i="2"/>
  <c r="I94" i="2"/>
  <c r="I91" i="2"/>
  <c r="I142" i="2"/>
  <c r="I55" i="2"/>
  <c r="I151" i="2"/>
  <c r="I71" i="2"/>
  <c r="I8" i="2"/>
  <c r="I12" i="2"/>
  <c r="I154" i="2"/>
  <c r="I153" i="2"/>
  <c r="I163" i="2"/>
  <c r="I64" i="2"/>
  <c r="I161" i="2"/>
  <c r="I83" i="2"/>
  <c r="I76" i="2"/>
  <c r="I97" i="2"/>
  <c r="I47" i="2"/>
  <c r="Q85" i="2" s="1"/>
  <c r="I41" i="2"/>
  <c r="I43" i="2"/>
  <c r="I52" i="2"/>
  <c r="I54" i="2"/>
  <c r="Q113" i="2" s="1"/>
  <c r="I42" i="2"/>
  <c r="I111" i="2"/>
  <c r="Q122" i="2" s="1"/>
  <c r="I149" i="2"/>
  <c r="I62" i="2"/>
  <c r="I60" i="2"/>
  <c r="I157" i="2"/>
  <c r="I133" i="2"/>
  <c r="I132" i="2"/>
  <c r="I121" i="2"/>
  <c r="Q151" i="2" s="1"/>
  <c r="I21" i="2"/>
  <c r="I129" i="2"/>
  <c r="I81" i="2"/>
  <c r="I90" i="2"/>
  <c r="I19" i="2"/>
  <c r="Q90" i="2" s="1"/>
  <c r="I51" i="2"/>
  <c r="I155" i="2"/>
  <c r="I25" i="2"/>
  <c r="I37" i="2"/>
  <c r="I23" i="2"/>
  <c r="I22" i="2"/>
  <c r="I125" i="2"/>
  <c r="I165" i="2"/>
  <c r="I63" i="2"/>
  <c r="I32" i="2"/>
  <c r="Q23" i="2" s="1"/>
  <c r="I4" i="2"/>
  <c r="I131" i="2"/>
  <c r="I134" i="2"/>
  <c r="I59" i="2"/>
  <c r="I96" i="2"/>
  <c r="I27" i="2"/>
  <c r="I117" i="2"/>
  <c r="I141" i="2"/>
  <c r="I6" i="2"/>
  <c r="I120" i="2"/>
  <c r="I99" i="2"/>
  <c r="I75" i="2"/>
  <c r="Q33" i="2" s="1"/>
  <c r="I35" i="2"/>
  <c r="I135" i="2"/>
  <c r="I98" i="2"/>
  <c r="Q78" i="2" s="1"/>
  <c r="I18" i="2"/>
  <c r="I150" i="2"/>
  <c r="I77" i="2"/>
  <c r="I10" i="2"/>
  <c r="I144" i="2"/>
  <c r="I50" i="2"/>
  <c r="Q97" i="2" s="1"/>
  <c r="I119" i="2"/>
  <c r="Q146" i="2" s="1"/>
  <c r="I168" i="2"/>
  <c r="I127" i="2"/>
  <c r="I30" i="2"/>
  <c r="I106" i="2"/>
  <c r="Q14" i="2" l="1"/>
  <c r="Q150" i="2"/>
  <c r="Q107" i="2"/>
  <c r="Q44" i="2"/>
  <c r="Q158" i="2"/>
  <c r="Q39" i="2"/>
  <c r="Q34" i="2"/>
  <c r="Q161" i="2"/>
  <c r="Q134" i="2"/>
  <c r="Q128" i="2"/>
  <c r="Q16" i="2"/>
  <c r="Q109" i="2"/>
  <c r="Q18" i="2"/>
  <c r="Q162" i="2"/>
  <c r="Q130" i="2"/>
  <c r="Q138" i="2"/>
  <c r="Q149" i="2"/>
  <c r="Q102" i="2"/>
  <c r="Q98" i="2"/>
  <c r="Q166" i="2"/>
  <c r="Q94" i="2"/>
  <c r="Q68" i="2"/>
  <c r="Q124" i="2"/>
  <c r="Q9" i="2"/>
  <c r="J2" i="2"/>
  <c r="Q59" i="2"/>
  <c r="Q15" i="2"/>
  <c r="Q80" i="2"/>
  <c r="Q25" i="2"/>
  <c r="Q62" i="2"/>
  <c r="Q111" i="2"/>
  <c r="Q30" i="2"/>
  <c r="Q65" i="2"/>
  <c r="Q93" i="2"/>
  <c r="Q148" i="2"/>
  <c r="Q137" i="2"/>
  <c r="Q20" i="2"/>
  <c r="Q110" i="2"/>
  <c r="Q35" i="2"/>
  <c r="Q88" i="2"/>
  <c r="Q56" i="2"/>
  <c r="Q91" i="2"/>
  <c r="Q46" i="2"/>
  <c r="Q103" i="2"/>
  <c r="Q53" i="2"/>
  <c r="Q4" i="2"/>
  <c r="Q84" i="2"/>
  <c r="Q163" i="2"/>
  <c r="Q87" i="2"/>
  <c r="Q36" i="2"/>
  <c r="Q101" i="2"/>
  <c r="Q155" i="2"/>
  <c r="Q167" i="2"/>
  <c r="Q66" i="2"/>
  <c r="Q106" i="2"/>
  <c r="Q45" i="2"/>
  <c r="Q17" i="2"/>
  <c r="Q76" i="2"/>
  <c r="Q143" i="2"/>
  <c r="Q136" i="2"/>
  <c r="Q67" i="2"/>
  <c r="Q63" i="2"/>
  <c r="Q123" i="2"/>
  <c r="Q75" i="2"/>
  <c r="Q144" i="2"/>
  <c r="Q64" i="2"/>
  <c r="Q61" i="2"/>
  <c r="Q145" i="2"/>
  <c r="Q29" i="2"/>
  <c r="Q73" i="2"/>
  <c r="Q74" i="2"/>
  <c r="Q50" i="2"/>
  <c r="Q139" i="2"/>
  <c r="Q135" i="2"/>
  <c r="Q81" i="2"/>
  <c r="Q22" i="2"/>
  <c r="Q125" i="2"/>
  <c r="Q27" i="2"/>
  <c r="Q77" i="2"/>
  <c r="Q114" i="2"/>
  <c r="Q112" i="2"/>
  <c r="Q126" i="2"/>
  <c r="Q58" i="2"/>
  <c r="Q99" i="2"/>
  <c r="Q82" i="2"/>
  <c r="Q116" i="2"/>
  <c r="Q157" i="2"/>
  <c r="Q72" i="2"/>
  <c r="Q168" i="2"/>
  <c r="Q140" i="2"/>
  <c r="Q160" i="2"/>
  <c r="Q52" i="2"/>
  <c r="Q95" i="2"/>
  <c r="Q69" i="2"/>
  <c r="Q43" i="2"/>
  <c r="Q28" i="2"/>
  <c r="Q8" i="2"/>
  <c r="Q47" i="2"/>
  <c r="Q40" i="2"/>
  <c r="Q141" i="2"/>
  <c r="Q31" i="2"/>
  <c r="Q42" i="2"/>
  <c r="Q79" i="2"/>
  <c r="Q120" i="2"/>
  <c r="Q89" i="2"/>
  <c r="Q129" i="2"/>
  <c r="Q147" i="2"/>
  <c r="Q152" i="2"/>
  <c r="Q71" i="2"/>
  <c r="Q164" i="2"/>
  <c r="Q13" i="2"/>
  <c r="Q6" i="2"/>
  <c r="Q156" i="2"/>
  <c r="Q86" i="2"/>
  <c r="Q19" i="2"/>
  <c r="Q24" i="2"/>
  <c r="Q21" i="2"/>
  <c r="Q96" i="2"/>
  <c r="Q55" i="2"/>
  <c r="Q12" i="2"/>
  <c r="Q159" i="2"/>
  <c r="Q5" i="2"/>
  <c r="Q60" i="2"/>
  <c r="Q92" i="2"/>
  <c r="Q70" i="2"/>
  <c r="Q127" i="2"/>
  <c r="Q38" i="2"/>
  <c r="Q119" i="2"/>
  <c r="Q118" i="2"/>
  <c r="Q154" i="2"/>
  <c r="Q54" i="2"/>
  <c r="Q121" i="2"/>
  <c r="Q117" i="2"/>
  <c r="Q37" i="2"/>
  <c r="Q132" i="2"/>
  <c r="Q105" i="2"/>
  <c r="Q11" i="2"/>
  <c r="Q32" i="2"/>
  <c r="Q10" i="2"/>
  <c r="Q51" i="2"/>
  <c r="Q133" i="2"/>
  <c r="Q48" i="2"/>
  <c r="Q153" i="2"/>
  <c r="Q83" i="2"/>
  <c r="Q104" i="2"/>
  <c r="Q57" i="2"/>
  <c r="Q165" i="2"/>
  <c r="Q3" i="2"/>
  <c r="Q131" i="2"/>
  <c r="Q1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My PC</author>
  </authors>
  <commentList>
    <comment ref="G3" authorId="0" shapeId="0" xr:uid="{4553DB6E-487C-45BF-A334-B465BA5B1C76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G4" authorId="0" shapeId="0" xr:uid="{CEB38E3C-F531-4841-ADF1-E4F353778069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G5" authorId="0" shapeId="0" xr:uid="{9567EA7C-A855-4EEA-9714-A897A2940312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G6" authorId="0" shapeId="0" xr:uid="{9B7EF61A-FC11-4169-8A6D-13876F205B6E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G9" authorId="0" shapeId="0" xr:uid="{86B153F4-CC17-4E21-97C4-A4DFFEEE1FED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G11" authorId="0" shapeId="0" xr:uid="{571064C4-0F64-471F-AE2F-72E790C299B4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G12" authorId="0" shapeId="0" xr:uid="{EC5CFB7F-813B-46BD-B7CD-6185DE92A926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A — core SKUs that generate the main revenue and should always be in stock.
</t>
        </r>
      </text>
    </comment>
    <comment ref="G13" authorId="0" shapeId="0" xr:uid="{BF820DB6-E25B-4C8A-A1EB-88EF98F7FB60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A — core SKUs that generate the main revenue and should always be in stock.
</t>
        </r>
      </text>
    </comment>
    <comment ref="G14" authorId="0" shapeId="0" xr:uid="{806D0415-2868-4E12-A0CC-A26E17F43895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G16" authorId="0" shapeId="0" xr:uid="{7C7889DF-2337-4D4F-BD42-D5F9E2DF57E3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G17" authorId="0" shapeId="0" xr:uid="{F7859A0D-1859-408C-A38A-1B550A016473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G18" authorId="0" shapeId="0" xr:uid="{6F23C49D-4EC9-4165-8121-69906D67E5A5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G21" authorId="0" shapeId="0" xr:uid="{4C8CAA58-B8A7-4127-9300-9EAD8E132BA7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A — core SKUs that generate the main revenue and should always be in stock.
</t>
        </r>
      </text>
    </comment>
    <comment ref="G22" authorId="0" shapeId="0" xr:uid="{EB06C19F-3D39-408F-8055-C1D33DE04AE9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G23" authorId="0" shapeId="0" xr:uid="{6D6ADAB0-4403-4763-9680-DC688DCE5442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G24" authorId="0" shapeId="0" xr:uid="{5C68AD2D-9E10-4863-B52F-3D27C06895F9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G28" authorId="0" shapeId="0" xr:uid="{F5A711D3-B4EB-46EA-83D4-6F1C03108023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B — products with growth potential, recommended for promotion and active support.</t>
        </r>
      </text>
    </comment>
    <comment ref="G29" authorId="0" shapeId="0" xr:uid="{4244EE53-8C0D-486C-B69C-2D5F63536235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B — products with growth potential, recommended for promotion and active support.</t>
        </r>
      </text>
    </comment>
    <comment ref="G30" authorId="0" shapeId="0" xr:uid="{B3BADEE1-5D88-4634-9923-60DFC3622E49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G32" authorId="0" shapeId="0" xr:uid="{AD6F6520-B29E-4C05-A7FC-917F633DE54C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G34" authorId="0" shapeId="0" xr:uid="{7E7D1C58-28C5-4D02-B46B-45583EFD5064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B — products with growth potential, recommended for promotion and active support.</t>
        </r>
      </text>
    </comment>
    <comment ref="G35" authorId="0" shapeId="0" xr:uid="{3FF861D5-262C-4207-9718-AC4853D9ADBD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B — products with growth potential, recommended for promotion and active support.</t>
        </r>
      </text>
    </comment>
    <comment ref="G36" authorId="0" shapeId="0" xr:uid="{1A949C04-EB60-4B71-8D9C-138DA3CFA1E1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A — core SKUs that generate the main revenue and should always be in stock.
</t>
        </r>
      </text>
    </comment>
    <comment ref="G37" authorId="0" shapeId="0" xr:uid="{7653697A-E2A3-442D-8DEA-1EE9A6AD5E65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A — core SKUs that generate the main revenue and should always be in stock.
</t>
        </r>
      </text>
    </comment>
    <comment ref="G38" authorId="0" shapeId="0" xr:uid="{861D9410-9454-41D9-BDB6-B8FF048575D1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B — products with growth potential, recommended for promotion and active support.</t>
        </r>
      </text>
    </comment>
    <comment ref="G39" authorId="0" shapeId="0" xr:uid="{735315C9-FEA9-4B3D-B5B2-6474405CBE01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B — products with growth potential, recommended for promotion and active support.</t>
        </r>
      </text>
    </comment>
    <comment ref="G40" authorId="0" shapeId="0" xr:uid="{275B8040-7E27-4553-9287-5C437314EFCA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A — core SKUs that generate the main revenue and should always be in stock.
</t>
        </r>
      </text>
    </comment>
    <comment ref="G41" authorId="0" shapeId="0" xr:uid="{1347F0D1-2F1A-428C-AA13-10860C196D1A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G42" authorId="0" shapeId="0" xr:uid="{787F8F94-D49D-4052-ACD9-CB5A08D8FA20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G43" authorId="0" shapeId="0" xr:uid="{9775AB9E-02C8-49CE-A5BB-7F89A8DB4B0E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G44" authorId="0" shapeId="0" xr:uid="{80FAC188-9084-4070-9718-01FEFC13F922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G45" authorId="0" shapeId="0" xr:uid="{D51C134F-7FA0-475A-9599-83A92B8AE0B4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A — core SKUs that generate the main revenue and should always be in stock.
</t>
        </r>
      </text>
    </comment>
    <comment ref="G47" authorId="0" shapeId="0" xr:uid="{429FAEE2-5843-44AE-AC9B-8F49EC68A86D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G49" authorId="0" shapeId="0" xr:uid="{26457507-15E5-4750-8449-717F9828FF67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B — products with growth potential, recommended for promotion and active support.</t>
        </r>
      </text>
    </comment>
    <comment ref="G50" authorId="0" shapeId="0" xr:uid="{D46B2765-9F6F-4600-B373-C2B8CE89979D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B — products with growth potential, recommended for promotion and active support.</t>
        </r>
      </text>
    </comment>
    <comment ref="G51" authorId="0" shapeId="0" xr:uid="{CA7CE7DC-12E4-4ADC-B758-3F28E5EFCED1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B — products with growth potential, recommended for promotion and active support.</t>
        </r>
      </text>
    </comment>
    <comment ref="G52" authorId="0" shapeId="0" xr:uid="{EC27379E-2CA2-4ADA-B7C9-BE095811EE47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G53" authorId="0" shapeId="0" xr:uid="{97DA97B4-973A-4406-A6AD-52E5BFF8613B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G54" authorId="0" shapeId="0" xr:uid="{0143FDD4-4FD4-49ED-8E20-F31BF199212E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G55" authorId="0" shapeId="0" xr:uid="{F1C5B7FC-E74C-4EDE-BFB5-FF9611D85F79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G65" authorId="0" shapeId="0" xr:uid="{D3B67D42-90D2-4310-A9FD-002DEA287754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A — core SKUs that generate the main revenue and should always be in stock.
</t>
        </r>
      </text>
    </comment>
    <comment ref="G66" authorId="0" shapeId="0" xr:uid="{D1DCD28E-7826-4AA5-8BD9-9CB202CC78EE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B — products with growth potential, recommended for promotion and active support.</t>
        </r>
      </text>
    </comment>
    <comment ref="G68" authorId="0" shapeId="0" xr:uid="{15B3957A-3F06-417E-8416-DA2BE440266A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B — products with growth potential, recommended for promotion and active support.</t>
        </r>
      </text>
    </comment>
    <comment ref="G69" authorId="0" shapeId="0" xr:uid="{B8C34DE0-EA09-47BE-987B-A5247D52CBF3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G70" authorId="0" shapeId="0" xr:uid="{307B5CCB-792B-4BEC-B3D3-3956679D1910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G72" authorId="0" shapeId="0" xr:uid="{BF50B72C-54C6-4565-BAFA-3FA2B2EB98ED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G74" authorId="0" shapeId="0" xr:uid="{1F70676A-3C4A-49FA-824E-07EB7F384619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A — core SKUs that generate the main revenue and should always be in stock.
</t>
        </r>
      </text>
    </comment>
    <comment ref="G75" authorId="0" shapeId="0" xr:uid="{8456EDF8-2BE9-4289-BF33-D2AFAA034686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B — products with growth potential, recommended for promotion and active support.</t>
        </r>
      </text>
    </comment>
    <comment ref="G76" authorId="0" shapeId="0" xr:uid="{A99A2A28-B3BE-497A-A257-2355E38CC96A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B — products with growth potential, recommended for promotion and active support.</t>
        </r>
      </text>
    </comment>
    <comment ref="G79" authorId="0" shapeId="0" xr:uid="{ABD75E79-71DE-4065-A34F-5A2B46AA12BB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B — products with growth potential, recommended for promotion and active support.</t>
        </r>
      </text>
    </comment>
    <comment ref="G80" authorId="0" shapeId="0" xr:uid="{3F226D51-C774-49BE-9F50-03C8328090BB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G81" authorId="0" shapeId="0" xr:uid="{B9BA7573-8F17-40C8-AE4F-00D00BB8A087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G83" authorId="0" shapeId="0" xr:uid="{D64BDF38-9666-49D2-AF2C-2F2B952B8F4F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G84" authorId="0" shapeId="0" xr:uid="{B62CC1E7-956B-48AF-9312-0EF9BE6F6A93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G85" authorId="0" shapeId="0" xr:uid="{2F7BE736-9BD2-4F9E-BD42-CB48CB912764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G86" authorId="0" shapeId="0" xr:uid="{44951EB9-F250-4A4B-9C0D-3C2A92D4512F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G87" authorId="0" shapeId="0" xr:uid="{807658CF-93BB-41EA-B996-454364BDD49E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G88" authorId="0" shapeId="0" xr:uid="{89BBD25A-5FA3-48DC-B834-9674D933FED8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G89" authorId="0" shapeId="0" xr:uid="{768EFD84-496F-403C-800A-C1CE9E45DA76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B — products with growth potential, recommended for promotion and active support.</t>
        </r>
      </text>
    </comment>
    <comment ref="G90" authorId="0" shapeId="0" xr:uid="{0871DD8F-C304-40EF-8CDA-58F6B9FCA3A6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B — products with growth potential, recommended for promotion and active support.</t>
        </r>
      </text>
    </comment>
    <comment ref="G91" authorId="0" shapeId="0" xr:uid="{9F1C2A60-878B-4AF5-9A23-0367E8FF6097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B — products with growth potential, recommended for promotion and active support.</t>
        </r>
      </text>
    </comment>
    <comment ref="G92" authorId="0" shapeId="0" xr:uid="{B7282746-2C53-4048-A4C0-75436566F0EE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B — products with growth potential, recommended for promotion and active support.</t>
        </r>
      </text>
    </comment>
    <comment ref="G93" authorId="0" shapeId="0" xr:uid="{963CC025-BF02-49FF-B3F0-22B764315D95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B — products with growth potential, recommended for promotion and active support.</t>
        </r>
      </text>
    </comment>
    <comment ref="G94" authorId="0" shapeId="0" xr:uid="{C0164CC5-CAD4-49C3-BDF0-AE9A7D83D88B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G95" authorId="0" shapeId="0" xr:uid="{970F9325-0970-4A55-A9CA-A63EC058BCA9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G96" authorId="0" shapeId="0" xr:uid="{759FE5C6-70A4-498F-87EB-750DDF94AD6D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G97" authorId="0" shapeId="0" xr:uid="{0E4DC98B-23E1-40A2-B79D-C31A6DC90322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G98" authorId="0" shapeId="0" xr:uid="{1F9A9376-551C-4155-AA64-4CCF946D5E71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G99" authorId="0" shapeId="0" xr:uid="{81E05460-7727-42B7-AFD5-2529D8FBA938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G101" authorId="0" shapeId="0" xr:uid="{1C5C1946-ED03-4344-AC48-794E87F94C52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B — products with growth potential, recommended for promotion and active support.</t>
        </r>
      </text>
    </comment>
    <comment ref="G102" authorId="0" shapeId="0" xr:uid="{A8D3C64E-2162-4442-AFEF-DA71678CC065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A — core SKUs that generate the main revenue and should always be in stock.
</t>
        </r>
      </text>
    </comment>
    <comment ref="G103" authorId="0" shapeId="0" xr:uid="{89667475-3B24-4668-9FE1-17F956080ED2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B — products with growth potential, recommended for promotion and active support.</t>
        </r>
      </text>
    </comment>
    <comment ref="G104" authorId="0" shapeId="0" xr:uid="{77305618-1465-4826-8850-5663697C9413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B — products with growth potential, recommended for promotion and active support.</t>
        </r>
      </text>
    </comment>
    <comment ref="G105" authorId="0" shapeId="0" xr:uid="{2BF042B3-685D-4427-853A-4A521FF7342C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G106" authorId="0" shapeId="0" xr:uid="{4E8803D5-8B8D-4B33-8F2E-772DC3CED57A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G107" authorId="0" shapeId="0" xr:uid="{F6727ACC-76B8-4ACA-82BE-3DC415E04FC3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G116" authorId="0" shapeId="0" xr:uid="{152AC203-1584-40A8-BF82-C189A5B50E85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G129" authorId="0" shapeId="0" xr:uid="{10769336-26FC-4579-B130-9BD014E29403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A — core SKUs that generate the main revenue and should always be in stock.
</t>
        </r>
      </text>
    </comment>
    <comment ref="G130" authorId="0" shapeId="0" xr:uid="{26C90B2C-820D-4CC7-9613-21079749C850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B — products with growth potential, recommended for promotion and active support.</t>
        </r>
      </text>
    </comment>
    <comment ref="G131" authorId="0" shapeId="0" xr:uid="{13F43324-45DD-4759-A503-7D2C3AE9CE33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G132" authorId="0" shapeId="0" xr:uid="{58D3A81F-4584-40FB-8103-F20CAEA3F0F3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G133" authorId="0" shapeId="0" xr:uid="{A24D31E3-5088-47B6-B132-8FA06462A242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G135" authorId="0" shapeId="0" xr:uid="{2C867FE9-006C-400D-865F-EF1321ED3762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B — products with growth potential, recommended for promotion and active support.</t>
        </r>
      </text>
    </comment>
    <comment ref="G136" authorId="0" shapeId="0" xr:uid="{62A4C8BA-CB05-4E6A-B0C1-4A6F8E5A4BF9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G137" authorId="0" shapeId="0" xr:uid="{D81F93AB-017C-4630-B449-475490E7A79A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A — core SKUs that generate the main revenue and should always be in stock.
</t>
        </r>
      </text>
    </comment>
    <comment ref="G138" authorId="0" shapeId="0" xr:uid="{B2370FD6-D978-4CDC-8C55-0A71FFDB15AF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B — products with growth potential, recommended for promotion and active support.</t>
        </r>
      </text>
    </comment>
    <comment ref="G139" authorId="0" shapeId="0" xr:uid="{5F770EEB-B50B-4A04-A47D-905605A0B5AA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G140" authorId="0" shapeId="0" xr:uid="{048BB5EF-B389-47F4-8171-87A5545481DD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G141" authorId="0" shapeId="0" xr:uid="{CA571A5D-4FEE-4F88-84AC-41A91AC1627D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G143" authorId="0" shapeId="0" xr:uid="{7CC54B05-A924-4BC3-8DB6-10669C0470F6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B — products with growth potential, recommended for promotion and active support.</t>
        </r>
      </text>
    </comment>
    <comment ref="G144" authorId="0" shapeId="0" xr:uid="{2311CC00-454F-42D9-B954-B8DBD477EB19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B — products with growth potential, recommended for promotion and active support.</t>
        </r>
      </text>
    </comment>
    <comment ref="G145" authorId="0" shapeId="0" xr:uid="{D5C5C7EB-74E4-4B3A-9D79-7A7233DA550E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G146" authorId="0" shapeId="0" xr:uid="{540544E3-469D-47AB-8946-9390F21F9A09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G147" authorId="0" shapeId="0" xr:uid="{5A525959-03A9-4C58-BD71-A8F1BC213F11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G153" authorId="0" shapeId="0" xr:uid="{0385D720-E00F-463C-B9AB-539390A0FEF3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A — core SKUs that generate the main revenue and should always be in stock.
</t>
        </r>
      </text>
    </comment>
    <comment ref="G154" authorId="0" shapeId="0" xr:uid="{398BEC11-A282-4A9D-AFA4-B7D4F912FA01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  <comment ref="G155" authorId="0" shapeId="0" xr:uid="{24720069-DB91-4AC7-BC6D-32F431347CF8}">
      <text>
        <r>
          <rPr>
            <b/>
            <sz val="9"/>
            <color indexed="81"/>
            <rFont val="Tahoma"/>
            <charset val="1"/>
          </rPr>
          <t>My PC:</t>
        </r>
        <r>
          <rPr>
            <sz val="9"/>
            <color indexed="81"/>
            <rFont val="Tahoma"/>
            <charset val="1"/>
          </rPr>
          <t xml:space="preserve">
C — niche items ensuring assortment completeness with minimal stock levels.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<sst xmlns="http://schemas.openxmlformats.org/spreadsheetml/2006/main" count="352" uniqueCount="188">
  <si>
    <t>ITEM #</t>
  </si>
  <si>
    <t>PRODUCT NAME</t>
  </si>
  <si>
    <t>UPC</t>
    <phoneticPr fontId="0" type="noConversion"/>
  </si>
  <si>
    <t>Case Unit</t>
    <phoneticPr fontId="0" type="noConversion"/>
  </si>
  <si>
    <t>DHA • 90 ct.</t>
  </si>
  <si>
    <t>DHA • 180 ct.</t>
  </si>
  <si>
    <t>EPA • 60 ct.</t>
  </si>
  <si>
    <t>Prenatal DHA - strawberry • 90 ct.</t>
  </si>
  <si>
    <t>Ultimate Omega • 4 oz.</t>
  </si>
  <si>
    <t>Ultimate Omega-D3 • 60 ct.</t>
  </si>
  <si>
    <t>Ultimate Omega Xtra • 60 ct.</t>
  </si>
  <si>
    <t>Ultimate Omega Xtra • 8 oz.</t>
  </si>
  <si>
    <t>Ultimate Omega 2X • 90 ct.</t>
  </si>
  <si>
    <t>Ultimate Omega 2X • 180 ct.</t>
  </si>
  <si>
    <t>Ultimate Omega 2X D3 • 60 ct.</t>
  </si>
  <si>
    <t>Ultimate Omega 2X Mini • 60 ct.</t>
  </si>
  <si>
    <t>Nordic CoQ10 Ubiquinol Sport • 60 ct.</t>
  </si>
  <si>
    <t>Ultimate Omega 2X Sport • 60 ct.</t>
  </si>
  <si>
    <t>Ultimate Omega-D3 Sport • 60 ct.</t>
  </si>
  <si>
    <t>Vitamin C Gummies Sport • 120 ct.</t>
  </si>
  <si>
    <t>Vitamin D3 Gummies Sport • 120 ct.</t>
  </si>
  <si>
    <t>Omega-3 • 60 ct.</t>
  </si>
  <si>
    <t>Omega-3 • 8 oz.</t>
  </si>
  <si>
    <t>Omega-3 • 16 oz.</t>
  </si>
  <si>
    <t>Omega-3D • 60 ct.</t>
  </si>
  <si>
    <t>Omega-3D • 120 ct.</t>
  </si>
  <si>
    <t>Omega-3D • 8 oz.</t>
  </si>
  <si>
    <t>Omega-3 Phospholipids • 60 ct.</t>
  </si>
  <si>
    <t>Complete Omega • 60 ct.</t>
  </si>
  <si>
    <t>Complete Omega • 120 ct.</t>
  </si>
  <si>
    <t>Complete Omega • 8 oz.</t>
  </si>
  <si>
    <t>Complete Omega • 16 oz.</t>
  </si>
  <si>
    <t>Complete Omega-D3 • 60 ct.</t>
  </si>
  <si>
    <t>Complete Omega-D3 • 120 ct.</t>
  </si>
  <si>
    <t>Complete Omega Xtra • 60 ct.</t>
  </si>
  <si>
    <t>Omega Woman • 120 ct.</t>
  </si>
  <si>
    <t>Nordic Flora Probiotic Daily • 60 ct.</t>
  </si>
  <si>
    <t>Nordic Flora Prebiotic Powder • 7.2 oz.</t>
  </si>
  <si>
    <t>Probiotic Gummies KIDS • 60 ct.</t>
  </si>
  <si>
    <t>Arctic CLO - lemon • 8 oz.</t>
  </si>
  <si>
    <t>Arctic CLO - orange • 8 oz.</t>
  </si>
  <si>
    <t>Arctic CLO - orange • 16 oz.</t>
  </si>
  <si>
    <t>Arctic CLO - strawberry • 8 oz.</t>
  </si>
  <si>
    <t>Arctic CLO - unflavored • 8 oz.</t>
  </si>
  <si>
    <t>Arctic-D CLO - lemon • 8 oz.</t>
  </si>
  <si>
    <t>Baby's DHA Vegetarian • 1 oz.</t>
  </si>
  <si>
    <t>Children's DHA • 90 ct.</t>
  </si>
  <si>
    <t>Children's DHA • 16 oz.</t>
  </si>
  <si>
    <t>Children's DHA Gummies • 30 ct.</t>
  </si>
  <si>
    <t>Children's DHA Xtra • 90 ct.</t>
  </si>
  <si>
    <t>Children's Eye Health Gummies • 30 ct.</t>
  </si>
  <si>
    <t>Nordic Berries - citrus • 120 ct.</t>
  </si>
  <si>
    <t>Nordic Berries - citrus • 200 ct.</t>
  </si>
  <si>
    <t>Nordic Berries - cherry berry • 120 ct.</t>
  </si>
  <si>
    <t>Nordic Omega-3 Fishies • 36 ct.</t>
  </si>
  <si>
    <t>Nordic Omega-3 Gummies • 60 ct.</t>
  </si>
  <si>
    <t>Nordic Omega-3 Gummies • 120 ct.</t>
  </si>
  <si>
    <t>Nordic Omega-3 Gummy Fish • 30 ct.</t>
  </si>
  <si>
    <t>Nordic Omega-3 Gummy Worms • 30 ct.</t>
  </si>
  <si>
    <t>Omega Focus Junior • 120 ct.</t>
  </si>
  <si>
    <t>Vitamin D3 Gummies KIDS • 60 ct.</t>
  </si>
  <si>
    <t>Vitamin D3 Gummies KIDS • 120 ct.</t>
  </si>
  <si>
    <t>Zero Sugar Kids Multi Gummies • 120 ct.</t>
  </si>
  <si>
    <t>Nordic Beauty Borage Oil • 4 oz.</t>
  </si>
  <si>
    <t>Nordic Beauty Collagen Peptides • 10.6 oz.</t>
  </si>
  <si>
    <t>Omega-3 Pet • 90 ct.</t>
  </si>
  <si>
    <t>Omega-3 Pet • 180 ct.</t>
  </si>
  <si>
    <t>Omega-3 Pet • 2 oz.</t>
  </si>
  <si>
    <t>Omega-3 Pet • 8 oz.</t>
  </si>
  <si>
    <t>Omega-3 Pet • 16 oz.</t>
  </si>
  <si>
    <t>Pet CLO • 8 oz.</t>
  </si>
  <si>
    <t>Pet CLO • 16 oz.</t>
  </si>
  <si>
    <t>Algae DHA • 60 ct.</t>
  </si>
  <si>
    <t>Algae Omega • 60 ct.</t>
  </si>
  <si>
    <t>Algae Omega • 120 ct.</t>
  </si>
  <si>
    <t>Magnesium Complex • 90 ct.</t>
  </si>
  <si>
    <t>Nordic CoQ10 Ubiquinol • 60 ct.</t>
  </si>
  <si>
    <t>Nordic Immune Daily Defense • 90 ct.</t>
  </si>
  <si>
    <t>Vegan Prenatal DHA • 60 ct.</t>
  </si>
  <si>
    <t>Vitamin B Complex • 45 ct.</t>
  </si>
  <si>
    <t>Vitamin C Gummies • 60 ct.</t>
  </si>
  <si>
    <t>Vitamin C Gummies • 120 ct.</t>
  </si>
  <si>
    <t>Vitamin D3 1000 • 120 ct.</t>
  </si>
  <si>
    <t>Vitamin D3 5000 • 120 ct.</t>
  </si>
  <si>
    <t>Vitamin D3 Gummies • 120 ct.</t>
  </si>
  <si>
    <t>Vitamin D3 + K2 Gummies • 60 ct.</t>
  </si>
  <si>
    <t>Vitamin D3 Vegan • 1 oz.</t>
  </si>
  <si>
    <t>Vitamin E Complex • 30 ct.</t>
  </si>
  <si>
    <t>Zinc Glycinate • 60 ct.</t>
  </si>
  <si>
    <t>Zero Sugar Curcumin Gummies • 60 ct.</t>
  </si>
  <si>
    <t>Zero Sugar Melatonin Gummies • 60 ct.</t>
  </si>
  <si>
    <t>Zero Sugar Melatonin Gummies • 120 ct.</t>
  </si>
  <si>
    <t>Daily Omega Kids • 30 ct.</t>
  </si>
  <si>
    <t>TOTAL</t>
  </si>
  <si>
    <r>
      <rPr>
        <b/>
        <sz val="14"/>
        <color rgb="FFFF0000"/>
        <rFont val="Calibri"/>
        <family val="2"/>
        <charset val="204"/>
        <scheme val="minor"/>
      </rPr>
      <t>Importantly!</t>
    </r>
    <r>
      <rPr>
        <sz val="14"/>
        <color theme="1"/>
        <rFont val="Calibri"/>
        <family val="2"/>
        <scheme val="minor"/>
      </rPr>
      <t xml:space="preserve">
- The minimum order amount is € / $ 5,000 per brand
- delivery EX Work from the Poland / US warehouse! 
- this offer is valid within the current month
- order is possible only rounded by boxes
- due to the raw material crisis in the market, prices could be changed without prior notice</t>
    </r>
  </si>
  <si>
    <t>Price</t>
  </si>
  <si>
    <t>Order</t>
  </si>
  <si>
    <t>USA → +14-1770-86052</t>
  </si>
  <si>
    <t>Poland → +48-2260-22010</t>
  </si>
  <si>
    <t>WhatsApp → +380-9871-54085</t>
  </si>
  <si>
    <t>E-mail → info@dsn.group</t>
  </si>
  <si>
    <t>Instagram → https://www.instagram.com/dsngroup.official/</t>
  </si>
  <si>
    <t>Children's DHA Vegetarian • 120 ct.</t>
  </si>
  <si>
    <t>Kids Calm Gummies • 60 ct.</t>
  </si>
  <si>
    <t>Omega-3 Fish Gels• 60 ct.</t>
  </si>
  <si>
    <t>Stress Relief Gummies • 40 ct.</t>
  </si>
  <si>
    <t>Vitamin A + Carotenoids • 30 ct.</t>
  </si>
  <si>
    <t>Multi Minerals • 90 ct.</t>
  </si>
  <si>
    <t>Vitamin D3 5000 Gummies • 30 ct.</t>
  </si>
  <si>
    <t>Vitamin D3 Gummies • 60 ct.</t>
  </si>
  <si>
    <t>Zero Sugar Vitamin D3 Gummies • 60 ct.</t>
  </si>
  <si>
    <t>Nordic Flora Probiotic Comfort • 30 ct.</t>
  </si>
  <si>
    <t>Zero Sugar Prenatal DHA Gummy Chews</t>
  </si>
  <si>
    <t>Ultimate Omega One Daily • 30ct</t>
  </si>
  <si>
    <t>Zero Sugar Ultimate Omega Gummy Chews • 54ct</t>
  </si>
  <si>
    <t>Ultimate Omega 2X Mini D3• 60 ct.</t>
  </si>
  <si>
    <t>Nordic Flora Probiotic Women's Balance • 30 ct.</t>
  </si>
  <si>
    <t>Nordic Flora Probiotic Immune Health, 30ct</t>
  </si>
  <si>
    <t>Nordic Flora Probiotic Maximum Care, 30ct</t>
  </si>
  <si>
    <t>Baby's Vitamin D3 Liquid • 0.76 oz.</t>
  </si>
  <si>
    <t>Kids Vitamin C Gummies • 60ct</t>
  </si>
  <si>
    <t>Omega-3 Cat 2oz</t>
  </si>
  <si>
    <t>Magnesium Gummies • 60 ct</t>
  </si>
  <si>
    <t>Nordic CoQ10 Gummies • 60 ct.</t>
  </si>
  <si>
    <t>Extra Strength Vitamin C Gummies • 60ct.</t>
  </si>
  <si>
    <t>Cognition Mushroom Complex • 60ct</t>
  </si>
  <si>
    <t>Zero Sugar Hair &amp; Skin Gummy Chews</t>
  </si>
  <si>
    <t>Men's Multivitamin Extra Strength 60ct</t>
  </si>
  <si>
    <t>Men's One Daily Multivitamin 30ct</t>
  </si>
  <si>
    <t>Women's Multivitamin Extra Strength 60ct</t>
  </si>
  <si>
    <t>Women's One Daily Multivitamin 30ct</t>
  </si>
  <si>
    <t>Prenatal Multivitamin 60ct</t>
  </si>
  <si>
    <t>Men's Multivitamin Gummies</t>
  </si>
  <si>
    <t>Women's MultiVitamin Gummies</t>
  </si>
  <si>
    <t>Marine Collagen • 5.29 oz.</t>
  </si>
  <si>
    <t>Blue Light Eye Defense • 60ct.</t>
  </si>
  <si>
    <t>Weight, kg</t>
  </si>
  <si>
    <t>Unіt Freight Cost</t>
  </si>
  <si>
    <t>unit, key</t>
  </si>
  <si>
    <t>Logistic Price</t>
  </si>
  <si>
    <t>Landed Cost</t>
  </si>
  <si>
    <t>RATING</t>
  </si>
  <si>
    <t>А</t>
  </si>
  <si>
    <t>В</t>
  </si>
  <si>
    <t>С</t>
  </si>
  <si>
    <t>DHA Xtra • 60 ct.</t>
  </si>
  <si>
    <t>EPA Xtra • 60 ct.</t>
  </si>
  <si>
    <t>Postnatal Omega-3 • 60 ct.</t>
  </si>
  <si>
    <t>Prenatal DHA - unflavored • 90 ct.</t>
  </si>
  <si>
    <t>Prenatal DHA - unflavored • 180 ct.</t>
  </si>
  <si>
    <t>Ultimate Omega • 60 ct.</t>
  </si>
  <si>
    <t>Ultimate Omega • 120 ct.</t>
  </si>
  <si>
    <t>Ultimate Omega • 180 ct.</t>
  </si>
  <si>
    <t>Ultimate Omega • 8 oz.</t>
  </si>
  <si>
    <t>Ultimate Omega-D3 • 120 ct.</t>
  </si>
  <si>
    <t>Ultimate Omega Fish Gels • 60 ct.</t>
  </si>
  <si>
    <t>Ultimate Omega 2X • 60 ct.</t>
  </si>
  <si>
    <t>Ultimate Omega 2X • 120 ct.</t>
  </si>
  <si>
    <t>Blood Sugar Support• 60 ct.</t>
  </si>
  <si>
    <t>Ultimate Omega Curcumin • 60 ct.</t>
  </si>
  <si>
    <t>Focus Support • 60 ct.</t>
  </si>
  <si>
    <t>Joint Support • 90 ct.</t>
  </si>
  <si>
    <t>Cholesterol Support (Omega LDL) • 60 ct.</t>
  </si>
  <si>
    <t>Memory Support • 60 ct.</t>
  </si>
  <si>
    <t>Vision Support • 60 ct.</t>
  </si>
  <si>
    <t>Ultimate Omega +CoQ10 • 60 ct.</t>
  </si>
  <si>
    <t>Ultimate Omega +CoQ10 • 120 ct.</t>
  </si>
  <si>
    <t>Omega-3 • 120 ct.</t>
  </si>
  <si>
    <t>Omega-3 • 180 ct.</t>
  </si>
  <si>
    <t>Complete Omega • 180 ct.</t>
  </si>
  <si>
    <t>Baby's Probiotic Powder • 30 pkt.</t>
  </si>
  <si>
    <t>Kids Probiotic Pixies • 30 pkt.</t>
  </si>
  <si>
    <t>Arctic CLO Soft Gels • 90 ct.</t>
  </si>
  <si>
    <t>Arctic CLO Soft Gels • 180 ct.</t>
  </si>
  <si>
    <t>Baby's DHA • 2 oz.</t>
  </si>
  <si>
    <t>Children's DHA • 180 ct.</t>
  </si>
  <si>
    <t>Children's DHA • 360 ct.</t>
  </si>
  <si>
    <t>Children's DHA • 4 oz.</t>
  </si>
  <si>
    <t>Children's DHA • 8 oz.</t>
  </si>
  <si>
    <t>Children's DHA Xtra • 2 oz.</t>
  </si>
  <si>
    <t>ZS Children's Vegetarian Gummy Chews • 30ct</t>
  </si>
  <si>
    <t>Complete Omega Junior • 90 ct.</t>
  </si>
  <si>
    <t>Complete Omega Junior • 180 ct.</t>
  </si>
  <si>
    <t>Ultimate Omega 2X Teen • 60 ct.</t>
  </si>
  <si>
    <t>Ultimate Omega Junior • 90 ct.</t>
  </si>
  <si>
    <t>Fertility Support  • 60ct</t>
  </si>
  <si>
    <t>Menopause Support • 60ct</t>
  </si>
  <si>
    <t>Zero Sugar Stress+Immune Gummies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</si>
</sst>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0000"/>
    <numFmt numFmtId="165" formatCode="&quot;$&quot;#,##0.00"/>
    <numFmt numFmtId="166" formatCode="0_);[Red]\(0\)"/>
    <numFmt numFmtId="167" formatCode="_-[$$-C09]* #,##0.00_-;\-[$$-C09]* #,##0.00_-;_-[$$-C09]* &quot;-&quot;??_-;_-@_-"/>
    <numFmt numFmtId="168" formatCode="_-[$$-409]* #,##0.00_ ;_-[$$-409]* \-#,##0.00\ ;_-[$$-409]* &quot;-&quot;??_ ;_-@_ "/>
    <numFmt numFmtId="169" formatCode="[$$-409]#,##0.00"/>
  </numFmts>
  <fonts count="15">
    <font>
      <sz val="12"/>
      <color theme="1"/>
      <name val="Calibri"/>
      <family val="2"/>
      <scheme val="minor"/>
    </font>
    <font>
      <sz val="14"/>
      <color theme="1"/>
      <name val="Avenir Next Regula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b/>
      <sz val="16"/>
      <color theme="1"/>
      <name val="Avenir Next Regular"/>
      <charset val="204"/>
    </font>
    <font>
      <b/>
      <sz val="15"/>
      <color theme="1"/>
      <name val="Calibri"/>
      <family val="2"/>
      <charset val="204"/>
      <scheme val="minor"/>
    </font>
    <font>
      <sz val="14"/>
      <name val="Calibri"/>
      <family val="2"/>
      <charset val="204"/>
    </font>
    <font>
      <b/>
      <sz val="14"/>
      <color theme="1"/>
      <name val="Calibri"/>
      <family val="2"/>
      <scheme val="minor"/>
    </font>
    <font>
      <b/>
      <sz val="14"/>
      <name val="Calibri"/>
      <family val="2"/>
    </font>
    <font>
      <b/>
      <sz val="14"/>
      <color rgb="FFFF0000"/>
      <name val="Calibri"/>
      <family val="2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Segoe UI"/>
      <family val="2"/>
      <charset val="204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6">
    <fill>
      <patternFill patternType="none"/>
    </fill>
    <fill>
      <patternFill patternType="gray125"/>
    </fill>
    <fill>
      <gradientFill degree="270">
        <stop position="0">
          <color theme="0"/>
        </stop>
        <stop position="1">
          <color theme="4"/>
        </stop>
      </gradientFill>
    </fill>
    <fill>
      <patternFill patternType="solid">
        <fgColor theme="0"/>
        <bgColor indexed="64"/>
      </patternFill>
    </fill>
    <fill>
      <gradientFill degree="90">
        <stop position="0">
          <color theme="0"/>
        </stop>
        <stop position="1">
          <color theme="4"/>
        </stop>
      </gradientFill>
    </fill>
    <fill>
      <patternFill patternType="solid">
        <fgColor rgb="FFFFFF00"/>
        <bgColor rgb="FF006400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7" fillId="0" borderId="7" xfId="0" quotePrefix="1" applyFont="1" applyBorder="1" applyAlignment="1" applyProtection="1">
      <alignment horizontal="center"/>
      <protection hidden="1"/>
    </xf>
    <xf numFmtId="0" fontId="7" fillId="0" borderId="8" xfId="0" quotePrefix="1" applyFont="1" applyBorder="1" applyAlignment="1" applyProtection="1">
      <alignment horizontal="center"/>
      <protection hidden="1"/>
    </xf>
    <xf numFmtId="0" fontId="7" fillId="0" borderId="9" xfId="0" quotePrefix="1" applyFont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" fillId="0" borderId="3" xfId="0" applyFont="1" applyBorder="1" applyAlignment="1" applyProtection="1">
      <alignment horizontal="center" vertical="center"/>
      <protection hidden="1"/>
    </xf>
    <xf numFmtId="165" fontId="5" fillId="0" borderId="4" xfId="0" applyNumberFormat="1" applyFont="1" applyBorder="1" applyAlignment="1" applyProtection="1">
      <alignment horizontal="center" vertical="center"/>
      <protection hidden="1"/>
    </xf>
    <xf numFmtId="165" fontId="5" fillId="0" borderId="4" xfId="0" applyNumberFormat="1" applyFont="1" applyBorder="1" applyAlignment="1" applyProtection="1">
      <alignment horizontal="center" vertical="center" wrapText="1"/>
      <protection hidden="1"/>
    </xf>
    <xf numFmtId="1" fontId="5" fillId="0" borderId="4" xfId="0" applyNumberFormat="1" applyFont="1" applyBorder="1" applyAlignment="1" applyProtection="1">
      <alignment horizontal="center" vertical="center"/>
      <protection hidden="1"/>
    </xf>
    <xf numFmtId="165" fontId="5" fillId="0" borderId="0" xfId="0" applyNumberFormat="1" applyFont="1" applyAlignment="1" applyProtection="1">
      <alignment horizontal="center" vertical="center"/>
      <protection hidden="1"/>
    </xf>
    <xf numFmtId="0" fontId="1" fillId="0" borderId="1" xfId="0" applyFont="1" applyBorder="1" applyProtection="1">
      <protection hidden="1"/>
    </xf>
    <xf numFmtId="166" fontId="1" fillId="0" borderId="1" xfId="0" applyNumberFormat="1" applyFont="1" applyBorder="1" applyProtection="1">
      <protection hidden="1"/>
    </xf>
    <xf numFmtId="166" fontId="1" fillId="0" borderId="1" xfId="0" applyNumberFormat="1" applyFont="1" applyBorder="1" applyAlignment="1" applyProtection="1">
      <alignment horizontal="center"/>
      <protection hidden="1"/>
    </xf>
    <xf numFmtId="165" fontId="1" fillId="0" borderId="1" xfId="0" applyNumberFormat="1" applyFont="1" applyBorder="1" applyAlignment="1" applyProtection="1">
      <alignment horizontal="center"/>
      <protection hidden="1"/>
    </xf>
    <xf numFmtId="0" fontId="1" fillId="0" borderId="2" xfId="0" applyFont="1" applyBorder="1" applyProtection="1">
      <protection hidden="1"/>
    </xf>
    <xf numFmtId="166" fontId="1" fillId="0" borderId="2" xfId="0" applyNumberFormat="1" applyFont="1" applyBorder="1" applyProtection="1">
      <protection hidden="1"/>
    </xf>
    <xf numFmtId="166" fontId="1" fillId="0" borderId="2" xfId="0" applyNumberFormat="1" applyFont="1" applyBorder="1" applyAlignment="1" applyProtection="1">
      <alignment horizontal="center"/>
      <protection hidden="1"/>
    </xf>
    <xf numFmtId="0" fontId="0" fillId="0" borderId="0" xfId="0" applyAlignment="1" applyProtection="1">
      <alignment wrapText="1"/>
      <protection hidden="1"/>
    </xf>
    <xf numFmtId="0" fontId="0" fillId="0" borderId="0" xfId="0" applyAlignment="1" applyProtection="1">
      <alignment horizontal="center"/>
      <protection hidden="1"/>
    </xf>
    <xf numFmtId="1" fontId="1" fillId="0" borderId="1" xfId="0" applyNumberFormat="1" applyFont="1" applyBorder="1" applyAlignment="1" applyProtection="1">
      <alignment horizontal="center"/>
      <protection locked="0"/>
    </xf>
    <xf numFmtId="14" fontId="6" fillId="0" borderId="0" xfId="0" quotePrefix="1" applyNumberFormat="1" applyFont="1" applyAlignment="1" applyProtection="1">
      <alignment horizontal="center" vertical="center"/>
      <protection hidden="1"/>
    </xf>
    <xf numFmtId="1" fontId="0" fillId="0" borderId="0" xfId="0" applyNumberFormat="1" applyProtection="1">
      <protection locked="0"/>
    </xf>
    <xf numFmtId="2" fontId="1" fillId="0" borderId="1" xfId="0" applyNumberFormat="1" applyFont="1" applyBorder="1" applyAlignment="1" applyProtection="1">
      <alignment horizontal="center"/>
      <protection hidden="1"/>
    </xf>
    <xf numFmtId="14" fontId="8" fillId="2" borderId="11" xfId="0" applyNumberFormat="1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168" fontId="9" fillId="2" borderId="11" xfId="0" applyNumberFormat="1" applyFont="1" applyFill="1" applyBorder="1" applyAlignment="1" applyProtection="1">
      <alignment horizontal="center" vertical="center" wrapText="1" readingOrder="1"/>
      <protection hidden="1"/>
    </xf>
    <xf numFmtId="0" fontId="2" fillId="0" borderId="0" xfId="0" applyFont="1"/>
    <xf numFmtId="169" fontId="8" fillId="2" borderId="11" xfId="0" applyNumberFormat="1" applyFont="1" applyFill="1" applyBorder="1" applyAlignment="1">
      <alignment horizontal="center" vertical="center"/>
    </xf>
    <xf numFmtId="0" fontId="10" fillId="3" borderId="11" xfId="0" applyFont="1" applyFill="1" applyBorder="1" applyAlignment="1" applyProtection="1">
      <alignment horizontal="center" vertical="center" wrapText="1" readingOrder="1"/>
      <protection locked="0"/>
    </xf>
    <xf numFmtId="4" fontId="8" fillId="3" borderId="12" xfId="0" applyNumberFormat="1" applyFont="1" applyFill="1" applyBorder="1" applyAlignment="1">
      <alignment horizontal="center" vertical="center"/>
    </xf>
    <xf numFmtId="168" fontId="9" fillId="0" borderId="0" xfId="0" applyNumberFormat="1" applyFont="1" applyAlignment="1" applyProtection="1">
      <alignment vertical="center" wrapText="1" readingOrder="1"/>
      <protection hidden="1"/>
    </xf>
    <xf numFmtId="0" fontId="8" fillId="4" borderId="11" xfId="0" applyFont="1" applyFill="1" applyBorder="1" applyAlignment="1">
      <alignment horizontal="center" vertical="center" wrapText="1"/>
    </xf>
    <xf numFmtId="4" fontId="8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169" fontId="8" fillId="0" borderId="0" xfId="0" applyNumberFormat="1" applyFont="1" applyAlignment="1">
      <alignment horizontal="center" vertical="center"/>
    </xf>
    <xf numFmtId="168" fontId="12" fillId="5" borderId="13" xfId="0" applyNumberFormat="1" applyFont="1" applyFill="1" applyBorder="1" applyAlignment="1" applyProtection="1">
      <alignment horizontal="center" vertical="center" readingOrder="1"/>
      <protection hidden="1"/>
    </xf>
    <xf numFmtId="0" fontId="11" fillId="0" borderId="14" xfId="0" applyFont="1" applyBorder="1" applyAlignment="1">
      <alignment horizontal="center"/>
    </xf>
    <xf numFmtId="167" fontId="5" fillId="0" borderId="15" xfId="0" applyNumberFormat="1" applyFont="1" applyBorder="1" applyAlignment="1" applyProtection="1">
      <alignment horizontal="center" vertical="center"/>
      <protection hidden="1"/>
    </xf>
    <xf numFmtId="164" fontId="5" fillId="0" borderId="16" xfId="0" applyNumberFormat="1" applyFont="1" applyBorder="1" applyAlignment="1" applyProtection="1">
      <alignment horizontal="center" vertical="center"/>
      <protection hidden="1"/>
    </xf>
    <xf numFmtId="0" fontId="5" fillId="0" borderId="17" xfId="0" applyFont="1" applyBorder="1" applyAlignment="1" applyProtection="1">
      <alignment horizontal="center" vertical="center"/>
      <protection hidden="1"/>
    </xf>
    <xf numFmtId="164" fontId="1" fillId="0" borderId="18" xfId="0" applyNumberFormat="1" applyFont="1" applyBorder="1" applyAlignment="1" applyProtection="1">
      <alignment horizontal="center" wrapText="1"/>
      <protection hidden="1"/>
    </xf>
    <xf numFmtId="165" fontId="1" fillId="0" borderId="19" xfId="0" applyNumberFormat="1" applyFont="1" applyBorder="1" applyAlignment="1" applyProtection="1">
      <alignment horizontal="center"/>
      <protection hidden="1"/>
    </xf>
    <xf numFmtId="164" fontId="1" fillId="0" borderId="20" xfId="0" applyNumberFormat="1" applyFont="1" applyBorder="1" applyAlignment="1" applyProtection="1">
      <alignment horizontal="center" wrapText="1"/>
      <protection hidden="1"/>
    </xf>
    <xf numFmtId="164" fontId="1" fillId="0" borderId="21" xfId="0" applyNumberFormat="1" applyFont="1" applyBorder="1" applyAlignment="1" applyProtection="1">
      <alignment horizontal="center" wrapText="1"/>
      <protection hidden="1"/>
    </xf>
    <xf numFmtId="0" fontId="1" fillId="0" borderId="22" xfId="0" applyFont="1" applyBorder="1" applyProtection="1">
      <protection hidden="1"/>
    </xf>
    <xf numFmtId="166" fontId="1" fillId="0" borderId="22" xfId="0" applyNumberFormat="1" applyFont="1" applyBorder="1" applyProtection="1">
      <protection hidden="1"/>
    </xf>
    <xf numFmtId="166" fontId="1" fillId="0" borderId="22" xfId="0" applyNumberFormat="1" applyFont="1" applyBorder="1" applyAlignment="1" applyProtection="1">
      <alignment horizontal="center"/>
      <protection hidden="1"/>
    </xf>
    <xf numFmtId="2" fontId="1" fillId="0" borderId="22" xfId="0" applyNumberFormat="1" applyFont="1" applyBorder="1" applyAlignment="1" applyProtection="1">
      <alignment horizontal="center"/>
      <protection hidden="1"/>
    </xf>
    <xf numFmtId="165" fontId="1" fillId="0" borderId="22" xfId="0" applyNumberFormat="1" applyFont="1" applyBorder="1" applyAlignment="1" applyProtection="1">
      <alignment horizontal="center"/>
      <protection hidden="1"/>
    </xf>
    <xf numFmtId="0" fontId="11" fillId="0" borderId="6" xfId="0" applyFont="1" applyBorder="1" applyAlignment="1">
      <alignment horizontal="center"/>
    </xf>
    <xf numFmtId="1" fontId="1" fillId="0" borderId="22" xfId="0" applyNumberFormat="1" applyFont="1" applyBorder="1" applyAlignment="1" applyProtection="1">
      <alignment horizontal="center"/>
      <protection locked="0"/>
    </xf>
    <xf numFmtId="165" fontId="1" fillId="0" borderId="23" xfId="0" applyNumberFormat="1" applyFont="1" applyBorder="1" applyAlignment="1" applyProtection="1">
      <alignment horizontal="center"/>
      <protection hidden="1"/>
    </xf>
    <xf numFmtId="0" fontId="4" fillId="0" borderId="5" xfId="0" applyFont="1" applyBorder="1" applyAlignment="1" applyProtection="1">
      <alignment horizontal="left" wrapText="1"/>
      <protection hidden="1"/>
    </xf>
    <xf numFmtId="14" fontId="8" fillId="2" borderId="10" xfId="0" applyNumberFormat="1" applyFont="1" applyFill="1" applyBorder="1" applyAlignment="1">
      <alignment horizontal="center" vertical="center" wrapText="1"/>
    </xf>
    <xf numFmtId="14" fontId="8" fillId="2" borderId="12" xfId="0" applyNumberFormat="1" applyFont="1" applyFill="1" applyBorder="1" applyAlignment="1">
      <alignment horizontal="center" vertical="center" wrapText="1"/>
    </xf>
    <xf numFmtId="0" fontId="0" fillId="0" borderId="7" xfId="0" applyBorder="1" applyAlignment="1" applyProtection="1">
      <alignment horizontal="center" vertical="center"/>
      <protection hidden="1"/>
    </xf>
    <xf numFmtId="0" fontId="0" fillId="0" borderId="9" xfId="0" applyBorder="1" applyAlignment="1" applyProtection="1">
      <alignment horizontal="center" vertical="center"/>
      <protection hidden="1"/>
    </xf>
  </cellXfs>
  <cellStyles count="1">
    <cellStyle name="Звичайний" xfId="0" builtinId="0"/>
  </cellStyles>
  <dxfs count="7">
    <dxf>
      <fill>
        <patternFill>
          <bgColor rgb="FF92D050"/>
        </patternFill>
      </fill>
    </dxf>
    <dxf>
      <fill>
        <patternFill>
          <bgColor rgb="FFF8E65E"/>
        </patternFill>
      </fill>
    </dxf>
    <dxf>
      <fill>
        <patternFill>
          <bgColor rgb="FFFAEC8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ill>
        <gradientFill degree="180">
          <stop position="0">
            <color rgb="FFFF6600"/>
          </stop>
          <stop position="1">
            <color rgb="FFFFFF00"/>
          </stop>
        </gradientFill>
      </fill>
    </dxf>
  </dxfs>
  <tableStyles count="0" defaultTableStyle="TableStyleMedium2" defaultPivotStyle="PivotStyleLight16"/>
  <colors>
    <mruColors>
      <color rgb="FFFAEC86"/>
      <color rgb="FFF8E65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5166360</xdr:colOff>
      <xdr:row>0</xdr:row>
      <xdr:rowOff>8709</xdr:rowOff>
    </xdr:from>
    <xdr:to>
      <xdr:col>5</xdr:col>
      <xdr:colOff>588465</xdr:colOff>
      <xdr:row>1</xdr:row>
      <xdr:rowOff>35390</xdr:rowOff>
    </xdr:to>
    <xdr:pic>
      <xdr:nvPicPr>
        <xdr:cNvPr id="2" name="Рисунок 1" descr="Nordic Naturals, Highest Quality, Pure, Fresh, Great Tasting Effective Fish  Oil, Omega-3">
          <a:extLst>
            <a:ext uri="{FF2B5EF4-FFF2-40B4-BE49-F238E27FC236}">
              <a16:creationId xmlns:a16="http://schemas.microsoft.com/office/drawing/2014/main" id="{364988A0-E0EE-4852-8AEA-F59147AC9A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41820" y="8709"/>
          <a:ext cx="3963490" cy="17640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C0EC7-17DA-4560-9DB7-E98BC1E57C10}">
  <dimension ref="A1:Q681"/>
  <sheetViews>
    <sheetView tabSelected="1" zoomScale="60" zoomScaleNormal="60" workbookViewId="0">
      <pane ySplit="2" topLeftCell="A3" activePane="bottomLeft" state="frozen"/>
      <selection pane="bottomLeft" activeCell="J5" sqref="J5"/>
    </sheetView>
  </sheetViews>
  <sheetFormatPr defaultRowHeight="18"/>
  <cols>
    <col min="1" max="1" width="23.19921875" style="17" customWidth="1"/>
    <col min="2" max="2" width="68.69921875" style="4" bestFit="1" customWidth="1"/>
    <col min="3" max="3" width="19.19921875" style="4" bestFit="1" customWidth="1"/>
    <col min="4" max="4" width="10.8984375" style="18" customWidth="1"/>
    <col min="5" max="5" width="13.09765625" style="18" customWidth="1"/>
    <col min="6" max="6" width="13.69921875" style="4" bestFit="1" customWidth="1"/>
    <col min="7" max="7" width="13.69921875" style="4" customWidth="1"/>
    <col min="8" max="8" width="13.5" style="21" bestFit="1" customWidth="1"/>
    <col min="9" max="9" width="16.3984375" style="4" bestFit="1" customWidth="1"/>
    <col min="10" max="10" width="17.5" style="4" customWidth="1"/>
    <col min="11" max="11" width="6.19921875" style="4" customWidth="1"/>
    <col min="12" max="12" width="11.5" style="26" customWidth="1"/>
    <col min="13" max="13" width="14.09765625" style="26" bestFit="1" customWidth="1"/>
    <col min="14" max="14" width="10.59765625" style="26" customWidth="1"/>
    <col min="15" max="15" width="12.5" style="26" customWidth="1"/>
    <col min="16" max="16" width="5" style="26" customWidth="1"/>
    <col min="17" max="17" width="12.5" style="26" customWidth="1"/>
  </cols>
  <sheetData>
    <row r="1" spans="1:17" ht="136.94999999999999" customHeight="1" thickBot="1">
      <c r="A1" s="52" t="s">
        <v>94</v>
      </c>
      <c r="B1" s="52"/>
      <c r="C1" s="52"/>
      <c r="D1" s="52"/>
      <c r="E1" s="52"/>
      <c r="F1" s="52"/>
      <c r="G1" s="52"/>
      <c r="H1" s="52"/>
      <c r="I1" s="52"/>
      <c r="J1" s="20">
        <v>46097</v>
      </c>
      <c r="L1" s="23" t="s">
        <v>137</v>
      </c>
      <c r="M1" s="53" t="s">
        <v>138</v>
      </c>
      <c r="N1" s="24" t="s">
        <v>136</v>
      </c>
      <c r="O1" s="25" t="s">
        <v>139</v>
      </c>
      <c r="Q1" s="27" t="str">
        <f>IFERROR(IF(SUM(Q3:Q230)=0, "-", J2+O2), "-")</f>
        <v>-</v>
      </c>
    </row>
    <row r="2" spans="1:17" ht="42.6" thickBot="1">
      <c r="A2" s="38" t="s">
        <v>0</v>
      </c>
      <c r="B2" s="5" t="s">
        <v>1</v>
      </c>
      <c r="C2" s="6" t="s">
        <v>2</v>
      </c>
      <c r="D2" s="7" t="s">
        <v>3</v>
      </c>
      <c r="E2" s="7" t="s">
        <v>136</v>
      </c>
      <c r="F2" s="6" t="s">
        <v>95</v>
      </c>
      <c r="G2" s="35" t="s">
        <v>141</v>
      </c>
      <c r="H2" s="8" t="s">
        <v>96</v>
      </c>
      <c r="I2" s="39" t="s">
        <v>93</v>
      </c>
      <c r="J2" s="37">
        <f>SUM(I3:I168)</f>
        <v>0</v>
      </c>
      <c r="K2" s="9"/>
      <c r="L2" s="28"/>
      <c r="M2" s="54"/>
      <c r="N2" s="29" t="str">
        <f>IF(SUM(N3:N230)=0, "-", SUM(N3:N230))</f>
        <v>-</v>
      </c>
      <c r="O2" s="29" t="str">
        <f>IF(SUM(O3:O230)=0, "-", SUM(O3:O230))</f>
        <v>-</v>
      </c>
      <c r="P2" s="30"/>
      <c r="Q2" s="31" t="s">
        <v>140</v>
      </c>
    </row>
    <row r="3" spans="1:17">
      <c r="A3" s="40">
        <v>1753</v>
      </c>
      <c r="B3" s="10" t="s">
        <v>7</v>
      </c>
      <c r="C3" s="11">
        <v>768990017537</v>
      </c>
      <c r="D3" s="12">
        <v>12</v>
      </c>
      <c r="E3" s="22">
        <v>0.14243556405283336</v>
      </c>
      <c r="F3" s="13">
        <v>19.4985</v>
      </c>
      <c r="G3" s="36" t="s">
        <v>142</v>
      </c>
      <c r="H3" s="19"/>
      <c r="I3" s="41">
        <f t="shared" ref="I3:I34" si="0">F3*H3</f>
        <v>0</v>
      </c>
      <c r="L3" s="32" t="str">
        <f t="shared" ref="L3:L34" si="1">IFERROR(IF($L$2*E3=0, "-", $L$2*E3), "-")</f>
        <v>-</v>
      </c>
      <c r="M3" s="32" t="str">
        <f>IF(H3&gt;0,F3+L3,"-")</f>
        <v>-</v>
      </c>
      <c r="N3" s="33" t="str">
        <f t="shared" ref="N3:N34" si="2">IF(H3&gt;0,H3*E3, "-")</f>
        <v>-</v>
      </c>
      <c r="O3" s="34" t="str">
        <f t="shared" ref="O3:O60" si="3">IFERROR(IF($L$2&gt;0, $L$2*N3, "-"), "-")</f>
        <v>-</v>
      </c>
      <c r="Q3" s="34" t="str">
        <f t="shared" ref="Q3:Q60" si="4">IFERROR(IF(O3+I3=0, "-", IF(O3&gt;0, O3+I3, "-")), "-")</f>
        <v>-</v>
      </c>
    </row>
    <row r="4" spans="1:17">
      <c r="A4" s="42">
        <v>1741</v>
      </c>
      <c r="B4" s="14" t="s">
        <v>148</v>
      </c>
      <c r="C4" s="15">
        <v>768990017414</v>
      </c>
      <c r="D4" s="16">
        <v>12</v>
      </c>
      <c r="E4" s="22">
        <v>0.14243556405283336</v>
      </c>
      <c r="F4" s="13">
        <v>19.4985</v>
      </c>
      <c r="G4" s="36" t="s">
        <v>142</v>
      </c>
      <c r="H4" s="19"/>
      <c r="I4" s="41">
        <f t="shared" si="0"/>
        <v>0</v>
      </c>
      <c r="L4" s="32" t="str">
        <f t="shared" si="1"/>
        <v>-</v>
      </c>
      <c r="M4" s="32" t="str">
        <f t="shared" ref="M4:M67" si="5">IF(H4&gt;0,F4+L4,"-")</f>
        <v>-</v>
      </c>
      <c r="N4" s="33" t="str">
        <f t="shared" si="2"/>
        <v>-</v>
      </c>
      <c r="O4" s="34" t="str">
        <f t="shared" si="3"/>
        <v>-</v>
      </c>
      <c r="Q4" s="34" t="str">
        <f t="shared" si="4"/>
        <v>-</v>
      </c>
    </row>
    <row r="5" spans="1:17">
      <c r="A5" s="42">
        <v>1790</v>
      </c>
      <c r="B5" s="14" t="s">
        <v>150</v>
      </c>
      <c r="C5" s="15">
        <v>768990017902</v>
      </c>
      <c r="D5" s="16">
        <v>12</v>
      </c>
      <c r="E5" s="22">
        <v>0.155735270334875</v>
      </c>
      <c r="F5" s="13">
        <v>18.868499999999997</v>
      </c>
      <c r="G5" s="36" t="s">
        <v>142</v>
      </c>
      <c r="H5" s="19"/>
      <c r="I5" s="41">
        <f t="shared" si="0"/>
        <v>0</v>
      </c>
      <c r="L5" s="32" t="str">
        <f t="shared" si="1"/>
        <v>-</v>
      </c>
      <c r="M5" s="32" t="str">
        <f t="shared" si="5"/>
        <v>-</v>
      </c>
      <c r="N5" s="33" t="str">
        <f t="shared" si="2"/>
        <v>-</v>
      </c>
      <c r="O5" s="34" t="str">
        <f t="shared" si="3"/>
        <v>-</v>
      </c>
      <c r="Q5" s="34" t="str">
        <f t="shared" si="4"/>
        <v>-</v>
      </c>
    </row>
    <row r="6" spans="1:17">
      <c r="A6" s="42">
        <v>2790</v>
      </c>
      <c r="B6" s="14" t="s">
        <v>151</v>
      </c>
      <c r="C6" s="15">
        <v>768990027901</v>
      </c>
      <c r="D6" s="16">
        <v>12</v>
      </c>
      <c r="E6" s="22">
        <v>0.25955878389145837</v>
      </c>
      <c r="F6" s="13">
        <v>33.988499999999995</v>
      </c>
      <c r="G6" s="36" t="s">
        <v>142</v>
      </c>
      <c r="H6" s="19"/>
      <c r="I6" s="41">
        <f t="shared" si="0"/>
        <v>0</v>
      </c>
      <c r="L6" s="32" t="str">
        <f t="shared" si="1"/>
        <v>-</v>
      </c>
      <c r="M6" s="32" t="str">
        <f t="shared" si="5"/>
        <v>-</v>
      </c>
      <c r="N6" s="33" t="str">
        <f t="shared" si="2"/>
        <v>-</v>
      </c>
      <c r="O6" s="34" t="str">
        <f t="shared" si="3"/>
        <v>-</v>
      </c>
      <c r="Q6" s="34" t="str">
        <f t="shared" si="4"/>
        <v>-</v>
      </c>
    </row>
    <row r="7" spans="1:17">
      <c r="A7" s="42">
        <v>3790</v>
      </c>
      <c r="B7" s="14" t="s">
        <v>152</v>
      </c>
      <c r="C7" s="15">
        <v>768990037900</v>
      </c>
      <c r="D7" s="16">
        <v>12</v>
      </c>
      <c r="E7" s="22">
        <v>0.38311734547945836</v>
      </c>
      <c r="F7" s="13">
        <v>47.848499999999994</v>
      </c>
      <c r="G7" s="36" t="s">
        <v>142</v>
      </c>
      <c r="H7" s="19"/>
      <c r="I7" s="41">
        <f t="shared" si="0"/>
        <v>0</v>
      </c>
      <c r="L7" s="32" t="str">
        <f t="shared" si="1"/>
        <v>-</v>
      </c>
      <c r="M7" s="32" t="str">
        <f t="shared" si="5"/>
        <v>-</v>
      </c>
      <c r="N7" s="33" t="str">
        <f t="shared" si="2"/>
        <v>-</v>
      </c>
      <c r="O7" s="34" t="str">
        <f t="shared" si="3"/>
        <v>-</v>
      </c>
      <c r="Q7" s="34" t="str">
        <f t="shared" si="4"/>
        <v>-</v>
      </c>
    </row>
    <row r="8" spans="1:17">
      <c r="A8" s="42">
        <v>1793</v>
      </c>
      <c r="B8" s="14" t="s">
        <v>8</v>
      </c>
      <c r="C8" s="15">
        <v>768990017933</v>
      </c>
      <c r="D8" s="16">
        <v>6</v>
      </c>
      <c r="E8" s="22">
        <v>0.28229699140591669</v>
      </c>
      <c r="F8" s="13">
        <v>28.318499999999997</v>
      </c>
      <c r="G8" s="36" t="s">
        <v>142</v>
      </c>
      <c r="H8" s="19"/>
      <c r="I8" s="41">
        <f t="shared" si="0"/>
        <v>0</v>
      </c>
      <c r="L8" s="32" t="str">
        <f t="shared" si="1"/>
        <v>-</v>
      </c>
      <c r="M8" s="32" t="str">
        <f t="shared" si="5"/>
        <v>-</v>
      </c>
      <c r="N8" s="33" t="str">
        <f t="shared" si="2"/>
        <v>-</v>
      </c>
      <c r="O8" s="34" t="str">
        <f t="shared" si="3"/>
        <v>-</v>
      </c>
      <c r="Q8" s="34" t="str">
        <f t="shared" si="4"/>
        <v>-</v>
      </c>
    </row>
    <row r="9" spans="1:17">
      <c r="A9" s="40">
        <v>2150</v>
      </c>
      <c r="B9" s="10" t="s">
        <v>156</v>
      </c>
      <c r="C9" s="11">
        <v>768990021503</v>
      </c>
      <c r="D9" s="12">
        <v>12</v>
      </c>
      <c r="E9" s="22">
        <v>0.16431572600070835</v>
      </c>
      <c r="F9" s="13">
        <v>33.358499999999992</v>
      </c>
      <c r="G9" s="36" t="s">
        <v>142</v>
      </c>
      <c r="H9" s="19"/>
      <c r="I9" s="41">
        <f t="shared" si="0"/>
        <v>0</v>
      </c>
      <c r="L9" s="32" t="str">
        <f t="shared" si="1"/>
        <v>-</v>
      </c>
      <c r="M9" s="32" t="str">
        <f t="shared" si="5"/>
        <v>-</v>
      </c>
      <c r="N9" s="33" t="str">
        <f t="shared" si="2"/>
        <v>-</v>
      </c>
      <c r="O9" s="34" t="str">
        <f t="shared" si="3"/>
        <v>-</v>
      </c>
      <c r="Q9" s="34" t="str">
        <f t="shared" si="4"/>
        <v>-</v>
      </c>
    </row>
    <row r="10" spans="1:17">
      <c r="A10" s="40">
        <v>2152</v>
      </c>
      <c r="B10" s="10" t="s">
        <v>157</v>
      </c>
      <c r="C10" s="11">
        <v>768990021527</v>
      </c>
      <c r="D10" s="12">
        <v>12</v>
      </c>
      <c r="E10" s="22">
        <v>0.31661881406925002</v>
      </c>
      <c r="F10" s="13">
        <v>61.708500000000001</v>
      </c>
      <c r="G10" s="36" t="s">
        <v>142</v>
      </c>
      <c r="H10" s="19"/>
      <c r="I10" s="41">
        <f t="shared" si="0"/>
        <v>0</v>
      </c>
      <c r="L10" s="32" t="str">
        <f t="shared" si="1"/>
        <v>-</v>
      </c>
      <c r="M10" s="32" t="str">
        <f t="shared" si="5"/>
        <v>-</v>
      </c>
      <c r="N10" s="33" t="str">
        <f t="shared" si="2"/>
        <v>-</v>
      </c>
      <c r="O10" s="34" t="str">
        <f t="shared" si="3"/>
        <v>-</v>
      </c>
      <c r="Q10" s="34" t="str">
        <f t="shared" si="4"/>
        <v>-</v>
      </c>
    </row>
    <row r="11" spans="1:17">
      <c r="A11" s="40">
        <v>2763</v>
      </c>
      <c r="B11" s="10" t="s">
        <v>22</v>
      </c>
      <c r="C11" s="11">
        <v>768990027635</v>
      </c>
      <c r="D11" s="12">
        <v>6</v>
      </c>
      <c r="E11" s="22">
        <v>0.51997561334950004</v>
      </c>
      <c r="F11" s="13">
        <v>18.238500000000002</v>
      </c>
      <c r="G11" s="36" t="s">
        <v>142</v>
      </c>
      <c r="H11" s="19"/>
      <c r="I11" s="41">
        <f t="shared" si="0"/>
        <v>0</v>
      </c>
      <c r="L11" s="32" t="str">
        <f t="shared" si="1"/>
        <v>-</v>
      </c>
      <c r="M11" s="32" t="str">
        <f t="shared" si="5"/>
        <v>-</v>
      </c>
      <c r="N11" s="33" t="str">
        <f t="shared" si="2"/>
        <v>-</v>
      </c>
      <c r="O11" s="34" t="str">
        <f t="shared" si="3"/>
        <v>-</v>
      </c>
      <c r="Q11" s="34" t="str">
        <f t="shared" si="4"/>
        <v>-</v>
      </c>
    </row>
    <row r="12" spans="1:17">
      <c r="A12" s="40">
        <v>1801</v>
      </c>
      <c r="B12" s="10" t="s">
        <v>34</v>
      </c>
      <c r="C12" s="11">
        <v>768990018015</v>
      </c>
      <c r="D12" s="12">
        <v>12</v>
      </c>
      <c r="E12" s="22">
        <v>0.155735270334875</v>
      </c>
      <c r="F12" s="13">
        <v>21.388500000000001</v>
      </c>
      <c r="G12" s="36" t="s">
        <v>142</v>
      </c>
      <c r="H12" s="19"/>
      <c r="I12" s="41">
        <f t="shared" si="0"/>
        <v>0</v>
      </c>
      <c r="L12" s="32" t="str">
        <f t="shared" si="1"/>
        <v>-</v>
      </c>
      <c r="M12" s="32" t="str">
        <f t="shared" si="5"/>
        <v>-</v>
      </c>
      <c r="N12" s="33" t="str">
        <f t="shared" si="2"/>
        <v>-</v>
      </c>
      <c r="O12" s="34" t="str">
        <f t="shared" si="3"/>
        <v>-</v>
      </c>
      <c r="Q12" s="34" t="str">
        <f t="shared" si="4"/>
        <v>-</v>
      </c>
    </row>
    <row r="13" spans="1:17">
      <c r="A13" s="40">
        <v>1780</v>
      </c>
      <c r="B13" s="10" t="s">
        <v>35</v>
      </c>
      <c r="C13" s="11">
        <v>768990017803</v>
      </c>
      <c r="D13" s="12">
        <v>12</v>
      </c>
      <c r="E13" s="22">
        <v>0.21837259669545833</v>
      </c>
      <c r="F13" s="13">
        <v>23.278500000000001</v>
      </c>
      <c r="G13" s="36" t="s">
        <v>142</v>
      </c>
      <c r="H13" s="19"/>
      <c r="I13" s="41">
        <f t="shared" si="0"/>
        <v>0</v>
      </c>
      <c r="L13" s="32" t="str">
        <f t="shared" si="1"/>
        <v>-</v>
      </c>
      <c r="M13" s="32" t="str">
        <f t="shared" si="5"/>
        <v>-</v>
      </c>
      <c r="N13" s="33" t="str">
        <f t="shared" si="2"/>
        <v>-</v>
      </c>
      <c r="O13" s="34" t="str">
        <f t="shared" si="3"/>
        <v>-</v>
      </c>
      <c r="Q13" s="34" t="str">
        <f t="shared" si="4"/>
        <v>-</v>
      </c>
    </row>
    <row r="14" spans="1:17">
      <c r="A14" s="40">
        <v>30170</v>
      </c>
      <c r="B14" s="10" t="s">
        <v>38</v>
      </c>
      <c r="C14" s="11">
        <v>768990301704</v>
      </c>
      <c r="D14" s="12">
        <v>12</v>
      </c>
      <c r="E14" s="22">
        <v>0.31576076850266671</v>
      </c>
      <c r="F14" s="13">
        <v>12.5685</v>
      </c>
      <c r="G14" s="36" t="s">
        <v>142</v>
      </c>
      <c r="H14" s="19"/>
      <c r="I14" s="41">
        <f t="shared" si="0"/>
        <v>0</v>
      </c>
      <c r="L14" s="32" t="str">
        <f t="shared" si="1"/>
        <v>-</v>
      </c>
      <c r="M14" s="32" t="str">
        <f t="shared" si="5"/>
        <v>-</v>
      </c>
      <c r="N14" s="33" t="str">
        <f t="shared" si="2"/>
        <v>-</v>
      </c>
      <c r="O14" s="34" t="str">
        <f t="shared" si="3"/>
        <v>-</v>
      </c>
      <c r="Q14" s="34" t="str">
        <f t="shared" si="4"/>
        <v>-</v>
      </c>
    </row>
    <row r="15" spans="1:17">
      <c r="A15" s="40">
        <v>53787</v>
      </c>
      <c r="B15" s="10" t="s">
        <v>174</v>
      </c>
      <c r="C15" s="11">
        <v>768990537875</v>
      </c>
      <c r="D15" s="12">
        <v>12</v>
      </c>
      <c r="E15" s="22">
        <v>0.16903497661691669</v>
      </c>
      <c r="F15" s="13">
        <v>11.938499999999998</v>
      </c>
      <c r="G15" s="36" t="s">
        <v>142</v>
      </c>
      <c r="H15" s="19"/>
      <c r="I15" s="41">
        <f t="shared" si="0"/>
        <v>0</v>
      </c>
      <c r="L15" s="32" t="str">
        <f t="shared" si="1"/>
        <v>-</v>
      </c>
      <c r="M15" s="32" t="str">
        <f t="shared" si="5"/>
        <v>-</v>
      </c>
      <c r="N15" s="33" t="str">
        <f t="shared" si="2"/>
        <v>-</v>
      </c>
      <c r="O15" s="34" t="str">
        <f t="shared" si="3"/>
        <v>-</v>
      </c>
      <c r="Q15" s="34" t="str">
        <f t="shared" si="4"/>
        <v>-</v>
      </c>
    </row>
    <row r="16" spans="1:17">
      <c r="A16" s="40">
        <v>2733</v>
      </c>
      <c r="B16" s="10" t="s">
        <v>119</v>
      </c>
      <c r="C16" s="11">
        <v>768990027338</v>
      </c>
      <c r="D16" s="12">
        <v>12</v>
      </c>
      <c r="E16" s="22">
        <v>0.10682667303962501</v>
      </c>
      <c r="F16" s="13">
        <v>8.1584999999999983</v>
      </c>
      <c r="G16" s="36" t="s">
        <v>142</v>
      </c>
      <c r="H16" s="19"/>
      <c r="I16" s="41">
        <f t="shared" si="0"/>
        <v>0</v>
      </c>
      <c r="L16" s="32" t="str">
        <f t="shared" si="1"/>
        <v>-</v>
      </c>
      <c r="M16" s="32" t="str">
        <f t="shared" si="5"/>
        <v>-</v>
      </c>
      <c r="N16" s="33" t="str">
        <f t="shared" si="2"/>
        <v>-</v>
      </c>
      <c r="O16" s="34" t="str">
        <f t="shared" si="3"/>
        <v>-</v>
      </c>
      <c r="Q16" s="34" t="str">
        <f t="shared" si="4"/>
        <v>-</v>
      </c>
    </row>
    <row r="17" spans="1:17">
      <c r="A17" s="40">
        <v>56780</v>
      </c>
      <c r="B17" s="10" t="s">
        <v>177</v>
      </c>
      <c r="C17" s="11">
        <v>768990567803</v>
      </c>
      <c r="D17" s="12">
        <v>6</v>
      </c>
      <c r="E17" s="22">
        <v>0.28229699140591669</v>
      </c>
      <c r="F17" s="13">
        <v>12.5685</v>
      </c>
      <c r="G17" s="36" t="s">
        <v>142</v>
      </c>
      <c r="H17" s="19"/>
      <c r="I17" s="41">
        <f t="shared" si="0"/>
        <v>0</v>
      </c>
      <c r="L17" s="32" t="str">
        <f t="shared" si="1"/>
        <v>-</v>
      </c>
      <c r="M17" s="32" t="str">
        <f t="shared" si="5"/>
        <v>-</v>
      </c>
      <c r="N17" s="33" t="str">
        <f t="shared" si="2"/>
        <v>-</v>
      </c>
      <c r="O17" s="34" t="str">
        <f t="shared" si="3"/>
        <v>-</v>
      </c>
      <c r="Q17" s="34" t="str">
        <f t="shared" si="4"/>
        <v>-</v>
      </c>
    </row>
    <row r="18" spans="1:17">
      <c r="A18" s="40">
        <v>2723</v>
      </c>
      <c r="B18" s="10" t="s">
        <v>178</v>
      </c>
      <c r="C18" s="11">
        <v>768990027239</v>
      </c>
      <c r="D18" s="12">
        <v>6</v>
      </c>
      <c r="E18" s="22">
        <v>0.51225320325025003</v>
      </c>
      <c r="F18" s="13">
        <v>22.018499999999996</v>
      </c>
      <c r="G18" s="36" t="s">
        <v>142</v>
      </c>
      <c r="H18" s="19"/>
      <c r="I18" s="41">
        <f t="shared" si="0"/>
        <v>0</v>
      </c>
      <c r="L18" s="32" t="str">
        <f t="shared" si="1"/>
        <v>-</v>
      </c>
      <c r="M18" s="32" t="str">
        <f t="shared" si="5"/>
        <v>-</v>
      </c>
      <c r="N18" s="33" t="str">
        <f t="shared" si="2"/>
        <v>-</v>
      </c>
      <c r="O18" s="34" t="str">
        <f t="shared" si="3"/>
        <v>-</v>
      </c>
      <c r="Q18" s="34" t="str">
        <f t="shared" si="4"/>
        <v>-</v>
      </c>
    </row>
    <row r="19" spans="1:17">
      <c r="A19" s="40">
        <v>2724</v>
      </c>
      <c r="B19" s="10" t="s">
        <v>47</v>
      </c>
      <c r="C19" s="11">
        <v>768990027246</v>
      </c>
      <c r="D19" s="12">
        <v>4</v>
      </c>
      <c r="E19" s="22">
        <v>0.89065129811350008</v>
      </c>
      <c r="F19" s="13">
        <v>37.138499999999993</v>
      </c>
      <c r="G19" s="36" t="s">
        <v>142</v>
      </c>
      <c r="H19" s="19"/>
      <c r="I19" s="41">
        <f t="shared" si="0"/>
        <v>0</v>
      </c>
      <c r="L19" s="32" t="str">
        <f t="shared" si="1"/>
        <v>-</v>
      </c>
      <c r="M19" s="32" t="str">
        <f t="shared" si="5"/>
        <v>-</v>
      </c>
      <c r="N19" s="33" t="str">
        <f t="shared" si="2"/>
        <v>-</v>
      </c>
      <c r="O19" s="34" t="str">
        <f t="shared" si="3"/>
        <v>-</v>
      </c>
      <c r="Q19" s="34" t="str">
        <f t="shared" si="4"/>
        <v>-</v>
      </c>
    </row>
    <row r="20" spans="1:17">
      <c r="A20" s="40">
        <v>1709</v>
      </c>
      <c r="B20" s="10" t="s">
        <v>48</v>
      </c>
      <c r="C20" s="11">
        <v>768990017094</v>
      </c>
      <c r="D20" s="12">
        <v>36</v>
      </c>
      <c r="E20" s="22">
        <v>9.0094784491249996E-2</v>
      </c>
      <c r="F20" s="13">
        <v>13.828499999999998</v>
      </c>
      <c r="G20" s="36" t="s">
        <v>142</v>
      </c>
      <c r="H20" s="19"/>
      <c r="I20" s="41">
        <f t="shared" si="0"/>
        <v>0</v>
      </c>
      <c r="L20" s="32" t="str">
        <f t="shared" si="1"/>
        <v>-</v>
      </c>
      <c r="M20" s="32" t="str">
        <f t="shared" si="5"/>
        <v>-</v>
      </c>
      <c r="N20" s="33" t="str">
        <f t="shared" si="2"/>
        <v>-</v>
      </c>
      <c r="O20" s="34" t="str">
        <f t="shared" si="3"/>
        <v>-</v>
      </c>
      <c r="Q20" s="34" t="str">
        <f t="shared" si="4"/>
        <v>-</v>
      </c>
    </row>
    <row r="21" spans="1:17">
      <c r="A21" s="40">
        <v>2725</v>
      </c>
      <c r="B21" s="10" t="s">
        <v>179</v>
      </c>
      <c r="C21" s="11">
        <v>768990027253</v>
      </c>
      <c r="D21" s="12">
        <v>12</v>
      </c>
      <c r="E21" s="22">
        <v>0.16903497661691669</v>
      </c>
      <c r="F21" s="13">
        <v>20.128500000000003</v>
      </c>
      <c r="G21" s="36" t="s">
        <v>142</v>
      </c>
      <c r="H21" s="19"/>
      <c r="I21" s="41">
        <f t="shared" si="0"/>
        <v>0</v>
      </c>
      <c r="L21" s="32" t="str">
        <f t="shared" si="1"/>
        <v>-</v>
      </c>
      <c r="M21" s="32" t="str">
        <f t="shared" si="5"/>
        <v>-</v>
      </c>
      <c r="N21" s="33" t="str">
        <f t="shared" si="2"/>
        <v>-</v>
      </c>
      <c r="O21" s="34" t="str">
        <f t="shared" si="3"/>
        <v>-</v>
      </c>
      <c r="Q21" s="34" t="str">
        <f t="shared" si="4"/>
        <v>-</v>
      </c>
    </row>
    <row r="22" spans="1:17">
      <c r="A22" s="40">
        <v>6110</v>
      </c>
      <c r="B22" s="10" t="s">
        <v>183</v>
      </c>
      <c r="C22" s="11">
        <v>768990061103</v>
      </c>
      <c r="D22" s="12">
        <v>12</v>
      </c>
      <c r="E22" s="22">
        <v>0.11068787808925001</v>
      </c>
      <c r="F22" s="13">
        <v>23.278500000000001</v>
      </c>
      <c r="G22" s="36" t="s">
        <v>142</v>
      </c>
      <c r="H22" s="19"/>
      <c r="I22" s="41">
        <f t="shared" si="0"/>
        <v>0</v>
      </c>
      <c r="L22" s="32" t="str">
        <f t="shared" si="1"/>
        <v>-</v>
      </c>
      <c r="M22" s="32" t="str">
        <f t="shared" si="5"/>
        <v>-</v>
      </c>
      <c r="N22" s="33" t="str">
        <f t="shared" si="2"/>
        <v>-</v>
      </c>
      <c r="O22" s="34" t="str">
        <f t="shared" si="3"/>
        <v>-</v>
      </c>
      <c r="Q22" s="34" t="str">
        <f t="shared" si="4"/>
        <v>-</v>
      </c>
    </row>
    <row r="23" spans="1:17">
      <c r="A23" s="40">
        <v>1798</v>
      </c>
      <c r="B23" s="10" t="s">
        <v>184</v>
      </c>
      <c r="C23" s="11">
        <v>768990017988</v>
      </c>
      <c r="D23" s="12">
        <v>12</v>
      </c>
      <c r="E23" s="22">
        <v>0.12613269828775001</v>
      </c>
      <c r="F23" s="13">
        <v>20.128500000000003</v>
      </c>
      <c r="G23" s="36" t="s">
        <v>142</v>
      </c>
      <c r="H23" s="19"/>
      <c r="I23" s="41">
        <f t="shared" si="0"/>
        <v>0</v>
      </c>
      <c r="L23" s="32" t="str">
        <f t="shared" si="1"/>
        <v>-</v>
      </c>
      <c r="M23" s="32" t="str">
        <f t="shared" si="5"/>
        <v>-</v>
      </c>
      <c r="N23" s="33" t="str">
        <f t="shared" si="2"/>
        <v>-</v>
      </c>
      <c r="O23" s="34" t="str">
        <f t="shared" si="3"/>
        <v>-</v>
      </c>
      <c r="Q23" s="34" t="str">
        <f t="shared" si="4"/>
        <v>-</v>
      </c>
    </row>
    <row r="24" spans="1:17">
      <c r="A24" s="40">
        <v>31143</v>
      </c>
      <c r="B24" s="10" t="s">
        <v>60</v>
      </c>
      <c r="C24" s="11">
        <v>768990311437</v>
      </c>
      <c r="D24" s="12">
        <v>12</v>
      </c>
      <c r="E24" s="22">
        <v>0.22008868782862501</v>
      </c>
      <c r="F24" s="13">
        <v>7.8434999999999988</v>
      </c>
      <c r="G24" s="36" t="s">
        <v>142</v>
      </c>
      <c r="H24" s="19"/>
      <c r="I24" s="41">
        <f t="shared" si="0"/>
        <v>0</v>
      </c>
      <c r="L24" s="32" t="str">
        <f t="shared" si="1"/>
        <v>-</v>
      </c>
      <c r="M24" s="32" t="str">
        <f t="shared" si="5"/>
        <v>-</v>
      </c>
      <c r="N24" s="33" t="str">
        <f t="shared" si="2"/>
        <v>-</v>
      </c>
      <c r="O24" s="34" t="str">
        <f t="shared" si="3"/>
        <v>-</v>
      </c>
      <c r="Q24" s="34" t="str">
        <f t="shared" si="4"/>
        <v>-</v>
      </c>
    </row>
    <row r="25" spans="1:17">
      <c r="A25" s="40">
        <v>50505</v>
      </c>
      <c r="B25" s="10" t="s">
        <v>67</v>
      </c>
      <c r="C25" s="11">
        <v>768990505058</v>
      </c>
      <c r="D25" s="12">
        <v>12</v>
      </c>
      <c r="E25" s="22">
        <v>0.16903497661691669</v>
      </c>
      <c r="F25" s="13">
        <v>11.308499999999999</v>
      </c>
      <c r="G25" s="36" t="s">
        <v>142</v>
      </c>
      <c r="H25" s="19"/>
      <c r="I25" s="41">
        <f t="shared" si="0"/>
        <v>0</v>
      </c>
      <c r="L25" s="32" t="str">
        <f t="shared" si="1"/>
        <v>-</v>
      </c>
      <c r="M25" s="32" t="str">
        <f t="shared" si="5"/>
        <v>-</v>
      </c>
      <c r="N25" s="33" t="str">
        <f t="shared" si="2"/>
        <v>-</v>
      </c>
      <c r="O25" s="34" t="str">
        <f t="shared" si="3"/>
        <v>-</v>
      </c>
      <c r="Q25" s="34" t="str">
        <f t="shared" si="4"/>
        <v>-</v>
      </c>
    </row>
    <row r="26" spans="1:17">
      <c r="A26" s="40">
        <v>30160</v>
      </c>
      <c r="B26" s="10" t="s">
        <v>80</v>
      </c>
      <c r="C26" s="11">
        <v>768990301605</v>
      </c>
      <c r="D26" s="12">
        <v>12</v>
      </c>
      <c r="E26" s="22">
        <v>0.28401308253908336</v>
      </c>
      <c r="F26" s="13">
        <v>9.4184999999999981</v>
      </c>
      <c r="G26" s="36" t="s">
        <v>142</v>
      </c>
      <c r="H26" s="19"/>
      <c r="I26" s="41">
        <f t="shared" si="0"/>
        <v>0</v>
      </c>
      <c r="L26" s="32" t="str">
        <f t="shared" si="1"/>
        <v>-</v>
      </c>
      <c r="M26" s="32" t="str">
        <f t="shared" si="5"/>
        <v>-</v>
      </c>
      <c r="N26" s="33" t="str">
        <f t="shared" si="2"/>
        <v>-</v>
      </c>
      <c r="O26" s="34" t="str">
        <f t="shared" si="3"/>
        <v>-</v>
      </c>
      <c r="Q26" s="34" t="str">
        <f t="shared" si="4"/>
        <v>-</v>
      </c>
    </row>
    <row r="27" spans="1:17">
      <c r="A27" s="40">
        <v>1817</v>
      </c>
      <c r="B27" s="10" t="s">
        <v>92</v>
      </c>
      <c r="C27" s="11">
        <v>768990018176</v>
      </c>
      <c r="D27" s="12">
        <v>12</v>
      </c>
      <c r="E27" s="22">
        <v>0.16431572600070835</v>
      </c>
      <c r="F27" s="13">
        <v>6.8985000000000003</v>
      </c>
      <c r="G27" s="36" t="s">
        <v>142</v>
      </c>
      <c r="H27" s="19"/>
      <c r="I27" s="41">
        <f t="shared" si="0"/>
        <v>0</v>
      </c>
      <c r="L27" s="32" t="str">
        <f t="shared" si="1"/>
        <v>-</v>
      </c>
      <c r="M27" s="32" t="str">
        <f t="shared" si="5"/>
        <v>-</v>
      </c>
      <c r="N27" s="33" t="str">
        <f t="shared" si="2"/>
        <v>-</v>
      </c>
      <c r="O27" s="34" t="str">
        <f t="shared" si="3"/>
        <v>-</v>
      </c>
      <c r="Q27" s="34" t="str">
        <f t="shared" si="4"/>
        <v>-</v>
      </c>
    </row>
    <row r="28" spans="1:17">
      <c r="A28" s="40">
        <v>1751</v>
      </c>
      <c r="B28" s="10" t="s">
        <v>146</v>
      </c>
      <c r="C28" s="11">
        <v>768990017513</v>
      </c>
      <c r="D28" s="12">
        <v>12</v>
      </c>
      <c r="E28" s="22">
        <v>0.155735270334875</v>
      </c>
      <c r="F28" s="13">
        <v>27.688499999999998</v>
      </c>
      <c r="G28" s="36" t="s">
        <v>143</v>
      </c>
      <c r="H28" s="19"/>
      <c r="I28" s="41">
        <f t="shared" si="0"/>
        <v>0</v>
      </c>
      <c r="L28" s="32" t="str">
        <f t="shared" si="1"/>
        <v>-</v>
      </c>
      <c r="M28" s="32" t="str">
        <f t="shared" si="5"/>
        <v>-</v>
      </c>
      <c r="N28" s="33" t="str">
        <f t="shared" si="2"/>
        <v>-</v>
      </c>
      <c r="O28" s="34" t="str">
        <f t="shared" si="3"/>
        <v>-</v>
      </c>
      <c r="Q28" s="34" t="str">
        <f t="shared" si="4"/>
        <v>-</v>
      </c>
    </row>
    <row r="29" spans="1:17">
      <c r="A29" s="40">
        <v>1758</v>
      </c>
      <c r="B29" s="10" t="s">
        <v>147</v>
      </c>
      <c r="C29" s="11">
        <v>768990017582</v>
      </c>
      <c r="D29" s="12">
        <v>12</v>
      </c>
      <c r="E29" s="22">
        <v>0.13170999447054166</v>
      </c>
      <c r="F29" s="13">
        <v>23.278500000000001</v>
      </c>
      <c r="G29" s="36" t="s">
        <v>143</v>
      </c>
      <c r="H29" s="19"/>
      <c r="I29" s="41">
        <f t="shared" si="0"/>
        <v>0</v>
      </c>
      <c r="L29" s="32" t="str">
        <f t="shared" si="1"/>
        <v>-</v>
      </c>
      <c r="M29" s="32" t="str">
        <f t="shared" si="5"/>
        <v>-</v>
      </c>
      <c r="N29" s="33" t="str">
        <f t="shared" si="2"/>
        <v>-</v>
      </c>
      <c r="O29" s="34" t="str">
        <f t="shared" si="3"/>
        <v>-</v>
      </c>
      <c r="Q29" s="34" t="str">
        <f t="shared" si="4"/>
        <v>-</v>
      </c>
    </row>
    <row r="30" spans="1:17">
      <c r="A30" s="40">
        <v>1748</v>
      </c>
      <c r="B30" s="10" t="s">
        <v>149</v>
      </c>
      <c r="C30" s="11">
        <v>768990017483</v>
      </c>
      <c r="D30" s="12">
        <v>12</v>
      </c>
      <c r="E30" s="22">
        <v>0.23424643967725001</v>
      </c>
      <c r="F30" s="13">
        <v>34.618499999999997</v>
      </c>
      <c r="G30" s="36" t="s">
        <v>143</v>
      </c>
      <c r="H30" s="19"/>
      <c r="I30" s="41">
        <f t="shared" si="0"/>
        <v>0</v>
      </c>
      <c r="L30" s="32" t="str">
        <f t="shared" si="1"/>
        <v>-</v>
      </c>
      <c r="M30" s="32" t="str">
        <f t="shared" si="5"/>
        <v>-</v>
      </c>
      <c r="N30" s="33" t="str">
        <f t="shared" si="2"/>
        <v>-</v>
      </c>
      <c r="O30" s="34" t="str">
        <f t="shared" si="3"/>
        <v>-</v>
      </c>
      <c r="Q30" s="34" t="str">
        <f t="shared" si="4"/>
        <v>-</v>
      </c>
    </row>
    <row r="31" spans="1:17">
      <c r="A31" s="40">
        <v>1794</v>
      </c>
      <c r="B31" s="10" t="s">
        <v>9</v>
      </c>
      <c r="C31" s="11">
        <v>768990017940</v>
      </c>
      <c r="D31" s="12">
        <v>12</v>
      </c>
      <c r="E31" s="22">
        <v>0.155735270334875</v>
      </c>
      <c r="F31" s="13">
        <v>19.4985</v>
      </c>
      <c r="G31" s="36" t="s">
        <v>143</v>
      </c>
      <c r="H31" s="19"/>
      <c r="I31" s="41">
        <f t="shared" si="0"/>
        <v>0</v>
      </c>
      <c r="L31" s="32" t="str">
        <f t="shared" si="1"/>
        <v>-</v>
      </c>
      <c r="M31" s="32" t="str">
        <f t="shared" si="5"/>
        <v>-</v>
      </c>
      <c r="N31" s="33" t="str">
        <f t="shared" si="2"/>
        <v>-</v>
      </c>
      <c r="O31" s="34" t="str">
        <f t="shared" si="3"/>
        <v>-</v>
      </c>
      <c r="Q31" s="34" t="str">
        <f t="shared" si="4"/>
        <v>-</v>
      </c>
    </row>
    <row r="32" spans="1:17">
      <c r="A32" s="40">
        <v>1799</v>
      </c>
      <c r="B32" s="10" t="s">
        <v>10</v>
      </c>
      <c r="C32" s="11">
        <v>768990017995</v>
      </c>
      <c r="D32" s="12">
        <v>12</v>
      </c>
      <c r="E32" s="22">
        <v>0.155735270334875</v>
      </c>
      <c r="F32" s="13">
        <v>21.388500000000001</v>
      </c>
      <c r="G32" s="36" t="s">
        <v>143</v>
      </c>
      <c r="H32" s="19"/>
      <c r="I32" s="41">
        <f t="shared" si="0"/>
        <v>0</v>
      </c>
      <c r="L32" s="32" t="str">
        <f t="shared" si="1"/>
        <v>-</v>
      </c>
      <c r="M32" s="32" t="str">
        <f t="shared" si="5"/>
        <v>-</v>
      </c>
      <c r="N32" s="33" t="str">
        <f t="shared" si="2"/>
        <v>-</v>
      </c>
      <c r="O32" s="34" t="str">
        <f t="shared" si="3"/>
        <v>-</v>
      </c>
      <c r="Q32" s="34" t="str">
        <f t="shared" si="4"/>
        <v>-</v>
      </c>
    </row>
    <row r="33" spans="1:17">
      <c r="A33" s="40">
        <v>2154</v>
      </c>
      <c r="B33" s="10" t="s">
        <v>13</v>
      </c>
      <c r="C33" s="11">
        <v>768990021541</v>
      </c>
      <c r="D33" s="12">
        <v>12</v>
      </c>
      <c r="E33" s="22">
        <v>0.39470096062833337</v>
      </c>
      <c r="F33" s="13">
        <v>89.4285</v>
      </c>
      <c r="G33" s="36" t="s">
        <v>143</v>
      </c>
      <c r="H33" s="19"/>
      <c r="I33" s="41">
        <f t="shared" si="0"/>
        <v>0</v>
      </c>
      <c r="L33" s="32" t="str">
        <f t="shared" si="1"/>
        <v>-</v>
      </c>
      <c r="M33" s="32" t="str">
        <f t="shared" si="5"/>
        <v>-</v>
      </c>
      <c r="N33" s="33" t="str">
        <f t="shared" si="2"/>
        <v>-</v>
      </c>
      <c r="O33" s="34" t="str">
        <f t="shared" si="3"/>
        <v>-</v>
      </c>
      <c r="Q33" s="34" t="str">
        <f t="shared" si="4"/>
        <v>-</v>
      </c>
    </row>
    <row r="34" spans="1:17">
      <c r="A34" s="40">
        <v>6105</v>
      </c>
      <c r="B34" s="10" t="s">
        <v>115</v>
      </c>
      <c r="C34" s="11">
        <v>768990061059</v>
      </c>
      <c r="D34" s="12">
        <v>12</v>
      </c>
      <c r="E34" s="22">
        <v>0.11068787808925001</v>
      </c>
      <c r="F34" s="13">
        <v>23.908499999999997</v>
      </c>
      <c r="G34" s="36" t="s">
        <v>143</v>
      </c>
      <c r="H34" s="19"/>
      <c r="I34" s="41">
        <f t="shared" si="0"/>
        <v>0</v>
      </c>
      <c r="L34" s="32" t="str">
        <f t="shared" si="1"/>
        <v>-</v>
      </c>
      <c r="M34" s="32" t="str">
        <f t="shared" si="5"/>
        <v>-</v>
      </c>
      <c r="N34" s="33" t="str">
        <f t="shared" si="2"/>
        <v>-</v>
      </c>
      <c r="O34" s="34" t="str">
        <f t="shared" si="3"/>
        <v>-</v>
      </c>
      <c r="Q34" s="34" t="str">
        <f t="shared" si="4"/>
        <v>-</v>
      </c>
    </row>
    <row r="35" spans="1:17">
      <c r="A35" s="40">
        <v>1870</v>
      </c>
      <c r="B35" s="10" t="s">
        <v>158</v>
      </c>
      <c r="C35" s="11">
        <v>768990018701</v>
      </c>
      <c r="D35" s="12">
        <v>12</v>
      </c>
      <c r="E35" s="22">
        <v>0.155735270334875</v>
      </c>
      <c r="F35" s="13">
        <v>18.238500000000002</v>
      </c>
      <c r="G35" s="36" t="s">
        <v>143</v>
      </c>
      <c r="H35" s="19"/>
      <c r="I35" s="41">
        <f t="shared" ref="I35:I66" si="6">F35*H35</f>
        <v>0</v>
      </c>
      <c r="L35" s="32" t="str">
        <f t="shared" ref="L35:L66" si="7">IFERROR(IF($L$2*E35=0, "-", $L$2*E35), "-")</f>
        <v>-</v>
      </c>
      <c r="M35" s="32" t="str">
        <f t="shared" si="5"/>
        <v>-</v>
      </c>
      <c r="N35" s="33" t="str">
        <f t="shared" ref="N35:N66" si="8">IF(H35&gt;0,H35*E35, "-")</f>
        <v>-</v>
      </c>
      <c r="O35" s="34" t="str">
        <f t="shared" si="3"/>
        <v>-</v>
      </c>
      <c r="Q35" s="34" t="str">
        <f t="shared" si="4"/>
        <v>-</v>
      </c>
    </row>
    <row r="36" spans="1:17">
      <c r="A36" s="40">
        <v>1840</v>
      </c>
      <c r="B36" s="10" t="s">
        <v>164</v>
      </c>
      <c r="C36" s="11">
        <v>768990018404</v>
      </c>
      <c r="D36" s="12">
        <v>12</v>
      </c>
      <c r="E36" s="22">
        <v>0.155735270334875</v>
      </c>
      <c r="F36" s="13">
        <v>32.728499999999997</v>
      </c>
      <c r="G36" s="36" t="s">
        <v>143</v>
      </c>
      <c r="H36" s="19"/>
      <c r="I36" s="41">
        <f t="shared" si="6"/>
        <v>0</v>
      </c>
      <c r="L36" s="32" t="str">
        <f t="shared" si="7"/>
        <v>-</v>
      </c>
      <c r="M36" s="32" t="str">
        <f t="shared" si="5"/>
        <v>-</v>
      </c>
      <c r="N36" s="33" t="str">
        <f t="shared" si="8"/>
        <v>-</v>
      </c>
      <c r="O36" s="34" t="str">
        <f t="shared" si="3"/>
        <v>-</v>
      </c>
      <c r="Q36" s="34" t="str">
        <f t="shared" si="4"/>
        <v>-</v>
      </c>
    </row>
    <row r="37" spans="1:17">
      <c r="A37" s="40">
        <v>1890</v>
      </c>
      <c r="B37" s="10" t="s">
        <v>165</v>
      </c>
      <c r="C37" s="11">
        <v>768990018909</v>
      </c>
      <c r="D37" s="12">
        <v>12</v>
      </c>
      <c r="E37" s="22">
        <v>0.155735270334875</v>
      </c>
      <c r="F37" s="13">
        <v>25.798499999999997</v>
      </c>
      <c r="G37" s="36" t="s">
        <v>143</v>
      </c>
      <c r="H37" s="19"/>
      <c r="I37" s="41">
        <f t="shared" si="6"/>
        <v>0</v>
      </c>
      <c r="L37" s="32" t="str">
        <f t="shared" si="7"/>
        <v>-</v>
      </c>
      <c r="M37" s="32" t="str">
        <f t="shared" si="5"/>
        <v>-</v>
      </c>
      <c r="N37" s="33" t="str">
        <f t="shared" si="8"/>
        <v>-</v>
      </c>
      <c r="O37" s="34" t="str">
        <f t="shared" si="3"/>
        <v>-</v>
      </c>
      <c r="Q37" s="34" t="str">
        <f t="shared" si="4"/>
        <v>-</v>
      </c>
    </row>
    <row r="38" spans="1:17">
      <c r="A38" s="40">
        <v>1892</v>
      </c>
      <c r="B38" s="10" t="s">
        <v>166</v>
      </c>
      <c r="C38" s="11">
        <v>768990018923</v>
      </c>
      <c r="D38" s="12">
        <v>12</v>
      </c>
      <c r="E38" s="22">
        <v>0.29302256098820834</v>
      </c>
      <c r="F38" s="13">
        <v>46.588499999999996</v>
      </c>
      <c r="G38" s="36" t="s">
        <v>143</v>
      </c>
      <c r="H38" s="19"/>
      <c r="I38" s="41">
        <f t="shared" si="6"/>
        <v>0</v>
      </c>
      <c r="L38" s="32" t="str">
        <f t="shared" si="7"/>
        <v>-</v>
      </c>
      <c r="M38" s="32" t="str">
        <f t="shared" si="5"/>
        <v>-</v>
      </c>
      <c r="N38" s="33" t="str">
        <f t="shared" si="8"/>
        <v>-</v>
      </c>
      <c r="O38" s="34" t="str">
        <f t="shared" si="3"/>
        <v>-</v>
      </c>
      <c r="Q38" s="34" t="str">
        <f t="shared" si="4"/>
        <v>-</v>
      </c>
    </row>
    <row r="39" spans="1:17">
      <c r="A39" s="40">
        <v>1807</v>
      </c>
      <c r="B39" s="10" t="s">
        <v>17</v>
      </c>
      <c r="C39" s="11">
        <v>768990018077</v>
      </c>
      <c r="D39" s="12">
        <v>12</v>
      </c>
      <c r="E39" s="22">
        <v>0.16431572600070835</v>
      </c>
      <c r="F39" s="13">
        <v>35.2485</v>
      </c>
      <c r="G39" s="36" t="s">
        <v>143</v>
      </c>
      <c r="H39" s="19"/>
      <c r="I39" s="41">
        <f t="shared" si="6"/>
        <v>0</v>
      </c>
      <c r="L39" s="32" t="str">
        <f t="shared" si="7"/>
        <v>-</v>
      </c>
      <c r="M39" s="32" t="str">
        <f t="shared" si="5"/>
        <v>-</v>
      </c>
      <c r="N39" s="33" t="str">
        <f t="shared" si="8"/>
        <v>-</v>
      </c>
      <c r="O39" s="34" t="str">
        <f t="shared" si="3"/>
        <v>-</v>
      </c>
      <c r="Q39" s="34" t="str">
        <f t="shared" si="4"/>
        <v>-</v>
      </c>
    </row>
    <row r="40" spans="1:17">
      <c r="A40" s="40">
        <v>1760</v>
      </c>
      <c r="B40" s="10" t="s">
        <v>21</v>
      </c>
      <c r="C40" s="11">
        <v>768990017605</v>
      </c>
      <c r="D40" s="12">
        <v>12</v>
      </c>
      <c r="E40" s="22">
        <v>0.155735270334875</v>
      </c>
      <c r="F40" s="13">
        <v>11.938499999999998</v>
      </c>
      <c r="G40" s="36" t="s">
        <v>143</v>
      </c>
      <c r="H40" s="19"/>
      <c r="I40" s="41">
        <f t="shared" si="6"/>
        <v>0</v>
      </c>
      <c r="L40" s="32" t="str">
        <f t="shared" si="7"/>
        <v>-</v>
      </c>
      <c r="M40" s="32" t="str">
        <f t="shared" si="5"/>
        <v>-</v>
      </c>
      <c r="N40" s="33" t="str">
        <f t="shared" si="8"/>
        <v>-</v>
      </c>
      <c r="O40" s="34" t="str">
        <f t="shared" si="3"/>
        <v>-</v>
      </c>
      <c r="Q40" s="34" t="str">
        <f t="shared" si="4"/>
        <v>-</v>
      </c>
    </row>
    <row r="41" spans="1:17">
      <c r="A41" s="40">
        <v>2764</v>
      </c>
      <c r="B41" s="10" t="s">
        <v>23</v>
      </c>
      <c r="C41" s="11">
        <v>768990027642</v>
      </c>
      <c r="D41" s="12">
        <v>4</v>
      </c>
      <c r="E41" s="22">
        <v>0.90094784491250002</v>
      </c>
      <c r="F41" s="13">
        <v>32.098499999999994</v>
      </c>
      <c r="G41" s="36" t="s">
        <v>143</v>
      </c>
      <c r="H41" s="19"/>
      <c r="I41" s="41">
        <f t="shared" si="6"/>
        <v>0</v>
      </c>
      <c r="L41" s="32" t="str">
        <f t="shared" si="7"/>
        <v>-</v>
      </c>
      <c r="M41" s="32" t="str">
        <f t="shared" si="5"/>
        <v>-</v>
      </c>
      <c r="N41" s="33" t="str">
        <f t="shared" si="8"/>
        <v>-</v>
      </c>
      <c r="O41" s="34" t="str">
        <f t="shared" si="3"/>
        <v>-</v>
      </c>
      <c r="Q41" s="34" t="str">
        <f t="shared" si="4"/>
        <v>-</v>
      </c>
    </row>
    <row r="42" spans="1:17">
      <c r="A42" s="40">
        <v>1761</v>
      </c>
      <c r="B42" s="10" t="s">
        <v>24</v>
      </c>
      <c r="C42" s="11">
        <v>768990017612</v>
      </c>
      <c r="D42" s="12">
        <v>12</v>
      </c>
      <c r="E42" s="22">
        <v>0.155735270334875</v>
      </c>
      <c r="F42" s="13">
        <v>12.5685</v>
      </c>
      <c r="G42" s="36" t="s">
        <v>143</v>
      </c>
      <c r="H42" s="19"/>
      <c r="I42" s="41">
        <f t="shared" si="6"/>
        <v>0</v>
      </c>
      <c r="L42" s="32" t="str">
        <f t="shared" si="7"/>
        <v>-</v>
      </c>
      <c r="M42" s="32" t="str">
        <f t="shared" si="5"/>
        <v>-</v>
      </c>
      <c r="N42" s="33" t="str">
        <f t="shared" si="8"/>
        <v>-</v>
      </c>
      <c r="O42" s="34" t="str">
        <f t="shared" si="3"/>
        <v>-</v>
      </c>
      <c r="Q42" s="34" t="str">
        <f t="shared" si="4"/>
        <v>-</v>
      </c>
    </row>
    <row r="43" spans="1:17">
      <c r="A43" s="40">
        <v>1770</v>
      </c>
      <c r="B43" s="10" t="s">
        <v>28</v>
      </c>
      <c r="C43" s="11">
        <v>768990017704</v>
      </c>
      <c r="D43" s="12">
        <v>12</v>
      </c>
      <c r="E43" s="22">
        <v>0.155735270334875</v>
      </c>
      <c r="F43" s="13">
        <v>12.5685</v>
      </c>
      <c r="G43" s="36" t="s">
        <v>143</v>
      </c>
      <c r="H43" s="19"/>
      <c r="I43" s="41">
        <f t="shared" si="6"/>
        <v>0</v>
      </c>
      <c r="L43" s="32" t="str">
        <f t="shared" si="7"/>
        <v>-</v>
      </c>
      <c r="M43" s="32" t="str">
        <f t="shared" si="5"/>
        <v>-</v>
      </c>
      <c r="N43" s="33" t="str">
        <f t="shared" si="8"/>
        <v>-</v>
      </c>
      <c r="O43" s="34" t="str">
        <f t="shared" si="3"/>
        <v>-</v>
      </c>
      <c r="Q43" s="34" t="str">
        <f t="shared" si="4"/>
        <v>-</v>
      </c>
    </row>
    <row r="44" spans="1:17">
      <c r="A44" s="40">
        <v>2773</v>
      </c>
      <c r="B44" s="10" t="s">
        <v>30</v>
      </c>
      <c r="C44" s="11">
        <v>768990027734</v>
      </c>
      <c r="D44" s="12">
        <v>6</v>
      </c>
      <c r="E44" s="22">
        <v>0.51997561334950004</v>
      </c>
      <c r="F44" s="13">
        <v>21.388500000000001</v>
      </c>
      <c r="G44" s="36" t="s">
        <v>143</v>
      </c>
      <c r="H44" s="19"/>
      <c r="I44" s="41">
        <f t="shared" si="6"/>
        <v>0</v>
      </c>
      <c r="L44" s="32" t="str">
        <f t="shared" si="7"/>
        <v>-</v>
      </c>
      <c r="M44" s="32" t="str">
        <f t="shared" si="5"/>
        <v>-</v>
      </c>
      <c r="N44" s="33" t="str">
        <f t="shared" si="8"/>
        <v>-</v>
      </c>
      <c r="O44" s="34" t="str">
        <f t="shared" si="3"/>
        <v>-</v>
      </c>
      <c r="Q44" s="34" t="str">
        <f t="shared" si="4"/>
        <v>-</v>
      </c>
    </row>
    <row r="45" spans="1:17">
      <c r="A45" s="40">
        <v>1778</v>
      </c>
      <c r="B45" s="10" t="s">
        <v>32</v>
      </c>
      <c r="C45" s="11">
        <v>768990017780</v>
      </c>
      <c r="D45" s="12">
        <v>12</v>
      </c>
      <c r="E45" s="22">
        <v>0.155735270334875</v>
      </c>
      <c r="F45" s="13">
        <v>13.198499999999999</v>
      </c>
      <c r="G45" s="36" t="s">
        <v>143</v>
      </c>
      <c r="H45" s="19"/>
      <c r="I45" s="41">
        <f t="shared" si="6"/>
        <v>0</v>
      </c>
      <c r="L45" s="32" t="str">
        <f t="shared" si="7"/>
        <v>-</v>
      </c>
      <c r="M45" s="32" t="str">
        <f t="shared" si="5"/>
        <v>-</v>
      </c>
      <c r="N45" s="33" t="str">
        <f t="shared" si="8"/>
        <v>-</v>
      </c>
      <c r="O45" s="34" t="str">
        <f t="shared" si="3"/>
        <v>-</v>
      </c>
      <c r="Q45" s="34" t="str">
        <f t="shared" si="4"/>
        <v>-</v>
      </c>
    </row>
    <row r="46" spans="1:17">
      <c r="A46" s="40">
        <v>53785</v>
      </c>
      <c r="B46" s="10" t="s">
        <v>43</v>
      </c>
      <c r="C46" s="11">
        <v>768990537851</v>
      </c>
      <c r="D46" s="12">
        <v>6</v>
      </c>
      <c r="E46" s="22">
        <v>0.51568538551658338</v>
      </c>
      <c r="F46" s="13">
        <v>21.388500000000001</v>
      </c>
      <c r="G46" s="36" t="s">
        <v>143</v>
      </c>
      <c r="H46" s="19"/>
      <c r="I46" s="41">
        <f t="shared" si="6"/>
        <v>0</v>
      </c>
      <c r="L46" s="32" t="str">
        <f t="shared" si="7"/>
        <v>-</v>
      </c>
      <c r="M46" s="32" t="str">
        <f t="shared" si="5"/>
        <v>-</v>
      </c>
      <c r="N46" s="33" t="str">
        <f t="shared" si="8"/>
        <v>-</v>
      </c>
      <c r="O46" s="34" t="str">
        <f t="shared" si="3"/>
        <v>-</v>
      </c>
      <c r="Q46" s="34" t="str">
        <f t="shared" si="4"/>
        <v>-</v>
      </c>
    </row>
    <row r="47" spans="1:17">
      <c r="A47" s="40">
        <v>1710</v>
      </c>
      <c r="B47" s="10" t="s">
        <v>46</v>
      </c>
      <c r="C47" s="11">
        <v>768990017100</v>
      </c>
      <c r="D47" s="12">
        <v>12</v>
      </c>
      <c r="E47" s="22">
        <v>8.4946511091750013E-2</v>
      </c>
      <c r="F47" s="13">
        <v>11.308499999999999</v>
      </c>
      <c r="G47" s="36" t="s">
        <v>143</v>
      </c>
      <c r="H47" s="19"/>
      <c r="I47" s="41">
        <f t="shared" si="6"/>
        <v>0</v>
      </c>
      <c r="L47" s="32" t="str">
        <f t="shared" si="7"/>
        <v>-</v>
      </c>
      <c r="M47" s="32" t="str">
        <f t="shared" si="5"/>
        <v>-</v>
      </c>
      <c r="N47" s="33" t="str">
        <f t="shared" si="8"/>
        <v>-</v>
      </c>
      <c r="O47" s="34" t="str">
        <f t="shared" si="3"/>
        <v>-</v>
      </c>
      <c r="Q47" s="34" t="str">
        <f t="shared" si="4"/>
        <v>-</v>
      </c>
    </row>
    <row r="48" spans="1:17">
      <c r="A48" s="40">
        <v>2721</v>
      </c>
      <c r="B48" s="10" t="s">
        <v>49</v>
      </c>
      <c r="C48" s="11">
        <v>768990027215</v>
      </c>
      <c r="D48" s="12">
        <v>12</v>
      </c>
      <c r="E48" s="22">
        <v>8.4946511091750013E-2</v>
      </c>
      <c r="F48" s="13">
        <v>14.458499999999999</v>
      </c>
      <c r="G48" s="36" t="s">
        <v>143</v>
      </c>
      <c r="H48" s="19"/>
      <c r="I48" s="41">
        <f t="shared" si="6"/>
        <v>0</v>
      </c>
      <c r="L48" s="32" t="str">
        <f t="shared" si="7"/>
        <v>-</v>
      </c>
      <c r="M48" s="32" t="str">
        <f t="shared" si="5"/>
        <v>-</v>
      </c>
      <c r="N48" s="33" t="str">
        <f t="shared" si="8"/>
        <v>-</v>
      </c>
      <c r="O48" s="34" t="str">
        <f t="shared" si="3"/>
        <v>-</v>
      </c>
      <c r="Q48" s="34" t="str">
        <f t="shared" si="4"/>
        <v>-</v>
      </c>
    </row>
    <row r="49" spans="1:17">
      <c r="A49" s="40">
        <v>1844</v>
      </c>
      <c r="B49" s="10" t="s">
        <v>50</v>
      </c>
      <c r="C49" s="11">
        <v>768990018442</v>
      </c>
      <c r="D49" s="12">
        <v>52</v>
      </c>
      <c r="E49" s="22">
        <v>4.9403623583663465E-2</v>
      </c>
      <c r="F49" s="13">
        <v>17.608499999999999</v>
      </c>
      <c r="G49" s="36" t="s">
        <v>143</v>
      </c>
      <c r="H49" s="19"/>
      <c r="I49" s="41">
        <f t="shared" si="6"/>
        <v>0</v>
      </c>
      <c r="L49" s="32" t="str">
        <f t="shared" si="7"/>
        <v>-</v>
      </c>
      <c r="M49" s="32" t="str">
        <f t="shared" si="5"/>
        <v>-</v>
      </c>
      <c r="N49" s="33" t="str">
        <f t="shared" si="8"/>
        <v>-</v>
      </c>
      <c r="O49" s="34" t="str">
        <f t="shared" si="3"/>
        <v>-</v>
      </c>
      <c r="Q49" s="34" t="str">
        <f t="shared" si="4"/>
        <v>-</v>
      </c>
    </row>
    <row r="50" spans="1:17">
      <c r="A50" s="40">
        <v>1775</v>
      </c>
      <c r="B50" s="10" t="s">
        <v>181</v>
      </c>
      <c r="C50" s="11">
        <v>768990017759</v>
      </c>
      <c r="D50" s="12">
        <v>12</v>
      </c>
      <c r="E50" s="22">
        <v>0.12613269828775001</v>
      </c>
      <c r="F50" s="13">
        <v>13.198499999999999</v>
      </c>
      <c r="G50" s="36" t="s">
        <v>143</v>
      </c>
      <c r="H50" s="19"/>
      <c r="I50" s="41">
        <f t="shared" si="6"/>
        <v>0</v>
      </c>
      <c r="L50" s="32" t="str">
        <f t="shared" si="7"/>
        <v>-</v>
      </c>
      <c r="M50" s="32" t="str">
        <f t="shared" si="5"/>
        <v>-</v>
      </c>
      <c r="N50" s="33" t="str">
        <f t="shared" si="8"/>
        <v>-</v>
      </c>
      <c r="O50" s="34" t="str">
        <f t="shared" si="3"/>
        <v>-</v>
      </c>
      <c r="Q50" s="34" t="str">
        <f t="shared" si="4"/>
        <v>-</v>
      </c>
    </row>
    <row r="51" spans="1:17">
      <c r="A51" s="40">
        <v>30126</v>
      </c>
      <c r="B51" s="10" t="s">
        <v>53</v>
      </c>
      <c r="C51" s="11">
        <v>768990301261</v>
      </c>
      <c r="D51" s="12">
        <v>12</v>
      </c>
      <c r="E51" s="22">
        <v>0.4847957451195834</v>
      </c>
      <c r="F51" s="13">
        <v>16.978499999999997</v>
      </c>
      <c r="G51" s="36" t="s">
        <v>143</v>
      </c>
      <c r="H51" s="19"/>
      <c r="I51" s="41">
        <f t="shared" si="6"/>
        <v>0</v>
      </c>
      <c r="L51" s="32" t="str">
        <f t="shared" si="7"/>
        <v>-</v>
      </c>
      <c r="M51" s="32" t="str">
        <f t="shared" si="5"/>
        <v>-</v>
      </c>
      <c r="N51" s="33" t="str">
        <f t="shared" si="8"/>
        <v>-</v>
      </c>
      <c r="O51" s="34" t="str">
        <f t="shared" si="3"/>
        <v>-</v>
      </c>
      <c r="Q51" s="34" t="str">
        <f t="shared" si="4"/>
        <v>-</v>
      </c>
    </row>
    <row r="52" spans="1:17">
      <c r="A52" s="40">
        <v>30172</v>
      </c>
      <c r="B52" s="10" t="s">
        <v>103</v>
      </c>
      <c r="C52" s="11">
        <v>768990301728</v>
      </c>
      <c r="D52" s="12">
        <v>12</v>
      </c>
      <c r="E52" s="22">
        <v>0.29345158377150005</v>
      </c>
      <c r="F52" s="13">
        <v>18.238500000000002</v>
      </c>
      <c r="G52" s="36" t="s">
        <v>143</v>
      </c>
      <c r="H52" s="19"/>
      <c r="I52" s="41">
        <f t="shared" si="6"/>
        <v>0</v>
      </c>
      <c r="L52" s="32" t="str">
        <f t="shared" si="7"/>
        <v>-</v>
      </c>
      <c r="M52" s="32" t="str">
        <f t="shared" si="5"/>
        <v>-</v>
      </c>
      <c r="N52" s="33" t="str">
        <f t="shared" si="8"/>
        <v>-</v>
      </c>
      <c r="O52" s="34" t="str">
        <f t="shared" si="3"/>
        <v>-</v>
      </c>
      <c r="Q52" s="34" t="str">
        <f t="shared" si="4"/>
        <v>-</v>
      </c>
    </row>
    <row r="53" spans="1:17">
      <c r="A53" s="40">
        <v>30130</v>
      </c>
      <c r="B53" s="10" t="s">
        <v>55</v>
      </c>
      <c r="C53" s="11">
        <v>768990301308</v>
      </c>
      <c r="D53" s="12">
        <v>12</v>
      </c>
      <c r="E53" s="22">
        <v>0.56588105116170839</v>
      </c>
      <c r="F53" s="13">
        <v>14.458499999999999</v>
      </c>
      <c r="G53" s="36" t="s">
        <v>143</v>
      </c>
      <c r="H53" s="19"/>
      <c r="I53" s="41">
        <f t="shared" si="6"/>
        <v>0</v>
      </c>
      <c r="L53" s="32" t="str">
        <f t="shared" si="7"/>
        <v>-</v>
      </c>
      <c r="M53" s="32" t="str">
        <f t="shared" si="5"/>
        <v>-</v>
      </c>
      <c r="N53" s="33" t="str">
        <f t="shared" si="8"/>
        <v>-</v>
      </c>
      <c r="O53" s="34" t="str">
        <f t="shared" si="3"/>
        <v>-</v>
      </c>
      <c r="Q53" s="34" t="str">
        <f t="shared" si="4"/>
        <v>-</v>
      </c>
    </row>
    <row r="54" spans="1:17">
      <c r="A54" s="40">
        <v>30167</v>
      </c>
      <c r="B54" s="10" t="s">
        <v>120</v>
      </c>
      <c r="C54" s="11">
        <v>768990301674</v>
      </c>
      <c r="D54" s="12">
        <v>12</v>
      </c>
      <c r="E54" s="22">
        <v>0.28186796862262503</v>
      </c>
      <c r="F54" s="13">
        <v>9.4184999999999999</v>
      </c>
      <c r="G54" s="36" t="s">
        <v>143</v>
      </c>
      <c r="H54" s="19"/>
      <c r="I54" s="41">
        <f t="shared" si="6"/>
        <v>0</v>
      </c>
      <c r="L54" s="32" t="str">
        <f t="shared" si="7"/>
        <v>-</v>
      </c>
      <c r="M54" s="32" t="str">
        <f t="shared" si="5"/>
        <v>-</v>
      </c>
      <c r="N54" s="33" t="str">
        <f t="shared" si="8"/>
        <v>-</v>
      </c>
      <c r="O54" s="34" t="str">
        <f t="shared" si="3"/>
        <v>-</v>
      </c>
      <c r="Q54" s="34" t="str">
        <f t="shared" si="4"/>
        <v>-</v>
      </c>
    </row>
    <row r="55" spans="1:17">
      <c r="A55" s="40">
        <v>30127</v>
      </c>
      <c r="B55" s="10" t="s">
        <v>62</v>
      </c>
      <c r="C55" s="11">
        <v>768990301278</v>
      </c>
      <c r="D55" s="12">
        <v>12</v>
      </c>
      <c r="E55" s="22">
        <v>0.4847957451195834</v>
      </c>
      <c r="F55" s="13">
        <v>22.0185</v>
      </c>
      <c r="G55" s="36" t="s">
        <v>143</v>
      </c>
      <c r="H55" s="19"/>
      <c r="I55" s="41">
        <f t="shared" si="6"/>
        <v>0</v>
      </c>
      <c r="L55" s="32" t="str">
        <f t="shared" si="7"/>
        <v>-</v>
      </c>
      <c r="M55" s="32" t="str">
        <f t="shared" si="5"/>
        <v>-</v>
      </c>
      <c r="N55" s="33" t="str">
        <f t="shared" si="8"/>
        <v>-</v>
      </c>
      <c r="O55" s="34" t="str">
        <f t="shared" si="3"/>
        <v>-</v>
      </c>
      <c r="Q55" s="34" t="str">
        <f t="shared" si="4"/>
        <v>-</v>
      </c>
    </row>
    <row r="56" spans="1:17">
      <c r="A56" s="40">
        <v>1664</v>
      </c>
      <c r="B56" s="10" t="s">
        <v>134</v>
      </c>
      <c r="C56" s="11">
        <v>768990016646</v>
      </c>
      <c r="D56" s="12">
        <v>12</v>
      </c>
      <c r="E56" s="22">
        <v>0.27028435347375002</v>
      </c>
      <c r="F56" s="13">
        <v>26.4285</v>
      </c>
      <c r="G56" s="36" t="s">
        <v>143</v>
      </c>
      <c r="H56" s="19"/>
      <c r="I56" s="41">
        <f t="shared" si="6"/>
        <v>0</v>
      </c>
      <c r="L56" s="32" t="str">
        <f t="shared" si="7"/>
        <v>-</v>
      </c>
      <c r="M56" s="32" t="str">
        <f t="shared" si="5"/>
        <v>-</v>
      </c>
      <c r="N56" s="33" t="str">
        <f t="shared" si="8"/>
        <v>-</v>
      </c>
      <c r="O56" s="34" t="str">
        <f t="shared" si="3"/>
        <v>-</v>
      </c>
      <c r="Q56" s="34" t="str">
        <f t="shared" si="4"/>
        <v>-</v>
      </c>
    </row>
    <row r="57" spans="1:17">
      <c r="A57" s="40">
        <v>1606</v>
      </c>
      <c r="B57" s="10" t="s">
        <v>73</v>
      </c>
      <c r="C57" s="11">
        <v>768990016066</v>
      </c>
      <c r="D57" s="12">
        <v>12</v>
      </c>
      <c r="E57" s="22">
        <v>9.8246217373791661E-2</v>
      </c>
      <c r="F57" s="13">
        <v>19.4985</v>
      </c>
      <c r="G57" s="36" t="s">
        <v>143</v>
      </c>
      <c r="H57" s="19"/>
      <c r="I57" s="41">
        <f t="shared" si="6"/>
        <v>0</v>
      </c>
      <c r="L57" s="32" t="str">
        <f t="shared" si="7"/>
        <v>-</v>
      </c>
      <c r="M57" s="32" t="str">
        <f t="shared" si="5"/>
        <v>-</v>
      </c>
      <c r="N57" s="33" t="str">
        <f t="shared" si="8"/>
        <v>-</v>
      </c>
      <c r="O57" s="34" t="str">
        <f t="shared" si="3"/>
        <v>-</v>
      </c>
      <c r="Q57" s="34" t="str">
        <f t="shared" si="4"/>
        <v>-</v>
      </c>
    </row>
    <row r="58" spans="1:17">
      <c r="A58" s="40">
        <v>1618</v>
      </c>
      <c r="B58" s="10" t="s">
        <v>74</v>
      </c>
      <c r="C58" s="11">
        <v>768990016189</v>
      </c>
      <c r="D58" s="12">
        <v>12</v>
      </c>
      <c r="E58" s="22">
        <v>0.17332520444983332</v>
      </c>
      <c r="F58" s="13">
        <v>33.358499999999992</v>
      </c>
      <c r="G58" s="36" t="s">
        <v>143</v>
      </c>
      <c r="H58" s="19"/>
      <c r="I58" s="41">
        <f t="shared" si="6"/>
        <v>0</v>
      </c>
      <c r="L58" s="32" t="str">
        <f t="shared" si="7"/>
        <v>-</v>
      </c>
      <c r="M58" s="32" t="str">
        <f t="shared" si="5"/>
        <v>-</v>
      </c>
      <c r="N58" s="33" t="str">
        <f t="shared" si="8"/>
        <v>-</v>
      </c>
      <c r="O58" s="34" t="str">
        <f t="shared" si="3"/>
        <v>-</v>
      </c>
      <c r="Q58" s="34" t="str">
        <f t="shared" si="4"/>
        <v>-</v>
      </c>
    </row>
    <row r="59" spans="1:17">
      <c r="A59" s="40">
        <v>1533</v>
      </c>
      <c r="B59" s="10" t="s">
        <v>75</v>
      </c>
      <c r="C59" s="11">
        <v>768990015335</v>
      </c>
      <c r="D59" s="12">
        <v>12</v>
      </c>
      <c r="E59" s="22">
        <v>0.17160911331666664</v>
      </c>
      <c r="F59" s="13">
        <v>13.828499999999998</v>
      </c>
      <c r="G59" s="36" t="s">
        <v>143</v>
      </c>
      <c r="H59" s="19"/>
      <c r="I59" s="41">
        <f t="shared" si="6"/>
        <v>0</v>
      </c>
      <c r="L59" s="32" t="str">
        <f t="shared" si="7"/>
        <v>-</v>
      </c>
      <c r="M59" s="32" t="str">
        <f t="shared" si="5"/>
        <v>-</v>
      </c>
      <c r="N59" s="33" t="str">
        <f t="shared" si="8"/>
        <v>-</v>
      </c>
      <c r="O59" s="34" t="str">
        <f t="shared" si="3"/>
        <v>-</v>
      </c>
      <c r="Q59" s="34" t="str">
        <f t="shared" si="4"/>
        <v>-</v>
      </c>
    </row>
    <row r="60" spans="1:17">
      <c r="A60" s="40">
        <v>1503</v>
      </c>
      <c r="B60" s="10" t="s">
        <v>83</v>
      </c>
      <c r="C60" s="11">
        <v>768990015038</v>
      </c>
      <c r="D60" s="12">
        <v>12</v>
      </c>
      <c r="E60" s="22">
        <v>0.10511058190645835</v>
      </c>
      <c r="F60" s="13">
        <v>15.718499999999999</v>
      </c>
      <c r="G60" s="36" t="s">
        <v>143</v>
      </c>
      <c r="H60" s="19"/>
      <c r="I60" s="41">
        <f t="shared" si="6"/>
        <v>0</v>
      </c>
      <c r="L60" s="32" t="str">
        <f t="shared" si="7"/>
        <v>-</v>
      </c>
      <c r="M60" s="32" t="str">
        <f t="shared" si="5"/>
        <v>-</v>
      </c>
      <c r="N60" s="33" t="str">
        <f t="shared" si="8"/>
        <v>-</v>
      </c>
      <c r="O60" s="34" t="str">
        <f t="shared" si="3"/>
        <v>-</v>
      </c>
      <c r="Q60" s="34" t="str">
        <f t="shared" si="4"/>
        <v>-</v>
      </c>
    </row>
    <row r="61" spans="1:17">
      <c r="A61" s="40">
        <v>31140</v>
      </c>
      <c r="B61" s="10" t="s">
        <v>109</v>
      </c>
      <c r="C61" s="11">
        <v>768990311406</v>
      </c>
      <c r="D61" s="12">
        <v>12</v>
      </c>
      <c r="E61" s="22">
        <v>0.24583005482612505</v>
      </c>
      <c r="F61" s="13">
        <v>9.4184999999999981</v>
      </c>
      <c r="G61" s="36" t="s">
        <v>143</v>
      </c>
      <c r="H61" s="19"/>
      <c r="I61" s="41">
        <f t="shared" si="6"/>
        <v>0</v>
      </c>
      <c r="L61" s="32" t="str">
        <f t="shared" si="7"/>
        <v>-</v>
      </c>
      <c r="M61" s="32" t="str">
        <f t="shared" si="5"/>
        <v>-</v>
      </c>
      <c r="N61" s="33" t="str">
        <f t="shared" si="8"/>
        <v>-</v>
      </c>
      <c r="O61" s="34" t="str">
        <f t="shared" ref="O61:O120" si="9">IFERROR(IF($L$2&gt;0, $L$2*N61, "-"), "-")</f>
        <v>-</v>
      </c>
      <c r="Q61" s="34" t="str">
        <f t="shared" ref="Q61:Q120" si="10">IFERROR(IF(O61+I61=0, "-", IF(O61&gt;0, O61+I61, "-")), "-")</f>
        <v>-</v>
      </c>
    </row>
    <row r="62" spans="1:17">
      <c r="A62" s="40">
        <v>31160</v>
      </c>
      <c r="B62" s="10" t="s">
        <v>85</v>
      </c>
      <c r="C62" s="11">
        <v>768990311604</v>
      </c>
      <c r="D62" s="12">
        <v>12</v>
      </c>
      <c r="E62" s="22">
        <v>0.29302256098820834</v>
      </c>
      <c r="F62" s="13">
        <v>15.718499999999999</v>
      </c>
      <c r="G62" s="36" t="s">
        <v>143</v>
      </c>
      <c r="H62" s="19"/>
      <c r="I62" s="41">
        <f t="shared" si="6"/>
        <v>0</v>
      </c>
      <c r="L62" s="32" t="str">
        <f t="shared" si="7"/>
        <v>-</v>
      </c>
      <c r="M62" s="32" t="str">
        <f t="shared" si="5"/>
        <v>-</v>
      </c>
      <c r="N62" s="33" t="str">
        <f t="shared" si="8"/>
        <v>-</v>
      </c>
      <c r="O62" s="34" t="str">
        <f t="shared" si="9"/>
        <v>-</v>
      </c>
      <c r="Q62" s="34" t="str">
        <f t="shared" si="10"/>
        <v>-</v>
      </c>
    </row>
    <row r="63" spans="1:17">
      <c r="A63" s="40">
        <v>1536</v>
      </c>
      <c r="B63" s="10" t="s">
        <v>88</v>
      </c>
      <c r="C63" s="11">
        <v>768990015366</v>
      </c>
      <c r="D63" s="12">
        <v>12</v>
      </c>
      <c r="E63" s="22">
        <v>7.9798237692250015E-2</v>
      </c>
      <c r="F63" s="13">
        <v>9.4184999999999981</v>
      </c>
      <c r="G63" s="36" t="s">
        <v>143</v>
      </c>
      <c r="H63" s="19"/>
      <c r="I63" s="41">
        <f t="shared" si="6"/>
        <v>0</v>
      </c>
      <c r="L63" s="32" t="str">
        <f t="shared" si="7"/>
        <v>-</v>
      </c>
      <c r="M63" s="32" t="str">
        <f t="shared" si="5"/>
        <v>-</v>
      </c>
      <c r="N63" s="33" t="str">
        <f t="shared" si="8"/>
        <v>-</v>
      </c>
      <c r="O63" s="34" t="str">
        <f t="shared" si="9"/>
        <v>-</v>
      </c>
      <c r="Q63" s="34" t="str">
        <f t="shared" si="10"/>
        <v>-</v>
      </c>
    </row>
    <row r="64" spans="1:17">
      <c r="A64" s="40">
        <v>31137</v>
      </c>
      <c r="B64" s="10" t="s">
        <v>110</v>
      </c>
      <c r="C64" s="11">
        <v>768990311376</v>
      </c>
      <c r="D64" s="12">
        <v>12</v>
      </c>
      <c r="E64" s="22">
        <v>0.24368494090966669</v>
      </c>
      <c r="F64" s="13">
        <v>10.552499999999998</v>
      </c>
      <c r="G64" s="36" t="s">
        <v>143</v>
      </c>
      <c r="H64" s="19"/>
      <c r="I64" s="41">
        <f t="shared" si="6"/>
        <v>0</v>
      </c>
      <c r="L64" s="32" t="str">
        <f t="shared" si="7"/>
        <v>-</v>
      </c>
      <c r="M64" s="32" t="str">
        <f t="shared" si="5"/>
        <v>-</v>
      </c>
      <c r="N64" s="33" t="str">
        <f t="shared" si="8"/>
        <v>-</v>
      </c>
      <c r="O64" s="34" t="str">
        <f t="shared" si="9"/>
        <v>-</v>
      </c>
      <c r="Q64" s="34" t="str">
        <f t="shared" si="10"/>
        <v>-</v>
      </c>
    </row>
    <row r="65" spans="1:17">
      <c r="A65" s="40">
        <v>1743</v>
      </c>
      <c r="B65" s="10" t="s">
        <v>4</v>
      </c>
      <c r="C65" s="11">
        <v>768990017438</v>
      </c>
      <c r="D65" s="12">
        <v>12</v>
      </c>
      <c r="E65" s="22">
        <v>0.12613269828775001</v>
      </c>
      <c r="F65" s="13">
        <v>19.4985</v>
      </c>
      <c r="G65" s="36" t="s">
        <v>144</v>
      </c>
      <c r="H65" s="19"/>
      <c r="I65" s="41">
        <f t="shared" si="6"/>
        <v>0</v>
      </c>
      <c r="L65" s="32" t="str">
        <f t="shared" si="7"/>
        <v>-</v>
      </c>
      <c r="M65" s="32" t="str">
        <f t="shared" si="5"/>
        <v>-</v>
      </c>
      <c r="N65" s="33" t="str">
        <f t="shared" si="8"/>
        <v>-</v>
      </c>
      <c r="O65" s="34" t="str">
        <f t="shared" si="9"/>
        <v>-</v>
      </c>
      <c r="Q65" s="34" t="str">
        <f t="shared" si="10"/>
        <v>-</v>
      </c>
    </row>
    <row r="66" spans="1:17">
      <c r="A66" s="40">
        <v>1745</v>
      </c>
      <c r="B66" s="10" t="s">
        <v>145</v>
      </c>
      <c r="C66" s="11">
        <v>768990017452</v>
      </c>
      <c r="D66" s="12">
        <v>12</v>
      </c>
      <c r="E66" s="22">
        <v>0.155735270334875</v>
      </c>
      <c r="F66" s="13">
        <v>21.388500000000001</v>
      </c>
      <c r="G66" s="36" t="s">
        <v>144</v>
      </c>
      <c r="H66" s="19"/>
      <c r="I66" s="41">
        <f t="shared" si="6"/>
        <v>0</v>
      </c>
      <c r="L66" s="32" t="str">
        <f t="shared" si="7"/>
        <v>-</v>
      </c>
      <c r="M66" s="32" t="str">
        <f t="shared" si="5"/>
        <v>-</v>
      </c>
      <c r="N66" s="33" t="str">
        <f t="shared" si="8"/>
        <v>-</v>
      </c>
      <c r="O66" s="34" t="str">
        <f t="shared" si="9"/>
        <v>-</v>
      </c>
      <c r="Q66" s="34" t="str">
        <f t="shared" si="10"/>
        <v>-</v>
      </c>
    </row>
    <row r="67" spans="1:17">
      <c r="A67" s="40">
        <v>2793</v>
      </c>
      <c r="B67" s="10" t="s">
        <v>153</v>
      </c>
      <c r="C67" s="11">
        <v>768990027932</v>
      </c>
      <c r="D67" s="12">
        <v>6</v>
      </c>
      <c r="E67" s="22">
        <v>0.51997561334950004</v>
      </c>
      <c r="F67" s="13">
        <v>49.108499999999992</v>
      </c>
      <c r="G67" s="36" t="s">
        <v>144</v>
      </c>
      <c r="H67" s="19"/>
      <c r="I67" s="41">
        <f t="shared" ref="I67:I98" si="11">F67*H67</f>
        <v>0</v>
      </c>
      <c r="L67" s="32" t="str">
        <f t="shared" ref="L67:L98" si="12">IFERROR(IF($L$2*E67=0, "-", $L$2*E67), "-")</f>
        <v>-</v>
      </c>
      <c r="M67" s="32" t="str">
        <f t="shared" si="5"/>
        <v>-</v>
      </c>
      <c r="N67" s="33" t="str">
        <f t="shared" ref="N67:N98" si="13">IF(H67&gt;0,H67*E67, "-")</f>
        <v>-</v>
      </c>
      <c r="O67" s="34" t="str">
        <f t="shared" si="9"/>
        <v>-</v>
      </c>
      <c r="Q67" s="34" t="str">
        <f t="shared" si="10"/>
        <v>-</v>
      </c>
    </row>
    <row r="68" spans="1:17">
      <c r="A68" s="40">
        <v>2794</v>
      </c>
      <c r="B68" s="10" t="s">
        <v>154</v>
      </c>
      <c r="C68" s="11">
        <v>768990027949</v>
      </c>
      <c r="D68" s="12">
        <v>12</v>
      </c>
      <c r="E68" s="22">
        <v>0.25955878389145837</v>
      </c>
      <c r="F68" s="13">
        <v>35.2485</v>
      </c>
      <c r="G68" s="36" t="s">
        <v>144</v>
      </c>
      <c r="H68" s="19"/>
      <c r="I68" s="41">
        <f t="shared" si="11"/>
        <v>0</v>
      </c>
      <c r="L68" s="32" t="str">
        <f t="shared" si="12"/>
        <v>-</v>
      </c>
      <c r="M68" s="32" t="str">
        <f t="shared" ref="M68:M131" si="14">IF(H68&gt;0,F68+L68,"-")</f>
        <v>-</v>
      </c>
      <c r="N68" s="33" t="str">
        <f t="shared" si="13"/>
        <v>-</v>
      </c>
      <c r="O68" s="34" t="str">
        <f t="shared" si="9"/>
        <v>-</v>
      </c>
      <c r="Q68" s="34" t="str">
        <f t="shared" si="10"/>
        <v>-</v>
      </c>
    </row>
    <row r="69" spans="1:17">
      <c r="A69" s="40">
        <v>1797</v>
      </c>
      <c r="B69" s="10" t="s">
        <v>155</v>
      </c>
      <c r="C69" s="11">
        <v>768990017971</v>
      </c>
      <c r="D69" s="12">
        <v>12</v>
      </c>
      <c r="E69" s="22">
        <v>0.155735270334875</v>
      </c>
      <c r="F69" s="13">
        <v>20.128500000000003</v>
      </c>
      <c r="G69" s="36" t="s">
        <v>144</v>
      </c>
      <c r="H69" s="19"/>
      <c r="I69" s="41">
        <f t="shared" si="11"/>
        <v>0</v>
      </c>
      <c r="L69" s="32" t="str">
        <f t="shared" si="12"/>
        <v>-</v>
      </c>
      <c r="M69" s="32" t="str">
        <f t="shared" si="14"/>
        <v>-</v>
      </c>
      <c r="N69" s="33" t="str">
        <f t="shared" si="13"/>
        <v>-</v>
      </c>
      <c r="O69" s="34" t="str">
        <f t="shared" si="9"/>
        <v>-</v>
      </c>
      <c r="Q69" s="34" t="str">
        <f t="shared" si="10"/>
        <v>-</v>
      </c>
    </row>
    <row r="70" spans="1:17">
      <c r="A70" s="40">
        <v>2106</v>
      </c>
      <c r="B70" s="10" t="s">
        <v>113</v>
      </c>
      <c r="C70" s="11">
        <v>768990021060</v>
      </c>
      <c r="D70" s="12">
        <v>12</v>
      </c>
      <c r="E70" s="22">
        <v>0.11326201478900001</v>
      </c>
      <c r="F70" s="13">
        <v>20.128500000000003</v>
      </c>
      <c r="G70" s="36" t="s">
        <v>144</v>
      </c>
      <c r="H70" s="19"/>
      <c r="I70" s="41">
        <f t="shared" si="11"/>
        <v>0</v>
      </c>
      <c r="L70" s="32" t="str">
        <f t="shared" si="12"/>
        <v>-</v>
      </c>
      <c r="M70" s="32" t="str">
        <f t="shared" si="14"/>
        <v>-</v>
      </c>
      <c r="N70" s="33" t="str">
        <f t="shared" si="13"/>
        <v>-</v>
      </c>
      <c r="O70" s="34" t="str">
        <f t="shared" si="9"/>
        <v>-</v>
      </c>
      <c r="Q70" s="34" t="str">
        <f t="shared" si="10"/>
        <v>-</v>
      </c>
    </row>
    <row r="71" spans="1:17">
      <c r="A71" s="40">
        <v>1806</v>
      </c>
      <c r="B71" s="10" t="s">
        <v>11</v>
      </c>
      <c r="C71" s="11">
        <v>768990018060</v>
      </c>
      <c r="D71" s="12">
        <v>6</v>
      </c>
      <c r="E71" s="22">
        <v>0.51997561334950004</v>
      </c>
      <c r="F71" s="13">
        <v>52.258499999999998</v>
      </c>
      <c r="G71" s="36" t="s">
        <v>144</v>
      </c>
      <c r="H71" s="19"/>
      <c r="I71" s="41">
        <f t="shared" si="11"/>
        <v>0</v>
      </c>
      <c r="L71" s="32" t="str">
        <f t="shared" si="12"/>
        <v>-</v>
      </c>
      <c r="M71" s="32" t="str">
        <f t="shared" si="14"/>
        <v>-</v>
      </c>
      <c r="N71" s="33" t="str">
        <f t="shared" si="13"/>
        <v>-</v>
      </c>
      <c r="O71" s="34" t="str">
        <f t="shared" si="9"/>
        <v>-</v>
      </c>
      <c r="Q71" s="34" t="str">
        <f t="shared" si="10"/>
        <v>-</v>
      </c>
    </row>
    <row r="72" spans="1:17">
      <c r="A72" s="40">
        <v>2153</v>
      </c>
      <c r="B72" s="10" t="s">
        <v>12</v>
      </c>
      <c r="C72" s="11">
        <v>768990021534</v>
      </c>
      <c r="D72" s="12">
        <v>12</v>
      </c>
      <c r="E72" s="22">
        <v>0.225236961228125</v>
      </c>
      <c r="F72" s="13">
        <v>49.738500000000002</v>
      </c>
      <c r="G72" s="36" t="s">
        <v>144</v>
      </c>
      <c r="H72" s="19"/>
      <c r="I72" s="41">
        <f t="shared" si="11"/>
        <v>0</v>
      </c>
      <c r="L72" s="32" t="str">
        <f t="shared" si="12"/>
        <v>-</v>
      </c>
      <c r="M72" s="32" t="str">
        <f t="shared" si="14"/>
        <v>-</v>
      </c>
      <c r="N72" s="33" t="str">
        <f t="shared" si="13"/>
        <v>-</v>
      </c>
      <c r="O72" s="34" t="str">
        <f t="shared" si="9"/>
        <v>-</v>
      </c>
      <c r="Q72" s="34" t="str">
        <f t="shared" si="10"/>
        <v>-</v>
      </c>
    </row>
    <row r="73" spans="1:17">
      <c r="A73" s="40">
        <v>2155</v>
      </c>
      <c r="B73" s="10" t="s">
        <v>14</v>
      </c>
      <c r="C73" s="11">
        <v>768990021558</v>
      </c>
      <c r="D73" s="12">
        <v>12</v>
      </c>
      <c r="E73" s="22">
        <v>0.17632836393287502</v>
      </c>
      <c r="F73" s="13">
        <v>35.2485</v>
      </c>
      <c r="G73" s="36" t="s">
        <v>144</v>
      </c>
      <c r="H73" s="19"/>
      <c r="I73" s="41">
        <f t="shared" si="11"/>
        <v>0</v>
      </c>
      <c r="L73" s="32" t="str">
        <f t="shared" si="12"/>
        <v>-</v>
      </c>
      <c r="M73" s="32" t="str">
        <f t="shared" si="14"/>
        <v>-</v>
      </c>
      <c r="N73" s="33" t="str">
        <f t="shared" si="13"/>
        <v>-</v>
      </c>
      <c r="O73" s="34" t="str">
        <f t="shared" si="9"/>
        <v>-</v>
      </c>
      <c r="Q73" s="34" t="str">
        <f t="shared" si="10"/>
        <v>-</v>
      </c>
    </row>
    <row r="74" spans="1:17">
      <c r="A74" s="40">
        <v>6100</v>
      </c>
      <c r="B74" s="10" t="s">
        <v>15</v>
      </c>
      <c r="C74" s="11">
        <v>768990061004</v>
      </c>
      <c r="D74" s="12">
        <v>12</v>
      </c>
      <c r="E74" s="22">
        <v>0.11068787808925001</v>
      </c>
      <c r="F74" s="13">
        <v>23.278500000000001</v>
      </c>
      <c r="G74" s="36" t="s">
        <v>144</v>
      </c>
      <c r="H74" s="19"/>
      <c r="I74" s="41">
        <f t="shared" si="11"/>
        <v>0</v>
      </c>
      <c r="L74" s="32" t="str">
        <f t="shared" si="12"/>
        <v>-</v>
      </c>
      <c r="M74" s="32" t="str">
        <f t="shared" si="14"/>
        <v>-</v>
      </c>
      <c r="N74" s="33" t="str">
        <f t="shared" si="13"/>
        <v>-</v>
      </c>
      <c r="O74" s="34" t="str">
        <f t="shared" si="9"/>
        <v>-</v>
      </c>
      <c r="Q74" s="34" t="str">
        <f t="shared" si="10"/>
        <v>-</v>
      </c>
    </row>
    <row r="75" spans="1:17">
      <c r="A75" s="40">
        <v>1875</v>
      </c>
      <c r="B75" s="10" t="s">
        <v>159</v>
      </c>
      <c r="C75" s="11">
        <v>768990018756</v>
      </c>
      <c r="D75" s="12">
        <v>12</v>
      </c>
      <c r="E75" s="22">
        <v>0.19134416134808332</v>
      </c>
      <c r="F75" s="13">
        <v>32.728499999999997</v>
      </c>
      <c r="G75" s="36" t="s">
        <v>144</v>
      </c>
      <c r="H75" s="19"/>
      <c r="I75" s="41">
        <f t="shared" si="11"/>
        <v>0</v>
      </c>
      <c r="L75" s="32" t="str">
        <f t="shared" si="12"/>
        <v>-</v>
      </c>
      <c r="M75" s="32" t="str">
        <f t="shared" si="14"/>
        <v>-</v>
      </c>
      <c r="N75" s="33" t="str">
        <f t="shared" si="13"/>
        <v>-</v>
      </c>
      <c r="O75" s="34" t="str">
        <f t="shared" si="9"/>
        <v>-</v>
      </c>
      <c r="Q75" s="34" t="str">
        <f t="shared" si="10"/>
        <v>-</v>
      </c>
    </row>
    <row r="76" spans="1:17">
      <c r="A76" s="40">
        <v>1873</v>
      </c>
      <c r="B76" s="10" t="s">
        <v>160</v>
      </c>
      <c r="C76" s="11">
        <v>768990018732</v>
      </c>
      <c r="D76" s="12">
        <v>12</v>
      </c>
      <c r="E76" s="22">
        <v>0.17118009053337502</v>
      </c>
      <c r="F76" s="13">
        <v>32.728499999999997</v>
      </c>
      <c r="G76" s="36" t="s">
        <v>144</v>
      </c>
      <c r="H76" s="19"/>
      <c r="I76" s="41">
        <f t="shared" si="11"/>
        <v>0</v>
      </c>
      <c r="L76" s="32" t="str">
        <f t="shared" si="12"/>
        <v>-</v>
      </c>
      <c r="M76" s="32" t="str">
        <f t="shared" si="14"/>
        <v>-</v>
      </c>
      <c r="N76" s="33" t="str">
        <f t="shared" si="13"/>
        <v>-</v>
      </c>
      <c r="O76" s="34" t="str">
        <f t="shared" si="9"/>
        <v>-</v>
      </c>
      <c r="Q76" s="34" t="str">
        <f t="shared" si="10"/>
        <v>-</v>
      </c>
    </row>
    <row r="77" spans="1:17">
      <c r="A77" s="40">
        <v>1860</v>
      </c>
      <c r="B77" s="10" t="s">
        <v>162</v>
      </c>
      <c r="C77" s="11">
        <v>768990018602</v>
      </c>
      <c r="D77" s="12">
        <v>12</v>
      </c>
      <c r="E77" s="22">
        <v>0.155735270334875</v>
      </c>
      <c r="F77" s="13">
        <v>20.128500000000003</v>
      </c>
      <c r="G77" s="36" t="s">
        <v>144</v>
      </c>
      <c r="H77" s="19"/>
      <c r="I77" s="41">
        <f t="shared" si="11"/>
        <v>0</v>
      </c>
      <c r="L77" s="32" t="str">
        <f t="shared" si="12"/>
        <v>-</v>
      </c>
      <c r="M77" s="32" t="str">
        <f t="shared" si="14"/>
        <v>-</v>
      </c>
      <c r="N77" s="33" t="str">
        <f t="shared" si="13"/>
        <v>-</v>
      </c>
      <c r="O77" s="34" t="str">
        <f t="shared" si="9"/>
        <v>-</v>
      </c>
      <c r="Q77" s="34" t="str">
        <f t="shared" si="10"/>
        <v>-</v>
      </c>
    </row>
    <row r="78" spans="1:17">
      <c r="A78" s="40">
        <v>1878</v>
      </c>
      <c r="B78" s="10" t="s">
        <v>163</v>
      </c>
      <c r="C78" s="11">
        <v>768990018787</v>
      </c>
      <c r="D78" s="12">
        <v>12</v>
      </c>
      <c r="E78" s="22">
        <v>0.16345768043412501</v>
      </c>
      <c r="F78" s="13">
        <v>36.508500000000005</v>
      </c>
      <c r="G78" s="36" t="s">
        <v>144</v>
      </c>
      <c r="H78" s="19"/>
      <c r="I78" s="41">
        <f t="shared" si="11"/>
        <v>0</v>
      </c>
      <c r="L78" s="32" t="str">
        <f t="shared" si="12"/>
        <v>-</v>
      </c>
      <c r="M78" s="32" t="str">
        <f t="shared" si="14"/>
        <v>-</v>
      </c>
      <c r="N78" s="33" t="str">
        <f t="shared" si="13"/>
        <v>-</v>
      </c>
      <c r="O78" s="34" t="str">
        <f t="shared" si="9"/>
        <v>-</v>
      </c>
      <c r="Q78" s="34" t="str">
        <f t="shared" si="10"/>
        <v>-</v>
      </c>
    </row>
    <row r="79" spans="1:17">
      <c r="A79" s="40">
        <v>1501</v>
      </c>
      <c r="B79" s="10" t="s">
        <v>16</v>
      </c>
      <c r="C79" s="11">
        <v>768990015014</v>
      </c>
      <c r="D79" s="12">
        <v>12</v>
      </c>
      <c r="E79" s="22">
        <v>9.3955989540875015E-2</v>
      </c>
      <c r="F79" s="13">
        <v>40.288499999999999</v>
      </c>
      <c r="G79" s="36" t="s">
        <v>144</v>
      </c>
      <c r="H79" s="19"/>
      <c r="I79" s="41">
        <f t="shared" si="11"/>
        <v>0</v>
      </c>
      <c r="L79" s="32" t="str">
        <f t="shared" si="12"/>
        <v>-</v>
      </c>
      <c r="M79" s="32" t="str">
        <f t="shared" si="14"/>
        <v>-</v>
      </c>
      <c r="N79" s="33" t="str">
        <f t="shared" si="13"/>
        <v>-</v>
      </c>
      <c r="O79" s="34" t="str">
        <f t="shared" si="9"/>
        <v>-</v>
      </c>
      <c r="Q79" s="34" t="str">
        <f t="shared" si="10"/>
        <v>-</v>
      </c>
    </row>
    <row r="80" spans="1:17">
      <c r="A80" s="40">
        <v>1808</v>
      </c>
      <c r="B80" s="10" t="s">
        <v>18</v>
      </c>
      <c r="C80" s="11">
        <v>768990018084</v>
      </c>
      <c r="D80" s="12">
        <v>12</v>
      </c>
      <c r="E80" s="22">
        <v>0.155735270334875</v>
      </c>
      <c r="F80" s="13">
        <v>21.388500000000001</v>
      </c>
      <c r="G80" s="36" t="s">
        <v>144</v>
      </c>
      <c r="H80" s="19"/>
      <c r="I80" s="41">
        <f t="shared" si="11"/>
        <v>0</v>
      </c>
      <c r="L80" s="32" t="str">
        <f t="shared" si="12"/>
        <v>-</v>
      </c>
      <c r="M80" s="32" t="str">
        <f t="shared" si="14"/>
        <v>-</v>
      </c>
      <c r="N80" s="33" t="str">
        <f t="shared" si="13"/>
        <v>-</v>
      </c>
      <c r="O80" s="34" t="str">
        <f t="shared" si="9"/>
        <v>-</v>
      </c>
      <c r="Q80" s="34" t="str">
        <f t="shared" si="10"/>
        <v>-</v>
      </c>
    </row>
    <row r="81" spans="1:17">
      <c r="A81" s="40">
        <v>30162</v>
      </c>
      <c r="B81" s="10" t="s">
        <v>19</v>
      </c>
      <c r="C81" s="11">
        <v>768990301629</v>
      </c>
      <c r="D81" s="12">
        <v>12</v>
      </c>
      <c r="E81" s="22">
        <v>0.52769802344875016</v>
      </c>
      <c r="F81" s="13">
        <v>16.348499999999998</v>
      </c>
      <c r="G81" s="36" t="s">
        <v>144</v>
      </c>
      <c r="H81" s="19"/>
      <c r="I81" s="41">
        <f t="shared" si="11"/>
        <v>0</v>
      </c>
      <c r="L81" s="32" t="str">
        <f t="shared" si="12"/>
        <v>-</v>
      </c>
      <c r="M81" s="32" t="str">
        <f t="shared" si="14"/>
        <v>-</v>
      </c>
      <c r="N81" s="33" t="str">
        <f t="shared" si="13"/>
        <v>-</v>
      </c>
      <c r="O81" s="34" t="str">
        <f t="shared" si="9"/>
        <v>-</v>
      </c>
      <c r="Q81" s="34" t="str">
        <f t="shared" si="10"/>
        <v>-</v>
      </c>
    </row>
    <row r="82" spans="1:17">
      <c r="A82" s="40">
        <v>31142</v>
      </c>
      <c r="B82" s="10" t="s">
        <v>20</v>
      </c>
      <c r="C82" s="11">
        <v>768990311420</v>
      </c>
      <c r="D82" s="12">
        <v>12</v>
      </c>
      <c r="E82" s="22">
        <v>0.48908597295250011</v>
      </c>
      <c r="F82" s="13">
        <v>15.0885</v>
      </c>
      <c r="G82" s="36" t="s">
        <v>144</v>
      </c>
      <c r="H82" s="19"/>
      <c r="I82" s="41">
        <f t="shared" si="11"/>
        <v>0</v>
      </c>
      <c r="L82" s="32" t="str">
        <f t="shared" si="12"/>
        <v>-</v>
      </c>
      <c r="M82" s="32" t="str">
        <f t="shared" si="14"/>
        <v>-</v>
      </c>
      <c r="N82" s="33" t="str">
        <f t="shared" si="13"/>
        <v>-</v>
      </c>
      <c r="O82" s="34" t="str">
        <f t="shared" si="9"/>
        <v>-</v>
      </c>
      <c r="Q82" s="34" t="str">
        <f t="shared" si="10"/>
        <v>-</v>
      </c>
    </row>
    <row r="83" spans="1:17">
      <c r="A83" s="40">
        <v>2760</v>
      </c>
      <c r="B83" s="10" t="s">
        <v>167</v>
      </c>
      <c r="C83" s="11">
        <v>768990027604</v>
      </c>
      <c r="D83" s="12">
        <v>12</v>
      </c>
      <c r="E83" s="22">
        <v>0.25955878389145837</v>
      </c>
      <c r="F83" s="13">
        <v>20.128500000000003</v>
      </c>
      <c r="G83" s="36" t="s">
        <v>144</v>
      </c>
      <c r="H83" s="19"/>
      <c r="I83" s="41">
        <f t="shared" si="11"/>
        <v>0</v>
      </c>
      <c r="L83" s="32" t="str">
        <f t="shared" si="12"/>
        <v>-</v>
      </c>
      <c r="M83" s="32" t="str">
        <f t="shared" si="14"/>
        <v>-</v>
      </c>
      <c r="N83" s="33" t="str">
        <f t="shared" si="13"/>
        <v>-</v>
      </c>
      <c r="O83" s="34" t="str">
        <f t="shared" si="9"/>
        <v>-</v>
      </c>
      <c r="Q83" s="34" t="str">
        <f t="shared" si="10"/>
        <v>-</v>
      </c>
    </row>
    <row r="84" spans="1:17">
      <c r="A84" s="40">
        <v>3760</v>
      </c>
      <c r="B84" s="10" t="s">
        <v>168</v>
      </c>
      <c r="C84" s="11">
        <v>768990037603</v>
      </c>
      <c r="D84" s="12">
        <v>12</v>
      </c>
      <c r="E84" s="22">
        <v>0.38311734547945836</v>
      </c>
      <c r="F84" s="13">
        <v>28.948499999999999</v>
      </c>
      <c r="G84" s="36" t="s">
        <v>144</v>
      </c>
      <c r="H84" s="19"/>
      <c r="I84" s="41">
        <f t="shared" si="11"/>
        <v>0</v>
      </c>
      <c r="L84" s="32" t="str">
        <f t="shared" si="12"/>
        <v>-</v>
      </c>
      <c r="M84" s="32" t="str">
        <f t="shared" si="14"/>
        <v>-</v>
      </c>
      <c r="N84" s="33" t="str">
        <f t="shared" si="13"/>
        <v>-</v>
      </c>
      <c r="O84" s="34" t="str">
        <f t="shared" si="9"/>
        <v>-</v>
      </c>
      <c r="Q84" s="34" t="str">
        <f t="shared" si="10"/>
        <v>-</v>
      </c>
    </row>
    <row r="85" spans="1:17">
      <c r="A85" s="40">
        <v>2761</v>
      </c>
      <c r="B85" s="10" t="s">
        <v>25</v>
      </c>
      <c r="C85" s="11">
        <v>768990027611</v>
      </c>
      <c r="D85" s="12">
        <v>12</v>
      </c>
      <c r="E85" s="22">
        <v>0.25955878389145837</v>
      </c>
      <c r="F85" s="13">
        <v>21.388500000000001</v>
      </c>
      <c r="G85" s="36" t="s">
        <v>144</v>
      </c>
      <c r="H85" s="19"/>
      <c r="I85" s="41">
        <f t="shared" si="11"/>
        <v>0</v>
      </c>
      <c r="L85" s="32" t="str">
        <f t="shared" si="12"/>
        <v>-</v>
      </c>
      <c r="M85" s="32" t="str">
        <f t="shared" si="14"/>
        <v>-</v>
      </c>
      <c r="N85" s="33" t="str">
        <f t="shared" si="13"/>
        <v>-</v>
      </c>
      <c r="O85" s="34" t="str">
        <f t="shared" si="9"/>
        <v>-</v>
      </c>
      <c r="Q85" s="34" t="str">
        <f t="shared" si="10"/>
        <v>-</v>
      </c>
    </row>
    <row r="86" spans="1:17">
      <c r="A86" s="40">
        <v>2765</v>
      </c>
      <c r="B86" s="10" t="s">
        <v>26</v>
      </c>
      <c r="C86" s="11">
        <v>768990027659</v>
      </c>
      <c r="D86" s="12">
        <v>6</v>
      </c>
      <c r="E86" s="22">
        <v>0.51997561334950004</v>
      </c>
      <c r="F86" s="13">
        <v>18.868499999999997</v>
      </c>
      <c r="G86" s="36" t="s">
        <v>144</v>
      </c>
      <c r="H86" s="19"/>
      <c r="I86" s="41">
        <f t="shared" si="11"/>
        <v>0</v>
      </c>
      <c r="L86" s="32" t="str">
        <f t="shared" si="12"/>
        <v>-</v>
      </c>
      <c r="M86" s="32" t="str">
        <f t="shared" si="14"/>
        <v>-</v>
      </c>
      <c r="N86" s="33" t="str">
        <f t="shared" si="13"/>
        <v>-</v>
      </c>
      <c r="O86" s="34" t="str">
        <f t="shared" si="9"/>
        <v>-</v>
      </c>
      <c r="Q86" s="34" t="str">
        <f t="shared" si="10"/>
        <v>-</v>
      </c>
    </row>
    <row r="87" spans="1:17">
      <c r="A87" s="40">
        <v>2770</v>
      </c>
      <c r="B87" s="10" t="s">
        <v>29</v>
      </c>
      <c r="C87" s="11">
        <v>768990027703</v>
      </c>
      <c r="D87" s="12">
        <v>12</v>
      </c>
      <c r="E87" s="22">
        <v>0.25955878389145837</v>
      </c>
      <c r="F87" s="13">
        <v>22.648499999999999</v>
      </c>
      <c r="G87" s="36" t="s">
        <v>144</v>
      </c>
      <c r="H87" s="19"/>
      <c r="I87" s="41">
        <f t="shared" si="11"/>
        <v>0</v>
      </c>
      <c r="L87" s="32" t="str">
        <f t="shared" si="12"/>
        <v>-</v>
      </c>
      <c r="M87" s="32" t="str">
        <f t="shared" si="14"/>
        <v>-</v>
      </c>
      <c r="N87" s="33" t="str">
        <f t="shared" si="13"/>
        <v>-</v>
      </c>
      <c r="O87" s="34" t="str">
        <f t="shared" si="9"/>
        <v>-</v>
      </c>
      <c r="Q87" s="34" t="str">
        <f t="shared" si="10"/>
        <v>-</v>
      </c>
    </row>
    <row r="88" spans="1:17">
      <c r="A88" s="40">
        <v>2774</v>
      </c>
      <c r="B88" s="10" t="s">
        <v>31</v>
      </c>
      <c r="C88" s="11">
        <v>768990027741</v>
      </c>
      <c r="D88" s="12">
        <v>4</v>
      </c>
      <c r="E88" s="22">
        <v>0.90094784491250002</v>
      </c>
      <c r="F88" s="13">
        <v>37.138499999999993</v>
      </c>
      <c r="G88" s="36" t="s">
        <v>144</v>
      </c>
      <c r="H88" s="19"/>
      <c r="I88" s="41">
        <f t="shared" si="11"/>
        <v>0</v>
      </c>
      <c r="L88" s="32" t="str">
        <f t="shared" si="12"/>
        <v>-</v>
      </c>
      <c r="M88" s="32" t="str">
        <f t="shared" si="14"/>
        <v>-</v>
      </c>
      <c r="N88" s="33" t="str">
        <f t="shared" si="13"/>
        <v>-</v>
      </c>
      <c r="O88" s="34" t="str">
        <f t="shared" si="9"/>
        <v>-</v>
      </c>
      <c r="Q88" s="34" t="str">
        <f t="shared" si="10"/>
        <v>-</v>
      </c>
    </row>
    <row r="89" spans="1:17">
      <c r="A89" s="40">
        <v>1675</v>
      </c>
      <c r="B89" s="10" t="s">
        <v>170</v>
      </c>
      <c r="C89" s="11">
        <v>768990016752</v>
      </c>
      <c r="D89" s="12">
        <v>12</v>
      </c>
      <c r="E89" s="22">
        <v>0.12270051602141667</v>
      </c>
      <c r="F89" s="13">
        <v>14.458499999999999</v>
      </c>
      <c r="G89" s="36" t="s">
        <v>144</v>
      </c>
      <c r="H89" s="19"/>
      <c r="I89" s="41">
        <f t="shared" si="11"/>
        <v>0</v>
      </c>
      <c r="L89" s="32" t="str">
        <f t="shared" si="12"/>
        <v>-</v>
      </c>
      <c r="M89" s="32" t="str">
        <f t="shared" si="14"/>
        <v>-</v>
      </c>
      <c r="N89" s="33" t="str">
        <f t="shared" si="13"/>
        <v>-</v>
      </c>
      <c r="O89" s="34" t="str">
        <f t="shared" si="9"/>
        <v>-</v>
      </c>
      <c r="Q89" s="34" t="str">
        <f t="shared" si="10"/>
        <v>-</v>
      </c>
    </row>
    <row r="90" spans="1:17">
      <c r="A90" s="40">
        <v>1672</v>
      </c>
      <c r="B90" s="10" t="s">
        <v>36</v>
      </c>
      <c r="C90" s="11">
        <v>768990016721</v>
      </c>
      <c r="D90" s="12">
        <v>12</v>
      </c>
      <c r="E90" s="22">
        <v>6.6927554193500008E-2</v>
      </c>
      <c r="F90" s="13">
        <v>19.4985</v>
      </c>
      <c r="G90" s="36" t="s">
        <v>144</v>
      </c>
      <c r="H90" s="19"/>
      <c r="I90" s="41">
        <f t="shared" si="11"/>
        <v>0</v>
      </c>
      <c r="L90" s="32" t="str">
        <f t="shared" si="12"/>
        <v>-</v>
      </c>
      <c r="M90" s="32" t="str">
        <f t="shared" si="14"/>
        <v>-</v>
      </c>
      <c r="N90" s="33" t="str">
        <f t="shared" si="13"/>
        <v>-</v>
      </c>
      <c r="O90" s="34" t="str">
        <f t="shared" si="9"/>
        <v>-</v>
      </c>
      <c r="Q90" s="34" t="str">
        <f t="shared" si="10"/>
        <v>-</v>
      </c>
    </row>
    <row r="91" spans="1:17">
      <c r="A91" s="40">
        <v>1678</v>
      </c>
      <c r="B91" s="10" t="s">
        <v>171</v>
      </c>
      <c r="C91" s="11">
        <v>768990016783</v>
      </c>
      <c r="D91" s="12">
        <v>12</v>
      </c>
      <c r="E91" s="22">
        <v>0.10854276417279167</v>
      </c>
      <c r="F91" s="13">
        <v>18.868499999999997</v>
      </c>
      <c r="G91" s="36" t="s">
        <v>144</v>
      </c>
      <c r="H91" s="19"/>
      <c r="I91" s="41">
        <f t="shared" si="11"/>
        <v>0</v>
      </c>
      <c r="L91" s="32" t="str">
        <f t="shared" si="12"/>
        <v>-</v>
      </c>
      <c r="M91" s="32" t="str">
        <f t="shared" si="14"/>
        <v>-</v>
      </c>
      <c r="N91" s="33" t="str">
        <f t="shared" si="13"/>
        <v>-</v>
      </c>
      <c r="O91" s="34" t="str">
        <f t="shared" si="9"/>
        <v>-</v>
      </c>
      <c r="Q91" s="34" t="str">
        <f t="shared" si="10"/>
        <v>-</v>
      </c>
    </row>
    <row r="92" spans="1:17">
      <c r="A92" s="40">
        <v>1682</v>
      </c>
      <c r="B92" s="10" t="s">
        <v>37</v>
      </c>
      <c r="C92" s="11">
        <v>768990016820</v>
      </c>
      <c r="D92" s="12">
        <v>12</v>
      </c>
      <c r="E92" s="22">
        <v>0.35480184178220836</v>
      </c>
      <c r="F92" s="13">
        <v>20.128499999999999</v>
      </c>
      <c r="G92" s="36" t="s">
        <v>144</v>
      </c>
      <c r="H92" s="19"/>
      <c r="I92" s="41">
        <f t="shared" si="11"/>
        <v>0</v>
      </c>
      <c r="L92" s="32" t="str">
        <f t="shared" si="12"/>
        <v>-</v>
      </c>
      <c r="M92" s="32" t="str">
        <f t="shared" si="14"/>
        <v>-</v>
      </c>
      <c r="N92" s="33" t="str">
        <f t="shared" si="13"/>
        <v>-</v>
      </c>
      <c r="O92" s="34" t="str">
        <f t="shared" si="9"/>
        <v>-</v>
      </c>
      <c r="Q92" s="34" t="str">
        <f t="shared" si="10"/>
        <v>-</v>
      </c>
    </row>
    <row r="93" spans="1:17">
      <c r="A93" s="40">
        <v>1683</v>
      </c>
      <c r="B93" s="10" t="s">
        <v>116</v>
      </c>
      <c r="C93" s="11">
        <v>768990016837</v>
      </c>
      <c r="D93" s="12">
        <v>12</v>
      </c>
      <c r="E93" s="22">
        <v>0.45948340090537509</v>
      </c>
      <c r="F93" s="13">
        <v>32.728499999999997</v>
      </c>
      <c r="G93" s="36" t="s">
        <v>144</v>
      </c>
      <c r="H93" s="19"/>
      <c r="I93" s="41">
        <f t="shared" si="11"/>
        <v>0</v>
      </c>
      <c r="L93" s="32" t="str">
        <f t="shared" si="12"/>
        <v>-</v>
      </c>
      <c r="M93" s="32" t="str">
        <f t="shared" si="14"/>
        <v>-</v>
      </c>
      <c r="N93" s="33" t="str">
        <f t="shared" si="13"/>
        <v>-</v>
      </c>
      <c r="O93" s="34" t="str">
        <f t="shared" si="9"/>
        <v>-</v>
      </c>
      <c r="Q93" s="34" t="str">
        <f t="shared" si="10"/>
        <v>-</v>
      </c>
    </row>
    <row r="94" spans="1:17">
      <c r="A94" s="40">
        <v>1684</v>
      </c>
      <c r="B94" s="10" t="s">
        <v>117</v>
      </c>
      <c r="C94" s="11">
        <v>768990016844</v>
      </c>
      <c r="D94" s="12">
        <v>12</v>
      </c>
      <c r="E94" s="22">
        <v>8.1943351608708345E-2</v>
      </c>
      <c r="F94" s="13">
        <v>31.468499999999999</v>
      </c>
      <c r="G94" s="36" t="s">
        <v>144</v>
      </c>
      <c r="H94" s="19"/>
      <c r="I94" s="41">
        <f t="shared" si="11"/>
        <v>0</v>
      </c>
      <c r="L94" s="32" t="str">
        <f t="shared" si="12"/>
        <v>-</v>
      </c>
      <c r="M94" s="32" t="str">
        <f t="shared" si="14"/>
        <v>-</v>
      </c>
      <c r="N94" s="33" t="str">
        <f t="shared" si="13"/>
        <v>-</v>
      </c>
      <c r="O94" s="34" t="str">
        <f t="shared" si="9"/>
        <v>-</v>
      </c>
      <c r="Q94" s="34" t="str">
        <f t="shared" si="10"/>
        <v>-</v>
      </c>
    </row>
    <row r="95" spans="1:17">
      <c r="A95" s="40">
        <v>1685</v>
      </c>
      <c r="B95" s="10" t="s">
        <v>118</v>
      </c>
      <c r="C95" s="11">
        <v>768990016851</v>
      </c>
      <c r="D95" s="12">
        <v>12</v>
      </c>
      <c r="E95" s="22">
        <v>8.9236738924666686E-2</v>
      </c>
      <c r="F95" s="13">
        <v>37.768499999999996</v>
      </c>
      <c r="G95" s="36" t="s">
        <v>144</v>
      </c>
      <c r="H95" s="19"/>
      <c r="I95" s="41">
        <f t="shared" si="11"/>
        <v>0</v>
      </c>
      <c r="L95" s="32" t="str">
        <f t="shared" si="12"/>
        <v>-</v>
      </c>
      <c r="M95" s="32" t="str">
        <f t="shared" si="14"/>
        <v>-</v>
      </c>
      <c r="N95" s="33" t="str">
        <f t="shared" si="13"/>
        <v>-</v>
      </c>
      <c r="O95" s="34" t="str">
        <f t="shared" si="9"/>
        <v>-</v>
      </c>
      <c r="Q95" s="34" t="str">
        <f t="shared" si="10"/>
        <v>-</v>
      </c>
    </row>
    <row r="96" spans="1:17">
      <c r="A96" s="40">
        <v>58785</v>
      </c>
      <c r="B96" s="10" t="s">
        <v>39</v>
      </c>
      <c r="C96" s="11">
        <v>768990587856</v>
      </c>
      <c r="D96" s="12">
        <v>6</v>
      </c>
      <c r="E96" s="22">
        <v>0.51997561334950004</v>
      </c>
      <c r="F96" s="13">
        <v>21.388500000000001</v>
      </c>
      <c r="G96" s="36" t="s">
        <v>144</v>
      </c>
      <c r="H96" s="19"/>
      <c r="I96" s="41">
        <f t="shared" si="11"/>
        <v>0</v>
      </c>
      <c r="L96" s="32" t="str">
        <f t="shared" si="12"/>
        <v>-</v>
      </c>
      <c r="M96" s="32" t="str">
        <f t="shared" si="14"/>
        <v>-</v>
      </c>
      <c r="N96" s="33" t="str">
        <f t="shared" si="13"/>
        <v>-</v>
      </c>
      <c r="O96" s="34" t="str">
        <f t="shared" si="9"/>
        <v>-</v>
      </c>
      <c r="Q96" s="34" t="str">
        <f t="shared" si="10"/>
        <v>-</v>
      </c>
    </row>
    <row r="97" spans="1:17">
      <c r="A97" s="40">
        <v>54785</v>
      </c>
      <c r="B97" s="10" t="s">
        <v>40</v>
      </c>
      <c r="C97" s="11">
        <v>768990547850</v>
      </c>
      <c r="D97" s="12">
        <v>6</v>
      </c>
      <c r="E97" s="22">
        <v>0.51997561334950004</v>
      </c>
      <c r="F97" s="13">
        <v>21.388500000000001</v>
      </c>
      <c r="G97" s="36" t="s">
        <v>144</v>
      </c>
      <c r="H97" s="19"/>
      <c r="I97" s="41">
        <f t="shared" si="11"/>
        <v>0</v>
      </c>
      <c r="L97" s="32" t="str">
        <f t="shared" si="12"/>
        <v>-</v>
      </c>
      <c r="M97" s="32" t="str">
        <f t="shared" si="14"/>
        <v>-</v>
      </c>
      <c r="N97" s="33" t="str">
        <f t="shared" si="13"/>
        <v>-</v>
      </c>
      <c r="O97" s="34" t="str">
        <f t="shared" si="9"/>
        <v>-</v>
      </c>
      <c r="Q97" s="34" t="str">
        <f t="shared" si="10"/>
        <v>-</v>
      </c>
    </row>
    <row r="98" spans="1:17">
      <c r="A98" s="40">
        <v>54787</v>
      </c>
      <c r="B98" s="10" t="s">
        <v>41</v>
      </c>
      <c r="C98" s="11">
        <v>768990547874</v>
      </c>
      <c r="D98" s="12">
        <v>4</v>
      </c>
      <c r="E98" s="22">
        <v>0.90094784491250002</v>
      </c>
      <c r="F98" s="13">
        <v>37.138499999999993</v>
      </c>
      <c r="G98" s="36" t="s">
        <v>144</v>
      </c>
      <c r="H98" s="19"/>
      <c r="I98" s="41">
        <f t="shared" si="11"/>
        <v>0</v>
      </c>
      <c r="L98" s="32" t="str">
        <f t="shared" si="12"/>
        <v>-</v>
      </c>
      <c r="M98" s="32" t="str">
        <f t="shared" si="14"/>
        <v>-</v>
      </c>
      <c r="N98" s="33" t="str">
        <f t="shared" si="13"/>
        <v>-</v>
      </c>
      <c r="O98" s="34" t="str">
        <f t="shared" si="9"/>
        <v>-</v>
      </c>
      <c r="Q98" s="34" t="str">
        <f t="shared" si="10"/>
        <v>-</v>
      </c>
    </row>
    <row r="99" spans="1:17">
      <c r="A99" s="40">
        <v>56783</v>
      </c>
      <c r="B99" s="10" t="s">
        <v>42</v>
      </c>
      <c r="C99" s="11">
        <v>768990567834</v>
      </c>
      <c r="D99" s="12">
        <v>6</v>
      </c>
      <c r="E99" s="22">
        <v>0.51225320325025003</v>
      </c>
      <c r="F99" s="13">
        <v>21.388500000000001</v>
      </c>
      <c r="G99" s="36" t="s">
        <v>144</v>
      </c>
      <c r="H99" s="19"/>
      <c r="I99" s="41">
        <f t="shared" ref="I99:I130" si="15">F99*H99</f>
        <v>0</v>
      </c>
      <c r="L99" s="32" t="str">
        <f t="shared" ref="L99:L130" si="16">IFERROR(IF($L$2*E99=0, "-", $L$2*E99), "-")</f>
        <v>-</v>
      </c>
      <c r="M99" s="32" t="str">
        <f t="shared" si="14"/>
        <v>-</v>
      </c>
      <c r="N99" s="33" t="str">
        <f t="shared" ref="N99:N130" si="17">IF(H99&gt;0,H99*E99, "-")</f>
        <v>-</v>
      </c>
      <c r="O99" s="34" t="str">
        <f t="shared" si="9"/>
        <v>-</v>
      </c>
      <c r="Q99" s="34" t="str">
        <f t="shared" si="10"/>
        <v>-</v>
      </c>
    </row>
    <row r="100" spans="1:17">
      <c r="A100" s="40">
        <v>58783</v>
      </c>
      <c r="B100" s="10" t="s">
        <v>44</v>
      </c>
      <c r="C100" s="11">
        <v>768990587832</v>
      </c>
      <c r="D100" s="12">
        <v>6</v>
      </c>
      <c r="E100" s="22">
        <v>0.51225320325025003</v>
      </c>
      <c r="F100" s="13">
        <v>21.388500000000001</v>
      </c>
      <c r="G100" s="36" t="s">
        <v>144</v>
      </c>
      <c r="H100" s="19"/>
      <c r="I100" s="41">
        <f t="shared" si="15"/>
        <v>0</v>
      </c>
      <c r="L100" s="32" t="str">
        <f t="shared" si="16"/>
        <v>-</v>
      </c>
      <c r="M100" s="32" t="str">
        <f t="shared" si="14"/>
        <v>-</v>
      </c>
      <c r="N100" s="33" t="str">
        <f t="shared" si="17"/>
        <v>-</v>
      </c>
      <c r="O100" s="34" t="str">
        <f t="shared" si="9"/>
        <v>-</v>
      </c>
      <c r="Q100" s="34" t="str">
        <f t="shared" si="10"/>
        <v>-</v>
      </c>
    </row>
    <row r="101" spans="1:17">
      <c r="A101" s="40">
        <v>1670</v>
      </c>
      <c r="B101" s="10" t="s">
        <v>45</v>
      </c>
      <c r="C101" s="11">
        <v>768990016707</v>
      </c>
      <c r="D101" s="12">
        <v>12</v>
      </c>
      <c r="E101" s="22">
        <v>0.11883931097179168</v>
      </c>
      <c r="F101" s="13">
        <v>20.758499999999998</v>
      </c>
      <c r="G101" s="36" t="s">
        <v>144</v>
      </c>
      <c r="H101" s="19"/>
      <c r="I101" s="41">
        <f t="shared" si="15"/>
        <v>0</v>
      </c>
      <c r="L101" s="32" t="str">
        <f t="shared" si="16"/>
        <v>-</v>
      </c>
      <c r="M101" s="32" t="str">
        <f t="shared" si="14"/>
        <v>-</v>
      </c>
      <c r="N101" s="33" t="str">
        <f t="shared" si="17"/>
        <v>-</v>
      </c>
      <c r="O101" s="34" t="str">
        <f t="shared" si="9"/>
        <v>-</v>
      </c>
      <c r="Q101" s="34" t="str">
        <f t="shared" si="10"/>
        <v>-</v>
      </c>
    </row>
    <row r="102" spans="1:17">
      <c r="A102" s="40">
        <v>1720</v>
      </c>
      <c r="B102" s="10" t="s">
        <v>175</v>
      </c>
      <c r="C102" s="11">
        <v>768990017209</v>
      </c>
      <c r="D102" s="12">
        <v>12</v>
      </c>
      <c r="E102" s="22">
        <v>0.13128097168725003</v>
      </c>
      <c r="F102" s="13">
        <v>18.238500000000002</v>
      </c>
      <c r="G102" s="36" t="s">
        <v>144</v>
      </c>
      <c r="H102" s="19"/>
      <c r="I102" s="41">
        <f t="shared" si="15"/>
        <v>0</v>
      </c>
      <c r="L102" s="32" t="str">
        <f t="shared" si="16"/>
        <v>-</v>
      </c>
      <c r="M102" s="32" t="str">
        <f t="shared" si="14"/>
        <v>-</v>
      </c>
      <c r="N102" s="33" t="str">
        <f t="shared" si="17"/>
        <v>-</v>
      </c>
      <c r="O102" s="34" t="str">
        <f t="shared" si="9"/>
        <v>-</v>
      </c>
      <c r="Q102" s="34" t="str">
        <f t="shared" si="10"/>
        <v>-</v>
      </c>
    </row>
    <row r="103" spans="1:17">
      <c r="A103" s="40">
        <v>30120</v>
      </c>
      <c r="B103" s="10" t="s">
        <v>51</v>
      </c>
      <c r="C103" s="11">
        <v>768990301209</v>
      </c>
      <c r="D103" s="12">
        <v>12</v>
      </c>
      <c r="E103" s="22">
        <v>0.63237958257191673</v>
      </c>
      <c r="F103" s="13">
        <v>16.978499999999997</v>
      </c>
      <c r="G103" s="36" t="s">
        <v>144</v>
      </c>
      <c r="H103" s="19"/>
      <c r="I103" s="41">
        <f t="shared" si="15"/>
        <v>0</v>
      </c>
      <c r="L103" s="32" t="str">
        <f t="shared" si="16"/>
        <v>-</v>
      </c>
      <c r="M103" s="32" t="str">
        <f t="shared" si="14"/>
        <v>-</v>
      </c>
      <c r="N103" s="33" t="str">
        <f t="shared" si="17"/>
        <v>-</v>
      </c>
      <c r="O103" s="34" t="str">
        <f t="shared" si="9"/>
        <v>-</v>
      </c>
      <c r="Q103" s="34" t="str">
        <f t="shared" si="10"/>
        <v>-</v>
      </c>
    </row>
    <row r="104" spans="1:17">
      <c r="A104" s="40">
        <v>30124</v>
      </c>
      <c r="B104" s="10" t="s">
        <v>52</v>
      </c>
      <c r="C104" s="11">
        <v>768990301247</v>
      </c>
      <c r="D104" s="12">
        <v>6</v>
      </c>
      <c r="E104" s="22">
        <v>0.8348783362855835</v>
      </c>
      <c r="F104" s="13">
        <v>25.168500000000002</v>
      </c>
      <c r="G104" s="36" t="s">
        <v>144</v>
      </c>
      <c r="H104" s="19"/>
      <c r="I104" s="41">
        <f t="shared" si="15"/>
        <v>0</v>
      </c>
      <c r="L104" s="32" t="str">
        <f t="shared" si="16"/>
        <v>-</v>
      </c>
      <c r="M104" s="32" t="str">
        <f t="shared" si="14"/>
        <v>-</v>
      </c>
      <c r="N104" s="33" t="str">
        <f t="shared" si="17"/>
        <v>-</v>
      </c>
      <c r="O104" s="34" t="str">
        <f t="shared" si="9"/>
        <v>-</v>
      </c>
      <c r="Q104" s="34" t="str">
        <f t="shared" si="10"/>
        <v>-</v>
      </c>
    </row>
    <row r="105" spans="1:17">
      <c r="A105" s="40">
        <v>31130</v>
      </c>
      <c r="B105" s="10" t="s">
        <v>54</v>
      </c>
      <c r="C105" s="11">
        <v>768990311307</v>
      </c>
      <c r="D105" s="12">
        <v>12</v>
      </c>
      <c r="E105" s="22">
        <v>0.25097832822562499</v>
      </c>
      <c r="F105" s="13">
        <v>15.0885</v>
      </c>
      <c r="G105" s="36" t="s">
        <v>144</v>
      </c>
      <c r="H105" s="19"/>
      <c r="I105" s="41">
        <f t="shared" si="15"/>
        <v>0</v>
      </c>
      <c r="L105" s="32" t="str">
        <f t="shared" si="16"/>
        <v>-</v>
      </c>
      <c r="M105" s="32" t="str">
        <f t="shared" si="14"/>
        <v>-</v>
      </c>
      <c r="N105" s="33" t="str">
        <f t="shared" si="17"/>
        <v>-</v>
      </c>
      <c r="O105" s="34" t="str">
        <f t="shared" si="9"/>
        <v>-</v>
      </c>
      <c r="Q105" s="34" t="str">
        <f t="shared" si="10"/>
        <v>-</v>
      </c>
    </row>
    <row r="106" spans="1:17">
      <c r="A106" s="40">
        <v>30131</v>
      </c>
      <c r="B106" s="10" t="s">
        <v>56</v>
      </c>
      <c r="C106" s="11">
        <v>768990301315</v>
      </c>
      <c r="D106" s="12">
        <v>12</v>
      </c>
      <c r="E106" s="22">
        <v>0.56588105116170839</v>
      </c>
      <c r="F106" s="13">
        <v>25.168500000000002</v>
      </c>
      <c r="G106" s="36" t="s">
        <v>144</v>
      </c>
      <c r="H106" s="19"/>
      <c r="I106" s="41">
        <f t="shared" si="15"/>
        <v>0</v>
      </c>
      <c r="L106" s="32" t="str">
        <f t="shared" si="16"/>
        <v>-</v>
      </c>
      <c r="M106" s="32" t="str">
        <f t="shared" si="14"/>
        <v>-</v>
      </c>
      <c r="N106" s="33" t="str">
        <f t="shared" si="17"/>
        <v>-</v>
      </c>
      <c r="O106" s="34" t="str">
        <f t="shared" si="9"/>
        <v>-</v>
      </c>
      <c r="Q106" s="34" t="str">
        <f t="shared" si="10"/>
        <v>-</v>
      </c>
    </row>
    <row r="107" spans="1:17">
      <c r="A107" s="40">
        <v>30140</v>
      </c>
      <c r="B107" s="10" t="s">
        <v>57</v>
      </c>
      <c r="C107" s="11">
        <v>768990301407</v>
      </c>
      <c r="D107" s="12">
        <v>6</v>
      </c>
      <c r="E107" s="22">
        <v>0.43674519339091666</v>
      </c>
      <c r="F107" s="13">
        <v>22.0185</v>
      </c>
      <c r="G107" s="36" t="s">
        <v>144</v>
      </c>
      <c r="H107" s="19"/>
      <c r="I107" s="41">
        <f t="shared" si="15"/>
        <v>0</v>
      </c>
      <c r="L107" s="32" t="str">
        <f t="shared" si="16"/>
        <v>-</v>
      </c>
      <c r="M107" s="32" t="str">
        <f t="shared" si="14"/>
        <v>-</v>
      </c>
      <c r="N107" s="33" t="str">
        <f t="shared" si="17"/>
        <v>-</v>
      </c>
      <c r="O107" s="34" t="str">
        <f t="shared" si="9"/>
        <v>-</v>
      </c>
      <c r="Q107" s="34" t="str">
        <f t="shared" si="10"/>
        <v>-</v>
      </c>
    </row>
    <row r="108" spans="1:17">
      <c r="A108" s="40">
        <v>1665</v>
      </c>
      <c r="B108" s="10" t="s">
        <v>63</v>
      </c>
      <c r="C108" s="11">
        <v>768990016653</v>
      </c>
      <c r="D108" s="12">
        <v>6</v>
      </c>
      <c r="E108" s="22">
        <v>0.29688376603783334</v>
      </c>
      <c r="F108" s="13">
        <v>18.868499999999997</v>
      </c>
      <c r="G108" s="36" t="s">
        <v>144</v>
      </c>
      <c r="H108" s="19"/>
      <c r="I108" s="41">
        <f t="shared" si="15"/>
        <v>0</v>
      </c>
      <c r="L108" s="32" t="str">
        <f t="shared" si="16"/>
        <v>-</v>
      </c>
      <c r="M108" s="32" t="str">
        <f t="shared" si="14"/>
        <v>-</v>
      </c>
      <c r="N108" s="33" t="str">
        <f t="shared" si="17"/>
        <v>-</v>
      </c>
      <c r="O108" s="34" t="str">
        <f t="shared" si="9"/>
        <v>-</v>
      </c>
      <c r="Q108" s="34" t="str">
        <f t="shared" si="10"/>
        <v>-</v>
      </c>
    </row>
    <row r="109" spans="1:17">
      <c r="A109" s="40">
        <v>1658</v>
      </c>
      <c r="B109" s="10" t="s">
        <v>64</v>
      </c>
      <c r="C109" s="11">
        <v>768990016585</v>
      </c>
      <c r="D109" s="12">
        <v>12</v>
      </c>
      <c r="E109" s="22">
        <v>0.45948340090537509</v>
      </c>
      <c r="F109" s="13">
        <v>25.798499999999997</v>
      </c>
      <c r="G109" s="36" t="s">
        <v>144</v>
      </c>
      <c r="H109" s="19"/>
      <c r="I109" s="41">
        <f t="shared" si="15"/>
        <v>0</v>
      </c>
      <c r="L109" s="32" t="str">
        <f t="shared" si="16"/>
        <v>-</v>
      </c>
      <c r="M109" s="32" t="str">
        <f t="shared" si="14"/>
        <v>-</v>
      </c>
      <c r="N109" s="33" t="str">
        <f t="shared" si="17"/>
        <v>-</v>
      </c>
      <c r="O109" s="34" t="str">
        <f t="shared" si="9"/>
        <v>-</v>
      </c>
      <c r="Q109" s="34" t="str">
        <f t="shared" si="10"/>
        <v>-</v>
      </c>
    </row>
    <row r="110" spans="1:17">
      <c r="A110" s="40">
        <v>50502</v>
      </c>
      <c r="B110" s="10" t="s">
        <v>65</v>
      </c>
      <c r="C110" s="11">
        <v>768990505027</v>
      </c>
      <c r="D110" s="12">
        <v>12</v>
      </c>
      <c r="E110" s="22">
        <v>0.22652402957800002</v>
      </c>
      <c r="F110" s="13">
        <v>14.458499999999999</v>
      </c>
      <c r="G110" s="36" t="s">
        <v>144</v>
      </c>
      <c r="H110" s="19"/>
      <c r="I110" s="41">
        <f t="shared" si="15"/>
        <v>0</v>
      </c>
      <c r="L110" s="32" t="str">
        <f t="shared" si="16"/>
        <v>-</v>
      </c>
      <c r="M110" s="32" t="str">
        <f t="shared" si="14"/>
        <v>-</v>
      </c>
      <c r="N110" s="33" t="str">
        <f t="shared" si="17"/>
        <v>-</v>
      </c>
      <c r="O110" s="34" t="str">
        <f t="shared" si="9"/>
        <v>-</v>
      </c>
      <c r="Q110" s="34" t="str">
        <f t="shared" si="10"/>
        <v>-</v>
      </c>
    </row>
    <row r="111" spans="1:17">
      <c r="A111" s="40">
        <v>50506</v>
      </c>
      <c r="B111" s="10" t="s">
        <v>69</v>
      </c>
      <c r="C111" s="11">
        <v>768990505065</v>
      </c>
      <c r="D111" s="12">
        <v>4</v>
      </c>
      <c r="E111" s="22">
        <v>0.90094784491250002</v>
      </c>
      <c r="F111" s="13">
        <v>29.578500000000002</v>
      </c>
      <c r="G111" s="36" t="s">
        <v>144</v>
      </c>
      <c r="H111" s="19"/>
      <c r="I111" s="41">
        <f t="shared" si="15"/>
        <v>0</v>
      </c>
      <c r="L111" s="32" t="str">
        <f t="shared" si="16"/>
        <v>-</v>
      </c>
      <c r="M111" s="32" t="str">
        <f t="shared" si="14"/>
        <v>-</v>
      </c>
      <c r="N111" s="33" t="str">
        <f t="shared" si="17"/>
        <v>-</v>
      </c>
      <c r="O111" s="34" t="str">
        <f t="shared" si="9"/>
        <v>-</v>
      </c>
      <c r="Q111" s="34" t="str">
        <f t="shared" si="10"/>
        <v>-</v>
      </c>
    </row>
    <row r="112" spans="1:17">
      <c r="A112" s="40">
        <v>50515</v>
      </c>
      <c r="B112" s="10" t="s">
        <v>121</v>
      </c>
      <c r="C112" s="11"/>
      <c r="D112" s="12">
        <v>12</v>
      </c>
      <c r="E112" s="22">
        <v>0.16131256651766665</v>
      </c>
      <c r="F112" s="13">
        <v>11.308499999999999</v>
      </c>
      <c r="G112" s="36" t="s">
        <v>144</v>
      </c>
      <c r="H112" s="19"/>
      <c r="I112" s="41">
        <f t="shared" si="15"/>
        <v>0</v>
      </c>
      <c r="L112" s="32" t="str">
        <f t="shared" si="16"/>
        <v>-</v>
      </c>
      <c r="M112" s="32" t="str">
        <f t="shared" si="14"/>
        <v>-</v>
      </c>
      <c r="N112" s="33" t="str">
        <f t="shared" si="17"/>
        <v>-</v>
      </c>
      <c r="O112" s="34" t="str">
        <f t="shared" si="9"/>
        <v>-</v>
      </c>
      <c r="Q112" s="34" t="str">
        <f t="shared" si="10"/>
        <v>-</v>
      </c>
    </row>
    <row r="113" spans="1:17">
      <c r="A113" s="40">
        <v>1604</v>
      </c>
      <c r="B113" s="10" t="s">
        <v>72</v>
      </c>
      <c r="C113" s="11">
        <v>768990016042</v>
      </c>
      <c r="D113" s="12">
        <v>12</v>
      </c>
      <c r="E113" s="22">
        <v>9.8675240157083344E-2</v>
      </c>
      <c r="F113" s="13">
        <v>22.0185</v>
      </c>
      <c r="G113" s="36" t="s">
        <v>144</v>
      </c>
      <c r="H113" s="19"/>
      <c r="I113" s="41">
        <f t="shared" si="15"/>
        <v>0</v>
      </c>
      <c r="L113" s="32" t="str">
        <f t="shared" si="16"/>
        <v>-</v>
      </c>
      <c r="M113" s="32" t="str">
        <f t="shared" si="14"/>
        <v>-</v>
      </c>
      <c r="N113" s="33" t="str">
        <f t="shared" si="17"/>
        <v>-</v>
      </c>
      <c r="O113" s="34" t="str">
        <f t="shared" si="9"/>
        <v>-</v>
      </c>
      <c r="Q113" s="34" t="str">
        <f t="shared" si="10"/>
        <v>-</v>
      </c>
    </row>
    <row r="114" spans="1:17">
      <c r="A114" s="40">
        <v>1534</v>
      </c>
      <c r="B114" s="10" t="s">
        <v>122</v>
      </c>
      <c r="C114" s="11">
        <v>768990015342</v>
      </c>
      <c r="D114" s="12">
        <v>12</v>
      </c>
      <c r="E114" s="22">
        <v>0.32219611025204165</v>
      </c>
      <c r="F114" s="13">
        <v>16.348499999999998</v>
      </c>
      <c r="G114" s="36" t="s">
        <v>144</v>
      </c>
      <c r="H114" s="19"/>
      <c r="I114" s="41">
        <f t="shared" si="15"/>
        <v>0</v>
      </c>
      <c r="L114" s="32" t="str">
        <f t="shared" si="16"/>
        <v>-</v>
      </c>
      <c r="M114" s="32" t="str">
        <f t="shared" si="14"/>
        <v>-</v>
      </c>
      <c r="N114" s="33" t="str">
        <f t="shared" si="17"/>
        <v>-</v>
      </c>
      <c r="O114" s="34" t="str">
        <f t="shared" si="9"/>
        <v>-</v>
      </c>
      <c r="Q114" s="34" t="str">
        <f t="shared" si="10"/>
        <v>-</v>
      </c>
    </row>
    <row r="115" spans="1:17">
      <c r="A115" s="40">
        <v>1538</v>
      </c>
      <c r="B115" s="10" t="s">
        <v>107</v>
      </c>
      <c r="C115" s="11">
        <v>768990015380</v>
      </c>
      <c r="D115" s="12">
        <v>12</v>
      </c>
      <c r="E115" s="22">
        <v>0.18018956898250002</v>
      </c>
      <c r="F115" s="13">
        <v>17.608499999999999</v>
      </c>
      <c r="G115" s="36" t="s">
        <v>144</v>
      </c>
      <c r="H115" s="19"/>
      <c r="I115" s="41">
        <f t="shared" si="15"/>
        <v>0</v>
      </c>
      <c r="L115" s="32" t="str">
        <f t="shared" si="16"/>
        <v>-</v>
      </c>
      <c r="M115" s="32" t="str">
        <f t="shared" si="14"/>
        <v>-</v>
      </c>
      <c r="N115" s="33" t="str">
        <f t="shared" si="17"/>
        <v>-</v>
      </c>
      <c r="O115" s="34" t="str">
        <f t="shared" si="9"/>
        <v>-</v>
      </c>
      <c r="Q115" s="34" t="str">
        <f t="shared" si="10"/>
        <v>-</v>
      </c>
    </row>
    <row r="116" spans="1:17">
      <c r="A116" s="40">
        <v>1747</v>
      </c>
      <c r="B116" s="10" t="s">
        <v>78</v>
      </c>
      <c r="C116" s="11">
        <v>768990017476</v>
      </c>
      <c r="D116" s="12">
        <v>12</v>
      </c>
      <c r="E116" s="22">
        <v>9.6530126240625014E-2</v>
      </c>
      <c r="F116" s="13">
        <v>22.0185</v>
      </c>
      <c r="G116" s="36" t="s">
        <v>144</v>
      </c>
      <c r="H116" s="19"/>
      <c r="I116" s="41">
        <f t="shared" si="15"/>
        <v>0</v>
      </c>
      <c r="L116" s="32" t="str">
        <f t="shared" si="16"/>
        <v>-</v>
      </c>
      <c r="M116" s="32" t="str">
        <f t="shared" si="14"/>
        <v>-</v>
      </c>
      <c r="N116" s="33" t="str">
        <f t="shared" si="17"/>
        <v>-</v>
      </c>
      <c r="O116" s="34" t="str">
        <f t="shared" si="9"/>
        <v>-</v>
      </c>
      <c r="Q116" s="34" t="str">
        <f t="shared" si="10"/>
        <v>-</v>
      </c>
    </row>
    <row r="117" spans="1:17">
      <c r="A117" s="40">
        <v>1531</v>
      </c>
      <c r="B117" s="10" t="s">
        <v>79</v>
      </c>
      <c r="C117" s="11">
        <v>768990015311</v>
      </c>
      <c r="D117" s="12">
        <v>12</v>
      </c>
      <c r="E117" s="22">
        <v>9.3955989540875015E-2</v>
      </c>
      <c r="F117" s="13">
        <v>18.868499999999997</v>
      </c>
      <c r="G117" s="36" t="s">
        <v>144</v>
      </c>
      <c r="H117" s="19"/>
      <c r="I117" s="41">
        <f t="shared" si="15"/>
        <v>0</v>
      </c>
      <c r="L117" s="32" t="str">
        <f t="shared" si="16"/>
        <v>-</v>
      </c>
      <c r="M117" s="32" t="str">
        <f t="shared" si="14"/>
        <v>-</v>
      </c>
      <c r="N117" s="33" t="str">
        <f t="shared" si="17"/>
        <v>-</v>
      </c>
      <c r="O117" s="34" t="str">
        <f t="shared" si="9"/>
        <v>-</v>
      </c>
      <c r="Q117" s="34" t="str">
        <f t="shared" si="10"/>
        <v>-</v>
      </c>
    </row>
    <row r="118" spans="1:17">
      <c r="A118" s="40">
        <v>1600</v>
      </c>
      <c r="B118" s="10" t="s">
        <v>82</v>
      </c>
      <c r="C118" s="11">
        <v>768990016004</v>
      </c>
      <c r="D118" s="12">
        <v>12</v>
      </c>
      <c r="E118" s="22">
        <v>0.10511058190645835</v>
      </c>
      <c r="F118" s="13">
        <v>11.308499999999999</v>
      </c>
      <c r="G118" s="36" t="s">
        <v>144</v>
      </c>
      <c r="H118" s="19"/>
      <c r="I118" s="41">
        <f t="shared" si="15"/>
        <v>0</v>
      </c>
      <c r="L118" s="32" t="str">
        <f t="shared" si="16"/>
        <v>-</v>
      </c>
      <c r="M118" s="32" t="str">
        <f t="shared" si="14"/>
        <v>-</v>
      </c>
      <c r="N118" s="33" t="str">
        <f t="shared" si="17"/>
        <v>-</v>
      </c>
      <c r="O118" s="34" t="str">
        <f t="shared" si="9"/>
        <v>-</v>
      </c>
      <c r="Q118" s="34" t="str">
        <f t="shared" si="10"/>
        <v>-</v>
      </c>
    </row>
    <row r="119" spans="1:17">
      <c r="A119" s="40">
        <v>31152</v>
      </c>
      <c r="B119" s="10" t="s">
        <v>108</v>
      </c>
      <c r="C119" s="11">
        <v>768990311529</v>
      </c>
      <c r="D119" s="12">
        <v>12</v>
      </c>
      <c r="E119" s="22">
        <v>0.17203813609995833</v>
      </c>
      <c r="F119" s="13">
        <v>9.4184999999999981</v>
      </c>
      <c r="G119" s="36" t="s">
        <v>144</v>
      </c>
      <c r="H119" s="19"/>
      <c r="I119" s="41">
        <f t="shared" si="15"/>
        <v>0</v>
      </c>
      <c r="L119" s="32" t="str">
        <f t="shared" si="16"/>
        <v>-</v>
      </c>
      <c r="M119" s="32" t="str">
        <f t="shared" si="14"/>
        <v>-</v>
      </c>
      <c r="N119" s="33" t="str">
        <f t="shared" si="17"/>
        <v>-</v>
      </c>
      <c r="O119" s="34" t="str">
        <f t="shared" si="9"/>
        <v>-</v>
      </c>
      <c r="Q119" s="34" t="str">
        <f t="shared" si="10"/>
        <v>-</v>
      </c>
    </row>
    <row r="120" spans="1:17">
      <c r="A120" s="40">
        <v>1680</v>
      </c>
      <c r="B120" s="10" t="s">
        <v>86</v>
      </c>
      <c r="C120" s="11">
        <v>768990016806</v>
      </c>
      <c r="D120" s="12">
        <v>12</v>
      </c>
      <c r="E120" s="22">
        <v>6.3495371927166672E-2</v>
      </c>
      <c r="F120" s="13">
        <v>13.828499999999998</v>
      </c>
      <c r="G120" s="36" t="s">
        <v>144</v>
      </c>
      <c r="H120" s="19"/>
      <c r="I120" s="41">
        <f t="shared" si="15"/>
        <v>0</v>
      </c>
      <c r="L120" s="32" t="str">
        <f t="shared" si="16"/>
        <v>-</v>
      </c>
      <c r="M120" s="32" t="str">
        <f t="shared" si="14"/>
        <v>-</v>
      </c>
      <c r="N120" s="33" t="str">
        <f t="shared" si="17"/>
        <v>-</v>
      </c>
      <c r="O120" s="34" t="str">
        <f t="shared" si="9"/>
        <v>-</v>
      </c>
      <c r="Q120" s="34" t="str">
        <f t="shared" si="10"/>
        <v>-</v>
      </c>
    </row>
    <row r="121" spans="1:17">
      <c r="A121" s="40">
        <v>1570</v>
      </c>
      <c r="B121" s="10" t="s">
        <v>125</v>
      </c>
      <c r="C121" s="11">
        <v>768990015700</v>
      </c>
      <c r="D121" s="12">
        <v>12</v>
      </c>
      <c r="E121" s="22">
        <v>0.10382351355658334</v>
      </c>
      <c r="F121" s="13">
        <v>18.868499999999997</v>
      </c>
      <c r="G121" s="36" t="s">
        <v>144</v>
      </c>
      <c r="H121" s="19"/>
      <c r="I121" s="41">
        <f t="shared" si="15"/>
        <v>0</v>
      </c>
      <c r="L121" s="32" t="str">
        <f t="shared" si="16"/>
        <v>-</v>
      </c>
      <c r="M121" s="32" t="str">
        <f t="shared" si="14"/>
        <v>-</v>
      </c>
      <c r="N121" s="33" t="str">
        <f t="shared" si="17"/>
        <v>-</v>
      </c>
      <c r="O121" s="34" t="str">
        <f t="shared" ref="O121:O139" si="18">IFERROR(IF($L$2&gt;0, $L$2*N121, "-"), "-")</f>
        <v>-</v>
      </c>
      <c r="Q121" s="34" t="str">
        <f t="shared" ref="Q121:Q139" si="19">IFERROR(IF(O121+I121=0, "-", IF(O121&gt;0, O121+I121, "-")), "-")</f>
        <v>-</v>
      </c>
    </row>
    <row r="122" spans="1:17">
      <c r="A122" s="40">
        <v>30188</v>
      </c>
      <c r="B122" s="10" t="s">
        <v>90</v>
      </c>
      <c r="C122" s="11">
        <v>768990301889</v>
      </c>
      <c r="D122" s="12">
        <v>12</v>
      </c>
      <c r="E122" s="22">
        <v>0.2423978725597917</v>
      </c>
      <c r="F122" s="13">
        <v>12.5685</v>
      </c>
      <c r="G122" s="36" t="s">
        <v>144</v>
      </c>
      <c r="H122" s="19"/>
      <c r="I122" s="41">
        <f t="shared" si="15"/>
        <v>0</v>
      </c>
      <c r="L122" s="32" t="str">
        <f t="shared" si="16"/>
        <v>-</v>
      </c>
      <c r="M122" s="32" t="str">
        <f t="shared" si="14"/>
        <v>-</v>
      </c>
      <c r="N122" s="33" t="str">
        <f t="shared" si="17"/>
        <v>-</v>
      </c>
      <c r="O122" s="34" t="str">
        <f t="shared" si="18"/>
        <v>-</v>
      </c>
      <c r="Q122" s="34" t="str">
        <f t="shared" si="19"/>
        <v>-</v>
      </c>
    </row>
    <row r="123" spans="1:17">
      <c r="A123" s="40">
        <v>30189</v>
      </c>
      <c r="B123" s="10" t="s">
        <v>91</v>
      </c>
      <c r="C123" s="11">
        <v>768990301896</v>
      </c>
      <c r="D123" s="12">
        <v>12</v>
      </c>
      <c r="E123" s="22">
        <v>0.47707333502033333</v>
      </c>
      <c r="F123" s="13">
        <v>22.648499999999999</v>
      </c>
      <c r="G123" s="36" t="s">
        <v>144</v>
      </c>
      <c r="H123" s="19"/>
      <c r="I123" s="41">
        <f t="shared" si="15"/>
        <v>0</v>
      </c>
      <c r="L123" s="32" t="str">
        <f t="shared" si="16"/>
        <v>-</v>
      </c>
      <c r="M123" s="32" t="str">
        <f t="shared" si="14"/>
        <v>-</v>
      </c>
      <c r="N123" s="33" t="str">
        <f t="shared" si="17"/>
        <v>-</v>
      </c>
      <c r="O123" s="34" t="str">
        <f t="shared" si="18"/>
        <v>-</v>
      </c>
      <c r="Q123" s="34" t="str">
        <f t="shared" si="19"/>
        <v>-</v>
      </c>
    </row>
    <row r="124" spans="1:17">
      <c r="A124" s="40">
        <v>1551</v>
      </c>
      <c r="B124" s="10" t="s">
        <v>127</v>
      </c>
      <c r="C124" s="11">
        <v>768990015519</v>
      </c>
      <c r="D124" s="12">
        <v>12</v>
      </c>
      <c r="E124" s="22">
        <v>0.18748295629845832</v>
      </c>
      <c r="F124" s="13">
        <v>29.578500000000002</v>
      </c>
      <c r="G124" s="36" t="s">
        <v>144</v>
      </c>
      <c r="H124" s="19"/>
      <c r="I124" s="41">
        <f t="shared" si="15"/>
        <v>0</v>
      </c>
      <c r="L124" s="32" t="str">
        <f t="shared" si="16"/>
        <v>-</v>
      </c>
      <c r="M124" s="32" t="str">
        <f t="shared" si="14"/>
        <v>-</v>
      </c>
      <c r="N124" s="33" t="str">
        <f t="shared" si="17"/>
        <v>-</v>
      </c>
      <c r="O124" s="34" t="str">
        <f t="shared" si="18"/>
        <v>-</v>
      </c>
      <c r="Q124" s="34" t="str">
        <f t="shared" si="19"/>
        <v>-</v>
      </c>
    </row>
    <row r="125" spans="1:17">
      <c r="A125" s="40">
        <v>1554</v>
      </c>
      <c r="B125" s="10" t="s">
        <v>128</v>
      </c>
      <c r="C125" s="11">
        <v>768990015540</v>
      </c>
      <c r="D125" s="12">
        <v>12</v>
      </c>
      <c r="E125" s="22">
        <v>0.22394989287825001</v>
      </c>
      <c r="F125" s="13">
        <v>16.978499999999997</v>
      </c>
      <c r="G125" s="36" t="s">
        <v>144</v>
      </c>
      <c r="H125" s="19"/>
      <c r="I125" s="41">
        <f t="shared" si="15"/>
        <v>0</v>
      </c>
      <c r="L125" s="32" t="str">
        <f t="shared" si="16"/>
        <v>-</v>
      </c>
      <c r="M125" s="32" t="str">
        <f t="shared" si="14"/>
        <v>-</v>
      </c>
      <c r="N125" s="33" t="str">
        <f t="shared" si="17"/>
        <v>-</v>
      </c>
      <c r="O125" s="34" t="str">
        <f t="shared" si="18"/>
        <v>-</v>
      </c>
      <c r="Q125" s="34" t="str">
        <f t="shared" si="19"/>
        <v>-</v>
      </c>
    </row>
    <row r="126" spans="1:17">
      <c r="A126" s="40">
        <v>1553</v>
      </c>
      <c r="B126" s="10" t="s">
        <v>131</v>
      </c>
      <c r="C126" s="11">
        <v>768990015533</v>
      </c>
      <c r="D126" s="12">
        <v>12</v>
      </c>
      <c r="E126" s="22">
        <v>0.18962807021491668</v>
      </c>
      <c r="F126" s="13">
        <v>29.578500000000002</v>
      </c>
      <c r="G126" s="36" t="s">
        <v>144</v>
      </c>
      <c r="H126" s="19"/>
      <c r="I126" s="41">
        <f t="shared" si="15"/>
        <v>0</v>
      </c>
      <c r="L126" s="32" t="str">
        <f t="shared" si="16"/>
        <v>-</v>
      </c>
      <c r="M126" s="32" t="str">
        <f t="shared" si="14"/>
        <v>-</v>
      </c>
      <c r="N126" s="33" t="str">
        <f t="shared" si="17"/>
        <v>-</v>
      </c>
      <c r="O126" s="34" t="str">
        <f t="shared" si="18"/>
        <v>-</v>
      </c>
      <c r="Q126" s="34" t="str">
        <f t="shared" si="19"/>
        <v>-</v>
      </c>
    </row>
    <row r="127" spans="1:17">
      <c r="A127" s="40">
        <v>30101</v>
      </c>
      <c r="B127" s="10" t="s">
        <v>133</v>
      </c>
      <c r="C127" s="11">
        <v>768990301019</v>
      </c>
      <c r="D127" s="12">
        <v>12</v>
      </c>
      <c r="E127" s="22">
        <v>0.28916135593858333</v>
      </c>
      <c r="F127" s="13">
        <v>14.458499999999999</v>
      </c>
      <c r="G127" s="36" t="s">
        <v>144</v>
      </c>
      <c r="H127" s="19"/>
      <c r="I127" s="41">
        <f t="shared" si="15"/>
        <v>0</v>
      </c>
      <c r="L127" s="32" t="str">
        <f t="shared" si="16"/>
        <v>-</v>
      </c>
      <c r="M127" s="32" t="str">
        <f t="shared" si="14"/>
        <v>-</v>
      </c>
      <c r="N127" s="33" t="str">
        <f t="shared" si="17"/>
        <v>-</v>
      </c>
      <c r="O127" s="34" t="str">
        <f t="shared" si="18"/>
        <v>-</v>
      </c>
      <c r="Q127" s="34" t="str">
        <f t="shared" si="19"/>
        <v>-</v>
      </c>
    </row>
    <row r="128" spans="1:17">
      <c r="A128" s="40">
        <v>30194</v>
      </c>
      <c r="B128" s="10" t="s">
        <v>105</v>
      </c>
      <c r="C128" s="11">
        <v>768990301940</v>
      </c>
      <c r="D128" s="12">
        <v>12</v>
      </c>
      <c r="E128" s="22">
        <v>0.22824012071116667</v>
      </c>
      <c r="F128" s="13">
        <v>13.828499999999998</v>
      </c>
      <c r="G128" s="36" t="s">
        <v>144</v>
      </c>
      <c r="H128" s="19"/>
      <c r="I128" s="41">
        <f t="shared" si="15"/>
        <v>0</v>
      </c>
      <c r="L128" s="32" t="str">
        <f t="shared" si="16"/>
        <v>-</v>
      </c>
      <c r="M128" s="32" t="str">
        <f t="shared" si="14"/>
        <v>-</v>
      </c>
      <c r="N128" s="33" t="str">
        <f t="shared" si="17"/>
        <v>-</v>
      </c>
      <c r="O128" s="34" t="str">
        <f t="shared" si="18"/>
        <v>-</v>
      </c>
      <c r="Q128" s="34" t="str">
        <f t="shared" si="19"/>
        <v>-</v>
      </c>
    </row>
    <row r="129" spans="1:17">
      <c r="A129" s="40">
        <v>3743</v>
      </c>
      <c r="B129" s="10" t="s">
        <v>5</v>
      </c>
      <c r="C129" s="11">
        <v>768990037436</v>
      </c>
      <c r="D129" s="12">
        <v>12</v>
      </c>
      <c r="E129" s="22">
        <v>0.20850507267975002</v>
      </c>
      <c r="F129" s="13">
        <v>33.358499999999992</v>
      </c>
      <c r="G129" s="36" t="s">
        <v>144</v>
      </c>
      <c r="H129" s="19"/>
      <c r="I129" s="41">
        <f t="shared" si="15"/>
        <v>0</v>
      </c>
      <c r="L129" s="32" t="str">
        <f t="shared" si="16"/>
        <v>-</v>
      </c>
      <c r="M129" s="32" t="str">
        <f t="shared" si="14"/>
        <v>-</v>
      </c>
      <c r="N129" s="33" t="str">
        <f t="shared" si="17"/>
        <v>-</v>
      </c>
      <c r="O129" s="34" t="str">
        <f t="shared" si="18"/>
        <v>-</v>
      </c>
      <c r="Q129" s="34" t="str">
        <f t="shared" si="19"/>
        <v>-</v>
      </c>
    </row>
    <row r="130" spans="1:17">
      <c r="A130" s="40">
        <v>1750</v>
      </c>
      <c r="B130" s="10" t="s">
        <v>6</v>
      </c>
      <c r="C130" s="11">
        <v>768990017506</v>
      </c>
      <c r="D130" s="12">
        <v>12</v>
      </c>
      <c r="E130" s="22">
        <v>0.155735270334875</v>
      </c>
      <c r="F130" s="13">
        <v>19.4985</v>
      </c>
      <c r="G130" s="36" t="s">
        <v>144</v>
      </c>
      <c r="H130" s="19"/>
      <c r="I130" s="41">
        <f t="shared" si="15"/>
        <v>0</v>
      </c>
      <c r="L130" s="32" t="str">
        <f t="shared" si="16"/>
        <v>-</v>
      </c>
      <c r="M130" s="32" t="str">
        <f t="shared" si="14"/>
        <v>-</v>
      </c>
      <c r="N130" s="33" t="str">
        <f t="shared" si="17"/>
        <v>-</v>
      </c>
      <c r="O130" s="34" t="str">
        <f t="shared" si="18"/>
        <v>-</v>
      </c>
      <c r="Q130" s="34" t="str">
        <f t="shared" si="19"/>
        <v>-</v>
      </c>
    </row>
    <row r="131" spans="1:17">
      <c r="A131" s="40">
        <v>1755</v>
      </c>
      <c r="B131" s="10" t="s">
        <v>112</v>
      </c>
      <c r="C131" s="11">
        <v>768990017557</v>
      </c>
      <c r="D131" s="12">
        <v>42</v>
      </c>
      <c r="E131" s="22">
        <v>7.7101523054416685E-2</v>
      </c>
      <c r="F131" s="13">
        <v>16.348499999999998</v>
      </c>
      <c r="G131" s="36" t="s">
        <v>144</v>
      </c>
      <c r="H131" s="19"/>
      <c r="I131" s="41">
        <f t="shared" ref="I131:I162" si="20">F131*H131</f>
        <v>0</v>
      </c>
      <c r="L131" s="32" t="str">
        <f t="shared" ref="L131:L139" si="21">IFERROR(IF($L$2*E131=0, "-", $L$2*E131), "-")</f>
        <v>-</v>
      </c>
      <c r="M131" s="32" t="str">
        <f t="shared" si="14"/>
        <v>-</v>
      </c>
      <c r="N131" s="33" t="str">
        <f t="shared" ref="N131:N139" si="22">IF(H131&gt;0,H131*E131, "-")</f>
        <v>-</v>
      </c>
      <c r="O131" s="34" t="str">
        <f t="shared" si="18"/>
        <v>-</v>
      </c>
      <c r="Q131" s="34" t="str">
        <f t="shared" si="19"/>
        <v>-</v>
      </c>
    </row>
    <row r="132" spans="1:17">
      <c r="A132" s="40">
        <v>1803</v>
      </c>
      <c r="B132" s="10" t="s">
        <v>114</v>
      </c>
      <c r="C132" s="11">
        <v>768990018039</v>
      </c>
      <c r="D132" s="12">
        <v>21</v>
      </c>
      <c r="E132" s="22">
        <v>0.14684836982383334</v>
      </c>
      <c r="F132" s="13">
        <v>28.3185</v>
      </c>
      <c r="G132" s="36" t="s">
        <v>144</v>
      </c>
      <c r="H132" s="19"/>
      <c r="I132" s="41">
        <f t="shared" si="20"/>
        <v>0</v>
      </c>
      <c r="L132" s="32" t="str">
        <f t="shared" si="21"/>
        <v>-</v>
      </c>
      <c r="M132" s="32" t="str">
        <f t="shared" ref="M132:M139" si="23">IF(H132&gt;0,F132+L132,"-")</f>
        <v>-</v>
      </c>
      <c r="N132" s="33" t="str">
        <f t="shared" si="22"/>
        <v>-</v>
      </c>
      <c r="O132" s="34" t="str">
        <f t="shared" si="18"/>
        <v>-</v>
      </c>
      <c r="Q132" s="34" t="str">
        <f t="shared" si="19"/>
        <v>-</v>
      </c>
    </row>
    <row r="133" spans="1:17">
      <c r="A133" s="40">
        <v>1881</v>
      </c>
      <c r="B133" s="10" t="s">
        <v>161</v>
      </c>
      <c r="C133" s="11">
        <v>768990018817</v>
      </c>
      <c r="D133" s="12">
        <v>12</v>
      </c>
      <c r="E133" s="22">
        <v>0.22652402957800002</v>
      </c>
      <c r="F133" s="13">
        <v>36.508500000000005</v>
      </c>
      <c r="G133" s="36" t="s">
        <v>144</v>
      </c>
      <c r="H133" s="19"/>
      <c r="I133" s="41">
        <f t="shared" si="20"/>
        <v>0</v>
      </c>
      <c r="L133" s="32" t="str">
        <f t="shared" si="21"/>
        <v>-</v>
      </c>
      <c r="M133" s="32" t="str">
        <f t="shared" si="23"/>
        <v>-</v>
      </c>
      <c r="N133" s="33" t="str">
        <f t="shared" si="22"/>
        <v>-</v>
      </c>
      <c r="O133" s="34" t="str">
        <f t="shared" si="18"/>
        <v>-</v>
      </c>
      <c r="Q133" s="34" t="str">
        <f t="shared" si="19"/>
        <v>-</v>
      </c>
    </row>
    <row r="134" spans="1:17">
      <c r="A134" s="40">
        <v>41760</v>
      </c>
      <c r="B134" s="10" t="s">
        <v>104</v>
      </c>
      <c r="C134" s="11">
        <v>768990417603</v>
      </c>
      <c r="D134" s="12">
        <v>12</v>
      </c>
      <c r="E134" s="22">
        <v>0.155735270334875</v>
      </c>
      <c r="F134" s="13">
        <v>13.198499999999999</v>
      </c>
      <c r="G134" s="36" t="s">
        <v>144</v>
      </c>
      <c r="H134" s="19"/>
      <c r="I134" s="41">
        <f t="shared" si="20"/>
        <v>0</v>
      </c>
      <c r="L134" s="32" t="str">
        <f t="shared" si="21"/>
        <v>-</v>
      </c>
      <c r="M134" s="32" t="str">
        <f t="shared" si="23"/>
        <v>-</v>
      </c>
      <c r="N134" s="33" t="str">
        <f t="shared" si="22"/>
        <v>-</v>
      </c>
      <c r="O134" s="34" t="str">
        <f t="shared" si="18"/>
        <v>-</v>
      </c>
      <c r="Q134" s="34" t="str">
        <f t="shared" si="19"/>
        <v>-</v>
      </c>
    </row>
    <row r="135" spans="1:17">
      <c r="A135" s="40">
        <v>1621</v>
      </c>
      <c r="B135" s="10" t="s">
        <v>27</v>
      </c>
      <c r="C135" s="11">
        <v>768990016219</v>
      </c>
      <c r="D135" s="12">
        <v>12</v>
      </c>
      <c r="E135" s="22">
        <v>0.11025885530595833</v>
      </c>
      <c r="F135" s="13">
        <v>28.948499999999999</v>
      </c>
      <c r="G135" s="36" t="s">
        <v>144</v>
      </c>
      <c r="H135" s="19"/>
      <c r="I135" s="41">
        <f t="shared" si="20"/>
        <v>0</v>
      </c>
      <c r="L135" s="32" t="str">
        <f t="shared" si="21"/>
        <v>-</v>
      </c>
      <c r="M135" s="32" t="str">
        <f t="shared" si="23"/>
        <v>-</v>
      </c>
      <c r="N135" s="33" t="str">
        <f t="shared" si="22"/>
        <v>-</v>
      </c>
      <c r="O135" s="34" t="str">
        <f t="shared" si="18"/>
        <v>-</v>
      </c>
      <c r="Q135" s="34" t="str">
        <f t="shared" si="19"/>
        <v>-</v>
      </c>
    </row>
    <row r="136" spans="1:17">
      <c r="A136" s="40">
        <v>3770</v>
      </c>
      <c r="B136" s="10" t="s">
        <v>169</v>
      </c>
      <c r="C136" s="11">
        <v>768990037702</v>
      </c>
      <c r="D136" s="12">
        <v>12</v>
      </c>
      <c r="E136" s="22">
        <v>0.38311734547945836</v>
      </c>
      <c r="F136" s="13">
        <v>32.728499999999997</v>
      </c>
      <c r="G136" s="36" t="s">
        <v>144</v>
      </c>
      <c r="H136" s="19"/>
      <c r="I136" s="41">
        <f t="shared" si="20"/>
        <v>0</v>
      </c>
      <c r="L136" s="32" t="str">
        <f t="shared" si="21"/>
        <v>-</v>
      </c>
      <c r="M136" s="32" t="str">
        <f t="shared" si="23"/>
        <v>-</v>
      </c>
      <c r="N136" s="33" t="str">
        <f t="shared" si="22"/>
        <v>-</v>
      </c>
      <c r="O136" s="34" t="str">
        <f t="shared" si="18"/>
        <v>-</v>
      </c>
      <c r="Q136" s="34" t="str">
        <f t="shared" si="19"/>
        <v>-</v>
      </c>
    </row>
    <row r="137" spans="1:17">
      <c r="A137" s="40">
        <v>2778</v>
      </c>
      <c r="B137" s="10" t="s">
        <v>33</v>
      </c>
      <c r="C137" s="11">
        <v>768990027789</v>
      </c>
      <c r="D137" s="12">
        <v>12</v>
      </c>
      <c r="E137" s="22">
        <v>0.25955878389145837</v>
      </c>
      <c r="F137" s="13">
        <v>23.908499999999997</v>
      </c>
      <c r="G137" s="36" t="s">
        <v>144</v>
      </c>
      <c r="H137" s="19"/>
      <c r="I137" s="41">
        <f t="shared" si="20"/>
        <v>0</v>
      </c>
      <c r="L137" s="32" t="str">
        <f t="shared" si="21"/>
        <v>-</v>
      </c>
      <c r="M137" s="32" t="str">
        <f t="shared" si="23"/>
        <v>-</v>
      </c>
      <c r="N137" s="33" t="str">
        <f t="shared" si="22"/>
        <v>-</v>
      </c>
      <c r="O137" s="34" t="str">
        <f t="shared" si="18"/>
        <v>-</v>
      </c>
      <c r="Q137" s="34" t="str">
        <f t="shared" si="19"/>
        <v>-</v>
      </c>
    </row>
    <row r="138" spans="1:17">
      <c r="A138" s="40">
        <v>1676</v>
      </c>
      <c r="B138" s="10" t="s">
        <v>111</v>
      </c>
      <c r="C138" s="11">
        <v>768990016769</v>
      </c>
      <c r="D138" s="12">
        <v>12</v>
      </c>
      <c r="E138" s="22">
        <v>7.9369214908958333E-2</v>
      </c>
      <c r="F138" s="13">
        <v>22.648499999999999</v>
      </c>
      <c r="G138" s="36" t="s">
        <v>144</v>
      </c>
      <c r="H138" s="19"/>
      <c r="I138" s="41">
        <f t="shared" si="20"/>
        <v>0</v>
      </c>
      <c r="L138" s="32" t="str">
        <f t="shared" si="21"/>
        <v>-</v>
      </c>
      <c r="M138" s="32" t="str">
        <f t="shared" si="23"/>
        <v>-</v>
      </c>
      <c r="N138" s="33" t="str">
        <f t="shared" si="22"/>
        <v>-</v>
      </c>
      <c r="O138" s="34" t="str">
        <f t="shared" si="18"/>
        <v>-</v>
      </c>
      <c r="Q138" s="34" t="str">
        <f t="shared" si="19"/>
        <v>-</v>
      </c>
    </row>
    <row r="139" spans="1:17">
      <c r="A139" s="40">
        <v>57785</v>
      </c>
      <c r="B139" s="10" t="s">
        <v>172</v>
      </c>
      <c r="C139" s="11">
        <v>768990577857</v>
      </c>
      <c r="D139" s="12">
        <v>12</v>
      </c>
      <c r="E139" s="22">
        <v>0.22652402957800002</v>
      </c>
      <c r="F139" s="13">
        <v>16.348499999999998</v>
      </c>
      <c r="G139" s="36" t="s">
        <v>144</v>
      </c>
      <c r="H139" s="19"/>
      <c r="I139" s="41">
        <f t="shared" si="20"/>
        <v>0</v>
      </c>
      <c r="L139" s="32" t="str">
        <f t="shared" si="21"/>
        <v>-</v>
      </c>
      <c r="M139" s="32" t="str">
        <f t="shared" si="23"/>
        <v>-</v>
      </c>
      <c r="N139" s="33" t="str">
        <f t="shared" si="22"/>
        <v>-</v>
      </c>
      <c r="O139" s="34" t="str">
        <f t="shared" si="18"/>
        <v>-</v>
      </c>
      <c r="Q139" s="34" t="str">
        <f t="shared" si="19"/>
        <v>-</v>
      </c>
    </row>
    <row r="140" spans="1:17">
      <c r="A140" s="40">
        <v>57885</v>
      </c>
      <c r="B140" s="10" t="s">
        <v>173</v>
      </c>
      <c r="C140" s="11">
        <v>768990578854</v>
      </c>
      <c r="D140" s="12">
        <v>12</v>
      </c>
      <c r="E140" s="22">
        <v>0.38311734547945836</v>
      </c>
      <c r="F140" s="13">
        <v>31.468499999999999</v>
      </c>
      <c r="G140" s="36" t="s">
        <v>144</v>
      </c>
      <c r="H140" s="19"/>
      <c r="I140" s="41">
        <f t="shared" si="20"/>
        <v>0</v>
      </c>
      <c r="L140" s="32" t="str">
        <f t="shared" ref="L140:L168" si="24">IFERROR(IF($L$2*E140=0, "-", $L$2*E140), "-")</f>
        <v>-</v>
      </c>
      <c r="M140" s="32" t="str">
        <f t="shared" ref="M140:M168" si="25">IF(H140&gt;0,F140+L140,"-")</f>
        <v>-</v>
      </c>
      <c r="N140" s="33" t="str">
        <f t="shared" ref="N140:N168" si="26">IF(H140&gt;0,H140*E140, "-")</f>
        <v>-</v>
      </c>
      <c r="O140" s="34" t="str">
        <f t="shared" ref="O140:O168" si="27">IFERROR(IF($L$2&gt;0, $L$2*N140, "-"), "-")</f>
        <v>-</v>
      </c>
      <c r="Q140" s="34" t="str">
        <f t="shared" ref="Q140:Q168" si="28">IFERROR(IF(O140+I140=0, "-", IF(O140&gt;0, O140+I140, "-")), "-")</f>
        <v>-</v>
      </c>
    </row>
    <row r="141" spans="1:17">
      <c r="A141" s="40">
        <v>2720</v>
      </c>
      <c r="B141" s="10" t="s">
        <v>176</v>
      </c>
      <c r="C141" s="11">
        <v>768990027208</v>
      </c>
      <c r="D141" s="12">
        <v>12</v>
      </c>
      <c r="E141" s="22">
        <v>0.20979214102962498</v>
      </c>
      <c r="F141" s="13">
        <v>31.468499999999999</v>
      </c>
      <c r="G141" s="36" t="s">
        <v>144</v>
      </c>
      <c r="H141" s="19"/>
      <c r="I141" s="41">
        <f t="shared" si="20"/>
        <v>0</v>
      </c>
      <c r="L141" s="32" t="str">
        <f t="shared" si="24"/>
        <v>-</v>
      </c>
      <c r="M141" s="32" t="str">
        <f t="shared" si="25"/>
        <v>-</v>
      </c>
      <c r="N141" s="33" t="str">
        <f t="shared" si="26"/>
        <v>-</v>
      </c>
      <c r="O141" s="34" t="str">
        <f t="shared" si="27"/>
        <v>-</v>
      </c>
      <c r="Q141" s="34" t="str">
        <f t="shared" si="28"/>
        <v>-</v>
      </c>
    </row>
    <row r="142" spans="1:17">
      <c r="A142" s="40">
        <v>1706</v>
      </c>
      <c r="B142" s="10" t="s">
        <v>102</v>
      </c>
      <c r="C142" s="11">
        <v>768990017063</v>
      </c>
      <c r="D142" s="12">
        <v>12</v>
      </c>
      <c r="E142" s="22">
        <v>0.11669419705533335</v>
      </c>
      <c r="F142" s="13">
        <v>16.348499999999998</v>
      </c>
      <c r="G142" s="36" t="s">
        <v>144</v>
      </c>
      <c r="H142" s="19"/>
      <c r="I142" s="41">
        <f t="shared" si="20"/>
        <v>0</v>
      </c>
      <c r="L142" s="32" t="str">
        <f t="shared" si="24"/>
        <v>-</v>
      </c>
      <c r="M142" s="32" t="str">
        <f t="shared" si="25"/>
        <v>-</v>
      </c>
      <c r="N142" s="33" t="str">
        <f t="shared" si="26"/>
        <v>-</v>
      </c>
      <c r="O142" s="34" t="str">
        <f t="shared" si="27"/>
        <v>-</v>
      </c>
      <c r="Q142" s="34" t="str">
        <f t="shared" si="28"/>
        <v>-</v>
      </c>
    </row>
    <row r="143" spans="1:17">
      <c r="A143" s="40">
        <v>1707</v>
      </c>
      <c r="B143" s="10" t="s">
        <v>180</v>
      </c>
      <c r="C143" s="11">
        <v>768990017070</v>
      </c>
      <c r="D143" s="12">
        <v>36</v>
      </c>
      <c r="E143" s="22">
        <v>8.5375533875041668E-2</v>
      </c>
      <c r="F143" s="13">
        <v>20.758499999999998</v>
      </c>
      <c r="G143" s="36" t="s">
        <v>144</v>
      </c>
      <c r="H143" s="19"/>
      <c r="I143" s="41">
        <f t="shared" si="20"/>
        <v>0</v>
      </c>
      <c r="L143" s="32" t="str">
        <f t="shared" si="24"/>
        <v>-</v>
      </c>
      <c r="M143" s="32" t="str">
        <f t="shared" si="25"/>
        <v>-</v>
      </c>
      <c r="N143" s="33" t="str">
        <f t="shared" si="26"/>
        <v>-</v>
      </c>
      <c r="O143" s="34" t="str">
        <f t="shared" si="27"/>
        <v>-</v>
      </c>
      <c r="Q143" s="34" t="str">
        <f t="shared" si="28"/>
        <v>-</v>
      </c>
    </row>
    <row r="144" spans="1:17">
      <c r="A144" s="40">
        <v>2775</v>
      </c>
      <c r="B144" s="10" t="s">
        <v>182</v>
      </c>
      <c r="C144" s="11">
        <v>768990027758</v>
      </c>
      <c r="D144" s="12">
        <v>12</v>
      </c>
      <c r="E144" s="22">
        <v>0.20850507267975002</v>
      </c>
      <c r="F144" s="13">
        <v>23.278500000000001</v>
      </c>
      <c r="G144" s="36" t="s">
        <v>144</v>
      </c>
      <c r="H144" s="19"/>
      <c r="I144" s="41">
        <f t="shared" si="20"/>
        <v>0</v>
      </c>
      <c r="L144" s="32" t="str">
        <f t="shared" si="24"/>
        <v>-</v>
      </c>
      <c r="M144" s="32" t="str">
        <f t="shared" si="25"/>
        <v>-</v>
      </c>
      <c r="N144" s="33" t="str">
        <f t="shared" si="26"/>
        <v>-</v>
      </c>
      <c r="O144" s="34" t="str">
        <f t="shared" si="27"/>
        <v>-</v>
      </c>
      <c r="Q144" s="34" t="str">
        <f t="shared" si="28"/>
        <v>-</v>
      </c>
    </row>
    <row r="145" spans="1:17">
      <c r="A145" s="40">
        <v>30150</v>
      </c>
      <c r="B145" s="10" t="s">
        <v>58</v>
      </c>
      <c r="C145" s="11">
        <v>768990301506</v>
      </c>
      <c r="D145" s="12">
        <v>6</v>
      </c>
      <c r="E145" s="22">
        <v>0.28830331037199997</v>
      </c>
      <c r="F145" s="13">
        <v>15.718499999999999</v>
      </c>
      <c r="G145" s="36" t="s">
        <v>144</v>
      </c>
      <c r="H145" s="19"/>
      <c r="I145" s="41">
        <f t="shared" si="20"/>
        <v>0</v>
      </c>
      <c r="L145" s="32" t="str">
        <f t="shared" si="24"/>
        <v>-</v>
      </c>
      <c r="M145" s="32" t="str">
        <f t="shared" si="25"/>
        <v>-</v>
      </c>
      <c r="N145" s="33" t="str">
        <f t="shared" si="26"/>
        <v>-</v>
      </c>
      <c r="O145" s="34" t="str">
        <f t="shared" si="27"/>
        <v>-</v>
      </c>
      <c r="Q145" s="34" t="str">
        <f t="shared" si="28"/>
        <v>-</v>
      </c>
    </row>
    <row r="146" spans="1:17">
      <c r="A146" s="40">
        <v>2785</v>
      </c>
      <c r="B146" s="10" t="s">
        <v>59</v>
      </c>
      <c r="C146" s="11">
        <v>768990027857</v>
      </c>
      <c r="D146" s="12">
        <v>12</v>
      </c>
      <c r="E146" s="22">
        <v>0.14972895136879164</v>
      </c>
      <c r="F146" s="13">
        <v>25.798499999999997</v>
      </c>
      <c r="G146" s="36" t="s">
        <v>144</v>
      </c>
      <c r="H146" s="19"/>
      <c r="I146" s="41">
        <f t="shared" si="20"/>
        <v>0</v>
      </c>
      <c r="L146" s="32" t="str">
        <f t="shared" si="24"/>
        <v>-</v>
      </c>
      <c r="M146" s="32" t="str">
        <f t="shared" si="25"/>
        <v>-</v>
      </c>
      <c r="N146" s="33" t="str">
        <f t="shared" si="26"/>
        <v>-</v>
      </c>
      <c r="O146" s="34" t="str">
        <f t="shared" si="27"/>
        <v>-</v>
      </c>
      <c r="Q146" s="34" t="str">
        <f t="shared" si="28"/>
        <v>-</v>
      </c>
    </row>
    <row r="147" spans="1:17">
      <c r="A147" s="40">
        <v>31151</v>
      </c>
      <c r="B147" s="10" t="s">
        <v>61</v>
      </c>
      <c r="C147" s="11">
        <v>768990311512</v>
      </c>
      <c r="D147" s="12">
        <v>12</v>
      </c>
      <c r="E147" s="22">
        <v>0.42601962380862501</v>
      </c>
      <c r="F147" s="13">
        <v>13.828499999999998</v>
      </c>
      <c r="G147" s="36" t="s">
        <v>144</v>
      </c>
      <c r="H147" s="19"/>
      <c r="I147" s="41">
        <f t="shared" si="20"/>
        <v>0</v>
      </c>
      <c r="L147" s="32" t="str">
        <f t="shared" si="24"/>
        <v>-</v>
      </c>
      <c r="M147" s="32" t="str">
        <f t="shared" si="25"/>
        <v>-</v>
      </c>
      <c r="N147" s="33" t="str">
        <f t="shared" si="26"/>
        <v>-</v>
      </c>
      <c r="O147" s="34" t="str">
        <f t="shared" si="27"/>
        <v>-</v>
      </c>
      <c r="Q147" s="34" t="str">
        <f t="shared" si="28"/>
        <v>-</v>
      </c>
    </row>
    <row r="148" spans="1:17">
      <c r="A148" s="40">
        <v>51502</v>
      </c>
      <c r="B148" s="10" t="s">
        <v>66</v>
      </c>
      <c r="C148" s="11">
        <v>768990515026</v>
      </c>
      <c r="D148" s="12">
        <v>12</v>
      </c>
      <c r="E148" s="22">
        <v>0.38311734547945836</v>
      </c>
      <c r="F148" s="13">
        <v>26.4285</v>
      </c>
      <c r="G148" s="36" t="s">
        <v>144</v>
      </c>
      <c r="H148" s="19"/>
      <c r="I148" s="41">
        <f t="shared" si="20"/>
        <v>0</v>
      </c>
      <c r="L148" s="32" t="str">
        <f t="shared" si="24"/>
        <v>-</v>
      </c>
      <c r="M148" s="32" t="str">
        <f t="shared" si="25"/>
        <v>-</v>
      </c>
      <c r="N148" s="33" t="str">
        <f t="shared" si="26"/>
        <v>-</v>
      </c>
      <c r="O148" s="34" t="str">
        <f t="shared" si="27"/>
        <v>-</v>
      </c>
      <c r="Q148" s="34" t="str">
        <f t="shared" si="28"/>
        <v>-</v>
      </c>
    </row>
    <row r="149" spans="1:17">
      <c r="A149" s="40">
        <v>50504</v>
      </c>
      <c r="B149" s="10" t="s">
        <v>68</v>
      </c>
      <c r="C149" s="11">
        <v>768990505041</v>
      </c>
      <c r="D149" s="12">
        <v>6</v>
      </c>
      <c r="E149" s="22">
        <v>0.51997561334950004</v>
      </c>
      <c r="F149" s="13">
        <v>16.9785</v>
      </c>
      <c r="G149" s="36" t="s">
        <v>144</v>
      </c>
      <c r="H149" s="19"/>
      <c r="I149" s="41">
        <f t="shared" si="20"/>
        <v>0</v>
      </c>
      <c r="L149" s="32" t="str">
        <f t="shared" si="24"/>
        <v>-</v>
      </c>
      <c r="M149" s="32" t="str">
        <f t="shared" si="25"/>
        <v>-</v>
      </c>
      <c r="N149" s="33" t="str">
        <f t="shared" si="26"/>
        <v>-</v>
      </c>
      <c r="O149" s="34" t="str">
        <f t="shared" si="27"/>
        <v>-</v>
      </c>
      <c r="Q149" s="34" t="str">
        <f t="shared" si="28"/>
        <v>-</v>
      </c>
    </row>
    <row r="150" spans="1:17">
      <c r="A150" s="40">
        <v>53783</v>
      </c>
      <c r="B150" s="10" t="s">
        <v>70</v>
      </c>
      <c r="C150" s="11">
        <v>768990537837</v>
      </c>
      <c r="D150" s="12">
        <v>6</v>
      </c>
      <c r="E150" s="22">
        <v>0.51997561334950004</v>
      </c>
      <c r="F150" s="13">
        <v>21.388500000000001</v>
      </c>
      <c r="G150" s="36" t="s">
        <v>144</v>
      </c>
      <c r="H150" s="19"/>
      <c r="I150" s="41">
        <f t="shared" si="20"/>
        <v>0</v>
      </c>
      <c r="L150" s="32" t="str">
        <f t="shared" si="24"/>
        <v>-</v>
      </c>
      <c r="M150" s="32" t="str">
        <f t="shared" si="25"/>
        <v>-</v>
      </c>
      <c r="N150" s="33" t="str">
        <f t="shared" si="26"/>
        <v>-</v>
      </c>
      <c r="O150" s="34" t="str">
        <f t="shared" si="27"/>
        <v>-</v>
      </c>
      <c r="Q150" s="34" t="str">
        <f t="shared" si="28"/>
        <v>-</v>
      </c>
    </row>
    <row r="151" spans="1:17">
      <c r="A151" s="40">
        <v>53786</v>
      </c>
      <c r="B151" s="10" t="s">
        <v>71</v>
      </c>
      <c r="C151" s="11">
        <v>768990537868</v>
      </c>
      <c r="D151" s="12">
        <v>4</v>
      </c>
      <c r="E151" s="22">
        <v>0.90094784491250002</v>
      </c>
      <c r="F151" s="13">
        <v>34.618499999999997</v>
      </c>
      <c r="G151" s="36" t="s">
        <v>144</v>
      </c>
      <c r="H151" s="19"/>
      <c r="I151" s="41">
        <f t="shared" si="20"/>
        <v>0</v>
      </c>
      <c r="L151" s="32" t="str">
        <f t="shared" si="24"/>
        <v>-</v>
      </c>
      <c r="M151" s="32" t="str">
        <f t="shared" si="25"/>
        <v>-</v>
      </c>
      <c r="N151" s="33" t="str">
        <f t="shared" si="26"/>
        <v>-</v>
      </c>
      <c r="O151" s="34" t="str">
        <f t="shared" si="27"/>
        <v>-</v>
      </c>
      <c r="Q151" s="34" t="str">
        <f t="shared" si="28"/>
        <v>-</v>
      </c>
    </row>
    <row r="152" spans="1:17">
      <c r="A152" s="40">
        <v>30185</v>
      </c>
      <c r="B152" s="10" t="s">
        <v>123</v>
      </c>
      <c r="C152" s="11">
        <v>768990301858</v>
      </c>
      <c r="D152" s="12">
        <v>12</v>
      </c>
      <c r="E152" s="22">
        <v>0.30546422170366666</v>
      </c>
      <c r="F152" s="13">
        <v>16.348499999999998</v>
      </c>
      <c r="G152" s="36" t="s">
        <v>144</v>
      </c>
      <c r="H152" s="19"/>
      <c r="I152" s="41">
        <f t="shared" si="20"/>
        <v>0</v>
      </c>
      <c r="L152" s="32" t="str">
        <f t="shared" si="24"/>
        <v>-</v>
      </c>
      <c r="M152" s="32" t="str">
        <f t="shared" si="25"/>
        <v>-</v>
      </c>
      <c r="N152" s="33" t="str">
        <f t="shared" si="26"/>
        <v>-</v>
      </c>
      <c r="O152" s="34" t="str">
        <f t="shared" si="27"/>
        <v>-</v>
      </c>
      <c r="Q152" s="34" t="str">
        <f t="shared" si="28"/>
        <v>-</v>
      </c>
    </row>
    <row r="153" spans="1:17">
      <c r="A153" s="40">
        <v>1500</v>
      </c>
      <c r="B153" s="10" t="s">
        <v>76</v>
      </c>
      <c r="C153" s="11">
        <v>768990015007</v>
      </c>
      <c r="D153" s="12">
        <v>12</v>
      </c>
      <c r="E153" s="22">
        <v>9.3955989540875015E-2</v>
      </c>
      <c r="F153" s="13">
        <v>40.288499999999999</v>
      </c>
      <c r="G153" s="36" t="s">
        <v>144</v>
      </c>
      <c r="H153" s="19"/>
      <c r="I153" s="41">
        <f t="shared" si="20"/>
        <v>0</v>
      </c>
      <c r="L153" s="32" t="str">
        <f t="shared" si="24"/>
        <v>-</v>
      </c>
      <c r="M153" s="32" t="str">
        <f t="shared" si="25"/>
        <v>-</v>
      </c>
      <c r="N153" s="33" t="str">
        <f t="shared" si="26"/>
        <v>-</v>
      </c>
      <c r="O153" s="34" t="str">
        <f t="shared" si="27"/>
        <v>-</v>
      </c>
      <c r="Q153" s="34" t="str">
        <f t="shared" si="28"/>
        <v>-</v>
      </c>
    </row>
    <row r="154" spans="1:17">
      <c r="A154" s="40">
        <v>1511</v>
      </c>
      <c r="B154" s="10" t="s">
        <v>77</v>
      </c>
      <c r="C154" s="11">
        <v>768990015113</v>
      </c>
      <c r="D154" s="12">
        <v>12</v>
      </c>
      <c r="E154" s="22">
        <v>0.27114239904033338</v>
      </c>
      <c r="F154" s="13">
        <v>22.0185</v>
      </c>
      <c r="G154" s="36" t="s">
        <v>144</v>
      </c>
      <c r="H154" s="19"/>
      <c r="I154" s="41">
        <f t="shared" si="20"/>
        <v>0</v>
      </c>
      <c r="L154" s="32" t="str">
        <f t="shared" si="24"/>
        <v>-</v>
      </c>
      <c r="M154" s="32" t="str">
        <f t="shared" si="25"/>
        <v>-</v>
      </c>
      <c r="N154" s="33" t="str">
        <f t="shared" si="26"/>
        <v>-</v>
      </c>
      <c r="O154" s="34" t="str">
        <f t="shared" si="27"/>
        <v>-</v>
      </c>
      <c r="Q154" s="34" t="str">
        <f t="shared" si="28"/>
        <v>-</v>
      </c>
    </row>
    <row r="155" spans="1:17">
      <c r="A155" s="40">
        <v>1839</v>
      </c>
      <c r="B155" s="10" t="s">
        <v>135</v>
      </c>
      <c r="C155" s="11">
        <v>768990018398</v>
      </c>
      <c r="D155" s="12">
        <v>12</v>
      </c>
      <c r="E155" s="22">
        <v>0.11540712870545831</v>
      </c>
      <c r="F155" s="13">
        <v>26.4285</v>
      </c>
      <c r="G155" s="36" t="s">
        <v>144</v>
      </c>
      <c r="H155" s="19"/>
      <c r="I155" s="41">
        <f t="shared" si="20"/>
        <v>0</v>
      </c>
      <c r="L155" s="32" t="str">
        <f t="shared" si="24"/>
        <v>-</v>
      </c>
      <c r="M155" s="32" t="str">
        <f t="shared" si="25"/>
        <v>-</v>
      </c>
      <c r="N155" s="33" t="str">
        <f t="shared" si="26"/>
        <v>-</v>
      </c>
      <c r="O155" s="34" t="str">
        <f t="shared" si="27"/>
        <v>-</v>
      </c>
      <c r="Q155" s="34" t="str">
        <f t="shared" si="28"/>
        <v>-</v>
      </c>
    </row>
    <row r="156" spans="1:17">
      <c r="A156" s="40">
        <v>1530</v>
      </c>
      <c r="B156" s="10" t="s">
        <v>106</v>
      </c>
      <c r="C156" s="11">
        <v>768990015304</v>
      </c>
      <c r="D156" s="12">
        <v>12</v>
      </c>
      <c r="E156" s="22">
        <v>8.1943351608708345E-2</v>
      </c>
      <c r="F156" s="13">
        <v>9.4184999999999981</v>
      </c>
      <c r="G156" s="36" t="s">
        <v>144</v>
      </c>
      <c r="H156" s="19"/>
      <c r="I156" s="41">
        <f t="shared" si="20"/>
        <v>0</v>
      </c>
      <c r="L156" s="32" t="str">
        <f t="shared" si="24"/>
        <v>-</v>
      </c>
      <c r="M156" s="32" t="str">
        <f t="shared" si="25"/>
        <v>-</v>
      </c>
      <c r="N156" s="33" t="str">
        <f t="shared" si="26"/>
        <v>-</v>
      </c>
      <c r="O156" s="34" t="str">
        <f t="shared" si="27"/>
        <v>-</v>
      </c>
      <c r="Q156" s="34" t="str">
        <f t="shared" si="28"/>
        <v>-</v>
      </c>
    </row>
    <row r="157" spans="1:17">
      <c r="A157" s="40">
        <v>30161</v>
      </c>
      <c r="B157" s="10" t="s">
        <v>81</v>
      </c>
      <c r="C157" s="11">
        <v>768990301612</v>
      </c>
      <c r="D157" s="12">
        <v>12</v>
      </c>
      <c r="E157" s="22">
        <v>0.54743307148016662</v>
      </c>
      <c r="F157" s="13">
        <v>14.458499999999999</v>
      </c>
      <c r="G157" s="36" t="s">
        <v>144</v>
      </c>
      <c r="H157" s="19"/>
      <c r="I157" s="41">
        <f t="shared" si="20"/>
        <v>0</v>
      </c>
      <c r="L157" s="32" t="str">
        <f t="shared" si="24"/>
        <v>-</v>
      </c>
      <c r="M157" s="32" t="str">
        <f t="shared" si="25"/>
        <v>-</v>
      </c>
      <c r="N157" s="33" t="str">
        <f t="shared" si="26"/>
        <v>-</v>
      </c>
      <c r="O157" s="34" t="str">
        <f t="shared" si="27"/>
        <v>-</v>
      </c>
      <c r="Q157" s="34" t="str">
        <f t="shared" si="28"/>
        <v>-</v>
      </c>
    </row>
    <row r="158" spans="1:17">
      <c r="A158" s="40">
        <v>30166</v>
      </c>
      <c r="B158" s="10" t="s">
        <v>124</v>
      </c>
      <c r="C158" s="11">
        <v>768990301668</v>
      </c>
      <c r="D158" s="12">
        <v>12</v>
      </c>
      <c r="E158" s="22">
        <v>0.28058090027275007</v>
      </c>
      <c r="F158" s="13">
        <v>12.5685</v>
      </c>
      <c r="G158" s="36" t="s">
        <v>144</v>
      </c>
      <c r="H158" s="19"/>
      <c r="I158" s="41">
        <f t="shared" si="20"/>
        <v>0</v>
      </c>
      <c r="L158" s="32" t="str">
        <f t="shared" si="24"/>
        <v>-</v>
      </c>
      <c r="M158" s="32" t="str">
        <f t="shared" si="25"/>
        <v>-</v>
      </c>
      <c r="N158" s="33" t="str">
        <f t="shared" si="26"/>
        <v>-</v>
      </c>
      <c r="O158" s="34" t="str">
        <f t="shared" si="27"/>
        <v>-</v>
      </c>
      <c r="Q158" s="34" t="str">
        <f t="shared" si="28"/>
        <v>-</v>
      </c>
    </row>
    <row r="159" spans="1:17">
      <c r="A159" s="40">
        <v>31141</v>
      </c>
      <c r="B159" s="10" t="s">
        <v>84</v>
      </c>
      <c r="C159" s="11">
        <v>768990311413</v>
      </c>
      <c r="D159" s="12">
        <v>12</v>
      </c>
      <c r="E159" s="22">
        <v>0.47192506162083336</v>
      </c>
      <c r="F159" s="13">
        <v>13.828499999999998</v>
      </c>
      <c r="G159" s="36" t="s">
        <v>144</v>
      </c>
      <c r="H159" s="19"/>
      <c r="I159" s="41">
        <f t="shared" si="20"/>
        <v>0</v>
      </c>
      <c r="L159" s="32" t="str">
        <f t="shared" si="24"/>
        <v>-</v>
      </c>
      <c r="M159" s="32" t="str">
        <f t="shared" si="25"/>
        <v>-</v>
      </c>
      <c r="N159" s="33" t="str">
        <f t="shared" si="26"/>
        <v>-</v>
      </c>
      <c r="O159" s="34" t="str">
        <f t="shared" si="27"/>
        <v>-</v>
      </c>
      <c r="Q159" s="34" t="str">
        <f t="shared" si="28"/>
        <v>-</v>
      </c>
    </row>
    <row r="160" spans="1:17">
      <c r="A160" s="40">
        <v>1532</v>
      </c>
      <c r="B160" s="10" t="s">
        <v>87</v>
      </c>
      <c r="C160" s="11">
        <v>768990015328</v>
      </c>
      <c r="D160" s="12">
        <v>12</v>
      </c>
      <c r="E160" s="22">
        <v>6.7785599760083345E-2</v>
      </c>
      <c r="F160" s="13">
        <v>13.198499999999996</v>
      </c>
      <c r="G160" s="36" t="s">
        <v>144</v>
      </c>
      <c r="H160" s="19"/>
      <c r="I160" s="41">
        <f t="shared" si="20"/>
        <v>0</v>
      </c>
      <c r="L160" s="32" t="str">
        <f t="shared" si="24"/>
        <v>-</v>
      </c>
      <c r="M160" s="32" t="str">
        <f t="shared" si="25"/>
        <v>-</v>
      </c>
      <c r="N160" s="33" t="str">
        <f t="shared" si="26"/>
        <v>-</v>
      </c>
      <c r="O160" s="34" t="str">
        <f t="shared" si="27"/>
        <v>-</v>
      </c>
      <c r="Q160" s="34" t="str">
        <f t="shared" si="28"/>
        <v>-</v>
      </c>
    </row>
    <row r="161" spans="1:17">
      <c r="A161" s="40">
        <v>30186</v>
      </c>
      <c r="B161" s="10" t="s">
        <v>89</v>
      </c>
      <c r="C161" s="11">
        <v>768990301865</v>
      </c>
      <c r="D161" s="12">
        <v>12</v>
      </c>
      <c r="E161" s="22">
        <v>0.28615819645554169</v>
      </c>
      <c r="F161" s="13">
        <v>18.868499999999997</v>
      </c>
      <c r="G161" s="36" t="s">
        <v>144</v>
      </c>
      <c r="H161" s="19"/>
      <c r="I161" s="41">
        <f t="shared" si="20"/>
        <v>0</v>
      </c>
      <c r="L161" s="32" t="str">
        <f t="shared" si="24"/>
        <v>-</v>
      </c>
      <c r="M161" s="32" t="str">
        <f t="shared" si="25"/>
        <v>-</v>
      </c>
      <c r="N161" s="33" t="str">
        <f t="shared" si="26"/>
        <v>-</v>
      </c>
      <c r="O161" s="34" t="str">
        <f t="shared" si="27"/>
        <v>-</v>
      </c>
      <c r="Q161" s="34" t="str">
        <f t="shared" si="28"/>
        <v>-</v>
      </c>
    </row>
    <row r="162" spans="1:17">
      <c r="A162" s="40">
        <v>1666</v>
      </c>
      <c r="B162" s="10" t="s">
        <v>126</v>
      </c>
      <c r="C162" s="11">
        <v>768990016660</v>
      </c>
      <c r="D162" s="12">
        <v>42</v>
      </c>
      <c r="E162" s="22">
        <v>7.4772542230833322E-2</v>
      </c>
      <c r="F162" s="13">
        <v>14.458499999999999</v>
      </c>
      <c r="G162" s="36" t="s">
        <v>144</v>
      </c>
      <c r="H162" s="19"/>
      <c r="I162" s="41">
        <f t="shared" si="20"/>
        <v>0</v>
      </c>
      <c r="L162" s="32" t="str">
        <f t="shared" si="24"/>
        <v>-</v>
      </c>
      <c r="M162" s="32" t="str">
        <f t="shared" si="25"/>
        <v>-</v>
      </c>
      <c r="N162" s="33" t="str">
        <f t="shared" si="26"/>
        <v>-</v>
      </c>
      <c r="O162" s="34" t="str">
        <f t="shared" si="27"/>
        <v>-</v>
      </c>
      <c r="Q162" s="34" t="str">
        <f t="shared" si="28"/>
        <v>-</v>
      </c>
    </row>
    <row r="163" spans="1:17">
      <c r="A163" s="40">
        <v>1552</v>
      </c>
      <c r="B163" s="10" t="s">
        <v>129</v>
      </c>
      <c r="C163" s="11">
        <v>768990015526</v>
      </c>
      <c r="D163" s="12">
        <v>12</v>
      </c>
      <c r="E163" s="22">
        <v>0.19563438918099998</v>
      </c>
      <c r="F163" s="13">
        <v>29.578500000000002</v>
      </c>
      <c r="G163" s="36" t="s">
        <v>144</v>
      </c>
      <c r="H163" s="19"/>
      <c r="I163" s="41">
        <f t="shared" ref="I163:I194" si="29">F163*H163</f>
        <v>0</v>
      </c>
      <c r="L163" s="32" t="str">
        <f t="shared" si="24"/>
        <v>-</v>
      </c>
      <c r="M163" s="32" t="str">
        <f t="shared" si="25"/>
        <v>-</v>
      </c>
      <c r="N163" s="33" t="str">
        <f t="shared" si="26"/>
        <v>-</v>
      </c>
      <c r="O163" s="34" t="str">
        <f t="shared" si="27"/>
        <v>-</v>
      </c>
      <c r="Q163" s="34" t="str">
        <f t="shared" si="28"/>
        <v>-</v>
      </c>
    </row>
    <row r="164" spans="1:17">
      <c r="A164" s="40">
        <v>1555</v>
      </c>
      <c r="B164" s="10" t="s">
        <v>130</v>
      </c>
      <c r="C164" s="11">
        <v>768990015557</v>
      </c>
      <c r="D164" s="12">
        <v>12</v>
      </c>
      <c r="E164" s="22">
        <v>0.23167230297750002</v>
      </c>
      <c r="F164" s="13">
        <v>16.978499999999997</v>
      </c>
      <c r="G164" s="36" t="s">
        <v>144</v>
      </c>
      <c r="H164" s="19"/>
      <c r="I164" s="41">
        <f t="shared" si="29"/>
        <v>0</v>
      </c>
      <c r="L164" s="32" t="str">
        <f t="shared" si="24"/>
        <v>-</v>
      </c>
      <c r="M164" s="32" t="str">
        <f t="shared" si="25"/>
        <v>-</v>
      </c>
      <c r="N164" s="33" t="str">
        <f t="shared" si="26"/>
        <v>-</v>
      </c>
      <c r="O164" s="34" t="str">
        <f t="shared" si="27"/>
        <v>-</v>
      </c>
      <c r="Q164" s="34" t="str">
        <f t="shared" si="28"/>
        <v>-</v>
      </c>
    </row>
    <row r="165" spans="1:17">
      <c r="A165" s="40">
        <v>30100</v>
      </c>
      <c r="B165" s="10" t="s">
        <v>132</v>
      </c>
      <c r="C165" s="11">
        <v>768990301001</v>
      </c>
      <c r="D165" s="12">
        <v>12</v>
      </c>
      <c r="E165" s="22">
        <v>0.28873233315529173</v>
      </c>
      <c r="F165" s="13">
        <v>14.458499999999999</v>
      </c>
      <c r="G165" s="36" t="s">
        <v>144</v>
      </c>
      <c r="H165" s="19"/>
      <c r="I165" s="41">
        <f t="shared" si="29"/>
        <v>0</v>
      </c>
      <c r="L165" s="32" t="str">
        <f t="shared" si="24"/>
        <v>-</v>
      </c>
      <c r="M165" s="32" t="str">
        <f t="shared" si="25"/>
        <v>-</v>
      </c>
      <c r="N165" s="33" t="str">
        <f t="shared" si="26"/>
        <v>-</v>
      </c>
      <c r="O165" s="34" t="str">
        <f t="shared" si="27"/>
        <v>-</v>
      </c>
      <c r="Q165" s="34" t="str">
        <f t="shared" si="28"/>
        <v>-</v>
      </c>
    </row>
    <row r="166" spans="1:17">
      <c r="A166" s="40">
        <v>1738</v>
      </c>
      <c r="B166" s="10" t="s">
        <v>185</v>
      </c>
      <c r="C166" s="11">
        <v>768990017384</v>
      </c>
      <c r="D166" s="12">
        <v>24</v>
      </c>
      <c r="E166" s="22">
        <v>0.12591818689610418</v>
      </c>
      <c r="F166" s="13">
        <v>17.608499999999999</v>
      </c>
      <c r="G166" s="36" t="s">
        <v>144</v>
      </c>
      <c r="H166" s="19"/>
      <c r="I166" s="41">
        <f t="shared" si="29"/>
        <v>0</v>
      </c>
      <c r="L166" s="32" t="str">
        <f t="shared" si="24"/>
        <v>-</v>
      </c>
      <c r="M166" s="32" t="str">
        <f t="shared" si="25"/>
        <v>-</v>
      </c>
      <c r="N166" s="33" t="str">
        <f t="shared" si="26"/>
        <v>-</v>
      </c>
      <c r="O166" s="34" t="str">
        <f t="shared" si="27"/>
        <v>-</v>
      </c>
      <c r="Q166" s="34" t="str">
        <f t="shared" si="28"/>
        <v>-</v>
      </c>
    </row>
    <row r="167" spans="1:17">
      <c r="A167" s="40">
        <v>1739</v>
      </c>
      <c r="B167" s="10" t="s">
        <v>186</v>
      </c>
      <c r="C167" s="11">
        <v>768990017391</v>
      </c>
      <c r="D167" s="12">
        <v>12</v>
      </c>
      <c r="E167" s="22">
        <v>0.13256804003712502</v>
      </c>
      <c r="F167" s="13">
        <v>24.538499999999999</v>
      </c>
      <c r="G167" s="36" t="s">
        <v>144</v>
      </c>
      <c r="H167" s="19"/>
      <c r="I167" s="41">
        <f t="shared" si="29"/>
        <v>0</v>
      </c>
      <c r="L167" s="32" t="str">
        <f t="shared" si="24"/>
        <v>-</v>
      </c>
      <c r="M167" s="32" t="str">
        <f t="shared" si="25"/>
        <v>-</v>
      </c>
      <c r="N167" s="33" t="str">
        <f t="shared" si="26"/>
        <v>-</v>
      </c>
      <c r="O167" s="34" t="str">
        <f t="shared" si="27"/>
        <v>-</v>
      </c>
      <c r="Q167" s="34" t="str">
        <f t="shared" si="28"/>
        <v>-</v>
      </c>
    </row>
    <row r="168" spans="1:17" ht="18.600000000000001" thickBot="1">
      <c r="A168" s="43">
        <v>30187</v>
      </c>
      <c r="B168" s="44" t="s">
        <v>187</v>
      </c>
      <c r="C168" s="45">
        <v>768990301872</v>
      </c>
      <c r="D168" s="46">
        <v>12</v>
      </c>
      <c r="E168" s="47">
        <v>0.19263122969795837</v>
      </c>
      <c r="F168" s="48">
        <v>11.308499999999999</v>
      </c>
      <c r="G168" s="49" t="s">
        <v>144</v>
      </c>
      <c r="H168" s="50"/>
      <c r="I168" s="51">
        <f t="shared" si="29"/>
        <v>0</v>
      </c>
      <c r="L168" s="32" t="str">
        <f t="shared" si="24"/>
        <v>-</v>
      </c>
      <c r="M168" s="32" t="str">
        <f t="shared" si="25"/>
        <v>-</v>
      </c>
      <c r="N168" s="33" t="str">
        <f t="shared" si="26"/>
        <v>-</v>
      </c>
      <c r="O168" s="34" t="str">
        <f t="shared" si="27"/>
        <v>-</v>
      </c>
      <c r="Q168" s="34" t="str">
        <f t="shared" si="28"/>
        <v>-</v>
      </c>
    </row>
    <row r="169" spans="1:17">
      <c r="L169" s="32"/>
      <c r="M169" s="32"/>
      <c r="N169" s="33"/>
      <c r="O169" s="34"/>
      <c r="Q169" s="34"/>
    </row>
    <row r="170" spans="1:17">
      <c r="L170" s="32"/>
      <c r="M170" s="32"/>
      <c r="N170" s="33"/>
      <c r="O170" s="34"/>
      <c r="Q170" s="34"/>
    </row>
    <row r="171" spans="1:17" ht="18.600000000000001" thickBot="1">
      <c r="L171" s="32"/>
      <c r="M171" s="32"/>
      <c r="N171" s="33"/>
      <c r="O171" s="34"/>
      <c r="Q171" s="34"/>
    </row>
    <row r="172" spans="1:17">
      <c r="B172" s="55" t="e" vm="1">
        <v>#VALUE!</v>
      </c>
      <c r="L172" s="32"/>
      <c r="M172" s="32"/>
      <c r="N172" s="33"/>
      <c r="O172" s="34"/>
      <c r="Q172" s="34"/>
    </row>
    <row r="173" spans="1:17" ht="18.600000000000001" thickBot="1">
      <c r="B173" s="56"/>
      <c r="L173" s="32"/>
      <c r="M173" s="32"/>
      <c r="N173" s="33"/>
      <c r="O173" s="34"/>
      <c r="Q173" s="34"/>
    </row>
    <row r="174" spans="1:17">
      <c r="B174" s="1" t="s">
        <v>97</v>
      </c>
      <c r="L174" s="32"/>
      <c r="M174" s="32"/>
      <c r="N174" s="33"/>
      <c r="O174" s="34"/>
      <c r="Q174" s="34"/>
    </row>
    <row r="175" spans="1:17">
      <c r="B175" s="2" t="s">
        <v>98</v>
      </c>
      <c r="L175" s="32"/>
      <c r="M175" s="32"/>
      <c r="N175" s="33"/>
      <c r="O175" s="34"/>
      <c r="Q175" s="34"/>
    </row>
    <row r="176" spans="1:17" ht="18.600000000000001" thickBot="1">
      <c r="B176" s="3" t="s">
        <v>99</v>
      </c>
      <c r="L176" s="32"/>
      <c r="M176" s="32"/>
      <c r="N176" s="33"/>
      <c r="O176" s="34"/>
      <c r="Q176" s="34"/>
    </row>
    <row r="177" spans="2:17" ht="18.600000000000001" thickBot="1">
      <c r="B177" s="3" t="s">
        <v>100</v>
      </c>
      <c r="L177" s="32"/>
      <c r="M177" s="32"/>
      <c r="N177" s="33"/>
      <c r="O177" s="34"/>
      <c r="Q177" s="34"/>
    </row>
    <row r="178" spans="2:17" ht="18.600000000000001" thickBot="1">
      <c r="B178" s="3" t="s">
        <v>101</v>
      </c>
      <c r="L178" s="32"/>
      <c r="M178" s="32"/>
      <c r="N178" s="33"/>
      <c r="O178" s="34"/>
      <c r="Q178" s="34"/>
    </row>
    <row r="179" spans="2:17">
      <c r="L179" s="32"/>
      <c r="M179" s="32"/>
      <c r="N179" s="33"/>
      <c r="O179" s="34"/>
      <c r="Q179" s="34"/>
    </row>
    <row r="180" spans="2:17">
      <c r="L180" s="32"/>
      <c r="M180" s="32"/>
      <c r="N180" s="33"/>
      <c r="O180" s="34"/>
      <c r="Q180" s="34"/>
    </row>
    <row r="181" spans="2:17">
      <c r="L181" s="32"/>
      <c r="M181" s="32"/>
      <c r="N181" s="33"/>
      <c r="O181" s="34"/>
      <c r="Q181" s="34"/>
    </row>
    <row r="182" spans="2:17">
      <c r="L182" s="32"/>
      <c r="M182" s="32"/>
      <c r="N182" s="33"/>
      <c r="O182" s="34"/>
      <c r="Q182" s="34"/>
    </row>
    <row r="183" spans="2:17">
      <c r="L183" s="32"/>
      <c r="M183" s="32"/>
      <c r="N183" s="33"/>
      <c r="O183" s="34"/>
      <c r="Q183" s="34"/>
    </row>
    <row r="184" spans="2:17">
      <c r="L184" s="32"/>
      <c r="M184" s="32"/>
      <c r="N184" s="33"/>
      <c r="O184" s="34"/>
      <c r="Q184" s="34"/>
    </row>
    <row r="185" spans="2:17">
      <c r="L185" s="32"/>
      <c r="M185" s="32"/>
      <c r="N185" s="33"/>
      <c r="O185" s="34"/>
      <c r="Q185" s="34"/>
    </row>
    <row r="186" spans="2:17">
      <c r="L186" s="32"/>
      <c r="M186" s="32"/>
      <c r="N186" s="33"/>
      <c r="O186" s="34"/>
      <c r="Q186" s="34"/>
    </row>
    <row r="187" spans="2:17">
      <c r="L187" s="32"/>
      <c r="M187" s="32"/>
      <c r="N187" s="33"/>
      <c r="O187" s="34"/>
      <c r="Q187" s="34"/>
    </row>
    <row r="188" spans="2:17">
      <c r="L188" s="32"/>
      <c r="M188" s="32"/>
      <c r="N188" s="33"/>
      <c r="O188" s="34"/>
      <c r="Q188" s="34"/>
    </row>
    <row r="189" spans="2:17">
      <c r="L189" s="32"/>
      <c r="M189" s="32"/>
      <c r="N189" s="33"/>
      <c r="O189" s="34"/>
      <c r="Q189" s="34"/>
    </row>
    <row r="190" spans="2:17">
      <c r="L190" s="32"/>
      <c r="M190" s="32"/>
      <c r="N190" s="33"/>
      <c r="O190" s="34"/>
      <c r="Q190" s="34"/>
    </row>
    <row r="191" spans="2:17">
      <c r="L191" s="32"/>
      <c r="M191" s="32"/>
      <c r="N191" s="33"/>
      <c r="O191" s="34"/>
      <c r="Q191" s="34"/>
    </row>
    <row r="192" spans="2:17">
      <c r="L192" s="32"/>
      <c r="M192" s="32"/>
      <c r="N192" s="33"/>
      <c r="O192" s="34"/>
      <c r="Q192" s="34"/>
    </row>
    <row r="193" spans="12:17">
      <c r="L193" s="32"/>
      <c r="M193" s="32"/>
      <c r="N193" s="33"/>
      <c r="O193" s="34"/>
      <c r="Q193" s="34"/>
    </row>
    <row r="194" spans="12:17">
      <c r="L194" s="32"/>
      <c r="M194" s="32"/>
      <c r="N194" s="33"/>
      <c r="O194" s="34"/>
      <c r="Q194" s="34"/>
    </row>
    <row r="195" spans="12:17">
      <c r="L195" s="32"/>
      <c r="M195" s="32"/>
      <c r="N195" s="33"/>
      <c r="O195" s="34"/>
      <c r="Q195" s="34"/>
    </row>
    <row r="196" spans="12:17">
      <c r="L196" s="32"/>
      <c r="M196" s="32"/>
      <c r="N196" s="33"/>
      <c r="O196" s="34"/>
      <c r="Q196" s="34"/>
    </row>
    <row r="197" spans="12:17">
      <c r="L197" s="32"/>
      <c r="M197" s="32"/>
      <c r="N197" s="33"/>
      <c r="O197" s="34"/>
      <c r="Q197" s="34"/>
    </row>
    <row r="198" spans="12:17">
      <c r="L198" s="32"/>
      <c r="M198" s="32"/>
      <c r="N198" s="33"/>
      <c r="O198" s="34"/>
      <c r="Q198" s="34"/>
    </row>
    <row r="199" spans="12:17">
      <c r="L199" s="32"/>
      <c r="M199" s="32"/>
      <c r="N199" s="33"/>
      <c r="O199" s="34"/>
      <c r="Q199" s="34"/>
    </row>
    <row r="200" spans="12:17">
      <c r="L200" s="32"/>
      <c r="M200" s="32"/>
      <c r="N200" s="33"/>
      <c r="O200" s="34"/>
      <c r="Q200" s="34"/>
    </row>
    <row r="201" spans="12:17">
      <c r="L201" s="32"/>
      <c r="M201" s="32"/>
      <c r="N201" s="33"/>
      <c r="O201" s="34"/>
      <c r="Q201" s="34"/>
    </row>
    <row r="202" spans="12:17">
      <c r="L202" s="32"/>
      <c r="M202" s="32"/>
      <c r="N202" s="33"/>
      <c r="O202" s="34"/>
      <c r="Q202" s="34"/>
    </row>
    <row r="203" spans="12:17">
      <c r="L203" s="32"/>
      <c r="M203" s="32"/>
      <c r="N203" s="33"/>
      <c r="O203" s="34"/>
      <c r="Q203" s="34"/>
    </row>
    <row r="204" spans="12:17">
      <c r="L204" s="32"/>
      <c r="M204" s="32"/>
      <c r="N204" s="33"/>
      <c r="O204" s="34"/>
      <c r="Q204" s="34"/>
    </row>
    <row r="205" spans="12:17">
      <c r="L205" s="32"/>
      <c r="M205" s="32"/>
      <c r="N205" s="33"/>
      <c r="O205" s="34"/>
      <c r="Q205" s="34"/>
    </row>
    <row r="206" spans="12:17">
      <c r="L206" s="32"/>
      <c r="M206" s="32"/>
      <c r="N206" s="33"/>
      <c r="O206" s="34"/>
      <c r="Q206" s="34"/>
    </row>
    <row r="207" spans="12:17">
      <c r="L207" s="32"/>
      <c r="M207" s="32"/>
      <c r="N207" s="33"/>
      <c r="O207" s="34"/>
      <c r="Q207" s="34"/>
    </row>
    <row r="208" spans="12:17">
      <c r="L208" s="32"/>
      <c r="M208" s="32"/>
      <c r="N208" s="33"/>
      <c r="O208" s="34"/>
      <c r="Q208" s="34"/>
    </row>
    <row r="209" spans="12:17">
      <c r="L209" s="32"/>
      <c r="M209" s="32"/>
      <c r="N209" s="33"/>
      <c r="O209" s="34"/>
      <c r="Q209" s="34"/>
    </row>
    <row r="210" spans="12:17">
      <c r="L210" s="32"/>
      <c r="M210" s="32"/>
      <c r="N210" s="33"/>
      <c r="O210" s="34"/>
      <c r="Q210" s="34"/>
    </row>
    <row r="211" spans="12:17">
      <c r="L211" s="32"/>
      <c r="M211" s="32"/>
      <c r="N211" s="33"/>
      <c r="O211" s="34"/>
      <c r="Q211" s="34"/>
    </row>
    <row r="212" spans="12:17">
      <c r="L212" s="32"/>
      <c r="M212" s="32"/>
      <c r="N212" s="33"/>
      <c r="O212" s="34"/>
      <c r="Q212" s="34"/>
    </row>
    <row r="213" spans="12:17">
      <c r="L213" s="32"/>
      <c r="M213" s="32"/>
      <c r="N213" s="33"/>
      <c r="O213" s="34"/>
      <c r="Q213" s="34"/>
    </row>
    <row r="214" spans="12:17">
      <c r="L214" s="32"/>
      <c r="M214" s="32"/>
      <c r="N214" s="33"/>
      <c r="O214" s="34"/>
      <c r="Q214" s="34"/>
    </row>
    <row r="215" spans="12:17">
      <c r="L215" s="32"/>
      <c r="M215" s="32"/>
      <c r="N215" s="33"/>
      <c r="O215" s="34"/>
      <c r="Q215" s="34"/>
    </row>
    <row r="216" spans="12:17">
      <c r="L216" s="32"/>
      <c r="M216" s="32"/>
      <c r="N216" s="33"/>
      <c r="O216" s="34"/>
      <c r="Q216" s="34"/>
    </row>
    <row r="217" spans="12:17">
      <c r="L217" s="32"/>
      <c r="M217" s="32"/>
      <c r="N217" s="33"/>
      <c r="O217" s="34"/>
      <c r="Q217" s="34"/>
    </row>
    <row r="218" spans="12:17">
      <c r="L218" s="32"/>
      <c r="M218" s="32"/>
      <c r="N218" s="33"/>
      <c r="O218" s="34"/>
      <c r="Q218" s="34"/>
    </row>
    <row r="219" spans="12:17">
      <c r="L219" s="32"/>
      <c r="M219" s="32"/>
      <c r="N219" s="33"/>
      <c r="O219" s="34"/>
      <c r="Q219" s="34"/>
    </row>
    <row r="220" spans="12:17">
      <c r="L220" s="32"/>
      <c r="M220" s="32"/>
      <c r="N220" s="33"/>
      <c r="O220" s="34"/>
      <c r="Q220" s="34"/>
    </row>
    <row r="221" spans="12:17">
      <c r="L221" s="32"/>
      <c r="M221" s="32"/>
      <c r="N221" s="33"/>
      <c r="O221" s="34"/>
      <c r="Q221" s="34"/>
    </row>
    <row r="222" spans="12:17">
      <c r="L222" s="32"/>
      <c r="M222" s="32"/>
      <c r="N222" s="33"/>
      <c r="O222" s="34"/>
      <c r="Q222" s="34"/>
    </row>
    <row r="223" spans="12:17">
      <c r="L223" s="32"/>
      <c r="M223" s="32"/>
      <c r="N223" s="33"/>
      <c r="O223" s="34"/>
      <c r="Q223" s="34"/>
    </row>
    <row r="224" spans="12:17">
      <c r="L224" s="32"/>
      <c r="M224" s="32"/>
      <c r="N224" s="33"/>
      <c r="O224" s="34"/>
      <c r="Q224" s="34"/>
    </row>
    <row r="225" spans="12:17">
      <c r="L225" s="32"/>
      <c r="M225" s="32"/>
      <c r="N225" s="33"/>
      <c r="O225" s="34"/>
      <c r="Q225" s="34"/>
    </row>
    <row r="226" spans="12:17">
      <c r="L226" s="32"/>
      <c r="M226" s="32"/>
      <c r="N226" s="33"/>
      <c r="O226" s="34"/>
      <c r="Q226" s="34"/>
    </row>
    <row r="227" spans="12:17">
      <c r="L227" s="32"/>
      <c r="M227" s="32"/>
      <c r="N227" s="33"/>
      <c r="O227" s="34"/>
      <c r="Q227" s="34"/>
    </row>
    <row r="228" spans="12:17">
      <c r="L228" s="32"/>
      <c r="M228" s="32"/>
      <c r="N228" s="33"/>
      <c r="O228" s="34"/>
      <c r="Q228" s="34"/>
    </row>
    <row r="229" spans="12:17">
      <c r="L229" s="32"/>
      <c r="M229" s="32"/>
      <c r="N229" s="33"/>
      <c r="O229" s="34"/>
      <c r="Q229" s="34"/>
    </row>
    <row r="230" spans="12:17">
      <c r="L230" s="32"/>
      <c r="M230" s="32"/>
      <c r="N230" s="33"/>
      <c r="O230" s="34"/>
      <c r="Q230" s="34"/>
    </row>
    <row r="231" spans="12:17">
      <c r="L231" s="32"/>
      <c r="M231" s="32"/>
      <c r="N231" s="33"/>
      <c r="O231" s="34"/>
      <c r="Q231" s="34"/>
    </row>
    <row r="232" spans="12:17">
      <c r="L232" s="32"/>
      <c r="M232" s="32"/>
      <c r="N232" s="33"/>
      <c r="O232" s="34"/>
      <c r="Q232" s="34"/>
    </row>
    <row r="233" spans="12:17">
      <c r="L233" s="32"/>
      <c r="M233" s="32"/>
      <c r="N233" s="33"/>
      <c r="O233" s="34"/>
      <c r="Q233" s="34"/>
    </row>
    <row r="234" spans="12:17">
      <c r="L234" s="32"/>
      <c r="M234" s="32"/>
      <c r="N234" s="33"/>
      <c r="O234" s="34"/>
      <c r="Q234" s="34"/>
    </row>
    <row r="235" spans="12:17">
      <c r="L235" s="32"/>
      <c r="M235" s="32"/>
      <c r="N235" s="33"/>
      <c r="O235" s="34"/>
      <c r="Q235" s="34"/>
    </row>
    <row r="236" spans="12:17">
      <c r="L236" s="32"/>
      <c r="M236" s="32"/>
      <c r="N236" s="33"/>
      <c r="O236" s="34"/>
      <c r="Q236" s="34"/>
    </row>
    <row r="237" spans="12:17">
      <c r="L237" s="32"/>
      <c r="M237" s="32"/>
      <c r="N237" s="33"/>
      <c r="O237" s="34"/>
      <c r="Q237" s="34"/>
    </row>
    <row r="238" spans="12:17">
      <c r="L238" s="32"/>
      <c r="M238" s="32"/>
      <c r="N238" s="33"/>
      <c r="O238" s="34"/>
      <c r="Q238" s="34"/>
    </row>
    <row r="239" spans="12:17">
      <c r="L239" s="32"/>
      <c r="M239" s="32"/>
      <c r="N239" s="33"/>
      <c r="O239" s="34"/>
      <c r="Q239" s="34"/>
    </row>
    <row r="240" spans="12:17">
      <c r="L240" s="32"/>
      <c r="M240" s="32"/>
      <c r="N240" s="33"/>
      <c r="O240" s="34"/>
      <c r="Q240" s="34"/>
    </row>
    <row r="241" spans="12:17">
      <c r="L241" s="32"/>
      <c r="M241" s="32"/>
      <c r="N241" s="33"/>
      <c r="O241" s="34"/>
      <c r="Q241" s="34"/>
    </row>
    <row r="242" spans="12:17">
      <c r="L242" s="32"/>
      <c r="M242" s="32"/>
      <c r="N242" s="33"/>
      <c r="O242" s="34"/>
      <c r="Q242" s="34"/>
    </row>
    <row r="243" spans="12:17">
      <c r="L243" s="32"/>
      <c r="M243" s="32"/>
      <c r="N243" s="33"/>
      <c r="O243" s="34"/>
      <c r="Q243" s="34"/>
    </row>
    <row r="244" spans="12:17">
      <c r="L244" s="32"/>
      <c r="M244" s="32"/>
      <c r="N244" s="33"/>
      <c r="O244" s="34"/>
      <c r="Q244" s="34"/>
    </row>
    <row r="245" spans="12:17">
      <c r="L245" s="32"/>
      <c r="M245" s="32"/>
      <c r="N245" s="33"/>
      <c r="O245" s="34"/>
      <c r="Q245" s="34"/>
    </row>
    <row r="246" spans="12:17">
      <c r="L246" s="32"/>
      <c r="M246" s="32"/>
      <c r="N246" s="33"/>
      <c r="O246" s="34"/>
      <c r="Q246" s="34"/>
    </row>
    <row r="247" spans="12:17">
      <c r="L247" s="32"/>
      <c r="M247" s="32"/>
      <c r="N247" s="33"/>
      <c r="O247" s="34"/>
      <c r="Q247" s="34"/>
    </row>
    <row r="248" spans="12:17">
      <c r="L248" s="32"/>
      <c r="M248" s="32"/>
      <c r="N248" s="33"/>
      <c r="O248" s="34"/>
      <c r="Q248" s="34"/>
    </row>
    <row r="249" spans="12:17">
      <c r="L249" s="32"/>
      <c r="M249" s="32"/>
      <c r="N249" s="33"/>
      <c r="O249" s="34"/>
      <c r="Q249" s="34"/>
    </row>
    <row r="250" spans="12:17">
      <c r="L250" s="32"/>
      <c r="M250" s="32"/>
      <c r="N250" s="33"/>
      <c r="O250" s="34"/>
      <c r="Q250" s="34"/>
    </row>
    <row r="251" spans="12:17">
      <c r="L251" s="32"/>
      <c r="M251" s="32"/>
      <c r="N251" s="33"/>
      <c r="O251" s="34"/>
      <c r="Q251" s="34"/>
    </row>
    <row r="252" spans="12:17">
      <c r="L252" s="32"/>
      <c r="M252" s="32"/>
      <c r="N252" s="33"/>
      <c r="O252" s="34"/>
      <c r="Q252" s="34"/>
    </row>
    <row r="253" spans="12:17">
      <c r="L253" s="32"/>
      <c r="M253" s="32"/>
      <c r="N253" s="33"/>
      <c r="O253" s="34"/>
      <c r="Q253" s="34"/>
    </row>
    <row r="254" spans="12:17">
      <c r="L254" s="32"/>
      <c r="M254" s="32"/>
      <c r="N254" s="33"/>
      <c r="O254" s="34"/>
      <c r="Q254" s="34"/>
    </row>
    <row r="255" spans="12:17">
      <c r="L255" s="32"/>
      <c r="M255" s="32"/>
      <c r="N255" s="33"/>
      <c r="O255" s="34"/>
      <c r="Q255" s="34"/>
    </row>
    <row r="256" spans="12:17">
      <c r="L256" s="32"/>
      <c r="M256" s="32"/>
      <c r="N256" s="33"/>
      <c r="O256" s="34"/>
      <c r="Q256" s="34"/>
    </row>
    <row r="257" spans="12:17">
      <c r="L257" s="32"/>
      <c r="M257" s="32"/>
      <c r="N257" s="33"/>
      <c r="O257" s="34"/>
      <c r="Q257" s="34"/>
    </row>
    <row r="258" spans="12:17">
      <c r="L258" s="32"/>
      <c r="M258" s="32"/>
      <c r="N258" s="33"/>
      <c r="O258" s="34"/>
      <c r="Q258" s="34"/>
    </row>
    <row r="259" spans="12:17">
      <c r="L259" s="32"/>
      <c r="M259" s="32"/>
      <c r="N259" s="33"/>
      <c r="O259" s="34"/>
      <c r="Q259" s="34"/>
    </row>
    <row r="260" spans="12:17">
      <c r="L260" s="32"/>
      <c r="M260" s="32"/>
      <c r="N260" s="33"/>
      <c r="O260" s="34"/>
      <c r="Q260" s="34"/>
    </row>
    <row r="261" spans="12:17">
      <c r="L261" s="32"/>
      <c r="M261" s="32"/>
      <c r="N261" s="33"/>
      <c r="O261" s="34"/>
      <c r="Q261" s="34"/>
    </row>
    <row r="262" spans="12:17">
      <c r="L262" s="32"/>
      <c r="M262" s="32"/>
      <c r="N262" s="33"/>
      <c r="O262" s="34"/>
      <c r="Q262" s="34"/>
    </row>
    <row r="263" spans="12:17">
      <c r="L263" s="32"/>
      <c r="M263" s="32"/>
      <c r="N263" s="33"/>
      <c r="O263" s="34"/>
      <c r="Q263" s="34"/>
    </row>
    <row r="264" spans="12:17">
      <c r="L264" s="32"/>
      <c r="M264" s="32"/>
      <c r="N264" s="33"/>
      <c r="O264" s="34"/>
      <c r="Q264" s="34"/>
    </row>
    <row r="265" spans="12:17">
      <c r="L265" s="32"/>
      <c r="M265" s="32"/>
      <c r="N265" s="33"/>
      <c r="O265" s="34"/>
      <c r="Q265" s="34"/>
    </row>
    <row r="266" spans="12:17">
      <c r="L266" s="32"/>
      <c r="M266" s="32"/>
      <c r="N266" s="33"/>
      <c r="O266" s="34"/>
      <c r="Q266" s="34"/>
    </row>
    <row r="267" spans="12:17">
      <c r="L267" s="32"/>
      <c r="M267" s="32"/>
      <c r="N267" s="33"/>
      <c r="O267" s="34"/>
      <c r="Q267" s="34"/>
    </row>
    <row r="268" spans="12:17">
      <c r="L268" s="32"/>
      <c r="M268" s="32"/>
      <c r="N268" s="33"/>
      <c r="O268" s="34"/>
      <c r="Q268" s="34"/>
    </row>
    <row r="269" spans="12:17">
      <c r="L269" s="32"/>
      <c r="M269" s="32"/>
      <c r="N269" s="33"/>
      <c r="O269" s="34"/>
      <c r="Q269" s="34"/>
    </row>
    <row r="270" spans="12:17">
      <c r="L270" s="32"/>
      <c r="M270" s="32"/>
      <c r="N270" s="33"/>
      <c r="O270" s="34"/>
      <c r="Q270" s="34"/>
    </row>
    <row r="271" spans="12:17">
      <c r="L271" s="32"/>
      <c r="M271" s="32"/>
      <c r="N271" s="33"/>
      <c r="O271" s="34"/>
      <c r="Q271" s="34"/>
    </row>
    <row r="272" spans="12:17">
      <c r="L272" s="32"/>
      <c r="M272" s="32"/>
      <c r="N272" s="33"/>
      <c r="O272" s="34"/>
      <c r="Q272" s="34"/>
    </row>
    <row r="273" spans="12:17">
      <c r="L273" s="32"/>
      <c r="M273" s="32"/>
      <c r="N273" s="33"/>
      <c r="O273" s="34"/>
      <c r="Q273" s="34"/>
    </row>
    <row r="274" spans="12:17">
      <c r="L274" s="32"/>
      <c r="M274" s="32"/>
      <c r="N274" s="33"/>
      <c r="O274" s="34"/>
      <c r="Q274" s="34"/>
    </row>
    <row r="275" spans="12:17">
      <c r="L275" s="32"/>
      <c r="M275" s="32"/>
      <c r="N275" s="33"/>
      <c r="O275" s="34"/>
      <c r="Q275" s="34"/>
    </row>
    <row r="276" spans="12:17">
      <c r="L276" s="32"/>
      <c r="M276" s="32"/>
      <c r="N276" s="33"/>
      <c r="O276" s="34"/>
      <c r="Q276" s="34"/>
    </row>
    <row r="277" spans="12:17">
      <c r="L277" s="32"/>
      <c r="M277" s="32"/>
      <c r="N277" s="33"/>
      <c r="O277" s="34"/>
      <c r="Q277" s="34"/>
    </row>
    <row r="278" spans="12:17">
      <c r="L278" s="32"/>
      <c r="M278" s="32"/>
      <c r="N278" s="33"/>
      <c r="O278" s="34"/>
      <c r="Q278" s="34"/>
    </row>
    <row r="279" spans="12:17">
      <c r="L279" s="32"/>
      <c r="M279" s="32"/>
      <c r="N279" s="33"/>
      <c r="O279" s="34"/>
      <c r="Q279" s="34"/>
    </row>
    <row r="280" spans="12:17">
      <c r="L280" s="32"/>
      <c r="M280" s="32"/>
      <c r="N280" s="33"/>
      <c r="O280" s="34"/>
      <c r="Q280" s="34"/>
    </row>
    <row r="281" spans="12:17">
      <c r="L281" s="32"/>
      <c r="M281" s="32"/>
      <c r="N281" s="33"/>
      <c r="O281" s="34"/>
      <c r="Q281" s="34"/>
    </row>
    <row r="282" spans="12:17">
      <c r="L282" s="32"/>
      <c r="M282" s="32"/>
      <c r="N282" s="33"/>
      <c r="O282" s="34"/>
      <c r="Q282" s="34"/>
    </row>
    <row r="283" spans="12:17">
      <c r="L283" s="32"/>
      <c r="M283" s="32"/>
      <c r="N283" s="33"/>
      <c r="O283" s="34"/>
      <c r="Q283" s="34"/>
    </row>
    <row r="284" spans="12:17">
      <c r="L284" s="32"/>
      <c r="M284" s="32"/>
      <c r="N284" s="33"/>
      <c r="O284" s="34"/>
      <c r="Q284" s="34"/>
    </row>
    <row r="285" spans="12:17">
      <c r="L285" s="32"/>
      <c r="M285" s="32"/>
      <c r="N285" s="33"/>
      <c r="O285" s="34"/>
      <c r="Q285" s="34"/>
    </row>
    <row r="286" spans="12:17">
      <c r="L286" s="32"/>
      <c r="M286" s="32"/>
      <c r="N286" s="33"/>
      <c r="O286" s="34"/>
      <c r="Q286" s="34"/>
    </row>
    <row r="287" spans="12:17">
      <c r="L287" s="32"/>
      <c r="M287" s="32"/>
      <c r="N287" s="33"/>
      <c r="O287" s="34"/>
      <c r="Q287" s="34"/>
    </row>
    <row r="288" spans="12:17">
      <c r="L288" s="32"/>
      <c r="M288" s="32"/>
      <c r="N288" s="33"/>
      <c r="O288" s="34"/>
      <c r="Q288" s="34"/>
    </row>
    <row r="289" spans="12:17">
      <c r="L289" s="32"/>
      <c r="M289" s="32"/>
      <c r="N289" s="33"/>
      <c r="O289" s="34"/>
      <c r="Q289" s="34"/>
    </row>
    <row r="290" spans="12:17">
      <c r="L290" s="32"/>
      <c r="M290" s="32"/>
      <c r="N290" s="33"/>
      <c r="O290" s="34"/>
      <c r="Q290" s="34"/>
    </row>
    <row r="291" spans="12:17">
      <c r="L291" s="32"/>
      <c r="M291" s="32"/>
      <c r="N291" s="33"/>
      <c r="O291" s="34"/>
      <c r="Q291" s="34"/>
    </row>
    <row r="292" spans="12:17">
      <c r="L292" s="32"/>
      <c r="M292" s="32"/>
      <c r="N292" s="33"/>
      <c r="O292" s="34"/>
      <c r="Q292" s="34"/>
    </row>
    <row r="293" spans="12:17">
      <c r="L293" s="32"/>
      <c r="M293" s="32"/>
      <c r="N293" s="33"/>
      <c r="O293" s="34"/>
      <c r="Q293" s="34"/>
    </row>
    <row r="294" spans="12:17">
      <c r="L294" s="32"/>
      <c r="M294" s="32"/>
      <c r="N294" s="33"/>
      <c r="O294" s="34"/>
      <c r="Q294" s="34"/>
    </row>
    <row r="295" spans="12:17">
      <c r="L295" s="32"/>
      <c r="M295" s="32"/>
      <c r="N295" s="33"/>
      <c r="O295" s="34"/>
      <c r="Q295" s="34"/>
    </row>
    <row r="296" spans="12:17">
      <c r="L296" s="32"/>
      <c r="M296" s="32"/>
      <c r="N296" s="33"/>
      <c r="O296" s="34"/>
      <c r="Q296" s="34"/>
    </row>
    <row r="297" spans="12:17">
      <c r="L297" s="32"/>
      <c r="M297" s="32"/>
      <c r="N297" s="33"/>
      <c r="O297" s="34"/>
      <c r="Q297" s="34"/>
    </row>
    <row r="298" spans="12:17">
      <c r="L298" s="32"/>
      <c r="M298" s="32"/>
      <c r="N298" s="33"/>
      <c r="O298" s="34"/>
      <c r="Q298" s="34"/>
    </row>
    <row r="299" spans="12:17">
      <c r="L299" s="32"/>
      <c r="M299" s="32"/>
      <c r="N299" s="33"/>
      <c r="O299" s="34"/>
      <c r="Q299" s="34"/>
    </row>
    <row r="300" spans="12:17">
      <c r="L300" s="32"/>
      <c r="M300" s="32"/>
      <c r="N300" s="33"/>
      <c r="O300" s="34"/>
      <c r="Q300" s="34"/>
    </row>
    <row r="301" spans="12:17">
      <c r="L301" s="32"/>
      <c r="M301" s="32"/>
      <c r="N301" s="33"/>
      <c r="O301" s="34"/>
      <c r="Q301" s="34"/>
    </row>
    <row r="302" spans="12:17">
      <c r="L302" s="32"/>
      <c r="M302" s="32"/>
      <c r="N302" s="33"/>
      <c r="O302" s="34"/>
      <c r="Q302" s="34"/>
    </row>
    <row r="303" spans="12:17">
      <c r="L303" s="32"/>
      <c r="M303" s="32"/>
      <c r="N303" s="33"/>
      <c r="O303" s="34"/>
      <c r="Q303" s="34"/>
    </row>
    <row r="304" spans="12:17">
      <c r="L304" s="32"/>
      <c r="M304" s="32"/>
      <c r="N304" s="33"/>
      <c r="O304" s="34"/>
      <c r="Q304" s="34"/>
    </row>
    <row r="305" spans="12:17">
      <c r="L305" s="32"/>
      <c r="M305" s="32"/>
      <c r="N305" s="33"/>
      <c r="O305" s="34"/>
      <c r="Q305" s="34"/>
    </row>
    <row r="306" spans="12:17">
      <c r="L306" s="32"/>
      <c r="M306" s="32"/>
      <c r="N306" s="33"/>
      <c r="O306" s="34"/>
      <c r="Q306" s="34"/>
    </row>
    <row r="307" spans="12:17">
      <c r="L307" s="32"/>
      <c r="M307" s="32"/>
      <c r="N307" s="33"/>
      <c r="O307" s="34"/>
      <c r="Q307" s="34"/>
    </row>
    <row r="308" spans="12:17">
      <c r="L308" s="32"/>
      <c r="M308" s="32"/>
      <c r="N308" s="33"/>
      <c r="O308" s="34"/>
      <c r="Q308" s="34"/>
    </row>
    <row r="309" spans="12:17">
      <c r="L309" s="32"/>
      <c r="M309" s="32"/>
      <c r="N309" s="33"/>
      <c r="O309" s="34"/>
      <c r="Q309" s="34"/>
    </row>
    <row r="310" spans="12:17">
      <c r="L310" s="32"/>
      <c r="M310" s="32"/>
      <c r="N310" s="33"/>
      <c r="O310" s="34"/>
      <c r="Q310" s="34"/>
    </row>
    <row r="311" spans="12:17">
      <c r="L311" s="32"/>
      <c r="M311" s="32"/>
      <c r="N311" s="33"/>
      <c r="O311" s="34"/>
      <c r="Q311" s="34"/>
    </row>
    <row r="312" spans="12:17">
      <c r="L312" s="32"/>
      <c r="M312" s="32"/>
      <c r="N312" s="33"/>
      <c r="O312" s="34"/>
      <c r="Q312" s="34"/>
    </row>
    <row r="313" spans="12:17">
      <c r="L313" s="32"/>
      <c r="M313" s="32"/>
      <c r="N313" s="33"/>
      <c r="O313" s="34"/>
      <c r="Q313" s="34"/>
    </row>
    <row r="314" spans="12:17">
      <c r="L314" s="32"/>
      <c r="M314" s="32"/>
      <c r="N314" s="33"/>
      <c r="O314" s="34"/>
      <c r="Q314" s="34"/>
    </row>
    <row r="315" spans="12:17">
      <c r="L315" s="32"/>
      <c r="M315" s="32"/>
      <c r="N315" s="33"/>
      <c r="O315" s="34"/>
      <c r="Q315" s="34"/>
    </row>
    <row r="316" spans="12:17">
      <c r="L316" s="32"/>
      <c r="M316" s="32"/>
      <c r="N316" s="33"/>
      <c r="O316" s="34"/>
      <c r="Q316" s="34"/>
    </row>
    <row r="317" spans="12:17">
      <c r="L317" s="32"/>
      <c r="M317" s="32"/>
      <c r="N317" s="33"/>
      <c r="O317" s="34"/>
      <c r="Q317" s="34"/>
    </row>
    <row r="318" spans="12:17">
      <c r="L318" s="32"/>
      <c r="M318" s="32"/>
      <c r="N318" s="33"/>
      <c r="O318" s="34"/>
      <c r="Q318" s="34"/>
    </row>
    <row r="319" spans="12:17">
      <c r="L319" s="32"/>
      <c r="M319" s="32"/>
      <c r="N319" s="33"/>
      <c r="O319" s="34"/>
      <c r="Q319" s="34"/>
    </row>
    <row r="320" spans="12:17">
      <c r="L320" s="32"/>
      <c r="M320" s="32"/>
      <c r="N320" s="33"/>
      <c r="O320" s="34"/>
      <c r="Q320" s="34"/>
    </row>
    <row r="321" spans="12:17">
      <c r="L321" s="32"/>
      <c r="M321" s="32"/>
      <c r="N321" s="33"/>
      <c r="O321" s="34"/>
      <c r="Q321" s="34"/>
    </row>
    <row r="322" spans="12:17">
      <c r="L322" s="32"/>
      <c r="M322" s="32"/>
      <c r="N322" s="33"/>
      <c r="O322" s="34"/>
      <c r="Q322" s="34"/>
    </row>
    <row r="323" spans="12:17">
      <c r="L323" s="32"/>
      <c r="M323" s="32"/>
      <c r="N323" s="33"/>
      <c r="O323" s="34"/>
      <c r="Q323" s="34"/>
    </row>
    <row r="324" spans="12:17">
      <c r="L324" s="32"/>
      <c r="M324" s="32"/>
      <c r="N324" s="33"/>
      <c r="O324" s="34"/>
      <c r="Q324" s="34"/>
    </row>
    <row r="325" spans="12:17">
      <c r="L325" s="32"/>
      <c r="M325" s="32"/>
      <c r="N325" s="33"/>
      <c r="O325" s="34"/>
      <c r="Q325" s="34"/>
    </row>
    <row r="326" spans="12:17">
      <c r="L326" s="32"/>
      <c r="M326" s="32"/>
      <c r="N326" s="33"/>
      <c r="O326" s="34"/>
      <c r="Q326" s="34"/>
    </row>
    <row r="327" spans="12:17">
      <c r="L327" s="32"/>
      <c r="M327" s="32"/>
      <c r="N327" s="33"/>
      <c r="O327" s="34"/>
      <c r="Q327" s="34"/>
    </row>
    <row r="328" spans="12:17">
      <c r="L328" s="32"/>
      <c r="M328" s="32"/>
      <c r="N328" s="33"/>
      <c r="O328" s="34"/>
      <c r="Q328" s="34"/>
    </row>
    <row r="329" spans="12:17">
      <c r="L329" s="32"/>
      <c r="M329" s="32"/>
      <c r="N329" s="33"/>
      <c r="O329" s="34"/>
      <c r="Q329" s="34"/>
    </row>
    <row r="330" spans="12:17">
      <c r="L330" s="32"/>
      <c r="M330" s="32"/>
      <c r="N330" s="33"/>
      <c r="O330" s="34"/>
      <c r="Q330" s="34"/>
    </row>
    <row r="331" spans="12:17">
      <c r="L331" s="32"/>
      <c r="M331" s="32"/>
      <c r="N331" s="33"/>
      <c r="O331" s="34"/>
      <c r="Q331" s="34"/>
    </row>
    <row r="332" spans="12:17">
      <c r="L332" s="32"/>
      <c r="M332" s="32"/>
      <c r="N332" s="33"/>
      <c r="O332" s="34"/>
      <c r="Q332" s="34"/>
    </row>
    <row r="333" spans="12:17">
      <c r="L333" s="32"/>
      <c r="M333" s="32"/>
      <c r="N333" s="33"/>
      <c r="O333" s="34"/>
      <c r="Q333" s="34"/>
    </row>
    <row r="334" spans="12:17">
      <c r="L334" s="32"/>
      <c r="M334" s="32"/>
      <c r="N334" s="33"/>
      <c r="O334" s="34"/>
      <c r="Q334" s="34"/>
    </row>
    <row r="335" spans="12:17">
      <c r="L335" s="32"/>
      <c r="M335" s="32"/>
      <c r="N335" s="33"/>
      <c r="O335" s="34"/>
      <c r="Q335" s="34"/>
    </row>
    <row r="336" spans="12:17">
      <c r="L336" s="32"/>
      <c r="M336" s="32"/>
      <c r="N336" s="33"/>
      <c r="O336" s="34"/>
      <c r="Q336" s="34"/>
    </row>
    <row r="337" spans="12:17">
      <c r="L337" s="32"/>
      <c r="M337" s="32"/>
      <c r="N337" s="33"/>
      <c r="O337" s="34"/>
      <c r="Q337" s="34"/>
    </row>
    <row r="338" spans="12:17">
      <c r="L338" s="32"/>
      <c r="M338" s="32"/>
      <c r="N338" s="33"/>
      <c r="O338" s="34"/>
      <c r="Q338" s="34"/>
    </row>
    <row r="339" spans="12:17">
      <c r="L339" s="32"/>
      <c r="M339" s="32"/>
      <c r="N339" s="33"/>
      <c r="O339" s="34"/>
      <c r="Q339" s="34"/>
    </row>
    <row r="340" spans="12:17">
      <c r="L340" s="32"/>
      <c r="M340" s="32"/>
      <c r="N340" s="33"/>
      <c r="O340" s="34"/>
      <c r="Q340" s="34"/>
    </row>
    <row r="341" spans="12:17">
      <c r="L341" s="32"/>
      <c r="M341" s="32"/>
      <c r="N341" s="33"/>
      <c r="O341" s="34"/>
      <c r="Q341" s="34"/>
    </row>
    <row r="342" spans="12:17">
      <c r="L342" s="32"/>
      <c r="M342" s="32"/>
      <c r="N342" s="33"/>
      <c r="O342" s="34"/>
      <c r="Q342" s="34"/>
    </row>
    <row r="343" spans="12:17">
      <c r="L343" s="32"/>
      <c r="M343" s="32"/>
      <c r="N343" s="33"/>
      <c r="O343" s="34"/>
      <c r="Q343" s="34"/>
    </row>
    <row r="344" spans="12:17">
      <c r="L344" s="32"/>
      <c r="M344" s="32"/>
      <c r="N344" s="33"/>
      <c r="O344" s="34"/>
      <c r="Q344" s="34"/>
    </row>
    <row r="345" spans="12:17">
      <c r="L345" s="32"/>
      <c r="M345" s="32"/>
      <c r="N345" s="33"/>
      <c r="O345" s="34"/>
      <c r="Q345" s="34"/>
    </row>
    <row r="346" spans="12:17">
      <c r="L346" s="32"/>
      <c r="M346" s="32"/>
      <c r="N346" s="33"/>
      <c r="O346" s="34"/>
      <c r="Q346" s="34"/>
    </row>
    <row r="347" spans="12:17">
      <c r="L347" s="32"/>
      <c r="M347" s="32"/>
      <c r="N347" s="33"/>
      <c r="O347" s="34"/>
      <c r="Q347" s="34"/>
    </row>
    <row r="348" spans="12:17">
      <c r="L348" s="32"/>
      <c r="M348" s="32"/>
      <c r="N348" s="33"/>
      <c r="O348" s="34"/>
      <c r="Q348" s="34"/>
    </row>
    <row r="349" spans="12:17">
      <c r="L349" s="32"/>
      <c r="M349" s="32"/>
      <c r="N349" s="33"/>
      <c r="O349" s="34"/>
      <c r="Q349" s="34"/>
    </row>
    <row r="350" spans="12:17">
      <c r="L350" s="32"/>
      <c r="M350" s="32"/>
      <c r="N350" s="33"/>
      <c r="O350" s="34"/>
      <c r="Q350" s="34"/>
    </row>
    <row r="351" spans="12:17">
      <c r="L351" s="32"/>
      <c r="M351" s="32"/>
      <c r="N351" s="33"/>
      <c r="O351" s="34"/>
      <c r="Q351" s="34"/>
    </row>
    <row r="352" spans="12:17">
      <c r="L352" s="32"/>
      <c r="M352" s="32"/>
      <c r="N352" s="33"/>
      <c r="O352" s="34"/>
      <c r="Q352" s="34"/>
    </row>
    <row r="353" spans="12:17">
      <c r="L353" s="32"/>
      <c r="M353" s="32"/>
      <c r="N353" s="33"/>
      <c r="O353" s="34"/>
      <c r="Q353" s="34"/>
    </row>
    <row r="354" spans="12:17">
      <c r="L354" s="32"/>
      <c r="M354" s="32"/>
      <c r="N354" s="33"/>
      <c r="O354" s="34"/>
      <c r="Q354" s="34"/>
    </row>
    <row r="355" spans="12:17">
      <c r="L355" s="32"/>
      <c r="M355" s="32"/>
      <c r="N355" s="33"/>
      <c r="O355" s="34"/>
      <c r="Q355" s="34"/>
    </row>
    <row r="356" spans="12:17">
      <c r="L356" s="32"/>
      <c r="M356" s="32"/>
      <c r="N356" s="33"/>
      <c r="O356" s="34"/>
      <c r="Q356" s="34"/>
    </row>
    <row r="357" spans="12:17">
      <c r="L357" s="32"/>
      <c r="M357" s="32"/>
      <c r="N357" s="33"/>
      <c r="O357" s="34"/>
      <c r="Q357" s="34"/>
    </row>
    <row r="358" spans="12:17">
      <c r="L358" s="32"/>
      <c r="M358" s="32"/>
      <c r="N358" s="33"/>
      <c r="O358" s="34"/>
      <c r="Q358" s="34"/>
    </row>
    <row r="359" spans="12:17">
      <c r="L359" s="32"/>
      <c r="M359" s="32"/>
      <c r="N359" s="33"/>
      <c r="O359" s="34"/>
      <c r="Q359" s="34"/>
    </row>
    <row r="360" spans="12:17">
      <c r="L360" s="32"/>
      <c r="M360" s="32"/>
      <c r="N360" s="33"/>
      <c r="O360" s="34"/>
      <c r="Q360" s="34"/>
    </row>
    <row r="361" spans="12:17">
      <c r="L361" s="32"/>
      <c r="M361" s="32"/>
      <c r="N361" s="33"/>
      <c r="O361" s="34"/>
      <c r="Q361" s="34"/>
    </row>
    <row r="362" spans="12:17">
      <c r="L362" s="32"/>
      <c r="M362" s="32"/>
      <c r="N362" s="33"/>
      <c r="O362" s="34"/>
      <c r="Q362" s="34"/>
    </row>
    <row r="363" spans="12:17">
      <c r="L363" s="32"/>
      <c r="M363" s="32"/>
      <c r="N363" s="33"/>
      <c r="O363" s="34"/>
      <c r="Q363" s="34"/>
    </row>
    <row r="364" spans="12:17">
      <c r="L364" s="32"/>
      <c r="M364" s="32"/>
      <c r="N364" s="33"/>
      <c r="O364" s="34"/>
      <c r="Q364" s="34"/>
    </row>
    <row r="365" spans="12:17">
      <c r="L365" s="32"/>
      <c r="M365" s="32"/>
      <c r="N365" s="33"/>
      <c r="O365" s="34"/>
      <c r="Q365" s="34"/>
    </row>
    <row r="366" spans="12:17">
      <c r="L366" s="32"/>
      <c r="M366" s="32"/>
      <c r="N366" s="33"/>
      <c r="O366" s="34"/>
      <c r="Q366" s="34"/>
    </row>
    <row r="367" spans="12:17">
      <c r="L367" s="32"/>
      <c r="M367" s="32"/>
      <c r="N367" s="33"/>
      <c r="O367" s="34"/>
      <c r="Q367" s="34"/>
    </row>
    <row r="368" spans="12:17">
      <c r="L368" s="32"/>
      <c r="M368" s="32"/>
      <c r="N368" s="33"/>
      <c r="O368" s="34"/>
      <c r="Q368" s="34"/>
    </row>
    <row r="369" spans="12:17">
      <c r="L369" s="32"/>
      <c r="M369" s="32"/>
      <c r="N369" s="33"/>
      <c r="O369" s="34"/>
      <c r="Q369" s="34"/>
    </row>
    <row r="370" spans="12:17">
      <c r="L370" s="32"/>
      <c r="M370" s="32"/>
      <c r="N370" s="33"/>
      <c r="O370" s="34"/>
      <c r="Q370" s="34"/>
    </row>
    <row r="371" spans="12:17">
      <c r="L371" s="32"/>
      <c r="M371" s="32"/>
      <c r="N371" s="33"/>
      <c r="O371" s="34"/>
      <c r="Q371" s="34"/>
    </row>
    <row r="372" spans="12:17">
      <c r="L372" s="32"/>
      <c r="M372" s="32"/>
      <c r="N372" s="33"/>
      <c r="O372" s="34"/>
      <c r="Q372" s="34"/>
    </row>
    <row r="373" spans="12:17">
      <c r="L373" s="32"/>
      <c r="M373" s="32"/>
      <c r="N373" s="33"/>
      <c r="O373" s="34"/>
      <c r="Q373" s="34"/>
    </row>
    <row r="374" spans="12:17">
      <c r="L374" s="32"/>
      <c r="M374" s="32"/>
      <c r="N374" s="33"/>
      <c r="O374" s="34"/>
      <c r="Q374" s="34"/>
    </row>
    <row r="375" spans="12:17">
      <c r="L375" s="32"/>
      <c r="M375" s="32"/>
      <c r="N375" s="33"/>
      <c r="O375" s="34"/>
      <c r="Q375" s="34"/>
    </row>
    <row r="376" spans="12:17">
      <c r="L376" s="32"/>
      <c r="M376" s="32"/>
      <c r="N376" s="33"/>
      <c r="O376" s="34"/>
      <c r="Q376" s="34"/>
    </row>
    <row r="377" spans="12:17">
      <c r="L377" s="32"/>
      <c r="M377" s="32"/>
      <c r="N377" s="33"/>
      <c r="O377" s="34"/>
      <c r="Q377" s="34"/>
    </row>
    <row r="378" spans="12:17">
      <c r="L378" s="32"/>
      <c r="M378" s="32"/>
      <c r="N378" s="33"/>
      <c r="O378" s="34"/>
      <c r="Q378" s="34"/>
    </row>
    <row r="379" spans="12:17">
      <c r="L379" s="32"/>
      <c r="M379" s="32"/>
      <c r="N379" s="33"/>
      <c r="O379" s="34"/>
      <c r="Q379" s="34"/>
    </row>
    <row r="380" spans="12:17">
      <c r="L380" s="32"/>
      <c r="M380" s="32"/>
      <c r="N380" s="33"/>
      <c r="O380" s="34"/>
      <c r="Q380" s="34"/>
    </row>
    <row r="381" spans="12:17">
      <c r="L381" s="32"/>
      <c r="M381" s="32"/>
      <c r="N381" s="33"/>
      <c r="O381" s="34"/>
      <c r="Q381" s="34"/>
    </row>
    <row r="382" spans="12:17">
      <c r="L382" s="32"/>
      <c r="M382" s="32"/>
      <c r="N382" s="33"/>
      <c r="O382" s="34"/>
      <c r="Q382" s="34"/>
    </row>
    <row r="383" spans="12:17">
      <c r="L383" s="32"/>
      <c r="M383" s="32"/>
      <c r="N383" s="33"/>
      <c r="O383" s="34"/>
      <c r="Q383" s="34"/>
    </row>
    <row r="384" spans="12:17">
      <c r="L384" s="32"/>
      <c r="M384" s="32"/>
      <c r="N384" s="33"/>
      <c r="O384" s="34"/>
      <c r="Q384" s="34"/>
    </row>
    <row r="385" spans="12:17">
      <c r="L385" s="32"/>
      <c r="M385" s="32"/>
      <c r="N385" s="33"/>
      <c r="O385" s="34"/>
      <c r="Q385" s="34"/>
    </row>
    <row r="386" spans="12:17">
      <c r="L386" s="32"/>
      <c r="M386" s="32"/>
      <c r="N386" s="33"/>
      <c r="O386" s="34"/>
      <c r="Q386" s="34"/>
    </row>
    <row r="387" spans="12:17">
      <c r="L387" s="32"/>
      <c r="M387" s="32"/>
      <c r="N387" s="33"/>
      <c r="O387" s="34"/>
      <c r="Q387" s="34"/>
    </row>
    <row r="388" spans="12:17">
      <c r="L388" s="32"/>
      <c r="M388" s="32"/>
      <c r="N388" s="33"/>
      <c r="O388" s="34"/>
      <c r="Q388" s="34"/>
    </row>
    <row r="389" spans="12:17">
      <c r="L389" s="32"/>
      <c r="M389" s="32"/>
      <c r="N389" s="33"/>
      <c r="O389" s="34"/>
      <c r="Q389" s="34"/>
    </row>
    <row r="390" spans="12:17">
      <c r="L390" s="32"/>
      <c r="M390" s="32"/>
      <c r="N390" s="33"/>
      <c r="O390" s="34"/>
      <c r="Q390" s="34"/>
    </row>
    <row r="391" spans="12:17">
      <c r="L391" s="32"/>
      <c r="M391" s="32"/>
      <c r="N391" s="33"/>
      <c r="O391" s="34"/>
      <c r="Q391" s="34"/>
    </row>
    <row r="392" spans="12:17">
      <c r="L392" s="32"/>
      <c r="M392" s="32"/>
      <c r="N392" s="33"/>
      <c r="O392" s="34"/>
      <c r="Q392" s="34"/>
    </row>
    <row r="393" spans="12:17">
      <c r="L393" s="32"/>
      <c r="M393" s="32"/>
      <c r="N393" s="33"/>
      <c r="O393" s="34"/>
      <c r="Q393" s="34"/>
    </row>
    <row r="394" spans="12:17">
      <c r="L394" s="32"/>
      <c r="M394" s="32"/>
      <c r="N394" s="33"/>
      <c r="O394" s="34"/>
      <c r="Q394" s="34"/>
    </row>
    <row r="395" spans="12:17">
      <c r="L395" s="32"/>
      <c r="M395" s="32"/>
      <c r="N395" s="33"/>
      <c r="O395" s="34"/>
      <c r="Q395" s="34"/>
    </row>
    <row r="396" spans="12:17">
      <c r="L396" s="32"/>
      <c r="M396" s="32"/>
      <c r="N396" s="33"/>
      <c r="O396" s="34"/>
      <c r="Q396" s="34"/>
    </row>
    <row r="397" spans="12:17">
      <c r="L397" s="32"/>
      <c r="M397" s="32"/>
      <c r="N397" s="33"/>
      <c r="O397" s="34"/>
      <c r="Q397" s="34"/>
    </row>
    <row r="398" spans="12:17">
      <c r="L398" s="32"/>
      <c r="M398" s="32"/>
      <c r="N398" s="33"/>
      <c r="O398" s="34"/>
      <c r="Q398" s="34"/>
    </row>
    <row r="399" spans="12:17">
      <c r="L399" s="32"/>
      <c r="M399" s="32"/>
      <c r="N399" s="33"/>
      <c r="O399" s="34"/>
      <c r="Q399" s="34"/>
    </row>
    <row r="400" spans="12:17">
      <c r="L400" s="32"/>
      <c r="M400" s="32"/>
      <c r="N400" s="33"/>
      <c r="O400" s="34"/>
      <c r="Q400" s="34"/>
    </row>
    <row r="401" spans="12:17">
      <c r="L401" s="32"/>
      <c r="M401" s="32"/>
      <c r="N401" s="33"/>
      <c r="O401" s="34"/>
      <c r="Q401" s="34"/>
    </row>
    <row r="402" spans="12:17">
      <c r="L402" s="32"/>
      <c r="M402" s="32"/>
      <c r="N402" s="33"/>
      <c r="O402" s="34"/>
      <c r="Q402" s="34"/>
    </row>
    <row r="403" spans="12:17">
      <c r="L403" s="32"/>
      <c r="M403" s="32"/>
      <c r="N403" s="33"/>
      <c r="O403" s="34"/>
      <c r="Q403" s="34"/>
    </row>
    <row r="404" spans="12:17">
      <c r="L404" s="32"/>
      <c r="M404" s="32"/>
      <c r="N404" s="33"/>
      <c r="O404" s="34"/>
      <c r="Q404" s="34"/>
    </row>
    <row r="405" spans="12:17">
      <c r="L405" s="32"/>
      <c r="M405" s="32"/>
      <c r="N405" s="33"/>
      <c r="O405" s="34"/>
      <c r="Q405" s="34"/>
    </row>
    <row r="406" spans="12:17">
      <c r="L406" s="32"/>
      <c r="M406" s="32"/>
      <c r="N406" s="33"/>
      <c r="O406" s="34"/>
      <c r="Q406" s="34"/>
    </row>
    <row r="407" spans="12:17">
      <c r="L407" s="32"/>
      <c r="M407" s="32"/>
      <c r="N407" s="33"/>
      <c r="O407" s="34"/>
      <c r="Q407" s="34"/>
    </row>
    <row r="408" spans="12:17">
      <c r="L408" s="32"/>
      <c r="M408" s="32"/>
      <c r="N408" s="33"/>
      <c r="O408" s="34"/>
      <c r="Q408" s="34"/>
    </row>
    <row r="409" spans="12:17">
      <c r="L409" s="32"/>
      <c r="M409" s="32"/>
      <c r="N409" s="33"/>
      <c r="O409" s="34"/>
      <c r="Q409" s="34"/>
    </row>
    <row r="410" spans="12:17">
      <c r="L410" s="32"/>
      <c r="M410" s="32"/>
      <c r="N410" s="33"/>
      <c r="O410" s="34"/>
      <c r="Q410" s="34"/>
    </row>
    <row r="411" spans="12:17">
      <c r="L411" s="32"/>
      <c r="M411" s="32"/>
      <c r="N411" s="33"/>
      <c r="O411" s="34"/>
      <c r="Q411" s="34"/>
    </row>
    <row r="412" spans="12:17">
      <c r="L412" s="32"/>
      <c r="M412" s="32"/>
      <c r="N412" s="33"/>
      <c r="O412" s="34"/>
      <c r="Q412" s="34"/>
    </row>
    <row r="413" spans="12:17">
      <c r="L413" s="32"/>
      <c r="M413" s="32"/>
      <c r="N413" s="33"/>
      <c r="O413" s="34"/>
      <c r="Q413" s="34"/>
    </row>
    <row r="414" spans="12:17">
      <c r="L414" s="32"/>
      <c r="M414" s="32"/>
      <c r="N414" s="33"/>
      <c r="O414" s="34"/>
      <c r="Q414" s="34"/>
    </row>
    <row r="415" spans="12:17">
      <c r="L415" s="32"/>
      <c r="M415" s="32"/>
      <c r="N415" s="33"/>
      <c r="O415" s="34"/>
      <c r="Q415" s="34"/>
    </row>
    <row r="416" spans="12:17">
      <c r="L416" s="32"/>
      <c r="M416" s="32"/>
      <c r="N416" s="33"/>
      <c r="O416" s="34"/>
      <c r="Q416" s="34"/>
    </row>
    <row r="417" spans="12:17">
      <c r="L417" s="32"/>
      <c r="M417" s="32"/>
      <c r="N417" s="33"/>
      <c r="O417" s="34"/>
      <c r="Q417" s="34"/>
    </row>
    <row r="418" spans="12:17">
      <c r="L418" s="32"/>
      <c r="M418" s="32"/>
      <c r="N418" s="33"/>
      <c r="O418" s="34"/>
      <c r="Q418" s="34"/>
    </row>
    <row r="419" spans="12:17">
      <c r="L419" s="32"/>
      <c r="M419" s="32"/>
      <c r="N419" s="33"/>
      <c r="O419" s="34"/>
      <c r="Q419" s="34"/>
    </row>
    <row r="420" spans="12:17">
      <c r="L420" s="32"/>
      <c r="M420" s="32"/>
      <c r="N420" s="33"/>
      <c r="O420" s="34"/>
      <c r="Q420" s="34"/>
    </row>
    <row r="421" spans="12:17">
      <c r="L421" s="32"/>
      <c r="M421" s="32"/>
      <c r="N421" s="33"/>
      <c r="O421" s="34"/>
      <c r="Q421" s="34"/>
    </row>
    <row r="422" spans="12:17">
      <c r="L422" s="32"/>
      <c r="M422" s="32"/>
      <c r="N422" s="33"/>
      <c r="O422" s="34"/>
      <c r="Q422" s="34"/>
    </row>
    <row r="423" spans="12:17">
      <c r="L423" s="32"/>
      <c r="M423" s="32"/>
      <c r="N423" s="33"/>
      <c r="O423" s="34"/>
      <c r="Q423" s="34"/>
    </row>
    <row r="424" spans="12:17">
      <c r="L424" s="32"/>
      <c r="M424" s="32"/>
      <c r="N424" s="33"/>
      <c r="O424" s="34"/>
      <c r="Q424" s="34"/>
    </row>
    <row r="425" spans="12:17">
      <c r="L425" s="32"/>
      <c r="M425" s="32"/>
      <c r="N425" s="33"/>
      <c r="O425" s="34"/>
      <c r="Q425" s="34"/>
    </row>
    <row r="426" spans="12:17">
      <c r="L426" s="32"/>
      <c r="M426" s="32"/>
      <c r="N426" s="33"/>
      <c r="O426" s="34"/>
      <c r="Q426" s="34"/>
    </row>
    <row r="427" spans="12:17">
      <c r="L427" s="32"/>
      <c r="M427" s="32"/>
      <c r="N427" s="33"/>
      <c r="O427" s="34"/>
      <c r="Q427" s="34"/>
    </row>
    <row r="428" spans="12:17">
      <c r="L428" s="32"/>
      <c r="M428" s="32"/>
      <c r="N428" s="33"/>
      <c r="O428" s="34"/>
      <c r="Q428" s="34"/>
    </row>
    <row r="429" spans="12:17">
      <c r="L429" s="32"/>
      <c r="M429" s="32"/>
      <c r="N429" s="33"/>
      <c r="O429" s="34"/>
      <c r="Q429" s="34"/>
    </row>
    <row r="430" spans="12:17">
      <c r="L430" s="32"/>
      <c r="M430" s="32"/>
      <c r="N430" s="33"/>
      <c r="O430" s="34"/>
      <c r="Q430" s="34"/>
    </row>
    <row r="431" spans="12:17">
      <c r="L431" s="32"/>
      <c r="M431" s="32"/>
      <c r="N431" s="33"/>
      <c r="O431" s="34"/>
      <c r="Q431" s="34"/>
    </row>
    <row r="432" spans="12:17">
      <c r="L432" s="32"/>
      <c r="M432" s="32"/>
      <c r="N432" s="33"/>
      <c r="O432" s="34"/>
      <c r="Q432" s="34"/>
    </row>
    <row r="433" spans="12:17">
      <c r="L433" s="32"/>
      <c r="M433" s="32"/>
      <c r="N433" s="33"/>
      <c r="O433" s="34"/>
      <c r="Q433" s="34"/>
    </row>
    <row r="434" spans="12:17">
      <c r="L434" s="32"/>
      <c r="M434" s="32"/>
      <c r="N434" s="33"/>
      <c r="O434" s="34"/>
      <c r="Q434" s="34"/>
    </row>
    <row r="435" spans="12:17">
      <c r="L435" s="32"/>
      <c r="M435" s="32"/>
      <c r="N435" s="33"/>
      <c r="O435" s="34"/>
      <c r="Q435" s="34"/>
    </row>
    <row r="436" spans="12:17">
      <c r="L436" s="32"/>
      <c r="M436" s="32"/>
      <c r="N436" s="33"/>
      <c r="O436" s="34"/>
      <c r="Q436" s="34"/>
    </row>
    <row r="437" spans="12:17">
      <c r="L437" s="32"/>
      <c r="M437" s="32"/>
      <c r="N437" s="33"/>
      <c r="O437" s="34"/>
      <c r="Q437" s="34"/>
    </row>
    <row r="438" spans="12:17">
      <c r="L438" s="32"/>
      <c r="M438" s="32"/>
      <c r="N438" s="33"/>
      <c r="O438" s="34"/>
      <c r="Q438" s="34"/>
    </row>
    <row r="439" spans="12:17">
      <c r="L439" s="32"/>
      <c r="M439" s="32"/>
      <c r="N439" s="33"/>
      <c r="O439" s="34"/>
      <c r="Q439" s="34"/>
    </row>
    <row r="440" spans="12:17">
      <c r="L440" s="32"/>
      <c r="M440" s="32"/>
      <c r="N440" s="33"/>
      <c r="O440" s="34"/>
      <c r="Q440" s="34"/>
    </row>
    <row r="441" spans="12:17">
      <c r="L441" s="32"/>
      <c r="M441" s="32"/>
      <c r="N441" s="33"/>
      <c r="O441" s="34"/>
      <c r="Q441" s="34"/>
    </row>
    <row r="442" spans="12:17">
      <c r="L442" s="32"/>
      <c r="M442" s="32"/>
      <c r="N442" s="33"/>
      <c r="O442" s="34"/>
      <c r="Q442" s="34"/>
    </row>
    <row r="443" spans="12:17">
      <c r="L443" s="32"/>
      <c r="M443" s="32"/>
      <c r="N443" s="33"/>
      <c r="O443" s="34"/>
      <c r="Q443" s="34"/>
    </row>
    <row r="444" spans="12:17">
      <c r="L444" s="32"/>
      <c r="M444" s="32"/>
      <c r="N444" s="33"/>
      <c r="O444" s="34"/>
      <c r="Q444" s="34"/>
    </row>
    <row r="445" spans="12:17">
      <c r="L445" s="32"/>
      <c r="M445" s="32"/>
      <c r="N445" s="33"/>
      <c r="O445" s="34"/>
      <c r="Q445" s="34"/>
    </row>
    <row r="446" spans="12:17">
      <c r="L446" s="32"/>
      <c r="M446" s="32"/>
      <c r="N446" s="33"/>
      <c r="O446" s="34"/>
      <c r="Q446" s="34"/>
    </row>
    <row r="447" spans="12:17">
      <c r="L447" s="32"/>
      <c r="M447" s="32"/>
      <c r="N447" s="33"/>
      <c r="O447" s="34"/>
      <c r="Q447" s="34"/>
    </row>
    <row r="448" spans="12:17">
      <c r="L448" s="32"/>
      <c r="M448" s="32"/>
      <c r="N448" s="33"/>
      <c r="O448" s="34"/>
      <c r="Q448" s="34"/>
    </row>
    <row r="449" spans="12:17">
      <c r="L449" s="32"/>
      <c r="M449" s="32"/>
      <c r="N449" s="33"/>
      <c r="O449" s="34"/>
      <c r="Q449" s="34"/>
    </row>
    <row r="450" spans="12:17">
      <c r="L450" s="32"/>
      <c r="M450" s="32"/>
      <c r="N450" s="33"/>
      <c r="O450" s="34"/>
      <c r="Q450" s="34"/>
    </row>
    <row r="451" spans="12:17">
      <c r="L451" s="32"/>
      <c r="M451" s="32"/>
      <c r="N451" s="33"/>
      <c r="O451" s="34"/>
      <c r="Q451" s="34"/>
    </row>
    <row r="452" spans="12:17">
      <c r="L452" s="32"/>
      <c r="M452" s="32"/>
      <c r="N452" s="33"/>
      <c r="O452" s="34"/>
      <c r="Q452" s="34"/>
    </row>
    <row r="453" spans="12:17">
      <c r="L453" s="32"/>
      <c r="M453" s="32"/>
      <c r="N453" s="33"/>
      <c r="O453" s="34"/>
      <c r="Q453" s="34"/>
    </row>
    <row r="454" spans="12:17">
      <c r="L454" s="32"/>
      <c r="M454" s="32"/>
      <c r="N454" s="33"/>
      <c r="O454" s="34"/>
      <c r="Q454" s="34"/>
    </row>
    <row r="455" spans="12:17">
      <c r="L455" s="32"/>
      <c r="M455" s="32"/>
      <c r="N455" s="33"/>
      <c r="O455" s="34"/>
      <c r="Q455" s="34"/>
    </row>
    <row r="456" spans="12:17">
      <c r="L456" s="32"/>
      <c r="M456" s="32"/>
      <c r="N456" s="33"/>
      <c r="O456" s="34"/>
      <c r="Q456" s="34"/>
    </row>
    <row r="457" spans="12:17">
      <c r="L457" s="32"/>
      <c r="M457" s="32"/>
      <c r="N457" s="33"/>
      <c r="O457" s="34"/>
      <c r="Q457" s="34"/>
    </row>
    <row r="458" spans="12:17">
      <c r="L458" s="32"/>
      <c r="M458" s="32"/>
      <c r="N458" s="33"/>
      <c r="O458" s="34"/>
      <c r="Q458" s="34"/>
    </row>
    <row r="459" spans="12:17">
      <c r="L459" s="32"/>
      <c r="M459" s="32"/>
      <c r="N459" s="33"/>
      <c r="O459" s="34"/>
      <c r="Q459" s="34"/>
    </row>
    <row r="460" spans="12:17">
      <c r="L460" s="32"/>
      <c r="M460" s="32"/>
      <c r="N460" s="33"/>
      <c r="O460" s="34"/>
      <c r="Q460" s="34"/>
    </row>
    <row r="461" spans="12:17">
      <c r="L461" s="32"/>
      <c r="M461" s="32"/>
      <c r="N461" s="33"/>
      <c r="O461" s="34"/>
      <c r="Q461" s="34"/>
    </row>
    <row r="462" spans="12:17">
      <c r="L462" s="32"/>
      <c r="M462" s="32"/>
      <c r="N462" s="33"/>
      <c r="O462" s="34"/>
      <c r="Q462" s="34"/>
    </row>
    <row r="463" spans="12:17">
      <c r="L463" s="32"/>
      <c r="M463" s="32"/>
      <c r="N463" s="33"/>
      <c r="O463" s="34"/>
      <c r="Q463" s="34"/>
    </row>
    <row r="464" spans="12:17">
      <c r="L464" s="32"/>
      <c r="M464" s="32"/>
      <c r="N464" s="33"/>
      <c r="O464" s="34"/>
      <c r="Q464" s="34"/>
    </row>
    <row r="465" spans="12:17">
      <c r="L465" s="32"/>
      <c r="M465" s="32"/>
      <c r="N465" s="33"/>
      <c r="O465" s="34"/>
      <c r="Q465" s="34"/>
    </row>
    <row r="466" spans="12:17">
      <c r="L466" s="32"/>
      <c r="M466" s="32"/>
      <c r="N466" s="33"/>
      <c r="O466" s="34"/>
      <c r="Q466" s="34"/>
    </row>
    <row r="467" spans="12:17">
      <c r="L467" s="32"/>
      <c r="M467" s="32"/>
      <c r="N467" s="33"/>
      <c r="O467" s="34"/>
      <c r="Q467" s="34"/>
    </row>
    <row r="468" spans="12:17">
      <c r="L468" s="32"/>
      <c r="M468" s="32"/>
      <c r="N468" s="33"/>
      <c r="O468" s="34"/>
      <c r="Q468" s="34"/>
    </row>
    <row r="469" spans="12:17">
      <c r="L469" s="32"/>
      <c r="M469" s="32"/>
      <c r="N469" s="33"/>
      <c r="O469" s="34"/>
      <c r="Q469" s="34"/>
    </row>
    <row r="470" spans="12:17">
      <c r="L470" s="32"/>
      <c r="M470" s="32"/>
      <c r="N470" s="33"/>
      <c r="O470" s="34"/>
      <c r="Q470" s="34"/>
    </row>
    <row r="471" spans="12:17">
      <c r="L471" s="32"/>
      <c r="M471" s="32"/>
      <c r="N471" s="33"/>
      <c r="O471" s="34"/>
      <c r="Q471" s="34"/>
    </row>
    <row r="472" spans="12:17">
      <c r="L472" s="32"/>
      <c r="M472" s="32"/>
      <c r="N472" s="33"/>
      <c r="O472" s="34"/>
      <c r="Q472" s="34"/>
    </row>
    <row r="473" spans="12:17">
      <c r="L473" s="32"/>
      <c r="M473" s="32"/>
      <c r="N473" s="33"/>
      <c r="O473" s="34"/>
      <c r="Q473" s="34"/>
    </row>
    <row r="474" spans="12:17">
      <c r="L474" s="32"/>
      <c r="M474" s="32"/>
      <c r="N474" s="33"/>
      <c r="O474" s="34"/>
      <c r="Q474" s="34"/>
    </row>
    <row r="475" spans="12:17">
      <c r="L475" s="32"/>
      <c r="M475" s="32"/>
      <c r="N475" s="33"/>
      <c r="O475" s="34"/>
      <c r="Q475" s="34"/>
    </row>
    <row r="476" spans="12:17">
      <c r="L476" s="32"/>
      <c r="M476" s="32"/>
      <c r="N476" s="33"/>
      <c r="O476" s="34"/>
      <c r="Q476" s="34"/>
    </row>
    <row r="477" spans="12:17">
      <c r="L477" s="32"/>
      <c r="M477" s="32"/>
      <c r="N477" s="33"/>
      <c r="O477" s="34"/>
      <c r="Q477" s="34"/>
    </row>
    <row r="478" spans="12:17">
      <c r="L478" s="32"/>
      <c r="M478" s="32"/>
      <c r="N478" s="33"/>
      <c r="O478" s="34"/>
      <c r="Q478" s="34"/>
    </row>
    <row r="479" spans="12:17">
      <c r="L479" s="32"/>
      <c r="M479" s="32"/>
      <c r="N479" s="33"/>
      <c r="O479" s="34"/>
      <c r="Q479" s="34"/>
    </row>
    <row r="480" spans="12:17">
      <c r="L480" s="32"/>
      <c r="M480" s="32"/>
      <c r="N480" s="33"/>
      <c r="O480" s="34"/>
      <c r="Q480" s="34"/>
    </row>
    <row r="481" spans="12:17">
      <c r="L481" s="32"/>
      <c r="M481" s="32"/>
      <c r="N481" s="33"/>
      <c r="O481" s="34"/>
      <c r="Q481" s="34"/>
    </row>
    <row r="482" spans="12:17">
      <c r="L482" s="32"/>
      <c r="M482" s="32"/>
      <c r="N482" s="33"/>
      <c r="O482" s="34"/>
      <c r="Q482" s="34"/>
    </row>
    <row r="483" spans="12:17">
      <c r="L483" s="32"/>
      <c r="M483" s="32"/>
      <c r="N483" s="33"/>
      <c r="O483" s="34"/>
      <c r="Q483" s="34"/>
    </row>
    <row r="484" spans="12:17">
      <c r="L484" s="32"/>
      <c r="M484" s="32"/>
      <c r="N484" s="33"/>
      <c r="O484" s="34"/>
      <c r="Q484" s="34"/>
    </row>
    <row r="485" spans="12:17">
      <c r="L485" s="32"/>
      <c r="M485" s="32"/>
      <c r="N485" s="33"/>
      <c r="O485" s="34"/>
      <c r="Q485" s="34"/>
    </row>
    <row r="486" spans="12:17">
      <c r="L486" s="32"/>
      <c r="M486" s="32"/>
      <c r="N486" s="33"/>
      <c r="O486" s="34"/>
      <c r="Q486" s="34"/>
    </row>
    <row r="487" spans="12:17">
      <c r="L487" s="32"/>
      <c r="M487" s="32"/>
      <c r="N487" s="33"/>
      <c r="O487" s="34"/>
      <c r="Q487" s="34"/>
    </row>
    <row r="488" spans="12:17">
      <c r="L488" s="32"/>
      <c r="M488" s="32"/>
      <c r="N488" s="33"/>
      <c r="O488" s="34"/>
      <c r="Q488" s="34"/>
    </row>
    <row r="489" spans="12:17">
      <c r="L489" s="32"/>
      <c r="M489" s="32"/>
      <c r="N489" s="33"/>
      <c r="O489" s="34"/>
      <c r="Q489" s="34"/>
    </row>
    <row r="490" spans="12:17">
      <c r="L490" s="32"/>
      <c r="M490" s="32"/>
      <c r="N490" s="33"/>
      <c r="O490" s="34"/>
      <c r="Q490" s="34"/>
    </row>
    <row r="491" spans="12:17">
      <c r="L491" s="32"/>
      <c r="M491" s="32"/>
      <c r="N491" s="33"/>
      <c r="O491" s="34"/>
      <c r="Q491" s="34"/>
    </row>
    <row r="492" spans="12:17">
      <c r="L492" s="32"/>
      <c r="M492" s="32"/>
      <c r="N492" s="33"/>
      <c r="O492" s="34"/>
      <c r="Q492" s="34"/>
    </row>
    <row r="493" spans="12:17">
      <c r="L493" s="32"/>
      <c r="M493" s="32"/>
      <c r="N493" s="33"/>
      <c r="O493" s="34"/>
      <c r="Q493" s="34"/>
    </row>
    <row r="494" spans="12:17">
      <c r="L494" s="32"/>
      <c r="M494" s="32"/>
      <c r="N494" s="33"/>
      <c r="O494" s="34"/>
      <c r="Q494" s="34"/>
    </row>
    <row r="495" spans="12:17">
      <c r="L495" s="32"/>
      <c r="M495" s="32"/>
      <c r="N495" s="33"/>
      <c r="O495" s="34"/>
      <c r="Q495" s="34"/>
    </row>
    <row r="496" spans="12:17">
      <c r="L496" s="32"/>
      <c r="M496" s="32"/>
      <c r="N496" s="33"/>
      <c r="O496" s="34"/>
      <c r="Q496" s="34"/>
    </row>
    <row r="497" spans="12:17">
      <c r="L497" s="32"/>
      <c r="M497" s="32"/>
      <c r="N497" s="33"/>
      <c r="O497" s="34"/>
      <c r="Q497" s="34"/>
    </row>
    <row r="498" spans="12:17">
      <c r="L498" s="32"/>
      <c r="M498" s="32"/>
      <c r="N498" s="33"/>
      <c r="O498" s="34"/>
      <c r="Q498" s="34"/>
    </row>
    <row r="499" spans="12:17">
      <c r="L499" s="32"/>
      <c r="M499" s="32"/>
      <c r="N499" s="33"/>
      <c r="O499" s="34"/>
      <c r="Q499" s="34"/>
    </row>
    <row r="500" spans="12:17">
      <c r="L500" s="32"/>
      <c r="M500" s="32"/>
      <c r="N500" s="33"/>
      <c r="O500" s="34"/>
      <c r="Q500" s="34"/>
    </row>
    <row r="501" spans="12:17">
      <c r="L501" s="32"/>
      <c r="M501" s="32"/>
      <c r="N501" s="33"/>
      <c r="O501" s="34"/>
      <c r="Q501" s="34"/>
    </row>
    <row r="502" spans="12:17">
      <c r="L502" s="32"/>
      <c r="M502" s="32"/>
      <c r="N502" s="33"/>
      <c r="O502" s="34"/>
      <c r="Q502" s="34"/>
    </row>
    <row r="503" spans="12:17">
      <c r="L503" s="32"/>
      <c r="M503" s="32"/>
      <c r="N503" s="33"/>
      <c r="O503" s="34"/>
      <c r="Q503" s="34"/>
    </row>
    <row r="504" spans="12:17">
      <c r="L504" s="32"/>
      <c r="M504" s="32"/>
      <c r="N504" s="33"/>
      <c r="O504" s="34"/>
      <c r="Q504" s="34"/>
    </row>
    <row r="505" spans="12:17">
      <c r="L505" s="32"/>
      <c r="M505" s="32"/>
      <c r="N505" s="33"/>
      <c r="O505" s="34"/>
      <c r="Q505" s="34"/>
    </row>
    <row r="506" spans="12:17">
      <c r="L506" s="32"/>
      <c r="M506" s="32"/>
      <c r="N506" s="33"/>
      <c r="O506" s="34"/>
      <c r="Q506" s="34"/>
    </row>
    <row r="507" spans="12:17">
      <c r="L507" s="32"/>
      <c r="M507" s="32"/>
      <c r="N507" s="33"/>
      <c r="O507" s="34"/>
      <c r="Q507" s="34"/>
    </row>
    <row r="508" spans="12:17">
      <c r="L508" s="32"/>
      <c r="M508" s="32"/>
      <c r="N508" s="33"/>
      <c r="O508" s="34"/>
      <c r="Q508" s="34"/>
    </row>
    <row r="509" spans="12:17">
      <c r="L509" s="32"/>
      <c r="M509" s="32"/>
      <c r="N509" s="33"/>
      <c r="O509" s="34"/>
      <c r="Q509" s="34"/>
    </row>
    <row r="510" spans="12:17">
      <c r="L510" s="32"/>
      <c r="M510" s="32"/>
      <c r="N510" s="33"/>
      <c r="O510" s="34"/>
      <c r="Q510" s="34"/>
    </row>
    <row r="511" spans="12:17">
      <c r="L511" s="32"/>
      <c r="M511" s="32"/>
      <c r="N511" s="33"/>
      <c r="O511" s="34"/>
      <c r="Q511" s="34"/>
    </row>
    <row r="512" spans="12:17">
      <c r="L512" s="32"/>
      <c r="M512" s="32"/>
      <c r="N512" s="33"/>
      <c r="O512" s="34"/>
      <c r="Q512" s="34"/>
    </row>
    <row r="513" spans="12:17">
      <c r="L513" s="32"/>
      <c r="M513" s="32"/>
      <c r="N513" s="33"/>
      <c r="O513" s="34"/>
      <c r="Q513" s="34"/>
    </row>
    <row r="514" spans="12:17">
      <c r="L514" s="32"/>
      <c r="M514" s="32"/>
      <c r="N514" s="33"/>
      <c r="O514" s="34"/>
      <c r="Q514" s="34"/>
    </row>
    <row r="515" spans="12:17">
      <c r="L515" s="32"/>
      <c r="M515" s="32"/>
      <c r="N515" s="33"/>
      <c r="O515" s="34"/>
      <c r="Q515" s="34"/>
    </row>
    <row r="516" spans="12:17">
      <c r="L516" s="32"/>
      <c r="M516" s="32"/>
      <c r="N516" s="33"/>
      <c r="O516" s="34"/>
      <c r="Q516" s="34"/>
    </row>
    <row r="517" spans="12:17">
      <c r="L517" s="32"/>
      <c r="M517" s="32"/>
      <c r="N517" s="33"/>
      <c r="O517" s="34"/>
      <c r="Q517" s="34"/>
    </row>
    <row r="518" spans="12:17">
      <c r="L518" s="32"/>
      <c r="M518" s="32"/>
      <c r="N518" s="33"/>
      <c r="O518" s="34"/>
      <c r="Q518" s="34"/>
    </row>
    <row r="519" spans="12:17">
      <c r="L519" s="32"/>
      <c r="M519" s="32"/>
      <c r="N519" s="33"/>
      <c r="O519" s="34"/>
      <c r="Q519" s="34"/>
    </row>
    <row r="520" spans="12:17">
      <c r="L520" s="32"/>
      <c r="M520" s="32"/>
      <c r="N520" s="33"/>
      <c r="O520" s="34"/>
      <c r="Q520" s="34"/>
    </row>
    <row r="521" spans="12:17">
      <c r="L521" s="32"/>
      <c r="M521" s="32"/>
      <c r="N521" s="33"/>
      <c r="O521" s="34"/>
      <c r="Q521" s="34"/>
    </row>
    <row r="522" spans="12:17">
      <c r="L522" s="32"/>
      <c r="M522" s="32"/>
      <c r="N522" s="33"/>
      <c r="O522" s="34"/>
      <c r="Q522" s="34"/>
    </row>
    <row r="523" spans="12:17">
      <c r="L523" s="32"/>
      <c r="M523" s="32"/>
      <c r="N523" s="33"/>
      <c r="O523" s="34"/>
      <c r="Q523" s="34"/>
    </row>
    <row r="524" spans="12:17">
      <c r="L524" s="32"/>
      <c r="M524" s="32"/>
      <c r="N524" s="33"/>
      <c r="O524" s="34"/>
      <c r="Q524" s="34"/>
    </row>
    <row r="525" spans="12:17">
      <c r="L525" s="32"/>
      <c r="M525" s="32"/>
      <c r="N525" s="33"/>
      <c r="O525" s="34"/>
      <c r="Q525" s="34"/>
    </row>
    <row r="526" spans="12:17">
      <c r="L526" s="32"/>
      <c r="M526" s="32"/>
      <c r="N526" s="33"/>
      <c r="O526" s="34"/>
      <c r="Q526" s="34"/>
    </row>
    <row r="527" spans="12:17">
      <c r="L527" s="32"/>
      <c r="M527" s="32"/>
      <c r="N527" s="33"/>
      <c r="O527" s="34"/>
      <c r="Q527" s="34"/>
    </row>
    <row r="528" spans="12:17">
      <c r="L528" s="32"/>
      <c r="M528" s="32"/>
      <c r="N528" s="33"/>
      <c r="O528" s="34"/>
      <c r="Q528" s="34"/>
    </row>
    <row r="529" spans="12:17">
      <c r="L529" s="32"/>
      <c r="M529" s="32"/>
      <c r="N529" s="33"/>
      <c r="O529" s="34"/>
      <c r="Q529" s="34"/>
    </row>
    <row r="530" spans="12:17">
      <c r="L530" s="32"/>
      <c r="M530" s="32"/>
      <c r="N530" s="33"/>
      <c r="O530" s="34"/>
      <c r="Q530" s="34"/>
    </row>
    <row r="531" spans="12:17">
      <c r="L531" s="32"/>
      <c r="M531" s="32"/>
      <c r="N531" s="33"/>
      <c r="O531" s="34"/>
      <c r="Q531" s="34"/>
    </row>
    <row r="532" spans="12:17">
      <c r="L532" s="32"/>
      <c r="M532" s="32"/>
      <c r="N532" s="33"/>
      <c r="O532" s="34"/>
      <c r="Q532" s="34"/>
    </row>
    <row r="533" spans="12:17">
      <c r="L533" s="32"/>
      <c r="M533" s="32"/>
      <c r="N533" s="33"/>
      <c r="O533" s="34"/>
      <c r="Q533" s="34"/>
    </row>
    <row r="534" spans="12:17">
      <c r="L534" s="32"/>
      <c r="M534" s="32"/>
      <c r="N534" s="33"/>
      <c r="O534" s="34"/>
      <c r="Q534" s="34"/>
    </row>
    <row r="535" spans="12:17">
      <c r="L535" s="32"/>
      <c r="M535" s="32"/>
      <c r="N535" s="33"/>
      <c r="O535" s="34"/>
      <c r="Q535" s="34"/>
    </row>
    <row r="536" spans="12:17">
      <c r="L536" s="32"/>
      <c r="M536" s="32"/>
      <c r="N536" s="33"/>
      <c r="O536" s="34"/>
      <c r="Q536" s="34"/>
    </row>
    <row r="537" spans="12:17">
      <c r="L537" s="32"/>
      <c r="M537" s="32"/>
      <c r="N537" s="33"/>
      <c r="O537" s="34"/>
      <c r="Q537" s="34"/>
    </row>
    <row r="538" spans="12:17">
      <c r="L538" s="32"/>
      <c r="M538" s="32"/>
      <c r="N538" s="33"/>
      <c r="O538" s="34"/>
      <c r="Q538" s="34"/>
    </row>
    <row r="539" spans="12:17">
      <c r="L539" s="32"/>
      <c r="M539" s="32"/>
      <c r="N539" s="33"/>
      <c r="O539" s="34"/>
      <c r="Q539" s="34"/>
    </row>
    <row r="540" spans="12:17">
      <c r="L540" s="32"/>
      <c r="M540" s="32"/>
      <c r="N540" s="33"/>
      <c r="O540" s="34"/>
      <c r="Q540" s="34"/>
    </row>
    <row r="541" spans="12:17">
      <c r="L541" s="32"/>
      <c r="M541" s="32"/>
      <c r="N541" s="33"/>
      <c r="O541" s="34"/>
      <c r="Q541" s="34"/>
    </row>
    <row r="542" spans="12:17">
      <c r="L542" s="32"/>
      <c r="M542" s="32"/>
      <c r="N542" s="33"/>
      <c r="O542" s="34"/>
      <c r="Q542" s="34"/>
    </row>
    <row r="543" spans="12:17">
      <c r="L543" s="32"/>
      <c r="M543" s="32"/>
      <c r="N543" s="33"/>
      <c r="O543" s="34"/>
      <c r="Q543" s="34"/>
    </row>
    <row r="544" spans="12:17">
      <c r="L544" s="32"/>
      <c r="M544" s="32"/>
      <c r="N544" s="33"/>
      <c r="O544" s="34"/>
      <c r="Q544" s="34"/>
    </row>
    <row r="545" spans="12:17">
      <c r="L545" s="32"/>
      <c r="M545" s="32"/>
      <c r="N545" s="33"/>
      <c r="O545" s="34"/>
      <c r="Q545" s="34"/>
    </row>
    <row r="546" spans="12:17">
      <c r="L546" s="32"/>
      <c r="M546" s="32"/>
      <c r="N546" s="33"/>
      <c r="O546" s="34"/>
      <c r="Q546" s="34"/>
    </row>
    <row r="547" spans="12:17">
      <c r="L547" s="32"/>
      <c r="M547" s="32"/>
      <c r="N547" s="33"/>
      <c r="O547" s="34"/>
      <c r="Q547" s="34"/>
    </row>
    <row r="548" spans="12:17">
      <c r="L548" s="32"/>
      <c r="M548" s="32"/>
      <c r="N548" s="33"/>
      <c r="O548" s="34"/>
      <c r="Q548" s="34"/>
    </row>
    <row r="549" spans="12:17">
      <c r="L549" s="32"/>
      <c r="M549" s="32"/>
      <c r="N549" s="33"/>
      <c r="O549" s="34"/>
      <c r="Q549" s="34"/>
    </row>
    <row r="550" spans="12:17">
      <c r="L550" s="32"/>
      <c r="M550" s="32"/>
      <c r="N550" s="33"/>
      <c r="O550" s="34"/>
      <c r="Q550" s="34"/>
    </row>
    <row r="551" spans="12:17">
      <c r="L551" s="32"/>
      <c r="M551" s="32"/>
      <c r="N551" s="33"/>
      <c r="O551" s="34"/>
      <c r="Q551" s="34"/>
    </row>
    <row r="552" spans="12:17">
      <c r="L552" s="32"/>
      <c r="M552" s="32"/>
      <c r="N552" s="33"/>
      <c r="O552" s="34"/>
      <c r="Q552" s="34"/>
    </row>
    <row r="553" spans="12:17">
      <c r="L553" s="32"/>
      <c r="M553" s="32"/>
      <c r="N553" s="33"/>
      <c r="O553" s="34"/>
      <c r="Q553" s="34"/>
    </row>
    <row r="554" spans="12:17">
      <c r="L554" s="32"/>
      <c r="M554" s="32"/>
      <c r="N554" s="33"/>
      <c r="O554" s="34"/>
      <c r="Q554" s="34"/>
    </row>
    <row r="555" spans="12:17">
      <c r="L555" s="32"/>
      <c r="M555" s="32"/>
      <c r="N555" s="33"/>
      <c r="O555" s="34"/>
      <c r="Q555" s="34"/>
    </row>
    <row r="556" spans="12:17">
      <c r="L556" s="32"/>
      <c r="M556" s="32"/>
      <c r="N556" s="33"/>
      <c r="O556" s="34"/>
      <c r="Q556" s="34"/>
    </row>
    <row r="557" spans="12:17">
      <c r="L557" s="32"/>
      <c r="M557" s="32"/>
      <c r="N557" s="33"/>
      <c r="O557" s="34"/>
      <c r="Q557" s="34"/>
    </row>
    <row r="558" spans="12:17">
      <c r="L558" s="32"/>
      <c r="M558" s="32"/>
      <c r="N558" s="33"/>
      <c r="O558" s="34"/>
      <c r="Q558" s="34"/>
    </row>
    <row r="559" spans="12:17">
      <c r="L559" s="32"/>
      <c r="M559" s="32"/>
      <c r="N559" s="33"/>
      <c r="O559" s="34"/>
      <c r="Q559" s="34"/>
    </row>
    <row r="560" spans="12:17">
      <c r="L560" s="32"/>
      <c r="M560" s="32"/>
      <c r="N560" s="33"/>
      <c r="O560" s="34"/>
      <c r="Q560" s="34"/>
    </row>
    <row r="561" spans="12:17">
      <c r="L561" s="32"/>
      <c r="M561" s="32"/>
      <c r="N561" s="33"/>
      <c r="O561" s="34"/>
      <c r="Q561" s="34"/>
    </row>
    <row r="562" spans="12:17">
      <c r="L562" s="32"/>
      <c r="M562" s="32"/>
      <c r="N562" s="33"/>
      <c r="O562" s="34"/>
      <c r="Q562" s="34"/>
    </row>
    <row r="563" spans="12:17">
      <c r="L563" s="32"/>
      <c r="M563" s="32"/>
      <c r="N563" s="33"/>
      <c r="O563" s="34"/>
      <c r="Q563" s="34"/>
    </row>
    <row r="564" spans="12:17">
      <c r="L564" s="32"/>
      <c r="M564" s="32"/>
      <c r="N564" s="33"/>
      <c r="O564" s="34"/>
      <c r="Q564" s="34"/>
    </row>
    <row r="565" spans="12:17">
      <c r="L565" s="32"/>
      <c r="M565" s="32"/>
      <c r="N565" s="33"/>
      <c r="O565" s="34"/>
      <c r="Q565" s="34"/>
    </row>
    <row r="566" spans="12:17">
      <c r="L566" s="32"/>
      <c r="M566" s="32"/>
      <c r="N566" s="33"/>
      <c r="O566" s="34"/>
      <c r="Q566" s="34"/>
    </row>
    <row r="567" spans="12:17">
      <c r="L567" s="32"/>
      <c r="M567" s="32"/>
      <c r="N567" s="33"/>
      <c r="O567" s="34"/>
      <c r="Q567" s="34"/>
    </row>
    <row r="568" spans="12:17">
      <c r="L568" s="32"/>
      <c r="M568" s="32"/>
      <c r="N568" s="33"/>
      <c r="O568" s="34"/>
      <c r="Q568" s="34"/>
    </row>
    <row r="569" spans="12:17">
      <c r="L569" s="32"/>
      <c r="M569" s="32"/>
      <c r="N569" s="33"/>
      <c r="O569" s="34"/>
      <c r="Q569" s="34"/>
    </row>
    <row r="570" spans="12:17">
      <c r="L570" s="32"/>
      <c r="M570" s="32"/>
      <c r="N570" s="33"/>
      <c r="O570" s="34"/>
      <c r="Q570" s="34"/>
    </row>
    <row r="571" spans="12:17">
      <c r="L571" s="32"/>
      <c r="M571" s="32"/>
      <c r="N571" s="33"/>
      <c r="O571" s="34"/>
      <c r="Q571" s="34"/>
    </row>
    <row r="572" spans="12:17">
      <c r="L572" s="32"/>
      <c r="M572" s="32"/>
      <c r="N572" s="33"/>
      <c r="O572" s="34"/>
      <c r="Q572" s="34"/>
    </row>
    <row r="573" spans="12:17">
      <c r="L573" s="32"/>
      <c r="M573" s="32"/>
      <c r="N573" s="33"/>
      <c r="O573" s="34"/>
      <c r="Q573" s="34"/>
    </row>
    <row r="574" spans="12:17">
      <c r="L574" s="32"/>
      <c r="M574" s="32"/>
      <c r="N574" s="33"/>
      <c r="O574" s="34"/>
      <c r="Q574" s="34"/>
    </row>
    <row r="575" spans="12:17">
      <c r="L575" s="32"/>
      <c r="M575" s="32"/>
      <c r="N575" s="33"/>
      <c r="O575" s="34"/>
      <c r="Q575" s="34"/>
    </row>
    <row r="576" spans="12:17">
      <c r="L576" s="32"/>
      <c r="M576" s="32"/>
      <c r="N576" s="33"/>
      <c r="O576" s="34"/>
      <c r="Q576" s="34"/>
    </row>
    <row r="577" spans="12:17">
      <c r="L577" s="32"/>
      <c r="M577" s="32"/>
      <c r="N577" s="33"/>
      <c r="O577" s="34"/>
      <c r="Q577" s="34"/>
    </row>
    <row r="578" spans="12:17">
      <c r="L578" s="32"/>
      <c r="M578" s="32"/>
      <c r="N578" s="33"/>
      <c r="O578" s="34"/>
      <c r="Q578" s="34"/>
    </row>
    <row r="579" spans="12:17">
      <c r="L579" s="32"/>
      <c r="M579" s="32"/>
      <c r="N579" s="33"/>
      <c r="O579" s="34"/>
      <c r="Q579" s="34"/>
    </row>
    <row r="580" spans="12:17">
      <c r="L580" s="32"/>
      <c r="M580" s="32"/>
      <c r="N580" s="33"/>
      <c r="O580" s="34"/>
      <c r="Q580" s="34"/>
    </row>
    <row r="581" spans="12:17">
      <c r="L581" s="32"/>
      <c r="M581" s="32"/>
      <c r="N581" s="33"/>
      <c r="O581" s="34"/>
      <c r="Q581" s="34"/>
    </row>
    <row r="582" spans="12:17">
      <c r="L582" s="32"/>
      <c r="M582" s="32"/>
      <c r="N582" s="33"/>
      <c r="O582" s="34"/>
      <c r="Q582" s="34"/>
    </row>
    <row r="583" spans="12:17">
      <c r="L583" s="32"/>
      <c r="M583" s="32"/>
      <c r="N583" s="33"/>
      <c r="O583" s="34"/>
      <c r="Q583" s="34"/>
    </row>
    <row r="584" spans="12:17">
      <c r="L584" s="32"/>
      <c r="M584" s="32"/>
      <c r="N584" s="33"/>
      <c r="O584" s="34"/>
      <c r="Q584" s="34"/>
    </row>
    <row r="585" spans="12:17">
      <c r="L585" s="32"/>
      <c r="M585" s="32"/>
      <c r="N585" s="33"/>
      <c r="O585" s="34"/>
      <c r="Q585" s="34"/>
    </row>
    <row r="586" spans="12:17">
      <c r="L586" s="32"/>
      <c r="M586" s="32"/>
      <c r="N586" s="33"/>
      <c r="O586" s="34"/>
      <c r="Q586" s="34"/>
    </row>
    <row r="587" spans="12:17">
      <c r="L587" s="32"/>
      <c r="M587" s="32"/>
      <c r="N587" s="33"/>
      <c r="O587" s="34"/>
      <c r="Q587" s="34"/>
    </row>
    <row r="588" spans="12:17">
      <c r="L588" s="32"/>
      <c r="M588" s="32"/>
      <c r="N588" s="33"/>
      <c r="O588" s="34"/>
      <c r="Q588" s="34"/>
    </row>
    <row r="589" spans="12:17">
      <c r="L589" s="32"/>
      <c r="M589" s="32"/>
      <c r="N589" s="33"/>
      <c r="O589" s="34"/>
      <c r="Q589" s="34"/>
    </row>
    <row r="590" spans="12:17">
      <c r="L590" s="32"/>
      <c r="M590" s="32"/>
      <c r="N590" s="33"/>
      <c r="O590" s="34"/>
      <c r="Q590" s="34"/>
    </row>
    <row r="591" spans="12:17">
      <c r="L591" s="32"/>
      <c r="M591" s="32"/>
      <c r="N591" s="33"/>
      <c r="O591" s="34"/>
      <c r="Q591" s="34"/>
    </row>
    <row r="592" spans="12:17">
      <c r="L592" s="32"/>
      <c r="M592" s="32"/>
      <c r="N592" s="33"/>
      <c r="O592" s="34"/>
      <c r="Q592" s="34"/>
    </row>
    <row r="593" spans="12:17">
      <c r="L593" s="32"/>
      <c r="M593" s="32"/>
      <c r="N593" s="33"/>
      <c r="O593" s="34"/>
      <c r="Q593" s="34"/>
    </row>
    <row r="594" spans="12:17">
      <c r="L594" s="32"/>
      <c r="M594" s="32"/>
      <c r="N594" s="33"/>
      <c r="O594" s="34"/>
      <c r="Q594" s="34"/>
    </row>
    <row r="595" spans="12:17">
      <c r="L595" s="32"/>
      <c r="M595" s="32"/>
      <c r="N595" s="33"/>
      <c r="O595" s="34"/>
      <c r="Q595" s="34"/>
    </row>
    <row r="596" spans="12:17">
      <c r="L596" s="32"/>
      <c r="M596" s="32"/>
      <c r="N596" s="33"/>
      <c r="O596" s="34"/>
      <c r="Q596" s="34"/>
    </row>
    <row r="597" spans="12:17">
      <c r="L597" s="32"/>
      <c r="M597" s="32"/>
      <c r="N597" s="33"/>
      <c r="O597" s="34"/>
      <c r="Q597" s="34"/>
    </row>
    <row r="598" spans="12:17">
      <c r="L598" s="32"/>
      <c r="M598" s="32"/>
      <c r="N598" s="33"/>
      <c r="O598" s="34"/>
      <c r="Q598" s="34"/>
    </row>
    <row r="599" spans="12:17">
      <c r="L599" s="32"/>
      <c r="M599" s="32"/>
      <c r="N599" s="33"/>
      <c r="O599" s="34"/>
      <c r="Q599" s="34"/>
    </row>
    <row r="600" spans="12:17">
      <c r="L600" s="32"/>
      <c r="M600" s="32"/>
      <c r="N600" s="33"/>
      <c r="O600" s="34"/>
      <c r="Q600" s="34"/>
    </row>
    <row r="601" spans="12:17">
      <c r="L601" s="32"/>
      <c r="M601" s="32"/>
      <c r="N601" s="33"/>
      <c r="O601" s="34"/>
      <c r="Q601" s="34"/>
    </row>
    <row r="602" spans="12:17">
      <c r="L602" s="32"/>
      <c r="M602" s="32"/>
      <c r="N602" s="33"/>
      <c r="O602" s="34"/>
      <c r="Q602" s="34"/>
    </row>
    <row r="603" spans="12:17">
      <c r="L603" s="32"/>
      <c r="M603" s="32"/>
      <c r="N603" s="33"/>
      <c r="O603" s="34"/>
      <c r="Q603" s="34"/>
    </row>
    <row r="604" spans="12:17">
      <c r="L604" s="32"/>
      <c r="M604" s="32"/>
      <c r="N604" s="33"/>
      <c r="O604" s="34"/>
      <c r="Q604" s="34"/>
    </row>
    <row r="605" spans="12:17">
      <c r="L605" s="32"/>
      <c r="M605" s="32"/>
      <c r="N605" s="33"/>
      <c r="O605" s="34"/>
      <c r="Q605" s="34"/>
    </row>
    <row r="606" spans="12:17">
      <c r="L606" s="32"/>
      <c r="M606" s="32"/>
      <c r="N606" s="33"/>
      <c r="O606" s="34"/>
      <c r="Q606" s="34"/>
    </row>
    <row r="607" spans="12:17">
      <c r="L607" s="32"/>
      <c r="M607" s="32"/>
      <c r="N607" s="33"/>
      <c r="O607" s="34"/>
      <c r="Q607" s="34"/>
    </row>
    <row r="608" spans="12:17">
      <c r="L608" s="32"/>
      <c r="M608" s="32"/>
      <c r="N608" s="33"/>
      <c r="O608" s="34"/>
      <c r="Q608" s="34"/>
    </row>
    <row r="609" spans="12:17">
      <c r="L609" s="32"/>
      <c r="M609" s="32"/>
      <c r="N609" s="33"/>
      <c r="O609" s="34"/>
      <c r="Q609" s="34"/>
    </row>
    <row r="610" spans="12:17">
      <c r="L610" s="32"/>
      <c r="M610" s="32"/>
      <c r="N610" s="33"/>
      <c r="O610" s="34"/>
      <c r="Q610" s="34"/>
    </row>
    <row r="611" spans="12:17">
      <c r="L611" s="32"/>
      <c r="M611" s="32"/>
      <c r="N611" s="33"/>
      <c r="O611" s="34"/>
      <c r="Q611" s="34"/>
    </row>
    <row r="612" spans="12:17">
      <c r="L612" s="32"/>
      <c r="M612" s="32"/>
      <c r="N612" s="33"/>
      <c r="O612" s="34"/>
      <c r="Q612" s="34"/>
    </row>
    <row r="613" spans="12:17">
      <c r="L613" s="32"/>
      <c r="M613" s="32"/>
      <c r="N613" s="33"/>
      <c r="O613" s="34"/>
      <c r="Q613" s="34"/>
    </row>
    <row r="614" spans="12:17">
      <c r="L614" s="32"/>
      <c r="M614" s="32"/>
      <c r="N614" s="33"/>
      <c r="O614" s="34"/>
      <c r="Q614" s="34"/>
    </row>
    <row r="615" spans="12:17">
      <c r="L615" s="32"/>
      <c r="M615" s="32"/>
      <c r="N615" s="33"/>
      <c r="O615" s="34"/>
      <c r="Q615" s="34"/>
    </row>
    <row r="616" spans="12:17">
      <c r="L616" s="32"/>
      <c r="M616" s="32"/>
      <c r="N616" s="33"/>
      <c r="O616" s="34"/>
      <c r="Q616" s="34"/>
    </row>
    <row r="617" spans="12:17">
      <c r="L617" s="32"/>
      <c r="M617" s="32"/>
      <c r="N617" s="33"/>
      <c r="O617" s="34"/>
      <c r="Q617" s="34"/>
    </row>
    <row r="618" spans="12:17">
      <c r="L618" s="32"/>
      <c r="M618" s="32"/>
      <c r="N618" s="33"/>
      <c r="O618" s="34"/>
      <c r="Q618" s="34"/>
    </row>
    <row r="619" spans="12:17">
      <c r="L619" s="32"/>
      <c r="M619" s="32"/>
      <c r="N619" s="33"/>
      <c r="O619" s="34"/>
      <c r="Q619" s="34"/>
    </row>
    <row r="620" spans="12:17">
      <c r="L620" s="32"/>
      <c r="M620" s="32"/>
      <c r="N620" s="33"/>
      <c r="O620" s="34"/>
      <c r="Q620" s="34"/>
    </row>
    <row r="621" spans="12:17">
      <c r="L621" s="32"/>
      <c r="M621" s="32"/>
      <c r="N621" s="33"/>
      <c r="O621" s="34"/>
      <c r="Q621" s="34"/>
    </row>
    <row r="622" spans="12:17">
      <c r="L622" s="32"/>
      <c r="M622" s="32"/>
      <c r="N622" s="33"/>
      <c r="O622" s="34"/>
      <c r="Q622" s="34"/>
    </row>
    <row r="623" spans="12:17">
      <c r="L623" s="32"/>
      <c r="M623" s="32"/>
      <c r="N623" s="33"/>
      <c r="O623" s="34"/>
      <c r="Q623" s="34"/>
    </row>
    <row r="624" spans="12:17">
      <c r="L624" s="32"/>
      <c r="M624" s="32"/>
      <c r="N624" s="33"/>
      <c r="O624" s="34"/>
      <c r="Q624" s="34"/>
    </row>
    <row r="625" spans="12:17">
      <c r="L625" s="32"/>
      <c r="M625" s="32"/>
      <c r="N625" s="33"/>
      <c r="O625" s="34"/>
      <c r="Q625" s="34"/>
    </row>
    <row r="626" spans="12:17">
      <c r="L626" s="32"/>
      <c r="M626" s="32"/>
      <c r="N626" s="33"/>
      <c r="O626" s="34"/>
      <c r="Q626" s="34"/>
    </row>
    <row r="627" spans="12:17">
      <c r="L627" s="32"/>
      <c r="M627" s="32"/>
      <c r="N627" s="33"/>
      <c r="O627" s="34"/>
      <c r="Q627" s="34"/>
    </row>
    <row r="628" spans="12:17">
      <c r="L628" s="32"/>
      <c r="M628" s="32"/>
      <c r="N628" s="33"/>
      <c r="O628" s="34"/>
      <c r="Q628" s="34"/>
    </row>
    <row r="629" spans="12:17">
      <c r="L629" s="32"/>
      <c r="M629" s="32"/>
      <c r="N629" s="33"/>
      <c r="O629" s="34"/>
      <c r="Q629" s="34"/>
    </row>
    <row r="630" spans="12:17">
      <c r="L630" s="32"/>
      <c r="M630" s="32"/>
      <c r="N630" s="33"/>
      <c r="O630" s="34"/>
      <c r="Q630" s="34"/>
    </row>
    <row r="631" spans="12:17">
      <c r="L631" s="32"/>
      <c r="M631" s="32"/>
      <c r="N631" s="33"/>
      <c r="O631" s="34"/>
      <c r="Q631" s="34"/>
    </row>
    <row r="632" spans="12:17">
      <c r="L632" s="32"/>
      <c r="M632" s="32"/>
      <c r="N632" s="33"/>
      <c r="O632" s="34"/>
      <c r="Q632" s="34"/>
    </row>
    <row r="633" spans="12:17">
      <c r="L633" s="32"/>
      <c r="M633" s="32"/>
      <c r="N633" s="33"/>
      <c r="O633" s="34"/>
      <c r="Q633" s="34"/>
    </row>
    <row r="634" spans="12:17">
      <c r="L634" s="32"/>
      <c r="M634" s="32"/>
      <c r="N634" s="33"/>
      <c r="O634" s="34"/>
      <c r="Q634" s="34"/>
    </row>
    <row r="635" spans="12:17">
      <c r="L635" s="32"/>
      <c r="M635" s="32"/>
      <c r="N635" s="33"/>
      <c r="O635" s="34"/>
      <c r="Q635" s="34"/>
    </row>
    <row r="636" spans="12:17">
      <c r="L636" s="32"/>
      <c r="M636" s="32"/>
      <c r="N636" s="33"/>
      <c r="O636" s="34"/>
      <c r="Q636" s="34"/>
    </row>
    <row r="637" spans="12:17">
      <c r="L637" s="32"/>
      <c r="M637" s="32"/>
      <c r="N637" s="33"/>
      <c r="O637" s="34"/>
      <c r="Q637" s="34"/>
    </row>
    <row r="638" spans="12:17">
      <c r="L638" s="32"/>
      <c r="M638" s="32"/>
      <c r="N638" s="33"/>
      <c r="O638" s="34"/>
      <c r="Q638" s="34"/>
    </row>
    <row r="639" spans="12:17">
      <c r="L639" s="32"/>
      <c r="M639" s="32"/>
      <c r="N639" s="33"/>
      <c r="O639" s="34"/>
      <c r="Q639" s="34"/>
    </row>
    <row r="640" spans="12:17">
      <c r="L640" s="32"/>
      <c r="M640" s="32"/>
      <c r="N640" s="33"/>
      <c r="O640" s="34"/>
      <c r="Q640" s="34"/>
    </row>
    <row r="641" spans="12:17">
      <c r="L641" s="32"/>
      <c r="M641" s="32"/>
      <c r="N641" s="33"/>
      <c r="O641" s="34"/>
      <c r="Q641" s="34"/>
    </row>
    <row r="642" spans="12:17">
      <c r="L642" s="32"/>
      <c r="M642" s="32"/>
      <c r="N642" s="33"/>
      <c r="O642" s="34"/>
      <c r="Q642" s="34"/>
    </row>
    <row r="643" spans="12:17">
      <c r="L643" s="32"/>
      <c r="M643" s="32"/>
      <c r="N643" s="33"/>
      <c r="O643" s="34"/>
      <c r="Q643" s="34"/>
    </row>
    <row r="644" spans="12:17">
      <c r="L644" s="32"/>
      <c r="M644" s="32"/>
      <c r="N644" s="33"/>
      <c r="O644" s="34"/>
      <c r="Q644" s="34"/>
    </row>
    <row r="645" spans="12:17">
      <c r="L645" s="32"/>
      <c r="M645" s="32"/>
      <c r="N645" s="33"/>
      <c r="O645" s="34"/>
      <c r="Q645" s="34"/>
    </row>
    <row r="646" spans="12:17">
      <c r="L646" s="32"/>
      <c r="M646" s="32"/>
      <c r="N646" s="33"/>
      <c r="O646" s="34"/>
      <c r="Q646" s="34"/>
    </row>
    <row r="647" spans="12:17">
      <c r="L647" s="32"/>
      <c r="M647" s="32"/>
      <c r="N647" s="33"/>
      <c r="O647" s="34"/>
      <c r="Q647" s="34"/>
    </row>
    <row r="648" spans="12:17">
      <c r="L648" s="32"/>
      <c r="M648" s="32"/>
      <c r="N648" s="33"/>
      <c r="O648" s="34"/>
      <c r="Q648" s="34"/>
    </row>
    <row r="649" spans="12:17">
      <c r="L649" s="32"/>
      <c r="M649" s="32"/>
      <c r="N649" s="33"/>
      <c r="O649" s="34"/>
      <c r="Q649" s="34"/>
    </row>
    <row r="650" spans="12:17">
      <c r="L650" s="32"/>
      <c r="M650" s="32"/>
      <c r="N650" s="33"/>
      <c r="O650" s="34"/>
      <c r="Q650" s="34"/>
    </row>
    <row r="651" spans="12:17">
      <c r="L651" s="32"/>
      <c r="M651" s="32"/>
      <c r="N651" s="33"/>
      <c r="O651" s="34"/>
      <c r="Q651" s="34"/>
    </row>
    <row r="652" spans="12:17">
      <c r="L652" s="32"/>
      <c r="M652" s="32"/>
      <c r="N652" s="33"/>
      <c r="O652" s="34"/>
      <c r="Q652" s="34"/>
    </row>
    <row r="653" spans="12:17">
      <c r="L653" s="32"/>
      <c r="M653" s="32"/>
      <c r="N653" s="33"/>
      <c r="O653" s="34"/>
      <c r="Q653" s="34"/>
    </row>
    <row r="654" spans="12:17">
      <c r="L654" s="32"/>
      <c r="M654" s="32"/>
      <c r="N654" s="33"/>
      <c r="O654" s="34"/>
      <c r="Q654" s="34"/>
    </row>
    <row r="655" spans="12:17">
      <c r="L655" s="32"/>
      <c r="M655" s="32"/>
      <c r="N655" s="33"/>
      <c r="O655" s="34"/>
      <c r="Q655" s="34"/>
    </row>
    <row r="656" spans="12:17">
      <c r="L656" s="32"/>
      <c r="M656" s="32"/>
      <c r="N656" s="33"/>
      <c r="O656" s="34"/>
      <c r="Q656" s="34"/>
    </row>
    <row r="657" spans="12:17">
      <c r="L657" s="32"/>
      <c r="M657" s="32"/>
      <c r="N657" s="33"/>
      <c r="O657" s="34"/>
      <c r="Q657" s="34"/>
    </row>
    <row r="658" spans="12:17">
      <c r="L658" s="32"/>
      <c r="M658" s="32"/>
      <c r="N658" s="33"/>
      <c r="O658" s="34"/>
      <c r="Q658" s="34"/>
    </row>
    <row r="659" spans="12:17">
      <c r="L659" s="32"/>
      <c r="M659" s="32"/>
      <c r="N659" s="33"/>
      <c r="O659" s="34"/>
      <c r="Q659" s="34"/>
    </row>
    <row r="660" spans="12:17">
      <c r="L660" s="32"/>
      <c r="M660" s="32"/>
      <c r="N660" s="33"/>
      <c r="O660" s="34"/>
      <c r="Q660" s="34"/>
    </row>
    <row r="661" spans="12:17">
      <c r="L661" s="32"/>
      <c r="M661" s="32"/>
      <c r="N661" s="33"/>
      <c r="O661" s="34"/>
      <c r="Q661" s="34"/>
    </row>
    <row r="662" spans="12:17">
      <c r="L662" s="32"/>
      <c r="M662" s="32"/>
      <c r="N662" s="33"/>
      <c r="O662" s="34"/>
      <c r="Q662" s="34"/>
    </row>
    <row r="663" spans="12:17">
      <c r="L663" s="32"/>
      <c r="M663" s="32"/>
      <c r="N663" s="33"/>
      <c r="O663" s="34"/>
      <c r="Q663" s="34"/>
    </row>
    <row r="664" spans="12:17">
      <c r="L664" s="32"/>
      <c r="M664" s="32"/>
      <c r="N664" s="33"/>
      <c r="O664" s="34"/>
      <c r="Q664" s="34"/>
    </row>
    <row r="665" spans="12:17">
      <c r="L665" s="32"/>
      <c r="M665" s="32"/>
      <c r="N665" s="33"/>
      <c r="O665" s="34"/>
      <c r="Q665" s="34"/>
    </row>
    <row r="666" spans="12:17">
      <c r="L666" s="32"/>
      <c r="M666" s="32"/>
      <c r="N666" s="33"/>
      <c r="O666" s="34"/>
      <c r="Q666" s="34"/>
    </row>
    <row r="667" spans="12:17">
      <c r="L667" s="32"/>
      <c r="M667" s="32"/>
      <c r="N667" s="33"/>
      <c r="O667" s="34"/>
      <c r="Q667" s="34"/>
    </row>
    <row r="668" spans="12:17">
      <c r="L668" s="32"/>
      <c r="M668" s="32"/>
      <c r="N668" s="33"/>
      <c r="O668" s="34"/>
      <c r="Q668" s="34"/>
    </row>
    <row r="669" spans="12:17">
      <c r="L669" s="32"/>
      <c r="M669" s="32"/>
      <c r="N669" s="33"/>
      <c r="O669" s="34"/>
      <c r="Q669" s="34"/>
    </row>
    <row r="670" spans="12:17">
      <c r="L670" s="32"/>
      <c r="M670" s="32"/>
      <c r="N670" s="33"/>
      <c r="O670" s="34"/>
      <c r="Q670" s="34"/>
    </row>
    <row r="671" spans="12:17">
      <c r="L671" s="32"/>
      <c r="M671" s="32"/>
      <c r="N671" s="33"/>
      <c r="O671" s="34"/>
      <c r="Q671" s="34"/>
    </row>
    <row r="672" spans="12:17">
      <c r="L672" s="32"/>
      <c r="M672" s="32"/>
      <c r="N672" s="33"/>
      <c r="O672" s="34"/>
      <c r="Q672" s="34"/>
    </row>
    <row r="673" spans="12:17">
      <c r="L673" s="32"/>
      <c r="M673" s="32"/>
      <c r="N673" s="33"/>
      <c r="O673" s="34"/>
      <c r="Q673" s="34"/>
    </row>
    <row r="674" spans="12:17">
      <c r="L674" s="32"/>
      <c r="M674" s="32"/>
      <c r="N674" s="33"/>
      <c r="O674" s="34"/>
      <c r="Q674" s="34"/>
    </row>
    <row r="675" spans="12:17">
      <c r="L675" s="32"/>
      <c r="M675" s="32"/>
      <c r="N675" s="33"/>
      <c r="O675" s="34"/>
      <c r="Q675" s="34"/>
    </row>
    <row r="676" spans="12:17">
      <c r="L676" s="32"/>
      <c r="M676" s="32"/>
      <c r="N676" s="33"/>
      <c r="O676" s="34"/>
      <c r="Q676" s="34"/>
    </row>
    <row r="677" spans="12:17">
      <c r="L677" s="32"/>
      <c r="M677" s="32"/>
      <c r="N677" s="33"/>
      <c r="O677" s="34"/>
      <c r="Q677" s="34"/>
    </row>
    <row r="678" spans="12:17">
      <c r="L678" s="32"/>
      <c r="M678" s="32"/>
      <c r="N678" s="33"/>
      <c r="O678" s="34"/>
      <c r="Q678" s="34"/>
    </row>
    <row r="679" spans="12:17">
      <c r="L679" s="32"/>
      <c r="M679" s="32"/>
      <c r="N679" s="33"/>
      <c r="O679" s="34"/>
      <c r="Q679" s="34"/>
    </row>
    <row r="680" spans="12:17">
      <c r="L680" s="32"/>
      <c r="M680" s="32"/>
      <c r="N680" s="33"/>
      <c r="O680" s="34"/>
      <c r="Q680" s="34"/>
    </row>
    <row r="681" spans="12:17">
      <c r="L681" s="32"/>
      <c r="M681" s="32"/>
      <c r="N681" s="33"/>
      <c r="O681" s="34"/>
      <c r="Q681" s="34"/>
    </row>
  </sheetData>
  <sheetProtection algorithmName="SHA-512" hashValue="+DNi3n+GmsTE13Ytod/SGvV2fgTx+LqFsXISccWAwALqLkJtCQDRoi7FiwV3UAnP4pIMC+Pqn6aWPYXV/MPFBA==" saltValue="ib7jwMMIj0TWXu1/kaeAHg==" spinCount="100000" sheet="1" formatCells="0" formatColumns="0" formatRows="0" insertColumns="0" insertRows="0" insertHyperlinks="0" deleteColumns="0" deleteRows="0" sort="0" autoFilter="0" pivotTables="0"/>
  <autoFilter ref="A2:J168" xr:uid="{A0AC0EC7-17DA-4560-9DB7-E98BC1E57C10}">
    <sortState xmlns:xlrd2="http://schemas.microsoft.com/office/spreadsheetml/2017/richdata2" ref="A3:J168">
      <sortCondition ref="G2:G168"/>
    </sortState>
  </autoFilter>
  <sortState xmlns:xlrd2="http://schemas.microsoft.com/office/spreadsheetml/2017/richdata2" ref="A135:I139">
    <sortCondition ref="G135:G139"/>
  </sortState>
  <mergeCells count="3">
    <mergeCell ref="A1:I1"/>
    <mergeCell ref="M1:M2"/>
    <mergeCell ref="B172:B173"/>
  </mergeCells>
  <conditionalFormatting sqref="G2">
    <cfRule type="containsText" dxfId="6" priority="137" operator="containsText" text="Please">
      <formula>NOT(ISERROR(SEARCH("Please",G2)))</formula>
    </cfRule>
  </conditionalFormatting>
  <conditionalFormatting sqref="G3:G168">
    <cfRule type="containsText" dxfId="5" priority="53" operator="containsText" text="В">
      <formula>NOT(ISERROR(SEARCH("В",G3)))</formula>
    </cfRule>
    <cfRule type="containsText" dxfId="4" priority="54" operator="containsText" text="А">
      <formula>NOT(ISERROR(SEARCH("А",G3)))</formula>
    </cfRule>
    <cfRule type="containsText" dxfId="3" priority="55" operator="containsText" text="С">
      <formula>NOT(ISERROR(SEARCH("С",G3)))</formula>
    </cfRule>
    <cfRule type="colorScale" priority="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:I1048576">
    <cfRule type="containsText" dxfId="2" priority="139" operator="containsText" text="Please">
      <formula>NOT(ISERROR(SEARCH("Please",I1)))</formula>
    </cfRule>
  </conditionalFormatting>
  <conditionalFormatting sqref="J2">
    <cfRule type="expression" dxfId="1" priority="140">
      <formula>$J$2&gt;0</formula>
    </cfRule>
  </conditionalFormatting>
  <conditionalFormatting sqref="Q1">
    <cfRule type="expression" dxfId="0" priority="138">
      <formula>"&gt;0"</formula>
    </cfRule>
  </conditionalFormatting>
  <dataValidations disablePrompts="1" count="1">
    <dataValidation type="custom" allowBlank="1" showInputMessage="1" showErrorMessage="1" errorTitle="ERROR" error="Order quantity must be a multiple of Sales per Unit Case (See Column D)." prompt="Order quantity must be a multiple of Sales per Unit Case (See Column D)." sqref="H67:H72 H74:H81 H33:H41 H104:H118 H120:H129 H132:H168 H90:H102 H83:H88 H43:H65 H27:H31 H3:H25" xr:uid="{EAF30BBE-DC7A-4A8C-804E-88FF9FE7CB4D}">
      <formula1>MOD(H3,D3)=0</formula1>
    </dataValidation>
  </dataValidation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DSN GROUP (Nordic)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PC</dc:creator>
  <cp:lastModifiedBy>Денис Хомик</cp:lastModifiedBy>
  <dcterms:created xsi:type="dcterms:W3CDTF">2022-10-11T15:33:44Z</dcterms:created>
  <dcterms:modified xsi:type="dcterms:W3CDTF">2026-03-16T09:08:05Z</dcterms:modified>
</cp:coreProperties>
</file>