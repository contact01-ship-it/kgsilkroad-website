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rices\Bioray\Продаж\"/>
    </mc:Choice>
  </mc:AlternateContent>
  <xr:revisionPtr revIDLastSave="0" documentId="13_ncr:1_{F2A9BC7D-8DF6-4ACC-9E65-F1D16E82C4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oray" sheetId="2" r:id="rId1"/>
  </sheets>
  <definedNames>
    <definedName name="_xlnm._FilterDatabase" localSheetId="0" hidden="1">Bioray!$A$2:$J$36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7" i="2" l="1"/>
  <c r="M20" i="2"/>
  <c r="M18" i="2"/>
  <c r="M15" i="2"/>
  <c r="M11" i="2"/>
  <c r="M9" i="2"/>
  <c r="M7" i="2"/>
  <c r="M6" i="2"/>
  <c r="M4" i="2"/>
  <c r="O4" i="2"/>
  <c r="P4" i="2"/>
  <c r="M5" i="2"/>
  <c r="N5" i="2"/>
  <c r="O5" i="2"/>
  <c r="P5" i="2"/>
  <c r="R5" i="2" s="1"/>
  <c r="N6" i="2"/>
  <c r="O6" i="2"/>
  <c r="P6" i="2"/>
  <c r="O7" i="2"/>
  <c r="P7" i="2"/>
  <c r="M8" i="2"/>
  <c r="N8" i="2"/>
  <c r="O8" i="2"/>
  <c r="P8" i="2"/>
  <c r="N9" i="2"/>
  <c r="O9" i="2"/>
  <c r="P9" i="2"/>
  <c r="M10" i="2"/>
  <c r="N10" i="2"/>
  <c r="O10" i="2"/>
  <c r="P10" i="2"/>
  <c r="N11" i="2"/>
  <c r="O11" i="2"/>
  <c r="P11" i="2"/>
  <c r="M12" i="2"/>
  <c r="N12" i="2"/>
  <c r="O12" i="2"/>
  <c r="P12" i="2"/>
  <c r="M13" i="2"/>
  <c r="N13" i="2"/>
  <c r="O13" i="2"/>
  <c r="P13" i="2"/>
  <c r="M14" i="2"/>
  <c r="N14" i="2"/>
  <c r="O14" i="2"/>
  <c r="P14" i="2"/>
  <c r="N15" i="2"/>
  <c r="O15" i="2"/>
  <c r="P15" i="2"/>
  <c r="M16" i="2"/>
  <c r="N16" i="2"/>
  <c r="O16" i="2"/>
  <c r="P16" i="2"/>
  <c r="M17" i="2"/>
  <c r="N17" i="2"/>
  <c r="O17" i="2"/>
  <c r="P17" i="2"/>
  <c r="R17" i="2" s="1"/>
  <c r="N18" i="2"/>
  <c r="O18" i="2"/>
  <c r="P18" i="2"/>
  <c r="M19" i="2"/>
  <c r="N19" i="2"/>
  <c r="O19" i="2"/>
  <c r="P19" i="2"/>
  <c r="N20" i="2"/>
  <c r="O20" i="2"/>
  <c r="P20" i="2"/>
  <c r="M21" i="2"/>
  <c r="N21" i="2"/>
  <c r="O21" i="2"/>
  <c r="P21" i="2"/>
  <c r="M22" i="2"/>
  <c r="N22" i="2"/>
  <c r="O22" i="2"/>
  <c r="P22" i="2"/>
  <c r="M23" i="2"/>
  <c r="N23" i="2"/>
  <c r="O23" i="2"/>
  <c r="P23" i="2"/>
  <c r="M24" i="2"/>
  <c r="N24" i="2"/>
  <c r="O24" i="2"/>
  <c r="P24" i="2"/>
  <c r="M25" i="2"/>
  <c r="N25" i="2"/>
  <c r="O25" i="2"/>
  <c r="P25" i="2"/>
  <c r="M26" i="2"/>
  <c r="N26" i="2"/>
  <c r="O26" i="2"/>
  <c r="P26" i="2"/>
  <c r="R26" i="2" s="1"/>
  <c r="N27" i="2"/>
  <c r="O27" i="2"/>
  <c r="P27" i="2"/>
  <c r="M28" i="2"/>
  <c r="N28" i="2"/>
  <c r="O28" i="2"/>
  <c r="P28" i="2"/>
  <c r="M29" i="2"/>
  <c r="N29" i="2"/>
  <c r="O29" i="2"/>
  <c r="P29" i="2"/>
  <c r="M30" i="2"/>
  <c r="N30" i="2"/>
  <c r="O30" i="2"/>
  <c r="P30" i="2"/>
  <c r="M31" i="2"/>
  <c r="N31" i="2"/>
  <c r="O31" i="2"/>
  <c r="P31" i="2"/>
  <c r="R31" i="2" s="1"/>
  <c r="M32" i="2"/>
  <c r="N32" i="2"/>
  <c r="O32" i="2"/>
  <c r="P32" i="2"/>
  <c r="M33" i="2"/>
  <c r="N33" i="2"/>
  <c r="O33" i="2"/>
  <c r="P33" i="2"/>
  <c r="M34" i="2"/>
  <c r="N34" i="2"/>
  <c r="O34" i="2"/>
  <c r="P34" i="2"/>
  <c r="M35" i="2"/>
  <c r="N35" i="2"/>
  <c r="O35" i="2"/>
  <c r="P35" i="2"/>
  <c r="P3" i="2"/>
  <c r="R3" i="2" s="1"/>
  <c r="O3" i="2"/>
  <c r="N3" i="2"/>
  <c r="M3" i="2"/>
  <c r="P2" i="2" l="1"/>
  <c r="O2" i="2"/>
  <c r="N4" i="2" l="1"/>
  <c r="N7" i="2"/>
  <c r="J35" i="2"/>
  <c r="R35" i="2" s="1"/>
  <c r="J34" i="2"/>
  <c r="R34" i="2" s="1"/>
  <c r="J33" i="2"/>
  <c r="R33" i="2" s="1"/>
  <c r="J32" i="2"/>
  <c r="R32" i="2" s="1"/>
  <c r="J30" i="2"/>
  <c r="R30" i="2" s="1"/>
  <c r="J29" i="2"/>
  <c r="R29" i="2" s="1"/>
  <c r="J28" i="2"/>
  <c r="R28" i="2" s="1"/>
  <c r="J27" i="2"/>
  <c r="R27" i="2" s="1"/>
  <c r="J25" i="2"/>
  <c r="R25" i="2" s="1"/>
  <c r="J24" i="2"/>
  <c r="R24" i="2" s="1"/>
  <c r="J23" i="2"/>
  <c r="R23" i="2" s="1"/>
  <c r="J22" i="2"/>
  <c r="R22" i="2" s="1"/>
  <c r="J21" i="2"/>
  <c r="R21" i="2" s="1"/>
  <c r="J20" i="2"/>
  <c r="R20" i="2" s="1"/>
  <c r="J19" i="2"/>
  <c r="R19" i="2" s="1"/>
  <c r="J18" i="2"/>
  <c r="R18" i="2" s="1"/>
  <c r="J16" i="2"/>
  <c r="R16" i="2" s="1"/>
  <c r="J15" i="2"/>
  <c r="R15" i="2" s="1"/>
  <c r="J14" i="2"/>
  <c r="R14" i="2" s="1"/>
  <c r="J13" i="2"/>
  <c r="R13" i="2" s="1"/>
  <c r="J12" i="2"/>
  <c r="R12" i="2" s="1"/>
  <c r="J11" i="2"/>
  <c r="R11" i="2" s="1"/>
  <c r="J10" i="2"/>
  <c r="R10" i="2" s="1"/>
  <c r="J9" i="2"/>
  <c r="R9" i="2" s="1"/>
  <c r="J8" i="2"/>
  <c r="R8" i="2" s="1"/>
  <c r="J7" i="2"/>
  <c r="R7" i="2" s="1"/>
  <c r="J6" i="2"/>
  <c r="R6" i="2" s="1"/>
  <c r="J4" i="2"/>
  <c r="R4" i="2" s="1"/>
  <c r="K2" i="2" l="1"/>
  <c r="R1" i="2" s="1"/>
</calcChain>
</file>

<file path=xl/sharedStrings.xml><?xml version="1.0" encoding="utf-8"?>
<sst xmlns="http://schemas.openxmlformats.org/spreadsheetml/2006/main" count="76" uniqueCount="48">
  <si>
    <r>
      <rPr>
        <b/>
        <sz val="8.5"/>
        <rFont val="Arial"/>
        <family val="2"/>
      </rPr>
      <t>ITEM #</t>
    </r>
  </si>
  <si>
    <r>
      <rPr>
        <b/>
        <sz val="8.5"/>
        <rFont val="Arial"/>
        <family val="2"/>
      </rPr>
      <t>UPC</t>
    </r>
  </si>
  <si>
    <r>
      <rPr>
        <b/>
        <sz val="8.5"/>
        <rFont val="Arial"/>
        <family val="2"/>
      </rPr>
      <t>PRODUCT NAME</t>
    </r>
  </si>
  <si>
    <r>
      <rPr>
        <b/>
        <sz val="8.5"/>
        <rFont val="Arial"/>
        <family val="2"/>
      </rPr>
      <t>SIZE</t>
    </r>
  </si>
  <si>
    <r>
      <rPr>
        <sz val="8.5"/>
        <color rgb="FFFFFFFF"/>
        <rFont val="Arial MT"/>
        <family val="2"/>
      </rPr>
      <t>BIORAY INFANT®</t>
    </r>
  </si>
  <si>
    <r>
      <rPr>
        <sz val="7.5"/>
        <rFont val="Arial MT"/>
        <family val="2"/>
      </rPr>
      <t>NDF® Colic Relief</t>
    </r>
  </si>
  <si>
    <r>
      <rPr>
        <sz val="7.5"/>
        <rFont val="Arial MT"/>
        <family val="2"/>
      </rPr>
      <t>1oz</t>
    </r>
  </si>
  <si>
    <r>
      <rPr>
        <sz val="8.5"/>
        <color rgb="FFFFFFFF"/>
        <rFont val="Arial MT"/>
        <family val="2"/>
      </rPr>
      <t>BIORAY KIDS®</t>
    </r>
  </si>
  <si>
    <r>
      <rPr>
        <sz val="7.5"/>
        <rFont val="Arial MT"/>
        <family val="2"/>
      </rPr>
      <t>NDF Tummy®</t>
    </r>
  </si>
  <si>
    <r>
      <rPr>
        <sz val="7.5"/>
        <rFont val="Arial MT"/>
        <family val="2"/>
      </rPr>
      <t>2oz</t>
    </r>
  </si>
  <si>
    <r>
      <rPr>
        <sz val="7.5"/>
        <rFont val="Arial MT"/>
        <family val="2"/>
      </rPr>
      <t>4oz</t>
    </r>
  </si>
  <si>
    <r>
      <rPr>
        <sz val="7.5"/>
        <rFont val="Arial MT"/>
        <family val="2"/>
      </rPr>
      <t>NDF Calm®</t>
    </r>
  </si>
  <si>
    <r>
      <rPr>
        <sz val="7.5"/>
        <rFont val="Arial MT"/>
        <family val="2"/>
      </rPr>
      <t>4 oz</t>
    </r>
  </si>
  <si>
    <r>
      <rPr>
        <sz val="7.5"/>
        <rFont val="Arial MT"/>
        <family val="2"/>
      </rPr>
      <t>NDF Focus®</t>
    </r>
  </si>
  <si>
    <r>
      <rPr>
        <sz val="7.5"/>
        <rFont val="Arial MT"/>
        <family val="2"/>
      </rPr>
      <t>NDF Happy®</t>
    </r>
  </si>
  <si>
    <r>
      <rPr>
        <sz val="7.5"/>
        <rFont val="Arial MT"/>
        <family val="2"/>
      </rPr>
      <t>NDF Pooper®</t>
    </r>
  </si>
  <si>
    <r>
      <rPr>
        <sz val="7.5"/>
        <rFont val="Arial MT"/>
        <family val="2"/>
      </rPr>
      <t>NDF Sleepy®</t>
    </r>
  </si>
  <si>
    <r>
      <rPr>
        <sz val="7.5"/>
        <rFont val="Arial MT"/>
        <family val="2"/>
      </rPr>
      <t>NDF Immune®</t>
    </r>
  </si>
  <si>
    <r>
      <rPr>
        <sz val="8.5"/>
        <color rgb="FFFFFFFF"/>
        <rFont val="Arial MT"/>
        <family val="2"/>
      </rPr>
      <t>BIORAY DAILY®</t>
    </r>
  </si>
  <si>
    <r>
      <rPr>
        <sz val="7.5"/>
        <rFont val="Arial MT"/>
        <family val="2"/>
      </rPr>
      <t>Belly Mend®</t>
    </r>
  </si>
  <si>
    <r>
      <rPr>
        <sz val="7.5"/>
        <rFont val="Arial MT"/>
        <family val="2"/>
      </rPr>
      <t>Get Sleepy®</t>
    </r>
  </si>
  <si>
    <r>
      <rPr>
        <sz val="7.5"/>
        <rFont val="Arial MT"/>
        <family val="2"/>
      </rPr>
      <t>Good To Go®</t>
    </r>
  </si>
  <si>
    <r>
      <rPr>
        <sz val="7.5"/>
        <rFont val="Arial MT"/>
        <family val="2"/>
      </rPr>
      <t>Liver Lover®</t>
    </r>
  </si>
  <si>
    <r>
      <rPr>
        <sz val="7.5"/>
        <rFont val="Arial MT"/>
        <family val="2"/>
      </rPr>
      <t>Adrenal Lover®</t>
    </r>
  </si>
  <si>
    <r>
      <rPr>
        <sz val="7.5"/>
        <rFont val="Arial MT"/>
        <family val="2"/>
      </rPr>
      <t>Microbe Slayer®</t>
    </r>
  </si>
  <si>
    <r>
      <rPr>
        <sz val="7.5"/>
        <rFont val="Arial MT"/>
        <family val="2"/>
      </rPr>
      <t>Mind Focus®</t>
    </r>
  </si>
  <si>
    <r>
      <rPr>
        <sz val="7.5"/>
        <rFont val="Arial MT"/>
        <family val="2"/>
      </rPr>
      <t>Primary Detox®</t>
    </r>
  </si>
  <si>
    <r>
      <rPr>
        <sz val="8.5"/>
        <color rgb="FFFFFFFF"/>
        <rFont val="Arial MT"/>
        <family val="2"/>
      </rPr>
      <t>BIORAY LIBIDO</t>
    </r>
  </si>
  <si>
    <r>
      <rPr>
        <sz val="7.5"/>
        <rFont val="Arial MT"/>
        <family val="2"/>
      </rPr>
      <t>After the Flow™</t>
    </r>
  </si>
  <si>
    <r>
      <rPr>
        <sz val="7.5"/>
        <rFont val="Arial MT"/>
        <family val="2"/>
      </rPr>
      <t>Before the Flow™</t>
    </r>
  </si>
  <si>
    <r>
      <rPr>
        <sz val="7.5"/>
        <rFont val="Arial MT"/>
        <family val="2"/>
      </rPr>
      <t>Lady Passion®</t>
    </r>
  </si>
  <si>
    <r>
      <rPr>
        <sz val="7.5"/>
        <rFont val="Arial MT"/>
        <family val="2"/>
      </rPr>
      <t>Red Rooster®</t>
    </r>
  </si>
  <si>
    <r>
      <rPr>
        <sz val="8.5"/>
        <color rgb="FFFFFFFF"/>
        <rFont val="Arial MT"/>
        <family val="2"/>
      </rPr>
      <t>RAYZ® for TEENS</t>
    </r>
  </si>
  <si>
    <r>
      <rPr>
        <sz val="7.5"/>
        <rFont val="Arial MT"/>
        <family val="2"/>
      </rPr>
      <t>Teen All Systems Glow®</t>
    </r>
  </si>
  <si>
    <r>
      <rPr>
        <sz val="7.5"/>
        <rFont val="Arial MT"/>
        <family val="2"/>
      </rPr>
      <t>Teen Dream Machine®</t>
    </r>
  </si>
  <si>
    <r>
      <rPr>
        <sz val="7.5"/>
        <rFont val="Arial MT"/>
        <family val="2"/>
      </rPr>
      <t>Teen Life Is Peachy®</t>
    </r>
  </si>
  <si>
    <r>
      <rPr>
        <sz val="7.5"/>
        <rFont val="Arial MT"/>
        <family val="2"/>
      </rPr>
      <t>Teen Thinking Cap®</t>
    </r>
  </si>
  <si>
    <t>Order</t>
  </si>
  <si>
    <t>Total</t>
  </si>
  <si>
    <t>Price</t>
  </si>
  <si>
    <t>30.06.2025</t>
  </si>
  <si>
    <r>
      <rPr>
        <b/>
        <sz val="9"/>
        <color rgb="FFFF0000"/>
        <rFont val="Times New Roman"/>
        <family val="1"/>
        <charset val="204"/>
      </rPr>
      <t>Importantly!</t>
    </r>
    <r>
      <rPr>
        <sz val="9"/>
        <color rgb="FF000000"/>
        <rFont val="Times New Roman"/>
        <family val="1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</si>
  <si>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Unіt Freight Cost</t>
  </si>
  <si>
    <t>unit, key</t>
  </si>
  <si>
    <t>Weight, kg</t>
  </si>
  <si>
    <t>Logistic Price</t>
  </si>
  <si>
    <t>Landed Cost</t>
  </si>
  <si>
    <t>Weight, 
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</si>
</sst>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_-[$$-4809]* #,##0.00_-;\-[$$-4809]* #,##0.00_-;_-[$$-4809]* &quot;-&quot;??_-;_-@_-"/>
    <numFmt numFmtId="166" formatCode="_-[$$-409]* #,##0.00_ ;_-[$$-409]* \-#,##0.00\ ;_-[$$-409]* &quot;-&quot;??_ ;_-@_ "/>
    <numFmt numFmtId="167" formatCode="[$$-409]#,##0.00"/>
  </numFmts>
  <fonts count="15">
    <font>
      <sz val="10"/>
      <color rgb="FF000000"/>
      <name val="Times New Roman"/>
      <charset val="204"/>
    </font>
    <font>
      <sz val="8.5"/>
      <name val="Arial MT"/>
    </font>
    <font>
      <b/>
      <sz val="8.5"/>
      <name val="Arial"/>
      <family val="2"/>
      <charset val="204"/>
    </font>
    <font>
      <sz val="7.5"/>
      <color rgb="FF000000"/>
      <name val="Arial MT"/>
      <family val="2"/>
    </font>
    <font>
      <sz val="7.5"/>
      <name val="Arial MT"/>
    </font>
    <font>
      <sz val="7.5"/>
      <color rgb="FF201F1F"/>
      <name val="Arial MT"/>
      <family val="2"/>
    </font>
    <font>
      <b/>
      <sz val="8.5"/>
      <name val="Arial"/>
      <family val="2"/>
    </font>
    <font>
      <sz val="8.5"/>
      <color rgb="FFFFFFFF"/>
      <name val="Arial MT"/>
      <family val="2"/>
    </font>
    <font>
      <sz val="7.5"/>
      <name val="Arial MT"/>
      <family val="2"/>
    </font>
    <font>
      <b/>
      <sz val="9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5D5C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1" fillId="2" borderId="3" xfId="0" applyFont="1" applyFill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1" fillId="2" borderId="2" xfId="0" applyFont="1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9" fillId="0" borderId="0" xfId="0" quotePrefix="1" applyFont="1" applyAlignment="1">
      <alignment horizontal="center" vertical="center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1" fillId="2" borderId="3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14" fontId="12" fillId="3" borderId="5" xfId="0" applyNumberFormat="1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166" fontId="13" fillId="3" borderId="5" xfId="0" applyNumberFormat="1" applyFont="1" applyFill="1" applyBorder="1" applyAlignment="1" applyProtection="1">
      <alignment horizontal="center" vertical="center" wrapText="1" readingOrder="1"/>
      <protection hidden="1"/>
    </xf>
    <xf numFmtId="0" fontId="0" fillId="0" borderId="0" xfId="0"/>
    <xf numFmtId="167" fontId="12" fillId="3" borderId="5" xfId="0" applyNumberFormat="1" applyFont="1" applyFill="1" applyBorder="1" applyAlignment="1">
      <alignment horizontal="center" vertical="center"/>
    </xf>
    <xf numFmtId="0" fontId="14" fillId="4" borderId="5" xfId="0" applyFont="1" applyFill="1" applyBorder="1" applyAlignment="1" applyProtection="1">
      <alignment horizontal="center" vertical="center" wrapText="1" readingOrder="1"/>
      <protection locked="0"/>
    </xf>
    <xf numFmtId="4" fontId="12" fillId="4" borderId="7" xfId="0" applyNumberFormat="1" applyFont="1" applyFill="1" applyBorder="1" applyAlignment="1">
      <alignment horizontal="center" vertical="center"/>
    </xf>
    <xf numFmtId="166" fontId="13" fillId="4" borderId="5" xfId="0" applyNumberFormat="1" applyFont="1" applyFill="1" applyBorder="1" applyAlignment="1" applyProtection="1">
      <alignment horizontal="center" vertical="center" wrapText="1" readingOrder="1"/>
      <protection hidden="1"/>
    </xf>
    <xf numFmtId="166" fontId="13" fillId="0" borderId="0" xfId="0" applyNumberFormat="1" applyFont="1" applyAlignment="1" applyProtection="1">
      <alignment vertical="center" wrapText="1" readingOrder="1"/>
      <protection hidden="1"/>
    </xf>
    <xf numFmtId="0" fontId="12" fillId="5" borderId="5" xfId="0" applyFont="1" applyFill="1" applyBorder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top" wrapText="1"/>
    </xf>
    <xf numFmtId="2" fontId="4" fillId="0" borderId="1" xfId="0" applyNumberFormat="1" applyFont="1" applyBorder="1" applyAlignment="1">
      <alignment horizontal="center" vertical="top" wrapText="1"/>
    </xf>
    <xf numFmtId="2" fontId="0" fillId="0" borderId="0" xfId="0" applyNumberFormat="1" applyAlignment="1">
      <alignment horizontal="center" vertical="top"/>
    </xf>
    <xf numFmtId="0" fontId="10" fillId="0" borderId="4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/>
    </xf>
    <xf numFmtId="14" fontId="12" fillId="3" borderId="6" xfId="0" applyNumberFormat="1" applyFont="1" applyFill="1" applyBorder="1" applyAlignment="1">
      <alignment horizontal="center" vertical="center" wrapText="1"/>
    </xf>
    <xf numFmtId="14" fontId="12" fillId="3" borderId="7" xfId="0" applyNumberFormat="1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535060</xdr:colOff>
      <xdr:row>0</xdr:row>
      <xdr:rowOff>266700</xdr:rowOff>
    </xdr:from>
    <xdr:ext cx="1225160" cy="51376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7040" y="266700"/>
          <a:ext cx="1225160" cy="5137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"/>
  <sheetViews>
    <sheetView tabSelected="1" workbookViewId="0">
      <pane ySplit="2" topLeftCell="A3" activePane="bottomLeft" state="frozen"/>
      <selection pane="bottomLeft" activeCell="M2" sqref="M2"/>
    </sheetView>
  </sheetViews>
  <sheetFormatPr defaultRowHeight="13.2"/>
  <cols>
    <col min="1" max="1" width="13.77734375" style="7" bestFit="1" customWidth="1"/>
    <col min="2" max="2" width="12.44140625" style="7" customWidth="1"/>
    <col min="3" max="3" width="27" style="7" customWidth="1"/>
    <col min="4" max="4" width="11.109375" style="7" customWidth="1"/>
    <col min="5" max="5" width="11.109375" style="7" hidden="1" customWidth="1"/>
    <col min="6" max="6" width="11.109375" style="32" customWidth="1"/>
    <col min="7" max="7" width="11.109375" style="7" hidden="1" customWidth="1"/>
    <col min="8" max="8" width="10.88671875" style="7" customWidth="1"/>
    <col min="9" max="9" width="11.5546875" style="15" customWidth="1"/>
    <col min="10" max="10" width="13" style="7" customWidth="1"/>
    <col min="11" max="11" width="11" customWidth="1"/>
    <col min="14" max="14" width="11.77734375" bestFit="1" customWidth="1"/>
  </cols>
  <sheetData>
    <row r="1" spans="1:18" ht="76.2" customHeight="1" thickBot="1">
      <c r="A1" s="33" t="s">
        <v>41</v>
      </c>
      <c r="B1" s="34"/>
      <c r="C1" s="34"/>
      <c r="D1" s="34"/>
      <c r="E1" s="34"/>
      <c r="F1" s="34"/>
      <c r="G1" s="34"/>
      <c r="H1" s="34"/>
      <c r="I1" s="34"/>
      <c r="J1" s="34"/>
      <c r="K1" s="12" t="s">
        <v>40</v>
      </c>
      <c r="M1" s="16" t="s">
        <v>42</v>
      </c>
      <c r="N1" s="35" t="s">
        <v>43</v>
      </c>
      <c r="O1" s="17" t="s">
        <v>44</v>
      </c>
      <c r="P1" s="18" t="s">
        <v>45</v>
      </c>
      <c r="Q1" s="19"/>
      <c r="R1" s="20" t="str">
        <f>IFERROR(IF(SUM(R3:R277)=0, "-", K2+P2), "-")</f>
        <v>-</v>
      </c>
    </row>
    <row r="2" spans="1:18" s="11" customFormat="1" ht="26.4" customHeight="1" thickBot="1">
      <c r="A2" s="8" t="s">
        <v>0</v>
      </c>
      <c r="B2" s="8" t="s">
        <v>1</v>
      </c>
      <c r="C2" s="8" t="s">
        <v>2</v>
      </c>
      <c r="D2" s="8" t="s">
        <v>3</v>
      </c>
      <c r="E2" s="8"/>
      <c r="F2" s="29" t="s">
        <v>47</v>
      </c>
      <c r="G2" s="8"/>
      <c r="H2" s="9" t="s">
        <v>39</v>
      </c>
      <c r="I2" s="8" t="s">
        <v>37</v>
      </c>
      <c r="J2" s="8" t="s">
        <v>38</v>
      </c>
      <c r="K2" s="10">
        <f>SUM(J4:J35)</f>
        <v>0</v>
      </c>
      <c r="M2" s="21"/>
      <c r="N2" s="36"/>
      <c r="O2" s="22" t="str">
        <f>IF(SUM(O3:O277)=0, "-", SUM(O3:O277))</f>
        <v>-</v>
      </c>
      <c r="P2" s="23" t="str">
        <f>IF(SUM(P3:P277)=0, "-", SUM(P3:P277))</f>
        <v>-</v>
      </c>
      <c r="Q2" s="24"/>
      <c r="R2" s="25" t="s">
        <v>46</v>
      </c>
    </row>
    <row r="3" spans="1:18" ht="14.7" customHeight="1">
      <c r="A3" s="6" t="s">
        <v>4</v>
      </c>
      <c r="B3" s="1"/>
      <c r="C3" s="1"/>
      <c r="D3" s="1"/>
      <c r="E3" s="1"/>
      <c r="F3" s="30"/>
      <c r="G3" s="1"/>
      <c r="H3" s="1"/>
      <c r="I3" s="1"/>
      <c r="J3" s="1"/>
      <c r="M3" s="26" t="str">
        <f>IFERROR(IF($M$2*F3=0, "-", $M$2*F3), "-")</f>
        <v>-</v>
      </c>
      <c r="N3" s="26" t="str">
        <f>IF(I3&gt;0,H3+F3*I3/$O$2*$P$2/I3,"-")</f>
        <v>-</v>
      </c>
      <c r="O3" s="27" t="str">
        <f>IF(I3&gt;0,I3*F3*1.113, "-")</f>
        <v>-</v>
      </c>
      <c r="P3" s="28" t="str">
        <f>IFERROR(IF($M$2&gt;0, $M$2*O3, "-"), "-")</f>
        <v>-</v>
      </c>
      <c r="Q3" s="19"/>
      <c r="R3" s="28" t="str">
        <f>IFERROR(IF(P3+J3=0, "-", IF(P3&gt;0, P3+J3, "-")), "-")</f>
        <v>-</v>
      </c>
    </row>
    <row r="4" spans="1:18" ht="14.7" customHeight="1">
      <c r="A4" s="2">
        <v>40110</v>
      </c>
      <c r="B4" s="2">
        <v>752830678286</v>
      </c>
      <c r="C4" s="3" t="s">
        <v>5</v>
      </c>
      <c r="D4" s="3" t="s">
        <v>6</v>
      </c>
      <c r="E4" s="3"/>
      <c r="F4" s="31">
        <v>0</v>
      </c>
      <c r="G4" s="3"/>
      <c r="H4" s="4">
        <v>19.005000000000003</v>
      </c>
      <c r="I4" s="13"/>
      <c r="J4" s="4">
        <f>I4*H4</f>
        <v>0</v>
      </c>
      <c r="M4" s="26" t="str">
        <f t="shared" ref="M4:M35" si="0">IFERROR(IF($M$2*F4=0, "-", $M$2*F4), "-")</f>
        <v>-</v>
      </c>
      <c r="N4" s="26" t="str">
        <f t="shared" ref="N4:N35" si="1">IF(I4&gt;0,H4+F4*I4/$O$2*$P$2/I4,"-")</f>
        <v>-</v>
      </c>
      <c r="O4" s="27" t="str">
        <f t="shared" ref="O4:O35" si="2">IF(I4&gt;0,I4*F4*1.113, "-")</f>
        <v>-</v>
      </c>
      <c r="P4" s="28" t="str">
        <f t="shared" ref="P4:P35" si="3">IFERROR(IF($M$2&gt;0, $M$2*O4, "-"), "-")</f>
        <v>-</v>
      </c>
      <c r="Q4" s="19"/>
      <c r="R4" s="28" t="str">
        <f t="shared" ref="R4:R35" si="4">IFERROR(IF(P4+J4=0, "-", IF(P4&gt;0, P4+J4, "-")), "-")</f>
        <v>-</v>
      </c>
    </row>
    <row r="5" spans="1:18" ht="14.7" customHeight="1">
      <c r="A5" s="6" t="s">
        <v>7</v>
      </c>
      <c r="B5" s="1"/>
      <c r="C5" s="1"/>
      <c r="D5" s="1"/>
      <c r="E5" s="1"/>
      <c r="F5" s="30"/>
      <c r="G5" s="1"/>
      <c r="H5" s="1"/>
      <c r="I5" s="14"/>
      <c r="J5" s="1"/>
      <c r="M5" s="26" t="str">
        <f t="shared" si="0"/>
        <v>-</v>
      </c>
      <c r="N5" s="26" t="str">
        <f t="shared" si="1"/>
        <v>-</v>
      </c>
      <c r="O5" s="27" t="str">
        <f t="shared" si="2"/>
        <v>-</v>
      </c>
      <c r="P5" s="28" t="str">
        <f t="shared" si="3"/>
        <v>-</v>
      </c>
      <c r="Q5" s="19"/>
      <c r="R5" s="28" t="str">
        <f t="shared" si="4"/>
        <v>-</v>
      </c>
    </row>
    <row r="6" spans="1:18" ht="14.7" customHeight="1">
      <c r="A6" s="2">
        <v>20120</v>
      </c>
      <c r="B6" s="2">
        <v>736211465955</v>
      </c>
      <c r="C6" s="3" t="s">
        <v>8</v>
      </c>
      <c r="D6" s="3" t="s">
        <v>9</v>
      </c>
      <c r="E6" s="3"/>
      <c r="F6" s="31">
        <v>0.14000000000000001</v>
      </c>
      <c r="G6" s="3"/>
      <c r="H6" s="4">
        <v>20.973749999999999</v>
      </c>
      <c r="I6" s="13"/>
      <c r="J6" s="4">
        <f t="shared" ref="J6:J16" si="5">I6*H6</f>
        <v>0</v>
      </c>
      <c r="M6" s="26" t="str">
        <f t="shared" si="0"/>
        <v>-</v>
      </c>
      <c r="N6" s="26" t="str">
        <f t="shared" si="1"/>
        <v>-</v>
      </c>
      <c r="O6" s="27" t="str">
        <f t="shared" si="2"/>
        <v>-</v>
      </c>
      <c r="P6" s="28" t="str">
        <f t="shared" si="3"/>
        <v>-</v>
      </c>
      <c r="Q6" s="19"/>
      <c r="R6" s="28" t="str">
        <f t="shared" si="4"/>
        <v>-</v>
      </c>
    </row>
    <row r="7" spans="1:18" ht="14.7" customHeight="1">
      <c r="A7" s="2">
        <v>20140</v>
      </c>
      <c r="B7" s="2">
        <v>736211465252</v>
      </c>
      <c r="C7" s="3" t="s">
        <v>8</v>
      </c>
      <c r="D7" s="3" t="s">
        <v>10</v>
      </c>
      <c r="E7" s="3"/>
      <c r="F7" s="31">
        <v>0.25</v>
      </c>
      <c r="G7" s="3"/>
      <c r="H7" s="4">
        <v>34.951875000000001</v>
      </c>
      <c r="I7" s="13"/>
      <c r="J7" s="4">
        <f t="shared" si="5"/>
        <v>0</v>
      </c>
      <c r="M7" s="26" t="str">
        <f t="shared" si="0"/>
        <v>-</v>
      </c>
      <c r="N7" s="26" t="str">
        <f t="shared" si="1"/>
        <v>-</v>
      </c>
      <c r="O7" s="27" t="str">
        <f t="shared" si="2"/>
        <v>-</v>
      </c>
      <c r="P7" s="28" t="str">
        <f t="shared" si="3"/>
        <v>-</v>
      </c>
      <c r="Q7" s="19"/>
      <c r="R7" s="28" t="str">
        <f t="shared" si="4"/>
        <v>-</v>
      </c>
    </row>
    <row r="8" spans="1:18" ht="14.7" customHeight="1">
      <c r="A8" s="2">
        <v>20220</v>
      </c>
      <c r="B8" s="2">
        <v>736211559357</v>
      </c>
      <c r="C8" s="3" t="s">
        <v>11</v>
      </c>
      <c r="D8" s="3" t="s">
        <v>9</v>
      </c>
      <c r="E8" s="3"/>
      <c r="F8" s="31">
        <v>0.15</v>
      </c>
      <c r="G8" s="3"/>
      <c r="H8" s="4">
        <v>20.973749999999999</v>
      </c>
      <c r="I8" s="13"/>
      <c r="J8" s="4">
        <f t="shared" si="5"/>
        <v>0</v>
      </c>
      <c r="M8" s="26" t="str">
        <f t="shared" si="0"/>
        <v>-</v>
      </c>
      <c r="N8" s="26" t="str">
        <f t="shared" si="1"/>
        <v>-</v>
      </c>
      <c r="O8" s="27" t="str">
        <f t="shared" si="2"/>
        <v>-</v>
      </c>
      <c r="P8" s="28" t="str">
        <f t="shared" si="3"/>
        <v>-</v>
      </c>
      <c r="Q8" s="19"/>
      <c r="R8" s="28" t="str">
        <f t="shared" si="4"/>
        <v>-</v>
      </c>
    </row>
    <row r="9" spans="1:18" ht="14.7" customHeight="1">
      <c r="A9" s="2">
        <v>20240</v>
      </c>
      <c r="B9" s="2">
        <v>736211558557</v>
      </c>
      <c r="C9" s="3" t="s">
        <v>11</v>
      </c>
      <c r="D9" s="3" t="s">
        <v>12</v>
      </c>
      <c r="E9" s="3"/>
      <c r="F9" s="31">
        <v>0</v>
      </c>
      <c r="G9" s="3"/>
      <c r="H9" s="4">
        <v>34.951875000000001</v>
      </c>
      <c r="I9" s="13"/>
      <c r="J9" s="4">
        <f t="shared" si="5"/>
        <v>0</v>
      </c>
      <c r="M9" s="26" t="str">
        <f t="shared" si="0"/>
        <v>-</v>
      </c>
      <c r="N9" s="26" t="str">
        <f t="shared" si="1"/>
        <v>-</v>
      </c>
      <c r="O9" s="27" t="str">
        <f t="shared" si="2"/>
        <v>-</v>
      </c>
      <c r="P9" s="28" t="str">
        <f t="shared" si="3"/>
        <v>-</v>
      </c>
      <c r="Q9" s="19"/>
      <c r="R9" s="28" t="str">
        <f t="shared" si="4"/>
        <v>-</v>
      </c>
    </row>
    <row r="10" spans="1:18" ht="14.7" customHeight="1">
      <c r="A10" s="2">
        <v>20320</v>
      </c>
      <c r="B10" s="2">
        <v>736211559258</v>
      </c>
      <c r="C10" s="3" t="s">
        <v>13</v>
      </c>
      <c r="D10" s="3" t="s">
        <v>9</v>
      </c>
      <c r="E10" s="3"/>
      <c r="F10" s="31">
        <v>0.15</v>
      </c>
      <c r="G10" s="3"/>
      <c r="H10" s="4">
        <v>20.973749999999999</v>
      </c>
      <c r="I10" s="13"/>
      <c r="J10" s="4">
        <f t="shared" si="5"/>
        <v>0</v>
      </c>
      <c r="M10" s="26" t="str">
        <f t="shared" si="0"/>
        <v>-</v>
      </c>
      <c r="N10" s="26" t="str">
        <f t="shared" si="1"/>
        <v>-</v>
      </c>
      <c r="O10" s="27" t="str">
        <f t="shared" si="2"/>
        <v>-</v>
      </c>
      <c r="P10" s="28" t="str">
        <f t="shared" si="3"/>
        <v>-</v>
      </c>
      <c r="Q10" s="19"/>
      <c r="R10" s="28" t="str">
        <f t="shared" si="4"/>
        <v>-</v>
      </c>
    </row>
    <row r="11" spans="1:18" ht="14.7" customHeight="1">
      <c r="A11" s="2">
        <v>20340</v>
      </c>
      <c r="B11" s="2">
        <v>736211568656</v>
      </c>
      <c r="C11" s="3" t="s">
        <v>13</v>
      </c>
      <c r="D11" s="3" t="s">
        <v>10</v>
      </c>
      <c r="E11" s="3"/>
      <c r="F11" s="31">
        <v>0.25</v>
      </c>
      <c r="G11" s="3"/>
      <c r="H11" s="4">
        <v>34.951875000000001</v>
      </c>
      <c r="I11" s="13"/>
      <c r="J11" s="4">
        <f t="shared" si="5"/>
        <v>0</v>
      </c>
      <c r="M11" s="26" t="str">
        <f t="shared" si="0"/>
        <v>-</v>
      </c>
      <c r="N11" s="26" t="str">
        <f t="shared" si="1"/>
        <v>-</v>
      </c>
      <c r="O11" s="27" t="str">
        <f t="shared" si="2"/>
        <v>-</v>
      </c>
      <c r="P11" s="28" t="str">
        <f t="shared" si="3"/>
        <v>-</v>
      </c>
      <c r="Q11" s="19"/>
      <c r="R11" s="28" t="str">
        <f t="shared" si="4"/>
        <v>-</v>
      </c>
    </row>
    <row r="12" spans="1:18" ht="14.7" customHeight="1">
      <c r="A12" s="2">
        <v>20420</v>
      </c>
      <c r="B12" s="2">
        <v>736211559456</v>
      </c>
      <c r="C12" s="3" t="s">
        <v>14</v>
      </c>
      <c r="D12" s="3" t="s">
        <v>9</v>
      </c>
      <c r="E12" s="3"/>
      <c r="F12" s="31">
        <v>0.15</v>
      </c>
      <c r="G12" s="3"/>
      <c r="H12" s="4">
        <v>20.973749999999999</v>
      </c>
      <c r="I12" s="13"/>
      <c r="J12" s="4">
        <f t="shared" si="5"/>
        <v>0</v>
      </c>
      <c r="M12" s="26" t="str">
        <f t="shared" si="0"/>
        <v>-</v>
      </c>
      <c r="N12" s="26" t="str">
        <f t="shared" si="1"/>
        <v>-</v>
      </c>
      <c r="O12" s="27" t="str">
        <f t="shared" si="2"/>
        <v>-</v>
      </c>
      <c r="P12" s="28" t="str">
        <f t="shared" si="3"/>
        <v>-</v>
      </c>
      <c r="Q12" s="19"/>
      <c r="R12" s="28" t="str">
        <f t="shared" si="4"/>
        <v>-</v>
      </c>
    </row>
    <row r="13" spans="1:18" ht="14.7" customHeight="1">
      <c r="A13" s="2">
        <v>20440</v>
      </c>
      <c r="B13" s="2">
        <v>736211558458</v>
      </c>
      <c r="C13" s="3" t="s">
        <v>14</v>
      </c>
      <c r="D13" s="3" t="s">
        <v>10</v>
      </c>
      <c r="E13" s="3"/>
      <c r="F13" s="31">
        <v>0</v>
      </c>
      <c r="G13" s="3"/>
      <c r="H13" s="4">
        <v>34.951875000000001</v>
      </c>
      <c r="I13" s="13"/>
      <c r="J13" s="4">
        <f t="shared" si="5"/>
        <v>0</v>
      </c>
      <c r="M13" s="26" t="str">
        <f t="shared" si="0"/>
        <v>-</v>
      </c>
      <c r="N13" s="26" t="str">
        <f t="shared" si="1"/>
        <v>-</v>
      </c>
      <c r="O13" s="27" t="str">
        <f t="shared" si="2"/>
        <v>-</v>
      </c>
      <c r="P13" s="28" t="str">
        <f t="shared" si="3"/>
        <v>-</v>
      </c>
      <c r="Q13" s="19"/>
      <c r="R13" s="28" t="str">
        <f t="shared" si="4"/>
        <v>-</v>
      </c>
    </row>
    <row r="14" spans="1:18" ht="14.7" customHeight="1">
      <c r="A14" s="5">
        <v>20520</v>
      </c>
      <c r="B14" s="2">
        <v>646858160024</v>
      </c>
      <c r="C14" s="3" t="s">
        <v>15</v>
      </c>
      <c r="D14" s="3" t="s">
        <v>9</v>
      </c>
      <c r="E14" s="3"/>
      <c r="F14" s="31">
        <v>0</v>
      </c>
      <c r="G14" s="3"/>
      <c r="H14" s="4">
        <v>20.973749999999999</v>
      </c>
      <c r="I14" s="13"/>
      <c r="J14" s="4">
        <f t="shared" si="5"/>
        <v>0</v>
      </c>
      <c r="M14" s="26" t="str">
        <f t="shared" si="0"/>
        <v>-</v>
      </c>
      <c r="N14" s="26" t="str">
        <f t="shared" si="1"/>
        <v>-</v>
      </c>
      <c r="O14" s="27" t="str">
        <f t="shared" si="2"/>
        <v>-</v>
      </c>
      <c r="P14" s="28" t="str">
        <f t="shared" si="3"/>
        <v>-</v>
      </c>
      <c r="Q14" s="19"/>
      <c r="R14" s="28" t="str">
        <f t="shared" si="4"/>
        <v>-</v>
      </c>
    </row>
    <row r="15" spans="1:18" ht="14.7" customHeight="1">
      <c r="A15" s="5">
        <v>20720</v>
      </c>
      <c r="B15" s="2">
        <v>646858160017</v>
      </c>
      <c r="C15" s="3" t="s">
        <v>16</v>
      </c>
      <c r="D15" s="3" t="s">
        <v>9</v>
      </c>
      <c r="E15" s="3"/>
      <c r="F15" s="31">
        <v>0.15</v>
      </c>
      <c r="G15" s="3"/>
      <c r="H15" s="4">
        <v>20.973749999999999</v>
      </c>
      <c r="I15" s="13"/>
      <c r="J15" s="4">
        <f t="shared" si="5"/>
        <v>0</v>
      </c>
      <c r="M15" s="26" t="str">
        <f t="shared" si="0"/>
        <v>-</v>
      </c>
      <c r="N15" s="26" t="str">
        <f t="shared" si="1"/>
        <v>-</v>
      </c>
      <c r="O15" s="27" t="str">
        <f t="shared" si="2"/>
        <v>-</v>
      </c>
      <c r="P15" s="28" t="str">
        <f t="shared" si="3"/>
        <v>-</v>
      </c>
      <c r="Q15" s="19"/>
      <c r="R15" s="28" t="str">
        <f t="shared" si="4"/>
        <v>-</v>
      </c>
    </row>
    <row r="16" spans="1:18" ht="14.7" customHeight="1">
      <c r="A16" s="5">
        <v>20820</v>
      </c>
      <c r="B16" s="2">
        <v>752830678880</v>
      </c>
      <c r="C16" s="3" t="s">
        <v>17</v>
      </c>
      <c r="D16" s="3" t="s">
        <v>9</v>
      </c>
      <c r="E16" s="3"/>
      <c r="F16" s="31">
        <v>0.15</v>
      </c>
      <c r="G16" s="3"/>
      <c r="H16" s="4">
        <v>20.973749999999999</v>
      </c>
      <c r="I16" s="13"/>
      <c r="J16" s="4">
        <f t="shared" si="5"/>
        <v>0</v>
      </c>
      <c r="M16" s="26" t="str">
        <f t="shared" si="0"/>
        <v>-</v>
      </c>
      <c r="N16" s="26" t="str">
        <f t="shared" si="1"/>
        <v>-</v>
      </c>
      <c r="O16" s="27" t="str">
        <f t="shared" si="2"/>
        <v>-</v>
      </c>
      <c r="P16" s="28" t="str">
        <f t="shared" si="3"/>
        <v>-</v>
      </c>
      <c r="Q16" s="19"/>
      <c r="R16" s="28" t="str">
        <f t="shared" si="4"/>
        <v>-</v>
      </c>
    </row>
    <row r="17" spans="1:18" ht="14.7" customHeight="1">
      <c r="A17" s="6" t="s">
        <v>18</v>
      </c>
      <c r="B17" s="1"/>
      <c r="C17" s="1"/>
      <c r="D17" s="1"/>
      <c r="E17" s="1"/>
      <c r="F17" s="30"/>
      <c r="G17" s="1"/>
      <c r="H17" s="1"/>
      <c r="I17" s="14"/>
      <c r="J17" s="1"/>
      <c r="M17" s="26" t="str">
        <f t="shared" si="0"/>
        <v>-</v>
      </c>
      <c r="N17" s="26" t="str">
        <f t="shared" si="1"/>
        <v>-</v>
      </c>
      <c r="O17" s="27" t="str">
        <f t="shared" si="2"/>
        <v>-</v>
      </c>
      <c r="P17" s="28" t="str">
        <f t="shared" si="3"/>
        <v>-</v>
      </c>
      <c r="Q17" s="19"/>
      <c r="R17" s="28" t="str">
        <f t="shared" si="4"/>
        <v>-</v>
      </c>
    </row>
    <row r="18" spans="1:18" ht="14.7" customHeight="1">
      <c r="A18" s="5">
        <v>30120</v>
      </c>
      <c r="B18" s="2">
        <v>646858160055</v>
      </c>
      <c r="C18" s="3" t="s">
        <v>19</v>
      </c>
      <c r="D18" s="3" t="s">
        <v>9</v>
      </c>
      <c r="E18" s="3"/>
      <c r="F18" s="31">
        <v>0.14000000000000001</v>
      </c>
      <c r="G18" s="3"/>
      <c r="H18" s="4">
        <v>26.223750000000003</v>
      </c>
      <c r="I18" s="13"/>
      <c r="J18" s="4">
        <f t="shared" ref="J18:J25" si="6">I18*H18</f>
        <v>0</v>
      </c>
      <c r="M18" s="26" t="str">
        <f t="shared" si="0"/>
        <v>-</v>
      </c>
      <c r="N18" s="26" t="str">
        <f t="shared" si="1"/>
        <v>-</v>
      </c>
      <c r="O18" s="27" t="str">
        <f t="shared" si="2"/>
        <v>-</v>
      </c>
      <c r="P18" s="28" t="str">
        <f t="shared" si="3"/>
        <v>-</v>
      </c>
      <c r="Q18" s="19"/>
      <c r="R18" s="28" t="str">
        <f t="shared" si="4"/>
        <v>-</v>
      </c>
    </row>
    <row r="19" spans="1:18" ht="14.7" customHeight="1">
      <c r="A19" s="5">
        <v>30220</v>
      </c>
      <c r="B19" s="2">
        <v>752830677883</v>
      </c>
      <c r="C19" s="3" t="s">
        <v>20</v>
      </c>
      <c r="D19" s="3" t="s">
        <v>9</v>
      </c>
      <c r="E19" s="3"/>
      <c r="F19" s="31">
        <v>0</v>
      </c>
      <c r="G19" s="3"/>
      <c r="H19" s="4">
        <v>26.223750000000003</v>
      </c>
      <c r="I19" s="13"/>
      <c r="J19" s="4">
        <f t="shared" si="6"/>
        <v>0</v>
      </c>
      <c r="M19" s="26" t="str">
        <f t="shared" si="0"/>
        <v>-</v>
      </c>
      <c r="N19" s="26" t="str">
        <f t="shared" si="1"/>
        <v>-</v>
      </c>
      <c r="O19" s="27" t="str">
        <f t="shared" si="2"/>
        <v>-</v>
      </c>
      <c r="P19" s="28" t="str">
        <f t="shared" si="3"/>
        <v>-</v>
      </c>
      <c r="Q19" s="19"/>
      <c r="R19" s="28" t="str">
        <f t="shared" si="4"/>
        <v>-</v>
      </c>
    </row>
    <row r="20" spans="1:18" ht="14.7" customHeight="1">
      <c r="A20" s="5">
        <v>30320</v>
      </c>
      <c r="B20" s="2">
        <v>752830677784</v>
      </c>
      <c r="C20" s="3" t="s">
        <v>21</v>
      </c>
      <c r="D20" s="3" t="s">
        <v>9</v>
      </c>
      <c r="E20" s="3"/>
      <c r="F20" s="31">
        <v>0</v>
      </c>
      <c r="G20" s="3"/>
      <c r="H20" s="4">
        <v>26.223750000000003</v>
      </c>
      <c r="I20" s="13"/>
      <c r="J20" s="4">
        <f t="shared" si="6"/>
        <v>0</v>
      </c>
      <c r="M20" s="26" t="str">
        <f t="shared" si="0"/>
        <v>-</v>
      </c>
      <c r="N20" s="26" t="str">
        <f t="shared" si="1"/>
        <v>-</v>
      </c>
      <c r="O20" s="27" t="str">
        <f t="shared" si="2"/>
        <v>-</v>
      </c>
      <c r="P20" s="28" t="str">
        <f t="shared" si="3"/>
        <v>-</v>
      </c>
      <c r="Q20" s="19"/>
      <c r="R20" s="28" t="str">
        <f t="shared" si="4"/>
        <v>-</v>
      </c>
    </row>
    <row r="21" spans="1:18" ht="14.7" customHeight="1">
      <c r="A21" s="5">
        <v>30420</v>
      </c>
      <c r="B21" s="2">
        <v>646858160079</v>
      </c>
      <c r="C21" s="3" t="s">
        <v>22</v>
      </c>
      <c r="D21" s="3" t="s">
        <v>9</v>
      </c>
      <c r="E21" s="3"/>
      <c r="F21" s="31">
        <v>0.14000000000000001</v>
      </c>
      <c r="G21" s="3"/>
      <c r="H21" s="4">
        <v>26.223750000000003</v>
      </c>
      <c r="I21" s="13"/>
      <c r="J21" s="4">
        <f t="shared" si="6"/>
        <v>0</v>
      </c>
      <c r="M21" s="26" t="str">
        <f t="shared" si="0"/>
        <v>-</v>
      </c>
      <c r="N21" s="26" t="str">
        <f t="shared" si="1"/>
        <v>-</v>
      </c>
      <c r="O21" s="27" t="str">
        <f t="shared" si="2"/>
        <v>-</v>
      </c>
      <c r="P21" s="28" t="str">
        <f t="shared" si="3"/>
        <v>-</v>
      </c>
      <c r="Q21" s="19"/>
      <c r="R21" s="28" t="str">
        <f t="shared" si="4"/>
        <v>-</v>
      </c>
    </row>
    <row r="22" spans="1:18" ht="14.7" customHeight="1">
      <c r="A22" s="5">
        <v>30520</v>
      </c>
      <c r="B22" s="2">
        <v>646858160086</v>
      </c>
      <c r="C22" s="3" t="s">
        <v>23</v>
      </c>
      <c r="D22" s="3" t="s">
        <v>9</v>
      </c>
      <c r="E22" s="3"/>
      <c r="F22" s="31">
        <v>0.14000000000000001</v>
      </c>
      <c r="G22" s="3"/>
      <c r="H22" s="4">
        <v>26.223750000000003</v>
      </c>
      <c r="I22" s="13"/>
      <c r="J22" s="4">
        <f t="shared" si="6"/>
        <v>0</v>
      </c>
      <c r="M22" s="26" t="str">
        <f t="shared" si="0"/>
        <v>-</v>
      </c>
      <c r="N22" s="26" t="str">
        <f t="shared" si="1"/>
        <v>-</v>
      </c>
      <c r="O22" s="27" t="str">
        <f t="shared" si="2"/>
        <v>-</v>
      </c>
      <c r="P22" s="28" t="str">
        <f t="shared" si="3"/>
        <v>-</v>
      </c>
      <c r="Q22" s="19"/>
      <c r="R22" s="28" t="str">
        <f t="shared" si="4"/>
        <v>-</v>
      </c>
    </row>
    <row r="23" spans="1:18" ht="14.7" customHeight="1">
      <c r="A23" s="5">
        <v>30620</v>
      </c>
      <c r="B23" s="2">
        <v>646858160062</v>
      </c>
      <c r="C23" s="3" t="s">
        <v>24</v>
      </c>
      <c r="D23" s="3" t="s">
        <v>9</v>
      </c>
      <c r="E23" s="3"/>
      <c r="F23" s="31">
        <v>0.14000000000000001</v>
      </c>
      <c r="G23" s="3"/>
      <c r="H23" s="4">
        <v>26.223750000000003</v>
      </c>
      <c r="I23" s="13"/>
      <c r="J23" s="4">
        <f t="shared" si="6"/>
        <v>0</v>
      </c>
      <c r="M23" s="26" t="str">
        <f t="shared" si="0"/>
        <v>-</v>
      </c>
      <c r="N23" s="26" t="str">
        <f t="shared" si="1"/>
        <v>-</v>
      </c>
      <c r="O23" s="27" t="str">
        <f t="shared" si="2"/>
        <v>-</v>
      </c>
      <c r="P23" s="28" t="str">
        <f t="shared" si="3"/>
        <v>-</v>
      </c>
      <c r="Q23" s="19"/>
      <c r="R23" s="28" t="str">
        <f t="shared" si="4"/>
        <v>-</v>
      </c>
    </row>
    <row r="24" spans="1:18" ht="14.7" customHeight="1">
      <c r="A24" s="5">
        <v>30720</v>
      </c>
      <c r="B24" s="2">
        <v>646858160031</v>
      </c>
      <c r="C24" s="3" t="s">
        <v>25</v>
      </c>
      <c r="D24" s="3" t="s">
        <v>9</v>
      </c>
      <c r="E24" s="3"/>
      <c r="F24" s="31">
        <v>0.15</v>
      </c>
      <c r="G24" s="3"/>
      <c r="H24" s="4">
        <v>26.223750000000003</v>
      </c>
      <c r="I24" s="13"/>
      <c r="J24" s="4">
        <f t="shared" si="6"/>
        <v>0</v>
      </c>
      <c r="M24" s="26" t="str">
        <f t="shared" si="0"/>
        <v>-</v>
      </c>
      <c r="N24" s="26" t="str">
        <f t="shared" si="1"/>
        <v>-</v>
      </c>
      <c r="O24" s="27" t="str">
        <f t="shared" si="2"/>
        <v>-</v>
      </c>
      <c r="P24" s="28" t="str">
        <f t="shared" si="3"/>
        <v>-</v>
      </c>
      <c r="Q24" s="19"/>
      <c r="R24" s="28" t="str">
        <f t="shared" si="4"/>
        <v>-</v>
      </c>
    </row>
    <row r="25" spans="1:18" ht="14.7" customHeight="1">
      <c r="A25" s="5">
        <v>30820</v>
      </c>
      <c r="B25" s="2">
        <v>646858160048</v>
      </c>
      <c r="C25" s="3" t="s">
        <v>26</v>
      </c>
      <c r="D25" s="3" t="s">
        <v>9</v>
      </c>
      <c r="E25" s="3"/>
      <c r="F25" s="31">
        <v>0.14000000000000001</v>
      </c>
      <c r="G25" s="3"/>
      <c r="H25" s="4">
        <v>26.223750000000003</v>
      </c>
      <c r="I25" s="13"/>
      <c r="J25" s="4">
        <f t="shared" si="6"/>
        <v>0</v>
      </c>
      <c r="M25" s="26" t="str">
        <f t="shared" si="0"/>
        <v>-</v>
      </c>
      <c r="N25" s="26" t="str">
        <f t="shared" si="1"/>
        <v>-</v>
      </c>
      <c r="O25" s="27" t="str">
        <f t="shared" si="2"/>
        <v>-</v>
      </c>
      <c r="P25" s="28" t="str">
        <f t="shared" si="3"/>
        <v>-</v>
      </c>
      <c r="Q25" s="19"/>
      <c r="R25" s="28" t="str">
        <f t="shared" si="4"/>
        <v>-</v>
      </c>
    </row>
    <row r="26" spans="1:18" ht="14.7" customHeight="1">
      <c r="A26" s="6" t="s">
        <v>27</v>
      </c>
      <c r="B26" s="1"/>
      <c r="C26" s="1"/>
      <c r="D26" s="1"/>
      <c r="E26" s="1"/>
      <c r="F26" s="30"/>
      <c r="G26" s="1"/>
      <c r="H26" s="1"/>
      <c r="I26" s="14"/>
      <c r="J26" s="1"/>
      <c r="M26" s="26" t="str">
        <f t="shared" si="0"/>
        <v>-</v>
      </c>
      <c r="N26" s="26" t="str">
        <f t="shared" si="1"/>
        <v>-</v>
      </c>
      <c r="O26" s="27" t="str">
        <f t="shared" si="2"/>
        <v>-</v>
      </c>
      <c r="P26" s="28" t="str">
        <f t="shared" si="3"/>
        <v>-</v>
      </c>
      <c r="Q26" s="19"/>
      <c r="R26" s="28" t="str">
        <f t="shared" si="4"/>
        <v>-</v>
      </c>
    </row>
    <row r="27" spans="1:18" ht="14.7" customHeight="1">
      <c r="A27" s="2">
        <v>10220</v>
      </c>
      <c r="B27" s="2">
        <v>646858150025</v>
      </c>
      <c r="C27" s="3" t="s">
        <v>28</v>
      </c>
      <c r="D27" s="3" t="s">
        <v>9</v>
      </c>
      <c r="E27" s="3"/>
      <c r="F27" s="31">
        <v>0</v>
      </c>
      <c r="G27" s="3"/>
      <c r="H27" s="4">
        <v>29.505000000000003</v>
      </c>
      <c r="I27" s="13"/>
      <c r="J27" s="4">
        <f t="shared" ref="J27:J30" si="7">I27*H27</f>
        <v>0</v>
      </c>
      <c r="M27" s="26" t="str">
        <f t="shared" si="0"/>
        <v>-</v>
      </c>
      <c r="N27" s="26" t="str">
        <f t="shared" si="1"/>
        <v>-</v>
      </c>
      <c r="O27" s="27" t="str">
        <f t="shared" si="2"/>
        <v>-</v>
      </c>
      <c r="P27" s="28" t="str">
        <f t="shared" si="3"/>
        <v>-</v>
      </c>
      <c r="Q27" s="19"/>
      <c r="R27" s="28" t="str">
        <f t="shared" si="4"/>
        <v>-</v>
      </c>
    </row>
    <row r="28" spans="1:18" ht="14.7" customHeight="1">
      <c r="A28" s="2">
        <v>10320</v>
      </c>
      <c r="B28" s="2">
        <v>646858150018</v>
      </c>
      <c r="C28" s="3" t="s">
        <v>29</v>
      </c>
      <c r="D28" s="3" t="s">
        <v>9</v>
      </c>
      <c r="E28" s="3"/>
      <c r="F28" s="31">
        <v>0</v>
      </c>
      <c r="G28" s="3"/>
      <c r="H28" s="4">
        <v>29.505000000000003</v>
      </c>
      <c r="I28" s="13"/>
      <c r="J28" s="4">
        <f t="shared" si="7"/>
        <v>0</v>
      </c>
      <c r="M28" s="26" t="str">
        <f t="shared" si="0"/>
        <v>-</v>
      </c>
      <c r="N28" s="26" t="str">
        <f t="shared" si="1"/>
        <v>-</v>
      </c>
      <c r="O28" s="27" t="str">
        <f t="shared" si="2"/>
        <v>-</v>
      </c>
      <c r="P28" s="28" t="str">
        <f t="shared" si="3"/>
        <v>-</v>
      </c>
      <c r="Q28" s="19"/>
      <c r="R28" s="28" t="str">
        <f t="shared" si="4"/>
        <v>-</v>
      </c>
    </row>
    <row r="29" spans="1:18" ht="14.7" customHeight="1">
      <c r="A29" s="2">
        <v>10820</v>
      </c>
      <c r="B29" s="2">
        <v>689076815796</v>
      </c>
      <c r="C29" s="3" t="s">
        <v>30</v>
      </c>
      <c r="D29" s="3" t="s">
        <v>9</v>
      </c>
      <c r="E29" s="3"/>
      <c r="F29" s="31">
        <v>0</v>
      </c>
      <c r="G29" s="3"/>
      <c r="H29" s="4">
        <v>29.505000000000003</v>
      </c>
      <c r="I29" s="13"/>
      <c r="J29" s="4">
        <f t="shared" si="7"/>
        <v>0</v>
      </c>
      <c r="M29" s="26" t="str">
        <f t="shared" si="0"/>
        <v>-</v>
      </c>
      <c r="N29" s="26" t="str">
        <f t="shared" si="1"/>
        <v>-</v>
      </c>
      <c r="O29" s="27" t="str">
        <f t="shared" si="2"/>
        <v>-</v>
      </c>
      <c r="P29" s="28" t="str">
        <f t="shared" si="3"/>
        <v>-</v>
      </c>
      <c r="Q29" s="19"/>
      <c r="R29" s="28" t="str">
        <f t="shared" si="4"/>
        <v>-</v>
      </c>
    </row>
    <row r="30" spans="1:18" ht="14.7" customHeight="1">
      <c r="A30" s="2">
        <v>11220</v>
      </c>
      <c r="B30" s="2">
        <v>689076815697</v>
      </c>
      <c r="C30" s="3" t="s">
        <v>31</v>
      </c>
      <c r="D30" s="3" t="s">
        <v>9</v>
      </c>
      <c r="E30" s="3"/>
      <c r="F30" s="31">
        <v>0</v>
      </c>
      <c r="G30" s="3"/>
      <c r="H30" s="4">
        <v>29.505000000000003</v>
      </c>
      <c r="I30" s="13"/>
      <c r="J30" s="4">
        <f t="shared" si="7"/>
        <v>0</v>
      </c>
      <c r="M30" s="26" t="str">
        <f t="shared" si="0"/>
        <v>-</v>
      </c>
      <c r="N30" s="26" t="str">
        <f t="shared" si="1"/>
        <v>-</v>
      </c>
      <c r="O30" s="27" t="str">
        <f t="shared" si="2"/>
        <v>-</v>
      </c>
      <c r="P30" s="28" t="str">
        <f t="shared" si="3"/>
        <v>-</v>
      </c>
      <c r="Q30" s="19"/>
      <c r="R30" s="28" t="str">
        <f t="shared" si="4"/>
        <v>-</v>
      </c>
    </row>
    <row r="31" spans="1:18" ht="14.7" customHeight="1">
      <c r="A31" s="6" t="s">
        <v>32</v>
      </c>
      <c r="B31" s="1"/>
      <c r="C31" s="1"/>
      <c r="D31" s="1"/>
      <c r="E31" s="1"/>
      <c r="F31" s="30"/>
      <c r="G31" s="1"/>
      <c r="H31" s="1"/>
      <c r="I31" s="14"/>
      <c r="J31" s="1"/>
      <c r="M31" s="26" t="str">
        <f t="shared" si="0"/>
        <v>-</v>
      </c>
      <c r="N31" s="26" t="str">
        <f t="shared" si="1"/>
        <v>-</v>
      </c>
      <c r="O31" s="27" t="str">
        <f t="shared" si="2"/>
        <v>-</v>
      </c>
      <c r="P31" s="28" t="str">
        <f t="shared" si="3"/>
        <v>-</v>
      </c>
      <c r="Q31" s="19"/>
      <c r="R31" s="28" t="str">
        <f t="shared" si="4"/>
        <v>-</v>
      </c>
    </row>
    <row r="32" spans="1:18" ht="14.7" customHeight="1">
      <c r="A32" s="2">
        <v>50120</v>
      </c>
      <c r="B32" s="2">
        <v>752830679481</v>
      </c>
      <c r="C32" s="3" t="s">
        <v>33</v>
      </c>
      <c r="D32" s="3" t="s">
        <v>9</v>
      </c>
      <c r="E32" s="3"/>
      <c r="F32" s="31">
        <v>0.15</v>
      </c>
      <c r="G32" s="3"/>
      <c r="H32" s="4">
        <v>23.598750000000003</v>
      </c>
      <c r="I32" s="13"/>
      <c r="J32" s="4">
        <f t="shared" ref="J32:J35" si="8">I32*H32</f>
        <v>0</v>
      </c>
      <c r="M32" s="26" t="str">
        <f t="shared" si="0"/>
        <v>-</v>
      </c>
      <c r="N32" s="26" t="str">
        <f t="shared" si="1"/>
        <v>-</v>
      </c>
      <c r="O32" s="27" t="str">
        <f t="shared" si="2"/>
        <v>-</v>
      </c>
      <c r="P32" s="28" t="str">
        <f t="shared" si="3"/>
        <v>-</v>
      </c>
      <c r="Q32" s="19"/>
      <c r="R32" s="28" t="str">
        <f t="shared" si="4"/>
        <v>-</v>
      </c>
    </row>
    <row r="33" spans="1:18" ht="14.7" customHeight="1">
      <c r="A33" s="2">
        <v>50220</v>
      </c>
      <c r="B33" s="2">
        <v>752830679689</v>
      </c>
      <c r="C33" s="3" t="s">
        <v>34</v>
      </c>
      <c r="D33" s="3" t="s">
        <v>9</v>
      </c>
      <c r="E33" s="3"/>
      <c r="F33" s="31">
        <v>0.16</v>
      </c>
      <c r="G33" s="3"/>
      <c r="H33" s="4">
        <v>23.598750000000003</v>
      </c>
      <c r="I33" s="13"/>
      <c r="J33" s="4">
        <f t="shared" si="8"/>
        <v>0</v>
      </c>
      <c r="M33" s="26" t="str">
        <f t="shared" si="0"/>
        <v>-</v>
      </c>
      <c r="N33" s="26" t="str">
        <f t="shared" si="1"/>
        <v>-</v>
      </c>
      <c r="O33" s="27" t="str">
        <f t="shared" si="2"/>
        <v>-</v>
      </c>
      <c r="P33" s="28" t="str">
        <f t="shared" si="3"/>
        <v>-</v>
      </c>
      <c r="Q33" s="19"/>
      <c r="R33" s="28" t="str">
        <f t="shared" si="4"/>
        <v>-</v>
      </c>
    </row>
    <row r="34" spans="1:18" ht="14.7" customHeight="1">
      <c r="A34" s="2">
        <v>50320</v>
      </c>
      <c r="B34" s="2">
        <v>752830679986</v>
      </c>
      <c r="C34" s="3" t="s">
        <v>35</v>
      </c>
      <c r="D34" s="3" t="s">
        <v>9</v>
      </c>
      <c r="E34" s="3"/>
      <c r="F34" s="31">
        <v>0.14000000000000001</v>
      </c>
      <c r="G34" s="3"/>
      <c r="H34" s="4">
        <v>23.598750000000003</v>
      </c>
      <c r="I34" s="13"/>
      <c r="J34" s="4">
        <f t="shared" si="8"/>
        <v>0</v>
      </c>
      <c r="M34" s="26" t="str">
        <f t="shared" si="0"/>
        <v>-</v>
      </c>
      <c r="N34" s="26" t="str">
        <f t="shared" si="1"/>
        <v>-</v>
      </c>
      <c r="O34" s="27" t="str">
        <f t="shared" si="2"/>
        <v>-</v>
      </c>
      <c r="P34" s="28" t="str">
        <f t="shared" si="3"/>
        <v>-</v>
      </c>
      <c r="Q34" s="19"/>
      <c r="R34" s="28" t="str">
        <f t="shared" si="4"/>
        <v>-</v>
      </c>
    </row>
    <row r="35" spans="1:18" ht="14.7" customHeight="1">
      <c r="A35" s="2">
        <v>50420</v>
      </c>
      <c r="B35" s="2">
        <v>752830679382</v>
      </c>
      <c r="C35" s="3" t="s">
        <v>36</v>
      </c>
      <c r="D35" s="3" t="s">
        <v>9</v>
      </c>
      <c r="E35" s="3"/>
      <c r="F35" s="31">
        <v>0.14000000000000001</v>
      </c>
      <c r="G35" s="3"/>
      <c r="H35" s="4">
        <v>23.598750000000003</v>
      </c>
      <c r="I35" s="13"/>
      <c r="J35" s="4">
        <f t="shared" si="8"/>
        <v>0</v>
      </c>
      <c r="M35" s="26" t="str">
        <f t="shared" si="0"/>
        <v>-</v>
      </c>
      <c r="N35" s="26" t="str">
        <f t="shared" si="1"/>
        <v>-</v>
      </c>
      <c r="O35" s="27" t="str">
        <f t="shared" si="2"/>
        <v>-</v>
      </c>
      <c r="P35" s="28" t="str">
        <f t="shared" si="3"/>
        <v>-</v>
      </c>
      <c r="Q35" s="19"/>
      <c r="R35" s="28" t="str">
        <f t="shared" si="4"/>
        <v>-</v>
      </c>
    </row>
  </sheetData>
  <sheetProtection algorithmName="SHA-512" hashValue="ugPBT1W7fOT7HuThAnvJD/iCh/O98UrbNRpKMBKzt3ix3tdJrS42L1dOHJqdt34kouV/LOqQaTucOcaqOCb+kw==" saltValue="PyYS8yQFuHDCYUFbOvcRmQ==" spinCount="100000" sheet="1" formatCells="0" formatColumns="0" formatRows="0" insertColumns="0" insertRows="0" insertHyperlinks="0" deleteColumns="0" deleteRows="0" sort="0" autoFilter="0" pivotTables="0"/>
  <autoFilter ref="A2:J36" xr:uid="{00000000-0001-0000-0100-000000000000}"/>
  <mergeCells count="2">
    <mergeCell ref="A1:J1"/>
    <mergeCell ref="N1:N2"/>
  </mergeCells>
  <conditionalFormatting sqref="R1">
    <cfRule type="expression" dxfId="0" priority="1">
      <formula>"&gt;0"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Bioray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Tkachuk Valia</cp:lastModifiedBy>
  <dcterms:created xsi:type="dcterms:W3CDTF">2025-06-30T10:28:09Z</dcterms:created>
  <dcterms:modified xsi:type="dcterms:W3CDTF">2025-12-02T08:00:34Z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2023-09-27T00:00:00Z</vt:filetime>
  </property>
  <property fmtid="{D5CDD505-2E9C-101B-9397-08002B2CF9AE}" pid="3" name="Creator">
    <vt:lpwstr>Acrobat PDFMaker 22 for Excel</vt:lpwstr>
  </property>
  <property fmtid="{D5CDD505-2E9C-101B-9397-08002B2CF9AE}" pid="4" name="LastSaved">
    <vt:filetime>2025-06-30T00:00:00Z</vt:filetime>
  </property>
  <property fmtid="{D5CDD505-2E9C-101B-9397-08002B2CF9AE}" pid="5" name="Producer">
    <vt:lpwstr>Adobe PDF Library 22.3.98</vt:lpwstr>
  </property>
</Properties>
</file>