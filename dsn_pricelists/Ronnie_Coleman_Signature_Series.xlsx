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Ronnie Coleman\Продаж\"/>
    </mc:Choice>
  </mc:AlternateContent>
  <xr:revisionPtr revIDLastSave="0" documentId="13_ncr:1_{A2FEB162-234D-4C50-82A3-379A98CA1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(Ronnie Coleman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7" i="1" l="1"/>
  <c r="H6" i="1"/>
  <c r="H7" i="1"/>
  <c r="H8" i="1"/>
  <c r="H4" i="1"/>
  <c r="H5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25" i="1"/>
  <c r="H26" i="1"/>
  <c r="H21" i="1"/>
  <c r="H22" i="1"/>
  <c r="H23" i="1"/>
  <c r="H24" i="1"/>
  <c r="H33" i="1"/>
  <c r="H34" i="1"/>
  <c r="H35" i="1"/>
  <c r="H36" i="1"/>
  <c r="H65" i="1"/>
  <c r="H66" i="1"/>
  <c r="H67" i="1"/>
  <c r="H68" i="1"/>
  <c r="H69" i="1"/>
  <c r="H70" i="1"/>
  <c r="H71" i="1"/>
  <c r="H72" i="1"/>
  <c r="H64" i="1"/>
  <c r="H13" i="1"/>
  <c r="H14" i="1"/>
  <c r="H15" i="1"/>
  <c r="H16" i="1"/>
  <c r="H31" i="1"/>
  <c r="H32" i="1"/>
  <c r="H38" i="1"/>
  <c r="H39" i="1"/>
  <c r="H40" i="1"/>
  <c r="H54" i="1"/>
  <c r="H55" i="1"/>
  <c r="H56" i="1"/>
  <c r="H57" i="1"/>
  <c r="H58" i="1"/>
  <c r="H59" i="1"/>
  <c r="H60" i="1"/>
  <c r="H61" i="1"/>
  <c r="H62" i="1"/>
  <c r="H63" i="1"/>
  <c r="H73" i="1"/>
  <c r="H74" i="1"/>
  <c r="H75" i="1"/>
  <c r="H76" i="1"/>
  <c r="H78" i="1"/>
  <c r="H79" i="1"/>
  <c r="H80" i="1"/>
  <c r="H81" i="1"/>
  <c r="H3" i="1"/>
  <c r="H9" i="1"/>
  <c r="H10" i="1"/>
  <c r="H11" i="1"/>
  <c r="H12" i="1"/>
  <c r="H17" i="1"/>
  <c r="H18" i="1"/>
  <c r="H19" i="1"/>
  <c r="H20" i="1"/>
  <c r="H27" i="1"/>
  <c r="H28" i="1"/>
  <c r="H29" i="1"/>
  <c r="H30" i="1"/>
  <c r="H37" i="1"/>
  <c r="I2" i="1" l="1"/>
</calcChain>
</file>

<file path=xl/sharedStrings.xml><?xml version="1.0" encoding="utf-8"?>
<sst xmlns="http://schemas.openxmlformats.org/spreadsheetml/2006/main" count="247" uniqueCount="101">
  <si>
    <t>Pro-Antium</t>
  </si>
  <si>
    <t>Double Chocolate Cookie</t>
  </si>
  <si>
    <t>Vanilla Wafer Crisp</t>
  </si>
  <si>
    <t>Strawberry Shortcake</t>
  </si>
  <si>
    <t>Cookies &amp; Cream</t>
  </si>
  <si>
    <t>5lbs</t>
  </si>
  <si>
    <t>King Mass</t>
  </si>
  <si>
    <t>Dark Chocolate</t>
  </si>
  <si>
    <t>Vanilla Ice Cream</t>
  </si>
  <si>
    <t>Strawberry Milkshake</t>
  </si>
  <si>
    <t>15lbs</t>
  </si>
  <si>
    <t>6lbs</t>
  </si>
  <si>
    <t>King Whey</t>
  </si>
  <si>
    <t>Chocolate Brownie</t>
  </si>
  <si>
    <t>Vanilla Frosting</t>
  </si>
  <si>
    <t>Strawberry Cheesecake</t>
  </si>
  <si>
    <t>Iso-Tropic Max</t>
  </si>
  <si>
    <t>German Chocolate</t>
  </si>
  <si>
    <t>Vanilla Cream</t>
  </si>
  <si>
    <t>Yeah Buddy</t>
  </si>
  <si>
    <t>Strawberry Lemonade</t>
  </si>
  <si>
    <t>Sour Berry</t>
  </si>
  <si>
    <t>Cherry Limeade</t>
  </si>
  <si>
    <t>Sour Apple</t>
  </si>
  <si>
    <t>30serv.</t>
  </si>
  <si>
    <t>Blue Raspberry</t>
  </si>
  <si>
    <t>Mango Pineapple</t>
  </si>
  <si>
    <t>Cotton Candy</t>
  </si>
  <si>
    <t>16oz</t>
  </si>
  <si>
    <t>Tropical Punch</t>
  </si>
  <si>
    <t>BCAA-XS</t>
  </si>
  <si>
    <t>Lemonbeary Gummies</t>
  </si>
  <si>
    <t>200 tabs</t>
  </si>
  <si>
    <t>Unflavored</t>
  </si>
  <si>
    <t>Orange Smash</t>
  </si>
  <si>
    <t>Mixed Berries</t>
  </si>
  <si>
    <t>Pink Lemonade</t>
  </si>
  <si>
    <t>Omega 3-XS</t>
  </si>
  <si>
    <t>CLA-XS</t>
  </si>
  <si>
    <t>Creatine-XS</t>
  </si>
  <si>
    <t>Glutamine-XS</t>
  </si>
  <si>
    <t>Lemonade</t>
  </si>
  <si>
    <t>90 softgels</t>
  </si>
  <si>
    <t>120 softgels</t>
  </si>
  <si>
    <t>300 grams</t>
  </si>
  <si>
    <t>120 caps</t>
  </si>
  <si>
    <t>325 tabs</t>
  </si>
  <si>
    <t>Vita-XS</t>
  </si>
  <si>
    <t>Green Apple</t>
  </si>
  <si>
    <t>Guava Nectarine</t>
  </si>
  <si>
    <t>120ct</t>
  </si>
  <si>
    <t>Grape</t>
  </si>
  <si>
    <t>Wild Cherry</t>
  </si>
  <si>
    <t>Strawberry Kiwi</t>
  </si>
  <si>
    <t xml:space="preserve">BCAA-XS </t>
  </si>
  <si>
    <t xml:space="preserve">Tribulus XS </t>
  </si>
  <si>
    <t>200ct</t>
  </si>
  <si>
    <t>Blue Razz</t>
  </si>
  <si>
    <t>Amino 8000</t>
  </si>
  <si>
    <t>120 tabs</t>
  </si>
  <si>
    <t>Pump XS</t>
  </si>
  <si>
    <t xml:space="preserve">EAA XS  </t>
  </si>
  <si>
    <t>L-Arginine XS</t>
  </si>
  <si>
    <t>HMB XS</t>
  </si>
  <si>
    <t xml:space="preserve">Amino-Tone EAA </t>
  </si>
  <si>
    <t>Fuit Punch</t>
  </si>
  <si>
    <t>King Test</t>
  </si>
  <si>
    <t>90 tabs</t>
  </si>
  <si>
    <t>L-Carnitine-XS 3000</t>
  </si>
  <si>
    <t>100 caps</t>
  </si>
  <si>
    <t>ITEM</t>
  </si>
  <si>
    <t>FLAVOR</t>
  </si>
  <si>
    <t>SIZE</t>
  </si>
  <si>
    <t>UNITS PER CASE</t>
  </si>
  <si>
    <t>UNITS PER PALLET</t>
  </si>
  <si>
    <t>TOTAL AMOUNT</t>
  </si>
  <si>
    <t>Milk Chocolate</t>
  </si>
  <si>
    <t>1 Kilo</t>
  </si>
  <si>
    <t>King Mass XL</t>
  </si>
  <si>
    <t>L-Carnitine-XS 4000</t>
  </si>
  <si>
    <t>Yeah Buddy Sport</t>
  </si>
  <si>
    <t>3lbs</t>
  </si>
  <si>
    <t>Carvinal Rush</t>
  </si>
  <si>
    <t>Apple Bomb</t>
  </si>
  <si>
    <t>Grape Nectar</t>
  </si>
  <si>
    <t>Orange Creamscicle</t>
  </si>
  <si>
    <t>Ruby Red Fruit</t>
  </si>
  <si>
    <t>Rainbow Candy</t>
  </si>
  <si>
    <t>Cherry Rush</t>
  </si>
  <si>
    <t>Apple Blast</t>
  </si>
  <si>
    <t>Paradise Fusion</t>
  </si>
  <si>
    <t>Island Crush</t>
  </si>
  <si>
    <t>Lemon Splash</t>
  </si>
  <si>
    <t xml:space="preserve">Yeah Buddy Xtreme </t>
  </si>
  <si>
    <t xml:space="preserve">King Mass XXL </t>
  </si>
  <si>
    <t>Creatine-XS NEW ITEM</t>
  </si>
  <si>
    <t>PRICE</t>
  </si>
  <si>
    <t>ORDER</t>
  </si>
  <si>
    <r>
      <rPr>
        <b/>
        <sz val="8"/>
        <color rgb="FFFF0000"/>
        <rFont val="Arial"/>
        <family val="2"/>
        <charset val="204"/>
      </rPr>
      <t>Importantly!</t>
    </r>
    <r>
      <rPr>
        <sz val="8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</si>
  <si>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Caramel Wafer</t>
  </si>
  <si>
    <t>26.06.2025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</si>
</sst>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  <charset val="204"/>
    </font>
    <font>
      <sz val="11"/>
      <name val="Arial"/>
      <family val="2"/>
      <charset val="204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10"/>
      <color theme="7" tint="0.399975585192419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4" fillId="0" borderId="1" xfId="0" applyFont="1" applyBorder="1" applyAlignment="1">
      <alignment horizontal="center" wrapText="1"/>
    </xf>
    <xf numFmtId="0" fontId="7" fillId="0" borderId="0" xfId="0" applyFont="1"/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164" fontId="8" fillId="0" borderId="10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>
      <alignment horizontal="left" wrapText="1"/>
    </xf>
    <xf numFmtId="0" fontId="12" fillId="2" borderId="11" xfId="0" applyFont="1" applyFill="1" applyBorder="1" applyAlignment="1">
      <alignment horizontal="center" vertical="center" wrapText="1"/>
    </xf>
    <xf numFmtId="164" fontId="4" fillId="0" borderId="12" xfId="1" applyFont="1" applyFill="1" applyBorder="1" applyAlignment="1">
      <alignment wrapText="1"/>
    </xf>
    <xf numFmtId="164" fontId="4" fillId="0" borderId="13" xfId="1" applyFont="1" applyFill="1" applyBorder="1" applyAlignment="1">
      <alignment wrapText="1"/>
    </xf>
    <xf numFmtId="164" fontId="4" fillId="0" borderId="14" xfId="1" applyFont="1" applyFill="1" applyBorder="1" applyAlignment="1">
      <alignment wrapText="1"/>
    </xf>
    <xf numFmtId="164" fontId="4" fillId="0" borderId="15" xfId="1" applyFont="1" applyFill="1" applyBorder="1" applyAlignment="1">
      <alignment wrapText="1"/>
    </xf>
    <xf numFmtId="164" fontId="4" fillId="0" borderId="16" xfId="1" applyFont="1" applyFill="1" applyBorder="1" applyAlignment="1">
      <alignment wrapText="1"/>
    </xf>
    <xf numFmtId="164" fontId="4" fillId="0" borderId="17" xfId="1" applyFont="1" applyFill="1" applyBorder="1" applyAlignment="1">
      <alignment wrapText="1"/>
    </xf>
    <xf numFmtId="1" fontId="4" fillId="0" borderId="18" xfId="0" applyNumberFormat="1" applyFont="1" applyBorder="1" applyAlignment="1" applyProtection="1">
      <alignment horizontal="center" wrapText="1"/>
      <protection locked="0"/>
    </xf>
    <xf numFmtId="1" fontId="4" fillId="0" borderId="19" xfId="0" applyNumberFormat="1" applyFont="1" applyBorder="1" applyAlignment="1" applyProtection="1">
      <alignment horizontal="center" wrapText="1"/>
      <protection locked="0"/>
    </xf>
    <xf numFmtId="1" fontId="4" fillId="0" borderId="20" xfId="0" applyNumberFormat="1" applyFont="1" applyBorder="1" applyAlignment="1" applyProtection="1">
      <alignment horizontal="center" wrapText="1"/>
      <protection locked="0"/>
    </xf>
    <xf numFmtId="14" fontId="9" fillId="0" borderId="0" xfId="0" quotePrefix="1" applyNumberFormat="1" applyFont="1" applyAlignment="1">
      <alignment horizontal="center" vertical="center"/>
    </xf>
  </cellXfs>
  <cellStyles count="2">
    <cellStyle name="Грошовий" xfId="1" builtinId="4"/>
    <cellStyle name="Звичайний" xfId="0" builtinId="0"/>
  </cellStyles>
  <dxfs count="1">
    <dxf>
      <font>
        <color theme="7" tint="0.39994506668294322"/>
      </font>
      <fill>
        <gradientFill degree="45">
          <stop position="0">
            <color theme="4" tint="-0.25098422193060094"/>
          </stop>
          <stop position="0.5">
            <color theme="4" tint="-0.49803155613879818"/>
          </stop>
          <stop position="1">
            <color theme="4" tint="-0.25098422193060094"/>
          </stop>
        </gradient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129540</xdr:colOff>
      <xdr:row>0</xdr:row>
      <xdr:rowOff>121920</xdr:rowOff>
    </xdr:from>
    <xdr:to>
      <xdr:col>7</xdr:col>
      <xdr:colOff>571500</xdr:colOff>
      <xdr:row>0</xdr:row>
      <xdr:rowOff>735171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288F98-FD40-CE0F-CC35-BD693721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0" y="121920"/>
          <a:ext cx="2499360" cy="613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showGridLines="0" tabSelected="1" zoomScaleNormal="100" workbookViewId="0">
      <pane ySplit="2" topLeftCell="A3" activePane="bottomLeft" state="frozen"/>
      <selection pane="bottomLeft" activeCell="G5" sqref="G5"/>
    </sheetView>
  </sheetViews>
  <sheetFormatPr defaultColWidth="9.109375" defaultRowHeight="14.4" x14ac:dyDescent="0.3"/>
  <cols>
    <col min="1" max="1" width="21.5546875" style="3" customWidth="1"/>
    <col min="2" max="2" width="22.77734375" style="3" customWidth="1"/>
    <col min="3" max="3" width="11.44140625" style="4" customWidth="1"/>
    <col min="4" max="4" width="13" style="4" customWidth="1"/>
    <col min="5" max="5" width="11.88671875" style="4" customWidth="1"/>
    <col min="6" max="6" width="7.44140625" style="3" bestFit="1" customWidth="1"/>
    <col min="7" max="7" width="10.6640625" style="19" customWidth="1"/>
    <col min="8" max="8" width="11.88671875" style="3" customWidth="1"/>
    <col min="9" max="9" width="13.33203125" style="1" customWidth="1"/>
    <col min="10" max="16384" width="9.109375" style="1"/>
  </cols>
  <sheetData>
    <row r="1" spans="1:9" ht="68.400000000000006" customHeight="1" thickBot="1" x14ac:dyDescent="0.35">
      <c r="A1" s="20" t="s">
        <v>98</v>
      </c>
      <c r="B1" s="20"/>
      <c r="C1" s="20"/>
      <c r="D1" s="20"/>
      <c r="E1" s="20"/>
      <c r="F1" s="20"/>
      <c r="G1" s="20"/>
      <c r="H1" s="20"/>
      <c r="I1" s="31" t="s">
        <v>100</v>
      </c>
    </row>
    <row r="2" spans="1:9" s="5" customFormat="1" ht="34.200000000000003" customHeight="1" thickBot="1" x14ac:dyDescent="0.35">
      <c r="A2" s="16" t="s">
        <v>70</v>
      </c>
      <c r="B2" s="17" t="s">
        <v>71</v>
      </c>
      <c r="C2" s="17" t="s">
        <v>72</v>
      </c>
      <c r="D2" s="17" t="s">
        <v>73</v>
      </c>
      <c r="E2" s="17" t="s">
        <v>74</v>
      </c>
      <c r="F2" s="17" t="s">
        <v>96</v>
      </c>
      <c r="G2" s="21" t="s">
        <v>97</v>
      </c>
      <c r="H2" s="18" t="s">
        <v>75</v>
      </c>
      <c r="I2" s="15">
        <f>SUM(H3:H81)</f>
        <v>0</v>
      </c>
    </row>
    <row r="3" spans="1:9" s="7" customFormat="1" ht="12" x14ac:dyDescent="0.25">
      <c r="A3" s="8" t="s">
        <v>0</v>
      </c>
      <c r="B3" s="9" t="s">
        <v>1</v>
      </c>
      <c r="C3" s="10" t="s">
        <v>5</v>
      </c>
      <c r="D3" s="10">
        <v>6</v>
      </c>
      <c r="E3" s="10">
        <v>210</v>
      </c>
      <c r="F3" s="22">
        <v>50.687000000000005</v>
      </c>
      <c r="G3" s="28"/>
      <c r="H3" s="25">
        <f>F3*G3</f>
        <v>0</v>
      </c>
    </row>
    <row r="4" spans="1:9" s="7" customFormat="1" ht="12" x14ac:dyDescent="0.25">
      <c r="A4" s="11" t="s">
        <v>0</v>
      </c>
      <c r="B4" s="2" t="s">
        <v>2</v>
      </c>
      <c r="C4" s="6" t="s">
        <v>5</v>
      </c>
      <c r="D4" s="6">
        <v>6</v>
      </c>
      <c r="E4" s="6">
        <v>210</v>
      </c>
      <c r="F4" s="23">
        <v>50.687000000000005</v>
      </c>
      <c r="G4" s="29"/>
      <c r="H4" s="26">
        <f>F4*G4</f>
        <v>0</v>
      </c>
    </row>
    <row r="5" spans="1:9" s="7" customFormat="1" ht="12" x14ac:dyDescent="0.25">
      <c r="A5" s="11" t="s">
        <v>0</v>
      </c>
      <c r="B5" s="2" t="s">
        <v>3</v>
      </c>
      <c r="C5" s="6" t="s">
        <v>5</v>
      </c>
      <c r="D5" s="6">
        <v>6</v>
      </c>
      <c r="E5" s="6">
        <v>210</v>
      </c>
      <c r="F5" s="23">
        <v>50.687000000000005</v>
      </c>
      <c r="G5" s="29"/>
      <c r="H5" s="26">
        <f>F5*G5</f>
        <v>0</v>
      </c>
    </row>
    <row r="6" spans="1:9" s="7" customFormat="1" ht="12" x14ac:dyDescent="0.25">
      <c r="A6" s="11" t="s">
        <v>0</v>
      </c>
      <c r="B6" s="2" t="s">
        <v>4</v>
      </c>
      <c r="C6" s="6" t="s">
        <v>5</v>
      </c>
      <c r="D6" s="6">
        <v>6</v>
      </c>
      <c r="E6" s="6">
        <v>210</v>
      </c>
      <c r="F6" s="23">
        <v>50.687000000000005</v>
      </c>
      <c r="G6" s="29"/>
      <c r="H6" s="26">
        <f t="shared" ref="H6:H8" si="0">F6*G6</f>
        <v>0</v>
      </c>
    </row>
    <row r="7" spans="1:9" s="7" customFormat="1" ht="12" x14ac:dyDescent="0.25">
      <c r="A7" s="11" t="s">
        <v>6</v>
      </c>
      <c r="B7" s="2" t="s">
        <v>7</v>
      </c>
      <c r="C7" s="6" t="s">
        <v>10</v>
      </c>
      <c r="D7" s="6">
        <v>3</v>
      </c>
      <c r="E7" s="6">
        <v>108</v>
      </c>
      <c r="F7" s="23">
        <v>54.587000000000003</v>
      </c>
      <c r="G7" s="29"/>
      <c r="H7" s="26">
        <f t="shared" si="0"/>
        <v>0</v>
      </c>
    </row>
    <row r="8" spans="1:9" s="7" customFormat="1" ht="12" x14ac:dyDescent="0.25">
      <c r="A8" s="11" t="s">
        <v>6</v>
      </c>
      <c r="B8" s="2" t="s">
        <v>8</v>
      </c>
      <c r="C8" s="6" t="s">
        <v>10</v>
      </c>
      <c r="D8" s="6">
        <v>3</v>
      </c>
      <c r="E8" s="6">
        <v>108</v>
      </c>
      <c r="F8" s="23">
        <v>54.587000000000003</v>
      </c>
      <c r="G8" s="29"/>
      <c r="H8" s="26">
        <f t="shared" si="0"/>
        <v>0</v>
      </c>
    </row>
    <row r="9" spans="1:9" s="7" customFormat="1" ht="12" x14ac:dyDescent="0.25">
      <c r="A9" s="11" t="s">
        <v>6</v>
      </c>
      <c r="B9" s="2" t="s">
        <v>3</v>
      </c>
      <c r="C9" s="6" t="s">
        <v>10</v>
      </c>
      <c r="D9" s="6">
        <v>3</v>
      </c>
      <c r="E9" s="6">
        <v>108</v>
      </c>
      <c r="F9" s="23">
        <v>54.587000000000003</v>
      </c>
      <c r="G9" s="29"/>
      <c r="H9" s="26">
        <f t="shared" ref="H9:H55" si="1">F9*G9</f>
        <v>0</v>
      </c>
    </row>
    <row r="10" spans="1:9" s="7" customFormat="1" ht="12" x14ac:dyDescent="0.25">
      <c r="A10" s="11" t="s">
        <v>6</v>
      </c>
      <c r="B10" s="2" t="s">
        <v>4</v>
      </c>
      <c r="C10" s="6" t="s">
        <v>10</v>
      </c>
      <c r="D10" s="6">
        <v>3</v>
      </c>
      <c r="E10" s="6">
        <v>108</v>
      </c>
      <c r="F10" s="23">
        <v>54.587000000000003</v>
      </c>
      <c r="G10" s="29"/>
      <c r="H10" s="26">
        <f t="shared" si="1"/>
        <v>0</v>
      </c>
    </row>
    <row r="11" spans="1:9" s="7" customFormat="1" ht="12" x14ac:dyDescent="0.25">
      <c r="A11" s="11" t="s">
        <v>6</v>
      </c>
      <c r="B11" s="2" t="s">
        <v>7</v>
      </c>
      <c r="C11" s="6" t="s">
        <v>11</v>
      </c>
      <c r="D11" s="6">
        <v>6</v>
      </c>
      <c r="E11" s="6">
        <v>210</v>
      </c>
      <c r="F11" s="23">
        <v>29.887</v>
      </c>
      <c r="G11" s="29"/>
      <c r="H11" s="26">
        <f t="shared" si="1"/>
        <v>0</v>
      </c>
    </row>
    <row r="12" spans="1:9" s="7" customFormat="1" ht="12" x14ac:dyDescent="0.25">
      <c r="A12" s="11" t="s">
        <v>6</v>
      </c>
      <c r="B12" s="2" t="s">
        <v>8</v>
      </c>
      <c r="C12" s="6" t="s">
        <v>11</v>
      </c>
      <c r="D12" s="6">
        <v>6</v>
      </c>
      <c r="E12" s="6">
        <v>210</v>
      </c>
      <c r="F12" s="23">
        <v>29.887</v>
      </c>
      <c r="G12" s="29"/>
      <c r="H12" s="26">
        <f t="shared" si="1"/>
        <v>0</v>
      </c>
    </row>
    <row r="13" spans="1:9" s="7" customFormat="1" ht="12" x14ac:dyDescent="0.25">
      <c r="A13" s="11" t="s">
        <v>6</v>
      </c>
      <c r="B13" s="2" t="s">
        <v>9</v>
      </c>
      <c r="C13" s="6" t="s">
        <v>11</v>
      </c>
      <c r="D13" s="6">
        <v>6</v>
      </c>
      <c r="E13" s="6">
        <v>210</v>
      </c>
      <c r="F13" s="23">
        <v>29.887</v>
      </c>
      <c r="G13" s="29"/>
      <c r="H13" s="26">
        <f t="shared" si="1"/>
        <v>0</v>
      </c>
    </row>
    <row r="14" spans="1:9" s="7" customFormat="1" ht="12" x14ac:dyDescent="0.25">
      <c r="A14" s="11" t="s">
        <v>6</v>
      </c>
      <c r="B14" s="2" t="s">
        <v>4</v>
      </c>
      <c r="C14" s="6" t="s">
        <v>11</v>
      </c>
      <c r="D14" s="6">
        <v>6</v>
      </c>
      <c r="E14" s="6">
        <v>210</v>
      </c>
      <c r="F14" s="23">
        <v>29.887</v>
      </c>
      <c r="G14" s="29"/>
      <c r="H14" s="26">
        <f t="shared" si="1"/>
        <v>0</v>
      </c>
    </row>
    <row r="15" spans="1:9" s="7" customFormat="1" ht="12" x14ac:dyDescent="0.25">
      <c r="A15" s="11" t="s">
        <v>12</v>
      </c>
      <c r="B15" s="2" t="s">
        <v>13</v>
      </c>
      <c r="C15" s="6" t="s">
        <v>5</v>
      </c>
      <c r="D15" s="6">
        <v>6</v>
      </c>
      <c r="E15" s="6">
        <v>210</v>
      </c>
      <c r="F15" s="23">
        <v>51.987000000000002</v>
      </c>
      <c r="G15" s="29"/>
      <c r="H15" s="26">
        <f t="shared" si="1"/>
        <v>0</v>
      </c>
    </row>
    <row r="16" spans="1:9" s="7" customFormat="1" ht="12" x14ac:dyDescent="0.25">
      <c r="A16" s="11" t="s">
        <v>12</v>
      </c>
      <c r="B16" s="2" t="s">
        <v>14</v>
      </c>
      <c r="C16" s="6" t="s">
        <v>5</v>
      </c>
      <c r="D16" s="6">
        <v>6</v>
      </c>
      <c r="E16" s="6">
        <v>210</v>
      </c>
      <c r="F16" s="23">
        <v>51.987000000000002</v>
      </c>
      <c r="G16" s="29"/>
      <c r="H16" s="26">
        <f t="shared" si="1"/>
        <v>0</v>
      </c>
    </row>
    <row r="17" spans="1:8" s="7" customFormat="1" ht="12" x14ac:dyDescent="0.25">
      <c r="A17" s="11" t="s">
        <v>12</v>
      </c>
      <c r="B17" s="2" t="s">
        <v>15</v>
      </c>
      <c r="C17" s="6" t="s">
        <v>5</v>
      </c>
      <c r="D17" s="6">
        <v>6</v>
      </c>
      <c r="E17" s="6">
        <v>210</v>
      </c>
      <c r="F17" s="23">
        <v>51.987000000000002</v>
      </c>
      <c r="G17" s="29"/>
      <c r="H17" s="26">
        <f t="shared" si="1"/>
        <v>0</v>
      </c>
    </row>
    <row r="18" spans="1:8" s="7" customFormat="1" ht="12" x14ac:dyDescent="0.25">
      <c r="A18" s="11" t="s">
        <v>12</v>
      </c>
      <c r="B18" s="2" t="s">
        <v>4</v>
      </c>
      <c r="C18" s="6" t="s">
        <v>5</v>
      </c>
      <c r="D18" s="6">
        <v>6</v>
      </c>
      <c r="E18" s="6">
        <v>210</v>
      </c>
      <c r="F18" s="23">
        <v>51.987000000000002</v>
      </c>
      <c r="G18" s="29"/>
      <c r="H18" s="26">
        <f t="shared" si="1"/>
        <v>0</v>
      </c>
    </row>
    <row r="19" spans="1:8" s="7" customFormat="1" ht="12" x14ac:dyDescent="0.25">
      <c r="A19" s="11" t="s">
        <v>16</v>
      </c>
      <c r="B19" s="2" t="s">
        <v>17</v>
      </c>
      <c r="C19" s="6" t="s">
        <v>5</v>
      </c>
      <c r="D19" s="6">
        <v>6</v>
      </c>
      <c r="E19" s="6">
        <v>210</v>
      </c>
      <c r="F19" s="23">
        <v>65</v>
      </c>
      <c r="G19" s="29"/>
      <c r="H19" s="26">
        <f t="shared" si="1"/>
        <v>0</v>
      </c>
    </row>
    <row r="20" spans="1:8" s="7" customFormat="1" ht="12" x14ac:dyDescent="0.25">
      <c r="A20" s="11" t="s">
        <v>16</v>
      </c>
      <c r="B20" s="2" t="s">
        <v>18</v>
      </c>
      <c r="C20" s="6" t="s">
        <v>5</v>
      </c>
      <c r="D20" s="6">
        <v>6</v>
      </c>
      <c r="E20" s="6">
        <v>210</v>
      </c>
      <c r="F20" s="23">
        <v>65</v>
      </c>
      <c r="G20" s="29"/>
      <c r="H20" s="26">
        <f t="shared" si="1"/>
        <v>0</v>
      </c>
    </row>
    <row r="21" spans="1:8" s="7" customFormat="1" ht="12" x14ac:dyDescent="0.25">
      <c r="A21" s="11" t="s">
        <v>19</v>
      </c>
      <c r="B21" s="2" t="s">
        <v>20</v>
      </c>
      <c r="C21" s="6" t="s">
        <v>24</v>
      </c>
      <c r="D21" s="6">
        <v>12</v>
      </c>
      <c r="E21" s="6">
        <v>1440</v>
      </c>
      <c r="F21" s="23">
        <v>17.537000000000003</v>
      </c>
      <c r="G21" s="29"/>
      <c r="H21" s="26">
        <f t="shared" si="1"/>
        <v>0</v>
      </c>
    </row>
    <row r="22" spans="1:8" s="7" customFormat="1" ht="12" x14ac:dyDescent="0.25">
      <c r="A22" s="11" t="s">
        <v>19</v>
      </c>
      <c r="B22" s="2" t="s">
        <v>21</v>
      </c>
      <c r="C22" s="6" t="s">
        <v>24</v>
      </c>
      <c r="D22" s="6">
        <v>12</v>
      </c>
      <c r="E22" s="6">
        <v>1440</v>
      </c>
      <c r="F22" s="23">
        <v>17.537000000000003</v>
      </c>
      <c r="G22" s="29"/>
      <c r="H22" s="26">
        <f t="shared" si="1"/>
        <v>0</v>
      </c>
    </row>
    <row r="23" spans="1:8" s="7" customFormat="1" ht="12" x14ac:dyDescent="0.25">
      <c r="A23" s="11" t="s">
        <v>19</v>
      </c>
      <c r="B23" s="2" t="s">
        <v>22</v>
      </c>
      <c r="C23" s="6" t="s">
        <v>24</v>
      </c>
      <c r="D23" s="6">
        <v>12</v>
      </c>
      <c r="E23" s="6">
        <v>1440</v>
      </c>
      <c r="F23" s="23">
        <v>17.537000000000003</v>
      </c>
      <c r="G23" s="29"/>
      <c r="H23" s="26">
        <f t="shared" si="1"/>
        <v>0</v>
      </c>
    </row>
    <row r="24" spans="1:8" s="7" customFormat="1" ht="12" x14ac:dyDescent="0.25">
      <c r="A24" s="11" t="s">
        <v>19</v>
      </c>
      <c r="B24" s="2" t="s">
        <v>48</v>
      </c>
      <c r="C24" s="6" t="s">
        <v>24</v>
      </c>
      <c r="D24" s="6">
        <v>12</v>
      </c>
      <c r="E24" s="6">
        <v>1440</v>
      </c>
      <c r="F24" s="23">
        <v>17.537000000000003</v>
      </c>
      <c r="G24" s="29"/>
      <c r="H24" s="26">
        <f t="shared" si="1"/>
        <v>0</v>
      </c>
    </row>
    <row r="25" spans="1:8" s="7" customFormat="1" ht="12" x14ac:dyDescent="0.25">
      <c r="A25" s="11" t="s">
        <v>19</v>
      </c>
      <c r="B25" s="2" t="s">
        <v>26</v>
      </c>
      <c r="C25" s="6" t="s">
        <v>24</v>
      </c>
      <c r="D25" s="6">
        <v>12</v>
      </c>
      <c r="E25" s="6">
        <v>1440</v>
      </c>
      <c r="F25" s="23">
        <v>17.537000000000003</v>
      </c>
      <c r="G25" s="29"/>
      <c r="H25" s="26">
        <f t="shared" si="1"/>
        <v>0</v>
      </c>
    </row>
    <row r="26" spans="1:8" s="7" customFormat="1" ht="12" x14ac:dyDescent="0.25">
      <c r="A26" s="11" t="s">
        <v>19</v>
      </c>
      <c r="B26" s="2" t="s">
        <v>53</v>
      </c>
      <c r="C26" s="6" t="s">
        <v>24</v>
      </c>
      <c r="D26" s="6">
        <v>12</v>
      </c>
      <c r="E26" s="6">
        <v>1440</v>
      </c>
      <c r="F26" s="23">
        <v>17.537000000000003</v>
      </c>
      <c r="G26" s="29"/>
      <c r="H26" s="26">
        <f t="shared" si="1"/>
        <v>0</v>
      </c>
    </row>
    <row r="27" spans="1:8" s="7" customFormat="1" ht="12" x14ac:dyDescent="0.25">
      <c r="A27" s="11" t="s">
        <v>64</v>
      </c>
      <c r="B27" s="2" t="s">
        <v>22</v>
      </c>
      <c r="C27" s="6" t="s">
        <v>24</v>
      </c>
      <c r="D27" s="6">
        <v>12</v>
      </c>
      <c r="E27" s="6">
        <v>920</v>
      </c>
      <c r="F27" s="23">
        <v>18.187000000000001</v>
      </c>
      <c r="G27" s="29"/>
      <c r="H27" s="26">
        <f t="shared" si="1"/>
        <v>0</v>
      </c>
    </row>
    <row r="28" spans="1:8" s="7" customFormat="1" ht="12" x14ac:dyDescent="0.25">
      <c r="A28" s="11" t="s">
        <v>64</v>
      </c>
      <c r="B28" s="2" t="s">
        <v>23</v>
      </c>
      <c r="C28" s="6" t="s">
        <v>24</v>
      </c>
      <c r="D28" s="6">
        <v>12</v>
      </c>
      <c r="E28" s="6">
        <v>920</v>
      </c>
      <c r="F28" s="23">
        <v>18.187000000000001</v>
      </c>
      <c r="G28" s="29"/>
      <c r="H28" s="26">
        <f t="shared" si="1"/>
        <v>0</v>
      </c>
    </row>
    <row r="29" spans="1:8" s="7" customFormat="1" ht="12" x14ac:dyDescent="0.25">
      <c r="A29" s="11" t="s">
        <v>64</v>
      </c>
      <c r="B29" s="2" t="s">
        <v>41</v>
      </c>
      <c r="C29" s="6" t="s">
        <v>24</v>
      </c>
      <c r="D29" s="6">
        <v>12</v>
      </c>
      <c r="E29" s="6">
        <v>920</v>
      </c>
      <c r="F29" s="23">
        <v>18.187000000000001</v>
      </c>
      <c r="G29" s="29"/>
      <c r="H29" s="26">
        <f t="shared" si="1"/>
        <v>0</v>
      </c>
    </row>
    <row r="30" spans="1:8" s="7" customFormat="1" ht="12" x14ac:dyDescent="0.25">
      <c r="A30" s="11" t="s">
        <v>64</v>
      </c>
      <c r="B30" s="2" t="s">
        <v>57</v>
      </c>
      <c r="C30" s="6" t="s">
        <v>24</v>
      </c>
      <c r="D30" s="6">
        <v>12</v>
      </c>
      <c r="E30" s="6">
        <v>920</v>
      </c>
      <c r="F30" s="23">
        <v>18.187000000000001</v>
      </c>
      <c r="G30" s="29"/>
      <c r="H30" s="26">
        <f t="shared" si="1"/>
        <v>0</v>
      </c>
    </row>
    <row r="31" spans="1:8" s="7" customFormat="1" ht="12" x14ac:dyDescent="0.25">
      <c r="A31" s="11" t="s">
        <v>66</v>
      </c>
      <c r="B31" s="2" t="s">
        <v>33</v>
      </c>
      <c r="C31" s="6" t="s">
        <v>67</v>
      </c>
      <c r="D31" s="6">
        <v>12</v>
      </c>
      <c r="E31" s="6">
        <v>2040</v>
      </c>
      <c r="F31" s="23">
        <v>16.887</v>
      </c>
      <c r="G31" s="29"/>
      <c r="H31" s="26">
        <f t="shared" si="1"/>
        <v>0</v>
      </c>
    </row>
    <row r="32" spans="1:8" s="7" customFormat="1" ht="12" x14ac:dyDescent="0.25">
      <c r="A32" s="11" t="s">
        <v>30</v>
      </c>
      <c r="B32" s="2" t="s">
        <v>29</v>
      </c>
      <c r="C32" s="6" t="s">
        <v>24</v>
      </c>
      <c r="D32" s="6">
        <v>12</v>
      </c>
      <c r="E32" s="6">
        <v>1440</v>
      </c>
      <c r="F32" s="23">
        <v>12.987</v>
      </c>
      <c r="G32" s="29"/>
      <c r="H32" s="26">
        <f t="shared" si="1"/>
        <v>0</v>
      </c>
    </row>
    <row r="33" spans="1:8" s="7" customFormat="1" ht="12" x14ac:dyDescent="0.25">
      <c r="A33" s="11" t="s">
        <v>30</v>
      </c>
      <c r="B33" s="2" t="s">
        <v>27</v>
      </c>
      <c r="C33" s="6" t="s">
        <v>24</v>
      </c>
      <c r="D33" s="6">
        <v>12</v>
      </c>
      <c r="E33" s="6">
        <v>1440</v>
      </c>
      <c r="F33" s="23">
        <v>12.987</v>
      </c>
      <c r="G33" s="29"/>
      <c r="H33" s="26">
        <f t="shared" si="1"/>
        <v>0</v>
      </c>
    </row>
    <row r="34" spans="1:8" s="7" customFormat="1" ht="12" x14ac:dyDescent="0.25">
      <c r="A34" s="11" t="s">
        <v>30</v>
      </c>
      <c r="B34" s="2" t="s">
        <v>31</v>
      </c>
      <c r="C34" s="6" t="s">
        <v>24</v>
      </c>
      <c r="D34" s="6">
        <v>12</v>
      </c>
      <c r="E34" s="6">
        <v>1440</v>
      </c>
      <c r="F34" s="23">
        <v>12.987</v>
      </c>
      <c r="G34" s="29"/>
      <c r="H34" s="26">
        <f t="shared" si="1"/>
        <v>0</v>
      </c>
    </row>
    <row r="35" spans="1:8" s="7" customFormat="1" ht="12" x14ac:dyDescent="0.25">
      <c r="A35" s="11" t="s">
        <v>54</v>
      </c>
      <c r="B35" s="2" t="s">
        <v>48</v>
      </c>
      <c r="C35" s="6" t="s">
        <v>24</v>
      </c>
      <c r="D35" s="6">
        <v>12</v>
      </c>
      <c r="E35" s="6">
        <v>1440</v>
      </c>
      <c r="F35" s="23">
        <v>12.987</v>
      </c>
      <c r="G35" s="29"/>
      <c r="H35" s="26">
        <f t="shared" si="1"/>
        <v>0</v>
      </c>
    </row>
    <row r="36" spans="1:8" s="7" customFormat="1" ht="12" x14ac:dyDescent="0.25">
      <c r="A36" s="11" t="s">
        <v>54</v>
      </c>
      <c r="B36" s="2" t="s">
        <v>49</v>
      </c>
      <c r="C36" s="6" t="s">
        <v>24</v>
      </c>
      <c r="D36" s="6">
        <v>12</v>
      </c>
      <c r="E36" s="6">
        <v>1440</v>
      </c>
      <c r="F36" s="23">
        <v>12.987</v>
      </c>
      <c r="G36" s="29"/>
      <c r="H36" s="26">
        <f t="shared" si="1"/>
        <v>0</v>
      </c>
    </row>
    <row r="37" spans="1:8" s="7" customFormat="1" ht="12" x14ac:dyDescent="0.25">
      <c r="A37" s="11" t="s">
        <v>54</v>
      </c>
      <c r="B37" s="2" t="s">
        <v>41</v>
      </c>
      <c r="C37" s="6" t="s">
        <v>24</v>
      </c>
      <c r="D37" s="6">
        <v>12</v>
      </c>
      <c r="E37" s="6">
        <v>1440</v>
      </c>
      <c r="F37" s="23">
        <v>12.987</v>
      </c>
      <c r="G37" s="29"/>
      <c r="H37" s="26">
        <f t="shared" si="1"/>
        <v>0</v>
      </c>
    </row>
    <row r="38" spans="1:8" s="7" customFormat="1" ht="12" x14ac:dyDescent="0.25">
      <c r="A38" s="11" t="s">
        <v>54</v>
      </c>
      <c r="B38" s="2" t="s">
        <v>33</v>
      </c>
      <c r="C38" s="6" t="s">
        <v>32</v>
      </c>
      <c r="D38" s="6">
        <v>12</v>
      </c>
      <c r="E38" s="6">
        <v>1440</v>
      </c>
      <c r="F38" s="23">
        <v>12.987</v>
      </c>
      <c r="G38" s="29"/>
      <c r="H38" s="26">
        <f t="shared" si="1"/>
        <v>0</v>
      </c>
    </row>
    <row r="39" spans="1:8" s="7" customFormat="1" ht="12" x14ac:dyDescent="0.25">
      <c r="A39" s="11" t="s">
        <v>47</v>
      </c>
      <c r="B39" s="2" t="s">
        <v>33</v>
      </c>
      <c r="C39" s="6" t="s">
        <v>45</v>
      </c>
      <c r="D39" s="6">
        <v>12</v>
      </c>
      <c r="E39" s="6">
        <v>2040</v>
      </c>
      <c r="F39" s="23">
        <v>15.587000000000002</v>
      </c>
      <c r="G39" s="29"/>
      <c r="H39" s="26">
        <f t="shared" si="1"/>
        <v>0</v>
      </c>
    </row>
    <row r="40" spans="1:8" s="7" customFormat="1" ht="12" x14ac:dyDescent="0.25">
      <c r="A40" s="11" t="s">
        <v>68</v>
      </c>
      <c r="B40" s="2" t="s">
        <v>34</v>
      </c>
      <c r="C40" s="6" t="s">
        <v>28</v>
      </c>
      <c r="D40" s="6">
        <v>12</v>
      </c>
      <c r="E40" s="6">
        <v>1224</v>
      </c>
      <c r="F40" s="23">
        <v>15.587000000000002</v>
      </c>
      <c r="G40" s="29"/>
      <c r="H40" s="26">
        <f t="shared" si="1"/>
        <v>0</v>
      </c>
    </row>
    <row r="41" spans="1:8" s="7" customFormat="1" ht="12" x14ac:dyDescent="0.25">
      <c r="A41" s="11" t="s">
        <v>68</v>
      </c>
      <c r="B41" s="2" t="s">
        <v>23</v>
      </c>
      <c r="C41" s="6" t="s">
        <v>28</v>
      </c>
      <c r="D41" s="6">
        <v>12</v>
      </c>
      <c r="E41" s="6">
        <v>1224</v>
      </c>
      <c r="F41" s="23">
        <v>15.587000000000002</v>
      </c>
      <c r="G41" s="29"/>
      <c r="H41" s="26">
        <f t="shared" si="1"/>
        <v>0</v>
      </c>
    </row>
    <row r="42" spans="1:8" s="7" customFormat="1" ht="12" x14ac:dyDescent="0.25">
      <c r="A42" s="11" t="s">
        <v>68</v>
      </c>
      <c r="B42" s="2" t="s">
        <v>35</v>
      </c>
      <c r="C42" s="6" t="s">
        <v>28</v>
      </c>
      <c r="D42" s="6">
        <v>12</v>
      </c>
      <c r="E42" s="6">
        <v>1224</v>
      </c>
      <c r="F42" s="23">
        <v>15.587000000000002</v>
      </c>
      <c r="G42" s="29"/>
      <c r="H42" s="26">
        <f t="shared" si="1"/>
        <v>0</v>
      </c>
    </row>
    <row r="43" spans="1:8" s="7" customFormat="1" ht="12" x14ac:dyDescent="0.25">
      <c r="A43" s="11" t="s">
        <v>68</v>
      </c>
      <c r="B43" s="2" t="s">
        <v>25</v>
      </c>
      <c r="C43" s="6" t="s">
        <v>28</v>
      </c>
      <c r="D43" s="6">
        <v>12</v>
      </c>
      <c r="E43" s="6">
        <v>1224</v>
      </c>
      <c r="F43" s="23">
        <v>15.587000000000002</v>
      </c>
      <c r="G43" s="29"/>
      <c r="H43" s="26">
        <f t="shared" si="1"/>
        <v>0</v>
      </c>
    </row>
    <row r="44" spans="1:8" s="7" customFormat="1" ht="12" x14ac:dyDescent="0.25">
      <c r="A44" s="11" t="s">
        <v>68</v>
      </c>
      <c r="B44" s="2" t="s">
        <v>36</v>
      </c>
      <c r="C44" s="6" t="s">
        <v>28</v>
      </c>
      <c r="D44" s="6">
        <v>12</v>
      </c>
      <c r="E44" s="6">
        <v>1224</v>
      </c>
      <c r="F44" s="23">
        <v>15.587000000000002</v>
      </c>
      <c r="G44" s="29"/>
      <c r="H44" s="26">
        <f t="shared" si="1"/>
        <v>0</v>
      </c>
    </row>
    <row r="45" spans="1:8" s="7" customFormat="1" ht="12" x14ac:dyDescent="0.25">
      <c r="A45" s="11" t="s">
        <v>68</v>
      </c>
      <c r="B45" s="2" t="s">
        <v>26</v>
      </c>
      <c r="C45" s="6" t="s">
        <v>28</v>
      </c>
      <c r="D45" s="6">
        <v>12</v>
      </c>
      <c r="E45" s="6">
        <v>1224</v>
      </c>
      <c r="F45" s="23">
        <v>15.587000000000002</v>
      </c>
      <c r="G45" s="29"/>
      <c r="H45" s="26">
        <f t="shared" si="1"/>
        <v>0</v>
      </c>
    </row>
    <row r="46" spans="1:8" s="7" customFormat="1" ht="12" x14ac:dyDescent="0.25">
      <c r="A46" s="11" t="s">
        <v>68</v>
      </c>
      <c r="B46" s="2" t="s">
        <v>51</v>
      </c>
      <c r="C46" s="6" t="s">
        <v>28</v>
      </c>
      <c r="D46" s="6">
        <v>12</v>
      </c>
      <c r="E46" s="6">
        <v>1224</v>
      </c>
      <c r="F46" s="23">
        <v>15.587000000000002</v>
      </c>
      <c r="G46" s="29"/>
      <c r="H46" s="26">
        <f t="shared" si="1"/>
        <v>0</v>
      </c>
    </row>
    <row r="47" spans="1:8" s="7" customFormat="1" ht="12" x14ac:dyDescent="0.25">
      <c r="A47" s="11" t="s">
        <v>68</v>
      </c>
      <c r="B47" s="2" t="s">
        <v>52</v>
      </c>
      <c r="C47" s="6" t="s">
        <v>28</v>
      </c>
      <c r="D47" s="6">
        <v>12</v>
      </c>
      <c r="E47" s="6">
        <v>1224</v>
      </c>
      <c r="F47" s="23">
        <v>15.587000000000002</v>
      </c>
      <c r="G47" s="29"/>
      <c r="H47" s="26">
        <f t="shared" si="1"/>
        <v>0</v>
      </c>
    </row>
    <row r="48" spans="1:8" s="7" customFormat="1" ht="12" x14ac:dyDescent="0.25">
      <c r="A48" s="11" t="s">
        <v>68</v>
      </c>
      <c r="B48" s="2" t="s">
        <v>53</v>
      </c>
      <c r="C48" s="6" t="s">
        <v>28</v>
      </c>
      <c r="D48" s="6">
        <v>12</v>
      </c>
      <c r="E48" s="6">
        <v>1224</v>
      </c>
      <c r="F48" s="23">
        <v>15.587000000000002</v>
      </c>
      <c r="G48" s="29"/>
      <c r="H48" s="26">
        <f t="shared" si="1"/>
        <v>0</v>
      </c>
    </row>
    <row r="49" spans="1:8" s="7" customFormat="1" ht="12" x14ac:dyDescent="0.25">
      <c r="A49" s="11" t="s">
        <v>37</v>
      </c>
      <c r="B49" s="2" t="s">
        <v>33</v>
      </c>
      <c r="C49" s="6" t="s">
        <v>43</v>
      </c>
      <c r="D49" s="6">
        <v>12</v>
      </c>
      <c r="E49" s="6">
        <v>2040</v>
      </c>
      <c r="F49" s="23">
        <v>12.987</v>
      </c>
      <c r="G49" s="29"/>
      <c r="H49" s="26">
        <f t="shared" si="1"/>
        <v>0</v>
      </c>
    </row>
    <row r="50" spans="1:8" s="7" customFormat="1" ht="12" x14ac:dyDescent="0.25">
      <c r="A50" s="11" t="s">
        <v>38</v>
      </c>
      <c r="B50" s="2" t="s">
        <v>33</v>
      </c>
      <c r="C50" s="6" t="s">
        <v>42</v>
      </c>
      <c r="D50" s="6">
        <v>12</v>
      </c>
      <c r="E50" s="6">
        <v>2040</v>
      </c>
      <c r="F50" s="23">
        <v>12.987</v>
      </c>
      <c r="G50" s="29"/>
      <c r="H50" s="26">
        <f t="shared" si="1"/>
        <v>0</v>
      </c>
    </row>
    <row r="51" spans="1:8" s="7" customFormat="1" ht="12" x14ac:dyDescent="0.25">
      <c r="A51" s="11" t="s">
        <v>39</v>
      </c>
      <c r="B51" s="2" t="s">
        <v>33</v>
      </c>
      <c r="C51" s="6" t="s">
        <v>44</v>
      </c>
      <c r="D51" s="6">
        <v>12</v>
      </c>
      <c r="E51" s="6">
        <v>1440</v>
      </c>
      <c r="F51" s="23">
        <v>15.587000000000002</v>
      </c>
      <c r="G51" s="29"/>
      <c r="H51" s="26">
        <f t="shared" si="1"/>
        <v>0</v>
      </c>
    </row>
    <row r="52" spans="1:8" s="7" customFormat="1" ht="12" x14ac:dyDescent="0.25">
      <c r="A52" s="11" t="s">
        <v>95</v>
      </c>
      <c r="B52" s="2" t="s">
        <v>33</v>
      </c>
      <c r="C52" s="6" t="s">
        <v>77</v>
      </c>
      <c r="D52" s="6">
        <v>6</v>
      </c>
      <c r="E52" s="6">
        <v>360</v>
      </c>
      <c r="F52" s="23">
        <v>29.887</v>
      </c>
      <c r="G52" s="29"/>
      <c r="H52" s="26">
        <f t="shared" si="1"/>
        <v>0</v>
      </c>
    </row>
    <row r="53" spans="1:8" s="7" customFormat="1" ht="12" x14ac:dyDescent="0.25">
      <c r="A53" s="11" t="s">
        <v>40</v>
      </c>
      <c r="B53" s="2" t="s">
        <v>33</v>
      </c>
      <c r="C53" s="6" t="s">
        <v>44</v>
      </c>
      <c r="D53" s="6">
        <v>12</v>
      </c>
      <c r="E53" s="6">
        <v>1440</v>
      </c>
      <c r="F53" s="23">
        <v>12.987</v>
      </c>
      <c r="G53" s="29"/>
      <c r="H53" s="26">
        <f t="shared" si="1"/>
        <v>0</v>
      </c>
    </row>
    <row r="54" spans="1:8" s="7" customFormat="1" ht="12" x14ac:dyDescent="0.25">
      <c r="A54" s="11" t="s">
        <v>60</v>
      </c>
      <c r="B54" s="2" t="s">
        <v>33</v>
      </c>
      <c r="C54" s="6" t="s">
        <v>45</v>
      </c>
      <c r="D54" s="6">
        <v>12</v>
      </c>
      <c r="E54" s="6">
        <v>2040</v>
      </c>
      <c r="F54" s="23">
        <v>12.987</v>
      </c>
      <c r="G54" s="29"/>
      <c r="H54" s="26">
        <f t="shared" si="1"/>
        <v>0</v>
      </c>
    </row>
    <row r="55" spans="1:8" s="7" customFormat="1" ht="12" x14ac:dyDescent="0.25">
      <c r="A55" s="11" t="s">
        <v>63</v>
      </c>
      <c r="B55" s="2" t="s">
        <v>33</v>
      </c>
      <c r="C55" s="6" t="s">
        <v>56</v>
      </c>
      <c r="D55" s="6">
        <v>12</v>
      </c>
      <c r="E55" s="6">
        <v>2040</v>
      </c>
      <c r="F55" s="23">
        <v>12.987</v>
      </c>
      <c r="G55" s="29"/>
      <c r="H55" s="26">
        <f t="shared" si="1"/>
        <v>0</v>
      </c>
    </row>
    <row r="56" spans="1:8" s="7" customFormat="1" ht="12" x14ac:dyDescent="0.25">
      <c r="A56" s="11" t="s">
        <v>62</v>
      </c>
      <c r="B56" s="2" t="s">
        <v>33</v>
      </c>
      <c r="C56" s="6" t="s">
        <v>69</v>
      </c>
      <c r="D56" s="6">
        <v>12</v>
      </c>
      <c r="E56" s="6">
        <v>2040</v>
      </c>
      <c r="F56" s="23">
        <v>12.987</v>
      </c>
      <c r="G56" s="29"/>
      <c r="H56" s="26">
        <f t="shared" ref="H56:H81" si="2">F56*G56</f>
        <v>0</v>
      </c>
    </row>
    <row r="57" spans="1:8" s="7" customFormat="1" ht="12" x14ac:dyDescent="0.25">
      <c r="A57" s="11" t="s">
        <v>58</v>
      </c>
      <c r="B57" s="2" t="s">
        <v>33</v>
      </c>
      <c r="C57" s="6" t="s">
        <v>46</v>
      </c>
      <c r="D57" s="6">
        <v>12</v>
      </c>
      <c r="E57" s="6">
        <v>860</v>
      </c>
      <c r="F57" s="23">
        <v>16.887</v>
      </c>
      <c r="G57" s="29"/>
      <c r="H57" s="26">
        <f t="shared" si="2"/>
        <v>0</v>
      </c>
    </row>
    <row r="58" spans="1:8" s="7" customFormat="1" ht="12" x14ac:dyDescent="0.25">
      <c r="A58" s="11" t="s">
        <v>55</v>
      </c>
      <c r="B58" s="2" t="s">
        <v>33</v>
      </c>
      <c r="C58" s="6" t="s">
        <v>50</v>
      </c>
      <c r="D58" s="6">
        <v>12</v>
      </c>
      <c r="E58" s="6">
        <v>2040</v>
      </c>
      <c r="F58" s="23">
        <v>12.987</v>
      </c>
      <c r="G58" s="29"/>
      <c r="H58" s="26">
        <f t="shared" si="2"/>
        <v>0</v>
      </c>
    </row>
    <row r="59" spans="1:8" s="7" customFormat="1" ht="12" x14ac:dyDescent="0.25">
      <c r="A59" s="11" t="s">
        <v>61</v>
      </c>
      <c r="B59" s="2" t="s">
        <v>33</v>
      </c>
      <c r="C59" s="6" t="s">
        <v>59</v>
      </c>
      <c r="D59" s="6">
        <v>12</v>
      </c>
      <c r="E59" s="6">
        <v>2040</v>
      </c>
      <c r="F59" s="23">
        <v>12.987</v>
      </c>
      <c r="G59" s="29"/>
      <c r="H59" s="26">
        <f t="shared" si="2"/>
        <v>0</v>
      </c>
    </row>
    <row r="60" spans="1:8" s="7" customFormat="1" ht="12" x14ac:dyDescent="0.25">
      <c r="A60" s="11" t="s">
        <v>93</v>
      </c>
      <c r="B60" s="2" t="s">
        <v>65</v>
      </c>
      <c r="C60" s="6" t="s">
        <v>24</v>
      </c>
      <c r="D60" s="6">
        <v>24</v>
      </c>
      <c r="E60" s="6">
        <v>3264</v>
      </c>
      <c r="F60" s="23">
        <v>16.25</v>
      </c>
      <c r="G60" s="29"/>
      <c r="H60" s="26">
        <f t="shared" si="2"/>
        <v>0</v>
      </c>
    </row>
    <row r="61" spans="1:8" s="7" customFormat="1" ht="12" x14ac:dyDescent="0.25">
      <c r="A61" s="11" t="s">
        <v>93</v>
      </c>
      <c r="B61" s="2" t="s">
        <v>25</v>
      </c>
      <c r="C61" s="6" t="s">
        <v>24</v>
      </c>
      <c r="D61" s="6">
        <v>24</v>
      </c>
      <c r="E61" s="6">
        <v>3264</v>
      </c>
      <c r="F61" s="23">
        <v>16.25</v>
      </c>
      <c r="G61" s="29"/>
      <c r="H61" s="26">
        <f t="shared" si="2"/>
        <v>0</v>
      </c>
    </row>
    <row r="62" spans="1:8" s="7" customFormat="1" ht="12" x14ac:dyDescent="0.25">
      <c r="A62" s="11" t="s">
        <v>93</v>
      </c>
      <c r="B62" s="2" t="s">
        <v>22</v>
      </c>
      <c r="C62" s="6" t="s">
        <v>24</v>
      </c>
      <c r="D62" s="6">
        <v>24</v>
      </c>
      <c r="E62" s="6">
        <v>3264</v>
      </c>
      <c r="F62" s="23">
        <v>16.25</v>
      </c>
      <c r="G62" s="29"/>
      <c r="H62" s="26">
        <f t="shared" si="2"/>
        <v>0</v>
      </c>
    </row>
    <row r="63" spans="1:8" s="7" customFormat="1" ht="12" x14ac:dyDescent="0.25">
      <c r="A63" s="11" t="s">
        <v>93</v>
      </c>
      <c r="B63" s="2" t="s">
        <v>51</v>
      </c>
      <c r="C63" s="6" t="s">
        <v>24</v>
      </c>
      <c r="D63" s="6">
        <v>24</v>
      </c>
      <c r="E63" s="6">
        <v>3264</v>
      </c>
      <c r="F63" s="23">
        <v>16.25</v>
      </c>
      <c r="G63" s="29"/>
      <c r="H63" s="26">
        <f t="shared" si="2"/>
        <v>0</v>
      </c>
    </row>
    <row r="64" spans="1:8" s="7" customFormat="1" ht="12" x14ac:dyDescent="0.25">
      <c r="A64" s="11" t="s">
        <v>93</v>
      </c>
      <c r="B64" s="2" t="s">
        <v>48</v>
      </c>
      <c r="C64" s="6" t="s">
        <v>24</v>
      </c>
      <c r="D64" s="6">
        <v>24</v>
      </c>
      <c r="E64" s="6">
        <v>3264</v>
      </c>
      <c r="F64" s="23">
        <v>16.25</v>
      </c>
      <c r="G64" s="29"/>
      <c r="H64" s="26">
        <f t="shared" si="2"/>
        <v>0</v>
      </c>
    </row>
    <row r="65" spans="1:8" s="7" customFormat="1" ht="12" x14ac:dyDescent="0.25">
      <c r="A65" s="11" t="s">
        <v>93</v>
      </c>
      <c r="B65" s="2" t="s">
        <v>20</v>
      </c>
      <c r="C65" s="6" t="s">
        <v>24</v>
      </c>
      <c r="D65" s="6">
        <v>24</v>
      </c>
      <c r="E65" s="6">
        <v>3264</v>
      </c>
      <c r="F65" s="23">
        <v>16.25</v>
      </c>
      <c r="G65" s="29"/>
      <c r="H65" s="26">
        <f t="shared" si="2"/>
        <v>0</v>
      </c>
    </row>
    <row r="66" spans="1:8" s="7" customFormat="1" ht="12" x14ac:dyDescent="0.25">
      <c r="A66" s="11" t="s">
        <v>94</v>
      </c>
      <c r="B66" s="2" t="s">
        <v>76</v>
      </c>
      <c r="C66" s="6" t="s">
        <v>11</v>
      </c>
      <c r="D66" s="6">
        <v>6</v>
      </c>
      <c r="E66" s="6">
        <v>210</v>
      </c>
      <c r="F66" s="23">
        <v>25.986999999999998</v>
      </c>
      <c r="G66" s="29"/>
      <c r="H66" s="26">
        <f t="shared" si="2"/>
        <v>0</v>
      </c>
    </row>
    <row r="67" spans="1:8" s="7" customFormat="1" ht="12" x14ac:dyDescent="0.25">
      <c r="A67" s="11" t="s">
        <v>94</v>
      </c>
      <c r="B67" s="2" t="s">
        <v>14</v>
      </c>
      <c r="C67" s="6" t="s">
        <v>11</v>
      </c>
      <c r="D67" s="6">
        <v>6</v>
      </c>
      <c r="E67" s="6">
        <v>210</v>
      </c>
      <c r="F67" s="23">
        <v>25.986999999999998</v>
      </c>
      <c r="G67" s="29"/>
      <c r="H67" s="26">
        <f t="shared" si="2"/>
        <v>0</v>
      </c>
    </row>
    <row r="68" spans="1:8" s="7" customFormat="1" ht="12" x14ac:dyDescent="0.25">
      <c r="A68" s="11" t="s">
        <v>80</v>
      </c>
      <c r="B68" s="2" t="s">
        <v>82</v>
      </c>
      <c r="C68" s="6" t="s">
        <v>24</v>
      </c>
      <c r="D68" s="6">
        <v>12</v>
      </c>
      <c r="E68" s="6">
        <v>1440</v>
      </c>
      <c r="F68" s="23">
        <v>14.287000000000001</v>
      </c>
      <c r="G68" s="29"/>
      <c r="H68" s="26">
        <f t="shared" si="2"/>
        <v>0</v>
      </c>
    </row>
    <row r="69" spans="1:8" s="7" customFormat="1" ht="12" x14ac:dyDescent="0.25">
      <c r="A69" s="11" t="s">
        <v>80</v>
      </c>
      <c r="B69" s="2" t="s">
        <v>89</v>
      </c>
      <c r="C69" s="6" t="s">
        <v>24</v>
      </c>
      <c r="D69" s="6">
        <v>12</v>
      </c>
      <c r="E69" s="6">
        <v>1440</v>
      </c>
      <c r="F69" s="23">
        <v>14.287000000000001</v>
      </c>
      <c r="G69" s="29"/>
      <c r="H69" s="26">
        <f t="shared" si="2"/>
        <v>0</v>
      </c>
    </row>
    <row r="70" spans="1:8" s="7" customFormat="1" ht="12" x14ac:dyDescent="0.25">
      <c r="A70" s="11" t="s">
        <v>80</v>
      </c>
      <c r="B70" s="2" t="s">
        <v>22</v>
      </c>
      <c r="C70" s="6" t="s">
        <v>24</v>
      </c>
      <c r="D70" s="6">
        <v>12</v>
      </c>
      <c r="E70" s="6">
        <v>1440</v>
      </c>
      <c r="F70" s="23">
        <v>14.287000000000001</v>
      </c>
      <c r="G70" s="29"/>
      <c r="H70" s="26">
        <f t="shared" si="2"/>
        <v>0</v>
      </c>
    </row>
    <row r="71" spans="1:8" s="7" customFormat="1" ht="12" x14ac:dyDescent="0.25">
      <c r="A71" s="11" t="s">
        <v>80</v>
      </c>
      <c r="B71" s="2" t="s">
        <v>90</v>
      </c>
      <c r="C71" s="6" t="s">
        <v>24</v>
      </c>
      <c r="D71" s="6">
        <v>12</v>
      </c>
      <c r="E71" s="6">
        <v>1440</v>
      </c>
      <c r="F71" s="23">
        <v>14.287000000000001</v>
      </c>
      <c r="G71" s="29"/>
      <c r="H71" s="26">
        <f t="shared" si="2"/>
        <v>0</v>
      </c>
    </row>
    <row r="72" spans="1:8" s="7" customFormat="1" ht="12" x14ac:dyDescent="0.25">
      <c r="A72" s="11" t="s">
        <v>80</v>
      </c>
      <c r="B72" s="2" t="s">
        <v>91</v>
      </c>
      <c r="C72" s="6" t="s">
        <v>24</v>
      </c>
      <c r="D72" s="6">
        <v>12</v>
      </c>
      <c r="E72" s="6">
        <v>1440</v>
      </c>
      <c r="F72" s="23">
        <v>14.287000000000001</v>
      </c>
      <c r="G72" s="29"/>
      <c r="H72" s="26">
        <f t="shared" si="2"/>
        <v>0</v>
      </c>
    </row>
    <row r="73" spans="1:8" s="7" customFormat="1" ht="12" x14ac:dyDescent="0.25">
      <c r="A73" s="11" t="s">
        <v>80</v>
      </c>
      <c r="B73" s="2" t="s">
        <v>92</v>
      </c>
      <c r="C73" s="6" t="s">
        <v>24</v>
      </c>
      <c r="D73" s="6">
        <v>12</v>
      </c>
      <c r="E73" s="6">
        <v>1440</v>
      </c>
      <c r="F73" s="23">
        <v>14.287000000000001</v>
      </c>
      <c r="G73" s="29"/>
      <c r="H73" s="26">
        <f t="shared" si="2"/>
        <v>0</v>
      </c>
    </row>
    <row r="74" spans="1:8" s="7" customFormat="1" ht="12" x14ac:dyDescent="0.25">
      <c r="A74" s="11" t="s">
        <v>79</v>
      </c>
      <c r="B74" s="2" t="s">
        <v>27</v>
      </c>
      <c r="C74" s="6" t="s">
        <v>28</v>
      </c>
      <c r="D74" s="6">
        <v>12</v>
      </c>
      <c r="E74" s="6">
        <v>1224</v>
      </c>
      <c r="F74" s="23">
        <v>16.887</v>
      </c>
      <c r="G74" s="29"/>
      <c r="H74" s="26">
        <f t="shared" si="2"/>
        <v>0</v>
      </c>
    </row>
    <row r="75" spans="1:8" s="7" customFormat="1" ht="12" x14ac:dyDescent="0.25">
      <c r="A75" s="11" t="s">
        <v>79</v>
      </c>
      <c r="B75" s="2" t="s">
        <v>83</v>
      </c>
      <c r="C75" s="6" t="s">
        <v>28</v>
      </c>
      <c r="D75" s="6">
        <v>12</v>
      </c>
      <c r="E75" s="6">
        <v>1224</v>
      </c>
      <c r="F75" s="23">
        <v>16.887</v>
      </c>
      <c r="G75" s="29"/>
      <c r="H75" s="26">
        <f t="shared" si="2"/>
        <v>0</v>
      </c>
    </row>
    <row r="76" spans="1:8" s="7" customFormat="1" ht="12" x14ac:dyDescent="0.25">
      <c r="A76" s="11" t="s">
        <v>79</v>
      </c>
      <c r="B76" s="2" t="s">
        <v>84</v>
      </c>
      <c r="C76" s="6" t="s">
        <v>28</v>
      </c>
      <c r="D76" s="6">
        <v>12</v>
      </c>
      <c r="E76" s="6">
        <v>1224</v>
      </c>
      <c r="F76" s="23">
        <v>16.887</v>
      </c>
      <c r="G76" s="29"/>
      <c r="H76" s="26">
        <f t="shared" si="2"/>
        <v>0</v>
      </c>
    </row>
    <row r="77" spans="1:8" s="7" customFormat="1" ht="12" x14ac:dyDescent="0.25">
      <c r="A77" s="11" t="s">
        <v>79</v>
      </c>
      <c r="B77" s="2" t="s">
        <v>85</v>
      </c>
      <c r="C77" s="6" t="s">
        <v>28</v>
      </c>
      <c r="D77" s="6">
        <v>12</v>
      </c>
      <c r="E77" s="6">
        <v>1224</v>
      </c>
      <c r="F77" s="23">
        <v>16.887</v>
      </c>
      <c r="G77" s="29"/>
      <c r="H77" s="26">
        <f t="shared" si="2"/>
        <v>0</v>
      </c>
    </row>
    <row r="78" spans="1:8" s="7" customFormat="1" ht="12" x14ac:dyDescent="0.25">
      <c r="A78" s="11" t="s">
        <v>79</v>
      </c>
      <c r="B78" s="2" t="s">
        <v>86</v>
      </c>
      <c r="C78" s="6" t="s">
        <v>28</v>
      </c>
      <c r="D78" s="6">
        <v>12</v>
      </c>
      <c r="E78" s="6">
        <v>1224</v>
      </c>
      <c r="F78" s="23">
        <v>16.887</v>
      </c>
      <c r="G78" s="29"/>
      <c r="H78" s="26">
        <f t="shared" si="2"/>
        <v>0</v>
      </c>
    </row>
    <row r="79" spans="1:8" s="7" customFormat="1" ht="12" x14ac:dyDescent="0.25">
      <c r="A79" s="11" t="s">
        <v>79</v>
      </c>
      <c r="B79" s="2" t="s">
        <v>87</v>
      </c>
      <c r="C79" s="6" t="s">
        <v>28</v>
      </c>
      <c r="D79" s="6">
        <v>12</v>
      </c>
      <c r="E79" s="6">
        <v>1224</v>
      </c>
      <c r="F79" s="23">
        <v>16.887</v>
      </c>
      <c r="G79" s="29"/>
      <c r="H79" s="26">
        <f t="shared" si="2"/>
        <v>0</v>
      </c>
    </row>
    <row r="80" spans="1:8" s="7" customFormat="1" ht="12" x14ac:dyDescent="0.25">
      <c r="A80" s="11" t="s">
        <v>79</v>
      </c>
      <c r="B80" s="2" t="s">
        <v>88</v>
      </c>
      <c r="C80" s="6" t="s">
        <v>28</v>
      </c>
      <c r="D80" s="6">
        <v>12</v>
      </c>
      <c r="E80" s="6">
        <v>1224</v>
      </c>
      <c r="F80" s="23">
        <v>16.887</v>
      </c>
      <c r="G80" s="29"/>
      <c r="H80" s="26">
        <f t="shared" si="2"/>
        <v>0</v>
      </c>
    </row>
    <row r="81" spans="1:8" s="7" customFormat="1" ht="12.6" thickBot="1" x14ac:dyDescent="0.3">
      <c r="A81" s="12" t="s">
        <v>78</v>
      </c>
      <c r="B81" s="13" t="s">
        <v>99</v>
      </c>
      <c r="C81" s="14" t="s">
        <v>81</v>
      </c>
      <c r="D81" s="14">
        <v>3</v>
      </c>
      <c r="E81" s="14">
        <v>108</v>
      </c>
      <c r="F81" s="24">
        <v>14.287000000000001</v>
      </c>
      <c r="G81" s="30"/>
      <c r="H81" s="27">
        <f t="shared" si="2"/>
        <v>0</v>
      </c>
    </row>
  </sheetData>
  <sheetProtection algorithmName="SHA-512" hashValue="Gpd/VW8JDvjpLETkC5j3NPpoXQobnSkDavikqIRDFsKvkdK+rISDc6DTaCBHdUxWnnoigyD6vuFKHwUzEB6WuQ==" saltValue="abs98a82nqdGswXWeV1O/Q==" spinCount="100000" sheet="1" formatCells="0" formatColumns="0" formatRows="0" insertColumns="0" insertRows="0" insertHyperlinks="0" deleteColumns="0" deleteRows="0" sort="0" autoFilter="0" pivotTables="0"/>
  <mergeCells count="1">
    <mergeCell ref="A1:H1"/>
  </mergeCells>
  <phoneticPr fontId="2" type="noConversion"/>
  <conditionalFormatting sqref="I2">
    <cfRule type="cellIs" dxfId="0" priority="1" operator="greaterThan">
      <formula>0</formula>
    </cfRule>
    <cfRule type="cellIs" priority="2" operator="greaterThan">
      <formula>$I$2&gt;0</formula>
    </cfRule>
  </conditionalFormatting>
  <dataValidations count="1">
    <dataValidation type="custom" allowBlank="1" showInputMessage="1" showErrorMessage="1" error="Order quantity must be a multiple of Sales per Unit Case (See Column D)." prompt="Order quantity must be a multiple of Sales per Unit Case (See Column D)." sqref="G3:G81" xr:uid="{74F573EF-1D00-40A5-B4A5-87B15EE06A18}">
      <formula1>MOD(G3,D3)=0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(Ronnie Coleman)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2018-03-02T15:54:10Z</dcterms:created>
  <dcterms:modified xsi:type="dcterms:W3CDTF">2025-06-26T08:34:45Z</dcterms:modified>
</cp:coreProperties>
</file>