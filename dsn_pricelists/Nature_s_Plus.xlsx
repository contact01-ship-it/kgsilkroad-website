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8_{24EF093D-1852-407A-9CBF-F79AC3B1B4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NaturesPlus)" sheetId="4" r:id="rId1"/>
  </sheets>
  <definedNames>
    <definedName name="_xlnm._FilterDatabase" localSheetId="0" hidden="1">'DSN GROUP (NaturesPlus)'!$A$2:$K$534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6" i="4" l="1"/>
  <c r="M520" i="4"/>
  <c r="J523" i="4"/>
  <c r="J524" i="4"/>
  <c r="J529" i="4"/>
  <c r="J530" i="4"/>
  <c r="J141" i="4"/>
  <c r="J533" i="4"/>
  <c r="J534" i="4"/>
  <c r="J520" i="4"/>
  <c r="M519" i="4"/>
  <c r="N519" i="4"/>
  <c r="O519" i="4"/>
  <c r="P519" i="4"/>
  <c r="J521" i="4"/>
  <c r="N520" i="4"/>
  <c r="O520" i="4"/>
  <c r="P520" i="4"/>
  <c r="J522" i="4"/>
  <c r="N521" i="4"/>
  <c r="O521" i="4"/>
  <c r="P521" i="4"/>
  <c r="N522" i="4"/>
  <c r="O522" i="4"/>
  <c r="P522" i="4"/>
  <c r="N523" i="4"/>
  <c r="O523" i="4"/>
  <c r="P523" i="4"/>
  <c r="J525" i="4"/>
  <c r="N524" i="4"/>
  <c r="O524" i="4"/>
  <c r="P524" i="4"/>
  <c r="J526" i="4"/>
  <c r="N525" i="4"/>
  <c r="O525" i="4"/>
  <c r="P525" i="4"/>
  <c r="J527" i="4"/>
  <c r="N526" i="4"/>
  <c r="O526" i="4"/>
  <c r="P526" i="4"/>
  <c r="J528" i="4"/>
  <c r="N527" i="4"/>
  <c r="O527" i="4"/>
  <c r="P527" i="4"/>
  <c r="N528" i="4"/>
  <c r="O528" i="4"/>
  <c r="P528" i="4"/>
  <c r="N529" i="4"/>
  <c r="O529" i="4"/>
  <c r="P529" i="4"/>
  <c r="J531" i="4"/>
  <c r="N530" i="4"/>
  <c r="O530" i="4"/>
  <c r="P530" i="4"/>
  <c r="J532" i="4"/>
  <c r="N531" i="4"/>
  <c r="O531" i="4"/>
  <c r="P531" i="4"/>
  <c r="N532" i="4"/>
  <c r="O532" i="4"/>
  <c r="P532" i="4"/>
  <c r="N533" i="4"/>
  <c r="O533" i="4"/>
  <c r="P533" i="4"/>
  <c r="N534" i="4"/>
  <c r="O534" i="4"/>
  <c r="P534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O3" i="4"/>
  <c r="P3" i="4" s="1"/>
  <c r="O4" i="4"/>
  <c r="P4" i="4" s="1"/>
  <c r="O5" i="4"/>
  <c r="P5" i="4" s="1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P518" i="4"/>
  <c r="M518" i="4"/>
  <c r="P517" i="4"/>
  <c r="M517" i="4"/>
  <c r="P516" i="4"/>
  <c r="M516" i="4"/>
  <c r="P515" i="4"/>
  <c r="M515" i="4"/>
  <c r="P514" i="4"/>
  <c r="M514" i="4"/>
  <c r="P513" i="4"/>
  <c r="M513" i="4"/>
  <c r="P512" i="4"/>
  <c r="M512" i="4"/>
  <c r="P511" i="4"/>
  <c r="M511" i="4"/>
  <c r="P510" i="4"/>
  <c r="M510" i="4"/>
  <c r="P509" i="4"/>
  <c r="M509" i="4"/>
  <c r="P508" i="4"/>
  <c r="M508" i="4"/>
  <c r="P507" i="4"/>
  <c r="M507" i="4"/>
  <c r="P506" i="4"/>
  <c r="M506" i="4"/>
  <c r="P505" i="4"/>
  <c r="M505" i="4"/>
  <c r="P504" i="4"/>
  <c r="M504" i="4"/>
  <c r="P503" i="4"/>
  <c r="M503" i="4"/>
  <c r="P502" i="4"/>
  <c r="M502" i="4"/>
  <c r="P501" i="4"/>
  <c r="M501" i="4"/>
  <c r="P500" i="4"/>
  <c r="M500" i="4"/>
  <c r="P499" i="4"/>
  <c r="M499" i="4"/>
  <c r="P498" i="4"/>
  <c r="M498" i="4"/>
  <c r="P497" i="4"/>
  <c r="M497" i="4"/>
  <c r="P496" i="4"/>
  <c r="M496" i="4"/>
  <c r="P495" i="4"/>
  <c r="M495" i="4"/>
  <c r="P494" i="4"/>
  <c r="M494" i="4"/>
  <c r="P493" i="4"/>
  <c r="M493" i="4"/>
  <c r="P492" i="4"/>
  <c r="M492" i="4"/>
  <c r="P491" i="4"/>
  <c r="M491" i="4"/>
  <c r="P490" i="4"/>
  <c r="M490" i="4"/>
  <c r="P489" i="4"/>
  <c r="M489" i="4"/>
  <c r="P488" i="4"/>
  <c r="M488" i="4"/>
  <c r="P487" i="4"/>
  <c r="M487" i="4"/>
  <c r="P486" i="4"/>
  <c r="M486" i="4"/>
  <c r="P485" i="4"/>
  <c r="M485" i="4"/>
  <c r="P484" i="4"/>
  <c r="M484" i="4"/>
  <c r="P483" i="4"/>
  <c r="M483" i="4"/>
  <c r="P482" i="4"/>
  <c r="M482" i="4"/>
  <c r="P481" i="4"/>
  <c r="M481" i="4"/>
  <c r="P480" i="4"/>
  <c r="M480" i="4"/>
  <c r="P479" i="4"/>
  <c r="M479" i="4"/>
  <c r="P478" i="4"/>
  <c r="M478" i="4"/>
  <c r="P477" i="4"/>
  <c r="M477" i="4"/>
  <c r="P476" i="4"/>
  <c r="M476" i="4"/>
  <c r="P475" i="4"/>
  <c r="M475" i="4"/>
  <c r="P474" i="4"/>
  <c r="M474" i="4"/>
  <c r="P473" i="4"/>
  <c r="M473" i="4"/>
  <c r="P472" i="4"/>
  <c r="M472" i="4"/>
  <c r="P471" i="4"/>
  <c r="M471" i="4"/>
  <c r="P470" i="4"/>
  <c r="M470" i="4"/>
  <c r="P469" i="4"/>
  <c r="M469" i="4"/>
  <c r="P468" i="4"/>
  <c r="M468" i="4"/>
  <c r="P467" i="4"/>
  <c r="M467" i="4"/>
  <c r="P466" i="4"/>
  <c r="M466" i="4"/>
  <c r="P465" i="4"/>
  <c r="M465" i="4"/>
  <c r="P464" i="4"/>
  <c r="M464" i="4"/>
  <c r="P463" i="4"/>
  <c r="M463" i="4"/>
  <c r="P462" i="4"/>
  <c r="M462" i="4"/>
  <c r="P461" i="4"/>
  <c r="M461" i="4"/>
  <c r="P460" i="4"/>
  <c r="M460" i="4"/>
  <c r="P459" i="4"/>
  <c r="M459" i="4"/>
  <c r="P458" i="4"/>
  <c r="M458" i="4"/>
  <c r="P457" i="4"/>
  <c r="M457" i="4"/>
  <c r="P456" i="4"/>
  <c r="M456" i="4"/>
  <c r="P455" i="4"/>
  <c r="M455" i="4"/>
  <c r="P454" i="4"/>
  <c r="M454" i="4"/>
  <c r="P453" i="4"/>
  <c r="M453" i="4"/>
  <c r="P452" i="4"/>
  <c r="M452" i="4"/>
  <c r="P451" i="4"/>
  <c r="M451" i="4"/>
  <c r="P450" i="4"/>
  <c r="M450" i="4"/>
  <c r="P449" i="4"/>
  <c r="M449" i="4"/>
  <c r="P448" i="4"/>
  <c r="M448" i="4"/>
  <c r="P447" i="4"/>
  <c r="M447" i="4"/>
  <c r="P446" i="4"/>
  <c r="M446" i="4"/>
  <c r="P445" i="4"/>
  <c r="M445" i="4"/>
  <c r="P444" i="4"/>
  <c r="M444" i="4"/>
  <c r="P443" i="4"/>
  <c r="M443" i="4"/>
  <c r="P442" i="4"/>
  <c r="M442" i="4"/>
  <c r="P441" i="4"/>
  <c r="M441" i="4"/>
  <c r="P440" i="4"/>
  <c r="M440" i="4"/>
  <c r="P439" i="4"/>
  <c r="M439" i="4"/>
  <c r="P438" i="4"/>
  <c r="M438" i="4"/>
  <c r="P437" i="4"/>
  <c r="M437" i="4"/>
  <c r="P436" i="4"/>
  <c r="M436" i="4"/>
  <c r="P435" i="4"/>
  <c r="M435" i="4"/>
  <c r="P434" i="4"/>
  <c r="M434" i="4"/>
  <c r="P433" i="4"/>
  <c r="M433" i="4"/>
  <c r="P432" i="4"/>
  <c r="M432" i="4"/>
  <c r="P431" i="4"/>
  <c r="M431" i="4"/>
  <c r="P430" i="4"/>
  <c r="M430" i="4"/>
  <c r="P429" i="4"/>
  <c r="M429" i="4"/>
  <c r="P428" i="4"/>
  <c r="M428" i="4"/>
  <c r="P427" i="4"/>
  <c r="M427" i="4"/>
  <c r="P426" i="4"/>
  <c r="M426" i="4"/>
  <c r="P425" i="4"/>
  <c r="M425" i="4"/>
  <c r="P424" i="4"/>
  <c r="M424" i="4"/>
  <c r="P423" i="4"/>
  <c r="M423" i="4"/>
  <c r="P422" i="4"/>
  <c r="M422" i="4"/>
  <c r="P421" i="4"/>
  <c r="M421" i="4"/>
  <c r="P420" i="4"/>
  <c r="M420" i="4"/>
  <c r="P419" i="4"/>
  <c r="M419" i="4"/>
  <c r="P418" i="4"/>
  <c r="M418" i="4"/>
  <c r="P417" i="4"/>
  <c r="M417" i="4"/>
  <c r="P416" i="4"/>
  <c r="M416" i="4"/>
  <c r="P415" i="4"/>
  <c r="M415" i="4"/>
  <c r="P414" i="4"/>
  <c r="M414" i="4"/>
  <c r="P413" i="4"/>
  <c r="M413" i="4"/>
  <c r="P412" i="4"/>
  <c r="M412" i="4"/>
  <c r="P411" i="4"/>
  <c r="M411" i="4"/>
  <c r="P410" i="4"/>
  <c r="M410" i="4"/>
  <c r="P409" i="4"/>
  <c r="M409" i="4"/>
  <c r="P408" i="4"/>
  <c r="M408" i="4"/>
  <c r="P407" i="4"/>
  <c r="M407" i="4"/>
  <c r="P406" i="4"/>
  <c r="M406" i="4"/>
  <c r="P405" i="4"/>
  <c r="M405" i="4"/>
  <c r="P404" i="4"/>
  <c r="M404" i="4"/>
  <c r="P403" i="4"/>
  <c r="M403" i="4"/>
  <c r="P402" i="4"/>
  <c r="M402" i="4"/>
  <c r="P401" i="4"/>
  <c r="M401" i="4"/>
  <c r="P400" i="4"/>
  <c r="M400" i="4"/>
  <c r="P399" i="4"/>
  <c r="M399" i="4"/>
  <c r="P398" i="4"/>
  <c r="M398" i="4"/>
  <c r="P397" i="4"/>
  <c r="M397" i="4"/>
  <c r="P396" i="4"/>
  <c r="M396" i="4"/>
  <c r="P395" i="4"/>
  <c r="M395" i="4"/>
  <c r="P394" i="4"/>
  <c r="M394" i="4"/>
  <c r="P393" i="4"/>
  <c r="M393" i="4"/>
  <c r="P392" i="4"/>
  <c r="M392" i="4"/>
  <c r="P391" i="4"/>
  <c r="M391" i="4"/>
  <c r="P390" i="4"/>
  <c r="M390" i="4"/>
  <c r="P389" i="4"/>
  <c r="M389" i="4"/>
  <c r="P388" i="4"/>
  <c r="M388" i="4"/>
  <c r="P387" i="4"/>
  <c r="M387" i="4"/>
  <c r="P386" i="4"/>
  <c r="M386" i="4"/>
  <c r="P385" i="4"/>
  <c r="M385" i="4"/>
  <c r="P384" i="4"/>
  <c r="M384" i="4"/>
  <c r="P383" i="4"/>
  <c r="M383" i="4"/>
  <c r="P382" i="4"/>
  <c r="M382" i="4"/>
  <c r="P381" i="4"/>
  <c r="M381" i="4"/>
  <c r="P380" i="4"/>
  <c r="M380" i="4"/>
  <c r="P379" i="4"/>
  <c r="M379" i="4"/>
  <c r="P378" i="4"/>
  <c r="M378" i="4"/>
  <c r="P377" i="4"/>
  <c r="M377" i="4"/>
  <c r="P376" i="4"/>
  <c r="M376" i="4"/>
  <c r="P375" i="4"/>
  <c r="M375" i="4"/>
  <c r="P374" i="4"/>
  <c r="M374" i="4"/>
  <c r="P373" i="4"/>
  <c r="M373" i="4"/>
  <c r="P372" i="4"/>
  <c r="M372" i="4"/>
  <c r="P371" i="4"/>
  <c r="M371" i="4"/>
  <c r="P370" i="4"/>
  <c r="M370" i="4"/>
  <c r="P369" i="4"/>
  <c r="M369" i="4"/>
  <c r="P368" i="4"/>
  <c r="M368" i="4"/>
  <c r="P367" i="4"/>
  <c r="M367" i="4"/>
  <c r="P366" i="4"/>
  <c r="M366" i="4"/>
  <c r="P365" i="4"/>
  <c r="M365" i="4"/>
  <c r="P364" i="4"/>
  <c r="M364" i="4"/>
  <c r="P363" i="4"/>
  <c r="M363" i="4"/>
  <c r="P362" i="4"/>
  <c r="M362" i="4"/>
  <c r="P361" i="4"/>
  <c r="M361" i="4"/>
  <c r="P360" i="4"/>
  <c r="M360" i="4"/>
  <c r="P359" i="4"/>
  <c r="M359" i="4"/>
  <c r="P358" i="4"/>
  <c r="M358" i="4"/>
  <c r="P357" i="4"/>
  <c r="M357" i="4"/>
  <c r="P356" i="4"/>
  <c r="M356" i="4"/>
  <c r="P355" i="4"/>
  <c r="M355" i="4"/>
  <c r="P354" i="4"/>
  <c r="M354" i="4"/>
  <c r="P353" i="4"/>
  <c r="M353" i="4"/>
  <c r="P352" i="4"/>
  <c r="M352" i="4"/>
  <c r="P351" i="4"/>
  <c r="M351" i="4"/>
  <c r="P350" i="4"/>
  <c r="M350" i="4"/>
  <c r="P349" i="4"/>
  <c r="M349" i="4"/>
  <c r="P348" i="4"/>
  <c r="M348" i="4"/>
  <c r="P347" i="4"/>
  <c r="M347" i="4"/>
  <c r="P346" i="4"/>
  <c r="M346" i="4"/>
  <c r="P345" i="4"/>
  <c r="M345" i="4"/>
  <c r="P344" i="4"/>
  <c r="M344" i="4"/>
  <c r="P343" i="4"/>
  <c r="M343" i="4"/>
  <c r="P342" i="4"/>
  <c r="M342" i="4"/>
  <c r="P341" i="4"/>
  <c r="M341" i="4"/>
  <c r="P340" i="4"/>
  <c r="M340" i="4"/>
  <c r="P339" i="4"/>
  <c r="M339" i="4"/>
  <c r="P338" i="4"/>
  <c r="M338" i="4"/>
  <c r="P337" i="4"/>
  <c r="M337" i="4"/>
  <c r="P336" i="4"/>
  <c r="M336" i="4"/>
  <c r="P335" i="4"/>
  <c r="M335" i="4"/>
  <c r="P334" i="4"/>
  <c r="M334" i="4"/>
  <c r="P333" i="4"/>
  <c r="M333" i="4"/>
  <c r="P332" i="4"/>
  <c r="M332" i="4"/>
  <c r="P331" i="4"/>
  <c r="M331" i="4"/>
  <c r="P330" i="4"/>
  <c r="M330" i="4"/>
  <c r="P329" i="4"/>
  <c r="M329" i="4"/>
  <c r="P328" i="4"/>
  <c r="M328" i="4"/>
  <c r="P327" i="4"/>
  <c r="M327" i="4"/>
  <c r="P326" i="4"/>
  <c r="M326" i="4"/>
  <c r="P325" i="4"/>
  <c r="M325" i="4"/>
  <c r="P324" i="4"/>
  <c r="M324" i="4"/>
  <c r="P323" i="4"/>
  <c r="M323" i="4"/>
  <c r="P322" i="4"/>
  <c r="M322" i="4"/>
  <c r="P321" i="4"/>
  <c r="M321" i="4"/>
  <c r="P320" i="4"/>
  <c r="M320" i="4"/>
  <c r="P319" i="4"/>
  <c r="M319" i="4"/>
  <c r="P318" i="4"/>
  <c r="M318" i="4"/>
  <c r="P317" i="4"/>
  <c r="M317" i="4"/>
  <c r="P316" i="4"/>
  <c r="M316" i="4"/>
  <c r="P315" i="4"/>
  <c r="M315" i="4"/>
  <c r="P314" i="4"/>
  <c r="M314" i="4"/>
  <c r="P313" i="4"/>
  <c r="M313" i="4"/>
  <c r="P312" i="4"/>
  <c r="M312" i="4"/>
  <c r="P311" i="4"/>
  <c r="M311" i="4"/>
  <c r="P310" i="4"/>
  <c r="M310" i="4"/>
  <c r="P309" i="4"/>
  <c r="M309" i="4"/>
  <c r="P308" i="4"/>
  <c r="M308" i="4"/>
  <c r="P307" i="4"/>
  <c r="M307" i="4"/>
  <c r="P306" i="4"/>
  <c r="M306" i="4"/>
  <c r="P305" i="4"/>
  <c r="M305" i="4"/>
  <c r="P304" i="4"/>
  <c r="M304" i="4"/>
  <c r="P303" i="4"/>
  <c r="M303" i="4"/>
  <c r="P302" i="4"/>
  <c r="M302" i="4"/>
  <c r="P301" i="4"/>
  <c r="M301" i="4"/>
  <c r="P300" i="4"/>
  <c r="M300" i="4"/>
  <c r="P299" i="4"/>
  <c r="M299" i="4"/>
  <c r="P298" i="4"/>
  <c r="M298" i="4"/>
  <c r="P297" i="4"/>
  <c r="M297" i="4"/>
  <c r="P296" i="4"/>
  <c r="M296" i="4"/>
  <c r="P295" i="4"/>
  <c r="M295" i="4"/>
  <c r="P294" i="4"/>
  <c r="M294" i="4"/>
  <c r="P293" i="4"/>
  <c r="M293" i="4"/>
  <c r="P292" i="4"/>
  <c r="M292" i="4"/>
  <c r="P291" i="4"/>
  <c r="M291" i="4"/>
  <c r="P290" i="4"/>
  <c r="M290" i="4"/>
  <c r="P289" i="4"/>
  <c r="M289" i="4"/>
  <c r="P288" i="4"/>
  <c r="M288" i="4"/>
  <c r="P287" i="4"/>
  <c r="M287" i="4"/>
  <c r="P286" i="4"/>
  <c r="M286" i="4"/>
  <c r="P285" i="4"/>
  <c r="M285" i="4"/>
  <c r="P284" i="4"/>
  <c r="M284" i="4"/>
  <c r="P283" i="4"/>
  <c r="M283" i="4"/>
  <c r="P282" i="4"/>
  <c r="M282" i="4"/>
  <c r="P281" i="4"/>
  <c r="M281" i="4"/>
  <c r="P280" i="4"/>
  <c r="M280" i="4"/>
  <c r="P279" i="4"/>
  <c r="M279" i="4"/>
  <c r="P278" i="4"/>
  <c r="M278" i="4"/>
  <c r="P277" i="4"/>
  <c r="M277" i="4"/>
  <c r="P276" i="4"/>
  <c r="M276" i="4"/>
  <c r="P275" i="4"/>
  <c r="M275" i="4"/>
  <c r="P274" i="4"/>
  <c r="M274" i="4"/>
  <c r="P273" i="4"/>
  <c r="M273" i="4"/>
  <c r="P272" i="4"/>
  <c r="M272" i="4"/>
  <c r="P271" i="4"/>
  <c r="M271" i="4"/>
  <c r="P270" i="4"/>
  <c r="M270" i="4"/>
  <c r="P269" i="4"/>
  <c r="M269" i="4"/>
  <c r="P268" i="4"/>
  <c r="M268" i="4"/>
  <c r="P267" i="4"/>
  <c r="M267" i="4"/>
  <c r="P266" i="4"/>
  <c r="M266" i="4"/>
  <c r="P265" i="4"/>
  <c r="M265" i="4"/>
  <c r="P264" i="4"/>
  <c r="M264" i="4"/>
  <c r="P263" i="4"/>
  <c r="M263" i="4"/>
  <c r="P262" i="4"/>
  <c r="M262" i="4"/>
  <c r="P261" i="4"/>
  <c r="M261" i="4"/>
  <c r="P260" i="4"/>
  <c r="M260" i="4"/>
  <c r="P259" i="4"/>
  <c r="M259" i="4"/>
  <c r="P258" i="4"/>
  <c r="M258" i="4"/>
  <c r="P257" i="4"/>
  <c r="M257" i="4"/>
  <c r="P256" i="4"/>
  <c r="M256" i="4"/>
  <c r="P255" i="4"/>
  <c r="M255" i="4"/>
  <c r="P254" i="4"/>
  <c r="M254" i="4"/>
  <c r="P253" i="4"/>
  <c r="M253" i="4"/>
  <c r="P252" i="4"/>
  <c r="M252" i="4"/>
  <c r="P251" i="4"/>
  <c r="M251" i="4"/>
  <c r="P250" i="4"/>
  <c r="M250" i="4"/>
  <c r="P249" i="4"/>
  <c r="M249" i="4"/>
  <c r="P248" i="4"/>
  <c r="M248" i="4"/>
  <c r="P247" i="4"/>
  <c r="M247" i="4"/>
  <c r="P246" i="4"/>
  <c r="M246" i="4"/>
  <c r="P245" i="4"/>
  <c r="M245" i="4"/>
  <c r="P244" i="4"/>
  <c r="M244" i="4"/>
  <c r="P243" i="4"/>
  <c r="M243" i="4"/>
  <c r="P242" i="4"/>
  <c r="M242" i="4"/>
  <c r="P241" i="4"/>
  <c r="M241" i="4"/>
  <c r="P240" i="4"/>
  <c r="M240" i="4"/>
  <c r="P239" i="4"/>
  <c r="M239" i="4"/>
  <c r="P238" i="4"/>
  <c r="M238" i="4"/>
  <c r="P237" i="4"/>
  <c r="M237" i="4"/>
  <c r="P236" i="4"/>
  <c r="M236" i="4"/>
  <c r="P235" i="4"/>
  <c r="M235" i="4"/>
  <c r="P234" i="4"/>
  <c r="M234" i="4"/>
  <c r="P233" i="4"/>
  <c r="M233" i="4"/>
  <c r="P232" i="4"/>
  <c r="M232" i="4"/>
  <c r="P231" i="4"/>
  <c r="M231" i="4"/>
  <c r="P230" i="4"/>
  <c r="M230" i="4"/>
  <c r="P229" i="4"/>
  <c r="M229" i="4"/>
  <c r="P228" i="4"/>
  <c r="M228" i="4"/>
  <c r="P227" i="4"/>
  <c r="M227" i="4"/>
  <c r="P226" i="4"/>
  <c r="M226" i="4"/>
  <c r="P225" i="4"/>
  <c r="M225" i="4"/>
  <c r="P224" i="4"/>
  <c r="M224" i="4"/>
  <c r="P223" i="4"/>
  <c r="M223" i="4"/>
  <c r="P222" i="4"/>
  <c r="M222" i="4"/>
  <c r="P221" i="4"/>
  <c r="M221" i="4"/>
  <c r="P220" i="4"/>
  <c r="M220" i="4"/>
  <c r="P219" i="4"/>
  <c r="M219" i="4"/>
  <c r="P218" i="4"/>
  <c r="M218" i="4"/>
  <c r="P217" i="4"/>
  <c r="M217" i="4"/>
  <c r="P216" i="4"/>
  <c r="M216" i="4"/>
  <c r="P215" i="4"/>
  <c r="M215" i="4"/>
  <c r="P214" i="4"/>
  <c r="M214" i="4"/>
  <c r="P213" i="4"/>
  <c r="M213" i="4"/>
  <c r="P212" i="4"/>
  <c r="M212" i="4"/>
  <c r="P211" i="4"/>
  <c r="M211" i="4"/>
  <c r="P210" i="4"/>
  <c r="M210" i="4"/>
  <c r="P209" i="4"/>
  <c r="M209" i="4"/>
  <c r="P208" i="4"/>
  <c r="M208" i="4"/>
  <c r="P207" i="4"/>
  <c r="M207" i="4"/>
  <c r="P206" i="4"/>
  <c r="M206" i="4"/>
  <c r="P205" i="4"/>
  <c r="M205" i="4"/>
  <c r="P204" i="4"/>
  <c r="M204" i="4"/>
  <c r="P203" i="4"/>
  <c r="M203" i="4"/>
  <c r="P202" i="4"/>
  <c r="M202" i="4"/>
  <c r="P201" i="4"/>
  <c r="M201" i="4"/>
  <c r="P200" i="4"/>
  <c r="M200" i="4"/>
  <c r="P199" i="4"/>
  <c r="M199" i="4"/>
  <c r="P198" i="4"/>
  <c r="M198" i="4"/>
  <c r="P197" i="4"/>
  <c r="M197" i="4"/>
  <c r="P196" i="4"/>
  <c r="M196" i="4"/>
  <c r="P195" i="4"/>
  <c r="M195" i="4"/>
  <c r="P194" i="4"/>
  <c r="M194" i="4"/>
  <c r="P193" i="4"/>
  <c r="M193" i="4"/>
  <c r="P192" i="4"/>
  <c r="M192" i="4"/>
  <c r="P191" i="4"/>
  <c r="M191" i="4"/>
  <c r="P190" i="4"/>
  <c r="M190" i="4"/>
  <c r="P189" i="4"/>
  <c r="M189" i="4"/>
  <c r="P188" i="4"/>
  <c r="M188" i="4"/>
  <c r="P187" i="4"/>
  <c r="M187" i="4"/>
  <c r="P186" i="4"/>
  <c r="M186" i="4"/>
  <c r="P185" i="4"/>
  <c r="M185" i="4"/>
  <c r="P184" i="4"/>
  <c r="M184" i="4"/>
  <c r="P183" i="4"/>
  <c r="M183" i="4"/>
  <c r="P182" i="4"/>
  <c r="M182" i="4"/>
  <c r="P181" i="4"/>
  <c r="M181" i="4"/>
  <c r="P180" i="4"/>
  <c r="M180" i="4"/>
  <c r="P179" i="4"/>
  <c r="M179" i="4"/>
  <c r="P178" i="4"/>
  <c r="M178" i="4"/>
  <c r="P177" i="4"/>
  <c r="M177" i="4"/>
  <c r="P176" i="4"/>
  <c r="M176" i="4"/>
  <c r="P175" i="4"/>
  <c r="M175" i="4"/>
  <c r="P174" i="4"/>
  <c r="M174" i="4"/>
  <c r="P173" i="4"/>
  <c r="M173" i="4"/>
  <c r="P172" i="4"/>
  <c r="M172" i="4"/>
  <c r="P171" i="4"/>
  <c r="M171" i="4"/>
  <c r="P170" i="4"/>
  <c r="M170" i="4"/>
  <c r="P169" i="4"/>
  <c r="M169" i="4"/>
  <c r="P168" i="4"/>
  <c r="M168" i="4"/>
  <c r="P167" i="4"/>
  <c r="M167" i="4"/>
  <c r="P166" i="4"/>
  <c r="M166" i="4"/>
  <c r="P165" i="4"/>
  <c r="M165" i="4"/>
  <c r="P164" i="4"/>
  <c r="M164" i="4"/>
  <c r="P163" i="4"/>
  <c r="M163" i="4"/>
  <c r="P162" i="4"/>
  <c r="M162" i="4"/>
  <c r="P161" i="4"/>
  <c r="M161" i="4"/>
  <c r="P160" i="4"/>
  <c r="M160" i="4"/>
  <c r="P159" i="4"/>
  <c r="M159" i="4"/>
  <c r="P158" i="4"/>
  <c r="M158" i="4"/>
  <c r="P157" i="4"/>
  <c r="M157" i="4"/>
  <c r="P156" i="4"/>
  <c r="M156" i="4"/>
  <c r="P155" i="4"/>
  <c r="M155" i="4"/>
  <c r="P154" i="4"/>
  <c r="M154" i="4"/>
  <c r="P153" i="4"/>
  <c r="M153" i="4"/>
  <c r="P152" i="4"/>
  <c r="M152" i="4"/>
  <c r="P151" i="4"/>
  <c r="M151" i="4"/>
  <c r="P150" i="4"/>
  <c r="M150" i="4"/>
  <c r="P149" i="4"/>
  <c r="M149" i="4"/>
  <c r="P148" i="4"/>
  <c r="M148" i="4"/>
  <c r="P147" i="4"/>
  <c r="M147" i="4"/>
  <c r="P146" i="4"/>
  <c r="M146" i="4"/>
  <c r="P145" i="4"/>
  <c r="M145" i="4"/>
  <c r="P144" i="4"/>
  <c r="M144" i="4"/>
  <c r="P143" i="4"/>
  <c r="M143" i="4"/>
  <c r="P142" i="4"/>
  <c r="M142" i="4"/>
  <c r="P141" i="4"/>
  <c r="M141" i="4"/>
  <c r="P140" i="4"/>
  <c r="M140" i="4"/>
  <c r="P139" i="4"/>
  <c r="M139" i="4"/>
  <c r="P138" i="4"/>
  <c r="M138" i="4"/>
  <c r="P137" i="4"/>
  <c r="M137" i="4"/>
  <c r="P136" i="4"/>
  <c r="M136" i="4"/>
  <c r="P135" i="4"/>
  <c r="M135" i="4"/>
  <c r="P134" i="4"/>
  <c r="M134" i="4"/>
  <c r="P133" i="4"/>
  <c r="M133" i="4"/>
  <c r="P132" i="4"/>
  <c r="M132" i="4"/>
  <c r="P131" i="4"/>
  <c r="M131" i="4"/>
  <c r="P130" i="4"/>
  <c r="M130" i="4"/>
  <c r="P129" i="4"/>
  <c r="M129" i="4"/>
  <c r="P128" i="4"/>
  <c r="M128" i="4"/>
  <c r="P127" i="4"/>
  <c r="M127" i="4"/>
  <c r="P126" i="4"/>
  <c r="M126" i="4"/>
  <c r="P125" i="4"/>
  <c r="M125" i="4"/>
  <c r="P124" i="4"/>
  <c r="M124" i="4"/>
  <c r="P123" i="4"/>
  <c r="M123" i="4"/>
  <c r="P122" i="4"/>
  <c r="M122" i="4"/>
  <c r="P121" i="4"/>
  <c r="M121" i="4"/>
  <c r="P120" i="4"/>
  <c r="M120" i="4"/>
  <c r="P119" i="4"/>
  <c r="M119" i="4"/>
  <c r="P118" i="4"/>
  <c r="M118" i="4"/>
  <c r="P117" i="4"/>
  <c r="M117" i="4"/>
  <c r="P116" i="4"/>
  <c r="M116" i="4"/>
  <c r="P115" i="4"/>
  <c r="M115" i="4"/>
  <c r="P114" i="4"/>
  <c r="M114" i="4"/>
  <c r="P113" i="4"/>
  <c r="M113" i="4"/>
  <c r="P112" i="4"/>
  <c r="M112" i="4"/>
  <c r="P111" i="4"/>
  <c r="M111" i="4"/>
  <c r="P110" i="4"/>
  <c r="M110" i="4"/>
  <c r="P109" i="4"/>
  <c r="M109" i="4"/>
  <c r="P108" i="4"/>
  <c r="M108" i="4"/>
  <c r="P107" i="4"/>
  <c r="M107" i="4"/>
  <c r="P106" i="4"/>
  <c r="M106" i="4"/>
  <c r="P105" i="4"/>
  <c r="M105" i="4"/>
  <c r="P104" i="4"/>
  <c r="M104" i="4"/>
  <c r="P103" i="4"/>
  <c r="M103" i="4"/>
  <c r="P102" i="4"/>
  <c r="M102" i="4"/>
  <c r="P101" i="4"/>
  <c r="M101" i="4"/>
  <c r="P100" i="4"/>
  <c r="M100" i="4"/>
  <c r="P99" i="4"/>
  <c r="M99" i="4"/>
  <c r="P98" i="4"/>
  <c r="M98" i="4"/>
  <c r="P97" i="4"/>
  <c r="M97" i="4"/>
  <c r="P96" i="4"/>
  <c r="M96" i="4"/>
  <c r="P95" i="4"/>
  <c r="M95" i="4"/>
  <c r="P94" i="4"/>
  <c r="M94" i="4"/>
  <c r="P93" i="4"/>
  <c r="M93" i="4"/>
  <c r="P92" i="4"/>
  <c r="M92" i="4"/>
  <c r="P91" i="4"/>
  <c r="M91" i="4"/>
  <c r="P90" i="4"/>
  <c r="M90" i="4"/>
  <c r="P89" i="4"/>
  <c r="M89" i="4"/>
  <c r="P88" i="4"/>
  <c r="M88" i="4"/>
  <c r="P87" i="4"/>
  <c r="M87" i="4"/>
  <c r="P86" i="4"/>
  <c r="M86" i="4"/>
  <c r="P85" i="4"/>
  <c r="M85" i="4"/>
  <c r="P84" i="4"/>
  <c r="M84" i="4"/>
  <c r="P83" i="4"/>
  <c r="M83" i="4"/>
  <c r="P82" i="4"/>
  <c r="M82" i="4"/>
  <c r="P81" i="4"/>
  <c r="M81" i="4"/>
  <c r="P80" i="4"/>
  <c r="M80" i="4"/>
  <c r="P79" i="4"/>
  <c r="M79" i="4"/>
  <c r="P78" i="4"/>
  <c r="M78" i="4"/>
  <c r="P77" i="4"/>
  <c r="M77" i="4"/>
  <c r="P76" i="4"/>
  <c r="M76" i="4"/>
  <c r="P75" i="4"/>
  <c r="M75" i="4"/>
  <c r="P74" i="4"/>
  <c r="M74" i="4"/>
  <c r="P73" i="4"/>
  <c r="M73" i="4"/>
  <c r="P72" i="4"/>
  <c r="M72" i="4"/>
  <c r="P71" i="4"/>
  <c r="M71" i="4"/>
  <c r="P70" i="4"/>
  <c r="M70" i="4"/>
  <c r="P69" i="4"/>
  <c r="M69" i="4"/>
  <c r="P68" i="4"/>
  <c r="M68" i="4"/>
  <c r="P67" i="4"/>
  <c r="M67" i="4"/>
  <c r="P66" i="4"/>
  <c r="M66" i="4"/>
  <c r="P65" i="4"/>
  <c r="M65" i="4"/>
  <c r="P64" i="4"/>
  <c r="M64" i="4"/>
  <c r="P63" i="4"/>
  <c r="M63" i="4"/>
  <c r="P62" i="4"/>
  <c r="M62" i="4"/>
  <c r="P61" i="4"/>
  <c r="M61" i="4"/>
  <c r="P60" i="4"/>
  <c r="M60" i="4"/>
  <c r="P59" i="4"/>
  <c r="M59" i="4"/>
  <c r="P58" i="4"/>
  <c r="M58" i="4"/>
  <c r="P57" i="4"/>
  <c r="M57" i="4"/>
  <c r="P56" i="4"/>
  <c r="M56" i="4"/>
  <c r="P55" i="4"/>
  <c r="M55" i="4"/>
  <c r="P54" i="4"/>
  <c r="M54" i="4"/>
  <c r="P53" i="4"/>
  <c r="M53" i="4"/>
  <c r="P52" i="4"/>
  <c r="M52" i="4"/>
  <c r="P51" i="4"/>
  <c r="M51" i="4"/>
  <c r="P50" i="4"/>
  <c r="M50" i="4"/>
  <c r="P49" i="4"/>
  <c r="M49" i="4"/>
  <c r="P48" i="4"/>
  <c r="M48" i="4"/>
  <c r="P47" i="4"/>
  <c r="M47" i="4"/>
  <c r="P46" i="4"/>
  <c r="M46" i="4"/>
  <c r="P45" i="4"/>
  <c r="M45" i="4"/>
  <c r="P44" i="4"/>
  <c r="M44" i="4"/>
  <c r="P43" i="4"/>
  <c r="M43" i="4"/>
  <c r="P42" i="4"/>
  <c r="M42" i="4"/>
  <c r="P41" i="4"/>
  <c r="M41" i="4"/>
  <c r="P40" i="4"/>
  <c r="M40" i="4"/>
  <c r="P39" i="4"/>
  <c r="M39" i="4"/>
  <c r="P38" i="4"/>
  <c r="M38" i="4"/>
  <c r="P37" i="4"/>
  <c r="M37" i="4"/>
  <c r="P36" i="4"/>
  <c r="M36" i="4"/>
  <c r="P35" i="4"/>
  <c r="M35" i="4"/>
  <c r="P34" i="4"/>
  <c r="M34" i="4"/>
  <c r="P33" i="4"/>
  <c r="M33" i="4"/>
  <c r="P32" i="4"/>
  <c r="M32" i="4"/>
  <c r="P31" i="4"/>
  <c r="M31" i="4"/>
  <c r="P30" i="4"/>
  <c r="M30" i="4"/>
  <c r="P29" i="4"/>
  <c r="M29" i="4"/>
  <c r="P28" i="4"/>
  <c r="M28" i="4"/>
  <c r="P27" i="4"/>
  <c r="M27" i="4"/>
  <c r="P26" i="4"/>
  <c r="M26" i="4"/>
  <c r="P25" i="4"/>
  <c r="M25" i="4"/>
  <c r="P24" i="4"/>
  <c r="M24" i="4"/>
  <c r="P23" i="4"/>
  <c r="M23" i="4"/>
  <c r="P22" i="4"/>
  <c r="M22" i="4"/>
  <c r="P21" i="4"/>
  <c r="M21" i="4"/>
  <c r="P20" i="4"/>
  <c r="M20" i="4"/>
  <c r="P19" i="4"/>
  <c r="M19" i="4"/>
  <c r="P18" i="4"/>
  <c r="M18" i="4"/>
  <c r="P17" i="4"/>
  <c r="M17" i="4"/>
  <c r="P16" i="4"/>
  <c r="M16" i="4"/>
  <c r="P15" i="4"/>
  <c r="M15" i="4"/>
  <c r="P14" i="4"/>
  <c r="M14" i="4"/>
  <c r="P13" i="4"/>
  <c r="M13" i="4"/>
  <c r="P12" i="4"/>
  <c r="M12" i="4"/>
  <c r="P11" i="4"/>
  <c r="M11" i="4"/>
  <c r="P10" i="4"/>
  <c r="M10" i="4"/>
  <c r="P9" i="4"/>
  <c r="M9" i="4"/>
  <c r="P8" i="4"/>
  <c r="M8" i="4"/>
  <c r="P7" i="4"/>
  <c r="M7" i="4"/>
  <c r="P6" i="4"/>
  <c r="M6" i="4"/>
  <c r="M5" i="4"/>
  <c r="M4" i="4"/>
  <c r="M3" i="4"/>
  <c r="J484" i="4"/>
  <c r="J485" i="4"/>
  <c r="J487" i="4"/>
  <c r="J489" i="4"/>
  <c r="J142" i="4"/>
  <c r="J42" i="4"/>
  <c r="J143" i="4"/>
  <c r="J43" i="4"/>
  <c r="J44" i="4"/>
  <c r="J45" i="4"/>
  <c r="J46" i="4"/>
  <c r="J144" i="4"/>
  <c r="J145" i="4"/>
  <c r="J47" i="4"/>
  <c r="J146" i="4"/>
  <c r="J147" i="4"/>
  <c r="J148" i="4"/>
  <c r="J149" i="4"/>
  <c r="J48" i="4"/>
  <c r="J150" i="4"/>
  <c r="J151" i="4"/>
  <c r="J152" i="4"/>
  <c r="J14" i="4"/>
  <c r="J153" i="4"/>
  <c r="J154" i="4"/>
  <c r="J155" i="4"/>
  <c r="J49" i="4"/>
  <c r="J156" i="4"/>
  <c r="J157" i="4"/>
  <c r="J158" i="4"/>
  <c r="J159" i="4"/>
  <c r="J160" i="4"/>
  <c r="J161" i="4"/>
  <c r="J162" i="4"/>
  <c r="J50" i="4"/>
  <c r="J163" i="4"/>
  <c r="J164" i="4"/>
  <c r="J15" i="4"/>
  <c r="J51" i="4"/>
  <c r="J52" i="4"/>
  <c r="J53" i="4"/>
  <c r="J54" i="4"/>
  <c r="J165" i="4"/>
  <c r="J55" i="4"/>
  <c r="J166" i="4"/>
  <c r="J167" i="4"/>
  <c r="J168" i="4"/>
  <c r="J56" i="4"/>
  <c r="J169" i="4"/>
  <c r="J170" i="4"/>
  <c r="J171" i="4"/>
  <c r="J172" i="4"/>
  <c r="J57" i="4"/>
  <c r="J173" i="4"/>
  <c r="J16" i="4"/>
  <c r="J58" i="4"/>
  <c r="J59" i="4"/>
  <c r="J60" i="4"/>
  <c r="J61" i="4"/>
  <c r="J62" i="4"/>
  <c r="J3" i="4"/>
  <c r="J17" i="4"/>
  <c r="J63" i="4"/>
  <c r="J174" i="4"/>
  <c r="J64" i="4"/>
  <c r="J65" i="4"/>
  <c r="J18" i="4"/>
  <c r="J66" i="4"/>
  <c r="J19" i="4"/>
  <c r="J20" i="4"/>
  <c r="J67" i="4"/>
  <c r="J175" i="4"/>
  <c r="J21" i="4"/>
  <c r="J22" i="4"/>
  <c r="J68" i="4"/>
  <c r="J69" i="4"/>
  <c r="J70" i="4"/>
  <c r="J4" i="4"/>
  <c r="J23" i="4"/>
  <c r="J71" i="4"/>
  <c r="J72" i="4"/>
  <c r="J73" i="4"/>
  <c r="J74" i="4"/>
  <c r="J24" i="4"/>
  <c r="J5" i="4"/>
  <c r="J6" i="4"/>
  <c r="J75" i="4"/>
  <c r="J76" i="4"/>
  <c r="J176" i="4"/>
  <c r="J177" i="4"/>
  <c r="J178" i="4"/>
  <c r="J179" i="4"/>
  <c r="J180" i="4"/>
  <c r="J77" i="4"/>
  <c r="J181" i="4"/>
  <c r="J182" i="4"/>
  <c r="J183" i="4"/>
  <c r="J184" i="4"/>
  <c r="J185" i="4"/>
  <c r="J186" i="4"/>
  <c r="J187" i="4"/>
  <c r="J188" i="4"/>
  <c r="J189" i="4"/>
  <c r="J190" i="4"/>
  <c r="J78" i="4"/>
  <c r="J191" i="4"/>
  <c r="J192" i="4"/>
  <c r="J79" i="4"/>
  <c r="J193" i="4"/>
  <c r="J194" i="4"/>
  <c r="J80" i="4"/>
  <c r="J81" i="4"/>
  <c r="J82" i="4"/>
  <c r="J195" i="4"/>
  <c r="J196" i="4"/>
  <c r="J197" i="4"/>
  <c r="J198" i="4"/>
  <c r="J199" i="4"/>
  <c r="J200" i="4"/>
  <c r="J83" i="4"/>
  <c r="J201" i="4"/>
  <c r="J25" i="4"/>
  <c r="J26" i="4"/>
  <c r="J202" i="4"/>
  <c r="J203" i="4"/>
  <c r="J204" i="4"/>
  <c r="J205" i="4"/>
  <c r="J206" i="4"/>
  <c r="J207" i="4"/>
  <c r="J208" i="4"/>
  <c r="J209" i="4"/>
  <c r="J210" i="4"/>
  <c r="J211" i="4"/>
  <c r="J212" i="4"/>
  <c r="J84" i="4"/>
  <c r="J85" i="4"/>
  <c r="J86" i="4"/>
  <c r="J7" i="4"/>
  <c r="J27" i="4"/>
  <c r="J28" i="4"/>
  <c r="J29" i="4"/>
  <c r="J30" i="4"/>
  <c r="J87" i="4"/>
  <c r="J88" i="4"/>
  <c r="J213" i="4"/>
  <c r="J214" i="4"/>
  <c r="J215" i="4"/>
  <c r="J216" i="4"/>
  <c r="J217" i="4"/>
  <c r="J8" i="4"/>
  <c r="J218" i="4"/>
  <c r="J219" i="4"/>
  <c r="J9" i="4"/>
  <c r="J220" i="4"/>
  <c r="J221" i="4"/>
  <c r="J222" i="4"/>
  <c r="J223" i="4"/>
  <c r="J224" i="4"/>
  <c r="J225" i="4"/>
  <c r="J31" i="4"/>
  <c r="J226" i="4"/>
  <c r="J227" i="4"/>
  <c r="J228" i="4"/>
  <c r="J229" i="4"/>
  <c r="J230" i="4"/>
  <c r="J231" i="4"/>
  <c r="J232" i="4"/>
  <c r="J233" i="4"/>
  <c r="J234" i="4"/>
  <c r="J89" i="4"/>
  <c r="J235" i="4"/>
  <c r="J236" i="4"/>
  <c r="J32" i="4"/>
  <c r="J90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91" i="4"/>
  <c r="J92" i="4"/>
  <c r="J250" i="4"/>
  <c r="J93" i="4"/>
  <c r="J251" i="4"/>
  <c r="J94" i="4"/>
  <c r="J95" i="4"/>
  <c r="J252" i="4"/>
  <c r="J33" i="4"/>
  <c r="J253" i="4"/>
  <c r="J96" i="4"/>
  <c r="J254" i="4"/>
  <c r="J255" i="4"/>
  <c r="J256" i="4"/>
  <c r="J257" i="4"/>
  <c r="J97" i="4"/>
  <c r="J258" i="4"/>
  <c r="J259" i="4"/>
  <c r="J260" i="4"/>
  <c r="J261" i="4"/>
  <c r="J262" i="4"/>
  <c r="J34" i="4"/>
  <c r="J98" i="4"/>
  <c r="J263" i="4"/>
  <c r="J99" i="4"/>
  <c r="J264" i="4"/>
  <c r="J265" i="4"/>
  <c r="J266" i="4"/>
  <c r="J267" i="4"/>
  <c r="J268" i="4"/>
  <c r="J269" i="4"/>
  <c r="J270" i="4"/>
  <c r="J271" i="4"/>
  <c r="J272" i="4"/>
  <c r="J273" i="4"/>
  <c r="J100" i="4"/>
  <c r="J101" i="4"/>
  <c r="J274" i="4"/>
  <c r="J275" i="4"/>
  <c r="J276" i="4"/>
  <c r="J277" i="4"/>
  <c r="J278" i="4"/>
  <c r="J279" i="4"/>
  <c r="J280" i="4"/>
  <c r="J10" i="4"/>
  <c r="J11" i="4"/>
  <c r="J12" i="4"/>
  <c r="J13" i="4"/>
  <c r="J35" i="4"/>
  <c r="J281" i="4"/>
  <c r="J282" i="4"/>
  <c r="J283" i="4"/>
  <c r="J284" i="4"/>
  <c r="J285" i="4"/>
  <c r="J286" i="4"/>
  <c r="J287" i="4"/>
  <c r="J102" i="4"/>
  <c r="J103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104" i="4"/>
  <c r="J36" i="4"/>
  <c r="J37" i="4"/>
  <c r="J38" i="4"/>
  <c r="J105" i="4"/>
  <c r="J39" i="4"/>
  <c r="J107" i="4"/>
  <c r="J108" i="4"/>
  <c r="J302" i="4"/>
  <c r="J109" i="4"/>
  <c r="J110" i="4"/>
  <c r="J111" i="4"/>
  <c r="J112" i="4"/>
  <c r="J113" i="4"/>
  <c r="J114" i="4"/>
  <c r="J115" i="4"/>
  <c r="J303" i="4"/>
  <c r="J304" i="4"/>
  <c r="J305" i="4"/>
  <c r="J306" i="4"/>
  <c r="J307" i="4"/>
  <c r="J308" i="4"/>
  <c r="J309" i="4"/>
  <c r="J310" i="4"/>
  <c r="J116" i="4"/>
  <c r="J117" i="4"/>
  <c r="J311" i="4"/>
  <c r="J312" i="4"/>
  <c r="J118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119" i="4"/>
  <c r="J120" i="4"/>
  <c r="J344" i="4"/>
  <c r="J121" i="4"/>
  <c r="J345" i="4"/>
  <c r="J122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123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124" i="4"/>
  <c r="J449" i="4"/>
  <c r="J450" i="4"/>
  <c r="J451" i="4"/>
  <c r="J452" i="4"/>
  <c r="J453" i="4"/>
  <c r="J125" i="4"/>
  <c r="J454" i="4"/>
  <c r="J455" i="4"/>
  <c r="J456" i="4"/>
  <c r="J457" i="4"/>
  <c r="J458" i="4"/>
  <c r="J126" i="4"/>
  <c r="J127" i="4"/>
  <c r="J128" i="4"/>
  <c r="J459" i="4"/>
  <c r="J460" i="4"/>
  <c r="J40" i="4"/>
  <c r="J41" i="4"/>
  <c r="J129" i="4"/>
  <c r="J461" i="4"/>
  <c r="J462" i="4"/>
  <c r="J463" i="4"/>
  <c r="J464" i="4"/>
  <c r="J465" i="4"/>
  <c r="J130" i="4"/>
  <c r="J466" i="4"/>
  <c r="J131" i="4"/>
  <c r="J132" i="4"/>
  <c r="J133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6" i="4"/>
  <c r="J488" i="4"/>
  <c r="J490" i="4"/>
  <c r="J134" i="4"/>
  <c r="J491" i="4"/>
  <c r="J492" i="4"/>
  <c r="J135" i="4"/>
  <c r="J493" i="4"/>
  <c r="J494" i="4"/>
  <c r="J495" i="4"/>
  <c r="J496" i="4"/>
  <c r="J497" i="4"/>
  <c r="J498" i="4"/>
  <c r="J136" i="4"/>
  <c r="J499" i="4"/>
  <c r="J500" i="4"/>
  <c r="J137" i="4"/>
  <c r="J501" i="4"/>
  <c r="J502" i="4"/>
  <c r="J503" i="4"/>
  <c r="J504" i="4"/>
  <c r="J505" i="4"/>
  <c r="J506" i="4"/>
  <c r="J507" i="4"/>
  <c r="J508" i="4"/>
  <c r="J509" i="4"/>
  <c r="J138" i="4"/>
  <c r="J139" i="4"/>
  <c r="J510" i="4"/>
  <c r="J511" i="4"/>
  <c r="J512" i="4"/>
  <c r="J513" i="4"/>
  <c r="J514" i="4"/>
  <c r="J515" i="4"/>
  <c r="J516" i="4"/>
  <c r="J517" i="4"/>
  <c r="J518" i="4"/>
  <c r="J519" i="4"/>
  <c r="J140" i="4"/>
  <c r="P2" i="4" l="1"/>
  <c r="K2" i="4"/>
  <c r="O2" i="4"/>
  <c r="M523" i="4"/>
  <c r="M522" i="4"/>
  <c r="M525" i="4"/>
  <c r="M521" i="4"/>
  <c r="M531" i="4"/>
  <c r="M534" i="4"/>
  <c r="M530" i="4"/>
  <c r="M526" i="4"/>
  <c r="M533" i="4"/>
  <c r="M529" i="4"/>
  <c r="M532" i="4"/>
  <c r="M528" i="4"/>
  <c r="M524" i="4"/>
  <c r="M527" i="4"/>
  <c r="R531" i="4"/>
  <c r="R526" i="4"/>
  <c r="R534" i="4"/>
  <c r="R533" i="4"/>
  <c r="R530" i="4"/>
  <c r="R525" i="4"/>
  <c r="R521" i="4"/>
  <c r="R523" i="4"/>
  <c r="R520" i="4"/>
  <c r="R529" i="4"/>
  <c r="R532" i="4"/>
  <c r="R524" i="4"/>
  <c r="R527" i="4"/>
  <c r="R522" i="4"/>
  <c r="R528" i="4"/>
  <c r="R519" i="4"/>
  <c r="R29" i="4"/>
  <c r="R40" i="4"/>
  <c r="R58" i="4"/>
  <c r="R74" i="4"/>
  <c r="R119" i="4"/>
  <c r="R343" i="4"/>
  <c r="R357" i="4"/>
  <c r="R111" i="4"/>
  <c r="R335" i="4"/>
  <c r="R78" i="4"/>
  <c r="R131" i="4"/>
  <c r="R139" i="4"/>
  <c r="R147" i="4"/>
  <c r="R155" i="4"/>
  <c r="R163" i="4"/>
  <c r="R171" i="4"/>
  <c r="R202" i="4"/>
  <c r="R210" i="4"/>
  <c r="R218" i="4"/>
  <c r="R257" i="4"/>
  <c r="R269" i="4"/>
  <c r="R296" i="4"/>
  <c r="R308" i="4"/>
  <c r="R327" i="4"/>
  <c r="R411" i="4"/>
  <c r="R425" i="4"/>
  <c r="R445" i="4"/>
  <c r="R461" i="4"/>
  <c r="R469" i="4"/>
  <c r="R475" i="4"/>
  <c r="R482" i="4"/>
  <c r="R503" i="4"/>
  <c r="R516" i="4"/>
  <c r="R7" i="4"/>
  <c r="R86" i="4"/>
  <c r="R116" i="4"/>
  <c r="R128" i="4"/>
  <c r="R191" i="4"/>
  <c r="R115" i="4"/>
  <c r="R15" i="4"/>
  <c r="R93" i="4"/>
  <c r="R152" i="4"/>
  <c r="R51" i="4"/>
  <c r="R23" i="4"/>
  <c r="R60" i="4"/>
  <c r="R76" i="4"/>
  <c r="R83" i="4"/>
  <c r="R98" i="4"/>
  <c r="R105" i="4"/>
  <c r="R271" i="4"/>
  <c r="R310" i="4"/>
  <c r="R347" i="4"/>
  <c r="R385" i="4"/>
  <c r="R424" i="4"/>
  <c r="R21" i="4"/>
  <c r="R495" i="4"/>
  <c r="R487" i="4"/>
  <c r="R279" i="4"/>
  <c r="R240" i="4"/>
  <c r="R232" i="4"/>
  <c r="R224" i="4"/>
  <c r="R185" i="4"/>
  <c r="R177" i="4"/>
  <c r="R169" i="4"/>
  <c r="R145" i="4"/>
  <c r="R281" i="4"/>
  <c r="R378" i="4"/>
  <c r="R246" i="4"/>
  <c r="R238" i="4"/>
  <c r="R206" i="4"/>
  <c r="R183" i="4"/>
  <c r="R175" i="4"/>
  <c r="R151" i="4"/>
  <c r="R150" i="4"/>
  <c r="R338" i="4"/>
  <c r="R344" i="4"/>
  <c r="R4" i="4"/>
  <c r="R12" i="4"/>
  <c r="R27" i="4"/>
  <c r="R35" i="4"/>
  <c r="R43" i="4"/>
  <c r="R64" i="4"/>
  <c r="R72" i="4"/>
  <c r="R390" i="4"/>
  <c r="R421" i="4"/>
  <c r="R433" i="4"/>
  <c r="R336" i="4"/>
  <c r="R453" i="4"/>
  <c r="R431" i="4"/>
  <c r="R418" i="4"/>
  <c r="R395" i="4"/>
  <c r="R250" i="4"/>
  <c r="R194" i="4"/>
  <c r="R179" i="4"/>
  <c r="R10" i="4"/>
  <c r="R17" i="4"/>
  <c r="R25" i="4"/>
  <c r="R33" i="4"/>
  <c r="R41" i="4"/>
  <c r="R54" i="4"/>
  <c r="R62" i="4"/>
  <c r="R419" i="4"/>
  <c r="R20" i="4"/>
  <c r="R514" i="4"/>
  <c r="R85" i="4"/>
  <c r="R100" i="4"/>
  <c r="R107" i="4"/>
  <c r="R133" i="4"/>
  <c r="R141" i="4"/>
  <c r="R157" i="4"/>
  <c r="R165" i="4"/>
  <c r="R212" i="4"/>
  <c r="R267" i="4"/>
  <c r="R63" i="4"/>
  <c r="R88" i="4"/>
  <c r="R265" i="4"/>
  <c r="R298" i="4"/>
  <c r="R451" i="4"/>
  <c r="R436" i="4"/>
  <c r="R416" i="4"/>
  <c r="R409" i="4"/>
  <c r="R393" i="4"/>
  <c r="R377" i="4"/>
  <c r="R362" i="4"/>
  <c r="R355" i="4"/>
  <c r="R340" i="4"/>
  <c r="R333" i="4"/>
  <c r="R325" i="4"/>
  <c r="R317" i="4"/>
  <c r="R302" i="4"/>
  <c r="R129" i="4"/>
  <c r="R121" i="4"/>
  <c r="R113" i="4"/>
  <c r="R91" i="4"/>
  <c r="R68" i="4"/>
  <c r="R8" i="4"/>
  <c r="R16" i="4"/>
  <c r="R57" i="4"/>
  <c r="R137" i="4"/>
  <c r="R153" i="4"/>
  <c r="R161" i="4"/>
  <c r="R200" i="4"/>
  <c r="R208" i="4"/>
  <c r="R216" i="4"/>
  <c r="R351" i="4"/>
  <c r="R59" i="4"/>
  <c r="R3" i="4"/>
  <c r="R18" i="4"/>
  <c r="R31" i="4"/>
  <c r="R39" i="4"/>
  <c r="R46" i="4"/>
  <c r="R52" i="4"/>
  <c r="R70" i="4"/>
  <c r="R80" i="4"/>
  <c r="R94" i="4"/>
  <c r="R132" i="4"/>
  <c r="R172" i="4"/>
  <c r="R195" i="4"/>
  <c r="R276" i="4"/>
  <c r="R304" i="4"/>
  <c r="R440" i="4"/>
  <c r="R479" i="4"/>
  <c r="R501" i="4"/>
  <c r="R507" i="4"/>
  <c r="R511" i="4"/>
  <c r="R497" i="4"/>
  <c r="R427" i="4"/>
  <c r="R414" i="4"/>
  <c r="R399" i="4"/>
  <c r="R391" i="4"/>
  <c r="R367" i="4"/>
  <c r="R277" i="4"/>
  <c r="R50" i="4"/>
  <c r="R6" i="4"/>
  <c r="R14" i="4"/>
  <c r="R26" i="4"/>
  <c r="R42" i="4"/>
  <c r="R55" i="4"/>
  <c r="R117" i="4"/>
  <c r="R135" i="4"/>
  <c r="R159" i="4"/>
  <c r="R214" i="4"/>
  <c r="R322" i="4"/>
  <c r="R349" i="4"/>
  <c r="R447" i="4"/>
  <c r="R488" i="4"/>
  <c r="R510" i="4"/>
  <c r="R130" i="4"/>
  <c r="R241" i="4"/>
  <c r="R53" i="4"/>
  <c r="R170" i="4"/>
  <c r="R473" i="4"/>
  <c r="R484" i="4"/>
  <c r="R392" i="4"/>
  <c r="R459" i="4"/>
  <c r="R37" i="4"/>
  <c r="R223" i="4"/>
  <c r="R287" i="4"/>
  <c r="R5" i="4"/>
  <c r="R67" i="4"/>
  <c r="R84" i="4"/>
  <c r="R103" i="4"/>
  <c r="R262" i="4"/>
  <c r="R474" i="4"/>
  <c r="R513" i="4"/>
  <c r="R19" i="4"/>
  <c r="R73" i="4"/>
  <c r="R112" i="4"/>
  <c r="R193" i="4"/>
  <c r="R311" i="4"/>
  <c r="R316" i="4"/>
  <c r="R359" i="4"/>
  <c r="R371" i="4"/>
  <c r="R422" i="4"/>
  <c r="R499" i="4"/>
  <c r="R92" i="4"/>
  <c r="R168" i="4"/>
  <c r="R401" i="4"/>
  <c r="R430" i="4"/>
  <c r="R61" i="4"/>
  <c r="R120" i="4"/>
  <c r="R247" i="4"/>
  <c r="R300" i="4"/>
  <c r="R428" i="4"/>
  <c r="R24" i="4"/>
  <c r="R65" i="4"/>
  <c r="R77" i="4"/>
  <c r="R198" i="4"/>
  <c r="R345" i="4"/>
  <c r="R441" i="4"/>
  <c r="R28" i="4"/>
  <c r="R56" i="4"/>
  <c r="R69" i="4"/>
  <c r="R96" i="4"/>
  <c r="R231" i="4"/>
  <c r="R260" i="4"/>
  <c r="R30" i="4"/>
  <c r="R45" i="4"/>
  <c r="R71" i="4"/>
  <c r="R89" i="4"/>
  <c r="R108" i="4"/>
  <c r="R123" i="4"/>
  <c r="R136" i="4"/>
  <c r="R176" i="4"/>
  <c r="R189" i="4"/>
  <c r="R196" i="4"/>
  <c r="R234" i="4"/>
  <c r="R243" i="4"/>
  <c r="R255" i="4"/>
  <c r="R258" i="4"/>
  <c r="R331" i="4"/>
  <c r="R369" i="4"/>
  <c r="R415" i="4"/>
  <c r="R435" i="4"/>
  <c r="R477" i="4"/>
  <c r="R186" i="4"/>
  <c r="R518" i="4"/>
  <c r="R90" i="4"/>
  <c r="R144" i="4"/>
  <c r="R278" i="4"/>
  <c r="R443" i="4"/>
  <c r="R22" i="4"/>
  <c r="R44" i="4"/>
  <c r="R457" i="4"/>
  <c r="R75" i="4"/>
  <c r="R118" i="4"/>
  <c r="R245" i="4"/>
  <c r="R341" i="4"/>
  <c r="R437" i="4"/>
  <c r="R101" i="4"/>
  <c r="R110" i="4"/>
  <c r="R114" i="4"/>
  <c r="R9" i="4"/>
  <c r="R11" i="4"/>
  <c r="R13" i="4"/>
  <c r="R32" i="4"/>
  <c r="R47" i="4"/>
  <c r="R49" i="4"/>
  <c r="R106" i="4"/>
  <c r="R134" i="4"/>
  <c r="R143" i="4"/>
  <c r="R167" i="4"/>
  <c r="R174" i="4"/>
  <c r="R229" i="4"/>
  <c r="R263" i="4"/>
  <c r="R273" i="4"/>
  <c r="R306" i="4"/>
  <c r="R324" i="4"/>
  <c r="R342" i="4"/>
  <c r="R353" i="4"/>
  <c r="R387" i="4"/>
  <c r="R413" i="4"/>
  <c r="R438" i="4"/>
  <c r="R485" i="4"/>
  <c r="R490" i="4"/>
  <c r="R87" i="4"/>
  <c r="R95" i="4"/>
  <c r="R97" i="4"/>
  <c r="R109" i="4"/>
  <c r="R122" i="4"/>
  <c r="R124" i="4"/>
  <c r="R126" i="4"/>
  <c r="R140" i="4"/>
  <c r="R142" i="4"/>
  <c r="R146" i="4"/>
  <c r="R148" i="4"/>
  <c r="R156" i="4"/>
  <c r="R158" i="4"/>
  <c r="R160" i="4"/>
  <c r="R166" i="4"/>
  <c r="R192" i="4"/>
  <c r="R237" i="4"/>
  <c r="R253" i="4"/>
  <c r="R290" i="4"/>
  <c r="R292" i="4"/>
  <c r="R294" i="4"/>
  <c r="R332" i="4"/>
  <c r="R408" i="4"/>
  <c r="R410" i="4"/>
  <c r="R420" i="4"/>
  <c r="R434" i="4"/>
  <c r="R444" i="4"/>
  <c r="R463" i="4"/>
  <c r="R465" i="4"/>
  <c r="R467" i="4"/>
  <c r="R483" i="4"/>
  <c r="R509" i="4"/>
  <c r="R34" i="4"/>
  <c r="R36" i="4"/>
  <c r="R38" i="4"/>
  <c r="R48" i="4"/>
  <c r="R66" i="4"/>
  <c r="R79" i="4"/>
  <c r="R81" i="4"/>
  <c r="R99" i="4"/>
  <c r="R164" i="4"/>
  <c r="R226" i="4"/>
  <c r="R235" i="4"/>
  <c r="R251" i="4"/>
  <c r="R261" i="4"/>
  <c r="R270" i="4"/>
  <c r="R285" i="4"/>
  <c r="R319" i="4"/>
  <c r="R339" i="4"/>
  <c r="R373" i="4"/>
  <c r="R375" i="4"/>
  <c r="R379" i="4"/>
  <c r="R384" i="4"/>
  <c r="R403" i="4"/>
  <c r="R426" i="4"/>
  <c r="R432" i="4"/>
  <c r="R455" i="4"/>
  <c r="R82" i="4"/>
  <c r="R102" i="4"/>
  <c r="R104" i="4"/>
  <c r="R181" i="4"/>
  <c r="R187" i="4"/>
  <c r="R233" i="4"/>
  <c r="R242" i="4"/>
  <c r="R249" i="4"/>
  <c r="R259" i="4"/>
  <c r="R283" i="4"/>
  <c r="R326" i="4"/>
  <c r="R337" i="4"/>
  <c r="R346" i="4"/>
  <c r="R363" i="4"/>
  <c r="R397" i="4"/>
  <c r="R406" i="4"/>
  <c r="R429" i="4"/>
  <c r="R449" i="4"/>
  <c r="R489" i="4"/>
  <c r="R505" i="4"/>
  <c r="R154" i="4"/>
  <c r="R178" i="4"/>
  <c r="R188" i="4"/>
  <c r="R190" i="4"/>
  <c r="R197" i="4"/>
  <c r="R199" i="4"/>
  <c r="R205" i="4"/>
  <c r="R207" i="4"/>
  <c r="R221" i="4"/>
  <c r="R225" i="4"/>
  <c r="R227" i="4"/>
  <c r="R266" i="4"/>
  <c r="R268" i="4"/>
  <c r="R272" i="4"/>
  <c r="R274" i="4"/>
  <c r="R282" i="4"/>
  <c r="R284" i="4"/>
  <c r="R286" i="4"/>
  <c r="R295" i="4"/>
  <c r="R314" i="4"/>
  <c r="R318" i="4"/>
  <c r="R320" i="4"/>
  <c r="R350" i="4"/>
  <c r="R352" i="4"/>
  <c r="R354" i="4"/>
  <c r="R361" i="4"/>
  <c r="R366" i="4"/>
  <c r="R368" i="4"/>
  <c r="R382" i="4"/>
  <c r="R386" i="4"/>
  <c r="R388" i="4"/>
  <c r="R396" i="4"/>
  <c r="R398" i="4"/>
  <c r="R404" i="4"/>
  <c r="R442" i="4"/>
  <c r="R446" i="4"/>
  <c r="R448" i="4"/>
  <c r="R450" i="4"/>
  <c r="R452" i="4"/>
  <c r="R458" i="4"/>
  <c r="R468" i="4"/>
  <c r="R508" i="4"/>
  <c r="R512" i="4"/>
  <c r="R515" i="4"/>
  <c r="R180" i="4"/>
  <c r="R182" i="4"/>
  <c r="R201" i="4"/>
  <c r="R203" i="4"/>
  <c r="R211" i="4"/>
  <c r="R213" i="4"/>
  <c r="R219" i="4"/>
  <c r="R289" i="4"/>
  <c r="R291" i="4"/>
  <c r="R293" i="4"/>
  <c r="R297" i="4"/>
  <c r="R299" i="4"/>
  <c r="R301" i="4"/>
  <c r="R303" i="4"/>
  <c r="R309" i="4"/>
  <c r="R312" i="4"/>
  <c r="R358" i="4"/>
  <c r="R360" i="4"/>
  <c r="R364" i="4"/>
  <c r="R372" i="4"/>
  <c r="R374" i="4"/>
  <c r="R376" i="4"/>
  <c r="R380" i="4"/>
  <c r="R402" i="4"/>
  <c r="R462" i="4"/>
  <c r="R464" i="4"/>
  <c r="R466" i="4"/>
  <c r="R470" i="4"/>
  <c r="R471" i="4"/>
  <c r="R472" i="4"/>
  <c r="R494" i="4"/>
  <c r="R496" i="4"/>
  <c r="R125" i="4"/>
  <c r="R127" i="4"/>
  <c r="R138" i="4"/>
  <c r="R149" i="4"/>
  <c r="R162" i="4"/>
  <c r="R173" i="4"/>
  <c r="R184" i="4"/>
  <c r="R217" i="4"/>
  <c r="R236" i="4"/>
  <c r="R248" i="4"/>
  <c r="R252" i="4"/>
  <c r="R254" i="4"/>
  <c r="R329" i="4"/>
  <c r="R480" i="4"/>
  <c r="R486" i="4"/>
  <c r="R492" i="4"/>
  <c r="R209" i="4"/>
  <c r="R220" i="4"/>
  <c r="R222" i="4"/>
  <c r="R244" i="4"/>
  <c r="R256" i="4"/>
  <c r="R280" i="4"/>
  <c r="R305" i="4"/>
  <c r="R307" i="4"/>
  <c r="R313" i="4"/>
  <c r="R315" i="4"/>
  <c r="R328" i="4"/>
  <c r="R330" i="4"/>
  <c r="R348" i="4"/>
  <c r="R370" i="4"/>
  <c r="R381" i="4"/>
  <c r="R383" i="4"/>
  <c r="R394" i="4"/>
  <c r="R405" i="4"/>
  <c r="R407" i="4"/>
  <c r="R417" i="4"/>
  <c r="R454" i="4"/>
  <c r="R456" i="4"/>
  <c r="R476" i="4"/>
  <c r="R478" i="4"/>
  <c r="R498" i="4"/>
  <c r="R500" i="4"/>
  <c r="R502" i="4"/>
  <c r="R517" i="4"/>
  <c r="R204" i="4"/>
  <c r="R215" i="4"/>
  <c r="R228" i="4"/>
  <c r="R230" i="4"/>
  <c r="R239" i="4"/>
  <c r="R264" i="4"/>
  <c r="R275" i="4"/>
  <c r="R288" i="4"/>
  <c r="R321" i="4"/>
  <c r="R323" i="4"/>
  <c r="R334" i="4"/>
  <c r="R356" i="4"/>
  <c r="R365" i="4"/>
  <c r="R389" i="4"/>
  <c r="R400" i="4"/>
  <c r="R412" i="4"/>
  <c r="R423" i="4"/>
  <c r="R439" i="4"/>
  <c r="R460" i="4"/>
  <c r="R481" i="4"/>
  <c r="R491" i="4"/>
  <c r="R493" i="4"/>
  <c r="R504" i="4"/>
  <c r="R506" i="4"/>
  <c r="R1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<sst xmlns="http://schemas.openxmlformats.org/spreadsheetml/2006/main" count="1192" uniqueCount="547">
  <si>
    <t>E02460</t>
  </si>
  <si>
    <t>E0529801</t>
  </si>
  <si>
    <t>Price</t>
  </si>
  <si>
    <t>Order</t>
  </si>
  <si>
    <t>Total</t>
  </si>
  <si>
    <t>Item</t>
  </si>
  <si>
    <t>Name</t>
  </si>
  <si>
    <r>
      <rPr>
        <b/>
        <sz val="10"/>
        <color indexed="10"/>
        <rFont val="Arial"/>
        <family val="2"/>
        <charset val="204"/>
      </rPr>
      <t>Importantly!</t>
    </r>
    <r>
      <rPr>
        <sz val="10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</si>
  <si>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</si>
  <si>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</si>
  <si>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</si>
  <si>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Poland → +48-459-568-603</t>
  </si>
  <si>
    <t>USA → +13-322-093-910</t>
  </si>
  <si>
    <t>UPC</t>
  </si>
  <si>
    <t>Organic Cranberry 500mg/36mg PACs Caps (Vegan)</t>
  </si>
  <si>
    <t>Dreaminol Sleep Chewable Tablets – Berry Flavor</t>
  </si>
  <si>
    <t>Dreaminol Stress C Sleep Complex Capsules (Vegan)</t>
  </si>
  <si>
    <t>Dreaminol Stress C Sleep Complex w/ Melatonin Capsules</t>
  </si>
  <si>
    <t>Dreaminol Tri-Phase Sleep Complex Tablets (Vegan)</t>
  </si>
  <si>
    <t>PRO LongVida Curcumin 500 mg Lozenges (Vegan)</t>
  </si>
  <si>
    <t>Natural Beta Carotene Softgels (Algae) 25,000 IU</t>
  </si>
  <si>
    <t>Vitamin A (10,000 IU) Water-Dispersible Tablets</t>
  </si>
  <si>
    <t>Vitamin D (400 IU) Water-Dispersible Tablets</t>
  </si>
  <si>
    <t>Chlorophyll Vegan Capsules</t>
  </si>
  <si>
    <t>Ginkgo-Combo Vegan Capsules</t>
  </si>
  <si>
    <t xml:space="preserve">Animal Parade Tummy Zyme Chewable – Tropical Fruit Flavor </t>
  </si>
  <si>
    <t>Animal Parade Tooth Fairy Children’s Chewable – Vanilla Flavor</t>
  </si>
  <si>
    <t xml:space="preserve">Animal Parade Liquid – Tropical Berry                         </t>
  </si>
  <si>
    <t xml:space="preserve">Animal Parade Liquid – Tropical Berry Travel Size           </t>
  </si>
  <si>
    <t>His Journey Tablets – Once Daily Multi for Men</t>
  </si>
  <si>
    <t>Her Journey Tablets – Once Daily Multi for Women</t>
  </si>
  <si>
    <t>Organic Beet Powder (Vegan)</t>
  </si>
  <si>
    <t>Vitamin D3 Gummies 1000 IU – Mixed Berry Flavor</t>
  </si>
  <si>
    <t>Vitamin D3 1000 IU Softgels (Cholecalciferol)</t>
  </si>
  <si>
    <t>Vitamin D3 1000 IU with K2 100 mcg Capsules (Vegetarian)</t>
  </si>
  <si>
    <t>Vitamins D3 C K2 Tablets (2500 IU [62.5 mcg]/120 mcg)</t>
  </si>
  <si>
    <t>Chewable D C K Complex 125 mcg (5000 IU)/240 mcg</t>
  </si>
  <si>
    <t>Adult’s Chewable Vitamin D3 1000 IU – Maui Berry Burst Flavor!</t>
  </si>
  <si>
    <t>Ultra Vitamin D3 5000 IU w/Trans-Resveratrol – Ext. Rel. Tablets</t>
  </si>
  <si>
    <t>Vitamin D3 2500 IU Softgels (Cholecalciferol)</t>
  </si>
  <si>
    <t>Vitamin D3 5000 IU Softgels (Cholecalciferol)</t>
  </si>
  <si>
    <t>Vitamin D3 10,000 IU Softgels</t>
  </si>
  <si>
    <t>Liquid Sunshine Vit. D3 5000 IU – Tropical Citrus Flavor</t>
  </si>
  <si>
    <t>Super B-50 Vegan Capsules</t>
  </si>
  <si>
    <t>Mega B-100 Sustained Release Tablets</t>
  </si>
  <si>
    <t>Mega B-150 Sustained Release Tablets</t>
  </si>
  <si>
    <t>B-Complex with Rice Bran Tablets</t>
  </si>
  <si>
    <t>Vitamin B-1 300 mg Sustained Release Tablets</t>
  </si>
  <si>
    <t>Vitamin B-2 100 mg Tablets</t>
  </si>
  <si>
    <t>Vitamin B-2 250 mg Sustained Release Tablets</t>
  </si>
  <si>
    <t>Vitamin B-12 500 mcg Tablets</t>
  </si>
  <si>
    <t>Vitamin B-12 1000 mcg Tablets</t>
  </si>
  <si>
    <t>Vitamin B-12 2000 mcg Sustained Release Tablets</t>
  </si>
  <si>
    <t>Shot-O-B12 5000 mcg Softgels</t>
  </si>
  <si>
    <t>Shot-O-B12 5000 mcg Lozenges – Wild Berry Flavor</t>
  </si>
  <si>
    <t>Shot-O-B12 5000 mcg Sustained Release Tablets</t>
  </si>
  <si>
    <t>Vitamin B-12 Herbal Lozenges</t>
  </si>
  <si>
    <t>Folic Acid 800 mcg Tablets</t>
  </si>
  <si>
    <t>Folic Acid Hearts Tablets (Folic Acid, Vit. B-6 C B-12)</t>
  </si>
  <si>
    <t>Biotin C Folate Sustained Release Tablets</t>
  </si>
  <si>
    <t>Biotin Sustained Release Tablets</t>
  </si>
  <si>
    <t>Biotin Gummies 5000 mcg – Raspberry Flavor</t>
  </si>
  <si>
    <t>Niacin 100 mg Tablets</t>
  </si>
  <si>
    <t>Niacinamide 500 mg Tablets</t>
  </si>
  <si>
    <t>Niacinamide 1000 mg Sustained Release Tablets</t>
  </si>
  <si>
    <t>Pantothenic Acid 1000 mg Sustained Release Tablets</t>
  </si>
  <si>
    <t>PABA 1000 mg Sustained Release Tablets</t>
  </si>
  <si>
    <t>Choline C Inositol 500 mg Tablets</t>
  </si>
  <si>
    <t>Ultra Ginseng 500 Vegan Capsules (Standardized 5% Ginsenosides)</t>
  </si>
  <si>
    <t>Candida Cleanse 7-Day Program – Kit</t>
  </si>
  <si>
    <t>Ultra-Stress Sustained Release Tablets (with Iron)</t>
  </si>
  <si>
    <t>Mega-Stress Complex Sustained Release Tablets</t>
  </si>
  <si>
    <t>Animal Parade GOLD Multi – Watermelon Flavor 
Sugar Free Chewable with 500 IU D3, Probiotics, Organic Whole Foods</t>
  </si>
  <si>
    <t>Sugar Free Animal Parade Chewable – Assorted</t>
  </si>
  <si>
    <t>Sugar Free Animal Parade CALCIUM Chewable – Vanilla Sundae Flavor</t>
  </si>
  <si>
    <t>Sugar Free Animal Parade VITAMIN C Chewable – Orange Juice Flavor</t>
  </si>
  <si>
    <t>Sugar Free Animal Parade Vitamin D3 500 IU Chewable –
Black Cherry Flavor</t>
  </si>
  <si>
    <t xml:space="preserve">Animal Parade Vit. D3 400 IU Liquid Drops– Orange Flavor        </t>
  </si>
  <si>
    <t xml:space="preserve">Animal Parade Mag Kidz Chewable – Cherry Flavor </t>
  </si>
  <si>
    <t xml:space="preserve">Animal Parade Mag Kidz Powder – Natural Cherry Flavor      </t>
  </si>
  <si>
    <t>Animal Parade Probiotic Chewable – Mixed Berry Flavor</t>
  </si>
  <si>
    <t>Animal Parade Chewable Inner Ear Support – with K12 Probiotics</t>
  </si>
  <si>
    <t>Animal Parade D3 500 IU Chewable – 
Black Cherry Flavor</t>
  </si>
  <si>
    <t>Animal Parade KidZinc Lozenges – Tangerine Flavor</t>
  </si>
  <si>
    <t>Animal Parade KidGreenz Chewable – Tropical Fruit Flavor</t>
  </si>
  <si>
    <t>Animal Parade AcidophiKidz Chewable – Berry Flavor</t>
  </si>
  <si>
    <t>Animal Parade Immune Booster Chewable – Tropical Berry Flavor</t>
  </si>
  <si>
    <t>Animal Parade Chewable Multivitamin – Cherry</t>
  </si>
  <si>
    <t>Size</t>
  </si>
  <si>
    <t>16 fl.oz.</t>
  </si>
  <si>
    <t>10 ml</t>
  </si>
  <si>
    <t>0.32 lb.</t>
  </si>
  <si>
    <t>30 oz.</t>
  </si>
  <si>
    <t>8 oz.</t>
  </si>
  <si>
    <t>2 oz.</t>
  </si>
  <si>
    <t>30 oz</t>
  </si>
  <si>
    <t>16 oz</t>
  </si>
  <si>
    <t>1,15 lb</t>
  </si>
  <si>
    <t>0,9 lb</t>
  </si>
  <si>
    <t>0,8 lb</t>
  </si>
  <si>
    <t>0,83 lb</t>
  </si>
  <si>
    <t>case of 12 bottles</t>
  </si>
  <si>
    <t>1.1 lb.</t>
  </si>
  <si>
    <t>2.2 lb.</t>
  </si>
  <si>
    <t>8 pk</t>
  </si>
  <si>
    <t>2.4 lb.</t>
  </si>
  <si>
    <t>1.06 lb.</t>
  </si>
  <si>
    <t>2.12 lb.</t>
  </si>
  <si>
    <t>0.81 lb.</t>
  </si>
  <si>
    <t>1.12 lb.</t>
  </si>
  <si>
    <t>1.2 lb.</t>
  </si>
  <si>
    <t>2.3 lb.</t>
  </si>
  <si>
    <t>4 lb.</t>
  </si>
  <si>
    <t>3.7 lb.</t>
  </si>
  <si>
    <t>4.5 lb.</t>
  </si>
  <si>
    <t>1.3 lb.</t>
  </si>
  <si>
    <t>15 oz.</t>
  </si>
  <si>
    <t>1.7 lb.</t>
  </si>
  <si>
    <t>0.53 lbs</t>
  </si>
  <si>
    <t>6 pk box</t>
  </si>
  <si>
    <t>0.66 lb</t>
  </si>
  <si>
    <t>1.32 lb</t>
  </si>
  <si>
    <t>12 oz.</t>
  </si>
  <si>
    <t>0.38 lb.</t>
  </si>
  <si>
    <t>8.5 fl.oz.</t>
  </si>
  <si>
    <t>0.65 lb.</t>
  </si>
  <si>
    <t>1.30 lb.</t>
  </si>
  <si>
    <t>20 pk</t>
  </si>
  <si>
    <t>0.51 lb.</t>
  </si>
  <si>
    <t>0.53 lb.</t>
  </si>
  <si>
    <t>0.8 lb.</t>
  </si>
  <si>
    <t>0.83 lb.</t>
  </si>
  <si>
    <t>0.66 lb.</t>
  </si>
  <si>
    <t>1 lb.</t>
  </si>
  <si>
    <t>0.97 lb.</t>
  </si>
  <si>
    <t>1.05 lb.</t>
  </si>
  <si>
    <t>2.1 lb.</t>
  </si>
  <si>
    <t>1.62 lb.</t>
  </si>
  <si>
    <t>2.25 lb.</t>
  </si>
  <si>
    <t>1.15 lb.</t>
  </si>
  <si>
    <t>2.24 lb.</t>
  </si>
  <si>
    <t>0.95 lb.</t>
  </si>
  <si>
    <t>1.04 lb.</t>
  </si>
  <si>
    <t>1.11 lb.</t>
  </si>
  <si>
    <t>2.2 oz.</t>
  </si>
  <si>
    <t>3.5 oz.</t>
  </si>
  <si>
    <t>1/2 oz.</t>
  </si>
  <si>
    <t>1/4 oz.</t>
  </si>
  <si>
    <t>7.41 oz.</t>
  </si>
  <si>
    <t>1.36 lb.</t>
  </si>
  <si>
    <t>10.4 oz</t>
  </si>
  <si>
    <t>9.5 oz</t>
  </si>
  <si>
    <t>7.4 oz</t>
  </si>
  <si>
    <t>E36662</t>
  </si>
  <si>
    <t>E4871</t>
  </si>
  <si>
    <t>Animal Parade Chewable Multivitamin – Grape</t>
  </si>
  <si>
    <t>Animal Parade Chewable Multivitamin – Watermelon</t>
  </si>
  <si>
    <t>Animal Parade Omega 3/6/9 Junior Softgels</t>
  </si>
  <si>
    <t>Animal Parade CALCIUM Chewable – Vanilla Sundae Flavor</t>
  </si>
  <si>
    <t>Animal Parade VITAMIN C Chewable – Orange Juice Flavor</t>
  </si>
  <si>
    <t>Animal Parade DHA Kidz – Omega-3 Cherry Chewable</t>
  </si>
  <si>
    <t>Vitamin C Micro-Crystals</t>
  </si>
  <si>
    <t>Esterified Vit. C Tablets (Buffered Polyascorbate Complex)</t>
  </si>
  <si>
    <t>Vitamin C 1000 Capsules (Vegan)</t>
  </si>
  <si>
    <t>Vitamin C 500 Sus. Rel. Tablets (with Rose Hips)</t>
  </si>
  <si>
    <t>Love Buffs (Chew. Buffered Vitamin C 250 mg)</t>
  </si>
  <si>
    <t>Lovites (Chewable Vitamin C 500 mg)</t>
  </si>
  <si>
    <t>Acerola-C Complex – Chewable 500 mg</t>
  </si>
  <si>
    <t>Orange Juice C 500 mg (Chewable)</t>
  </si>
  <si>
    <t>Orange Juice C 1000 mg (Chewable)</t>
  </si>
  <si>
    <t>Orange Juice Jr. 100 mg (Chewable)</t>
  </si>
  <si>
    <t>Orange Juice C 250 mg (Chewable)</t>
  </si>
  <si>
    <t>Super C Complex Sustained Release Tablets</t>
  </si>
  <si>
    <t>Super C Complex Caps Capsules (Vegan)</t>
  </si>
  <si>
    <t>Vitamin C Liquid – Orange</t>
  </si>
  <si>
    <t>Vitamin C Liquid – Orange Travel Size</t>
  </si>
  <si>
    <t>Rutin 500 mg Tablets</t>
  </si>
  <si>
    <t>Biorutin 1000 mg Tablets</t>
  </si>
  <si>
    <t>Quercetin Plus Tablets (with Vit. C C Bromelain)</t>
  </si>
  <si>
    <t>Vita-Gels (Softgels)</t>
  </si>
  <si>
    <t>Garlic C Parsley Oil Softgels</t>
  </si>
  <si>
    <t>Ultra-Mins Tablets</t>
  </si>
  <si>
    <t>Bone Power (Calcium with Boron) Softgels</t>
  </si>
  <si>
    <t xml:space="preserve">Magnesium 200 mg Tablets </t>
  </si>
  <si>
    <t>Magnesium 200 mg Tablets</t>
  </si>
  <si>
    <t>KalmAssure Magnesium Capsules (Vegan)</t>
  </si>
  <si>
    <t xml:space="preserve">KalmAssure Magnesium Powder w/ HempCeutix – Orange </t>
  </si>
  <si>
    <t>KalmAssure Magnesium Glycinate Capsules</t>
  </si>
  <si>
    <t>Calcium and Magnesium 500/250 Tablets</t>
  </si>
  <si>
    <t xml:space="preserve">Potassium 99 mg Tablets </t>
  </si>
  <si>
    <t>Potassium Iodide Iodine 150 mcg Tablets</t>
  </si>
  <si>
    <t xml:space="preserve">Iron 40 mg Tablets </t>
  </si>
  <si>
    <t>Copper Tablets 3 mg</t>
  </si>
  <si>
    <t>Super Selenium Complex Tablets (with Vitamin E)</t>
  </si>
  <si>
    <t xml:space="preserve">Trace-Mins (Multi-Trace Mineral) Tablets </t>
  </si>
  <si>
    <t xml:space="preserve">Zinc Tablets 10 mg </t>
  </si>
  <si>
    <t xml:space="preserve">Zinc Tablets 30 mg </t>
  </si>
  <si>
    <t>Zinc Tablets 50 mg</t>
  </si>
  <si>
    <t>Mega Zinc 100 mg Sustained Release Tablets</t>
  </si>
  <si>
    <t>Ultra Rx-Joint Liquid – Fast-Acting Joint Support</t>
  </si>
  <si>
    <t>Triple Strength Ultra Rx-Joint Liquid</t>
  </si>
  <si>
    <t>Huperzine Rx-Brain Tablets – Huperzine-A</t>
  </si>
  <si>
    <t>Aller-Ease Rx-Respiration Capsules (Vegan)</t>
  </si>
  <si>
    <t xml:space="preserve">Garden Bone Support Capsules with AlgaeCal® (Vegan) </t>
  </si>
  <si>
    <t>Garden Calcium Capsules with AlgaeCal® (Vegan)</t>
  </si>
  <si>
    <t xml:space="preserve">Garden Vitamin C 500 mg Capsules (Vegan) </t>
  </si>
  <si>
    <t xml:space="preserve">Garden Vitamin D3 5000 IU Capsules (Vegan) </t>
  </si>
  <si>
    <t>Garden Iron Capsules (Vegan)</t>
  </si>
  <si>
    <t xml:space="preserve">Garden Vitamin K2 120 mcg Capsules (Vegan) </t>
  </si>
  <si>
    <t>Garden Red Yeast Rice Capsules (Vegan)</t>
  </si>
  <si>
    <t>Garden Vitamin D3 C K2 Capsules (Vegan)</t>
  </si>
  <si>
    <t>Garden Men’s Multi Tablets (Vegan)</t>
  </si>
  <si>
    <t>Garden Women’s Multi Tablets (Vegan)</t>
  </si>
  <si>
    <t xml:space="preserve">Garden Men’s Once Daily Multi Tablets (Vegan) </t>
  </si>
  <si>
    <t>Garden Women’s Once Daily Multi Tablets (Vegan)</t>
  </si>
  <si>
    <t xml:space="preserve">Garden Family Chewable Multi (Vegan) </t>
  </si>
  <si>
    <t xml:space="preserve">Garden Folate Capsules (Vegan) </t>
  </si>
  <si>
    <t>Source of Life 4 oz. Energy Shot</t>
  </si>
  <si>
    <t>Source of Life Energy Shake Single Serving Packet Display</t>
  </si>
  <si>
    <t xml:space="preserve"> Vanilla SPIRU-TEIN Shake (Original) </t>
  </si>
  <si>
    <t>Original Vanilla Simply Natural SPIRU-TEIN Shake</t>
  </si>
  <si>
    <t>Chocolate Simply Natural SPIRU-TEIN</t>
  </si>
  <si>
    <t>Blueberries C Cream SPIRU-TEIN Shake</t>
  </si>
  <si>
    <t>Chocolate Peanut Butter SPIRU-TEIN Shake</t>
  </si>
  <si>
    <t>SPIRU-TEIN Vanilla Protein Shake – 60 Servings</t>
  </si>
  <si>
    <t>SPIRU-TEIN Chocolate Protein Shake – 60 Servings</t>
  </si>
  <si>
    <t>SPIRU-TEIN Strawberry Protein Shake – 60 Servings</t>
  </si>
  <si>
    <t>SPIRU-TEIN Banana Protein Shake – 60 Servings</t>
  </si>
  <si>
    <t>ULTRA SKINNY MINI Caffeine C Ephedra-Free Tablets</t>
  </si>
  <si>
    <t>SKINNY MINI – For Women Capsules</t>
  </si>
  <si>
    <t>Ultra Sugar Control Tablets</t>
  </si>
  <si>
    <t>Sugar Control Capsules (Vegan)</t>
  </si>
  <si>
    <t>CitriMax Tablets (1000 mg Std. Garcinia Cambogia)</t>
  </si>
  <si>
    <t>Immune VITAMIN C 500 mg Chewables</t>
  </si>
  <si>
    <t>Immune PROBIOTIC 10 Billion CFU Capsules</t>
  </si>
  <si>
    <t>ImmunActin Zinc Lozenges</t>
  </si>
  <si>
    <t>Gugulipid – 1000 mg / 2.5% Guggulsterones</t>
  </si>
  <si>
    <t>Hawthorn – 300 mg / 3.2% Vitexin</t>
  </si>
  <si>
    <t>Korean Ginseng – 1000 mg / 15% Ginsenosides</t>
  </si>
  <si>
    <t>Milk Thistle – 500 mg / 80% Silymarin</t>
  </si>
  <si>
    <t>St. John’s Wort – 450 mg / 0.3-0.5% Hypericin</t>
  </si>
  <si>
    <t>Valerian – 600 mg / 1% Valerenic Acid</t>
  </si>
  <si>
    <t>Red Yeast Rice – 600 mg</t>
  </si>
  <si>
    <t>Red Yeast Rice Mini-Tabs – 600 mg, Two-Tablet Serving</t>
  </si>
  <si>
    <t>Rhodiola – 1,000 mg / 3% Total Rosavins, 1% Salidrosides</t>
  </si>
  <si>
    <t>Red Yeast Rice &amp;CoQ10 – 600 mg /100 mg</t>
  </si>
  <si>
    <t>Resveratrol – 125 mg / w/GreenTea,Grape Seed, Red Wine,Turmeric</t>
  </si>
  <si>
    <t>Tri-Immune (ARA-Larix, Olive Leaf, Andrographis)</t>
  </si>
  <si>
    <t>Ashwagandha – 450 mg / 1.5% Withanolids</t>
  </si>
  <si>
    <t>Astragalus – 450 mg / 0.4% 4’ -Hydroxy-3’ -Methoxyisoflavone 7-Sug</t>
  </si>
  <si>
    <t>Boswellin – 300 mg / 65% Boswellic Acids</t>
  </si>
  <si>
    <t>Chasteberry – 150 mg / 0.5% Agnuside, 0.6% Aucubin</t>
  </si>
  <si>
    <t>Coleus Forskohlii –125mg / 20% Forskolin w/ Active-Enzymes™</t>
  </si>
  <si>
    <t>Green Tea – 400 mg / 50% Polyphenols</t>
  </si>
  <si>
    <t>Gugulipid® – 750 mg / 2.5% Guggulsterones</t>
  </si>
  <si>
    <t>Licorice (DGL) – 500 mg /</t>
  </si>
  <si>
    <t>Milk Thistle – 250 mg / 80% Silymarin</t>
  </si>
  <si>
    <t>Passion Flower – 250 mg / 3.5-4% Flavonoids</t>
  </si>
  <si>
    <t>Red Yeast Rice / Gugulipid® – 450 mg Complex</t>
  </si>
  <si>
    <t>Turmeric – 400 mg / 95% Curcumin</t>
  </si>
  <si>
    <t>ProstActin Softgels</t>
  </si>
  <si>
    <t>InflamActin Vegan Capsules</t>
  </si>
  <si>
    <t>Black Cherry – 750 mg / 0.8% Anthocyanins</t>
  </si>
  <si>
    <t>Black Cohosh – 200 mg / 2.5% Triterpene Glycosides</t>
  </si>
  <si>
    <t>Ultra Cranberry 1500 – 1500 mg with Active-Enzymes™</t>
  </si>
  <si>
    <t>Ginkgo Biloba – 120 mg / 24% Ginkgo Flavone-Glycosides</t>
  </si>
  <si>
    <t>Green Tea (Chinese) – 750 mg / 50% Polyphenols</t>
  </si>
  <si>
    <t>Animal Parade Chewable Multivitamin– Orange</t>
  </si>
  <si>
    <t>Animal Parade Chewable Multivitamin – Assorted
(Cherry, Orange, Grape)</t>
  </si>
  <si>
    <t xml:space="preserve">Vitamin C Gummies 250 mg – Orange Flavor </t>
  </si>
  <si>
    <t>Ultra-C 2000 Sustained Release Tablets (with Rose Hips)</t>
  </si>
  <si>
    <t>Vitamin C 1000 Tablets (with Rose Hips)</t>
  </si>
  <si>
    <t>Vitamin C 1000 Sustained Release Tablets (with Rose Hips)</t>
  </si>
  <si>
    <t>Mixed Tocopherol E 400 IU Softgels</t>
  </si>
  <si>
    <t>Chewable E 400 IU (Carob Flavor)</t>
  </si>
  <si>
    <t>Power Teen For Him Multivitamin (Chewable - Wild Berry Flavor)</t>
  </si>
  <si>
    <t>Power Teen For Her Multivitamin (Chewable - Wild Berry Flavor)</t>
  </si>
  <si>
    <t>Pedi-Active Chewable (PS/DMAE Complex)</t>
  </si>
  <si>
    <t>Ultra One Daily Iron-Free Capsules (Vegan)</t>
  </si>
  <si>
    <t>Ultra II Sustained Release Tablets</t>
  </si>
  <si>
    <t>Nutri-Genic (Hypoallergenic Multi) Tablets</t>
  </si>
  <si>
    <t>Ultra Prenatal Tablets</t>
  </si>
  <si>
    <t>Animal Parade GOLD Liquid – Tropical Berry</t>
  </si>
  <si>
    <t>Animal Parade GOLD Multi – Grape Flavor
Sugar Free Chewable with 500 IU D3, Probiotics, Organic Whole Foods</t>
  </si>
  <si>
    <t>Animal Parade GOLD Multi – Orange Flavor
Sugar Free Chewable with 500 IU D3, Probiotics, Organic Whole Foods</t>
  </si>
  <si>
    <t>Adult’s Multivitamin Chewable – Pineapple</t>
  </si>
  <si>
    <t>Adult’s Multivitamin Chewable – Exotic Red Berry</t>
  </si>
  <si>
    <t>Regeneration 3 Tier Revitalizing Pyramid Softgels</t>
  </si>
  <si>
    <t>Hema-Plex Softgels (Ultimate Total Blood Support)</t>
  </si>
  <si>
    <t>Hema-Plex Tablets (Nutritional Support For The Blood)
6 Units of #3770 (30 ct. ea.) – SRP $15.95 each</t>
  </si>
  <si>
    <t>Hema-Plex Tablets (Nutritional Support For The Blood)
6 Units of #99662 (10 ct. ea.) – SRP $8.95 each</t>
  </si>
  <si>
    <t>Hema-Plex Capsules (Ultimate Total Blood Support) (Vegan)</t>
  </si>
  <si>
    <t>Ultra Juice Bilayered Tablets (Fruit C Vegetable) – Certified Organic     90</t>
  </si>
  <si>
    <t>Ultra Juice Green Bilayered Tablets – Certified Organic</t>
  </si>
  <si>
    <t>Ultra Juice Green Drink (30 servings) – Certified Organic</t>
  </si>
  <si>
    <t>Ultra Juice Green Drink (60 servings) – Certified Organic</t>
  </si>
  <si>
    <t>Mixed Vegetables Phytonutrient Complex Tablets</t>
  </si>
  <si>
    <t>Propolplus (Propolis with Bee Pollen) Softgels</t>
  </si>
  <si>
    <t>Kelp Tablets</t>
  </si>
  <si>
    <t>Ultra Chewable Cranberry –</t>
  </si>
  <si>
    <t>Delicious Heart-Shaped Tablets with Vitamin C</t>
  </si>
  <si>
    <t>Garlite – Reduced-Odor Garlic 500 mg Capsules (Vegan)</t>
  </si>
  <si>
    <t>Ultra Garlite 1,000 mg Sus Rel. Tablets Reduced-Odor Garlic</t>
  </si>
  <si>
    <t>KalmAssure Magnesium Powder – Natural Orange Flavor</t>
  </si>
  <si>
    <t>KalmAssure Magnesium Powder – Pink Lemonade Flavor</t>
  </si>
  <si>
    <t xml:space="preserve">KalmAssure Magnesium Powder – Unflavored </t>
  </si>
  <si>
    <t xml:space="preserve">KalmAssure Magnesium Chewables – Natural Orange Flavor </t>
  </si>
  <si>
    <t>Calcium/Magnesium 500/250 Tablet with Calcium Rich Whole Foods</t>
  </si>
  <si>
    <t>Calcium/Magnesium/Vit D3 with Vitamin K2 Tablets</t>
  </si>
  <si>
    <t xml:space="preserve">Cal/Mag/Vit D3 with Vitamin K2 Chewables – Chocolate Flavor </t>
  </si>
  <si>
    <t xml:space="preserve">Cal/Mag/Vit D3 with Vitamin K2 Chewables – Vanilla Flavor </t>
  </si>
  <si>
    <t>Cal/Mag Citrate 500/250 Capsules (Vegetarian)</t>
  </si>
  <si>
    <t>Magnesium Citrate 105 mg Gummies – Raspberry Flavor</t>
  </si>
  <si>
    <t>Iron with Vitamin C C Herbs Chewables – Cherry Flavor</t>
  </si>
  <si>
    <t>Krill Oil 500 mg Softgels</t>
  </si>
  <si>
    <t>Ultra EPO 1500 Softgels</t>
  </si>
  <si>
    <t>Lecithin 1,200 mg Softgels</t>
  </si>
  <si>
    <t>Egg Yolk Lecithin 600 mg Capsules</t>
  </si>
  <si>
    <t>Lecithin Granules</t>
  </si>
  <si>
    <t>Betaine Hydrochloride 600 mg Tablets</t>
  </si>
  <si>
    <t>Bioperine 10 Nutrient Enhancer Capsules (Vegan)</t>
  </si>
  <si>
    <t>Pancreatin 1,000 mg Tablets</t>
  </si>
  <si>
    <t>Adult’s Dental Care Probiotic Lozenges – Peppermint</t>
  </si>
  <si>
    <t>GI Natural Bi-Layered Tablets</t>
  </si>
  <si>
    <t>GI Natural Fast-Acting Powder</t>
  </si>
  <si>
    <t>GI Natural Probiotic Mega Capsules</t>
  </si>
  <si>
    <t>GI Natural Probiotic Men Capsules</t>
  </si>
  <si>
    <t>GI Natural Probiotic Women Capsules</t>
  </si>
  <si>
    <t>GI Natural Probiotic Kids Mixed Berry Chewables</t>
  </si>
  <si>
    <t>GI Natural Reflux Ease Chewable – Vanilla Flavor</t>
  </si>
  <si>
    <t>Chewable Bromelain (40 mg) Tablets</t>
  </si>
  <si>
    <t>Ultra Bromelain 1500 mg Tablets</t>
  </si>
  <si>
    <t>Bromelain 500 mg Tablets</t>
  </si>
  <si>
    <t>Say Yes To Beans Capsules (Vegetarian)</t>
  </si>
  <si>
    <t>Dyno-Mins Magnesium Tablets 250 mg</t>
  </si>
  <si>
    <t>Coral Calcium 1000 mg Capsules (Vegetarian)</t>
  </si>
  <si>
    <t>Hema-Plex Tablets (Ultimate Total Blood Support)</t>
  </si>
  <si>
    <t>Hema-Plex Mini-Tabs (Ultimate Total Blood Support)</t>
  </si>
  <si>
    <t>Hema-Plex Chewables – Delicious Mixed Berry</t>
  </si>
  <si>
    <t>Hema-Plex Liquid Iron</t>
  </si>
  <si>
    <t>Say Yes To Dairy – Lactase Enzyme Chewables</t>
  </si>
  <si>
    <t>Ultra-Zyme Tablets</t>
  </si>
  <si>
    <t>Acti-Zyme Capsules</t>
  </si>
  <si>
    <t>(Plant Enzymes, Probiotics C Bioperine) (Vegetarian)</t>
  </si>
  <si>
    <t>Nutri-Zyme Chewable Digestive Aid</t>
  </si>
  <si>
    <t>Vibra-Gest – Plant-Derived Enzymes Capsules (Vegetarian)</t>
  </si>
  <si>
    <t>Papaya Enzyme Chewables</t>
  </si>
  <si>
    <t>Acidophilus Capsules (Vegan)</t>
  </si>
  <si>
    <t>Apple Pectin 500 mg Tablets</t>
  </si>
  <si>
    <t>T MALE Fast-Acting Liquid– Testosterone Booster for Men</t>
  </si>
  <si>
    <t>Ultra T MALE Bi-Layered Tablets –Testosterone Booster for Men</t>
  </si>
  <si>
    <t>GH MALE Capsules – Human Growth Hormone Booster for Men</t>
  </si>
  <si>
    <t>GHT MALE Capsules – HGH C Testosterone Boost for Men</t>
  </si>
  <si>
    <t>Ultra GHT MALE Bi-Layered Ext. Rel. Tablets – Maximum Strength</t>
  </si>
  <si>
    <t>ProCreation Male Fertility Support Capsules</t>
  </si>
  <si>
    <t>ProCreation Female Fertility Support Capsules (Vegetarian)</t>
  </si>
  <si>
    <t>E FEM Capsules –Natural Hormonal Support C Boost of Youth for Women</t>
  </si>
  <si>
    <t>Ultra E FEM Extended Release Tablets –Maximum Strength</t>
  </si>
  <si>
    <t>Adult’s Ear, Nose C Throat Lozenges – w/K12 Probiotics Tropical Cherry Berry Flavor</t>
  </si>
  <si>
    <t>Ultra Luteinwith 20 mg Pure FloraGLO® Lutein Softgels</t>
  </si>
  <si>
    <t>Melatonin 1 mg Tablets – Fast Acting</t>
  </si>
  <si>
    <t>Melatonin 3 mg Tablets – Fast Acting</t>
  </si>
  <si>
    <t>Melatonin 5 mg Tablets – Fast Acting</t>
  </si>
  <si>
    <t>Melatonin 10 mg Tablets – Fast Acting</t>
  </si>
  <si>
    <t>Melatonin 20 mg Tablets – Fast Acting</t>
  </si>
  <si>
    <t>Melatonin Sublingual Tabs 3 mg (with B-6)</t>
  </si>
  <si>
    <t>Collagen Peptides Powder</t>
  </si>
  <si>
    <t>Collagen Peptides Powder Stick Packs – SRP $1.85 each</t>
  </si>
  <si>
    <t>Hemp Enhanced Collagen Peptides Powder</t>
  </si>
  <si>
    <t>Marine Collagen Peptides Powder</t>
  </si>
  <si>
    <t>Vanilla Flavor Collagen Peptides Powder</t>
  </si>
  <si>
    <t>Chocolate Flavor Collagen Peptides Powder</t>
  </si>
  <si>
    <t>Berry Lemonade Flavor Collagen Peptides Powder</t>
  </si>
  <si>
    <t>Vanilla Flavor Collagen Creamer Powder</t>
  </si>
  <si>
    <t>Collagen Peptides Capsules</t>
  </si>
  <si>
    <t>Beyond CoQ10 Ubiquinol 200 mg Softgels</t>
  </si>
  <si>
    <t>Beyond CoQ10 Ubiquinol 100 mg Softgels</t>
  </si>
  <si>
    <t>Beyond CoQ10 Ubiquinol 50 mg Softgels</t>
  </si>
  <si>
    <t>Commando 2000 Tablets</t>
  </si>
  <si>
    <t>Powerful Antioxidant Protection</t>
  </si>
  <si>
    <t>DHEA-10 Capsules Dehydroepiandrosterone w/ Bioperine (Vegan)</t>
  </si>
  <si>
    <t>DHEA-25 Capsules Dehydroepiandrosterone w/ Bioperine (Vegan)</t>
  </si>
  <si>
    <t>Ultra Pregnenolone Capsules Pharmaceutical Grade w/ Bioperine (Vegan)</t>
  </si>
  <si>
    <t>Ultra InflamActin Capsules ( Vegetarian)</t>
  </si>
  <si>
    <t>Turmeric Curcumin Gummies w/Ginger C Black Pepper - Peach Flavor</t>
  </si>
  <si>
    <t>HeartBeat Tablets – Comprehensive Cardiovascular Support</t>
  </si>
  <si>
    <t>Sleep-Assure Tablets – Advanced Melatonin Complex</t>
  </si>
  <si>
    <t>Melatonin Instaceutic Spray</t>
  </si>
  <si>
    <t>Men’s Ultra Hair Plus Sustained Release Tablets</t>
  </si>
  <si>
    <t>Women’s Ultra Hair Plus Sustained Release Tablets</t>
  </si>
  <si>
    <t>Ultra Hair Plus S/R Tablets – Maximized with MSM</t>
  </si>
  <si>
    <t>Ultra Hair Sustained Release Tablets</t>
  </si>
  <si>
    <t>Ultra Hair Sustained Release Mini-Tabs</t>
  </si>
  <si>
    <t>Ultra Hair Thick-Shake</t>
  </si>
  <si>
    <t>Ultra Virile-Actin Tablets (For Men Only)</t>
  </si>
  <si>
    <t>T MALE Vegetarian Capsules – Testosterone Booster for Men</t>
  </si>
  <si>
    <t>Glucosamine/Chondroitin Rx-Joint Tablets – Extended Delivery</t>
  </si>
  <si>
    <t>Triple Strength Ultra Rx-Joint Tablets – with Celadrin® C Black Cherry</t>
  </si>
  <si>
    <t>Hypertrol Rx-Blood Pressure Tablets – Maximum Strength Formula</t>
  </si>
  <si>
    <t>Lutein Rx-Eye Vegan Capsules – FloraGLO® Lutein w/Essential Cofactors</t>
  </si>
  <si>
    <t>Source of Life Liquid</t>
  </si>
  <si>
    <t>Source of Life Liquid – Travel Size</t>
  </si>
  <si>
    <t>Source of Life Adult’s Chewable</t>
  </si>
  <si>
    <t>Source of Life Immune Booster Bi-layered Tablets</t>
  </si>
  <si>
    <t>Source of Life Prenatal Liquid – Tropical Fruit</t>
  </si>
  <si>
    <t>Source of Life Prenatal Tablets</t>
  </si>
  <si>
    <t>Source of Life Women Liquid – Mixed Berry</t>
  </si>
  <si>
    <t>Phosphatidylserine/DMAE Complex Capsules (Vegan)</t>
  </si>
  <si>
    <t>Ultra Lipoic Bi-Layered Tablets – 500 mg ALA, 100 mg R-Lipoic</t>
  </si>
  <si>
    <t>Ultra Lipoic Bi-Layered Mini-Tabs – 500 mg ALA, 100 mg R-Lipoic</t>
  </si>
  <si>
    <t>Source of Life GOLD Liquid – Tropical Fruit Flavor</t>
  </si>
  <si>
    <t>Source of Life GOLD Liquid – Tropical Fruit Flavor Travel Size</t>
  </si>
  <si>
    <t>Source of Life GOLD Liquid Single Shot (30 mL) – containing 12 Units of #99663 – SRP $2.65 Each</t>
  </si>
  <si>
    <t>Source of Life GOLD Drink Mix</t>
  </si>
  <si>
    <t>Source of Life GOLD Tablets</t>
  </si>
  <si>
    <t>Source of Life GOLD Mini-Tabs</t>
  </si>
  <si>
    <t>Source of Life GOLD Capsules (Vegetarian)</t>
  </si>
  <si>
    <t>Source of Life GOLD Chewables – Tropical Fruit Flavor</t>
  </si>
  <si>
    <t>Source of Life GOLD Energy Shake</t>
  </si>
  <si>
    <t>Source of Life Green Lightning Capsules (Vegetarian)</t>
  </si>
  <si>
    <t>Ultra Source of Life with Lutein Tablets –</t>
  </si>
  <si>
    <t>Whole Life Energy Enhancer</t>
  </si>
  <si>
    <t>Ultra Source of Life Mini-Tabs</t>
  </si>
  <si>
    <t>Ultra Source of Life – No Iron Tablets</t>
  </si>
  <si>
    <t>Ultra Source of Life Liquid – Mango Pineapple</t>
  </si>
  <si>
    <t>Garden B-Complex Capsules (Vegan) – Certified Organic</t>
  </si>
  <si>
    <t xml:space="preserve">Garden B12 Capsules (Vegan) – Certified Organic </t>
  </si>
  <si>
    <t>Source of Life RED Liquid – Mixed Berry Flavor</t>
  </si>
  <si>
    <t>Source of Life GREEN and RED Bi-Layered Tablets</t>
  </si>
  <si>
    <t>Source of Life Tablets</t>
  </si>
  <si>
    <t>Source of Life – No Iron Tablets</t>
  </si>
  <si>
    <t>Source of Life Mini-Tabs</t>
  </si>
  <si>
    <t>Source of Life – No Iron Mini-Tabs</t>
  </si>
  <si>
    <t>Source of Life Capsules (Vegetarian)</t>
  </si>
  <si>
    <t>Source of Life Energy Shake</t>
  </si>
  <si>
    <t>Children’s Chocolate SPIRU-TEIN Junior</t>
  </si>
  <si>
    <t>Chocolate SPIRU-TEIN Shake</t>
  </si>
  <si>
    <t>Vanilla SPIRU-TEIN Packets</t>
  </si>
  <si>
    <t>Chocolate SPIRU-TEIN Packets</t>
  </si>
  <si>
    <t>Strawberry SPIRU-TEIN Packets</t>
  </si>
  <si>
    <t>Banana SPIRU-TEIN Packets</t>
  </si>
  <si>
    <t>Strawberry SPIRU-TEIN Shake</t>
  </si>
  <si>
    <t>Banana SPIRU-TEIN Shake</t>
  </si>
  <si>
    <t>Vanilla SPIRU-TEIN Shake (Original)</t>
  </si>
  <si>
    <t>Cappuccino SPIRU-TEIN Shake</t>
  </si>
  <si>
    <t>SPIRU-TEIN Plus – for Mature Adults</t>
  </si>
  <si>
    <t>Cookies C Cream SPIRU-TEIN Shake</t>
  </si>
  <si>
    <t>Peaches C Cream SPIRU-TEIN Shake</t>
  </si>
  <si>
    <t>Cherries Jubilee SPIRU-TEIN Shake</t>
  </si>
  <si>
    <t>Strawberry Banana SPIRU-TEIN Shake</t>
  </si>
  <si>
    <t>FRUITEIN Revitalizing Green Foods Shake</t>
  </si>
  <si>
    <t>FRUITEIN Exotic Red Fruit Shake – Unleash the Power of Red</t>
  </si>
  <si>
    <t>Organic Pea Protein Powder</t>
  </si>
  <si>
    <t>Organic Pumpkin Seed Protein Powder</t>
  </si>
  <si>
    <t>Organic Almond Protein Powder</t>
  </si>
  <si>
    <t>Organic Paleo Protein Powder</t>
  </si>
  <si>
    <t>ENERGY Shake– The Universal Protein Create Your Own Energy Shake</t>
  </si>
  <si>
    <t>ENERGY Shake – The Universal Protein</t>
  </si>
  <si>
    <t>Ultra Fat Busters Tablets—Fat Blocker/Carb Blocker</t>
  </si>
  <si>
    <t>Sugar Armor Capsules—Patent Pending Dual Action Formula (Vegetarian)</t>
  </si>
  <si>
    <t>E Cream</t>
  </si>
  <si>
    <t>Tea Tree Oil Bar (Purifying)</t>
  </si>
  <si>
    <t>Cucumber Bar (Moisturizing)</t>
  </si>
  <si>
    <t>Oatmeal Bar (Exfoliating)</t>
  </si>
  <si>
    <t>Liquid E – 14,000 IU</t>
  </si>
  <si>
    <t>Ultra Nails Nail Strengthener</t>
  </si>
  <si>
    <t>KetoLiving Daily Multi Capsules (Vegetarian)</t>
  </si>
  <si>
    <t>KetoLiving Sugar Control Capsules (Vegan)</t>
  </si>
  <si>
    <t>KetoLiving BHB Berry Lemonade Mix 6000 mg</t>
  </si>
  <si>
    <t>KetoLiving Natural Collagen Powder</t>
  </si>
  <si>
    <t>Vitamin Travelettes</t>
  </si>
  <si>
    <t>NaturesPlus Shaker Cup – BPA free and 100% Recyclable</t>
  </si>
  <si>
    <t>NaturesPlus Shopping Bags – w/Insert Board</t>
  </si>
  <si>
    <t>Immune BOOST Tablets</t>
  </si>
  <si>
    <t>Immune ZINC 5.5 mg Lozenges</t>
  </si>
  <si>
    <t>PRO Quercetin 500 mg Capsules (Vegan)</t>
  </si>
  <si>
    <t>PRO Quercetin 600 mg Tablets (Vegan)</t>
  </si>
  <si>
    <t>PRO Super K (Vitamin K Complex) 2040 mcg Caps (Vegan)</t>
  </si>
  <si>
    <t>PRO Cranberry Plus 36mg PACs Capsules (Vegan)</t>
  </si>
  <si>
    <t>PRO Berberine 750 mg Capsules (Vegan)</t>
  </si>
  <si>
    <t>PRO Berberine 1500 mg Tablets (Vegan)</t>
  </si>
  <si>
    <t>PRO DIM (diindolylmethane) 200 mg Capsules (Vegan)</t>
  </si>
  <si>
    <t>PRO LongVida Curcumin 500 mg Capsules (Vegan)</t>
  </si>
  <si>
    <t>PRO LongVida Curcumin 1000 mg Tablets (Vegetarian)</t>
  </si>
  <si>
    <t>PRO LongVida Curcumin 1000 mg Mini-Tabs (Vegan)</t>
  </si>
  <si>
    <t>PRO ThymoQuin® Black Seed Oil 500 mg Softgels</t>
  </si>
  <si>
    <t>PRO Calcium D-Glucarate 600 mg Capsules (Vegan)</t>
  </si>
  <si>
    <t>PRO NAC (N-Acetyl Cysteine) 1200 mg Capsules (Vegetarian)</t>
  </si>
  <si>
    <t>PRO NAC (N-Acetyl Cysteine) 1200 mg Tablets (Vegetarian)</t>
  </si>
  <si>
    <t>PRO L-Theanine 200 mg Capsules (Vegan)</t>
  </si>
  <si>
    <t>PRO Suntheanine L-Theanine 200 mg Cap (Vegan)</t>
  </si>
  <si>
    <t>PRO GABA 500 mg Capsules (Vegan)</t>
  </si>
  <si>
    <t>AgeLoss Men’s Multi Tablets</t>
  </si>
  <si>
    <t>AgeLoss Women’s Multi Tablets</t>
  </si>
  <si>
    <t>AgeLoss First Day Tablets – Healthy Immune Response</t>
  </si>
  <si>
    <t>AgeLoss Lung Support Capsules  (Vegetarian)</t>
  </si>
  <si>
    <t>AgeLoss Prostate Support Capsules  (Vegetarian)</t>
  </si>
  <si>
    <t>AgeLoss Kidney Support Tablets</t>
  </si>
  <si>
    <t>AgeLoss Liver Support Capsules  (Vegetarian)</t>
  </si>
  <si>
    <t>AgeLoss Eye Support Capsules  (Vegetarian)</t>
  </si>
  <si>
    <t>AgeLoss Brain Support Capsules (Vegetarian)</t>
  </si>
  <si>
    <t>AgeLoss Joint Support Tablets</t>
  </si>
  <si>
    <t>AgeLoss Hair Support Extended Release Tablets</t>
  </si>
  <si>
    <t>AgeLoss Sleep Support Tablets</t>
  </si>
  <si>
    <t>AgeLoss Rejuvabolic Bi-Layered Tablets</t>
  </si>
  <si>
    <t>AgeLoss Blood Pressure Support Tablets</t>
  </si>
  <si>
    <t>FurBaby Multivitamin Powder - For Dogs</t>
  </si>
  <si>
    <t>FurBaby Probiotic Powder - For Dogs</t>
  </si>
  <si>
    <t>FurBaby Digestive Support Powder - For Dogs</t>
  </si>
  <si>
    <t>BrainCeutix Boost Capsules (Vegetarian)</t>
  </si>
  <si>
    <t>BrainCeutix Multi Capsules (Vegetarian)</t>
  </si>
  <si>
    <t>BrainCeutix PQQ 20 mg Capsules (Vegan)</t>
  </si>
  <si>
    <t>Weight, kg</t>
  </si>
  <si>
    <t>Case</t>
  </si>
  <si>
    <t>Unіt Freight Cost</t>
  </si>
  <si>
    <t>unit, key</t>
  </si>
  <si>
    <t>Logistic Price</t>
  </si>
  <si>
    <t>Landed Cost</t>
  </si>
  <si>
    <t>Rating</t>
  </si>
  <si>
    <t>SPIRUTEIN WHEY VANILLA 1.05LB</t>
  </si>
  <si>
    <t>SPIRUTEIN WHEY CHOCOLATE 1 LB</t>
  </si>
  <si>
    <t>T-MALE CAPSULE 60</t>
  </si>
  <si>
    <t>PRO PHARMAGABA 200MG CAPS 60</t>
  </si>
  <si>
    <t>LIQUID GRAPE SEED 25 MG 1 OZ</t>
  </si>
  <si>
    <t>LIQUID OLIVE LEAF 125 MG 1 OZ</t>
  </si>
  <si>
    <t>AP GUMMIES ASSORTED 90</t>
  </si>
  <si>
    <t>KALMASSURE MAG BISGLYCINATE CAPS 180</t>
  </si>
  <si>
    <t>BEET CAPSULES 180</t>
  </si>
  <si>
    <t>SPIRUTEIN GOLD VANILLA 1.03 LB</t>
  </si>
  <si>
    <t>SPIRUTEIN EXOTIC RED FRUIT 1.1 LB</t>
  </si>
  <si>
    <t>PRO CURCUMIN 500MG CAPS 30</t>
  </si>
  <si>
    <t>^HEMPCEUTIX PURE HEMP OIL 1500MG 50ML</t>
  </si>
  <si>
    <t>CONSUMER BOX: HEMA-PLEX (10)</t>
  </si>
  <si>
    <t>CONSUMER BOT: SOL GOLD SINGLE SHOT 1 OZ</t>
  </si>
  <si>
    <t>SOURCE OF LIFE ENERGY SHAKE TUB 5 LB</t>
  </si>
  <si>
    <t>С</t>
  </si>
  <si>
    <t>В</t>
  </si>
  <si>
    <t>А</t>
  </si>
  <si>
    <t>Source of Life Men – Iron Free Tablets</t>
  </si>
  <si>
    <t xml:space="preserve">Source of Life Women Tablets </t>
  </si>
  <si>
    <t>Ultra Probiotics Capsules (Vegetarian)</t>
  </si>
  <si>
    <t>Ultra Omega 3/6/9</t>
  </si>
  <si>
    <t>Ultra Cranberry 1000 mg Sustained Release Tablet</t>
  </si>
  <si>
    <t>Animal Parade GOLD Multi – Assorted Flavors</t>
  </si>
  <si>
    <t>Animal Parade GOLD Multi – Cherry Flavor</t>
  </si>
  <si>
    <t>Power Teen – Multivitamin Tablets</t>
  </si>
  <si>
    <t>Ultra Rx-Joint Triple Action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</si>
</sst>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C09]* #,##0.00_-;\-[$$-C09]* #,##0.00_-;_-[$$-C09]* &quot;-&quot;??_-;_-@_-"/>
    <numFmt numFmtId="165" formatCode="_-[$$-409]* #,##0.00_ ;_-[$$-409]* \-#,##0.00\ ;_-[$$-409]* &quot;-&quot;??_ ;_-@_ "/>
    <numFmt numFmtId="166" formatCode="[$$-409]#,##0.00"/>
    <numFmt numFmtId="167" formatCode="000000000000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0"/>
      <name val="Arial"/>
      <family val="2"/>
      <charset val="204"/>
    </font>
    <font>
      <sz val="10"/>
      <color rgb="FFFF000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1" fillId="0" borderId="0" xfId="0" applyFont="1"/>
    <xf numFmtId="0" fontId="0" fillId="0" borderId="1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1" fontId="5" fillId="2" borderId="7" xfId="0" applyNumberFormat="1" applyFont="1" applyFill="1" applyBorder="1" applyAlignment="1" applyProtection="1">
      <alignment horizontal="center" vertical="center"/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" fontId="1" fillId="0" borderId="0" xfId="0" applyNumberFormat="1" applyFont="1" applyAlignment="1" applyProtection="1">
      <alignment horizontal="center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14" fontId="8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5" fontId="9" fillId="3" borderId="4" xfId="0" applyNumberFormat="1" applyFont="1" applyFill="1" applyBorder="1" applyAlignment="1" applyProtection="1">
      <alignment horizontal="center" vertical="center" wrapText="1" readingOrder="1"/>
      <protection hidden="1"/>
    </xf>
    <xf numFmtId="166" fontId="8" fillId="3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 applyProtection="1">
      <alignment horizontal="center" vertical="center" wrapText="1" readingOrder="1"/>
      <protection locked="0"/>
    </xf>
    <xf numFmtId="4" fontId="8" fillId="4" borderId="11" xfId="0" applyNumberFormat="1" applyFont="1" applyFill="1" applyBorder="1" applyAlignment="1">
      <alignment horizontal="center" vertical="center"/>
    </xf>
    <xf numFmtId="165" fontId="9" fillId="0" borderId="0" xfId="0" applyNumberFormat="1" applyFont="1" applyAlignment="1" applyProtection="1">
      <alignment vertical="center" wrapText="1" readingOrder="1"/>
      <protection hidden="1"/>
    </xf>
    <xf numFmtId="0" fontId="8" fillId="5" borderId="4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7" fontId="5" fillId="2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>
      <alignment vertical="center"/>
    </xf>
    <xf numFmtId="167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4" fontId="1" fillId="0" borderId="7" xfId="0" applyNumberFormat="1" applyFont="1" applyBorder="1" applyAlignment="1" applyProtection="1">
      <alignment vertical="center"/>
      <protection hidden="1"/>
    </xf>
    <xf numFmtId="164" fontId="1" fillId="0" borderId="0" xfId="0" applyNumberFormat="1" applyFont="1" applyAlignment="1" applyProtection="1">
      <alignment vertical="center"/>
      <protection hidden="1"/>
    </xf>
    <xf numFmtId="167" fontId="1" fillId="0" borderId="0" xfId="0" applyNumberFormat="1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4" fontId="6" fillId="0" borderId="0" xfId="0" quotePrefix="1" applyNumberFormat="1" applyFont="1" applyAlignment="1" applyProtection="1">
      <alignment horizontal="center" vertical="center"/>
      <protection hidden="1"/>
    </xf>
    <xf numFmtId="2" fontId="1" fillId="0" borderId="7" xfId="0" applyNumberFormat="1" applyFont="1" applyBorder="1" applyAlignment="1">
      <alignment horizontal="center" vertical="center"/>
    </xf>
    <xf numFmtId="14" fontId="8" fillId="3" borderId="10" xfId="0" applyNumberFormat="1" applyFont="1" applyFill="1" applyBorder="1" applyAlignment="1">
      <alignment horizontal="center" vertical="center" wrapText="1"/>
    </xf>
    <xf numFmtId="14" fontId="8" fillId="3" borderId="1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left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</cellXfs>
  <cellStyles count="1">
    <cellStyle name="Звичайний" xfId="0" builtinId="0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83"/>
  <sheetViews>
    <sheetView tabSelected="1" zoomScale="85" zoomScaleNormal="85" workbookViewId="0">
      <pane ySplit="2" topLeftCell="A3" activePane="bottomLeft" state="frozen"/>
      <selection pane="bottomLeft" activeCell="K4" sqref="K4"/>
    </sheetView>
  </sheetViews>
  <sheetFormatPr defaultRowHeight="13.2" x14ac:dyDescent="0.25"/>
  <cols>
    <col min="1" max="1" width="16.109375" style="35" bestFit="1" customWidth="1"/>
    <col min="2" max="2" width="9.21875" style="36" bestFit="1" customWidth="1"/>
    <col min="3" max="3" width="52.5546875" style="28" customWidth="1"/>
    <col min="4" max="4" width="14.88671875" style="28" customWidth="1"/>
    <col min="5" max="5" width="10.21875" style="28" customWidth="1"/>
    <col min="6" max="7" width="14.88671875" style="28" customWidth="1"/>
    <col min="8" max="8" width="12.77734375" style="28" customWidth="1"/>
    <col min="9" max="9" width="12.77734375" style="10" customWidth="1"/>
    <col min="10" max="10" width="12.77734375" style="28" customWidth="1"/>
    <col min="11" max="11" width="14.21875" style="28" customWidth="1"/>
    <col min="12" max="12" width="8.88671875" style="28"/>
    <col min="13" max="13" width="10.6640625" style="29" customWidth="1"/>
    <col min="14" max="14" width="12.21875" style="29" bestFit="1" customWidth="1"/>
    <col min="15" max="18" width="10.6640625" style="29" customWidth="1"/>
    <col min="19" max="16384" width="8.88671875" style="28"/>
  </cols>
  <sheetData>
    <row r="1" spans="1:18" ht="78.599999999999994" customHeight="1" thickBot="1" x14ac:dyDescent="0.3">
      <c r="A1" s="41" t="s">
        <v>7</v>
      </c>
      <c r="B1" s="41"/>
      <c r="C1" s="41"/>
      <c r="D1" s="41"/>
      <c r="E1" s="41"/>
      <c r="F1" s="41"/>
      <c r="G1" s="41"/>
      <c r="H1" s="42" t="e" vm="1">
        <v>#VALUE!</v>
      </c>
      <c r="I1" s="42"/>
      <c r="J1" s="42"/>
      <c r="K1" s="37">
        <v>46098</v>
      </c>
      <c r="M1" s="12" t="s">
        <v>514</v>
      </c>
      <c r="N1" s="39" t="s">
        <v>515</v>
      </c>
      <c r="O1" s="13" t="s">
        <v>512</v>
      </c>
      <c r="P1" s="14" t="s">
        <v>516</v>
      </c>
      <c r="R1" s="15" t="str">
        <f>IFERROR(IF(SUM(R3:R534)=0, "-", K2+P2), "-")</f>
        <v>-</v>
      </c>
    </row>
    <row r="2" spans="1:18" s="9" customFormat="1" ht="27" customHeight="1" thickBot="1" x14ac:dyDescent="0.3">
      <c r="A2" s="23" t="s">
        <v>13</v>
      </c>
      <c r="B2" s="6" t="s">
        <v>5</v>
      </c>
      <c r="C2" s="6" t="s">
        <v>6</v>
      </c>
      <c r="D2" s="6" t="s">
        <v>88</v>
      </c>
      <c r="E2" s="6" t="s">
        <v>513</v>
      </c>
      <c r="F2" s="6" t="s">
        <v>512</v>
      </c>
      <c r="G2" s="6" t="s">
        <v>518</v>
      </c>
      <c r="H2" s="6" t="s">
        <v>2</v>
      </c>
      <c r="I2" s="7" t="s">
        <v>3</v>
      </c>
      <c r="J2" s="6" t="s">
        <v>4</v>
      </c>
      <c r="K2" s="8">
        <f>SUM(J3:J534)</f>
        <v>0</v>
      </c>
      <c r="M2" s="16"/>
      <c r="N2" s="40"/>
      <c r="O2" s="17" t="str">
        <f>IF(SUM(O3:O534)=0, "-", SUM(O3:O534))</f>
        <v>-</v>
      </c>
      <c r="P2" s="17" t="str">
        <f>IF(SUM(P3:P534)=0, "-", SUM(P3:P534))</f>
        <v>-</v>
      </c>
      <c r="Q2" s="18"/>
      <c r="R2" s="19" t="s">
        <v>517</v>
      </c>
    </row>
    <row r="3" spans="1:18" ht="14.4" x14ac:dyDescent="0.25">
      <c r="A3" s="30">
        <v>97467299429</v>
      </c>
      <c r="B3" s="26">
        <v>29942</v>
      </c>
      <c r="C3" s="26" t="s">
        <v>78</v>
      </c>
      <c r="D3" s="31">
        <v>90</v>
      </c>
      <c r="E3" s="31">
        <v>3</v>
      </c>
      <c r="F3" s="38">
        <v>0.23040500000000003</v>
      </c>
      <c r="G3" s="32" t="s">
        <v>537</v>
      </c>
      <c r="H3" s="33">
        <v>9.8154000000000003</v>
      </c>
      <c r="I3" s="11"/>
      <c r="J3" s="33">
        <f t="shared" ref="J3:J66" si="0">H3*I3</f>
        <v>0</v>
      </c>
      <c r="L3" s="34"/>
      <c r="M3" s="20" t="str">
        <f t="shared" ref="M3:M34" si="1">IFERROR(IF($M$2*F3=0, "-", $M$2*F3), "-")</f>
        <v>-</v>
      </c>
      <c r="N3" s="20" t="str">
        <f t="shared" ref="N3:N49" si="2">IF(I3&gt;0,H3+M3,"-")</f>
        <v>-</v>
      </c>
      <c r="O3" s="21" t="str">
        <f t="shared" ref="O3:O34" si="3">IF(I3&gt;0,I3*F3, "-")</f>
        <v>-</v>
      </c>
      <c r="P3" s="22" t="str">
        <f t="shared" ref="P3:P34" si="4">IFERROR(IF($M$2&gt;0, $M$2*O3, "-"), "-")</f>
        <v>-</v>
      </c>
      <c r="R3" s="22" t="str">
        <f t="shared" ref="R3:R49" si="5">IFERROR(IF(P3+J3=0, "-", IF(P3&gt;0, P3+J3, "-")), "-")</f>
        <v>-</v>
      </c>
    </row>
    <row r="4" spans="1:18" ht="14.4" x14ac:dyDescent="0.25">
      <c r="A4" s="30">
        <v>97467299801</v>
      </c>
      <c r="B4" s="26">
        <v>29980</v>
      </c>
      <c r="C4" s="26" t="s">
        <v>268</v>
      </c>
      <c r="D4" s="31">
        <v>90</v>
      </c>
      <c r="E4" s="31">
        <v>3</v>
      </c>
      <c r="F4" s="38">
        <v>0.23607999999999998</v>
      </c>
      <c r="G4" s="32" t="s">
        <v>537</v>
      </c>
      <c r="H4" s="33">
        <v>11.660399999999999</v>
      </c>
      <c r="I4" s="11"/>
      <c r="J4" s="33">
        <f t="shared" si="0"/>
        <v>0</v>
      </c>
      <c r="M4" s="20" t="str">
        <f t="shared" si="1"/>
        <v>-</v>
      </c>
      <c r="N4" s="20" t="str">
        <f t="shared" si="2"/>
        <v>-</v>
      </c>
      <c r="O4" s="21" t="str">
        <f t="shared" si="3"/>
        <v>-</v>
      </c>
      <c r="P4" s="22" t="str">
        <f t="shared" si="4"/>
        <v>-</v>
      </c>
      <c r="R4" s="22" t="str">
        <f t="shared" si="5"/>
        <v>-</v>
      </c>
    </row>
    <row r="5" spans="1:18" ht="14.4" x14ac:dyDescent="0.25">
      <c r="A5" s="30">
        <v>97467299962</v>
      </c>
      <c r="B5" s="26">
        <v>29996</v>
      </c>
      <c r="C5" s="26" t="s">
        <v>158</v>
      </c>
      <c r="D5" s="31">
        <v>135</v>
      </c>
      <c r="E5" s="31">
        <v>3</v>
      </c>
      <c r="F5" s="38">
        <v>0.25083500000000003</v>
      </c>
      <c r="G5" s="32" t="s">
        <v>537</v>
      </c>
      <c r="H5" s="33">
        <v>9.8154000000000003</v>
      </c>
      <c r="I5" s="11"/>
      <c r="J5" s="33">
        <f t="shared" si="0"/>
        <v>0</v>
      </c>
      <c r="M5" s="20" t="str">
        <f t="shared" si="1"/>
        <v>-</v>
      </c>
      <c r="N5" s="20" t="str">
        <f t="shared" si="2"/>
        <v>-</v>
      </c>
      <c r="O5" s="21" t="str">
        <f t="shared" si="3"/>
        <v>-</v>
      </c>
      <c r="P5" s="22" t="str">
        <f t="shared" si="4"/>
        <v>-</v>
      </c>
      <c r="R5" s="22" t="str">
        <f t="shared" si="5"/>
        <v>-</v>
      </c>
    </row>
    <row r="6" spans="1:18" ht="14.4" x14ac:dyDescent="0.25">
      <c r="A6" s="30">
        <v>97467299986</v>
      </c>
      <c r="B6" s="26">
        <v>29998</v>
      </c>
      <c r="C6" s="26" t="s">
        <v>159</v>
      </c>
      <c r="D6" s="31">
        <v>90</v>
      </c>
      <c r="E6" s="31">
        <v>3</v>
      </c>
      <c r="F6" s="38">
        <v>0.241755</v>
      </c>
      <c r="G6" s="32" t="s">
        <v>537</v>
      </c>
      <c r="H6" s="33">
        <v>8.8929000000000009</v>
      </c>
      <c r="I6" s="11"/>
      <c r="J6" s="33">
        <f t="shared" si="0"/>
        <v>0</v>
      </c>
      <c r="M6" s="20" t="str">
        <f t="shared" si="1"/>
        <v>-</v>
      </c>
      <c r="N6" s="20" t="str">
        <f t="shared" si="2"/>
        <v>-</v>
      </c>
      <c r="O6" s="21" t="str">
        <f t="shared" si="3"/>
        <v>-</v>
      </c>
      <c r="P6" s="22" t="str">
        <f t="shared" si="4"/>
        <v>-</v>
      </c>
      <c r="R6" s="22" t="str">
        <f t="shared" si="5"/>
        <v>-</v>
      </c>
    </row>
    <row r="7" spans="1:18" ht="14.4" x14ac:dyDescent="0.25">
      <c r="A7" s="30">
        <v>97467299276</v>
      </c>
      <c r="B7" s="26">
        <v>29927</v>
      </c>
      <c r="C7" s="26" t="s">
        <v>543</v>
      </c>
      <c r="D7" s="31">
        <v>60</v>
      </c>
      <c r="E7" s="31">
        <v>3</v>
      </c>
      <c r="F7" s="38">
        <v>0.19181500000000001</v>
      </c>
      <c r="G7" s="32" t="s">
        <v>537</v>
      </c>
      <c r="H7" s="33">
        <v>11.660399999999999</v>
      </c>
      <c r="I7" s="11"/>
      <c r="J7" s="33">
        <f t="shared" si="0"/>
        <v>0</v>
      </c>
      <c r="M7" s="20" t="str">
        <f t="shared" si="1"/>
        <v>-</v>
      </c>
      <c r="N7" s="20" t="str">
        <f t="shared" si="2"/>
        <v>-</v>
      </c>
      <c r="O7" s="21" t="str">
        <f t="shared" si="3"/>
        <v>-</v>
      </c>
      <c r="P7" s="22" t="str">
        <f t="shared" si="4"/>
        <v>-</v>
      </c>
      <c r="R7" s="22" t="str">
        <f t="shared" si="5"/>
        <v>-</v>
      </c>
    </row>
    <row r="8" spans="1:18" ht="14.4" x14ac:dyDescent="0.25">
      <c r="A8" s="30">
        <v>97467376915</v>
      </c>
      <c r="B8" s="26">
        <v>37691</v>
      </c>
      <c r="C8" s="26" t="s">
        <v>288</v>
      </c>
      <c r="D8" s="31">
        <v>60</v>
      </c>
      <c r="E8" s="31">
        <v>3</v>
      </c>
      <c r="F8" s="38">
        <v>0.11577</v>
      </c>
      <c r="G8" s="32" t="s">
        <v>537</v>
      </c>
      <c r="H8" s="33">
        <v>9.8154000000000003</v>
      </c>
      <c r="I8" s="11"/>
      <c r="J8" s="33">
        <f t="shared" si="0"/>
        <v>0</v>
      </c>
      <c r="M8" s="20" t="str">
        <f t="shared" si="1"/>
        <v>-</v>
      </c>
      <c r="N8" s="20" t="str">
        <f t="shared" si="2"/>
        <v>-</v>
      </c>
      <c r="O8" s="21" t="str">
        <f t="shared" si="3"/>
        <v>-</v>
      </c>
      <c r="P8" s="22" t="str">
        <f t="shared" si="4"/>
        <v>-</v>
      </c>
      <c r="R8" s="22" t="str">
        <f t="shared" si="5"/>
        <v>-</v>
      </c>
    </row>
    <row r="9" spans="1:18" ht="14.4" x14ac:dyDescent="0.25">
      <c r="A9" s="30">
        <v>97467037724</v>
      </c>
      <c r="B9" s="26">
        <v>3772</v>
      </c>
      <c r="C9" s="26" t="s">
        <v>291</v>
      </c>
      <c r="D9" s="31">
        <v>60</v>
      </c>
      <c r="E9" s="31">
        <v>3</v>
      </c>
      <c r="F9" s="38">
        <v>0.11123000000000001</v>
      </c>
      <c r="G9" s="32" t="s">
        <v>537</v>
      </c>
      <c r="H9" s="33">
        <v>11.045400000000001</v>
      </c>
      <c r="I9" s="11"/>
      <c r="J9" s="33">
        <f t="shared" si="0"/>
        <v>0</v>
      </c>
      <c r="M9" s="20" t="str">
        <f t="shared" si="1"/>
        <v>-</v>
      </c>
      <c r="N9" s="20" t="str">
        <f t="shared" si="2"/>
        <v>-</v>
      </c>
      <c r="O9" s="21" t="str">
        <f t="shared" si="3"/>
        <v>-</v>
      </c>
      <c r="P9" s="22" t="str">
        <f t="shared" si="4"/>
        <v>-</v>
      </c>
      <c r="R9" s="22" t="str">
        <f t="shared" si="5"/>
        <v>-</v>
      </c>
    </row>
    <row r="10" spans="1:18" ht="14.4" x14ac:dyDescent="0.25">
      <c r="A10" s="30">
        <v>97467037601</v>
      </c>
      <c r="B10" s="26">
        <v>3760</v>
      </c>
      <c r="C10" s="26" t="s">
        <v>336</v>
      </c>
      <c r="D10" s="31">
        <v>30</v>
      </c>
      <c r="E10" s="31">
        <v>3</v>
      </c>
      <c r="F10" s="38">
        <v>9.0800000000000006E-2</v>
      </c>
      <c r="G10" s="32" t="s">
        <v>537</v>
      </c>
      <c r="H10" s="33">
        <v>9.5078999999999994</v>
      </c>
      <c r="I10" s="11"/>
      <c r="J10" s="33">
        <f t="shared" si="0"/>
        <v>0</v>
      </c>
      <c r="M10" s="20" t="str">
        <f t="shared" si="1"/>
        <v>-</v>
      </c>
      <c r="N10" s="20" t="str">
        <f t="shared" si="2"/>
        <v>-</v>
      </c>
      <c r="O10" s="21" t="str">
        <f t="shared" si="3"/>
        <v>-</v>
      </c>
      <c r="P10" s="22" t="str">
        <f t="shared" si="4"/>
        <v>-</v>
      </c>
      <c r="R10" s="22" t="str">
        <f t="shared" si="5"/>
        <v>-</v>
      </c>
    </row>
    <row r="11" spans="1:18" ht="14.4" x14ac:dyDescent="0.25">
      <c r="A11" s="30">
        <v>97467037625</v>
      </c>
      <c r="B11" s="26">
        <v>3762</v>
      </c>
      <c r="C11" s="26" t="s">
        <v>336</v>
      </c>
      <c r="D11" s="31">
        <v>60</v>
      </c>
      <c r="E11" s="31">
        <v>3</v>
      </c>
      <c r="F11" s="38">
        <v>0.14982000000000001</v>
      </c>
      <c r="G11" s="32" t="s">
        <v>537</v>
      </c>
      <c r="H11" s="33">
        <v>16.2729</v>
      </c>
      <c r="I11" s="11"/>
      <c r="J11" s="33">
        <f t="shared" si="0"/>
        <v>0</v>
      </c>
      <c r="M11" s="20" t="str">
        <f t="shared" si="1"/>
        <v>-</v>
      </c>
      <c r="N11" s="20" t="str">
        <f t="shared" si="2"/>
        <v>-</v>
      </c>
      <c r="O11" s="21" t="str">
        <f t="shared" si="3"/>
        <v>-</v>
      </c>
      <c r="P11" s="22" t="str">
        <f t="shared" si="4"/>
        <v>-</v>
      </c>
      <c r="R11" s="22" t="str">
        <f t="shared" si="5"/>
        <v>-</v>
      </c>
    </row>
    <row r="12" spans="1:18" ht="14.4" x14ac:dyDescent="0.25">
      <c r="A12" s="30">
        <v>97467037649</v>
      </c>
      <c r="B12" s="26">
        <v>3764</v>
      </c>
      <c r="C12" s="26" t="s">
        <v>337</v>
      </c>
      <c r="D12" s="31">
        <v>60</v>
      </c>
      <c r="E12" s="31">
        <v>3</v>
      </c>
      <c r="F12" s="38">
        <v>0.105555</v>
      </c>
      <c r="G12" s="32" t="s">
        <v>537</v>
      </c>
      <c r="H12" s="33">
        <v>9.8154000000000003</v>
      </c>
      <c r="I12" s="11"/>
      <c r="J12" s="33">
        <f t="shared" si="0"/>
        <v>0</v>
      </c>
      <c r="M12" s="20" t="str">
        <f t="shared" si="1"/>
        <v>-</v>
      </c>
      <c r="N12" s="20" t="str">
        <f t="shared" si="2"/>
        <v>-</v>
      </c>
      <c r="O12" s="21" t="str">
        <f t="shared" si="3"/>
        <v>-</v>
      </c>
      <c r="P12" s="22" t="str">
        <f t="shared" si="4"/>
        <v>-</v>
      </c>
      <c r="R12" s="22" t="str">
        <f t="shared" si="5"/>
        <v>-</v>
      </c>
    </row>
    <row r="13" spans="1:18" ht="14.4" x14ac:dyDescent="0.25">
      <c r="A13" s="30">
        <v>97467037687</v>
      </c>
      <c r="B13" s="26">
        <v>3768</v>
      </c>
      <c r="C13" s="26" t="s">
        <v>338</v>
      </c>
      <c r="D13" s="31">
        <v>60</v>
      </c>
      <c r="E13" s="31">
        <v>3</v>
      </c>
      <c r="F13" s="38">
        <v>0.15776500000000002</v>
      </c>
      <c r="G13" s="32" t="s">
        <v>537</v>
      </c>
      <c r="H13" s="33">
        <v>8.2779000000000007</v>
      </c>
      <c r="I13" s="11"/>
      <c r="J13" s="33">
        <f t="shared" si="0"/>
        <v>0</v>
      </c>
      <c r="M13" s="20" t="str">
        <f t="shared" si="1"/>
        <v>-</v>
      </c>
      <c r="N13" s="20" t="str">
        <f t="shared" si="2"/>
        <v>-</v>
      </c>
      <c r="O13" s="21" t="str">
        <f t="shared" si="3"/>
        <v>-</v>
      </c>
      <c r="P13" s="22" t="str">
        <f t="shared" si="4"/>
        <v>-</v>
      </c>
      <c r="R13" s="22" t="str">
        <f t="shared" si="5"/>
        <v>-</v>
      </c>
    </row>
    <row r="14" spans="1:18" ht="14.4" x14ac:dyDescent="0.25">
      <c r="A14" s="30">
        <v>97467014800</v>
      </c>
      <c r="B14" s="31">
        <v>1480</v>
      </c>
      <c r="C14" s="26" t="s">
        <v>46</v>
      </c>
      <c r="D14" s="31">
        <v>90</v>
      </c>
      <c r="E14" s="31">
        <v>3</v>
      </c>
      <c r="F14" s="38">
        <v>9.0800000000000006E-2</v>
      </c>
      <c r="G14" s="32" t="s">
        <v>536</v>
      </c>
      <c r="H14" s="33">
        <v>7.9703999999999997</v>
      </c>
      <c r="I14" s="11"/>
      <c r="J14" s="33">
        <f t="shared" si="0"/>
        <v>0</v>
      </c>
      <c r="M14" s="20" t="str">
        <f t="shared" si="1"/>
        <v>-</v>
      </c>
      <c r="N14" s="20" t="str">
        <f t="shared" si="2"/>
        <v>-</v>
      </c>
      <c r="O14" s="21" t="str">
        <f t="shared" si="3"/>
        <v>-</v>
      </c>
      <c r="P14" s="22" t="str">
        <f t="shared" si="4"/>
        <v>-</v>
      </c>
      <c r="R14" s="22" t="str">
        <f t="shared" si="5"/>
        <v>-</v>
      </c>
    </row>
    <row r="15" spans="1:18" ht="14.4" x14ac:dyDescent="0.25">
      <c r="A15" s="30">
        <v>97467017931</v>
      </c>
      <c r="B15" s="31">
        <v>1793</v>
      </c>
      <c r="C15" s="26" t="s">
        <v>60</v>
      </c>
      <c r="D15" s="31">
        <v>90</v>
      </c>
      <c r="E15" s="31">
        <v>3</v>
      </c>
      <c r="F15" s="38">
        <v>6.1289999999999997E-2</v>
      </c>
      <c r="G15" s="32" t="s">
        <v>536</v>
      </c>
      <c r="H15" s="33">
        <v>7.9703999999999997</v>
      </c>
      <c r="I15" s="11"/>
      <c r="J15" s="33">
        <f t="shared" si="0"/>
        <v>0</v>
      </c>
      <c r="M15" s="20" t="str">
        <f t="shared" si="1"/>
        <v>-</v>
      </c>
      <c r="N15" s="20" t="str">
        <f t="shared" si="2"/>
        <v>-</v>
      </c>
      <c r="O15" s="21" t="str">
        <f t="shared" si="3"/>
        <v>-</v>
      </c>
      <c r="P15" s="22" t="str">
        <f t="shared" si="4"/>
        <v>-</v>
      </c>
      <c r="R15" s="22" t="str">
        <f t="shared" si="5"/>
        <v>-</v>
      </c>
    </row>
    <row r="16" spans="1:18" ht="14.4" x14ac:dyDescent="0.25">
      <c r="A16" s="30">
        <v>97467299382</v>
      </c>
      <c r="B16" s="26">
        <v>29938</v>
      </c>
      <c r="C16" s="26" t="s">
        <v>72</v>
      </c>
      <c r="D16" s="31">
        <v>120</v>
      </c>
      <c r="E16" s="31">
        <v>3</v>
      </c>
      <c r="F16" s="38">
        <v>0.32915</v>
      </c>
      <c r="G16" s="32" t="s">
        <v>536</v>
      </c>
      <c r="H16" s="33">
        <v>20.885399999999997</v>
      </c>
      <c r="I16" s="11"/>
      <c r="J16" s="33">
        <f t="shared" si="0"/>
        <v>0</v>
      </c>
      <c r="M16" s="20" t="str">
        <f t="shared" si="1"/>
        <v>-</v>
      </c>
      <c r="N16" s="20" t="str">
        <f t="shared" si="2"/>
        <v>-</v>
      </c>
      <c r="O16" s="21" t="str">
        <f t="shared" si="3"/>
        <v>-</v>
      </c>
      <c r="P16" s="22" t="str">
        <f t="shared" si="4"/>
        <v>-</v>
      </c>
      <c r="R16" s="22" t="str">
        <f t="shared" si="5"/>
        <v>-</v>
      </c>
    </row>
    <row r="17" spans="1:18" ht="14.4" x14ac:dyDescent="0.25">
      <c r="A17" s="30">
        <v>97467299436</v>
      </c>
      <c r="B17" s="26">
        <v>29943</v>
      </c>
      <c r="C17" s="26" t="s">
        <v>79</v>
      </c>
      <c r="D17" s="31" t="s">
        <v>91</v>
      </c>
      <c r="E17" s="31">
        <v>3</v>
      </c>
      <c r="F17" s="38">
        <v>0.20543500000000001</v>
      </c>
      <c r="G17" s="32" t="s">
        <v>536</v>
      </c>
      <c r="H17" s="33">
        <v>10.7379</v>
      </c>
      <c r="I17" s="11"/>
      <c r="J17" s="33">
        <f t="shared" si="0"/>
        <v>0</v>
      </c>
      <c r="M17" s="20" t="str">
        <f t="shared" si="1"/>
        <v>-</v>
      </c>
      <c r="N17" s="20" t="str">
        <f t="shared" si="2"/>
        <v>-</v>
      </c>
      <c r="O17" s="21" t="str">
        <f t="shared" si="3"/>
        <v>-</v>
      </c>
      <c r="P17" s="22" t="str">
        <f t="shared" si="4"/>
        <v>-</v>
      </c>
      <c r="R17" s="22" t="str">
        <f t="shared" si="5"/>
        <v>-</v>
      </c>
    </row>
    <row r="18" spans="1:18" ht="14.4" x14ac:dyDescent="0.25">
      <c r="A18" s="30">
        <v>97467299504</v>
      </c>
      <c r="B18" s="26">
        <v>29950</v>
      </c>
      <c r="C18" s="26" t="s">
        <v>82</v>
      </c>
      <c r="D18" s="31">
        <v>90</v>
      </c>
      <c r="E18" s="31">
        <v>3</v>
      </c>
      <c r="F18" s="38">
        <v>0.24402499999999999</v>
      </c>
      <c r="G18" s="32" t="s">
        <v>536</v>
      </c>
      <c r="H18" s="33">
        <v>7.3553999999999995</v>
      </c>
      <c r="I18" s="11"/>
      <c r="J18" s="33">
        <f t="shared" si="0"/>
        <v>0</v>
      </c>
      <c r="M18" s="20" t="str">
        <f t="shared" si="1"/>
        <v>-</v>
      </c>
      <c r="N18" s="20" t="str">
        <f t="shared" si="2"/>
        <v>-</v>
      </c>
      <c r="O18" s="21" t="str">
        <f t="shared" si="3"/>
        <v>-</v>
      </c>
      <c r="P18" s="22" t="str">
        <f t="shared" si="4"/>
        <v>-</v>
      </c>
      <c r="R18" s="22" t="str">
        <f t="shared" si="5"/>
        <v>-</v>
      </c>
    </row>
    <row r="19" spans="1:18" ht="14.4" x14ac:dyDescent="0.25">
      <c r="A19" s="30">
        <v>97467299542</v>
      </c>
      <c r="B19" s="26">
        <v>29954</v>
      </c>
      <c r="C19" s="26" t="s">
        <v>28</v>
      </c>
      <c r="D19" s="31" t="s">
        <v>93</v>
      </c>
      <c r="E19" s="31">
        <v>3</v>
      </c>
      <c r="F19" s="38">
        <v>0.34958</v>
      </c>
      <c r="G19" s="32" t="s">
        <v>536</v>
      </c>
      <c r="H19" s="33">
        <v>8.0810999999999993</v>
      </c>
      <c r="I19" s="11"/>
      <c r="J19" s="33">
        <f t="shared" si="0"/>
        <v>0</v>
      </c>
      <c r="M19" s="20" t="str">
        <f t="shared" si="1"/>
        <v>-</v>
      </c>
      <c r="N19" s="20" t="str">
        <f t="shared" si="2"/>
        <v>-</v>
      </c>
      <c r="O19" s="21" t="str">
        <f t="shared" si="3"/>
        <v>-</v>
      </c>
      <c r="P19" s="22" t="str">
        <f t="shared" si="4"/>
        <v>-</v>
      </c>
      <c r="R19" s="22" t="str">
        <f t="shared" si="5"/>
        <v>-</v>
      </c>
    </row>
    <row r="20" spans="1:18" ht="14.4" x14ac:dyDescent="0.25">
      <c r="A20" s="30">
        <v>97467299641</v>
      </c>
      <c r="B20" s="26">
        <v>29964</v>
      </c>
      <c r="C20" s="26" t="s">
        <v>83</v>
      </c>
      <c r="D20" s="31">
        <v>90</v>
      </c>
      <c r="E20" s="31">
        <v>3</v>
      </c>
      <c r="F20" s="38">
        <v>0.19635499999999997</v>
      </c>
      <c r="G20" s="32" t="s">
        <v>536</v>
      </c>
      <c r="H20" s="33">
        <v>13.505400000000002</v>
      </c>
      <c r="I20" s="11"/>
      <c r="J20" s="33">
        <f t="shared" si="0"/>
        <v>0</v>
      </c>
      <c r="M20" s="20" t="str">
        <f t="shared" si="1"/>
        <v>-</v>
      </c>
      <c r="N20" s="20" t="str">
        <f t="shared" si="2"/>
        <v>-</v>
      </c>
      <c r="O20" s="21" t="str">
        <f t="shared" si="3"/>
        <v>-</v>
      </c>
      <c r="P20" s="22" t="str">
        <f t="shared" si="4"/>
        <v>-</v>
      </c>
      <c r="R20" s="22" t="str">
        <f t="shared" si="5"/>
        <v>-</v>
      </c>
    </row>
    <row r="21" spans="1:18" ht="14.4" x14ac:dyDescent="0.25">
      <c r="A21" s="30">
        <v>97467299788</v>
      </c>
      <c r="B21" s="26">
        <v>29978</v>
      </c>
      <c r="C21" s="26" t="s">
        <v>86</v>
      </c>
      <c r="D21" s="31">
        <v>90</v>
      </c>
      <c r="E21" s="31">
        <v>3</v>
      </c>
      <c r="F21" s="38">
        <v>0.21224499999999999</v>
      </c>
      <c r="G21" s="32" t="s">
        <v>536</v>
      </c>
      <c r="H21" s="33">
        <v>10.1229</v>
      </c>
      <c r="I21" s="11"/>
      <c r="J21" s="33">
        <f t="shared" si="0"/>
        <v>0</v>
      </c>
      <c r="M21" s="20" t="str">
        <f t="shared" si="1"/>
        <v>-</v>
      </c>
      <c r="N21" s="20" t="str">
        <f t="shared" si="2"/>
        <v>-</v>
      </c>
      <c r="O21" s="21" t="str">
        <f t="shared" si="3"/>
        <v>-</v>
      </c>
      <c r="P21" s="22" t="str">
        <f t="shared" si="4"/>
        <v>-</v>
      </c>
      <c r="R21" s="22" t="str">
        <f t="shared" si="5"/>
        <v>-</v>
      </c>
    </row>
    <row r="22" spans="1:18" ht="14.4" x14ac:dyDescent="0.25">
      <c r="A22" s="30">
        <v>97467299702</v>
      </c>
      <c r="B22" s="26">
        <v>29970</v>
      </c>
      <c r="C22" s="26" t="s">
        <v>87</v>
      </c>
      <c r="D22" s="31">
        <v>90</v>
      </c>
      <c r="E22" s="31">
        <v>3</v>
      </c>
      <c r="F22" s="38">
        <v>0.24062</v>
      </c>
      <c r="G22" s="32" t="s">
        <v>536</v>
      </c>
      <c r="H22" s="33">
        <v>11.660399999999999</v>
      </c>
      <c r="I22" s="11"/>
      <c r="J22" s="33">
        <f t="shared" si="0"/>
        <v>0</v>
      </c>
      <c r="M22" s="20" t="str">
        <f t="shared" si="1"/>
        <v>-</v>
      </c>
      <c r="N22" s="20" t="str">
        <f t="shared" si="2"/>
        <v>-</v>
      </c>
      <c r="O22" s="21" t="str">
        <f t="shared" si="3"/>
        <v>-</v>
      </c>
      <c r="P22" s="22" t="str">
        <f t="shared" si="4"/>
        <v>-</v>
      </c>
      <c r="R22" s="22" t="str">
        <f t="shared" si="5"/>
        <v>-</v>
      </c>
    </row>
    <row r="23" spans="1:18" ht="14.4" x14ac:dyDescent="0.25">
      <c r="A23" s="30">
        <v>97467299825</v>
      </c>
      <c r="B23" s="26">
        <v>29982</v>
      </c>
      <c r="C23" s="26" t="s">
        <v>268</v>
      </c>
      <c r="D23" s="31">
        <v>180</v>
      </c>
      <c r="E23" s="31">
        <v>3</v>
      </c>
      <c r="F23" s="38">
        <v>0.47215999999999997</v>
      </c>
      <c r="G23" s="32" t="s">
        <v>536</v>
      </c>
      <c r="H23" s="33">
        <v>21.192899999999998</v>
      </c>
      <c r="I23" s="11"/>
      <c r="J23" s="33">
        <f t="shared" si="0"/>
        <v>0</v>
      </c>
      <c r="M23" s="20" t="str">
        <f t="shared" si="1"/>
        <v>-</v>
      </c>
      <c r="N23" s="20" t="str">
        <f t="shared" si="2"/>
        <v>-</v>
      </c>
      <c r="O23" s="21" t="str">
        <f t="shared" si="3"/>
        <v>-</v>
      </c>
      <c r="P23" s="22" t="str">
        <f t="shared" si="4"/>
        <v>-</v>
      </c>
      <c r="R23" s="22" t="str">
        <f t="shared" si="5"/>
        <v>-</v>
      </c>
    </row>
    <row r="24" spans="1:18" ht="14.4" x14ac:dyDescent="0.25">
      <c r="A24" s="30">
        <v>97467299948</v>
      </c>
      <c r="B24" s="26">
        <v>29994</v>
      </c>
      <c r="C24" s="26" t="s">
        <v>157</v>
      </c>
      <c r="D24" s="31">
        <v>90</v>
      </c>
      <c r="E24" s="31">
        <v>3</v>
      </c>
      <c r="F24" s="38">
        <v>0.16230499999999998</v>
      </c>
      <c r="G24" s="32" t="s">
        <v>536</v>
      </c>
      <c r="H24" s="33">
        <v>20.885399999999997</v>
      </c>
      <c r="I24" s="11"/>
      <c r="J24" s="33">
        <f t="shared" si="0"/>
        <v>0</v>
      </c>
      <c r="M24" s="20" t="str">
        <f t="shared" si="1"/>
        <v>-</v>
      </c>
      <c r="N24" s="20" t="str">
        <f t="shared" si="2"/>
        <v>-</v>
      </c>
      <c r="O24" s="21" t="str">
        <f t="shared" si="3"/>
        <v>-</v>
      </c>
      <c r="P24" s="22" t="str">
        <f t="shared" si="4"/>
        <v>-</v>
      </c>
      <c r="R24" s="22" t="str">
        <f t="shared" si="5"/>
        <v>-</v>
      </c>
    </row>
    <row r="25" spans="1:18" ht="14.4" x14ac:dyDescent="0.25">
      <c r="A25" s="30">
        <v>97467300026</v>
      </c>
      <c r="B25" s="26">
        <v>30002</v>
      </c>
      <c r="C25" s="26" t="s">
        <v>275</v>
      </c>
      <c r="D25" s="31">
        <v>60</v>
      </c>
      <c r="E25" s="31">
        <v>3</v>
      </c>
      <c r="F25" s="38">
        <v>0.21678500000000001</v>
      </c>
      <c r="G25" s="32" t="s">
        <v>536</v>
      </c>
      <c r="H25" s="33">
        <v>15.965399999999999</v>
      </c>
      <c r="I25" s="11"/>
      <c r="J25" s="33">
        <f t="shared" si="0"/>
        <v>0</v>
      </c>
      <c r="M25" s="20" t="str">
        <f t="shared" si="1"/>
        <v>-</v>
      </c>
      <c r="N25" s="20" t="str">
        <f t="shared" si="2"/>
        <v>-</v>
      </c>
      <c r="O25" s="21" t="str">
        <f t="shared" si="3"/>
        <v>-</v>
      </c>
      <c r="P25" s="22" t="str">
        <f t="shared" si="4"/>
        <v>-</v>
      </c>
      <c r="R25" s="22" t="str">
        <f t="shared" si="5"/>
        <v>-</v>
      </c>
    </row>
    <row r="26" spans="1:18" ht="14.4" x14ac:dyDescent="0.25">
      <c r="A26" s="30">
        <v>97467300040</v>
      </c>
      <c r="B26" s="26">
        <v>30004</v>
      </c>
      <c r="C26" s="26" t="s">
        <v>276</v>
      </c>
      <c r="D26" s="31">
        <v>60</v>
      </c>
      <c r="E26" s="31">
        <v>3</v>
      </c>
      <c r="F26" s="38">
        <v>0.21678500000000001</v>
      </c>
      <c r="G26" s="32" t="s">
        <v>536</v>
      </c>
      <c r="H26" s="33">
        <v>15.965399999999999</v>
      </c>
      <c r="I26" s="11"/>
      <c r="J26" s="33">
        <f t="shared" si="0"/>
        <v>0</v>
      </c>
      <c r="M26" s="20" t="str">
        <f t="shared" si="1"/>
        <v>-</v>
      </c>
      <c r="N26" s="20" t="str">
        <f t="shared" si="2"/>
        <v>-</v>
      </c>
      <c r="O26" s="21" t="str">
        <f t="shared" si="3"/>
        <v>-</v>
      </c>
      <c r="P26" s="22" t="str">
        <f t="shared" si="4"/>
        <v>-</v>
      </c>
      <c r="R26" s="22" t="str">
        <f t="shared" si="5"/>
        <v>-</v>
      </c>
    </row>
    <row r="27" spans="1:18" ht="14.4" x14ac:dyDescent="0.25">
      <c r="A27" s="30">
        <v>97467299283</v>
      </c>
      <c r="B27" s="26">
        <v>29928</v>
      </c>
      <c r="C27" s="26" t="s">
        <v>543</v>
      </c>
      <c r="D27" s="31">
        <v>120</v>
      </c>
      <c r="E27" s="31">
        <v>3</v>
      </c>
      <c r="F27" s="38">
        <v>0.32915</v>
      </c>
      <c r="G27" s="32" t="s">
        <v>536</v>
      </c>
      <c r="H27" s="33">
        <v>20.885399999999997</v>
      </c>
      <c r="I27" s="11"/>
      <c r="J27" s="33">
        <f t="shared" si="0"/>
        <v>0</v>
      </c>
      <c r="M27" s="20" t="str">
        <f t="shared" si="1"/>
        <v>-</v>
      </c>
      <c r="N27" s="20" t="str">
        <f t="shared" si="2"/>
        <v>-</v>
      </c>
      <c r="O27" s="21" t="str">
        <f t="shared" si="3"/>
        <v>-</v>
      </c>
      <c r="P27" s="22" t="str">
        <f t="shared" si="4"/>
        <v>-</v>
      </c>
      <c r="R27" s="22" t="str">
        <f t="shared" si="5"/>
        <v>-</v>
      </c>
    </row>
    <row r="28" spans="1:18" ht="14.4" x14ac:dyDescent="0.25">
      <c r="A28" s="30">
        <v>97467299313</v>
      </c>
      <c r="B28" s="26">
        <v>29931</v>
      </c>
      <c r="C28" s="26" t="s">
        <v>544</v>
      </c>
      <c r="D28" s="31">
        <v>60</v>
      </c>
      <c r="E28" s="31">
        <v>3</v>
      </c>
      <c r="F28" s="38">
        <v>0.19181500000000001</v>
      </c>
      <c r="G28" s="32" t="s">
        <v>536</v>
      </c>
      <c r="H28" s="33">
        <v>11.660399999999999</v>
      </c>
      <c r="I28" s="11"/>
      <c r="J28" s="33">
        <f t="shared" si="0"/>
        <v>0</v>
      </c>
      <c r="M28" s="20" t="str">
        <f t="shared" si="1"/>
        <v>-</v>
      </c>
      <c r="N28" s="20" t="str">
        <f t="shared" si="2"/>
        <v>-</v>
      </c>
      <c r="O28" s="21" t="str">
        <f t="shared" si="3"/>
        <v>-</v>
      </c>
      <c r="P28" s="22" t="str">
        <f t="shared" si="4"/>
        <v>-</v>
      </c>
      <c r="R28" s="22" t="str">
        <f t="shared" si="5"/>
        <v>-</v>
      </c>
    </row>
    <row r="29" spans="1:18" ht="14.4" x14ac:dyDescent="0.25">
      <c r="A29" s="30">
        <v>97467299320</v>
      </c>
      <c r="B29" s="26">
        <v>29932</v>
      </c>
      <c r="C29" s="26" t="s">
        <v>544</v>
      </c>
      <c r="D29" s="31">
        <v>120</v>
      </c>
      <c r="E29" s="31">
        <v>3</v>
      </c>
      <c r="F29" s="38">
        <v>0.32915</v>
      </c>
      <c r="G29" s="32" t="s">
        <v>536</v>
      </c>
      <c r="H29" s="33">
        <v>20.885399999999997</v>
      </c>
      <c r="I29" s="11"/>
      <c r="J29" s="33">
        <f t="shared" si="0"/>
        <v>0</v>
      </c>
      <c r="M29" s="20" t="str">
        <f t="shared" si="1"/>
        <v>-</v>
      </c>
      <c r="N29" s="20" t="str">
        <f t="shared" si="2"/>
        <v>-</v>
      </c>
      <c r="O29" s="21" t="str">
        <f t="shared" si="3"/>
        <v>-</v>
      </c>
      <c r="P29" s="22" t="str">
        <f t="shared" si="4"/>
        <v>-</v>
      </c>
      <c r="R29" s="22" t="str">
        <f t="shared" si="5"/>
        <v>-</v>
      </c>
    </row>
    <row r="30" spans="1:18" ht="14.4" x14ac:dyDescent="0.25">
      <c r="A30" s="30">
        <v>97467299344</v>
      </c>
      <c r="B30" s="26">
        <v>29934</v>
      </c>
      <c r="C30" s="26" t="s">
        <v>283</v>
      </c>
      <c r="D30" s="31">
        <v>120</v>
      </c>
      <c r="E30" s="31">
        <v>3</v>
      </c>
      <c r="F30" s="38">
        <v>0.32915</v>
      </c>
      <c r="G30" s="32" t="s">
        <v>536</v>
      </c>
      <c r="H30" s="33">
        <v>20.885399999999997</v>
      </c>
      <c r="I30" s="11"/>
      <c r="J30" s="33">
        <f t="shared" si="0"/>
        <v>0</v>
      </c>
      <c r="M30" s="20" t="str">
        <f t="shared" si="1"/>
        <v>-</v>
      </c>
      <c r="N30" s="20" t="str">
        <f t="shared" si="2"/>
        <v>-</v>
      </c>
      <c r="O30" s="21" t="str">
        <f t="shared" si="3"/>
        <v>-</v>
      </c>
      <c r="P30" s="22" t="str">
        <f t="shared" si="4"/>
        <v>-</v>
      </c>
      <c r="R30" s="22" t="str">
        <f t="shared" si="5"/>
        <v>-</v>
      </c>
    </row>
    <row r="31" spans="1:18" ht="14.4" x14ac:dyDescent="0.25">
      <c r="A31" s="30">
        <v>97467039506</v>
      </c>
      <c r="B31" s="26">
        <v>3950</v>
      </c>
      <c r="C31" s="26" t="s">
        <v>298</v>
      </c>
      <c r="D31" s="31">
        <v>300</v>
      </c>
      <c r="E31" s="31">
        <v>3</v>
      </c>
      <c r="F31" s="38">
        <v>0.228135</v>
      </c>
      <c r="G31" s="32" t="s">
        <v>536</v>
      </c>
      <c r="H31" s="33">
        <v>8.2779000000000007</v>
      </c>
      <c r="I31" s="11"/>
      <c r="J31" s="33">
        <f t="shared" si="0"/>
        <v>0</v>
      </c>
      <c r="M31" s="20" t="str">
        <f t="shared" si="1"/>
        <v>-</v>
      </c>
      <c r="N31" s="20" t="str">
        <f t="shared" si="2"/>
        <v>-</v>
      </c>
      <c r="O31" s="21" t="str">
        <f t="shared" si="3"/>
        <v>-</v>
      </c>
      <c r="P31" s="22" t="str">
        <f t="shared" si="4"/>
        <v>-</v>
      </c>
      <c r="R31" s="22" t="str">
        <f t="shared" si="5"/>
        <v>-</v>
      </c>
    </row>
    <row r="32" spans="1:18" ht="14.4" x14ac:dyDescent="0.25">
      <c r="A32" s="30">
        <v>97467033504</v>
      </c>
      <c r="B32" s="26">
        <v>3350</v>
      </c>
      <c r="C32" s="26" t="s">
        <v>183</v>
      </c>
      <c r="D32" s="31">
        <v>90</v>
      </c>
      <c r="E32" s="31">
        <v>3</v>
      </c>
      <c r="F32" s="38">
        <v>0.20089499999999999</v>
      </c>
      <c r="G32" s="32" t="s">
        <v>536</v>
      </c>
      <c r="H32" s="33">
        <v>10.7379</v>
      </c>
      <c r="I32" s="11"/>
      <c r="J32" s="33">
        <f t="shared" si="0"/>
        <v>0</v>
      </c>
      <c r="M32" s="20" t="str">
        <f t="shared" si="1"/>
        <v>-</v>
      </c>
      <c r="N32" s="20" t="str">
        <f t="shared" si="2"/>
        <v>-</v>
      </c>
      <c r="O32" s="21" t="str">
        <f t="shared" si="3"/>
        <v>-</v>
      </c>
      <c r="P32" s="22" t="str">
        <f t="shared" si="4"/>
        <v>-</v>
      </c>
      <c r="R32" s="22" t="str">
        <f t="shared" si="5"/>
        <v>-</v>
      </c>
    </row>
    <row r="33" spans="1:18" ht="14.4" x14ac:dyDescent="0.25">
      <c r="A33" s="30">
        <v>97467034303</v>
      </c>
      <c r="B33" s="26">
        <v>3430</v>
      </c>
      <c r="C33" s="26" t="s">
        <v>192</v>
      </c>
      <c r="D33" s="31">
        <v>90</v>
      </c>
      <c r="E33" s="31">
        <v>3</v>
      </c>
      <c r="F33" s="38">
        <v>6.2425000000000001E-2</v>
      </c>
      <c r="G33" s="32" t="s">
        <v>536</v>
      </c>
      <c r="H33" s="33">
        <v>7.9703999999999997</v>
      </c>
      <c r="I33" s="11"/>
      <c r="J33" s="33">
        <f t="shared" si="0"/>
        <v>0</v>
      </c>
      <c r="M33" s="20" t="str">
        <f t="shared" si="1"/>
        <v>-</v>
      </c>
      <c r="N33" s="20" t="str">
        <f t="shared" si="2"/>
        <v>-</v>
      </c>
      <c r="O33" s="21" t="str">
        <f t="shared" si="3"/>
        <v>-</v>
      </c>
      <c r="P33" s="22" t="str">
        <f t="shared" si="4"/>
        <v>-</v>
      </c>
      <c r="R33" s="22" t="str">
        <f t="shared" si="5"/>
        <v>-</v>
      </c>
    </row>
    <row r="34" spans="1:18" ht="14.4" x14ac:dyDescent="0.25">
      <c r="A34" s="30">
        <v>97467041608</v>
      </c>
      <c r="B34" s="26">
        <v>4160</v>
      </c>
      <c r="C34" s="26" t="s">
        <v>316</v>
      </c>
      <c r="D34" s="31">
        <v>90</v>
      </c>
      <c r="E34" s="31">
        <v>3</v>
      </c>
      <c r="F34" s="38">
        <v>0.22359500000000002</v>
      </c>
      <c r="G34" s="32" t="s">
        <v>536</v>
      </c>
      <c r="H34" s="33">
        <v>8.5853999999999999</v>
      </c>
      <c r="I34" s="11"/>
      <c r="J34" s="33">
        <f t="shared" si="0"/>
        <v>0</v>
      </c>
      <c r="M34" s="20" t="str">
        <f t="shared" si="1"/>
        <v>-</v>
      </c>
      <c r="N34" s="20" t="str">
        <f t="shared" si="2"/>
        <v>-</v>
      </c>
      <c r="O34" s="21" t="str">
        <f t="shared" si="3"/>
        <v>-</v>
      </c>
      <c r="P34" s="22" t="str">
        <f t="shared" si="4"/>
        <v>-</v>
      </c>
      <c r="R34" s="22" t="str">
        <f t="shared" si="5"/>
        <v>-</v>
      </c>
    </row>
    <row r="35" spans="1:18" ht="14.4" x14ac:dyDescent="0.25">
      <c r="A35" s="30">
        <v>97467376878</v>
      </c>
      <c r="B35" s="26">
        <v>37687</v>
      </c>
      <c r="C35" s="26" t="s">
        <v>339</v>
      </c>
      <c r="D35" s="31" t="s">
        <v>124</v>
      </c>
      <c r="E35" s="31">
        <v>3</v>
      </c>
      <c r="F35" s="38">
        <v>0.64240999999999993</v>
      </c>
      <c r="G35" s="32" t="s">
        <v>536</v>
      </c>
      <c r="H35" s="33">
        <v>14.427899999999998</v>
      </c>
      <c r="I35" s="11"/>
      <c r="J35" s="33">
        <f t="shared" si="0"/>
        <v>0</v>
      </c>
      <c r="M35" s="20" t="str">
        <f t="shared" ref="M35:M66" si="6">IFERROR(IF($M$2*F35=0, "-", $M$2*F35), "-")</f>
        <v>-</v>
      </c>
      <c r="N35" s="20" t="str">
        <f t="shared" si="2"/>
        <v>-</v>
      </c>
      <c r="O35" s="21" t="str">
        <f t="shared" ref="O35:O66" si="7">IF(I35&gt;0,I35*F35, "-")</f>
        <v>-</v>
      </c>
      <c r="P35" s="22" t="str">
        <f t="shared" ref="P35:P66" si="8">IFERROR(IF($M$2&gt;0, $M$2*O35, "-"), "-")</f>
        <v>-</v>
      </c>
      <c r="R35" s="22" t="str">
        <f t="shared" si="5"/>
        <v>-</v>
      </c>
    </row>
    <row r="36" spans="1:18" ht="14.4" x14ac:dyDescent="0.25">
      <c r="A36" s="30">
        <v>97467476257</v>
      </c>
      <c r="B36" s="26">
        <v>47625</v>
      </c>
      <c r="C36" s="26" t="s">
        <v>361</v>
      </c>
      <c r="D36" s="31">
        <v>90</v>
      </c>
      <c r="E36" s="31">
        <v>3</v>
      </c>
      <c r="F36" s="38">
        <v>7.7180000000000012E-2</v>
      </c>
      <c r="G36" s="32" t="s">
        <v>536</v>
      </c>
      <c r="H36" s="33">
        <v>6.1253999999999991</v>
      </c>
      <c r="I36" s="11"/>
      <c r="J36" s="33">
        <f t="shared" si="0"/>
        <v>0</v>
      </c>
      <c r="M36" s="20" t="str">
        <f t="shared" si="6"/>
        <v>-</v>
      </c>
      <c r="N36" s="20" t="str">
        <f t="shared" si="2"/>
        <v>-</v>
      </c>
      <c r="O36" s="21" t="str">
        <f t="shared" si="7"/>
        <v>-</v>
      </c>
      <c r="P36" s="22" t="str">
        <f t="shared" si="8"/>
        <v>-</v>
      </c>
      <c r="R36" s="22" t="str">
        <f t="shared" si="5"/>
        <v>-</v>
      </c>
    </row>
    <row r="37" spans="1:18" ht="14.4" x14ac:dyDescent="0.25">
      <c r="A37" s="30">
        <v>97467476264</v>
      </c>
      <c r="B37" s="26">
        <v>47626</v>
      </c>
      <c r="C37" s="26" t="s">
        <v>362</v>
      </c>
      <c r="D37" s="31">
        <v>90</v>
      </c>
      <c r="E37" s="31">
        <v>3</v>
      </c>
      <c r="F37" s="38">
        <v>7.7180000000000012E-2</v>
      </c>
      <c r="G37" s="32" t="s">
        <v>536</v>
      </c>
      <c r="H37" s="33">
        <v>7.0479000000000003</v>
      </c>
      <c r="I37" s="11"/>
      <c r="J37" s="33">
        <f t="shared" si="0"/>
        <v>0</v>
      </c>
      <c r="M37" s="20" t="str">
        <f t="shared" si="6"/>
        <v>-</v>
      </c>
      <c r="N37" s="20" t="str">
        <f t="shared" si="2"/>
        <v>-</v>
      </c>
      <c r="O37" s="21" t="str">
        <f t="shared" si="7"/>
        <v>-</v>
      </c>
      <c r="P37" s="22" t="str">
        <f t="shared" si="8"/>
        <v>-</v>
      </c>
      <c r="R37" s="22" t="str">
        <f t="shared" si="5"/>
        <v>-</v>
      </c>
    </row>
    <row r="38" spans="1:18" ht="14.4" x14ac:dyDescent="0.25">
      <c r="A38" s="30">
        <v>97467476271</v>
      </c>
      <c r="B38" s="26">
        <v>47627</v>
      </c>
      <c r="C38" s="26" t="s">
        <v>363</v>
      </c>
      <c r="D38" s="31">
        <v>90</v>
      </c>
      <c r="E38" s="31">
        <v>3</v>
      </c>
      <c r="F38" s="38">
        <v>7.7180000000000012E-2</v>
      </c>
      <c r="G38" s="32" t="s">
        <v>536</v>
      </c>
      <c r="H38" s="33">
        <v>8.8929000000000009</v>
      </c>
      <c r="I38" s="11"/>
      <c r="J38" s="33">
        <f t="shared" si="0"/>
        <v>0</v>
      </c>
      <c r="M38" s="20" t="str">
        <f t="shared" si="6"/>
        <v>-</v>
      </c>
      <c r="N38" s="20" t="str">
        <f t="shared" si="2"/>
        <v>-</v>
      </c>
      <c r="O38" s="21" t="str">
        <f t="shared" si="7"/>
        <v>-</v>
      </c>
      <c r="P38" s="22" t="str">
        <f t="shared" si="8"/>
        <v>-</v>
      </c>
      <c r="R38" s="22" t="str">
        <f t="shared" si="5"/>
        <v>-</v>
      </c>
    </row>
    <row r="39" spans="1:18" ht="14.4" x14ac:dyDescent="0.25">
      <c r="A39" s="30">
        <v>97467459618</v>
      </c>
      <c r="B39" s="26">
        <v>45961</v>
      </c>
      <c r="C39" s="26" t="s">
        <v>366</v>
      </c>
      <c r="D39" s="31" t="s">
        <v>125</v>
      </c>
      <c r="E39" s="31">
        <v>3</v>
      </c>
      <c r="F39" s="38">
        <v>0.42448999999999998</v>
      </c>
      <c r="G39" s="32" t="s">
        <v>536</v>
      </c>
      <c r="H39" s="33">
        <v>22.103099999999998</v>
      </c>
      <c r="I39" s="11"/>
      <c r="J39" s="33">
        <f t="shared" si="0"/>
        <v>0</v>
      </c>
      <c r="M39" s="20" t="str">
        <f t="shared" si="6"/>
        <v>-</v>
      </c>
      <c r="N39" s="20" t="str">
        <f t="shared" si="2"/>
        <v>-</v>
      </c>
      <c r="O39" s="21" t="str">
        <f t="shared" si="7"/>
        <v>-</v>
      </c>
      <c r="P39" s="22" t="str">
        <f t="shared" si="8"/>
        <v>-</v>
      </c>
      <c r="R39" s="22" t="str">
        <f t="shared" si="5"/>
        <v>-</v>
      </c>
    </row>
    <row r="40" spans="1:18" ht="14.4" x14ac:dyDescent="0.25">
      <c r="A40" s="30">
        <v>97467047068</v>
      </c>
      <c r="B40" s="26">
        <v>4706</v>
      </c>
      <c r="C40" s="26" t="s">
        <v>479</v>
      </c>
      <c r="D40" s="31">
        <v>60</v>
      </c>
      <c r="E40" s="31">
        <v>3</v>
      </c>
      <c r="F40" s="38">
        <v>8.8529999999999998E-2</v>
      </c>
      <c r="G40" s="32" t="s">
        <v>536</v>
      </c>
      <c r="H40" s="33">
        <v>15.350399999999999</v>
      </c>
      <c r="I40" s="11"/>
      <c r="J40" s="33">
        <f t="shared" si="0"/>
        <v>0</v>
      </c>
      <c r="M40" s="20" t="str">
        <f t="shared" si="6"/>
        <v>-</v>
      </c>
      <c r="N40" s="20" t="str">
        <f t="shared" si="2"/>
        <v>-</v>
      </c>
      <c r="O40" s="21" t="str">
        <f t="shared" si="7"/>
        <v>-</v>
      </c>
      <c r="P40" s="22" t="str">
        <f t="shared" si="8"/>
        <v>-</v>
      </c>
      <c r="R40" s="22" t="str">
        <f t="shared" si="5"/>
        <v>-</v>
      </c>
    </row>
    <row r="41" spans="1:18" ht="14.4" x14ac:dyDescent="0.25">
      <c r="A41" s="30">
        <v>97467047082</v>
      </c>
      <c r="B41" s="26">
        <v>4708</v>
      </c>
      <c r="C41" s="26" t="s">
        <v>480</v>
      </c>
      <c r="D41" s="31">
        <v>60</v>
      </c>
      <c r="E41" s="31">
        <v>3</v>
      </c>
      <c r="F41" s="38">
        <v>0.11463500000000001</v>
      </c>
      <c r="G41" s="32" t="s">
        <v>536</v>
      </c>
      <c r="H41" s="33">
        <v>21.500399999999999</v>
      </c>
      <c r="I41" s="11"/>
      <c r="J41" s="33">
        <f t="shared" si="0"/>
        <v>0</v>
      </c>
      <c r="M41" s="20" t="str">
        <f t="shared" si="6"/>
        <v>-</v>
      </c>
      <c r="N41" s="20" t="str">
        <f t="shared" si="2"/>
        <v>-</v>
      </c>
      <c r="O41" s="21" t="str">
        <f t="shared" si="7"/>
        <v>-</v>
      </c>
      <c r="P41" s="22" t="str">
        <f t="shared" si="8"/>
        <v>-</v>
      </c>
      <c r="R41" s="22" t="str">
        <f t="shared" si="5"/>
        <v>-</v>
      </c>
    </row>
    <row r="42" spans="1:18" ht="14.4" x14ac:dyDescent="0.25">
      <c r="A42" s="30">
        <v>97467009813</v>
      </c>
      <c r="B42" s="31">
        <v>981</v>
      </c>
      <c r="C42" s="26" t="s">
        <v>21</v>
      </c>
      <c r="D42" s="31">
        <v>90</v>
      </c>
      <c r="E42" s="31">
        <v>3</v>
      </c>
      <c r="F42" s="38">
        <v>8.058499999999999E-2</v>
      </c>
      <c r="G42" s="32" t="s">
        <v>535</v>
      </c>
      <c r="H42" s="33">
        <v>6.7403999999999993</v>
      </c>
      <c r="I42" s="11"/>
      <c r="J42" s="33">
        <f t="shared" si="0"/>
        <v>0</v>
      </c>
      <c r="M42" s="20" t="str">
        <f t="shared" si="6"/>
        <v>-</v>
      </c>
      <c r="N42" s="20" t="str">
        <f t="shared" si="2"/>
        <v>-</v>
      </c>
      <c r="O42" s="21" t="str">
        <f t="shared" si="7"/>
        <v>-</v>
      </c>
      <c r="P42" s="22" t="str">
        <f t="shared" si="8"/>
        <v>-</v>
      </c>
      <c r="R42" s="22" t="str">
        <f t="shared" si="5"/>
        <v>-</v>
      </c>
    </row>
    <row r="43" spans="1:18" ht="14.4" x14ac:dyDescent="0.25">
      <c r="A43" s="30">
        <v>97467104044</v>
      </c>
      <c r="B43" s="31">
        <v>10404</v>
      </c>
      <c r="C43" s="26" t="s">
        <v>32</v>
      </c>
      <c r="D43" s="31">
        <v>60</v>
      </c>
      <c r="E43" s="31">
        <v>3</v>
      </c>
      <c r="F43" s="38">
        <v>0.22246000000000002</v>
      </c>
      <c r="G43" s="32" t="s">
        <v>535</v>
      </c>
      <c r="H43" s="33">
        <v>10.664099999999999</v>
      </c>
      <c r="I43" s="11"/>
      <c r="J43" s="33">
        <f t="shared" si="0"/>
        <v>0</v>
      </c>
      <c r="M43" s="20" t="str">
        <f t="shared" si="6"/>
        <v>-</v>
      </c>
      <c r="N43" s="20" t="str">
        <f t="shared" si="2"/>
        <v>-</v>
      </c>
      <c r="O43" s="21" t="str">
        <f t="shared" si="7"/>
        <v>-</v>
      </c>
      <c r="P43" s="22" t="str">
        <f t="shared" si="8"/>
        <v>-</v>
      </c>
      <c r="R43" s="22" t="str">
        <f t="shared" si="5"/>
        <v>-</v>
      </c>
    </row>
    <row r="44" spans="1:18" ht="14.4" x14ac:dyDescent="0.25">
      <c r="A44" s="30">
        <v>97467010420</v>
      </c>
      <c r="B44" s="31">
        <v>1042</v>
      </c>
      <c r="C44" s="26" t="s">
        <v>33</v>
      </c>
      <c r="D44" s="31">
        <v>180</v>
      </c>
      <c r="E44" s="31">
        <v>3</v>
      </c>
      <c r="F44" s="38">
        <v>0.103285</v>
      </c>
      <c r="G44" s="32" t="s">
        <v>535</v>
      </c>
      <c r="H44" s="33">
        <v>12.8904</v>
      </c>
      <c r="I44" s="11"/>
      <c r="J44" s="33">
        <f t="shared" si="0"/>
        <v>0</v>
      </c>
      <c r="M44" s="20" t="str">
        <f t="shared" si="6"/>
        <v>-</v>
      </c>
      <c r="N44" s="20" t="str">
        <f t="shared" si="2"/>
        <v>-</v>
      </c>
      <c r="O44" s="21" t="str">
        <f t="shared" si="7"/>
        <v>-</v>
      </c>
      <c r="P44" s="22" t="str">
        <f t="shared" si="8"/>
        <v>-</v>
      </c>
      <c r="R44" s="22" t="str">
        <f t="shared" si="5"/>
        <v>-</v>
      </c>
    </row>
    <row r="45" spans="1:18" ht="14.4" x14ac:dyDescent="0.25">
      <c r="A45" s="30">
        <v>97467010437</v>
      </c>
      <c r="B45" s="31">
        <v>1043</v>
      </c>
      <c r="C45" s="26" t="s">
        <v>34</v>
      </c>
      <c r="D45" s="31">
        <v>90</v>
      </c>
      <c r="E45" s="31">
        <v>3</v>
      </c>
      <c r="F45" s="38">
        <v>8.8529999999999998E-2</v>
      </c>
      <c r="G45" s="32" t="s">
        <v>535</v>
      </c>
      <c r="H45" s="33">
        <v>18.117899999999999</v>
      </c>
      <c r="I45" s="11"/>
      <c r="J45" s="33">
        <f t="shared" si="0"/>
        <v>0</v>
      </c>
      <c r="M45" s="20" t="str">
        <f t="shared" si="6"/>
        <v>-</v>
      </c>
      <c r="N45" s="20" t="str">
        <f t="shared" si="2"/>
        <v>-</v>
      </c>
      <c r="O45" s="21" t="str">
        <f t="shared" si="7"/>
        <v>-</v>
      </c>
      <c r="P45" s="22" t="str">
        <f t="shared" si="8"/>
        <v>-</v>
      </c>
      <c r="R45" s="22" t="str">
        <f t="shared" si="5"/>
        <v>-</v>
      </c>
    </row>
    <row r="46" spans="1:18" ht="14.4" x14ac:dyDescent="0.25">
      <c r="A46" s="30">
        <v>97467104365</v>
      </c>
      <c r="B46" s="31">
        <v>10436</v>
      </c>
      <c r="C46" s="26" t="s">
        <v>35</v>
      </c>
      <c r="D46" s="31">
        <v>90</v>
      </c>
      <c r="E46" s="31">
        <v>3</v>
      </c>
      <c r="F46" s="38">
        <v>7.0370000000000002E-2</v>
      </c>
      <c r="G46" s="32" t="s">
        <v>535</v>
      </c>
      <c r="H46" s="33">
        <v>10.307399999999999</v>
      </c>
      <c r="I46" s="11"/>
      <c r="J46" s="33">
        <f t="shared" si="0"/>
        <v>0</v>
      </c>
      <c r="M46" s="20" t="str">
        <f t="shared" si="6"/>
        <v>-</v>
      </c>
      <c r="N46" s="20" t="str">
        <f t="shared" si="2"/>
        <v>-</v>
      </c>
      <c r="O46" s="21" t="str">
        <f t="shared" si="7"/>
        <v>-</v>
      </c>
      <c r="P46" s="22" t="str">
        <f t="shared" si="8"/>
        <v>-</v>
      </c>
      <c r="R46" s="22" t="str">
        <f t="shared" si="5"/>
        <v>-</v>
      </c>
    </row>
    <row r="47" spans="1:18" ht="14.4" x14ac:dyDescent="0.25">
      <c r="A47" s="30">
        <v>97467010451</v>
      </c>
      <c r="B47" s="31">
        <v>1045</v>
      </c>
      <c r="C47" s="26" t="s">
        <v>38</v>
      </c>
      <c r="D47" s="31">
        <v>90</v>
      </c>
      <c r="E47" s="31">
        <v>3</v>
      </c>
      <c r="F47" s="38">
        <v>0.20657</v>
      </c>
      <c r="G47" s="32" t="s">
        <v>535</v>
      </c>
      <c r="H47" s="33">
        <v>19.347899999999999</v>
      </c>
      <c r="I47" s="11"/>
      <c r="J47" s="33">
        <f t="shared" si="0"/>
        <v>0</v>
      </c>
      <c r="M47" s="20" t="str">
        <f t="shared" si="6"/>
        <v>-</v>
      </c>
      <c r="N47" s="20" t="str">
        <f t="shared" si="2"/>
        <v>-</v>
      </c>
      <c r="O47" s="21" t="str">
        <f t="shared" si="7"/>
        <v>-</v>
      </c>
      <c r="P47" s="22" t="str">
        <f t="shared" si="8"/>
        <v>-</v>
      </c>
      <c r="R47" s="22" t="str">
        <f t="shared" si="5"/>
        <v>-</v>
      </c>
    </row>
    <row r="48" spans="1:18" ht="14.4" x14ac:dyDescent="0.25">
      <c r="A48" s="30">
        <v>97467014305</v>
      </c>
      <c r="B48" s="31">
        <v>1430</v>
      </c>
      <c r="C48" s="26" t="s">
        <v>44</v>
      </c>
      <c r="D48" s="31">
        <v>60</v>
      </c>
      <c r="E48" s="31">
        <v>3</v>
      </c>
      <c r="F48" s="38">
        <v>0.11236500000000001</v>
      </c>
      <c r="G48" s="32" t="s">
        <v>535</v>
      </c>
      <c r="H48" s="33">
        <v>15.965399999999999</v>
      </c>
      <c r="I48" s="11"/>
      <c r="J48" s="33">
        <f t="shared" si="0"/>
        <v>0</v>
      </c>
      <c r="M48" s="20" t="str">
        <f t="shared" si="6"/>
        <v>-</v>
      </c>
      <c r="N48" s="20" t="str">
        <f t="shared" si="2"/>
        <v>-</v>
      </c>
      <c r="O48" s="21" t="str">
        <f t="shared" si="7"/>
        <v>-</v>
      </c>
      <c r="P48" s="22" t="str">
        <f t="shared" si="8"/>
        <v>-</v>
      </c>
      <c r="R48" s="22" t="str">
        <f t="shared" si="5"/>
        <v>-</v>
      </c>
    </row>
    <row r="49" spans="1:18" ht="14.4" x14ac:dyDescent="0.25">
      <c r="A49" s="30">
        <v>97467017108</v>
      </c>
      <c r="B49" s="31">
        <v>1710</v>
      </c>
      <c r="C49" s="26" t="s">
        <v>50</v>
      </c>
      <c r="D49" s="31">
        <v>90</v>
      </c>
      <c r="E49" s="31">
        <v>3</v>
      </c>
      <c r="F49" s="38">
        <v>8.5124999999999992E-2</v>
      </c>
      <c r="G49" s="32" t="s">
        <v>535</v>
      </c>
      <c r="H49" s="33">
        <v>8.8929000000000009</v>
      </c>
      <c r="I49" s="11"/>
      <c r="J49" s="33">
        <f t="shared" si="0"/>
        <v>0</v>
      </c>
      <c r="M49" s="20" t="str">
        <f t="shared" si="6"/>
        <v>-</v>
      </c>
      <c r="N49" s="20" t="str">
        <f t="shared" si="2"/>
        <v>-</v>
      </c>
      <c r="O49" s="21" t="str">
        <f t="shared" si="7"/>
        <v>-</v>
      </c>
      <c r="P49" s="22" t="str">
        <f t="shared" si="8"/>
        <v>-</v>
      </c>
      <c r="R49" s="22" t="str">
        <f t="shared" si="5"/>
        <v>-</v>
      </c>
    </row>
    <row r="50" spans="1:18" ht="14.4" x14ac:dyDescent="0.25">
      <c r="A50" s="30">
        <v>97467017900</v>
      </c>
      <c r="B50" s="31">
        <v>1790</v>
      </c>
      <c r="C50" s="26" t="s">
        <v>57</v>
      </c>
      <c r="D50" s="31">
        <v>90</v>
      </c>
      <c r="E50" s="31">
        <v>3</v>
      </c>
      <c r="F50" s="38">
        <v>8.8529999999999998E-2</v>
      </c>
      <c r="G50" s="32" t="s">
        <v>535</v>
      </c>
      <c r="H50" s="33">
        <v>5.8178999999999998</v>
      </c>
      <c r="I50" s="11"/>
      <c r="J50" s="33">
        <f t="shared" si="0"/>
        <v>0</v>
      </c>
      <c r="M50" s="20" t="str">
        <f t="shared" si="6"/>
        <v>-</v>
      </c>
      <c r="N50" s="20" t="str">
        <f t="shared" ref="N50:N110" si="9">IF(I50&gt;0,H50+M50,"-")</f>
        <v>-</v>
      </c>
      <c r="O50" s="21" t="str">
        <f t="shared" si="7"/>
        <v>-</v>
      </c>
      <c r="P50" s="22" t="str">
        <f t="shared" si="8"/>
        <v>-</v>
      </c>
      <c r="R50" s="22" t="str">
        <f t="shared" ref="R50:R110" si="10">IFERROR(IF(P50+J50=0, "-", IF(P50&gt;0, P50+J50, "-")), "-")</f>
        <v>-</v>
      </c>
    </row>
    <row r="51" spans="1:18" ht="14.4" x14ac:dyDescent="0.25">
      <c r="A51" s="30">
        <v>97467017948</v>
      </c>
      <c r="B51" s="31">
        <v>1794</v>
      </c>
      <c r="C51" s="26" t="s">
        <v>61</v>
      </c>
      <c r="D51" s="31">
        <v>60</v>
      </c>
      <c r="E51" s="31">
        <v>3</v>
      </c>
      <c r="F51" s="38">
        <v>0.22019</v>
      </c>
      <c r="G51" s="32" t="s">
        <v>535</v>
      </c>
      <c r="H51" s="33">
        <v>10.664099999999999</v>
      </c>
      <c r="I51" s="11"/>
      <c r="J51" s="33">
        <f t="shared" si="0"/>
        <v>0</v>
      </c>
      <c r="M51" s="20" t="str">
        <f t="shared" si="6"/>
        <v>-</v>
      </c>
      <c r="N51" s="20" t="str">
        <f t="shared" si="9"/>
        <v>-</v>
      </c>
      <c r="O51" s="21" t="str">
        <f t="shared" si="7"/>
        <v>-</v>
      </c>
      <c r="P51" s="22" t="str">
        <f t="shared" si="8"/>
        <v>-</v>
      </c>
      <c r="R51" s="22" t="str">
        <f t="shared" si="10"/>
        <v>-</v>
      </c>
    </row>
    <row r="52" spans="1:18" ht="14.4" x14ac:dyDescent="0.25">
      <c r="A52" s="30">
        <v>97467018501</v>
      </c>
      <c r="B52" s="31">
        <v>1850</v>
      </c>
      <c r="C52" s="26" t="s">
        <v>62</v>
      </c>
      <c r="D52" s="31">
        <v>90</v>
      </c>
      <c r="E52" s="31">
        <v>3</v>
      </c>
      <c r="F52" s="38">
        <v>4.086E-2</v>
      </c>
      <c r="G52" s="32" t="s">
        <v>535</v>
      </c>
      <c r="H52" s="33">
        <v>5.2029000000000005</v>
      </c>
      <c r="I52" s="11"/>
      <c r="J52" s="33">
        <f t="shared" si="0"/>
        <v>0</v>
      </c>
      <c r="M52" s="20" t="str">
        <f t="shared" si="6"/>
        <v>-</v>
      </c>
      <c r="N52" s="20" t="str">
        <f t="shared" si="9"/>
        <v>-</v>
      </c>
      <c r="O52" s="21" t="str">
        <f t="shared" si="7"/>
        <v>-</v>
      </c>
      <c r="P52" s="22" t="str">
        <f t="shared" si="8"/>
        <v>-</v>
      </c>
      <c r="R52" s="22" t="str">
        <f t="shared" si="10"/>
        <v>-</v>
      </c>
    </row>
    <row r="53" spans="1:18" ht="14.4" x14ac:dyDescent="0.25">
      <c r="A53" s="30">
        <v>97467018907</v>
      </c>
      <c r="B53" s="31">
        <v>1890</v>
      </c>
      <c r="C53" s="26" t="s">
        <v>63</v>
      </c>
      <c r="D53" s="31">
        <v>90</v>
      </c>
      <c r="E53" s="31">
        <v>3</v>
      </c>
      <c r="F53" s="38">
        <v>9.6475000000000005E-2</v>
      </c>
      <c r="G53" s="32" t="s">
        <v>535</v>
      </c>
      <c r="H53" s="33">
        <v>7.6629000000000005</v>
      </c>
      <c r="I53" s="11"/>
      <c r="J53" s="33">
        <f t="shared" si="0"/>
        <v>0</v>
      </c>
      <c r="M53" s="20" t="str">
        <f t="shared" si="6"/>
        <v>-</v>
      </c>
      <c r="N53" s="20" t="str">
        <f t="shared" si="9"/>
        <v>-</v>
      </c>
      <c r="O53" s="21" t="str">
        <f t="shared" si="7"/>
        <v>-</v>
      </c>
      <c r="P53" s="22" t="str">
        <f t="shared" si="8"/>
        <v>-</v>
      </c>
      <c r="R53" s="22" t="str">
        <f t="shared" si="10"/>
        <v>-</v>
      </c>
    </row>
    <row r="54" spans="1:18" ht="14.4" x14ac:dyDescent="0.25">
      <c r="A54" s="30">
        <v>97467019300</v>
      </c>
      <c r="B54" s="31">
        <v>1930</v>
      </c>
      <c r="C54" s="26" t="s">
        <v>64</v>
      </c>
      <c r="D54" s="31">
        <v>90</v>
      </c>
      <c r="E54" s="31">
        <v>3</v>
      </c>
      <c r="F54" s="38">
        <v>0.173655</v>
      </c>
      <c r="G54" s="32" t="s">
        <v>535</v>
      </c>
      <c r="H54" s="33">
        <v>13.197900000000001</v>
      </c>
      <c r="I54" s="11"/>
      <c r="J54" s="33">
        <f t="shared" si="0"/>
        <v>0</v>
      </c>
      <c r="M54" s="20" t="str">
        <f t="shared" si="6"/>
        <v>-</v>
      </c>
      <c r="N54" s="20" t="str">
        <f t="shared" si="9"/>
        <v>-</v>
      </c>
      <c r="O54" s="21" t="str">
        <f t="shared" si="7"/>
        <v>-</v>
      </c>
      <c r="P54" s="22" t="str">
        <f t="shared" si="8"/>
        <v>-</v>
      </c>
      <c r="R54" s="22" t="str">
        <f t="shared" si="10"/>
        <v>-</v>
      </c>
    </row>
    <row r="55" spans="1:18" ht="14.4" x14ac:dyDescent="0.25">
      <c r="A55" s="30">
        <v>97467021006</v>
      </c>
      <c r="B55" s="31">
        <v>2100</v>
      </c>
      <c r="C55" s="26" t="s">
        <v>66</v>
      </c>
      <c r="D55" s="31">
        <v>60</v>
      </c>
      <c r="E55" s="31">
        <v>3</v>
      </c>
      <c r="F55" s="38">
        <v>0.13847000000000001</v>
      </c>
      <c r="G55" s="32" t="s">
        <v>535</v>
      </c>
      <c r="H55" s="33">
        <v>12.275400000000001</v>
      </c>
      <c r="I55" s="11"/>
      <c r="J55" s="33">
        <f t="shared" si="0"/>
        <v>0</v>
      </c>
      <c r="M55" s="20" t="str">
        <f t="shared" si="6"/>
        <v>-</v>
      </c>
      <c r="N55" s="20" t="str">
        <f t="shared" si="9"/>
        <v>-</v>
      </c>
      <c r="O55" s="21" t="str">
        <f t="shared" si="7"/>
        <v>-</v>
      </c>
      <c r="P55" s="22" t="str">
        <f t="shared" si="8"/>
        <v>-</v>
      </c>
      <c r="R55" s="22" t="str">
        <f t="shared" si="10"/>
        <v>-</v>
      </c>
    </row>
    <row r="56" spans="1:18" ht="14.4" x14ac:dyDescent="0.25">
      <c r="A56" s="30">
        <v>97467010918</v>
      </c>
      <c r="B56" s="31">
        <v>1091</v>
      </c>
      <c r="C56" s="26" t="s">
        <v>24</v>
      </c>
      <c r="D56" s="31">
        <v>60</v>
      </c>
      <c r="E56" s="31">
        <v>3</v>
      </c>
      <c r="F56" s="38">
        <v>5.9019999999999996E-2</v>
      </c>
      <c r="G56" s="32" t="s">
        <v>535</v>
      </c>
      <c r="H56" s="33">
        <v>15.965399999999999</v>
      </c>
      <c r="I56" s="11"/>
      <c r="J56" s="33">
        <f t="shared" si="0"/>
        <v>0</v>
      </c>
      <c r="M56" s="20" t="str">
        <f t="shared" si="6"/>
        <v>-</v>
      </c>
      <c r="N56" s="20" t="str">
        <f t="shared" si="9"/>
        <v>-</v>
      </c>
      <c r="O56" s="21" t="str">
        <f t="shared" si="7"/>
        <v>-</v>
      </c>
      <c r="P56" s="22" t="str">
        <f t="shared" si="8"/>
        <v>-</v>
      </c>
      <c r="R56" s="22" t="str">
        <f t="shared" si="10"/>
        <v>-</v>
      </c>
    </row>
    <row r="57" spans="1:18" ht="14.4" x14ac:dyDescent="0.25">
      <c r="A57" s="30">
        <v>97467013100</v>
      </c>
      <c r="B57" s="26">
        <v>1310</v>
      </c>
      <c r="C57" s="26" t="s">
        <v>43</v>
      </c>
      <c r="D57" s="31">
        <v>60</v>
      </c>
      <c r="E57" s="31">
        <v>3</v>
      </c>
      <c r="F57" s="38">
        <v>6.8099999999999994E-2</v>
      </c>
      <c r="G57" s="32" t="s">
        <v>535</v>
      </c>
      <c r="H57" s="33">
        <v>9.8154000000000003</v>
      </c>
      <c r="I57" s="11"/>
      <c r="J57" s="33">
        <f t="shared" si="0"/>
        <v>0</v>
      </c>
      <c r="M57" s="20" t="str">
        <f t="shared" si="6"/>
        <v>-</v>
      </c>
      <c r="N57" s="20" t="str">
        <f t="shared" si="9"/>
        <v>-</v>
      </c>
      <c r="O57" s="21" t="str">
        <f t="shared" si="7"/>
        <v>-</v>
      </c>
      <c r="P57" s="22" t="str">
        <f t="shared" si="8"/>
        <v>-</v>
      </c>
      <c r="R57" s="22" t="str">
        <f t="shared" si="10"/>
        <v>-</v>
      </c>
    </row>
    <row r="58" spans="1:18" ht="14.4" x14ac:dyDescent="0.25">
      <c r="A58" s="30">
        <v>97467299184</v>
      </c>
      <c r="B58" s="26">
        <v>29918</v>
      </c>
      <c r="C58" s="26" t="s">
        <v>73</v>
      </c>
      <c r="D58" s="31">
        <v>90</v>
      </c>
      <c r="E58" s="31">
        <v>3</v>
      </c>
      <c r="F58" s="38">
        <v>0.24515999999999999</v>
      </c>
      <c r="G58" s="32" t="s">
        <v>535</v>
      </c>
      <c r="H58" s="33">
        <v>14.735399999999998</v>
      </c>
      <c r="I58" s="11"/>
      <c r="J58" s="33">
        <f t="shared" si="0"/>
        <v>0</v>
      </c>
      <c r="M58" s="20" t="str">
        <f t="shared" si="6"/>
        <v>-</v>
      </c>
      <c r="N58" s="20" t="str">
        <f t="shared" si="9"/>
        <v>-</v>
      </c>
      <c r="O58" s="21" t="str">
        <f t="shared" si="7"/>
        <v>-</v>
      </c>
      <c r="P58" s="22" t="str">
        <f t="shared" si="8"/>
        <v>-</v>
      </c>
      <c r="R58" s="22" t="str">
        <f t="shared" si="10"/>
        <v>-</v>
      </c>
    </row>
    <row r="59" spans="1:18" ht="14.4" x14ac:dyDescent="0.25">
      <c r="A59" s="30">
        <v>97467299214</v>
      </c>
      <c r="B59" s="26">
        <v>29921</v>
      </c>
      <c r="C59" s="26" t="s">
        <v>74</v>
      </c>
      <c r="D59" s="31">
        <v>90</v>
      </c>
      <c r="E59" s="31">
        <v>3</v>
      </c>
      <c r="F59" s="38">
        <v>0.23494499999999999</v>
      </c>
      <c r="G59" s="32" t="s">
        <v>535</v>
      </c>
      <c r="H59" s="33">
        <v>11.3529</v>
      </c>
      <c r="I59" s="11"/>
      <c r="J59" s="33">
        <f t="shared" si="0"/>
        <v>0</v>
      </c>
      <c r="M59" s="20" t="str">
        <f t="shared" si="6"/>
        <v>-</v>
      </c>
      <c r="N59" s="20" t="str">
        <f t="shared" si="9"/>
        <v>-</v>
      </c>
      <c r="O59" s="21" t="str">
        <f t="shared" si="7"/>
        <v>-</v>
      </c>
      <c r="P59" s="22" t="str">
        <f t="shared" si="8"/>
        <v>-</v>
      </c>
      <c r="R59" s="22" t="str">
        <f t="shared" si="10"/>
        <v>-</v>
      </c>
    </row>
    <row r="60" spans="1:18" ht="14.4" x14ac:dyDescent="0.25">
      <c r="A60" s="30">
        <v>97467299221</v>
      </c>
      <c r="B60" s="26">
        <v>29922</v>
      </c>
      <c r="C60" s="26" t="s">
        <v>75</v>
      </c>
      <c r="D60" s="31">
        <v>90</v>
      </c>
      <c r="E60" s="31">
        <v>3</v>
      </c>
      <c r="F60" s="38">
        <v>0.23494499999999999</v>
      </c>
      <c r="G60" s="32" t="s">
        <v>535</v>
      </c>
      <c r="H60" s="33">
        <v>11.045400000000001</v>
      </c>
      <c r="I60" s="11"/>
      <c r="J60" s="33">
        <f t="shared" si="0"/>
        <v>0</v>
      </c>
      <c r="M60" s="20" t="str">
        <f t="shared" si="6"/>
        <v>-</v>
      </c>
      <c r="N60" s="20" t="str">
        <f t="shared" si="9"/>
        <v>-</v>
      </c>
      <c r="O60" s="21" t="str">
        <f t="shared" si="7"/>
        <v>-</v>
      </c>
      <c r="P60" s="22" t="str">
        <f t="shared" si="8"/>
        <v>-</v>
      </c>
      <c r="R60" s="22" t="str">
        <f t="shared" si="10"/>
        <v>-</v>
      </c>
    </row>
    <row r="61" spans="1:18" ht="14.4" x14ac:dyDescent="0.25">
      <c r="A61" s="30">
        <v>97467299238</v>
      </c>
      <c r="B61" s="26">
        <v>29923</v>
      </c>
      <c r="C61" s="26" t="s">
        <v>76</v>
      </c>
      <c r="D61" s="31">
        <v>90</v>
      </c>
      <c r="E61" s="31">
        <v>3</v>
      </c>
      <c r="F61" s="38">
        <v>0.24288999999999999</v>
      </c>
      <c r="G61" s="32" t="s">
        <v>535</v>
      </c>
      <c r="H61" s="33">
        <v>9.2004000000000001</v>
      </c>
      <c r="I61" s="11"/>
      <c r="J61" s="33">
        <f t="shared" si="0"/>
        <v>0</v>
      </c>
      <c r="M61" s="20" t="str">
        <f t="shared" si="6"/>
        <v>-</v>
      </c>
      <c r="N61" s="20" t="str">
        <f t="shared" si="9"/>
        <v>-</v>
      </c>
      <c r="O61" s="21" t="str">
        <f t="shared" si="7"/>
        <v>-</v>
      </c>
      <c r="P61" s="22" t="str">
        <f t="shared" si="8"/>
        <v>-</v>
      </c>
      <c r="R61" s="22" t="str">
        <f t="shared" si="10"/>
        <v>-</v>
      </c>
    </row>
    <row r="62" spans="1:18" ht="14.4" x14ac:dyDescent="0.25">
      <c r="A62" s="30">
        <v>97467299412</v>
      </c>
      <c r="B62" s="26">
        <v>29941</v>
      </c>
      <c r="C62" s="26" t="s">
        <v>77</v>
      </c>
      <c r="D62" s="31" t="s">
        <v>90</v>
      </c>
      <c r="E62" s="31">
        <v>3</v>
      </c>
      <c r="F62" s="38">
        <v>5.9019999999999996E-2</v>
      </c>
      <c r="G62" s="32" t="s">
        <v>535</v>
      </c>
      <c r="H62" s="33">
        <v>9.5078999999999994</v>
      </c>
      <c r="I62" s="11"/>
      <c r="J62" s="33">
        <f t="shared" si="0"/>
        <v>0</v>
      </c>
      <c r="M62" s="20" t="str">
        <f t="shared" si="6"/>
        <v>-</v>
      </c>
      <c r="N62" s="20" t="str">
        <f t="shared" si="9"/>
        <v>-</v>
      </c>
      <c r="O62" s="21" t="str">
        <f t="shared" si="7"/>
        <v>-</v>
      </c>
      <c r="P62" s="22" t="str">
        <f t="shared" si="8"/>
        <v>-</v>
      </c>
      <c r="R62" s="22" t="str">
        <f t="shared" si="10"/>
        <v>-</v>
      </c>
    </row>
    <row r="63" spans="1:18" ht="14.4" x14ac:dyDescent="0.25">
      <c r="A63" s="30">
        <v>97467299443</v>
      </c>
      <c r="B63" s="26">
        <v>29944</v>
      </c>
      <c r="C63" s="26" t="s">
        <v>80</v>
      </c>
      <c r="D63" s="31">
        <v>30</v>
      </c>
      <c r="E63" s="31">
        <v>3</v>
      </c>
      <c r="F63" s="38">
        <v>0.10214999999999999</v>
      </c>
      <c r="G63" s="32" t="s">
        <v>535</v>
      </c>
      <c r="H63" s="33">
        <v>13.247099999999998</v>
      </c>
      <c r="I63" s="11"/>
      <c r="J63" s="33">
        <f t="shared" si="0"/>
        <v>0</v>
      </c>
      <c r="M63" s="20" t="str">
        <f t="shared" si="6"/>
        <v>-</v>
      </c>
      <c r="N63" s="20" t="str">
        <f t="shared" si="9"/>
        <v>-</v>
      </c>
      <c r="O63" s="21" t="str">
        <f t="shared" si="7"/>
        <v>-</v>
      </c>
      <c r="P63" s="22" t="str">
        <f t="shared" si="8"/>
        <v>-</v>
      </c>
      <c r="R63" s="22" t="str">
        <f t="shared" si="10"/>
        <v>-</v>
      </c>
    </row>
    <row r="64" spans="1:18" ht="14.4" x14ac:dyDescent="0.25">
      <c r="A64" s="30">
        <v>97467299481</v>
      </c>
      <c r="B64" s="26">
        <v>29948</v>
      </c>
      <c r="C64" s="26" t="s">
        <v>26</v>
      </c>
      <c r="D64" s="31">
        <v>90</v>
      </c>
      <c r="E64" s="31">
        <v>3</v>
      </c>
      <c r="F64" s="38">
        <v>0.24288999999999999</v>
      </c>
      <c r="G64" s="32" t="s">
        <v>535</v>
      </c>
      <c r="H64" s="33">
        <v>19.040399999999998</v>
      </c>
      <c r="I64" s="11"/>
      <c r="J64" s="33">
        <f t="shared" si="0"/>
        <v>0</v>
      </c>
      <c r="M64" s="20" t="str">
        <f t="shared" si="6"/>
        <v>-</v>
      </c>
      <c r="N64" s="20" t="str">
        <f t="shared" si="9"/>
        <v>-</v>
      </c>
      <c r="O64" s="21" t="str">
        <f t="shared" si="7"/>
        <v>-</v>
      </c>
      <c r="P64" s="22" t="str">
        <f t="shared" si="8"/>
        <v>-</v>
      </c>
      <c r="R64" s="22" t="str">
        <f t="shared" si="10"/>
        <v>-</v>
      </c>
    </row>
    <row r="65" spans="1:18" ht="14.4" x14ac:dyDescent="0.25">
      <c r="A65" s="30">
        <v>97467299498</v>
      </c>
      <c r="B65" s="26">
        <v>29949</v>
      </c>
      <c r="C65" s="26" t="s">
        <v>81</v>
      </c>
      <c r="D65" s="31">
        <v>90</v>
      </c>
      <c r="E65" s="31">
        <v>3</v>
      </c>
      <c r="F65" s="38">
        <v>0.24515999999999999</v>
      </c>
      <c r="G65" s="32" t="s">
        <v>535</v>
      </c>
      <c r="H65" s="33">
        <v>15.350399999999999</v>
      </c>
      <c r="I65" s="11"/>
      <c r="J65" s="33">
        <f t="shared" si="0"/>
        <v>0</v>
      </c>
      <c r="M65" s="20" t="str">
        <f t="shared" si="6"/>
        <v>-</v>
      </c>
      <c r="N65" s="20" t="str">
        <f t="shared" si="9"/>
        <v>-</v>
      </c>
      <c r="O65" s="21" t="str">
        <f t="shared" si="7"/>
        <v>-</v>
      </c>
      <c r="P65" s="22" t="str">
        <f t="shared" si="8"/>
        <v>-</v>
      </c>
      <c r="R65" s="22" t="str">
        <f t="shared" si="10"/>
        <v>-</v>
      </c>
    </row>
    <row r="66" spans="1:18" ht="14.4" x14ac:dyDescent="0.25">
      <c r="A66" s="30">
        <v>97467299511</v>
      </c>
      <c r="B66" s="26">
        <v>29951</v>
      </c>
      <c r="C66" s="26" t="s">
        <v>27</v>
      </c>
      <c r="D66" s="31" t="s">
        <v>92</v>
      </c>
      <c r="E66" s="31">
        <v>3</v>
      </c>
      <c r="F66" s="38">
        <v>1.2598500000000001</v>
      </c>
      <c r="G66" s="32" t="s">
        <v>535</v>
      </c>
      <c r="H66" s="33">
        <v>22.103099999999998</v>
      </c>
      <c r="I66" s="11"/>
      <c r="J66" s="33">
        <f t="shared" si="0"/>
        <v>0</v>
      </c>
      <c r="M66" s="20" t="str">
        <f t="shared" si="6"/>
        <v>-</v>
      </c>
      <c r="N66" s="20" t="str">
        <f t="shared" si="9"/>
        <v>-</v>
      </c>
      <c r="O66" s="21" t="str">
        <f t="shared" si="7"/>
        <v>-</v>
      </c>
      <c r="P66" s="22" t="str">
        <f t="shared" si="8"/>
        <v>-</v>
      </c>
      <c r="R66" s="22" t="str">
        <f t="shared" si="10"/>
        <v>-</v>
      </c>
    </row>
    <row r="67" spans="1:18" ht="14.4" x14ac:dyDescent="0.25">
      <c r="A67" s="30">
        <v>97467299689</v>
      </c>
      <c r="B67" s="26">
        <v>29968</v>
      </c>
      <c r="C67" s="26" t="s">
        <v>84</v>
      </c>
      <c r="D67" s="31">
        <v>90</v>
      </c>
      <c r="E67" s="31">
        <v>3</v>
      </c>
      <c r="F67" s="38">
        <v>0.20202999999999999</v>
      </c>
      <c r="G67" s="32" t="s">
        <v>535</v>
      </c>
      <c r="H67" s="33">
        <v>11.660399999999999</v>
      </c>
      <c r="I67" s="11"/>
      <c r="J67" s="33">
        <f t="shared" ref="J67:J130" si="11">H67*I67</f>
        <v>0</v>
      </c>
      <c r="M67" s="20" t="str">
        <f t="shared" ref="M67:M98" si="12">IFERROR(IF($M$2*F67=0, "-", $M$2*F67), "-")</f>
        <v>-</v>
      </c>
      <c r="N67" s="20" t="str">
        <f t="shared" si="9"/>
        <v>-</v>
      </c>
      <c r="O67" s="21" t="str">
        <f t="shared" ref="O67:O98" si="13">IF(I67&gt;0,I67*F67, "-")</f>
        <v>-</v>
      </c>
      <c r="P67" s="22" t="str">
        <f t="shared" ref="P67:P98" si="14">IFERROR(IF($M$2&gt;0, $M$2*O67, "-"), "-")</f>
        <v>-</v>
      </c>
      <c r="R67" s="22" t="str">
        <f t="shared" si="10"/>
        <v>-</v>
      </c>
    </row>
    <row r="68" spans="1:18" ht="14.4" x14ac:dyDescent="0.25">
      <c r="A68" s="30">
        <v>97467299726</v>
      </c>
      <c r="B68" s="26">
        <v>29972</v>
      </c>
      <c r="C68" s="26" t="s">
        <v>87</v>
      </c>
      <c r="D68" s="31">
        <v>180</v>
      </c>
      <c r="E68" s="31">
        <v>3</v>
      </c>
      <c r="F68" s="38">
        <v>0.42221999999999998</v>
      </c>
      <c r="G68" s="32" t="s">
        <v>535</v>
      </c>
      <c r="H68" s="33">
        <v>21.192899999999998</v>
      </c>
      <c r="I68" s="11"/>
      <c r="J68" s="33">
        <f t="shared" si="11"/>
        <v>0</v>
      </c>
      <c r="M68" s="20" t="str">
        <f t="shared" si="12"/>
        <v>-</v>
      </c>
      <c r="N68" s="20" t="str">
        <f t="shared" si="9"/>
        <v>-</v>
      </c>
      <c r="O68" s="21" t="str">
        <f t="shared" si="13"/>
        <v>-</v>
      </c>
      <c r="P68" s="22" t="str">
        <f t="shared" si="14"/>
        <v>-</v>
      </c>
      <c r="R68" s="22" t="str">
        <f t="shared" si="10"/>
        <v>-</v>
      </c>
    </row>
    <row r="69" spans="1:18" ht="14.4" x14ac:dyDescent="0.25">
      <c r="A69" s="30">
        <v>97467299740</v>
      </c>
      <c r="B69" s="26">
        <v>29974</v>
      </c>
      <c r="C69" s="26" t="s">
        <v>267</v>
      </c>
      <c r="D69" s="31">
        <v>90</v>
      </c>
      <c r="E69" s="31">
        <v>3</v>
      </c>
      <c r="F69" s="38">
        <v>0.25537500000000002</v>
      </c>
      <c r="G69" s="32" t="s">
        <v>535</v>
      </c>
      <c r="H69" s="33">
        <v>11.660399999999999</v>
      </c>
      <c r="I69" s="11"/>
      <c r="J69" s="33">
        <f t="shared" si="11"/>
        <v>0</v>
      </c>
      <c r="M69" s="20" t="str">
        <f t="shared" si="12"/>
        <v>-</v>
      </c>
      <c r="N69" s="20" t="str">
        <f t="shared" si="9"/>
        <v>-</v>
      </c>
      <c r="O69" s="21" t="str">
        <f t="shared" si="13"/>
        <v>-</v>
      </c>
      <c r="P69" s="22" t="str">
        <f t="shared" si="14"/>
        <v>-</v>
      </c>
      <c r="R69" s="22" t="str">
        <f t="shared" si="10"/>
        <v>-</v>
      </c>
    </row>
    <row r="70" spans="1:18" ht="14.4" x14ac:dyDescent="0.25">
      <c r="A70" s="30">
        <v>97467299757</v>
      </c>
      <c r="B70" s="26">
        <v>29975</v>
      </c>
      <c r="C70" s="26" t="s">
        <v>267</v>
      </c>
      <c r="D70" s="31">
        <v>180</v>
      </c>
      <c r="E70" s="31">
        <v>3</v>
      </c>
      <c r="F70" s="38">
        <v>0.416545</v>
      </c>
      <c r="G70" s="32" t="s">
        <v>535</v>
      </c>
      <c r="H70" s="33">
        <v>21.192899999999998</v>
      </c>
      <c r="I70" s="11"/>
      <c r="J70" s="33">
        <f t="shared" si="11"/>
        <v>0</v>
      </c>
      <c r="M70" s="20" t="str">
        <f t="shared" si="12"/>
        <v>-</v>
      </c>
      <c r="N70" s="20" t="str">
        <f t="shared" si="9"/>
        <v>-</v>
      </c>
      <c r="O70" s="21" t="str">
        <f t="shared" si="13"/>
        <v>-</v>
      </c>
      <c r="P70" s="22" t="str">
        <f t="shared" si="14"/>
        <v>-</v>
      </c>
      <c r="R70" s="22" t="str">
        <f t="shared" si="10"/>
        <v>-</v>
      </c>
    </row>
    <row r="71" spans="1:18" ht="14.4" x14ac:dyDescent="0.25">
      <c r="A71" s="30">
        <v>97467299849</v>
      </c>
      <c r="B71" s="26">
        <v>29984</v>
      </c>
      <c r="C71" s="26" t="s">
        <v>155</v>
      </c>
      <c r="D71" s="31">
        <v>90</v>
      </c>
      <c r="E71" s="31">
        <v>3</v>
      </c>
      <c r="F71" s="38">
        <v>0.24743000000000001</v>
      </c>
      <c r="G71" s="32" t="s">
        <v>535</v>
      </c>
      <c r="H71" s="33">
        <v>11.660399999999999</v>
      </c>
      <c r="I71" s="11"/>
      <c r="J71" s="33">
        <f t="shared" si="11"/>
        <v>0</v>
      </c>
      <c r="M71" s="20" t="str">
        <f t="shared" si="12"/>
        <v>-</v>
      </c>
      <c r="N71" s="20" t="str">
        <f t="shared" si="9"/>
        <v>-</v>
      </c>
      <c r="O71" s="21" t="str">
        <f t="shared" si="13"/>
        <v>-</v>
      </c>
      <c r="P71" s="22" t="str">
        <f t="shared" si="14"/>
        <v>-</v>
      </c>
      <c r="R71" s="22" t="str">
        <f t="shared" si="10"/>
        <v>-</v>
      </c>
    </row>
    <row r="72" spans="1:18" ht="14.4" x14ac:dyDescent="0.25">
      <c r="A72" s="30">
        <v>97467299863</v>
      </c>
      <c r="B72" s="26">
        <v>29986</v>
      </c>
      <c r="C72" s="25" t="s">
        <v>155</v>
      </c>
      <c r="D72" s="31">
        <v>180</v>
      </c>
      <c r="E72" s="31">
        <v>3</v>
      </c>
      <c r="F72" s="38">
        <v>0.41314000000000001</v>
      </c>
      <c r="G72" s="32" t="s">
        <v>535</v>
      </c>
      <c r="H72" s="33">
        <v>21.192899999999998</v>
      </c>
      <c r="I72" s="11"/>
      <c r="J72" s="33">
        <f t="shared" si="11"/>
        <v>0</v>
      </c>
      <c r="M72" s="20" t="str">
        <f t="shared" si="12"/>
        <v>-</v>
      </c>
      <c r="N72" s="20" t="str">
        <f t="shared" si="9"/>
        <v>-</v>
      </c>
      <c r="O72" s="21" t="str">
        <f t="shared" si="13"/>
        <v>-</v>
      </c>
      <c r="P72" s="22" t="str">
        <f t="shared" si="14"/>
        <v>-</v>
      </c>
      <c r="R72" s="22" t="str">
        <f t="shared" si="10"/>
        <v>-</v>
      </c>
    </row>
    <row r="73" spans="1:18" ht="14.4" x14ac:dyDescent="0.25">
      <c r="A73" s="30">
        <v>97467299900</v>
      </c>
      <c r="B73" s="26">
        <v>29990</v>
      </c>
      <c r="C73" s="25" t="s">
        <v>156</v>
      </c>
      <c r="D73" s="31">
        <v>90</v>
      </c>
      <c r="E73" s="31">
        <v>3</v>
      </c>
      <c r="F73" s="38">
        <v>0.23835000000000001</v>
      </c>
      <c r="G73" s="32" t="s">
        <v>535</v>
      </c>
      <c r="H73" s="33">
        <v>11.660399999999999</v>
      </c>
      <c r="I73" s="11"/>
      <c r="J73" s="33">
        <f t="shared" si="11"/>
        <v>0</v>
      </c>
      <c r="M73" s="20" t="str">
        <f t="shared" si="12"/>
        <v>-</v>
      </c>
      <c r="N73" s="20" t="str">
        <f t="shared" si="9"/>
        <v>-</v>
      </c>
      <c r="O73" s="21" t="str">
        <f t="shared" si="13"/>
        <v>-</v>
      </c>
      <c r="P73" s="22" t="str">
        <f t="shared" si="14"/>
        <v>-</v>
      </c>
      <c r="R73" s="22" t="str">
        <f t="shared" si="10"/>
        <v>-</v>
      </c>
    </row>
    <row r="74" spans="1:18" ht="14.4" x14ac:dyDescent="0.25">
      <c r="A74" s="30">
        <v>97467299931</v>
      </c>
      <c r="B74" s="26">
        <v>29993</v>
      </c>
      <c r="C74" s="25" t="s">
        <v>156</v>
      </c>
      <c r="D74" s="31">
        <v>180</v>
      </c>
      <c r="E74" s="31">
        <v>3</v>
      </c>
      <c r="F74" s="38">
        <v>0.46534999999999999</v>
      </c>
      <c r="G74" s="32" t="s">
        <v>535</v>
      </c>
      <c r="H74" s="33">
        <v>21.192899999999998</v>
      </c>
      <c r="I74" s="11"/>
      <c r="J74" s="33">
        <f t="shared" si="11"/>
        <v>0</v>
      </c>
      <c r="M74" s="20" t="str">
        <f t="shared" si="12"/>
        <v>-</v>
      </c>
      <c r="N74" s="20" t="str">
        <f t="shared" si="9"/>
        <v>-</v>
      </c>
      <c r="O74" s="21" t="str">
        <f t="shared" si="13"/>
        <v>-</v>
      </c>
      <c r="P74" s="22" t="str">
        <f t="shared" si="14"/>
        <v>-</v>
      </c>
      <c r="R74" s="22" t="str">
        <f t="shared" si="10"/>
        <v>-</v>
      </c>
    </row>
    <row r="75" spans="1:18" ht="14.4" x14ac:dyDescent="0.25">
      <c r="A75" s="30">
        <v>97467299993</v>
      </c>
      <c r="B75" s="26">
        <v>29999</v>
      </c>
      <c r="C75" s="25" t="s">
        <v>160</v>
      </c>
      <c r="D75" s="31">
        <v>90</v>
      </c>
      <c r="E75" s="31">
        <v>3</v>
      </c>
      <c r="F75" s="38">
        <v>0.21792</v>
      </c>
      <c r="G75" s="32" t="s">
        <v>535</v>
      </c>
      <c r="H75" s="33">
        <v>14.1204</v>
      </c>
      <c r="I75" s="11"/>
      <c r="J75" s="33">
        <f t="shared" si="11"/>
        <v>0</v>
      </c>
      <c r="M75" s="20" t="str">
        <f t="shared" si="12"/>
        <v>-</v>
      </c>
      <c r="N75" s="20" t="str">
        <f t="shared" si="9"/>
        <v>-</v>
      </c>
      <c r="O75" s="21" t="str">
        <f t="shared" si="13"/>
        <v>-</v>
      </c>
      <c r="P75" s="22" t="str">
        <f t="shared" si="14"/>
        <v>-</v>
      </c>
      <c r="R75" s="22" t="str">
        <f t="shared" si="10"/>
        <v>-</v>
      </c>
    </row>
    <row r="76" spans="1:18" ht="14.4" x14ac:dyDescent="0.25">
      <c r="A76" s="30">
        <v>97467022041</v>
      </c>
      <c r="B76" s="26">
        <v>2204</v>
      </c>
      <c r="C76" s="25" t="s">
        <v>269</v>
      </c>
      <c r="D76" s="31">
        <v>75</v>
      </c>
      <c r="E76" s="31">
        <v>3</v>
      </c>
      <c r="F76" s="38">
        <v>0.29964000000000002</v>
      </c>
      <c r="G76" s="32" t="s">
        <v>535</v>
      </c>
      <c r="H76" s="33">
        <v>11.033100000000001</v>
      </c>
      <c r="I76" s="11"/>
      <c r="J76" s="33">
        <f t="shared" si="11"/>
        <v>0</v>
      </c>
      <c r="M76" s="20" t="str">
        <f t="shared" si="12"/>
        <v>-</v>
      </c>
      <c r="N76" s="20" t="str">
        <f t="shared" si="9"/>
        <v>-</v>
      </c>
      <c r="O76" s="21" t="str">
        <f t="shared" si="13"/>
        <v>-</v>
      </c>
      <c r="P76" s="22" t="str">
        <f t="shared" si="14"/>
        <v>-</v>
      </c>
      <c r="R76" s="22" t="str">
        <f t="shared" si="10"/>
        <v>-</v>
      </c>
    </row>
    <row r="77" spans="1:18" ht="14.4" x14ac:dyDescent="0.25">
      <c r="A77" s="30">
        <v>97467023000</v>
      </c>
      <c r="B77" s="26">
        <v>2300</v>
      </c>
      <c r="C77" s="25" t="s">
        <v>272</v>
      </c>
      <c r="D77" s="31">
        <v>60</v>
      </c>
      <c r="E77" s="31">
        <v>3</v>
      </c>
      <c r="F77" s="38">
        <v>0.11803999999999999</v>
      </c>
      <c r="G77" s="32" t="s">
        <v>535</v>
      </c>
      <c r="H77" s="33">
        <v>10.7379</v>
      </c>
      <c r="I77" s="11"/>
      <c r="J77" s="33">
        <f t="shared" si="11"/>
        <v>0</v>
      </c>
      <c r="M77" s="20" t="str">
        <f t="shared" si="12"/>
        <v>-</v>
      </c>
      <c r="N77" s="20" t="str">
        <f t="shared" si="9"/>
        <v>-</v>
      </c>
      <c r="O77" s="21" t="str">
        <f t="shared" si="13"/>
        <v>-</v>
      </c>
      <c r="P77" s="22" t="str">
        <f t="shared" si="14"/>
        <v>-</v>
      </c>
      <c r="R77" s="22" t="str">
        <f t="shared" si="10"/>
        <v>-</v>
      </c>
    </row>
    <row r="78" spans="1:18" ht="14.4" x14ac:dyDescent="0.25">
      <c r="A78" s="30">
        <v>97467024793</v>
      </c>
      <c r="B78" s="26">
        <v>2479</v>
      </c>
      <c r="C78" s="25" t="s">
        <v>172</v>
      </c>
      <c r="D78" s="31">
        <v>60</v>
      </c>
      <c r="E78" s="31">
        <v>3</v>
      </c>
      <c r="F78" s="38">
        <v>0.17706</v>
      </c>
      <c r="G78" s="32" t="s">
        <v>535</v>
      </c>
      <c r="H78" s="33">
        <v>14.1204</v>
      </c>
      <c r="I78" s="11"/>
      <c r="J78" s="33">
        <f t="shared" si="11"/>
        <v>0</v>
      </c>
      <c r="M78" s="20" t="str">
        <f t="shared" si="12"/>
        <v>-</v>
      </c>
      <c r="N78" s="20" t="str">
        <f t="shared" si="9"/>
        <v>-</v>
      </c>
      <c r="O78" s="21" t="str">
        <f t="shared" si="13"/>
        <v>-</v>
      </c>
      <c r="P78" s="22" t="str">
        <f t="shared" si="14"/>
        <v>-</v>
      </c>
      <c r="R78" s="22" t="str">
        <f t="shared" si="10"/>
        <v>-</v>
      </c>
    </row>
    <row r="79" spans="1:18" ht="14.4" x14ac:dyDescent="0.25">
      <c r="A79" s="30">
        <v>97467024830</v>
      </c>
      <c r="B79" s="26">
        <v>2483</v>
      </c>
      <c r="C79" s="25" t="s">
        <v>173</v>
      </c>
      <c r="D79" s="31">
        <v>90</v>
      </c>
      <c r="E79" s="31">
        <v>3</v>
      </c>
      <c r="F79" s="38">
        <v>0.153225</v>
      </c>
      <c r="G79" s="32" t="s">
        <v>535</v>
      </c>
      <c r="H79" s="33">
        <v>14.735399999999998</v>
      </c>
      <c r="I79" s="11"/>
      <c r="J79" s="33">
        <f t="shared" si="11"/>
        <v>0</v>
      </c>
      <c r="M79" s="20" t="str">
        <f t="shared" si="12"/>
        <v>-</v>
      </c>
      <c r="N79" s="20" t="str">
        <f t="shared" si="9"/>
        <v>-</v>
      </c>
      <c r="O79" s="21" t="str">
        <f t="shared" si="13"/>
        <v>-</v>
      </c>
      <c r="P79" s="22" t="str">
        <f t="shared" si="14"/>
        <v>-</v>
      </c>
      <c r="R79" s="22" t="str">
        <f t="shared" si="10"/>
        <v>-</v>
      </c>
    </row>
    <row r="80" spans="1:18" ht="14.4" x14ac:dyDescent="0.25">
      <c r="A80" s="30">
        <v>97467250055</v>
      </c>
      <c r="B80" s="26">
        <v>25005</v>
      </c>
      <c r="C80" s="25" t="s">
        <v>175</v>
      </c>
      <c r="D80" s="31" t="s">
        <v>93</v>
      </c>
      <c r="E80" s="31">
        <v>3</v>
      </c>
      <c r="F80" s="38">
        <v>0.35525499999999999</v>
      </c>
      <c r="G80" s="32" t="s">
        <v>535</v>
      </c>
      <c r="H80" s="33">
        <v>6.9741</v>
      </c>
      <c r="I80" s="11"/>
      <c r="J80" s="33">
        <f t="shared" si="11"/>
        <v>0</v>
      </c>
      <c r="M80" s="20" t="str">
        <f t="shared" si="12"/>
        <v>-</v>
      </c>
      <c r="N80" s="20" t="str">
        <f t="shared" si="9"/>
        <v>-</v>
      </c>
      <c r="O80" s="21" t="str">
        <f t="shared" si="13"/>
        <v>-</v>
      </c>
      <c r="P80" s="22" t="str">
        <f t="shared" si="14"/>
        <v>-</v>
      </c>
      <c r="R80" s="22" t="str">
        <f t="shared" si="10"/>
        <v>-</v>
      </c>
    </row>
    <row r="81" spans="1:18" ht="14.4" x14ac:dyDescent="0.25">
      <c r="A81" s="30">
        <v>97467025509</v>
      </c>
      <c r="B81" s="26">
        <v>2550</v>
      </c>
      <c r="C81" s="25" t="s">
        <v>176</v>
      </c>
      <c r="D81" s="31">
        <v>60</v>
      </c>
      <c r="E81" s="31">
        <v>3</v>
      </c>
      <c r="F81" s="38">
        <v>6.583E-2</v>
      </c>
      <c r="G81" s="32" t="s">
        <v>535</v>
      </c>
      <c r="H81" s="33">
        <v>9.5078999999999994</v>
      </c>
      <c r="I81" s="11"/>
      <c r="J81" s="33">
        <f t="shared" si="11"/>
        <v>0</v>
      </c>
      <c r="M81" s="20" t="str">
        <f t="shared" si="12"/>
        <v>-</v>
      </c>
      <c r="N81" s="20" t="str">
        <f t="shared" si="9"/>
        <v>-</v>
      </c>
      <c r="O81" s="21" t="str">
        <f t="shared" si="13"/>
        <v>-</v>
      </c>
      <c r="P81" s="22" t="str">
        <f t="shared" si="14"/>
        <v>-</v>
      </c>
      <c r="R81" s="22" t="str">
        <f t="shared" si="10"/>
        <v>-</v>
      </c>
    </row>
    <row r="82" spans="1:18" ht="14.4" x14ac:dyDescent="0.25">
      <c r="A82" s="30">
        <v>97467025608</v>
      </c>
      <c r="B82" s="26">
        <v>2560</v>
      </c>
      <c r="C82" s="26" t="s">
        <v>177</v>
      </c>
      <c r="D82" s="31">
        <v>60</v>
      </c>
      <c r="E82" s="31">
        <v>3</v>
      </c>
      <c r="F82" s="38">
        <v>0.119175</v>
      </c>
      <c r="G82" s="32" t="s">
        <v>535</v>
      </c>
      <c r="H82" s="33">
        <v>14.427899999999998</v>
      </c>
      <c r="I82" s="11"/>
      <c r="J82" s="33">
        <f t="shared" si="11"/>
        <v>0</v>
      </c>
      <c r="M82" s="20" t="str">
        <f t="shared" si="12"/>
        <v>-</v>
      </c>
      <c r="N82" s="20" t="str">
        <f t="shared" si="9"/>
        <v>-</v>
      </c>
      <c r="O82" s="21" t="str">
        <f t="shared" si="13"/>
        <v>-</v>
      </c>
      <c r="P82" s="22" t="str">
        <f t="shared" si="14"/>
        <v>-</v>
      </c>
      <c r="R82" s="22" t="str">
        <f t="shared" si="10"/>
        <v>-</v>
      </c>
    </row>
    <row r="83" spans="1:18" ht="14.4" x14ac:dyDescent="0.25">
      <c r="A83" s="30">
        <v>97467299917</v>
      </c>
      <c r="B83" s="26">
        <v>29991</v>
      </c>
      <c r="C83" s="26" t="s">
        <v>545</v>
      </c>
      <c r="D83" s="31">
        <v>90</v>
      </c>
      <c r="E83" s="31">
        <v>3</v>
      </c>
      <c r="F83" s="38">
        <v>0.19635499999999997</v>
      </c>
      <c r="G83" s="32" t="s">
        <v>535</v>
      </c>
      <c r="H83" s="33">
        <v>19.347899999999999</v>
      </c>
      <c r="I83" s="11"/>
      <c r="J83" s="33">
        <f t="shared" si="11"/>
        <v>0</v>
      </c>
      <c r="M83" s="20" t="str">
        <f t="shared" si="12"/>
        <v>-</v>
      </c>
      <c r="N83" s="20" t="str">
        <f t="shared" si="9"/>
        <v>-</v>
      </c>
      <c r="O83" s="21" t="str">
        <f t="shared" si="13"/>
        <v>-</v>
      </c>
      <c r="P83" s="22" t="str">
        <f t="shared" si="14"/>
        <v>-</v>
      </c>
      <c r="R83" s="22" t="str">
        <f t="shared" si="10"/>
        <v>-</v>
      </c>
    </row>
    <row r="84" spans="1:18" ht="14.4" x14ac:dyDescent="0.25">
      <c r="A84" s="30">
        <v>97467030848</v>
      </c>
      <c r="B84" s="26">
        <v>3084</v>
      </c>
      <c r="C84" s="26" t="s">
        <v>281</v>
      </c>
      <c r="D84" s="31">
        <v>90</v>
      </c>
      <c r="E84" s="31">
        <v>3</v>
      </c>
      <c r="F84" s="38">
        <v>0.28602</v>
      </c>
      <c r="G84" s="32" t="s">
        <v>535</v>
      </c>
      <c r="H84" s="33">
        <v>17.5029</v>
      </c>
      <c r="I84" s="11"/>
      <c r="J84" s="33">
        <f t="shared" si="11"/>
        <v>0</v>
      </c>
      <c r="M84" s="20" t="str">
        <f t="shared" si="12"/>
        <v>-</v>
      </c>
      <c r="N84" s="20" t="str">
        <f t="shared" si="9"/>
        <v>-</v>
      </c>
      <c r="O84" s="21" t="str">
        <f t="shared" si="13"/>
        <v>-</v>
      </c>
      <c r="P84" s="22" t="str">
        <f t="shared" si="14"/>
        <v>-</v>
      </c>
      <c r="R84" s="22" t="str">
        <f t="shared" si="10"/>
        <v>-</v>
      </c>
    </row>
    <row r="85" spans="1:18" ht="14.4" x14ac:dyDescent="0.25">
      <c r="A85" s="30">
        <v>97467299016</v>
      </c>
      <c r="B85" s="26">
        <v>29901</v>
      </c>
      <c r="C85" s="26" t="s">
        <v>282</v>
      </c>
      <c r="D85" s="31" t="s">
        <v>95</v>
      </c>
      <c r="E85" s="31">
        <v>3</v>
      </c>
      <c r="F85" s="38">
        <v>1.2598500000000001</v>
      </c>
      <c r="G85" s="32" t="s">
        <v>535</v>
      </c>
      <c r="H85" s="33">
        <v>27.269100000000002</v>
      </c>
      <c r="I85" s="11"/>
      <c r="J85" s="33">
        <f t="shared" si="11"/>
        <v>0</v>
      </c>
      <c r="M85" s="20" t="str">
        <f t="shared" si="12"/>
        <v>-</v>
      </c>
      <c r="N85" s="20" t="str">
        <f t="shared" si="9"/>
        <v>-</v>
      </c>
      <c r="O85" s="21" t="str">
        <f t="shared" si="13"/>
        <v>-</v>
      </c>
      <c r="P85" s="22" t="str">
        <f t="shared" si="14"/>
        <v>-</v>
      </c>
      <c r="R85" s="22" t="str">
        <f t="shared" si="10"/>
        <v>-</v>
      </c>
    </row>
    <row r="86" spans="1:18" ht="14.4" x14ac:dyDescent="0.25">
      <c r="A86" s="30">
        <v>97467299030</v>
      </c>
      <c r="B86" s="26">
        <v>29903</v>
      </c>
      <c r="C86" s="26" t="s">
        <v>282</v>
      </c>
      <c r="D86" s="31" t="s">
        <v>96</v>
      </c>
      <c r="E86" s="31">
        <v>3</v>
      </c>
      <c r="F86" s="38">
        <v>0.69008000000000003</v>
      </c>
      <c r="G86" s="32" t="s">
        <v>535</v>
      </c>
      <c r="H86" s="33">
        <v>16.199099999999998</v>
      </c>
      <c r="I86" s="11"/>
      <c r="J86" s="33">
        <f t="shared" si="11"/>
        <v>0</v>
      </c>
      <c r="M86" s="20" t="str">
        <f t="shared" si="12"/>
        <v>-</v>
      </c>
      <c r="N86" s="20" t="str">
        <f t="shared" si="9"/>
        <v>-</v>
      </c>
      <c r="O86" s="21" t="str">
        <f t="shared" si="13"/>
        <v>-</v>
      </c>
      <c r="P86" s="22" t="str">
        <f t="shared" si="14"/>
        <v>-</v>
      </c>
      <c r="R86" s="22" t="str">
        <f t="shared" si="10"/>
        <v>-</v>
      </c>
    </row>
    <row r="87" spans="1:18" ht="14.4" x14ac:dyDescent="0.25">
      <c r="A87" s="30">
        <v>97467299368</v>
      </c>
      <c r="B87" s="26">
        <v>29936</v>
      </c>
      <c r="C87" s="26" t="s">
        <v>284</v>
      </c>
      <c r="D87" s="31">
        <v>120</v>
      </c>
      <c r="E87" s="31">
        <v>3</v>
      </c>
      <c r="F87" s="38">
        <v>0.32915</v>
      </c>
      <c r="G87" s="32" t="s">
        <v>535</v>
      </c>
      <c r="H87" s="33">
        <v>20.885399999999997</v>
      </c>
      <c r="I87" s="11"/>
      <c r="J87" s="33">
        <f t="shared" si="11"/>
        <v>0</v>
      </c>
      <c r="M87" s="20" t="str">
        <f t="shared" si="12"/>
        <v>-</v>
      </c>
      <c r="N87" s="20" t="str">
        <f t="shared" si="9"/>
        <v>-</v>
      </c>
      <c r="O87" s="21" t="str">
        <f t="shared" si="13"/>
        <v>-</v>
      </c>
      <c r="P87" s="22" t="str">
        <f t="shared" si="14"/>
        <v>-</v>
      </c>
      <c r="R87" s="22" t="str">
        <f t="shared" si="10"/>
        <v>-</v>
      </c>
    </row>
    <row r="88" spans="1:18" ht="14.4" x14ac:dyDescent="0.25">
      <c r="A88" s="30">
        <v>97467030855</v>
      </c>
      <c r="B88" s="26">
        <v>3085</v>
      </c>
      <c r="C88" s="26" t="s">
        <v>281</v>
      </c>
      <c r="D88" s="31">
        <v>180</v>
      </c>
      <c r="E88" s="31">
        <v>3</v>
      </c>
      <c r="F88" s="38">
        <v>0.57203999999999999</v>
      </c>
      <c r="G88" s="32" t="s">
        <v>535</v>
      </c>
      <c r="H88" s="33">
        <v>31.955399999999997</v>
      </c>
      <c r="I88" s="11"/>
      <c r="J88" s="33">
        <f t="shared" si="11"/>
        <v>0</v>
      </c>
      <c r="M88" s="20" t="str">
        <f t="shared" si="12"/>
        <v>-</v>
      </c>
      <c r="N88" s="20" t="str">
        <f t="shared" si="9"/>
        <v>-</v>
      </c>
      <c r="O88" s="21" t="str">
        <f t="shared" si="13"/>
        <v>-</v>
      </c>
      <c r="P88" s="22" t="str">
        <f t="shared" si="14"/>
        <v>-</v>
      </c>
      <c r="R88" s="22" t="str">
        <f t="shared" si="10"/>
        <v>-</v>
      </c>
    </row>
    <row r="89" spans="1:18" ht="14.4" x14ac:dyDescent="0.25">
      <c r="A89" s="30">
        <v>97467033016</v>
      </c>
      <c r="B89" s="26">
        <v>3301</v>
      </c>
      <c r="C89" s="26" t="s">
        <v>181</v>
      </c>
      <c r="D89" s="31">
        <v>180</v>
      </c>
      <c r="E89" s="31">
        <v>3</v>
      </c>
      <c r="F89" s="38">
        <v>0.62652000000000008</v>
      </c>
      <c r="G89" s="32" t="s">
        <v>535</v>
      </c>
      <c r="H89" s="33">
        <v>22.607399999999998</v>
      </c>
      <c r="I89" s="11"/>
      <c r="J89" s="33">
        <f t="shared" si="11"/>
        <v>0</v>
      </c>
      <c r="M89" s="20" t="str">
        <f t="shared" si="12"/>
        <v>-</v>
      </c>
      <c r="N89" s="20" t="str">
        <f t="shared" si="9"/>
        <v>-</v>
      </c>
      <c r="O89" s="21" t="str">
        <f t="shared" si="13"/>
        <v>-</v>
      </c>
      <c r="P89" s="22" t="str">
        <f t="shared" si="14"/>
        <v>-</v>
      </c>
      <c r="R89" s="22" t="str">
        <f t="shared" si="10"/>
        <v>-</v>
      </c>
    </row>
    <row r="90" spans="1:18" ht="14.4" x14ac:dyDescent="0.25">
      <c r="A90" s="30">
        <v>97467033603</v>
      </c>
      <c r="B90" s="26">
        <v>3360</v>
      </c>
      <c r="C90" s="26" t="s">
        <v>184</v>
      </c>
      <c r="D90" s="31">
        <v>180</v>
      </c>
      <c r="E90" s="31">
        <v>3</v>
      </c>
      <c r="F90" s="38">
        <v>0.35298499999999999</v>
      </c>
      <c r="G90" s="32" t="s">
        <v>535</v>
      </c>
      <c r="H90" s="33">
        <v>18.4254</v>
      </c>
      <c r="I90" s="11"/>
      <c r="J90" s="33">
        <f t="shared" si="11"/>
        <v>0</v>
      </c>
      <c r="M90" s="20" t="str">
        <f t="shared" si="12"/>
        <v>-</v>
      </c>
      <c r="N90" s="20" t="str">
        <f t="shared" si="9"/>
        <v>-</v>
      </c>
      <c r="O90" s="21" t="str">
        <f t="shared" si="13"/>
        <v>-</v>
      </c>
      <c r="P90" s="22" t="str">
        <f t="shared" si="14"/>
        <v>-</v>
      </c>
      <c r="R90" s="22" t="str">
        <f t="shared" si="10"/>
        <v>-</v>
      </c>
    </row>
    <row r="91" spans="1:18" ht="14.4" x14ac:dyDescent="0.25">
      <c r="A91" s="30">
        <v>97467336483</v>
      </c>
      <c r="B91" s="26">
        <v>33648</v>
      </c>
      <c r="C91" s="26" t="s">
        <v>309</v>
      </c>
      <c r="D91" s="31">
        <v>60</v>
      </c>
      <c r="E91" s="31">
        <v>3</v>
      </c>
      <c r="F91" s="38">
        <v>0.41881499999999999</v>
      </c>
      <c r="G91" s="32" t="s">
        <v>535</v>
      </c>
      <c r="H91" s="33">
        <v>11.9679</v>
      </c>
      <c r="I91" s="11"/>
      <c r="J91" s="33">
        <f t="shared" si="11"/>
        <v>0</v>
      </c>
      <c r="M91" s="20" t="str">
        <f t="shared" si="12"/>
        <v>-</v>
      </c>
      <c r="N91" s="20" t="str">
        <f t="shared" si="9"/>
        <v>-</v>
      </c>
      <c r="O91" s="21" t="str">
        <f t="shared" si="13"/>
        <v>-</v>
      </c>
      <c r="P91" s="22" t="str">
        <f t="shared" si="14"/>
        <v>-</v>
      </c>
      <c r="R91" s="22" t="str">
        <f t="shared" si="10"/>
        <v>-</v>
      </c>
    </row>
    <row r="92" spans="1:18" ht="14.4" x14ac:dyDescent="0.25">
      <c r="A92" s="30">
        <v>97467336490</v>
      </c>
      <c r="B92" s="26">
        <v>33649</v>
      </c>
      <c r="C92" s="26" t="s">
        <v>310</v>
      </c>
      <c r="D92" s="31">
        <v>60</v>
      </c>
      <c r="E92" s="31">
        <v>3</v>
      </c>
      <c r="F92" s="38">
        <v>0.41881499999999999</v>
      </c>
      <c r="G92" s="32" t="s">
        <v>535</v>
      </c>
      <c r="H92" s="33">
        <v>11.9679</v>
      </c>
      <c r="I92" s="11"/>
      <c r="J92" s="33">
        <f t="shared" si="11"/>
        <v>0</v>
      </c>
      <c r="M92" s="20" t="str">
        <f t="shared" si="12"/>
        <v>-</v>
      </c>
      <c r="N92" s="20" t="str">
        <f t="shared" si="9"/>
        <v>-</v>
      </c>
      <c r="O92" s="21" t="str">
        <f t="shared" si="13"/>
        <v>-</v>
      </c>
      <c r="P92" s="22" t="str">
        <f t="shared" si="14"/>
        <v>-</v>
      </c>
      <c r="R92" s="22" t="str">
        <f t="shared" si="10"/>
        <v>-</v>
      </c>
    </row>
    <row r="93" spans="1:18" ht="14.4" x14ac:dyDescent="0.25">
      <c r="A93" s="30">
        <v>97467336940</v>
      </c>
      <c r="B93" s="26">
        <v>33694</v>
      </c>
      <c r="C93" s="26" t="s">
        <v>312</v>
      </c>
      <c r="D93" s="31">
        <v>75</v>
      </c>
      <c r="E93" s="31">
        <v>3</v>
      </c>
      <c r="F93" s="38">
        <v>0.307585</v>
      </c>
      <c r="G93" s="32" t="s">
        <v>535</v>
      </c>
      <c r="H93" s="33">
        <v>13.247099999999998</v>
      </c>
      <c r="I93" s="11"/>
      <c r="J93" s="33">
        <f t="shared" si="11"/>
        <v>0</v>
      </c>
      <c r="M93" s="20" t="str">
        <f t="shared" si="12"/>
        <v>-</v>
      </c>
      <c r="N93" s="20" t="str">
        <f t="shared" si="9"/>
        <v>-</v>
      </c>
      <c r="O93" s="21" t="str">
        <f t="shared" si="13"/>
        <v>-</v>
      </c>
      <c r="P93" s="22" t="str">
        <f t="shared" si="14"/>
        <v>-</v>
      </c>
      <c r="R93" s="22" t="str">
        <f t="shared" si="10"/>
        <v>-</v>
      </c>
    </row>
    <row r="94" spans="1:18" ht="14.4" x14ac:dyDescent="0.25">
      <c r="A94" s="30">
        <v>97467033719</v>
      </c>
      <c r="B94" s="26">
        <v>3371</v>
      </c>
      <c r="C94" s="26" t="s">
        <v>190</v>
      </c>
      <c r="D94" s="31">
        <v>100</v>
      </c>
      <c r="E94" s="31">
        <v>3</v>
      </c>
      <c r="F94" s="38">
        <v>7.4910000000000004E-2</v>
      </c>
      <c r="G94" s="32" t="s">
        <v>535</v>
      </c>
      <c r="H94" s="33">
        <v>8.5853999999999999</v>
      </c>
      <c r="I94" s="11"/>
      <c r="J94" s="33">
        <f t="shared" si="11"/>
        <v>0</v>
      </c>
      <c r="M94" s="20" t="str">
        <f t="shared" si="12"/>
        <v>-</v>
      </c>
      <c r="N94" s="20" t="str">
        <f t="shared" si="9"/>
        <v>-</v>
      </c>
      <c r="O94" s="21" t="str">
        <f t="shared" si="13"/>
        <v>-</v>
      </c>
      <c r="P94" s="22" t="str">
        <f t="shared" si="14"/>
        <v>-</v>
      </c>
      <c r="R94" s="22" t="str">
        <f t="shared" si="10"/>
        <v>-</v>
      </c>
    </row>
    <row r="95" spans="1:18" ht="14.4" x14ac:dyDescent="0.25">
      <c r="A95" s="30">
        <v>97467034105</v>
      </c>
      <c r="B95" s="26">
        <v>3410</v>
      </c>
      <c r="C95" s="26" t="s">
        <v>191</v>
      </c>
      <c r="D95" s="31">
        <v>90</v>
      </c>
      <c r="E95" s="31">
        <v>3</v>
      </c>
      <c r="F95" s="38">
        <v>7.831500000000001E-2</v>
      </c>
      <c r="G95" s="32" t="s">
        <v>535</v>
      </c>
      <c r="H95" s="33">
        <v>6.1253999999999991</v>
      </c>
      <c r="I95" s="11"/>
      <c r="J95" s="33">
        <f t="shared" si="11"/>
        <v>0</v>
      </c>
      <c r="M95" s="20" t="str">
        <f t="shared" si="12"/>
        <v>-</v>
      </c>
      <c r="N95" s="20" t="str">
        <f t="shared" si="9"/>
        <v>-</v>
      </c>
      <c r="O95" s="21" t="str">
        <f t="shared" si="13"/>
        <v>-</v>
      </c>
      <c r="P95" s="22" t="str">
        <f t="shared" si="14"/>
        <v>-</v>
      </c>
      <c r="R95" s="22" t="str">
        <f t="shared" si="10"/>
        <v>-</v>
      </c>
    </row>
    <row r="96" spans="1:18" ht="14.4" x14ac:dyDescent="0.25">
      <c r="A96" s="30">
        <v>97467035607</v>
      </c>
      <c r="B96" s="26">
        <v>3560</v>
      </c>
      <c r="C96" s="26" t="s">
        <v>194</v>
      </c>
      <c r="D96" s="31">
        <v>180</v>
      </c>
      <c r="E96" s="31">
        <v>3</v>
      </c>
      <c r="F96" s="38">
        <v>0.22586500000000001</v>
      </c>
      <c r="G96" s="32" t="s">
        <v>535</v>
      </c>
      <c r="H96" s="33">
        <v>13.505400000000002</v>
      </c>
      <c r="I96" s="11"/>
      <c r="J96" s="33">
        <f t="shared" si="11"/>
        <v>0</v>
      </c>
      <c r="M96" s="20" t="str">
        <f t="shared" si="12"/>
        <v>-</v>
      </c>
      <c r="N96" s="20" t="str">
        <f t="shared" si="9"/>
        <v>-</v>
      </c>
      <c r="O96" s="21" t="str">
        <f t="shared" si="13"/>
        <v>-</v>
      </c>
      <c r="P96" s="22" t="str">
        <f t="shared" si="14"/>
        <v>-</v>
      </c>
      <c r="R96" s="22" t="str">
        <f t="shared" si="10"/>
        <v>-</v>
      </c>
    </row>
    <row r="97" spans="1:18" ht="14.4" x14ac:dyDescent="0.25">
      <c r="A97" s="30">
        <v>97467039674</v>
      </c>
      <c r="B97" s="26">
        <v>3967</v>
      </c>
      <c r="C97" s="27" t="s">
        <v>541</v>
      </c>
      <c r="D97" s="31">
        <v>60</v>
      </c>
      <c r="E97" s="31">
        <v>3</v>
      </c>
      <c r="F97" s="38">
        <v>0.16116999999999998</v>
      </c>
      <c r="G97" s="32" t="s">
        <v>535</v>
      </c>
      <c r="H97" s="33">
        <v>13.997399999999999</v>
      </c>
      <c r="I97" s="11"/>
      <c r="J97" s="33">
        <f t="shared" si="11"/>
        <v>0</v>
      </c>
      <c r="M97" s="20" t="str">
        <f t="shared" si="12"/>
        <v>-</v>
      </c>
      <c r="N97" s="20" t="str">
        <f t="shared" si="9"/>
        <v>-</v>
      </c>
      <c r="O97" s="21" t="str">
        <f t="shared" si="13"/>
        <v>-</v>
      </c>
      <c r="P97" s="22" t="str">
        <f t="shared" si="14"/>
        <v>-</v>
      </c>
      <c r="R97" s="22" t="str">
        <f t="shared" si="10"/>
        <v>-</v>
      </c>
    </row>
    <row r="98" spans="1:18" ht="14.4" x14ac:dyDescent="0.25">
      <c r="A98" s="30">
        <v>97467041738</v>
      </c>
      <c r="B98" s="26">
        <v>4173</v>
      </c>
      <c r="C98" s="26" t="s">
        <v>317</v>
      </c>
      <c r="D98" s="31">
        <v>180</v>
      </c>
      <c r="E98" s="31">
        <v>3</v>
      </c>
      <c r="F98" s="38">
        <v>0.12712000000000001</v>
      </c>
      <c r="G98" s="32" t="s">
        <v>535</v>
      </c>
      <c r="H98" s="33">
        <v>17.195399999999999</v>
      </c>
      <c r="I98" s="11"/>
      <c r="J98" s="33">
        <f t="shared" si="11"/>
        <v>0</v>
      </c>
      <c r="M98" s="20" t="str">
        <f t="shared" si="12"/>
        <v>-</v>
      </c>
      <c r="N98" s="20" t="str">
        <f t="shared" si="9"/>
        <v>-</v>
      </c>
      <c r="O98" s="21" t="str">
        <f t="shared" si="13"/>
        <v>-</v>
      </c>
      <c r="P98" s="22" t="str">
        <f t="shared" si="14"/>
        <v>-</v>
      </c>
      <c r="R98" s="22" t="str">
        <f t="shared" si="10"/>
        <v>-</v>
      </c>
    </row>
    <row r="99" spans="1:18" ht="14.4" x14ac:dyDescent="0.25">
      <c r="A99" s="30">
        <v>97467043701</v>
      </c>
      <c r="B99" s="26">
        <v>4370</v>
      </c>
      <c r="C99" s="26" t="s">
        <v>319</v>
      </c>
      <c r="D99" s="31">
        <v>90</v>
      </c>
      <c r="E99" s="31">
        <v>3</v>
      </c>
      <c r="F99" s="38">
        <v>0.10101499999999999</v>
      </c>
      <c r="G99" s="32" t="s">
        <v>535</v>
      </c>
      <c r="H99" s="33">
        <v>9.5078999999999994</v>
      </c>
      <c r="I99" s="11"/>
      <c r="J99" s="33">
        <f t="shared" si="11"/>
        <v>0</v>
      </c>
      <c r="M99" s="20" t="str">
        <f t="shared" ref="M99:M109" si="15">IFERROR(IF($M$2*F99=0, "-", $M$2*F99), "-")</f>
        <v>-</v>
      </c>
      <c r="N99" s="20" t="str">
        <f t="shared" si="9"/>
        <v>-</v>
      </c>
      <c r="O99" s="21" t="str">
        <f t="shared" ref="O99:O109" si="16">IF(I99&gt;0,I99*F99, "-")</f>
        <v>-</v>
      </c>
      <c r="P99" s="22" t="str">
        <f t="shared" ref="P99:P130" si="17">IFERROR(IF($M$2&gt;0, $M$2*O99, "-"), "-")</f>
        <v>-</v>
      </c>
      <c r="R99" s="22" t="str">
        <f t="shared" si="10"/>
        <v>-</v>
      </c>
    </row>
    <row r="100" spans="1:18" ht="14.4" x14ac:dyDescent="0.25">
      <c r="A100" s="30">
        <v>97467439085</v>
      </c>
      <c r="B100" s="26">
        <v>43908</v>
      </c>
      <c r="C100" s="26" t="s">
        <v>328</v>
      </c>
      <c r="D100" s="31">
        <v>30</v>
      </c>
      <c r="E100" s="31">
        <v>3</v>
      </c>
      <c r="F100" s="38">
        <v>0.107825</v>
      </c>
      <c r="G100" s="32" t="s">
        <v>535</v>
      </c>
      <c r="H100" s="33">
        <v>11.9679</v>
      </c>
      <c r="I100" s="11"/>
      <c r="J100" s="33">
        <f t="shared" si="11"/>
        <v>0</v>
      </c>
      <c r="M100" s="20" t="str">
        <f t="shared" si="15"/>
        <v>-</v>
      </c>
      <c r="N100" s="20" t="str">
        <f t="shared" si="9"/>
        <v>-</v>
      </c>
      <c r="O100" s="21" t="str">
        <f t="shared" si="16"/>
        <v>-</v>
      </c>
      <c r="P100" s="22" t="str">
        <f t="shared" si="17"/>
        <v>-</v>
      </c>
      <c r="R100" s="22" t="str">
        <f t="shared" si="10"/>
        <v>-</v>
      </c>
    </row>
    <row r="101" spans="1:18" ht="14.4" x14ac:dyDescent="0.25">
      <c r="A101" s="30">
        <v>97467445611</v>
      </c>
      <c r="B101" s="26">
        <v>44561</v>
      </c>
      <c r="C101" s="26" t="s">
        <v>329</v>
      </c>
      <c r="D101" s="31">
        <v>60</v>
      </c>
      <c r="E101" s="31">
        <v>3</v>
      </c>
      <c r="F101" s="38">
        <v>0.207705</v>
      </c>
      <c r="G101" s="32" t="s">
        <v>535</v>
      </c>
      <c r="H101" s="33">
        <v>15.350399999999999</v>
      </c>
      <c r="I101" s="11"/>
      <c r="J101" s="33">
        <f t="shared" si="11"/>
        <v>0</v>
      </c>
      <c r="M101" s="20" t="str">
        <f t="shared" si="15"/>
        <v>-</v>
      </c>
      <c r="N101" s="20" t="str">
        <f t="shared" si="9"/>
        <v>-</v>
      </c>
      <c r="O101" s="21" t="str">
        <f t="shared" si="16"/>
        <v>-</v>
      </c>
      <c r="P101" s="22" t="str">
        <f t="shared" si="17"/>
        <v>-</v>
      </c>
      <c r="R101" s="22" t="str">
        <f t="shared" si="10"/>
        <v>-</v>
      </c>
    </row>
    <row r="102" spans="1:18" ht="14.4" x14ac:dyDescent="0.25">
      <c r="A102" s="30">
        <v>97467044609</v>
      </c>
      <c r="B102" s="26">
        <v>4460</v>
      </c>
      <c r="C102" s="26" t="s">
        <v>346</v>
      </c>
      <c r="D102" s="31">
        <v>180</v>
      </c>
      <c r="E102" s="31">
        <v>3</v>
      </c>
      <c r="F102" s="38">
        <v>0.116905</v>
      </c>
      <c r="G102" s="32" t="s">
        <v>535</v>
      </c>
      <c r="H102" s="33">
        <v>7.6629000000000005</v>
      </c>
      <c r="I102" s="11"/>
      <c r="J102" s="33">
        <f t="shared" si="11"/>
        <v>0</v>
      </c>
      <c r="M102" s="20" t="str">
        <f t="shared" si="15"/>
        <v>-</v>
      </c>
      <c r="N102" s="20" t="str">
        <f t="shared" si="9"/>
        <v>-</v>
      </c>
      <c r="O102" s="21" t="str">
        <f t="shared" si="16"/>
        <v>-</v>
      </c>
      <c r="P102" s="22" t="str">
        <f t="shared" si="17"/>
        <v>-</v>
      </c>
      <c r="R102" s="22" t="str">
        <f t="shared" si="10"/>
        <v>-</v>
      </c>
    </row>
    <row r="103" spans="1:18" ht="14.4" x14ac:dyDescent="0.25">
      <c r="A103" s="30">
        <v>97467044623</v>
      </c>
      <c r="B103" s="26">
        <v>4462</v>
      </c>
      <c r="C103" s="26" t="s">
        <v>346</v>
      </c>
      <c r="D103" s="31">
        <v>360</v>
      </c>
      <c r="E103" s="31">
        <v>3</v>
      </c>
      <c r="F103" s="38">
        <v>0.21792</v>
      </c>
      <c r="G103" s="32" t="s">
        <v>535</v>
      </c>
      <c r="H103" s="33">
        <v>13.505400000000002</v>
      </c>
      <c r="I103" s="11"/>
      <c r="J103" s="33">
        <f t="shared" si="11"/>
        <v>0</v>
      </c>
      <c r="M103" s="20" t="str">
        <f t="shared" si="15"/>
        <v>-</v>
      </c>
      <c r="N103" s="20" t="str">
        <f t="shared" si="9"/>
        <v>-</v>
      </c>
      <c r="O103" s="21" t="str">
        <f t="shared" si="16"/>
        <v>-</v>
      </c>
      <c r="P103" s="22" t="str">
        <f t="shared" si="17"/>
        <v>-</v>
      </c>
      <c r="R103" s="22" t="str">
        <f t="shared" si="10"/>
        <v>-</v>
      </c>
    </row>
    <row r="104" spans="1:18" ht="14.4" x14ac:dyDescent="0.25">
      <c r="A104" s="30">
        <v>97467476240</v>
      </c>
      <c r="B104" s="26">
        <v>47624</v>
      </c>
      <c r="C104" s="26" t="s">
        <v>360</v>
      </c>
      <c r="D104" s="31">
        <v>90</v>
      </c>
      <c r="E104" s="31">
        <v>3</v>
      </c>
      <c r="F104" s="38">
        <v>7.7180000000000012E-2</v>
      </c>
      <c r="G104" s="32" t="s">
        <v>535</v>
      </c>
      <c r="H104" s="33">
        <v>4.5878999999999994</v>
      </c>
      <c r="I104" s="11"/>
      <c r="J104" s="33">
        <f t="shared" si="11"/>
        <v>0</v>
      </c>
      <c r="M104" s="20" t="str">
        <f t="shared" si="15"/>
        <v>-</v>
      </c>
      <c r="N104" s="20" t="str">
        <f t="shared" si="9"/>
        <v>-</v>
      </c>
      <c r="O104" s="21" t="str">
        <f t="shared" si="16"/>
        <v>-</v>
      </c>
      <c r="P104" s="22" t="str">
        <f t="shared" si="17"/>
        <v>-</v>
      </c>
      <c r="R104" s="22" t="str">
        <f t="shared" si="10"/>
        <v>-</v>
      </c>
    </row>
    <row r="105" spans="1:18" ht="14.4" x14ac:dyDescent="0.25">
      <c r="A105" s="30">
        <v>97467476288</v>
      </c>
      <c r="B105" s="26">
        <v>47628</v>
      </c>
      <c r="C105" s="26" t="s">
        <v>364</v>
      </c>
      <c r="D105" s="31">
        <v>90</v>
      </c>
      <c r="E105" s="31">
        <v>3</v>
      </c>
      <c r="F105" s="38">
        <v>7.7180000000000012E-2</v>
      </c>
      <c r="G105" s="32" t="s">
        <v>535</v>
      </c>
      <c r="H105" s="33">
        <v>13.505400000000002</v>
      </c>
      <c r="I105" s="11"/>
      <c r="J105" s="33">
        <f t="shared" si="11"/>
        <v>0</v>
      </c>
      <c r="M105" s="20" t="str">
        <f t="shared" si="15"/>
        <v>-</v>
      </c>
      <c r="N105" s="20" t="str">
        <f t="shared" si="9"/>
        <v>-</v>
      </c>
      <c r="O105" s="21" t="str">
        <f t="shared" si="16"/>
        <v>-</v>
      </c>
      <c r="P105" s="22" t="str">
        <f t="shared" si="17"/>
        <v>-</v>
      </c>
      <c r="R105" s="22" t="str">
        <f t="shared" si="10"/>
        <v>-</v>
      </c>
    </row>
    <row r="106" spans="1:18" ht="14.4" hidden="1" x14ac:dyDescent="0.25">
      <c r="A106" s="30">
        <v>97467052987</v>
      </c>
      <c r="B106" s="26" t="s">
        <v>1</v>
      </c>
      <c r="C106" s="26" t="s">
        <v>365</v>
      </c>
      <c r="D106" s="31">
        <v>60</v>
      </c>
      <c r="E106" s="31">
        <v>3</v>
      </c>
      <c r="F106" s="38"/>
      <c r="G106" s="32" t="s">
        <v>535</v>
      </c>
      <c r="H106" s="33">
        <v>2.9699999999999998</v>
      </c>
      <c r="I106" s="11"/>
      <c r="J106" s="33">
        <f t="shared" si="11"/>
        <v>0</v>
      </c>
      <c r="M106" s="20" t="str">
        <f t="shared" si="15"/>
        <v>-</v>
      </c>
      <c r="N106" s="20" t="str">
        <f t="shared" si="9"/>
        <v>-</v>
      </c>
      <c r="O106" s="21" t="str">
        <f t="shared" si="16"/>
        <v>-</v>
      </c>
      <c r="P106" s="22" t="str">
        <f t="shared" si="17"/>
        <v>-</v>
      </c>
      <c r="R106" s="22" t="str">
        <f t="shared" si="10"/>
        <v>-</v>
      </c>
    </row>
    <row r="107" spans="1:18" ht="14.4" x14ac:dyDescent="0.25">
      <c r="A107" s="30">
        <v>97467459625</v>
      </c>
      <c r="B107" s="26">
        <v>45962</v>
      </c>
      <c r="C107" s="26" t="s">
        <v>366</v>
      </c>
      <c r="D107" s="31" t="s">
        <v>126</v>
      </c>
      <c r="E107" s="31">
        <v>3</v>
      </c>
      <c r="F107" s="38">
        <v>0.82741500000000001</v>
      </c>
      <c r="G107" s="32" t="s">
        <v>535</v>
      </c>
      <c r="H107" s="33">
        <v>39.446100000000001</v>
      </c>
      <c r="I107" s="11"/>
      <c r="J107" s="33">
        <f t="shared" si="11"/>
        <v>0</v>
      </c>
      <c r="M107" s="20" t="str">
        <f t="shared" si="15"/>
        <v>-</v>
      </c>
      <c r="N107" s="20" t="str">
        <f t="shared" si="9"/>
        <v>-</v>
      </c>
      <c r="O107" s="21" t="str">
        <f t="shared" si="16"/>
        <v>-</v>
      </c>
      <c r="P107" s="22" t="str">
        <f t="shared" si="17"/>
        <v>-</v>
      </c>
      <c r="R107" s="22" t="str">
        <f t="shared" si="10"/>
        <v>-</v>
      </c>
    </row>
    <row r="108" spans="1:18" ht="14.4" x14ac:dyDescent="0.25">
      <c r="A108" s="30">
        <v>97467959675</v>
      </c>
      <c r="B108" s="26">
        <v>95967</v>
      </c>
      <c r="C108" s="26" t="s">
        <v>367</v>
      </c>
      <c r="D108" s="31" t="s">
        <v>127</v>
      </c>
      <c r="E108" s="31">
        <v>3</v>
      </c>
      <c r="F108" s="38">
        <v>0.31326000000000004</v>
      </c>
      <c r="G108" s="32" t="s">
        <v>535</v>
      </c>
      <c r="H108" s="33">
        <v>25.055099999999996</v>
      </c>
      <c r="I108" s="11"/>
      <c r="J108" s="33">
        <f t="shared" si="11"/>
        <v>0</v>
      </c>
      <c r="M108" s="20" t="str">
        <f t="shared" si="15"/>
        <v>-</v>
      </c>
      <c r="N108" s="20" t="str">
        <f t="shared" si="9"/>
        <v>-</v>
      </c>
      <c r="O108" s="21" t="str">
        <f t="shared" si="16"/>
        <v>-</v>
      </c>
      <c r="P108" s="22" t="str">
        <f t="shared" si="17"/>
        <v>-</v>
      </c>
      <c r="R108" s="22" t="str">
        <f t="shared" si="10"/>
        <v>-</v>
      </c>
    </row>
    <row r="109" spans="1:18" ht="14.4" x14ac:dyDescent="0.25">
      <c r="A109" s="30">
        <v>97467459656</v>
      </c>
      <c r="B109" s="26">
        <v>45965</v>
      </c>
      <c r="C109" s="26" t="s">
        <v>369</v>
      </c>
      <c r="D109" s="31" t="s">
        <v>129</v>
      </c>
      <c r="E109" s="31">
        <v>3</v>
      </c>
      <c r="F109" s="38">
        <v>0.35638999999999998</v>
      </c>
      <c r="G109" s="32" t="s">
        <v>535</v>
      </c>
      <c r="H109" s="33">
        <v>27.269100000000002</v>
      </c>
      <c r="I109" s="11"/>
      <c r="J109" s="33">
        <f t="shared" si="11"/>
        <v>0</v>
      </c>
      <c r="M109" s="20" t="str">
        <f t="shared" si="15"/>
        <v>-</v>
      </c>
      <c r="N109" s="20" t="str">
        <f t="shared" si="9"/>
        <v>-</v>
      </c>
      <c r="O109" s="21" t="str">
        <f t="shared" si="16"/>
        <v>-</v>
      </c>
      <c r="P109" s="22" t="str">
        <f t="shared" si="17"/>
        <v>-</v>
      </c>
      <c r="R109" s="22" t="str">
        <f t="shared" si="10"/>
        <v>-</v>
      </c>
    </row>
    <row r="110" spans="1:18" ht="14.4" x14ac:dyDescent="0.25">
      <c r="A110" s="30">
        <v>97467459663</v>
      </c>
      <c r="B110" s="26">
        <v>45966</v>
      </c>
      <c r="C110" s="26" t="s">
        <v>370</v>
      </c>
      <c r="D110" s="31" t="s">
        <v>130</v>
      </c>
      <c r="E110" s="31">
        <v>3</v>
      </c>
      <c r="F110" s="38">
        <v>0.52210000000000001</v>
      </c>
      <c r="G110" s="32" t="s">
        <v>535</v>
      </c>
      <c r="H110" s="33">
        <v>22.103099999999998</v>
      </c>
      <c r="I110" s="11"/>
      <c r="J110" s="33">
        <f t="shared" si="11"/>
        <v>0</v>
      </c>
      <c r="M110" s="20" t="str">
        <f t="shared" ref="M110:M173" si="18">IFERROR(IF($M$2*F110=0, "-", $M$2*F110), "-")</f>
        <v>-</v>
      </c>
      <c r="N110" s="20" t="str">
        <f t="shared" si="9"/>
        <v>-</v>
      </c>
      <c r="O110" s="21" t="str">
        <f t="shared" ref="O110:O173" si="19">IF(I110&gt;0,I110*F110, "-")</f>
        <v>-</v>
      </c>
      <c r="P110" s="22" t="str">
        <f t="shared" si="17"/>
        <v>-</v>
      </c>
      <c r="R110" s="22" t="str">
        <f t="shared" si="10"/>
        <v>-</v>
      </c>
    </row>
    <row r="111" spans="1:18" ht="14.4" x14ac:dyDescent="0.25">
      <c r="A111" s="30">
        <v>97467459670</v>
      </c>
      <c r="B111" s="26">
        <v>45967</v>
      </c>
      <c r="C111" s="26" t="s">
        <v>371</v>
      </c>
      <c r="D111" s="31" t="s">
        <v>131</v>
      </c>
      <c r="E111" s="31">
        <v>3</v>
      </c>
      <c r="F111" s="38">
        <v>0.53798999999999997</v>
      </c>
      <c r="G111" s="32" t="s">
        <v>535</v>
      </c>
      <c r="H111" s="33">
        <v>22.103099999999998</v>
      </c>
      <c r="I111" s="11"/>
      <c r="J111" s="33">
        <f t="shared" si="11"/>
        <v>0</v>
      </c>
      <c r="M111" s="20" t="str">
        <f t="shared" si="18"/>
        <v>-</v>
      </c>
      <c r="N111" s="20" t="str">
        <f t="shared" ref="N111:N174" si="20">IF(I111&gt;0,H111+M111,"-")</f>
        <v>-</v>
      </c>
      <c r="O111" s="21" t="str">
        <f t="shared" si="19"/>
        <v>-</v>
      </c>
      <c r="P111" s="22" t="str">
        <f t="shared" ref="P111:P174" si="21">IFERROR(IF($M$2&gt;0, $M$2*O111, "-"), "-")</f>
        <v>-</v>
      </c>
      <c r="R111" s="22" t="str">
        <f t="shared" ref="R111:R174" si="22">IFERROR(IF(P111+J111=0, "-", IF(P111&gt;0, P111+J111, "-")), "-")</f>
        <v>-</v>
      </c>
    </row>
    <row r="112" spans="1:18" ht="14.4" x14ac:dyDescent="0.25">
      <c r="A112" s="30">
        <v>97467459694</v>
      </c>
      <c r="B112" s="26">
        <v>45969</v>
      </c>
      <c r="C112" s="26" t="s">
        <v>372</v>
      </c>
      <c r="D112" s="31" t="s">
        <v>130</v>
      </c>
      <c r="E112" s="31">
        <v>3</v>
      </c>
      <c r="F112" s="38">
        <v>0.51756000000000002</v>
      </c>
      <c r="G112" s="32" t="s">
        <v>535</v>
      </c>
      <c r="H112" s="33">
        <v>22.103099999999998</v>
      </c>
      <c r="I112" s="11"/>
      <c r="J112" s="33">
        <f t="shared" si="11"/>
        <v>0</v>
      </c>
      <c r="M112" s="20" t="str">
        <f t="shared" si="18"/>
        <v>-</v>
      </c>
      <c r="N112" s="20" t="str">
        <f t="shared" si="20"/>
        <v>-</v>
      </c>
      <c r="O112" s="21" t="str">
        <f t="shared" si="19"/>
        <v>-</v>
      </c>
      <c r="P112" s="22" t="str">
        <f t="shared" si="21"/>
        <v>-</v>
      </c>
      <c r="R112" s="22" t="str">
        <f t="shared" si="22"/>
        <v>-</v>
      </c>
    </row>
    <row r="113" spans="1:18" ht="14.4" x14ac:dyDescent="0.25">
      <c r="A113" s="30">
        <v>97467459687</v>
      </c>
      <c r="B113" s="26">
        <v>45968</v>
      </c>
      <c r="C113" s="26" t="s">
        <v>373</v>
      </c>
      <c r="D113" s="31" t="s">
        <v>132</v>
      </c>
      <c r="E113" s="31">
        <v>3</v>
      </c>
      <c r="F113" s="38">
        <v>0.45059500000000002</v>
      </c>
      <c r="G113" s="32" t="s">
        <v>535</v>
      </c>
      <c r="H113" s="33">
        <v>19.889100000000003</v>
      </c>
      <c r="I113" s="11"/>
      <c r="J113" s="33">
        <f t="shared" si="11"/>
        <v>0</v>
      </c>
      <c r="M113" s="20" t="str">
        <f t="shared" si="18"/>
        <v>-</v>
      </c>
      <c r="N113" s="20" t="str">
        <f t="shared" si="20"/>
        <v>-</v>
      </c>
      <c r="O113" s="21" t="str">
        <f t="shared" si="19"/>
        <v>-</v>
      </c>
      <c r="P113" s="22" t="str">
        <f t="shared" si="21"/>
        <v>-</v>
      </c>
      <c r="R113" s="22" t="str">
        <f t="shared" si="22"/>
        <v>-</v>
      </c>
    </row>
    <row r="114" spans="1:18" ht="14.4" x14ac:dyDescent="0.25">
      <c r="A114" s="30">
        <v>97467459717</v>
      </c>
      <c r="B114" s="26">
        <v>45971</v>
      </c>
      <c r="C114" s="26" t="s">
        <v>374</v>
      </c>
      <c r="D114" s="31">
        <v>120</v>
      </c>
      <c r="E114" s="31">
        <v>3</v>
      </c>
      <c r="F114" s="38">
        <v>0.12031</v>
      </c>
      <c r="G114" s="32" t="s">
        <v>535</v>
      </c>
      <c r="H114" s="33">
        <v>15.965399999999999</v>
      </c>
      <c r="I114" s="11"/>
      <c r="J114" s="33">
        <f t="shared" si="11"/>
        <v>0</v>
      </c>
      <c r="M114" s="20" t="str">
        <f t="shared" si="18"/>
        <v>-</v>
      </c>
      <c r="N114" s="20" t="str">
        <f t="shared" si="20"/>
        <v>-</v>
      </c>
      <c r="O114" s="21" t="str">
        <f t="shared" si="19"/>
        <v>-</v>
      </c>
      <c r="P114" s="22" t="str">
        <f t="shared" si="21"/>
        <v>-</v>
      </c>
      <c r="R114" s="22" t="str">
        <f t="shared" si="22"/>
        <v>-</v>
      </c>
    </row>
    <row r="115" spans="1:18" ht="14.4" x14ac:dyDescent="0.25">
      <c r="A115" s="30">
        <v>97467459724</v>
      </c>
      <c r="B115" s="26">
        <v>45972</v>
      </c>
      <c r="C115" s="26" t="s">
        <v>374</v>
      </c>
      <c r="D115" s="31">
        <v>240</v>
      </c>
      <c r="E115" s="31">
        <v>3</v>
      </c>
      <c r="F115" s="38">
        <v>0.26105</v>
      </c>
      <c r="G115" s="32" t="s">
        <v>535</v>
      </c>
      <c r="H115" s="33">
        <v>28.572900000000001</v>
      </c>
      <c r="I115" s="11"/>
      <c r="J115" s="33">
        <f t="shared" si="11"/>
        <v>0</v>
      </c>
      <c r="M115" s="20" t="str">
        <f t="shared" si="18"/>
        <v>-</v>
      </c>
      <c r="N115" s="20" t="str">
        <f t="shared" si="20"/>
        <v>-</v>
      </c>
      <c r="O115" s="21" t="str">
        <f t="shared" si="19"/>
        <v>-</v>
      </c>
      <c r="P115" s="22" t="str">
        <f t="shared" si="21"/>
        <v>-</v>
      </c>
      <c r="R115" s="22" t="str">
        <f t="shared" si="22"/>
        <v>-</v>
      </c>
    </row>
    <row r="116" spans="1:18" ht="14.4" x14ac:dyDescent="0.25">
      <c r="A116" s="30">
        <v>97467049673</v>
      </c>
      <c r="B116" s="26">
        <v>4967</v>
      </c>
      <c r="C116" s="26" t="s">
        <v>380</v>
      </c>
      <c r="D116" s="31">
        <v>90</v>
      </c>
      <c r="E116" s="31">
        <v>3</v>
      </c>
      <c r="F116" s="38">
        <v>4.8804999999999994E-2</v>
      </c>
      <c r="G116" s="32" t="s">
        <v>535</v>
      </c>
      <c r="H116" s="33">
        <v>11.045400000000001</v>
      </c>
      <c r="I116" s="11"/>
      <c r="J116" s="33">
        <f t="shared" si="11"/>
        <v>0</v>
      </c>
      <c r="M116" s="20" t="str">
        <f t="shared" si="18"/>
        <v>-</v>
      </c>
      <c r="N116" s="20" t="str">
        <f t="shared" si="20"/>
        <v>-</v>
      </c>
      <c r="O116" s="21" t="str">
        <f t="shared" si="19"/>
        <v>-</v>
      </c>
      <c r="P116" s="22" t="str">
        <f t="shared" si="21"/>
        <v>-</v>
      </c>
      <c r="R116" s="22" t="str">
        <f t="shared" si="22"/>
        <v>-</v>
      </c>
    </row>
    <row r="117" spans="1:18" ht="14.4" x14ac:dyDescent="0.25">
      <c r="A117" s="30">
        <v>97467049680</v>
      </c>
      <c r="B117" s="26">
        <v>4968</v>
      </c>
      <c r="C117" s="26" t="s">
        <v>381</v>
      </c>
      <c r="D117" s="31">
        <v>60</v>
      </c>
      <c r="E117" s="31">
        <v>3</v>
      </c>
      <c r="F117" s="38">
        <v>3.5185000000000001E-2</v>
      </c>
      <c r="G117" s="32" t="s">
        <v>535</v>
      </c>
      <c r="H117" s="33">
        <v>15.350399999999999</v>
      </c>
      <c r="I117" s="11"/>
      <c r="J117" s="33">
        <f t="shared" si="11"/>
        <v>0</v>
      </c>
      <c r="M117" s="20" t="str">
        <f t="shared" si="18"/>
        <v>-</v>
      </c>
      <c r="N117" s="20" t="str">
        <f t="shared" si="20"/>
        <v>-</v>
      </c>
      <c r="O117" s="21" t="str">
        <f t="shared" si="19"/>
        <v>-</v>
      </c>
      <c r="P117" s="22" t="str">
        <f t="shared" si="21"/>
        <v>-</v>
      </c>
      <c r="R117" s="22" t="str">
        <f t="shared" si="22"/>
        <v>-</v>
      </c>
    </row>
    <row r="118" spans="1:18" ht="14.4" x14ac:dyDescent="0.25">
      <c r="A118" s="30">
        <v>97467046948</v>
      </c>
      <c r="B118" s="26">
        <v>4694</v>
      </c>
      <c r="C118" s="25" t="s">
        <v>384</v>
      </c>
      <c r="D118" s="31">
        <v>60</v>
      </c>
      <c r="E118" s="31">
        <v>3</v>
      </c>
      <c r="F118" s="38">
        <v>0.25424000000000002</v>
      </c>
      <c r="G118" s="32" t="s">
        <v>535</v>
      </c>
      <c r="H118" s="33">
        <v>11.033100000000001</v>
      </c>
      <c r="I118" s="11"/>
      <c r="J118" s="33">
        <f t="shared" si="11"/>
        <v>0</v>
      </c>
      <c r="M118" s="20" t="str">
        <f t="shared" si="18"/>
        <v>-</v>
      </c>
      <c r="N118" s="20" t="str">
        <f t="shared" si="20"/>
        <v>-</v>
      </c>
      <c r="O118" s="21" t="str">
        <f t="shared" si="19"/>
        <v>-</v>
      </c>
      <c r="P118" s="22" t="str">
        <f t="shared" si="21"/>
        <v>-</v>
      </c>
      <c r="R118" s="22" t="str">
        <f t="shared" si="22"/>
        <v>-</v>
      </c>
    </row>
    <row r="119" spans="1:18" ht="14.4" x14ac:dyDescent="0.25">
      <c r="A119" s="30">
        <v>97467030916</v>
      </c>
      <c r="B119" s="26">
        <v>3091</v>
      </c>
      <c r="C119" s="25" t="s">
        <v>405</v>
      </c>
      <c r="D119" s="31">
        <v>90</v>
      </c>
      <c r="E119" s="31">
        <v>3</v>
      </c>
      <c r="F119" s="38">
        <v>0.22132500000000002</v>
      </c>
      <c r="G119" s="32" t="s">
        <v>535</v>
      </c>
      <c r="H119" s="33">
        <v>15.965399999999999</v>
      </c>
      <c r="I119" s="11"/>
      <c r="J119" s="33">
        <f t="shared" si="11"/>
        <v>0</v>
      </c>
      <c r="M119" s="20" t="str">
        <f t="shared" si="18"/>
        <v>-</v>
      </c>
      <c r="N119" s="20" t="str">
        <f t="shared" si="20"/>
        <v>-</v>
      </c>
      <c r="O119" s="21" t="str">
        <f t="shared" si="19"/>
        <v>-</v>
      </c>
      <c r="P119" s="22" t="str">
        <f t="shared" si="21"/>
        <v>-</v>
      </c>
      <c r="R119" s="22" t="str">
        <f t="shared" si="22"/>
        <v>-</v>
      </c>
    </row>
    <row r="120" spans="1:18" ht="14.4" x14ac:dyDescent="0.25">
      <c r="A120" s="30">
        <v>97467030923</v>
      </c>
      <c r="B120" s="26">
        <v>3092</v>
      </c>
      <c r="C120" s="26" t="s">
        <v>405</v>
      </c>
      <c r="D120" s="31">
        <v>180</v>
      </c>
      <c r="E120" s="31">
        <v>3</v>
      </c>
      <c r="F120" s="38">
        <v>0.22132500000000002</v>
      </c>
      <c r="G120" s="32" t="s">
        <v>535</v>
      </c>
      <c r="H120" s="33">
        <v>28.880399999999998</v>
      </c>
      <c r="I120" s="11"/>
      <c r="J120" s="33">
        <f t="shared" si="11"/>
        <v>0</v>
      </c>
      <c r="M120" s="20" t="str">
        <f t="shared" si="18"/>
        <v>-</v>
      </c>
      <c r="N120" s="20" t="str">
        <f t="shared" si="20"/>
        <v>-</v>
      </c>
      <c r="O120" s="21" t="str">
        <f t="shared" si="19"/>
        <v>-</v>
      </c>
      <c r="P120" s="22" t="str">
        <f t="shared" si="21"/>
        <v>-</v>
      </c>
      <c r="R120" s="22" t="str">
        <f t="shared" si="22"/>
        <v>-</v>
      </c>
    </row>
    <row r="121" spans="1:18" ht="14.4" x14ac:dyDescent="0.25">
      <c r="A121" s="30">
        <v>97467309302</v>
      </c>
      <c r="B121" s="26">
        <v>30930</v>
      </c>
      <c r="C121" s="27" t="s">
        <v>538</v>
      </c>
      <c r="D121" s="31">
        <v>120</v>
      </c>
      <c r="E121" s="31">
        <v>3</v>
      </c>
      <c r="F121" s="38">
        <v>0.39724999999999999</v>
      </c>
      <c r="G121" s="32" t="s">
        <v>535</v>
      </c>
      <c r="H121" s="33">
        <v>45.485399999999991</v>
      </c>
      <c r="I121" s="11"/>
      <c r="J121" s="33">
        <f t="shared" si="11"/>
        <v>0</v>
      </c>
      <c r="M121" s="20" t="str">
        <f t="shared" si="18"/>
        <v>-</v>
      </c>
      <c r="N121" s="20" t="str">
        <f t="shared" si="20"/>
        <v>-</v>
      </c>
      <c r="O121" s="21" t="str">
        <f t="shared" si="19"/>
        <v>-</v>
      </c>
      <c r="P121" s="22" t="str">
        <f t="shared" si="21"/>
        <v>-</v>
      </c>
      <c r="R121" s="22" t="str">
        <f t="shared" si="22"/>
        <v>-</v>
      </c>
    </row>
    <row r="122" spans="1:18" ht="14.4" x14ac:dyDescent="0.25">
      <c r="A122" s="30">
        <v>97467309500</v>
      </c>
      <c r="B122" s="26">
        <v>30950</v>
      </c>
      <c r="C122" s="27" t="s">
        <v>539</v>
      </c>
      <c r="D122" s="31">
        <v>120</v>
      </c>
      <c r="E122" s="31">
        <v>3</v>
      </c>
      <c r="F122" s="38">
        <v>0.39724999999999999</v>
      </c>
      <c r="G122" s="32" t="s">
        <v>535</v>
      </c>
      <c r="H122" s="33">
        <v>45.485399999999991</v>
      </c>
      <c r="I122" s="11"/>
      <c r="J122" s="33">
        <f t="shared" si="11"/>
        <v>0</v>
      </c>
      <c r="M122" s="20" t="str">
        <f t="shared" si="18"/>
        <v>-</v>
      </c>
      <c r="N122" s="20" t="str">
        <f t="shared" si="20"/>
        <v>-</v>
      </c>
      <c r="O122" s="21" t="str">
        <f t="shared" si="19"/>
        <v>-</v>
      </c>
      <c r="P122" s="22" t="str">
        <f t="shared" si="21"/>
        <v>-</v>
      </c>
      <c r="R122" s="22" t="str">
        <f t="shared" si="22"/>
        <v>-</v>
      </c>
    </row>
    <row r="123" spans="1:18" ht="14.4" x14ac:dyDescent="0.25">
      <c r="A123" s="30">
        <v>97467307322</v>
      </c>
      <c r="B123" s="26">
        <v>30732</v>
      </c>
      <c r="C123" s="26" t="s">
        <v>425</v>
      </c>
      <c r="D123" s="31">
        <v>60</v>
      </c>
      <c r="E123" s="31">
        <v>3</v>
      </c>
      <c r="F123" s="38">
        <v>9.5340000000000008E-2</v>
      </c>
      <c r="G123" s="32" t="s">
        <v>535</v>
      </c>
      <c r="H123" s="33">
        <v>19.630800000000001</v>
      </c>
      <c r="I123" s="11"/>
      <c r="J123" s="33">
        <f t="shared" si="11"/>
        <v>0</v>
      </c>
      <c r="M123" s="20" t="str">
        <f t="shared" si="18"/>
        <v>-</v>
      </c>
      <c r="N123" s="20" t="str">
        <f t="shared" si="20"/>
        <v>-</v>
      </c>
      <c r="O123" s="21" t="str">
        <f t="shared" si="19"/>
        <v>-</v>
      </c>
      <c r="P123" s="22" t="str">
        <f t="shared" si="21"/>
        <v>-</v>
      </c>
      <c r="R123" s="22" t="str">
        <f t="shared" si="22"/>
        <v>-</v>
      </c>
    </row>
    <row r="124" spans="1:18" ht="14.4" x14ac:dyDescent="0.25">
      <c r="A124" s="30">
        <v>97467059627</v>
      </c>
      <c r="B124" s="26">
        <v>5962</v>
      </c>
      <c r="C124" s="25" t="s">
        <v>462</v>
      </c>
      <c r="D124" s="31" t="s">
        <v>145</v>
      </c>
      <c r="E124" s="31">
        <v>3</v>
      </c>
      <c r="F124" s="38">
        <v>0.12485</v>
      </c>
      <c r="G124" s="32" t="s">
        <v>535</v>
      </c>
      <c r="H124" s="33">
        <v>5.1290999999999993</v>
      </c>
      <c r="I124" s="11"/>
      <c r="J124" s="33">
        <f t="shared" si="11"/>
        <v>0</v>
      </c>
      <c r="M124" s="20" t="str">
        <f t="shared" si="18"/>
        <v>-</v>
      </c>
      <c r="N124" s="20" t="str">
        <f t="shared" si="20"/>
        <v>-</v>
      </c>
      <c r="O124" s="21" t="str">
        <f t="shared" si="19"/>
        <v>-</v>
      </c>
      <c r="P124" s="22" t="str">
        <f t="shared" si="21"/>
        <v>-</v>
      </c>
      <c r="R124" s="22" t="str">
        <f t="shared" si="22"/>
        <v>-</v>
      </c>
    </row>
    <row r="125" spans="1:18" ht="14.4" x14ac:dyDescent="0.25">
      <c r="A125" s="30">
        <v>97467820173</v>
      </c>
      <c r="B125" s="26">
        <v>82017</v>
      </c>
      <c r="C125" s="25" t="s">
        <v>468</v>
      </c>
      <c r="D125" s="31" t="s">
        <v>148</v>
      </c>
      <c r="E125" s="31">
        <v>3</v>
      </c>
      <c r="F125" s="38">
        <v>0.33482499999999998</v>
      </c>
      <c r="G125" s="32" t="s">
        <v>535</v>
      </c>
      <c r="H125" s="33">
        <v>31.697099999999999</v>
      </c>
      <c r="I125" s="11"/>
      <c r="J125" s="33">
        <f t="shared" si="11"/>
        <v>0</v>
      </c>
      <c r="M125" s="20" t="str">
        <f t="shared" si="18"/>
        <v>-</v>
      </c>
      <c r="N125" s="20" t="str">
        <f t="shared" si="20"/>
        <v>-</v>
      </c>
      <c r="O125" s="21" t="str">
        <f t="shared" si="19"/>
        <v>-</v>
      </c>
      <c r="P125" s="22" t="str">
        <f t="shared" si="21"/>
        <v>-</v>
      </c>
      <c r="R125" s="22" t="str">
        <f t="shared" si="22"/>
        <v>-</v>
      </c>
    </row>
    <row r="126" spans="1:18" ht="14.4" x14ac:dyDescent="0.25">
      <c r="A126" s="30">
        <v>97467410053</v>
      </c>
      <c r="B126" s="26">
        <v>41005</v>
      </c>
      <c r="C126" s="26" t="s">
        <v>474</v>
      </c>
      <c r="D126" s="31">
        <v>60</v>
      </c>
      <c r="E126" s="31">
        <v>3</v>
      </c>
      <c r="F126" s="38">
        <v>0.153225</v>
      </c>
      <c r="G126" s="32" t="s">
        <v>535</v>
      </c>
      <c r="H126" s="33">
        <v>5.5103999999999997</v>
      </c>
      <c r="I126" s="11"/>
      <c r="J126" s="33">
        <f t="shared" si="11"/>
        <v>0</v>
      </c>
      <c r="M126" s="20" t="str">
        <f t="shared" si="18"/>
        <v>-</v>
      </c>
      <c r="N126" s="20" t="str">
        <f t="shared" si="20"/>
        <v>-</v>
      </c>
      <c r="O126" s="21" t="str">
        <f t="shared" si="19"/>
        <v>-</v>
      </c>
      <c r="P126" s="22" t="str">
        <f t="shared" si="21"/>
        <v>-</v>
      </c>
      <c r="R126" s="22" t="str">
        <f t="shared" si="22"/>
        <v>-</v>
      </c>
    </row>
    <row r="127" spans="1:18" ht="14.4" x14ac:dyDescent="0.25">
      <c r="A127" s="30">
        <v>97467025653</v>
      </c>
      <c r="B127" s="26">
        <v>2565</v>
      </c>
      <c r="C127" s="26" t="s">
        <v>475</v>
      </c>
      <c r="D127" s="31">
        <v>60</v>
      </c>
      <c r="E127" s="31">
        <v>3</v>
      </c>
      <c r="F127" s="38">
        <v>8.8529999999999998E-2</v>
      </c>
      <c r="G127" s="32" t="s">
        <v>535</v>
      </c>
      <c r="H127" s="33">
        <v>11.660399999999999</v>
      </c>
      <c r="I127" s="11"/>
      <c r="J127" s="33">
        <f t="shared" si="11"/>
        <v>0</v>
      </c>
      <c r="M127" s="20" t="str">
        <f t="shared" si="18"/>
        <v>-</v>
      </c>
      <c r="N127" s="20" t="str">
        <f t="shared" si="20"/>
        <v>-</v>
      </c>
      <c r="O127" s="21" t="str">
        <f t="shared" si="19"/>
        <v>-</v>
      </c>
      <c r="P127" s="22" t="str">
        <f t="shared" si="21"/>
        <v>-</v>
      </c>
      <c r="R127" s="22" t="str">
        <f t="shared" si="22"/>
        <v>-</v>
      </c>
    </row>
    <row r="128" spans="1:18" ht="14.4" x14ac:dyDescent="0.25">
      <c r="A128" s="30">
        <v>97467025660</v>
      </c>
      <c r="B128" s="26">
        <v>2566</v>
      </c>
      <c r="C128" s="26" t="s">
        <v>476</v>
      </c>
      <c r="D128" s="31">
        <v>60</v>
      </c>
      <c r="E128" s="31">
        <v>3</v>
      </c>
      <c r="F128" s="38">
        <v>0.12939000000000001</v>
      </c>
      <c r="G128" s="32" t="s">
        <v>535</v>
      </c>
      <c r="H128" s="33">
        <v>11.660399999999999</v>
      </c>
      <c r="I128" s="11"/>
      <c r="J128" s="33">
        <f t="shared" si="11"/>
        <v>0</v>
      </c>
      <c r="M128" s="20" t="str">
        <f t="shared" si="18"/>
        <v>-</v>
      </c>
      <c r="N128" s="20" t="str">
        <f t="shared" si="20"/>
        <v>-</v>
      </c>
      <c r="O128" s="21" t="str">
        <f t="shared" si="19"/>
        <v>-</v>
      </c>
      <c r="P128" s="22" t="str">
        <f t="shared" si="21"/>
        <v>-</v>
      </c>
      <c r="R128" s="22" t="str">
        <f t="shared" si="22"/>
        <v>-</v>
      </c>
    </row>
    <row r="129" spans="1:18" ht="14.4" x14ac:dyDescent="0.25">
      <c r="A129" s="30">
        <v>97467487321</v>
      </c>
      <c r="B129" s="26">
        <v>48732</v>
      </c>
      <c r="C129" s="26" t="s">
        <v>481</v>
      </c>
      <c r="D129" s="31">
        <v>60</v>
      </c>
      <c r="E129" s="31">
        <v>3</v>
      </c>
      <c r="F129" s="38">
        <v>6.4695000000000003E-2</v>
      </c>
      <c r="G129" s="32" t="s">
        <v>535</v>
      </c>
      <c r="H129" s="33">
        <v>6.7403999999999993</v>
      </c>
      <c r="I129" s="11"/>
      <c r="J129" s="33">
        <f t="shared" si="11"/>
        <v>0</v>
      </c>
      <c r="M129" s="20" t="str">
        <f t="shared" si="18"/>
        <v>-</v>
      </c>
      <c r="N129" s="20" t="str">
        <f t="shared" si="20"/>
        <v>-</v>
      </c>
      <c r="O129" s="21" t="str">
        <f t="shared" si="19"/>
        <v>-</v>
      </c>
      <c r="P129" s="22" t="str">
        <f t="shared" si="21"/>
        <v>-</v>
      </c>
      <c r="R129" s="22" t="str">
        <f t="shared" si="22"/>
        <v>-</v>
      </c>
    </row>
    <row r="130" spans="1:18" ht="14.4" x14ac:dyDescent="0.25">
      <c r="A130" s="30">
        <v>97467049642</v>
      </c>
      <c r="B130" s="26">
        <v>4964</v>
      </c>
      <c r="C130" s="26" t="s">
        <v>485</v>
      </c>
      <c r="D130" s="31">
        <v>60</v>
      </c>
      <c r="E130" s="31">
        <v>3</v>
      </c>
      <c r="F130" s="38">
        <v>9.0800000000000006E-2</v>
      </c>
      <c r="G130" s="32" t="s">
        <v>535</v>
      </c>
      <c r="H130" s="33">
        <v>22.103099999999998</v>
      </c>
      <c r="I130" s="11"/>
      <c r="J130" s="33">
        <f t="shared" si="11"/>
        <v>0</v>
      </c>
      <c r="M130" s="20" t="str">
        <f t="shared" si="18"/>
        <v>-</v>
      </c>
      <c r="N130" s="20" t="str">
        <f t="shared" si="20"/>
        <v>-</v>
      </c>
      <c r="O130" s="21" t="str">
        <f t="shared" si="19"/>
        <v>-</v>
      </c>
      <c r="P130" s="22" t="str">
        <f t="shared" si="21"/>
        <v>-</v>
      </c>
      <c r="R130" s="22" t="str">
        <f t="shared" si="22"/>
        <v>-</v>
      </c>
    </row>
    <row r="131" spans="1:18" ht="14.4" x14ac:dyDescent="0.25">
      <c r="A131" s="30">
        <v>97467051621</v>
      </c>
      <c r="B131" s="26">
        <v>5162</v>
      </c>
      <c r="C131" s="26" t="s">
        <v>487</v>
      </c>
      <c r="D131" s="31">
        <v>60</v>
      </c>
      <c r="E131" s="31">
        <v>3</v>
      </c>
      <c r="F131" s="38">
        <v>9.6475000000000005E-2</v>
      </c>
      <c r="G131" s="32" t="s">
        <v>535</v>
      </c>
      <c r="H131" s="33">
        <v>7.9703999999999997</v>
      </c>
      <c r="I131" s="11"/>
      <c r="J131" s="33">
        <f t="shared" ref="J131:J194" si="23">H131*I131</f>
        <v>0</v>
      </c>
      <c r="M131" s="20" t="str">
        <f t="shared" si="18"/>
        <v>-</v>
      </c>
      <c r="N131" s="20" t="str">
        <f t="shared" si="20"/>
        <v>-</v>
      </c>
      <c r="O131" s="21" t="str">
        <f t="shared" si="19"/>
        <v>-</v>
      </c>
      <c r="P131" s="22" t="str">
        <f t="shared" si="21"/>
        <v>-</v>
      </c>
      <c r="R131" s="22" t="str">
        <f t="shared" si="22"/>
        <v>-</v>
      </c>
    </row>
    <row r="132" spans="1:18" ht="14.4" x14ac:dyDescent="0.25">
      <c r="A132" s="30">
        <v>97467051645</v>
      </c>
      <c r="B132" s="26">
        <v>5164</v>
      </c>
      <c r="C132" s="26" t="s">
        <v>488</v>
      </c>
      <c r="D132" s="31">
        <v>60</v>
      </c>
      <c r="E132" s="31">
        <v>3</v>
      </c>
      <c r="F132" s="38">
        <v>0.116905</v>
      </c>
      <c r="G132" s="32" t="s">
        <v>535</v>
      </c>
      <c r="H132" s="33">
        <v>7.9703999999999997</v>
      </c>
      <c r="I132" s="11"/>
      <c r="J132" s="33">
        <f t="shared" si="23"/>
        <v>0</v>
      </c>
      <c r="M132" s="20" t="str">
        <f t="shared" si="18"/>
        <v>-</v>
      </c>
      <c r="N132" s="20" t="str">
        <f t="shared" si="20"/>
        <v>-</v>
      </c>
      <c r="O132" s="21" t="str">
        <f t="shared" si="19"/>
        <v>-</v>
      </c>
      <c r="P132" s="22" t="str">
        <f t="shared" si="21"/>
        <v>-</v>
      </c>
      <c r="R132" s="22" t="str">
        <f t="shared" si="22"/>
        <v>-</v>
      </c>
    </row>
    <row r="133" spans="1:18" ht="14.4" x14ac:dyDescent="0.25">
      <c r="A133" s="30">
        <v>97467051669</v>
      </c>
      <c r="B133" s="26">
        <v>5166</v>
      </c>
      <c r="C133" s="26" t="s">
        <v>489</v>
      </c>
      <c r="D133" s="31">
        <v>60</v>
      </c>
      <c r="E133" s="31">
        <v>3</v>
      </c>
      <c r="F133" s="38">
        <v>6.4695000000000003E-2</v>
      </c>
      <c r="G133" s="32" t="s">
        <v>535</v>
      </c>
      <c r="H133" s="33">
        <v>6.0638999999999985</v>
      </c>
      <c r="I133" s="11"/>
      <c r="J133" s="33">
        <f t="shared" si="23"/>
        <v>0</v>
      </c>
      <c r="M133" s="20" t="str">
        <f t="shared" si="18"/>
        <v>-</v>
      </c>
      <c r="N133" s="20" t="str">
        <f t="shared" si="20"/>
        <v>-</v>
      </c>
      <c r="O133" s="21" t="str">
        <f t="shared" si="19"/>
        <v>-</v>
      </c>
      <c r="P133" s="22" t="str">
        <f t="shared" si="21"/>
        <v>-</v>
      </c>
      <c r="R133" s="22" t="str">
        <f t="shared" si="22"/>
        <v>-</v>
      </c>
    </row>
    <row r="134" spans="1:18" ht="14.4" x14ac:dyDescent="0.25">
      <c r="A134" s="30">
        <v>97467073388</v>
      </c>
      <c r="B134" s="26">
        <v>7338</v>
      </c>
      <c r="C134" s="26" t="s">
        <v>238</v>
      </c>
      <c r="D134" s="31">
        <v>30</v>
      </c>
      <c r="E134" s="31">
        <v>3</v>
      </c>
      <c r="F134" s="38">
        <v>9.0800000000000006E-2</v>
      </c>
      <c r="G134" s="32" t="s">
        <v>535</v>
      </c>
      <c r="H134" s="33">
        <v>22.422899999999998</v>
      </c>
      <c r="I134" s="11"/>
      <c r="J134" s="33">
        <f t="shared" si="23"/>
        <v>0</v>
      </c>
      <c r="M134" s="20" t="str">
        <f t="shared" si="18"/>
        <v>-</v>
      </c>
      <c r="N134" s="20" t="str">
        <f t="shared" si="20"/>
        <v>-</v>
      </c>
      <c r="O134" s="21" t="str">
        <f t="shared" si="19"/>
        <v>-</v>
      </c>
      <c r="P134" s="22" t="str">
        <f t="shared" si="21"/>
        <v>-</v>
      </c>
      <c r="R134" s="22" t="str">
        <f t="shared" si="22"/>
        <v>-</v>
      </c>
    </row>
    <row r="135" spans="1:18" ht="14.4" x14ac:dyDescent="0.25">
      <c r="A135" s="30">
        <v>97467073548</v>
      </c>
      <c r="B135" s="26">
        <v>7354</v>
      </c>
      <c r="C135" s="26" t="s">
        <v>241</v>
      </c>
      <c r="D135" s="31">
        <v>30</v>
      </c>
      <c r="E135" s="31">
        <v>3</v>
      </c>
      <c r="F135" s="38">
        <v>7.3775000000000007E-2</v>
      </c>
      <c r="G135" s="32" t="s">
        <v>535</v>
      </c>
      <c r="H135" s="33">
        <v>17.810400000000001</v>
      </c>
      <c r="I135" s="11"/>
      <c r="J135" s="33">
        <f t="shared" si="23"/>
        <v>0</v>
      </c>
      <c r="M135" s="20" t="str">
        <f t="shared" si="18"/>
        <v>-</v>
      </c>
      <c r="N135" s="20" t="str">
        <f t="shared" si="20"/>
        <v>-</v>
      </c>
      <c r="O135" s="21" t="str">
        <f t="shared" si="19"/>
        <v>-</v>
      </c>
      <c r="P135" s="22" t="str">
        <f t="shared" si="21"/>
        <v>-</v>
      </c>
      <c r="R135" s="22" t="str">
        <f t="shared" si="22"/>
        <v>-</v>
      </c>
    </row>
    <row r="136" spans="1:18" ht="14.4" x14ac:dyDescent="0.25">
      <c r="A136" s="30">
        <v>97467073708</v>
      </c>
      <c r="B136" s="26">
        <v>7370</v>
      </c>
      <c r="C136" s="25" t="s">
        <v>246</v>
      </c>
      <c r="D136" s="31">
        <v>60</v>
      </c>
      <c r="E136" s="31">
        <v>3</v>
      </c>
      <c r="F136" s="38">
        <v>9.4205000000000011E-2</v>
      </c>
      <c r="G136" s="32" t="s">
        <v>535</v>
      </c>
      <c r="H136" s="33">
        <v>22.115399999999998</v>
      </c>
      <c r="I136" s="11"/>
      <c r="J136" s="33">
        <f t="shared" si="23"/>
        <v>0</v>
      </c>
      <c r="M136" s="20" t="str">
        <f t="shared" si="18"/>
        <v>-</v>
      </c>
      <c r="N136" s="20" t="str">
        <f t="shared" si="20"/>
        <v>-</v>
      </c>
      <c r="O136" s="21" t="str">
        <f t="shared" si="19"/>
        <v>-</v>
      </c>
      <c r="P136" s="22" t="str">
        <f t="shared" si="21"/>
        <v>-</v>
      </c>
      <c r="R136" s="22" t="str">
        <f t="shared" si="22"/>
        <v>-</v>
      </c>
    </row>
    <row r="137" spans="1:18" ht="14.4" x14ac:dyDescent="0.25">
      <c r="A137" s="30">
        <v>97467071087</v>
      </c>
      <c r="B137" s="26">
        <v>7108</v>
      </c>
      <c r="C137" s="25" t="s">
        <v>248</v>
      </c>
      <c r="D137" s="31">
        <v>60</v>
      </c>
      <c r="E137" s="31">
        <v>3</v>
      </c>
      <c r="F137" s="38">
        <v>8.058499999999999E-2</v>
      </c>
      <c r="G137" s="32" t="s">
        <v>535</v>
      </c>
      <c r="H137" s="33">
        <v>18.117899999999999</v>
      </c>
      <c r="I137" s="11"/>
      <c r="J137" s="33">
        <f t="shared" si="23"/>
        <v>0</v>
      </c>
      <c r="M137" s="20" t="str">
        <f t="shared" si="18"/>
        <v>-</v>
      </c>
      <c r="N137" s="20" t="str">
        <f t="shared" si="20"/>
        <v>-</v>
      </c>
      <c r="O137" s="21" t="str">
        <f t="shared" si="19"/>
        <v>-</v>
      </c>
      <c r="P137" s="22" t="str">
        <f t="shared" si="21"/>
        <v>-</v>
      </c>
      <c r="R137" s="22" t="str">
        <f t="shared" si="22"/>
        <v>-</v>
      </c>
    </row>
    <row r="138" spans="1:18" ht="14.4" x14ac:dyDescent="0.25">
      <c r="A138" s="30">
        <v>97467072466</v>
      </c>
      <c r="B138" s="26">
        <v>7246</v>
      </c>
      <c r="C138" s="25" t="s">
        <v>242</v>
      </c>
      <c r="D138" s="31">
        <v>60</v>
      </c>
      <c r="E138" s="31">
        <v>3</v>
      </c>
      <c r="F138" s="38">
        <v>8.6260000000000003E-2</v>
      </c>
      <c r="G138" s="32" t="s">
        <v>535</v>
      </c>
      <c r="H138" s="33">
        <v>19.347899999999999</v>
      </c>
      <c r="I138" s="11"/>
      <c r="J138" s="33">
        <f t="shared" si="23"/>
        <v>0</v>
      </c>
      <c r="M138" s="20" t="str">
        <f t="shared" si="18"/>
        <v>-</v>
      </c>
      <c r="N138" s="20" t="str">
        <f t="shared" si="20"/>
        <v>-</v>
      </c>
      <c r="O138" s="21" t="str">
        <f t="shared" si="19"/>
        <v>-</v>
      </c>
      <c r="P138" s="22" t="str">
        <f t="shared" si="21"/>
        <v>-</v>
      </c>
      <c r="R138" s="22" t="str">
        <f t="shared" si="22"/>
        <v>-</v>
      </c>
    </row>
    <row r="139" spans="1:18" ht="14.4" x14ac:dyDescent="0.25">
      <c r="A139" s="30">
        <v>97467724617</v>
      </c>
      <c r="B139" s="26">
        <v>72461</v>
      </c>
      <c r="C139" s="25" t="s">
        <v>242</v>
      </c>
      <c r="D139" s="31">
        <v>120</v>
      </c>
      <c r="E139" s="31">
        <v>3</v>
      </c>
      <c r="F139" s="38">
        <v>0.16003499999999998</v>
      </c>
      <c r="G139" s="32" t="s">
        <v>535</v>
      </c>
      <c r="H139" s="33">
        <v>34.415399999999998</v>
      </c>
      <c r="I139" s="11"/>
      <c r="J139" s="33">
        <f t="shared" si="23"/>
        <v>0</v>
      </c>
      <c r="M139" s="20" t="str">
        <f t="shared" si="18"/>
        <v>-</v>
      </c>
      <c r="N139" s="20" t="str">
        <f t="shared" si="20"/>
        <v>-</v>
      </c>
      <c r="O139" s="21" t="str">
        <f t="shared" si="19"/>
        <v>-</v>
      </c>
      <c r="P139" s="22" t="str">
        <f t="shared" si="21"/>
        <v>-</v>
      </c>
      <c r="R139" s="22" t="str">
        <f t="shared" si="22"/>
        <v>-</v>
      </c>
    </row>
    <row r="140" spans="1:18" ht="14.4" x14ac:dyDescent="0.25">
      <c r="A140" s="30">
        <v>97467073272</v>
      </c>
      <c r="B140" s="26">
        <v>7327</v>
      </c>
      <c r="C140" s="26" t="s">
        <v>266</v>
      </c>
      <c r="D140" s="31">
        <v>30</v>
      </c>
      <c r="E140" s="31">
        <v>3</v>
      </c>
      <c r="F140" s="38">
        <v>9.0800000000000006E-2</v>
      </c>
      <c r="G140" s="32" t="s">
        <v>535</v>
      </c>
      <c r="H140" s="33">
        <v>13.812900000000001</v>
      </c>
      <c r="I140" s="11"/>
      <c r="J140" s="33">
        <f t="shared" si="23"/>
        <v>0</v>
      </c>
      <c r="M140" s="20" t="str">
        <f t="shared" si="18"/>
        <v>-</v>
      </c>
      <c r="N140" s="20" t="str">
        <f t="shared" si="20"/>
        <v>-</v>
      </c>
      <c r="O140" s="21" t="str">
        <f t="shared" si="19"/>
        <v>-</v>
      </c>
      <c r="P140" s="22" t="str">
        <f t="shared" si="21"/>
        <v>-</v>
      </c>
      <c r="R140" s="22" t="str">
        <f t="shared" si="22"/>
        <v>-</v>
      </c>
    </row>
    <row r="141" spans="1:18" ht="14.4" hidden="1" x14ac:dyDescent="0.25">
      <c r="A141" s="30">
        <v>97467996625</v>
      </c>
      <c r="B141" s="26">
        <v>99662</v>
      </c>
      <c r="C141" s="26" t="s">
        <v>532</v>
      </c>
      <c r="D141" s="31"/>
      <c r="E141" s="31">
        <v>3</v>
      </c>
      <c r="F141" s="38"/>
      <c r="G141" s="32" t="s">
        <v>535</v>
      </c>
      <c r="H141" s="33">
        <v>4.8953999999999995</v>
      </c>
      <c r="I141" s="11"/>
      <c r="J141" s="33">
        <f t="shared" si="23"/>
        <v>0</v>
      </c>
      <c r="M141" s="20" t="str">
        <f t="shared" si="18"/>
        <v>-</v>
      </c>
      <c r="N141" s="20" t="str">
        <f t="shared" si="20"/>
        <v>-</v>
      </c>
      <c r="O141" s="21" t="str">
        <f t="shared" si="19"/>
        <v>-</v>
      </c>
      <c r="P141" s="22" t="str">
        <f t="shared" si="21"/>
        <v>-</v>
      </c>
      <c r="R141" s="22" t="str">
        <f t="shared" si="22"/>
        <v>-</v>
      </c>
    </row>
    <row r="142" spans="1:18" ht="14.4" x14ac:dyDescent="0.25">
      <c r="A142" s="30">
        <v>97467009639</v>
      </c>
      <c r="B142" s="31">
        <v>963</v>
      </c>
      <c r="C142" s="26" t="s">
        <v>20</v>
      </c>
      <c r="D142" s="31">
        <v>90</v>
      </c>
      <c r="E142" s="31">
        <v>3</v>
      </c>
      <c r="F142" s="38">
        <v>8.6260000000000003E-2</v>
      </c>
      <c r="G142" s="32" t="s">
        <v>535</v>
      </c>
      <c r="H142" s="33">
        <v>17.810400000000001</v>
      </c>
      <c r="I142" s="11"/>
      <c r="J142" s="33">
        <f t="shared" si="23"/>
        <v>0</v>
      </c>
      <c r="M142" s="20" t="str">
        <f t="shared" si="18"/>
        <v>-</v>
      </c>
      <c r="N142" s="20" t="str">
        <f t="shared" si="20"/>
        <v>-</v>
      </c>
      <c r="O142" s="21" t="str">
        <f t="shared" si="19"/>
        <v>-</v>
      </c>
      <c r="P142" s="22" t="str">
        <f t="shared" si="21"/>
        <v>-</v>
      </c>
      <c r="R142" s="22" t="str">
        <f t="shared" si="22"/>
        <v>-</v>
      </c>
    </row>
    <row r="143" spans="1:18" ht="14.4" x14ac:dyDescent="0.25">
      <c r="A143" s="30">
        <v>97467009912</v>
      </c>
      <c r="B143" s="31">
        <v>991</v>
      </c>
      <c r="C143" s="26" t="s">
        <v>22</v>
      </c>
      <c r="D143" s="31">
        <v>90</v>
      </c>
      <c r="E143" s="31">
        <v>3</v>
      </c>
      <c r="F143" s="38">
        <v>6.3560000000000005E-2</v>
      </c>
      <c r="G143" s="32" t="s">
        <v>535</v>
      </c>
      <c r="H143" s="33">
        <v>4.8953999999999995</v>
      </c>
      <c r="I143" s="11"/>
      <c r="J143" s="33">
        <f t="shared" si="23"/>
        <v>0</v>
      </c>
      <c r="M143" s="20" t="str">
        <f t="shared" si="18"/>
        <v>-</v>
      </c>
      <c r="N143" s="20" t="str">
        <f t="shared" si="20"/>
        <v>-</v>
      </c>
      <c r="O143" s="21" t="str">
        <f t="shared" si="19"/>
        <v>-</v>
      </c>
      <c r="P143" s="22" t="str">
        <f t="shared" si="21"/>
        <v>-</v>
      </c>
      <c r="R143" s="22" t="str">
        <f t="shared" si="22"/>
        <v>-</v>
      </c>
    </row>
    <row r="144" spans="1:18" ht="14.4" x14ac:dyDescent="0.25">
      <c r="A144" s="30">
        <v>97467104389</v>
      </c>
      <c r="B144" s="31">
        <v>10438</v>
      </c>
      <c r="C144" s="26" t="s">
        <v>36</v>
      </c>
      <c r="D144" s="31">
        <v>60</v>
      </c>
      <c r="E144" s="31">
        <v>3</v>
      </c>
      <c r="F144" s="38">
        <v>0.175925</v>
      </c>
      <c r="G144" s="32" t="s">
        <v>535</v>
      </c>
      <c r="H144" s="33">
        <v>8.8929000000000009</v>
      </c>
      <c r="I144" s="11"/>
      <c r="J144" s="33">
        <f t="shared" si="23"/>
        <v>0</v>
      </c>
      <c r="M144" s="20" t="str">
        <f t="shared" si="18"/>
        <v>-</v>
      </c>
      <c r="N144" s="20" t="str">
        <f t="shared" si="20"/>
        <v>-</v>
      </c>
      <c r="O144" s="21" t="str">
        <f t="shared" si="19"/>
        <v>-</v>
      </c>
      <c r="P144" s="22" t="str">
        <f t="shared" si="21"/>
        <v>-</v>
      </c>
      <c r="R144" s="22" t="str">
        <f t="shared" si="22"/>
        <v>-</v>
      </c>
    </row>
    <row r="145" spans="1:18" ht="14.4" x14ac:dyDescent="0.25">
      <c r="A145" s="30">
        <v>97467010444</v>
      </c>
      <c r="B145" s="31">
        <v>1044</v>
      </c>
      <c r="C145" s="26" t="s">
        <v>37</v>
      </c>
      <c r="D145" s="31">
        <v>90</v>
      </c>
      <c r="E145" s="31">
        <v>3</v>
      </c>
      <c r="F145" s="38">
        <v>0.31893500000000002</v>
      </c>
      <c r="G145" s="32" t="s">
        <v>535</v>
      </c>
      <c r="H145" s="33">
        <v>10.430399999999999</v>
      </c>
      <c r="I145" s="11"/>
      <c r="J145" s="33">
        <f t="shared" si="23"/>
        <v>0</v>
      </c>
      <c r="M145" s="20" t="str">
        <f t="shared" si="18"/>
        <v>-</v>
      </c>
      <c r="N145" s="20" t="str">
        <f t="shared" si="20"/>
        <v>-</v>
      </c>
      <c r="O145" s="21" t="str">
        <f t="shared" si="19"/>
        <v>-</v>
      </c>
      <c r="P145" s="22" t="str">
        <f t="shared" si="21"/>
        <v>-</v>
      </c>
      <c r="R145" s="22" t="str">
        <f t="shared" si="22"/>
        <v>-</v>
      </c>
    </row>
    <row r="146" spans="1:18" ht="14.4" x14ac:dyDescent="0.25">
      <c r="A146" s="30">
        <v>97467010468</v>
      </c>
      <c r="B146" s="31">
        <v>1046</v>
      </c>
      <c r="C146" s="26" t="s">
        <v>39</v>
      </c>
      <c r="D146" s="31">
        <v>90</v>
      </c>
      <c r="E146" s="31">
        <v>3</v>
      </c>
      <c r="F146" s="38">
        <v>8.058499999999999E-2</v>
      </c>
      <c r="G146" s="32" t="s">
        <v>535</v>
      </c>
      <c r="H146" s="33">
        <v>9.2004000000000001</v>
      </c>
      <c r="I146" s="11"/>
      <c r="J146" s="33">
        <f t="shared" si="23"/>
        <v>0</v>
      </c>
      <c r="M146" s="20" t="str">
        <f t="shared" si="18"/>
        <v>-</v>
      </c>
      <c r="N146" s="20" t="str">
        <f t="shared" si="20"/>
        <v>-</v>
      </c>
      <c r="O146" s="21" t="str">
        <f t="shared" si="19"/>
        <v>-</v>
      </c>
      <c r="P146" s="22" t="str">
        <f t="shared" si="21"/>
        <v>-</v>
      </c>
      <c r="R146" s="22" t="str">
        <f t="shared" si="22"/>
        <v>-</v>
      </c>
    </row>
    <row r="147" spans="1:18" ht="14.4" x14ac:dyDescent="0.25">
      <c r="A147" s="30">
        <v>97467010475</v>
      </c>
      <c r="B147" s="31">
        <v>1047</v>
      </c>
      <c r="C147" s="26" t="s">
        <v>40</v>
      </c>
      <c r="D147" s="31">
        <v>60</v>
      </c>
      <c r="E147" s="31">
        <v>3</v>
      </c>
      <c r="F147" s="38">
        <v>9.9879999999999997E-2</v>
      </c>
      <c r="G147" s="32" t="s">
        <v>535</v>
      </c>
      <c r="H147" s="33">
        <v>9.2004000000000001</v>
      </c>
      <c r="I147" s="11"/>
      <c r="J147" s="33">
        <f t="shared" si="23"/>
        <v>0</v>
      </c>
      <c r="M147" s="20" t="str">
        <f t="shared" si="18"/>
        <v>-</v>
      </c>
      <c r="N147" s="20" t="str">
        <f t="shared" si="20"/>
        <v>-</v>
      </c>
      <c r="O147" s="21" t="str">
        <f t="shared" si="19"/>
        <v>-</v>
      </c>
      <c r="P147" s="22" t="str">
        <f t="shared" si="21"/>
        <v>-</v>
      </c>
      <c r="R147" s="22" t="str">
        <f t="shared" si="22"/>
        <v>-</v>
      </c>
    </row>
    <row r="148" spans="1:18" ht="14.4" x14ac:dyDescent="0.25">
      <c r="A148" s="30">
        <v>97467010482</v>
      </c>
      <c r="B148" s="31">
        <v>1048</v>
      </c>
      <c r="C148" s="26" t="s">
        <v>41</v>
      </c>
      <c r="D148" s="31">
        <v>60</v>
      </c>
      <c r="E148" s="31">
        <v>3</v>
      </c>
      <c r="F148" s="38">
        <v>7.4910000000000004E-2</v>
      </c>
      <c r="G148" s="32" t="s">
        <v>535</v>
      </c>
      <c r="H148" s="33">
        <v>11.660399999999999</v>
      </c>
      <c r="I148" s="11"/>
      <c r="J148" s="33">
        <f t="shared" si="23"/>
        <v>0</v>
      </c>
      <c r="M148" s="20" t="str">
        <f t="shared" si="18"/>
        <v>-</v>
      </c>
      <c r="N148" s="20" t="str">
        <f t="shared" si="20"/>
        <v>-</v>
      </c>
      <c r="O148" s="21" t="str">
        <f t="shared" si="19"/>
        <v>-</v>
      </c>
      <c r="P148" s="22" t="str">
        <f t="shared" si="21"/>
        <v>-</v>
      </c>
      <c r="R148" s="22" t="str">
        <f t="shared" si="22"/>
        <v>-</v>
      </c>
    </row>
    <row r="149" spans="1:18" ht="14.4" x14ac:dyDescent="0.25">
      <c r="A149" s="30">
        <v>97467104839</v>
      </c>
      <c r="B149" s="31">
        <v>10483</v>
      </c>
      <c r="C149" s="26" t="s">
        <v>42</v>
      </c>
      <c r="D149" s="31" t="s">
        <v>89</v>
      </c>
      <c r="E149" s="31">
        <v>3</v>
      </c>
      <c r="F149" s="38">
        <v>0.69008000000000003</v>
      </c>
      <c r="G149" s="32" t="s">
        <v>535</v>
      </c>
      <c r="H149" s="33">
        <v>14.723100000000001</v>
      </c>
      <c r="I149" s="11"/>
      <c r="J149" s="33">
        <f t="shared" si="23"/>
        <v>0</v>
      </c>
      <c r="M149" s="20" t="str">
        <f t="shared" si="18"/>
        <v>-</v>
      </c>
      <c r="N149" s="20" t="str">
        <f t="shared" si="20"/>
        <v>-</v>
      </c>
      <c r="O149" s="21" t="str">
        <f t="shared" si="19"/>
        <v>-</v>
      </c>
      <c r="P149" s="22" t="str">
        <f t="shared" si="21"/>
        <v>-</v>
      </c>
      <c r="R149" s="22" t="str">
        <f t="shared" si="22"/>
        <v>-</v>
      </c>
    </row>
    <row r="150" spans="1:18" ht="14.4" x14ac:dyDescent="0.25">
      <c r="A150" s="30">
        <v>97467014404</v>
      </c>
      <c r="B150" s="31">
        <v>1440</v>
      </c>
      <c r="C150" s="26" t="s">
        <v>44</v>
      </c>
      <c r="D150" s="31">
        <v>90</v>
      </c>
      <c r="E150" s="31">
        <v>3</v>
      </c>
      <c r="F150" s="38">
        <v>0.16344</v>
      </c>
      <c r="G150" s="32" t="s">
        <v>535</v>
      </c>
      <c r="H150" s="33">
        <v>22.730399999999999</v>
      </c>
      <c r="I150" s="11"/>
      <c r="J150" s="33">
        <f t="shared" si="23"/>
        <v>0</v>
      </c>
      <c r="M150" s="20" t="str">
        <f t="shared" si="18"/>
        <v>-</v>
      </c>
      <c r="N150" s="20" t="str">
        <f t="shared" si="20"/>
        <v>-</v>
      </c>
      <c r="O150" s="21" t="str">
        <f t="shared" si="19"/>
        <v>-</v>
      </c>
      <c r="P150" s="22" t="str">
        <f t="shared" si="21"/>
        <v>-</v>
      </c>
      <c r="R150" s="22" t="str">
        <f t="shared" si="22"/>
        <v>-</v>
      </c>
    </row>
    <row r="151" spans="1:18" ht="14.4" x14ac:dyDescent="0.25">
      <c r="A151" s="30">
        <v>97467014541</v>
      </c>
      <c r="B151" s="31">
        <v>1454</v>
      </c>
      <c r="C151" s="26" t="s">
        <v>45</v>
      </c>
      <c r="D151" s="31">
        <v>60</v>
      </c>
      <c r="E151" s="31">
        <v>3</v>
      </c>
      <c r="F151" s="38">
        <v>0.16684499999999999</v>
      </c>
      <c r="G151" s="32" t="s">
        <v>535</v>
      </c>
      <c r="H151" s="33">
        <v>20.885399999999997</v>
      </c>
      <c r="I151" s="11"/>
      <c r="J151" s="33">
        <f t="shared" si="23"/>
        <v>0</v>
      </c>
      <c r="M151" s="20" t="str">
        <f t="shared" si="18"/>
        <v>-</v>
      </c>
      <c r="N151" s="20" t="str">
        <f t="shared" si="20"/>
        <v>-</v>
      </c>
      <c r="O151" s="21" t="str">
        <f t="shared" si="19"/>
        <v>-</v>
      </c>
      <c r="P151" s="22" t="str">
        <f t="shared" si="21"/>
        <v>-</v>
      </c>
      <c r="R151" s="22" t="str">
        <f t="shared" si="22"/>
        <v>-</v>
      </c>
    </row>
    <row r="152" spans="1:18" ht="14.4" x14ac:dyDescent="0.25">
      <c r="A152" s="30">
        <v>97467014558</v>
      </c>
      <c r="B152" s="31">
        <v>1455</v>
      </c>
      <c r="C152" s="26" t="s">
        <v>45</v>
      </c>
      <c r="D152" s="31">
        <v>90</v>
      </c>
      <c r="E152" s="31">
        <v>3</v>
      </c>
      <c r="F152" s="38">
        <v>0.24515999999999999</v>
      </c>
      <c r="G152" s="32" t="s">
        <v>535</v>
      </c>
      <c r="H152" s="33">
        <v>29.187899999999999</v>
      </c>
      <c r="I152" s="11"/>
      <c r="J152" s="33">
        <f t="shared" si="23"/>
        <v>0</v>
      </c>
      <c r="M152" s="20" t="str">
        <f t="shared" si="18"/>
        <v>-</v>
      </c>
      <c r="N152" s="20" t="str">
        <f t="shared" si="20"/>
        <v>-</v>
      </c>
      <c r="O152" s="21" t="str">
        <f t="shared" si="19"/>
        <v>-</v>
      </c>
      <c r="P152" s="22" t="str">
        <f t="shared" si="21"/>
        <v>-</v>
      </c>
      <c r="R152" s="22" t="str">
        <f t="shared" si="22"/>
        <v>-</v>
      </c>
    </row>
    <row r="153" spans="1:18" ht="14.4" x14ac:dyDescent="0.25">
      <c r="A153" s="30">
        <v>97467016057</v>
      </c>
      <c r="B153" s="31">
        <v>1605</v>
      </c>
      <c r="C153" s="26" t="s">
        <v>47</v>
      </c>
      <c r="D153" s="31">
        <v>90</v>
      </c>
      <c r="E153" s="31">
        <v>3</v>
      </c>
      <c r="F153" s="38">
        <v>6.4695000000000003E-2</v>
      </c>
      <c r="G153" s="32" t="s">
        <v>535</v>
      </c>
      <c r="H153" s="33">
        <v>13.197900000000001</v>
      </c>
      <c r="I153" s="11"/>
      <c r="J153" s="33">
        <f t="shared" si="23"/>
        <v>0</v>
      </c>
      <c r="M153" s="20" t="str">
        <f t="shared" si="18"/>
        <v>-</v>
      </c>
      <c r="N153" s="20" t="str">
        <f t="shared" si="20"/>
        <v>-</v>
      </c>
      <c r="O153" s="21" t="str">
        <f t="shared" si="19"/>
        <v>-</v>
      </c>
      <c r="P153" s="22" t="str">
        <f t="shared" si="21"/>
        <v>-</v>
      </c>
      <c r="R153" s="22" t="str">
        <f t="shared" si="22"/>
        <v>-</v>
      </c>
    </row>
    <row r="154" spans="1:18" ht="14.4" x14ac:dyDescent="0.25">
      <c r="A154" s="30">
        <v>97467016309</v>
      </c>
      <c r="B154" s="31">
        <v>1630</v>
      </c>
      <c r="C154" s="26" t="s">
        <v>48</v>
      </c>
      <c r="D154" s="31">
        <v>90</v>
      </c>
      <c r="E154" s="31">
        <v>3</v>
      </c>
      <c r="F154" s="38">
        <v>4.5400000000000003E-2</v>
      </c>
      <c r="G154" s="32" t="s">
        <v>535</v>
      </c>
      <c r="H154" s="33">
        <v>8.5853999999999999</v>
      </c>
      <c r="I154" s="11"/>
      <c r="J154" s="33">
        <f t="shared" si="23"/>
        <v>0</v>
      </c>
      <c r="M154" s="20" t="str">
        <f t="shared" si="18"/>
        <v>-</v>
      </c>
      <c r="N154" s="20" t="str">
        <f t="shared" si="20"/>
        <v>-</v>
      </c>
      <c r="O154" s="21" t="str">
        <f t="shared" si="19"/>
        <v>-</v>
      </c>
      <c r="P154" s="22" t="str">
        <f t="shared" si="21"/>
        <v>-</v>
      </c>
      <c r="R154" s="22" t="str">
        <f t="shared" si="22"/>
        <v>-</v>
      </c>
    </row>
    <row r="155" spans="1:18" ht="14.4" x14ac:dyDescent="0.25">
      <c r="A155" s="30">
        <v>97467016354</v>
      </c>
      <c r="B155" s="31">
        <v>1635</v>
      </c>
      <c r="C155" s="26" t="s">
        <v>49</v>
      </c>
      <c r="D155" s="31">
        <v>60</v>
      </c>
      <c r="E155" s="31">
        <v>3</v>
      </c>
      <c r="F155" s="38">
        <v>6.2425000000000001E-2</v>
      </c>
      <c r="G155" s="32" t="s">
        <v>535</v>
      </c>
      <c r="H155" s="33">
        <v>12.275400000000001</v>
      </c>
      <c r="I155" s="11"/>
      <c r="J155" s="33">
        <f t="shared" si="23"/>
        <v>0</v>
      </c>
      <c r="M155" s="20" t="str">
        <f t="shared" si="18"/>
        <v>-</v>
      </c>
      <c r="N155" s="20" t="str">
        <f t="shared" si="20"/>
        <v>-</v>
      </c>
      <c r="O155" s="21" t="str">
        <f t="shared" si="19"/>
        <v>-</v>
      </c>
      <c r="P155" s="22" t="str">
        <f t="shared" si="21"/>
        <v>-</v>
      </c>
      <c r="R155" s="22" t="str">
        <f t="shared" si="22"/>
        <v>-</v>
      </c>
    </row>
    <row r="156" spans="1:18" ht="14.4" x14ac:dyDescent="0.25">
      <c r="A156" s="30">
        <v>97467017207</v>
      </c>
      <c r="B156" s="31">
        <v>1720</v>
      </c>
      <c r="C156" s="26" t="s">
        <v>51</v>
      </c>
      <c r="D156" s="31">
        <v>90</v>
      </c>
      <c r="E156" s="31">
        <v>3</v>
      </c>
      <c r="F156" s="38">
        <v>0.10101499999999999</v>
      </c>
      <c r="G156" s="32" t="s">
        <v>535</v>
      </c>
      <c r="H156" s="33">
        <v>14.427899999999998</v>
      </c>
      <c r="I156" s="11"/>
      <c r="J156" s="33">
        <f t="shared" si="23"/>
        <v>0</v>
      </c>
      <c r="M156" s="20" t="str">
        <f t="shared" si="18"/>
        <v>-</v>
      </c>
      <c r="N156" s="20" t="str">
        <f t="shared" si="20"/>
        <v>-</v>
      </c>
      <c r="O156" s="21" t="str">
        <f t="shared" si="19"/>
        <v>-</v>
      </c>
      <c r="P156" s="22" t="str">
        <f t="shared" si="21"/>
        <v>-</v>
      </c>
      <c r="R156" s="22" t="str">
        <f t="shared" si="22"/>
        <v>-</v>
      </c>
    </row>
    <row r="157" spans="1:18" ht="14.4" x14ac:dyDescent="0.25">
      <c r="A157" s="30">
        <v>97467017306</v>
      </c>
      <c r="B157" s="31">
        <v>1730</v>
      </c>
      <c r="C157" s="26" t="s">
        <v>52</v>
      </c>
      <c r="D157" s="31">
        <v>60</v>
      </c>
      <c r="E157" s="31">
        <v>3</v>
      </c>
      <c r="F157" s="38">
        <v>8.2854999999999998E-2</v>
      </c>
      <c r="G157" s="32" t="s">
        <v>535</v>
      </c>
      <c r="H157" s="33">
        <v>16.580399999999997</v>
      </c>
      <c r="I157" s="11"/>
      <c r="J157" s="33">
        <f t="shared" si="23"/>
        <v>0</v>
      </c>
      <c r="M157" s="20" t="str">
        <f t="shared" si="18"/>
        <v>-</v>
      </c>
      <c r="N157" s="20" t="str">
        <f t="shared" si="20"/>
        <v>-</v>
      </c>
      <c r="O157" s="21" t="str">
        <f t="shared" si="19"/>
        <v>-</v>
      </c>
      <c r="P157" s="22" t="str">
        <f t="shared" si="21"/>
        <v>-</v>
      </c>
      <c r="R157" s="22" t="str">
        <f t="shared" si="22"/>
        <v>-</v>
      </c>
    </row>
    <row r="158" spans="1:18" ht="14.4" x14ac:dyDescent="0.25">
      <c r="A158" s="30">
        <v>97467017313</v>
      </c>
      <c r="B158" s="31">
        <v>1731</v>
      </c>
      <c r="C158" s="26" t="s">
        <v>53</v>
      </c>
      <c r="D158" s="31">
        <v>30</v>
      </c>
      <c r="E158" s="31">
        <v>3</v>
      </c>
      <c r="F158" s="38">
        <v>6.8099999999999994E-2</v>
      </c>
      <c r="G158" s="32" t="s">
        <v>535</v>
      </c>
      <c r="H158" s="33">
        <v>17.810400000000001</v>
      </c>
      <c r="I158" s="11"/>
      <c r="J158" s="33">
        <f t="shared" si="23"/>
        <v>0</v>
      </c>
      <c r="M158" s="20" t="str">
        <f t="shared" si="18"/>
        <v>-</v>
      </c>
      <c r="N158" s="20" t="str">
        <f t="shared" si="20"/>
        <v>-</v>
      </c>
      <c r="O158" s="21" t="str">
        <f t="shared" si="19"/>
        <v>-</v>
      </c>
      <c r="P158" s="22" t="str">
        <f t="shared" si="21"/>
        <v>-</v>
      </c>
      <c r="R158" s="22" t="str">
        <f t="shared" si="22"/>
        <v>-</v>
      </c>
    </row>
    <row r="159" spans="1:18" ht="14.4" x14ac:dyDescent="0.25">
      <c r="A159" s="30">
        <v>97467017337</v>
      </c>
      <c r="B159" s="31">
        <v>1733</v>
      </c>
      <c r="C159" s="26" t="s">
        <v>54</v>
      </c>
      <c r="D159" s="31">
        <v>30</v>
      </c>
      <c r="E159" s="31">
        <v>3</v>
      </c>
      <c r="F159" s="38">
        <v>8.7395E-2</v>
      </c>
      <c r="G159" s="32" t="s">
        <v>535</v>
      </c>
      <c r="H159" s="33">
        <v>17.810400000000001</v>
      </c>
      <c r="I159" s="11"/>
      <c r="J159" s="33">
        <f t="shared" si="23"/>
        <v>0</v>
      </c>
      <c r="M159" s="20" t="str">
        <f t="shared" si="18"/>
        <v>-</v>
      </c>
      <c r="N159" s="20" t="str">
        <f t="shared" si="20"/>
        <v>-</v>
      </c>
      <c r="O159" s="21" t="str">
        <f t="shared" si="19"/>
        <v>-</v>
      </c>
      <c r="P159" s="22" t="str">
        <f t="shared" si="21"/>
        <v>-</v>
      </c>
      <c r="R159" s="22" t="str">
        <f t="shared" si="22"/>
        <v>-</v>
      </c>
    </row>
    <row r="160" spans="1:18" ht="14.4" x14ac:dyDescent="0.25">
      <c r="A160" s="30">
        <v>97467017351</v>
      </c>
      <c r="B160" s="31">
        <v>1735</v>
      </c>
      <c r="C160" s="25" t="s">
        <v>55</v>
      </c>
      <c r="D160" s="31">
        <v>30</v>
      </c>
      <c r="E160" s="31">
        <v>3</v>
      </c>
      <c r="F160" s="38">
        <v>5.9019999999999996E-2</v>
      </c>
      <c r="G160" s="32" t="s">
        <v>535</v>
      </c>
      <c r="H160" s="33">
        <v>17.810400000000001</v>
      </c>
      <c r="I160" s="11"/>
      <c r="J160" s="33">
        <f t="shared" si="23"/>
        <v>0</v>
      </c>
      <c r="M160" s="20" t="str">
        <f t="shared" si="18"/>
        <v>-</v>
      </c>
      <c r="N160" s="20" t="str">
        <f t="shared" si="20"/>
        <v>-</v>
      </c>
      <c r="O160" s="21" t="str">
        <f t="shared" si="19"/>
        <v>-</v>
      </c>
      <c r="P160" s="22" t="str">
        <f t="shared" si="21"/>
        <v>-</v>
      </c>
      <c r="R160" s="22" t="str">
        <f t="shared" si="22"/>
        <v>-</v>
      </c>
    </row>
    <row r="161" spans="1:18" ht="14.4" x14ac:dyDescent="0.25">
      <c r="A161" s="30">
        <v>97467017368</v>
      </c>
      <c r="B161" s="31">
        <v>1736</v>
      </c>
      <c r="C161" s="25" t="s">
        <v>55</v>
      </c>
      <c r="D161" s="31">
        <v>60</v>
      </c>
      <c r="E161" s="31">
        <v>3</v>
      </c>
      <c r="F161" s="38">
        <v>0.107825</v>
      </c>
      <c r="G161" s="32" t="s">
        <v>535</v>
      </c>
      <c r="H161" s="33">
        <v>30.7254</v>
      </c>
      <c r="I161" s="11"/>
      <c r="J161" s="33">
        <f t="shared" si="23"/>
        <v>0</v>
      </c>
      <c r="M161" s="20" t="str">
        <f t="shared" si="18"/>
        <v>-</v>
      </c>
      <c r="N161" s="20" t="str">
        <f t="shared" si="20"/>
        <v>-</v>
      </c>
      <c r="O161" s="21" t="str">
        <f t="shared" si="19"/>
        <v>-</v>
      </c>
      <c r="P161" s="22" t="str">
        <f t="shared" si="21"/>
        <v>-</v>
      </c>
      <c r="R161" s="22" t="str">
        <f t="shared" si="22"/>
        <v>-</v>
      </c>
    </row>
    <row r="162" spans="1:18" ht="14.4" x14ac:dyDescent="0.25">
      <c r="A162" s="30">
        <v>97467017375</v>
      </c>
      <c r="B162" s="31">
        <v>1737</v>
      </c>
      <c r="C162" s="26" t="s">
        <v>56</v>
      </c>
      <c r="D162" s="31">
        <v>30</v>
      </c>
      <c r="E162" s="31">
        <v>3</v>
      </c>
      <c r="F162" s="38">
        <v>6.2425000000000001E-2</v>
      </c>
      <c r="G162" s="32" t="s">
        <v>535</v>
      </c>
      <c r="H162" s="33">
        <v>9.8154000000000003</v>
      </c>
      <c r="I162" s="11"/>
      <c r="J162" s="33">
        <f t="shared" si="23"/>
        <v>0</v>
      </c>
      <c r="M162" s="20" t="str">
        <f t="shared" si="18"/>
        <v>-</v>
      </c>
      <c r="N162" s="20" t="str">
        <f t="shared" si="20"/>
        <v>-</v>
      </c>
      <c r="O162" s="21" t="str">
        <f t="shared" si="19"/>
        <v>-</v>
      </c>
      <c r="P162" s="22" t="str">
        <f t="shared" si="21"/>
        <v>-</v>
      </c>
      <c r="R162" s="22" t="str">
        <f t="shared" si="22"/>
        <v>-</v>
      </c>
    </row>
    <row r="163" spans="1:18" ht="14.4" x14ac:dyDescent="0.25">
      <c r="A163" s="30">
        <v>97467017917</v>
      </c>
      <c r="B163" s="31">
        <v>1791</v>
      </c>
      <c r="C163" s="26" t="s">
        <v>58</v>
      </c>
      <c r="D163" s="31">
        <v>90</v>
      </c>
      <c r="E163" s="31">
        <v>3</v>
      </c>
      <c r="F163" s="38">
        <v>5.4480000000000001E-2</v>
      </c>
      <c r="G163" s="32" t="s">
        <v>535</v>
      </c>
      <c r="H163" s="33">
        <v>5.8178999999999998</v>
      </c>
      <c r="I163" s="11"/>
      <c r="J163" s="33">
        <f t="shared" si="23"/>
        <v>0</v>
      </c>
      <c r="M163" s="20" t="str">
        <f t="shared" si="18"/>
        <v>-</v>
      </c>
      <c r="N163" s="20" t="str">
        <f t="shared" si="20"/>
        <v>-</v>
      </c>
      <c r="O163" s="21" t="str">
        <f t="shared" si="19"/>
        <v>-</v>
      </c>
      <c r="P163" s="22" t="str">
        <f t="shared" si="21"/>
        <v>-</v>
      </c>
      <c r="R163" s="22" t="str">
        <f t="shared" si="22"/>
        <v>-</v>
      </c>
    </row>
    <row r="164" spans="1:18" ht="14.4" x14ac:dyDescent="0.25">
      <c r="A164" s="30">
        <v>97467017924</v>
      </c>
      <c r="B164" s="31">
        <v>1792</v>
      </c>
      <c r="C164" s="26" t="s">
        <v>59</v>
      </c>
      <c r="D164" s="31">
        <v>30</v>
      </c>
      <c r="E164" s="31">
        <v>3</v>
      </c>
      <c r="F164" s="38">
        <v>4.7670000000000004E-2</v>
      </c>
      <c r="G164" s="32" t="s">
        <v>535</v>
      </c>
      <c r="H164" s="33">
        <v>10.430399999999999</v>
      </c>
      <c r="I164" s="11"/>
      <c r="J164" s="33">
        <f t="shared" si="23"/>
        <v>0</v>
      </c>
      <c r="M164" s="20" t="str">
        <f t="shared" si="18"/>
        <v>-</v>
      </c>
      <c r="N164" s="20" t="str">
        <f t="shared" si="20"/>
        <v>-</v>
      </c>
      <c r="O164" s="21" t="str">
        <f t="shared" si="19"/>
        <v>-</v>
      </c>
      <c r="P164" s="22" t="str">
        <f t="shared" si="21"/>
        <v>-</v>
      </c>
      <c r="R164" s="22" t="str">
        <f t="shared" si="22"/>
        <v>-</v>
      </c>
    </row>
    <row r="165" spans="1:18" ht="14.4" x14ac:dyDescent="0.25">
      <c r="A165" s="30">
        <v>97467020603</v>
      </c>
      <c r="B165" s="31">
        <v>2060</v>
      </c>
      <c r="C165" s="26" t="s">
        <v>65</v>
      </c>
      <c r="D165" s="31">
        <v>60</v>
      </c>
      <c r="E165" s="31">
        <v>3</v>
      </c>
      <c r="F165" s="38">
        <v>0.15890000000000001</v>
      </c>
      <c r="G165" s="32" t="s">
        <v>535</v>
      </c>
      <c r="H165" s="33">
        <v>18.117899999999999</v>
      </c>
      <c r="I165" s="11"/>
      <c r="J165" s="33">
        <f t="shared" si="23"/>
        <v>0</v>
      </c>
      <c r="M165" s="20" t="str">
        <f t="shared" si="18"/>
        <v>-</v>
      </c>
      <c r="N165" s="20" t="str">
        <f t="shared" si="20"/>
        <v>-</v>
      </c>
      <c r="O165" s="21" t="str">
        <f t="shared" si="19"/>
        <v>-</v>
      </c>
      <c r="P165" s="22" t="str">
        <f t="shared" si="21"/>
        <v>-</v>
      </c>
      <c r="R165" s="22" t="str">
        <f t="shared" si="22"/>
        <v>-</v>
      </c>
    </row>
    <row r="166" spans="1:18" ht="14.4" x14ac:dyDescent="0.25">
      <c r="A166" s="30">
        <v>97467021341</v>
      </c>
      <c r="B166" s="31">
        <v>2134</v>
      </c>
      <c r="C166" s="26" t="s">
        <v>67</v>
      </c>
      <c r="D166" s="31">
        <v>60</v>
      </c>
      <c r="E166" s="31">
        <v>3</v>
      </c>
      <c r="F166" s="38">
        <v>0.17024999999999998</v>
      </c>
      <c r="G166" s="32" t="s">
        <v>535</v>
      </c>
      <c r="H166" s="33">
        <v>15.657899999999998</v>
      </c>
      <c r="I166" s="11"/>
      <c r="J166" s="33">
        <f t="shared" si="23"/>
        <v>0</v>
      </c>
      <c r="M166" s="20" t="str">
        <f t="shared" si="18"/>
        <v>-</v>
      </c>
      <c r="N166" s="20" t="str">
        <f t="shared" si="20"/>
        <v>-</v>
      </c>
      <c r="O166" s="21" t="str">
        <f t="shared" si="19"/>
        <v>-</v>
      </c>
      <c r="P166" s="22" t="str">
        <f t="shared" si="21"/>
        <v>-</v>
      </c>
      <c r="R166" s="22" t="str">
        <f t="shared" si="22"/>
        <v>-</v>
      </c>
    </row>
    <row r="167" spans="1:18" ht="14.4" x14ac:dyDescent="0.25">
      <c r="A167" s="30">
        <v>97467010802</v>
      </c>
      <c r="B167" s="31">
        <v>1080</v>
      </c>
      <c r="C167" s="26" t="s">
        <v>23</v>
      </c>
      <c r="D167" s="31">
        <v>90</v>
      </c>
      <c r="E167" s="31">
        <v>3</v>
      </c>
      <c r="F167" s="38">
        <v>0.11803999999999999</v>
      </c>
      <c r="G167" s="32" t="s">
        <v>535</v>
      </c>
      <c r="H167" s="33">
        <v>14.735399999999998</v>
      </c>
      <c r="I167" s="11"/>
      <c r="J167" s="33">
        <f t="shared" si="23"/>
        <v>0</v>
      </c>
      <c r="M167" s="20" t="str">
        <f t="shared" si="18"/>
        <v>-</v>
      </c>
      <c r="N167" s="20" t="str">
        <f t="shared" si="20"/>
        <v>-</v>
      </c>
      <c r="O167" s="21" t="str">
        <f t="shared" si="19"/>
        <v>-</v>
      </c>
      <c r="P167" s="22" t="str">
        <f t="shared" si="21"/>
        <v>-</v>
      </c>
      <c r="R167" s="22" t="str">
        <f t="shared" si="22"/>
        <v>-</v>
      </c>
    </row>
    <row r="168" spans="1:18" ht="14.4" x14ac:dyDescent="0.25">
      <c r="A168" s="30">
        <v>97467010840</v>
      </c>
      <c r="B168" s="31">
        <v>1084</v>
      </c>
      <c r="C168" s="26" t="s">
        <v>68</v>
      </c>
      <c r="D168" s="31">
        <v>60</v>
      </c>
      <c r="E168" s="31">
        <v>3</v>
      </c>
      <c r="F168" s="38">
        <v>7.3775000000000007E-2</v>
      </c>
      <c r="G168" s="32" t="s">
        <v>535</v>
      </c>
      <c r="H168" s="33">
        <v>20.270400000000002</v>
      </c>
      <c r="I168" s="11"/>
      <c r="J168" s="33">
        <f t="shared" si="23"/>
        <v>0</v>
      </c>
      <c r="M168" s="20" t="str">
        <f t="shared" si="18"/>
        <v>-</v>
      </c>
      <c r="N168" s="20" t="str">
        <f t="shared" si="20"/>
        <v>-</v>
      </c>
      <c r="O168" s="21" t="str">
        <f t="shared" si="19"/>
        <v>-</v>
      </c>
      <c r="P168" s="22" t="str">
        <f t="shared" si="21"/>
        <v>-</v>
      </c>
      <c r="R168" s="22" t="str">
        <f t="shared" si="22"/>
        <v>-</v>
      </c>
    </row>
    <row r="169" spans="1:18" ht="14.4" x14ac:dyDescent="0.25">
      <c r="A169" s="30">
        <v>97467011168</v>
      </c>
      <c r="B169" s="31">
        <v>1116</v>
      </c>
      <c r="C169" s="26" t="s">
        <v>69</v>
      </c>
      <c r="D169" s="31">
        <v>1</v>
      </c>
      <c r="E169" s="31">
        <v>3</v>
      </c>
      <c r="F169" s="38">
        <v>0.10669000000000001</v>
      </c>
      <c r="G169" s="32" t="s">
        <v>535</v>
      </c>
      <c r="H169" s="33">
        <v>28.880399999999998</v>
      </c>
      <c r="I169" s="11"/>
      <c r="J169" s="33">
        <f t="shared" si="23"/>
        <v>0</v>
      </c>
      <c r="M169" s="20" t="str">
        <f t="shared" si="18"/>
        <v>-</v>
      </c>
      <c r="N169" s="20" t="str">
        <f t="shared" si="20"/>
        <v>-</v>
      </c>
      <c r="O169" s="21" t="str">
        <f t="shared" si="19"/>
        <v>-</v>
      </c>
      <c r="P169" s="22" t="str">
        <f t="shared" si="21"/>
        <v>-</v>
      </c>
      <c r="R169" s="22" t="str">
        <f t="shared" si="22"/>
        <v>-</v>
      </c>
    </row>
    <row r="170" spans="1:18" ht="14.4" x14ac:dyDescent="0.25">
      <c r="A170" s="30">
        <v>97467012295</v>
      </c>
      <c r="B170" s="26">
        <v>1229</v>
      </c>
      <c r="C170" s="26" t="s">
        <v>70</v>
      </c>
      <c r="D170" s="31">
        <v>30</v>
      </c>
      <c r="E170" s="31">
        <v>3</v>
      </c>
      <c r="F170" s="38">
        <v>9.5340000000000008E-2</v>
      </c>
      <c r="G170" s="32" t="s">
        <v>535</v>
      </c>
      <c r="H170" s="33">
        <v>12.8904</v>
      </c>
      <c r="I170" s="11"/>
      <c r="J170" s="33">
        <f t="shared" si="23"/>
        <v>0</v>
      </c>
      <c r="M170" s="20" t="str">
        <f t="shared" si="18"/>
        <v>-</v>
      </c>
      <c r="N170" s="20" t="str">
        <f t="shared" si="20"/>
        <v>-</v>
      </c>
      <c r="O170" s="21" t="str">
        <f t="shared" si="19"/>
        <v>-</v>
      </c>
      <c r="P170" s="22" t="str">
        <f t="shared" si="21"/>
        <v>-</v>
      </c>
      <c r="R170" s="22" t="str">
        <f t="shared" si="22"/>
        <v>-</v>
      </c>
    </row>
    <row r="171" spans="1:18" ht="14.4" x14ac:dyDescent="0.25">
      <c r="A171" s="30">
        <v>97467012608</v>
      </c>
      <c r="B171" s="26">
        <v>1260</v>
      </c>
      <c r="C171" s="26" t="s">
        <v>71</v>
      </c>
      <c r="D171" s="31">
        <v>60</v>
      </c>
      <c r="E171" s="31">
        <v>3</v>
      </c>
      <c r="F171" s="38">
        <v>0.21792</v>
      </c>
      <c r="G171" s="32" t="s">
        <v>535</v>
      </c>
      <c r="H171" s="33">
        <v>22.730399999999999</v>
      </c>
      <c r="I171" s="11"/>
      <c r="J171" s="33">
        <f t="shared" si="23"/>
        <v>0</v>
      </c>
      <c r="M171" s="20" t="str">
        <f t="shared" si="18"/>
        <v>-</v>
      </c>
      <c r="N171" s="20" t="str">
        <f t="shared" si="20"/>
        <v>-</v>
      </c>
      <c r="O171" s="21" t="str">
        <f t="shared" si="19"/>
        <v>-</v>
      </c>
      <c r="P171" s="22" t="str">
        <f t="shared" si="21"/>
        <v>-</v>
      </c>
      <c r="R171" s="22" t="str">
        <f t="shared" si="22"/>
        <v>-</v>
      </c>
    </row>
    <row r="172" spans="1:18" ht="14.4" x14ac:dyDescent="0.25">
      <c r="A172" s="30">
        <v>97467012615</v>
      </c>
      <c r="B172" s="26">
        <v>1261</v>
      </c>
      <c r="C172" s="26" t="s">
        <v>71</v>
      </c>
      <c r="D172" s="31">
        <v>90</v>
      </c>
      <c r="E172" s="31">
        <v>3</v>
      </c>
      <c r="F172" s="38">
        <v>0.31212500000000004</v>
      </c>
      <c r="G172" s="32" t="s">
        <v>535</v>
      </c>
      <c r="H172" s="33">
        <v>31.647899999999996</v>
      </c>
      <c r="I172" s="11"/>
      <c r="J172" s="33">
        <f t="shared" si="23"/>
        <v>0</v>
      </c>
      <c r="M172" s="20" t="str">
        <f t="shared" si="18"/>
        <v>-</v>
      </c>
      <c r="N172" s="20" t="str">
        <f t="shared" si="20"/>
        <v>-</v>
      </c>
      <c r="O172" s="21" t="str">
        <f t="shared" si="19"/>
        <v>-</v>
      </c>
      <c r="P172" s="22" t="str">
        <f t="shared" si="21"/>
        <v>-</v>
      </c>
      <c r="R172" s="22" t="str">
        <f t="shared" si="22"/>
        <v>-</v>
      </c>
    </row>
    <row r="173" spans="1:18" ht="14.4" x14ac:dyDescent="0.25">
      <c r="A173" s="30">
        <v>97467013209</v>
      </c>
      <c r="B173" s="26">
        <v>1320</v>
      </c>
      <c r="C173" s="26" t="s">
        <v>43</v>
      </c>
      <c r="D173" s="31">
        <v>90</v>
      </c>
      <c r="E173" s="31">
        <v>3</v>
      </c>
      <c r="F173" s="38">
        <v>9.5340000000000008E-2</v>
      </c>
      <c r="G173" s="32" t="s">
        <v>535</v>
      </c>
      <c r="H173" s="33">
        <v>14.1204</v>
      </c>
      <c r="I173" s="11"/>
      <c r="J173" s="33">
        <f t="shared" si="23"/>
        <v>0</v>
      </c>
      <c r="M173" s="20" t="str">
        <f t="shared" si="18"/>
        <v>-</v>
      </c>
      <c r="N173" s="20" t="str">
        <f t="shared" si="20"/>
        <v>-</v>
      </c>
      <c r="O173" s="21" t="str">
        <f t="shared" si="19"/>
        <v>-</v>
      </c>
      <c r="P173" s="22" t="str">
        <f t="shared" si="21"/>
        <v>-</v>
      </c>
      <c r="R173" s="22" t="str">
        <f t="shared" si="22"/>
        <v>-</v>
      </c>
    </row>
    <row r="174" spans="1:18" ht="14.4" x14ac:dyDescent="0.25">
      <c r="A174" s="30">
        <v>97467299474</v>
      </c>
      <c r="B174" s="26">
        <v>29947</v>
      </c>
      <c r="C174" s="26" t="s">
        <v>25</v>
      </c>
      <c r="D174" s="31">
        <v>90</v>
      </c>
      <c r="E174" s="31">
        <v>3</v>
      </c>
      <c r="F174" s="38">
        <v>0.24062</v>
      </c>
      <c r="G174" s="32" t="s">
        <v>535</v>
      </c>
      <c r="H174" s="33">
        <v>19.040399999999998</v>
      </c>
      <c r="I174" s="11"/>
      <c r="J174" s="33">
        <f t="shared" si="23"/>
        <v>0</v>
      </c>
      <c r="M174" s="20" t="str">
        <f t="shared" ref="M174:M237" si="24">IFERROR(IF($M$2*F174=0, "-", $M$2*F174), "-")</f>
        <v>-</v>
      </c>
      <c r="N174" s="20" t="str">
        <f t="shared" si="20"/>
        <v>-</v>
      </c>
      <c r="O174" s="21" t="str">
        <f t="shared" ref="O174:O237" si="25">IF(I174&gt;0,I174*F174, "-")</f>
        <v>-</v>
      </c>
      <c r="P174" s="22" t="str">
        <f t="shared" si="21"/>
        <v>-</v>
      </c>
      <c r="R174" s="22" t="str">
        <f t="shared" si="22"/>
        <v>-</v>
      </c>
    </row>
    <row r="175" spans="1:18" ht="14.4" x14ac:dyDescent="0.25">
      <c r="A175" s="30">
        <v>97467299696</v>
      </c>
      <c r="B175" s="26">
        <v>29969</v>
      </c>
      <c r="C175" s="26" t="s">
        <v>85</v>
      </c>
      <c r="D175" s="31">
        <v>90</v>
      </c>
      <c r="E175" s="31">
        <v>3</v>
      </c>
      <c r="F175" s="38">
        <v>0.20429999999999998</v>
      </c>
      <c r="G175" s="32" t="s">
        <v>535</v>
      </c>
      <c r="H175" s="33">
        <v>14.735399999999998</v>
      </c>
      <c r="I175" s="11"/>
      <c r="J175" s="33">
        <f t="shared" si="23"/>
        <v>0</v>
      </c>
      <c r="M175" s="20" t="str">
        <f t="shared" si="24"/>
        <v>-</v>
      </c>
      <c r="N175" s="20" t="str">
        <f t="shared" ref="N175:N237" si="26">IF(I175&gt;0,H175+M175,"-")</f>
        <v>-</v>
      </c>
      <c r="O175" s="21" t="str">
        <f t="shared" si="25"/>
        <v>-</v>
      </c>
      <c r="P175" s="22" t="str">
        <f t="shared" ref="P175:P238" si="27">IFERROR(IF($M$2&gt;0, $M$2*O175, "-"), "-")</f>
        <v>-</v>
      </c>
      <c r="R175" s="22" t="str">
        <f t="shared" ref="R175:R237" si="28">IFERROR(IF(P175+J175=0, "-", IF(P175&gt;0, P175+J175, "-")), "-")</f>
        <v>-</v>
      </c>
    </row>
    <row r="176" spans="1:18" ht="14.4" x14ac:dyDescent="0.25">
      <c r="A176" s="30">
        <v>97467022102</v>
      </c>
      <c r="B176" s="26">
        <v>2210</v>
      </c>
      <c r="C176" s="26" t="s">
        <v>161</v>
      </c>
      <c r="D176" s="31" t="s">
        <v>93</v>
      </c>
      <c r="E176" s="31">
        <v>3</v>
      </c>
      <c r="F176" s="38">
        <v>0.31212500000000004</v>
      </c>
      <c r="G176" s="32" t="s">
        <v>535</v>
      </c>
      <c r="H176" s="33">
        <v>26.531100000000002</v>
      </c>
      <c r="I176" s="11"/>
      <c r="J176" s="33">
        <f t="shared" si="23"/>
        <v>0</v>
      </c>
      <c r="M176" s="20" t="str">
        <f t="shared" si="24"/>
        <v>-</v>
      </c>
      <c r="N176" s="20" t="str">
        <f t="shared" si="26"/>
        <v>-</v>
      </c>
      <c r="O176" s="21" t="str">
        <f t="shared" si="25"/>
        <v>-</v>
      </c>
      <c r="P176" s="22" t="str">
        <f t="shared" si="27"/>
        <v>-</v>
      </c>
      <c r="R176" s="22" t="str">
        <f t="shared" si="28"/>
        <v>-</v>
      </c>
    </row>
    <row r="177" spans="1:18" ht="14.4" x14ac:dyDescent="0.25">
      <c r="A177" s="30">
        <v>97467022126</v>
      </c>
      <c r="B177" s="26">
        <v>2212</v>
      </c>
      <c r="C177" s="26" t="s">
        <v>162</v>
      </c>
      <c r="D177" s="31">
        <v>90</v>
      </c>
      <c r="E177" s="31">
        <v>3</v>
      </c>
      <c r="F177" s="38">
        <v>0.175925</v>
      </c>
      <c r="G177" s="32" t="s">
        <v>535</v>
      </c>
      <c r="H177" s="33">
        <v>18.117899999999999</v>
      </c>
      <c r="I177" s="11"/>
      <c r="J177" s="33">
        <f t="shared" si="23"/>
        <v>0</v>
      </c>
      <c r="M177" s="20" t="str">
        <f t="shared" si="24"/>
        <v>-</v>
      </c>
      <c r="N177" s="20" t="str">
        <f t="shared" si="26"/>
        <v>-</v>
      </c>
      <c r="O177" s="21" t="str">
        <f t="shared" si="25"/>
        <v>-</v>
      </c>
      <c r="P177" s="22" t="str">
        <f t="shared" si="27"/>
        <v>-</v>
      </c>
      <c r="R177" s="22" t="str">
        <f t="shared" si="28"/>
        <v>-</v>
      </c>
    </row>
    <row r="178" spans="1:18" ht="14.4" x14ac:dyDescent="0.25">
      <c r="A178" s="30">
        <v>97467022201</v>
      </c>
      <c r="B178" s="26">
        <v>2220</v>
      </c>
      <c r="C178" s="26" t="s">
        <v>270</v>
      </c>
      <c r="D178" s="31">
        <v>60</v>
      </c>
      <c r="E178" s="31">
        <v>3</v>
      </c>
      <c r="F178" s="38">
        <v>0.22019</v>
      </c>
      <c r="G178" s="32" t="s">
        <v>535</v>
      </c>
      <c r="H178" s="33">
        <v>16.580399999999997</v>
      </c>
      <c r="I178" s="11"/>
      <c r="J178" s="33">
        <f t="shared" si="23"/>
        <v>0</v>
      </c>
      <c r="M178" s="20" t="str">
        <f t="shared" si="24"/>
        <v>-</v>
      </c>
      <c r="N178" s="20" t="str">
        <f t="shared" si="26"/>
        <v>-</v>
      </c>
      <c r="O178" s="21" t="str">
        <f t="shared" si="25"/>
        <v>-</v>
      </c>
      <c r="P178" s="22" t="str">
        <f t="shared" si="27"/>
        <v>-</v>
      </c>
      <c r="R178" s="22" t="str">
        <f t="shared" si="28"/>
        <v>-</v>
      </c>
    </row>
    <row r="179" spans="1:18" ht="14.4" x14ac:dyDescent="0.25">
      <c r="A179" s="30">
        <v>97467022218</v>
      </c>
      <c r="B179" s="26">
        <v>2221</v>
      </c>
      <c r="C179" s="26" t="s">
        <v>270</v>
      </c>
      <c r="D179" s="31">
        <v>90</v>
      </c>
      <c r="E179" s="31">
        <v>3</v>
      </c>
      <c r="F179" s="38">
        <v>0.30645</v>
      </c>
      <c r="G179" s="32" t="s">
        <v>535</v>
      </c>
      <c r="H179" s="33">
        <v>23.9604</v>
      </c>
      <c r="I179" s="11"/>
      <c r="J179" s="33">
        <f t="shared" si="23"/>
        <v>0</v>
      </c>
      <c r="M179" s="20" t="str">
        <f t="shared" si="24"/>
        <v>-</v>
      </c>
      <c r="N179" s="20" t="str">
        <f t="shared" si="26"/>
        <v>-</v>
      </c>
      <c r="O179" s="21" t="str">
        <f t="shared" si="25"/>
        <v>-</v>
      </c>
      <c r="P179" s="22" t="str">
        <f t="shared" si="27"/>
        <v>-</v>
      </c>
      <c r="R179" s="22" t="str">
        <f t="shared" si="28"/>
        <v>-</v>
      </c>
    </row>
    <row r="180" spans="1:18" ht="14.4" x14ac:dyDescent="0.25">
      <c r="A180" s="30">
        <v>97467022904</v>
      </c>
      <c r="B180" s="26">
        <v>2290</v>
      </c>
      <c r="C180" s="26" t="s">
        <v>271</v>
      </c>
      <c r="D180" s="31">
        <v>180</v>
      </c>
      <c r="E180" s="31">
        <v>3</v>
      </c>
      <c r="F180" s="38">
        <v>0.36887500000000001</v>
      </c>
      <c r="G180" s="32" t="s">
        <v>535</v>
      </c>
      <c r="H180" s="33">
        <v>22.730399999999999</v>
      </c>
      <c r="I180" s="11"/>
      <c r="J180" s="33">
        <f t="shared" si="23"/>
        <v>0</v>
      </c>
      <c r="M180" s="20" t="str">
        <f t="shared" si="24"/>
        <v>-</v>
      </c>
      <c r="N180" s="20" t="str">
        <f t="shared" si="26"/>
        <v>-</v>
      </c>
      <c r="O180" s="21" t="str">
        <f t="shared" si="25"/>
        <v>-</v>
      </c>
      <c r="P180" s="22" t="str">
        <f t="shared" si="27"/>
        <v>-</v>
      </c>
      <c r="R180" s="22" t="str">
        <f t="shared" si="28"/>
        <v>-</v>
      </c>
    </row>
    <row r="181" spans="1:18" ht="14.4" x14ac:dyDescent="0.25">
      <c r="A181" s="30">
        <v>97467023123</v>
      </c>
      <c r="B181" s="26">
        <v>2312</v>
      </c>
      <c r="C181" s="26" t="s">
        <v>163</v>
      </c>
      <c r="D181" s="31">
        <v>90</v>
      </c>
      <c r="E181" s="31">
        <v>3</v>
      </c>
      <c r="F181" s="38">
        <v>0.16003499999999998</v>
      </c>
      <c r="G181" s="32" t="s">
        <v>535</v>
      </c>
      <c r="H181" s="33">
        <v>15.350399999999999</v>
      </c>
      <c r="I181" s="11"/>
      <c r="J181" s="33">
        <f t="shared" si="23"/>
        <v>0</v>
      </c>
      <c r="M181" s="20" t="str">
        <f t="shared" si="24"/>
        <v>-</v>
      </c>
      <c r="N181" s="20" t="str">
        <f t="shared" si="26"/>
        <v>-</v>
      </c>
      <c r="O181" s="21" t="str">
        <f t="shared" si="25"/>
        <v>-</v>
      </c>
      <c r="P181" s="22" t="str">
        <f t="shared" si="27"/>
        <v>-</v>
      </c>
      <c r="R181" s="22" t="str">
        <f t="shared" si="28"/>
        <v>-</v>
      </c>
    </row>
    <row r="182" spans="1:18" ht="14.4" x14ac:dyDescent="0.25">
      <c r="A182" s="30">
        <v>97467023314</v>
      </c>
      <c r="B182" s="26">
        <v>2331</v>
      </c>
      <c r="C182" s="26" t="s">
        <v>164</v>
      </c>
      <c r="D182" s="31">
        <v>90</v>
      </c>
      <c r="E182" s="31">
        <v>3</v>
      </c>
      <c r="F182" s="38">
        <v>9.7609999999999988E-2</v>
      </c>
      <c r="G182" s="32" t="s">
        <v>535</v>
      </c>
      <c r="H182" s="33">
        <v>9.2004000000000001</v>
      </c>
      <c r="I182" s="11"/>
      <c r="J182" s="33">
        <f t="shared" si="23"/>
        <v>0</v>
      </c>
      <c r="M182" s="20" t="str">
        <f t="shared" si="24"/>
        <v>-</v>
      </c>
      <c r="N182" s="20" t="str">
        <f t="shared" si="26"/>
        <v>-</v>
      </c>
      <c r="O182" s="21" t="str">
        <f t="shared" si="25"/>
        <v>-</v>
      </c>
      <c r="P182" s="22" t="str">
        <f t="shared" si="27"/>
        <v>-</v>
      </c>
      <c r="R182" s="22" t="str">
        <f t="shared" si="28"/>
        <v>-</v>
      </c>
    </row>
    <row r="183" spans="1:18" ht="14.4" x14ac:dyDescent="0.25">
      <c r="A183" s="30">
        <v>97467024434</v>
      </c>
      <c r="B183" s="26">
        <v>2443</v>
      </c>
      <c r="C183" s="26" t="s">
        <v>165</v>
      </c>
      <c r="D183" s="31">
        <v>90</v>
      </c>
      <c r="E183" s="31">
        <v>3</v>
      </c>
      <c r="F183" s="38">
        <v>0.39611499999999999</v>
      </c>
      <c r="G183" s="32" t="s">
        <v>535</v>
      </c>
      <c r="H183" s="33">
        <v>17.810400000000001</v>
      </c>
      <c r="I183" s="11"/>
      <c r="J183" s="33">
        <f t="shared" si="23"/>
        <v>0</v>
      </c>
      <c r="M183" s="20" t="str">
        <f t="shared" si="24"/>
        <v>-</v>
      </c>
      <c r="N183" s="20" t="str">
        <f t="shared" si="26"/>
        <v>-</v>
      </c>
      <c r="O183" s="21" t="str">
        <f t="shared" si="25"/>
        <v>-</v>
      </c>
      <c r="P183" s="22" t="str">
        <f t="shared" si="27"/>
        <v>-</v>
      </c>
      <c r="R183" s="22" t="str">
        <f t="shared" si="28"/>
        <v>-</v>
      </c>
    </row>
    <row r="184" spans="1:18" ht="14.4" x14ac:dyDescent="0.25">
      <c r="A184" s="30">
        <v>97467024472</v>
      </c>
      <c r="B184" s="26">
        <v>2447</v>
      </c>
      <c r="C184" s="25" t="s">
        <v>166</v>
      </c>
      <c r="D184" s="31">
        <v>90</v>
      </c>
      <c r="E184" s="31">
        <v>3</v>
      </c>
      <c r="F184" s="38">
        <v>0.40292499999999998</v>
      </c>
      <c r="G184" s="32" t="s">
        <v>535</v>
      </c>
      <c r="H184" s="33">
        <v>18.4254</v>
      </c>
      <c r="I184" s="11"/>
      <c r="J184" s="33">
        <f t="shared" si="23"/>
        <v>0</v>
      </c>
      <c r="M184" s="20" t="str">
        <f t="shared" si="24"/>
        <v>-</v>
      </c>
      <c r="N184" s="20" t="str">
        <f t="shared" si="26"/>
        <v>-</v>
      </c>
      <c r="O184" s="21" t="str">
        <f t="shared" si="25"/>
        <v>-</v>
      </c>
      <c r="P184" s="22" t="str">
        <f t="shared" si="27"/>
        <v>-</v>
      </c>
      <c r="R184" s="22" t="str">
        <f t="shared" si="28"/>
        <v>-</v>
      </c>
    </row>
    <row r="185" spans="1:18" ht="14.4" hidden="1" x14ac:dyDescent="0.25">
      <c r="A185" s="30">
        <v>807205115139</v>
      </c>
      <c r="B185" s="26" t="s">
        <v>0</v>
      </c>
      <c r="C185" s="25" t="s">
        <v>167</v>
      </c>
      <c r="D185" s="31">
        <v>90</v>
      </c>
      <c r="E185" s="31">
        <v>3</v>
      </c>
      <c r="F185" s="38"/>
      <c r="G185" s="32" t="s">
        <v>535</v>
      </c>
      <c r="H185" s="33">
        <v>11.045400000000001</v>
      </c>
      <c r="I185" s="11"/>
      <c r="J185" s="33">
        <f t="shared" si="23"/>
        <v>0</v>
      </c>
      <c r="M185" s="20" t="str">
        <f t="shared" si="24"/>
        <v>-</v>
      </c>
      <c r="N185" s="20" t="str">
        <f t="shared" si="26"/>
        <v>-</v>
      </c>
      <c r="O185" s="21" t="str">
        <f t="shared" si="25"/>
        <v>-</v>
      </c>
      <c r="P185" s="22" t="str">
        <f t="shared" si="27"/>
        <v>-</v>
      </c>
      <c r="R185" s="22" t="str">
        <f t="shared" si="28"/>
        <v>-</v>
      </c>
    </row>
    <row r="186" spans="1:18" ht="14.4" x14ac:dyDescent="0.25">
      <c r="A186" s="30">
        <v>97467024656</v>
      </c>
      <c r="B186" s="26">
        <v>2465</v>
      </c>
      <c r="C186" s="26" t="s">
        <v>168</v>
      </c>
      <c r="D186" s="31">
        <v>90</v>
      </c>
      <c r="E186" s="31">
        <v>3</v>
      </c>
      <c r="F186" s="38">
        <v>0.37228</v>
      </c>
      <c r="G186" s="32" t="s">
        <v>535</v>
      </c>
      <c r="H186" s="33">
        <v>14.1204</v>
      </c>
      <c r="I186" s="11"/>
      <c r="J186" s="33">
        <f t="shared" si="23"/>
        <v>0</v>
      </c>
      <c r="M186" s="20" t="str">
        <f t="shared" si="24"/>
        <v>-</v>
      </c>
      <c r="N186" s="20" t="str">
        <f t="shared" si="26"/>
        <v>-</v>
      </c>
      <c r="O186" s="21" t="str">
        <f t="shared" si="25"/>
        <v>-</v>
      </c>
      <c r="P186" s="22" t="str">
        <f t="shared" si="27"/>
        <v>-</v>
      </c>
      <c r="R186" s="22" t="str">
        <f t="shared" si="28"/>
        <v>-</v>
      </c>
    </row>
    <row r="187" spans="1:18" ht="14.4" x14ac:dyDescent="0.25">
      <c r="A187" s="30">
        <v>97467024670</v>
      </c>
      <c r="B187" s="26">
        <v>2467</v>
      </c>
      <c r="C187" s="26" t="s">
        <v>168</v>
      </c>
      <c r="D187" s="31">
        <v>180</v>
      </c>
      <c r="E187" s="31">
        <v>3</v>
      </c>
      <c r="F187" s="38">
        <v>0.72299500000000005</v>
      </c>
      <c r="G187" s="32" t="s">
        <v>535</v>
      </c>
      <c r="H187" s="33">
        <v>25.190399999999997</v>
      </c>
      <c r="I187" s="11"/>
      <c r="J187" s="33">
        <f t="shared" si="23"/>
        <v>0</v>
      </c>
      <c r="M187" s="20" t="str">
        <f t="shared" si="24"/>
        <v>-</v>
      </c>
      <c r="N187" s="20" t="str">
        <f t="shared" si="26"/>
        <v>-</v>
      </c>
      <c r="O187" s="21" t="str">
        <f t="shared" si="25"/>
        <v>-</v>
      </c>
      <c r="P187" s="22" t="str">
        <f t="shared" si="27"/>
        <v>-</v>
      </c>
      <c r="R187" s="22" t="str">
        <f t="shared" si="28"/>
        <v>-</v>
      </c>
    </row>
    <row r="188" spans="1:18" ht="14.4" x14ac:dyDescent="0.25">
      <c r="A188" s="30">
        <v>97467024687</v>
      </c>
      <c r="B188" s="26">
        <v>2468</v>
      </c>
      <c r="C188" s="26" t="s">
        <v>169</v>
      </c>
      <c r="D188" s="31">
        <v>60</v>
      </c>
      <c r="E188" s="31">
        <v>3</v>
      </c>
      <c r="F188" s="38">
        <v>0.482375</v>
      </c>
      <c r="G188" s="32" t="s">
        <v>535</v>
      </c>
      <c r="H188" s="33">
        <v>17.195399999999999</v>
      </c>
      <c r="I188" s="11"/>
      <c r="J188" s="33">
        <f t="shared" si="23"/>
        <v>0</v>
      </c>
      <c r="M188" s="20" t="str">
        <f t="shared" si="24"/>
        <v>-</v>
      </c>
      <c r="N188" s="20" t="str">
        <f t="shared" si="26"/>
        <v>-</v>
      </c>
      <c r="O188" s="21" t="str">
        <f t="shared" si="25"/>
        <v>-</v>
      </c>
      <c r="P188" s="22" t="str">
        <f t="shared" si="27"/>
        <v>-</v>
      </c>
      <c r="R188" s="22" t="str">
        <f t="shared" si="28"/>
        <v>-</v>
      </c>
    </row>
    <row r="189" spans="1:18" ht="14.4" x14ac:dyDescent="0.25">
      <c r="A189" s="30">
        <v>97467024724</v>
      </c>
      <c r="B189" s="26">
        <v>2472</v>
      </c>
      <c r="C189" s="26" t="s">
        <v>170</v>
      </c>
      <c r="D189" s="31">
        <v>180</v>
      </c>
      <c r="E189" s="31">
        <v>3</v>
      </c>
      <c r="F189" s="38">
        <v>0.23267499999999999</v>
      </c>
      <c r="G189" s="32" t="s">
        <v>535</v>
      </c>
      <c r="H189" s="33">
        <v>10.1229</v>
      </c>
      <c r="I189" s="11"/>
      <c r="J189" s="33">
        <f t="shared" si="23"/>
        <v>0</v>
      </c>
      <c r="M189" s="20" t="str">
        <f t="shared" si="24"/>
        <v>-</v>
      </c>
      <c r="N189" s="20" t="str">
        <f t="shared" si="26"/>
        <v>-</v>
      </c>
      <c r="O189" s="21" t="str">
        <f t="shared" si="25"/>
        <v>-</v>
      </c>
      <c r="P189" s="22" t="str">
        <f t="shared" si="27"/>
        <v>-</v>
      </c>
      <c r="R189" s="22" t="str">
        <f t="shared" si="28"/>
        <v>-</v>
      </c>
    </row>
    <row r="190" spans="1:18" ht="14.4" x14ac:dyDescent="0.25">
      <c r="A190" s="30">
        <v>97467024748</v>
      </c>
      <c r="B190" s="26">
        <v>2474</v>
      </c>
      <c r="C190" s="26" t="s">
        <v>171</v>
      </c>
      <c r="D190" s="31">
        <v>90</v>
      </c>
      <c r="E190" s="31">
        <v>3</v>
      </c>
      <c r="F190" s="38">
        <v>0.20316499999999998</v>
      </c>
      <c r="G190" s="32" t="s">
        <v>535</v>
      </c>
      <c r="H190" s="33">
        <v>8.8929000000000009</v>
      </c>
      <c r="I190" s="11"/>
      <c r="J190" s="33">
        <f t="shared" si="23"/>
        <v>0</v>
      </c>
      <c r="M190" s="20" t="str">
        <f t="shared" si="24"/>
        <v>-</v>
      </c>
      <c r="N190" s="20" t="str">
        <f t="shared" si="26"/>
        <v>-</v>
      </c>
      <c r="O190" s="21" t="str">
        <f t="shared" si="25"/>
        <v>-</v>
      </c>
      <c r="P190" s="22" t="str">
        <f t="shared" si="27"/>
        <v>-</v>
      </c>
      <c r="R190" s="22" t="str">
        <f t="shared" si="28"/>
        <v>-</v>
      </c>
    </row>
    <row r="191" spans="1:18" ht="14.4" x14ac:dyDescent="0.25">
      <c r="A191" s="30">
        <v>97467024809</v>
      </c>
      <c r="B191" s="26">
        <v>2480</v>
      </c>
      <c r="C191" s="26" t="s">
        <v>172</v>
      </c>
      <c r="D191" s="31">
        <v>90</v>
      </c>
      <c r="E191" s="31">
        <v>3</v>
      </c>
      <c r="F191" s="38">
        <v>0.25537500000000002</v>
      </c>
      <c r="G191" s="32" t="s">
        <v>535</v>
      </c>
      <c r="H191" s="33">
        <v>19.6554</v>
      </c>
      <c r="I191" s="11"/>
      <c r="J191" s="33">
        <f t="shared" si="23"/>
        <v>0</v>
      </c>
      <c r="M191" s="20" t="str">
        <f t="shared" si="24"/>
        <v>-</v>
      </c>
      <c r="N191" s="20" t="str">
        <f t="shared" si="26"/>
        <v>-</v>
      </c>
      <c r="O191" s="21" t="str">
        <f t="shared" si="25"/>
        <v>-</v>
      </c>
      <c r="P191" s="22" t="str">
        <f t="shared" si="27"/>
        <v>-</v>
      </c>
      <c r="R191" s="22" t="str">
        <f t="shared" si="28"/>
        <v>-</v>
      </c>
    </row>
    <row r="192" spans="1:18" ht="14.4" x14ac:dyDescent="0.25">
      <c r="A192" s="30">
        <v>97467024816</v>
      </c>
      <c r="B192" s="26">
        <v>2481</v>
      </c>
      <c r="C192" s="26" t="s">
        <v>172</v>
      </c>
      <c r="D192" s="31">
        <v>180</v>
      </c>
      <c r="E192" s="31">
        <v>3</v>
      </c>
      <c r="F192" s="38">
        <v>0.50280500000000006</v>
      </c>
      <c r="G192" s="32" t="s">
        <v>535</v>
      </c>
      <c r="H192" s="33">
        <v>35.0304</v>
      </c>
      <c r="I192" s="11"/>
      <c r="J192" s="33">
        <f t="shared" si="23"/>
        <v>0</v>
      </c>
      <c r="M192" s="20" t="str">
        <f t="shared" si="24"/>
        <v>-</v>
      </c>
      <c r="N192" s="20" t="str">
        <f t="shared" si="26"/>
        <v>-</v>
      </c>
      <c r="O192" s="21" t="str">
        <f t="shared" si="25"/>
        <v>-</v>
      </c>
      <c r="P192" s="22" t="str">
        <f t="shared" si="27"/>
        <v>-</v>
      </c>
      <c r="R192" s="22" t="str">
        <f t="shared" si="28"/>
        <v>-</v>
      </c>
    </row>
    <row r="193" spans="1:18" ht="14.4" x14ac:dyDescent="0.25">
      <c r="A193" s="30">
        <v>97467024847</v>
      </c>
      <c r="B193" s="26">
        <v>2484</v>
      </c>
      <c r="C193" s="26" t="s">
        <v>173</v>
      </c>
      <c r="D193" s="31">
        <v>180</v>
      </c>
      <c r="E193" s="31">
        <v>3</v>
      </c>
      <c r="F193" s="38">
        <v>0.28602</v>
      </c>
      <c r="G193" s="32" t="s">
        <v>535</v>
      </c>
      <c r="H193" s="33">
        <v>27.035399999999996</v>
      </c>
      <c r="I193" s="11"/>
      <c r="J193" s="33">
        <f t="shared" si="23"/>
        <v>0</v>
      </c>
      <c r="M193" s="20" t="str">
        <f t="shared" si="24"/>
        <v>-</v>
      </c>
      <c r="N193" s="20" t="str">
        <f t="shared" si="26"/>
        <v>-</v>
      </c>
      <c r="O193" s="21" t="str">
        <f t="shared" si="25"/>
        <v>-</v>
      </c>
      <c r="P193" s="22" t="str">
        <f t="shared" si="27"/>
        <v>-</v>
      </c>
      <c r="R193" s="22" t="str">
        <f t="shared" si="28"/>
        <v>-</v>
      </c>
    </row>
    <row r="194" spans="1:18" ht="14.4" x14ac:dyDescent="0.25">
      <c r="A194" s="30">
        <v>97467250017</v>
      </c>
      <c r="B194" s="26">
        <v>25001</v>
      </c>
      <c r="C194" s="26" t="s">
        <v>174</v>
      </c>
      <c r="D194" s="31" t="s">
        <v>92</v>
      </c>
      <c r="E194" s="31">
        <v>3</v>
      </c>
      <c r="F194" s="38">
        <v>1.2598500000000001</v>
      </c>
      <c r="G194" s="32" t="s">
        <v>535</v>
      </c>
      <c r="H194" s="33">
        <v>19.889100000000003</v>
      </c>
      <c r="I194" s="11"/>
      <c r="J194" s="33">
        <f t="shared" si="23"/>
        <v>0</v>
      </c>
      <c r="M194" s="20" t="str">
        <f t="shared" si="24"/>
        <v>-</v>
      </c>
      <c r="N194" s="20" t="str">
        <f t="shared" si="26"/>
        <v>-</v>
      </c>
      <c r="O194" s="21" t="str">
        <f t="shared" si="25"/>
        <v>-</v>
      </c>
      <c r="P194" s="22" t="str">
        <f t="shared" si="27"/>
        <v>-</v>
      </c>
      <c r="R194" s="22" t="str">
        <f t="shared" si="28"/>
        <v>-</v>
      </c>
    </row>
    <row r="195" spans="1:18" ht="14.4" x14ac:dyDescent="0.25">
      <c r="A195" s="30">
        <v>97467025615</v>
      </c>
      <c r="B195" s="26">
        <v>2561</v>
      </c>
      <c r="C195" s="26" t="s">
        <v>177</v>
      </c>
      <c r="D195" s="31">
        <v>90</v>
      </c>
      <c r="E195" s="31">
        <v>3</v>
      </c>
      <c r="F195" s="38">
        <v>0.17138500000000001</v>
      </c>
      <c r="G195" s="32" t="s">
        <v>535</v>
      </c>
      <c r="H195" s="33">
        <v>19.6554</v>
      </c>
      <c r="I195" s="11"/>
      <c r="J195" s="33">
        <f t="shared" ref="J195:J258" si="29">H195*I195</f>
        <v>0</v>
      </c>
      <c r="M195" s="20" t="str">
        <f t="shared" si="24"/>
        <v>-</v>
      </c>
      <c r="N195" s="20" t="str">
        <f t="shared" si="26"/>
        <v>-</v>
      </c>
      <c r="O195" s="21" t="str">
        <f t="shared" si="25"/>
        <v>-</v>
      </c>
      <c r="P195" s="22" t="str">
        <f t="shared" si="27"/>
        <v>-</v>
      </c>
      <c r="R195" s="22" t="str">
        <f t="shared" si="28"/>
        <v>-</v>
      </c>
    </row>
    <row r="196" spans="1:18" ht="14.4" x14ac:dyDescent="0.25">
      <c r="A196" s="30">
        <v>97467025639</v>
      </c>
      <c r="B196" s="26">
        <v>2563</v>
      </c>
      <c r="C196" s="26" t="s">
        <v>178</v>
      </c>
      <c r="D196" s="31">
        <v>60</v>
      </c>
      <c r="E196" s="31">
        <v>3</v>
      </c>
      <c r="F196" s="38">
        <v>8.6260000000000003E-2</v>
      </c>
      <c r="G196" s="32" t="s">
        <v>535</v>
      </c>
      <c r="H196" s="33">
        <v>13.812900000000001</v>
      </c>
      <c r="I196" s="11"/>
      <c r="J196" s="33">
        <f t="shared" si="29"/>
        <v>0</v>
      </c>
      <c r="M196" s="20" t="str">
        <f t="shared" si="24"/>
        <v>-</v>
      </c>
      <c r="N196" s="20" t="str">
        <f t="shared" si="26"/>
        <v>-</v>
      </c>
      <c r="O196" s="21" t="str">
        <f t="shared" si="25"/>
        <v>-</v>
      </c>
      <c r="P196" s="22" t="str">
        <f t="shared" si="27"/>
        <v>-</v>
      </c>
      <c r="R196" s="22" t="str">
        <f t="shared" si="28"/>
        <v>-</v>
      </c>
    </row>
    <row r="197" spans="1:18" ht="14.4" x14ac:dyDescent="0.25">
      <c r="A197" s="30">
        <v>97467025646</v>
      </c>
      <c r="B197" s="26">
        <v>2564</v>
      </c>
      <c r="C197" s="26" t="s">
        <v>178</v>
      </c>
      <c r="D197" s="31">
        <v>90</v>
      </c>
      <c r="E197" s="31">
        <v>3</v>
      </c>
      <c r="F197" s="38">
        <v>0.11577</v>
      </c>
      <c r="G197" s="32" t="s">
        <v>535</v>
      </c>
      <c r="H197" s="33">
        <v>18.4254</v>
      </c>
      <c r="I197" s="11"/>
      <c r="J197" s="33">
        <f t="shared" si="29"/>
        <v>0</v>
      </c>
      <c r="M197" s="20" t="str">
        <f t="shared" si="24"/>
        <v>-</v>
      </c>
      <c r="N197" s="20" t="str">
        <f t="shared" si="26"/>
        <v>-</v>
      </c>
      <c r="O197" s="21" t="str">
        <f t="shared" si="25"/>
        <v>-</v>
      </c>
      <c r="P197" s="22" t="str">
        <f t="shared" si="27"/>
        <v>-</v>
      </c>
      <c r="R197" s="22" t="str">
        <f t="shared" si="28"/>
        <v>-</v>
      </c>
    </row>
    <row r="198" spans="1:18" ht="14.4" x14ac:dyDescent="0.25">
      <c r="A198" s="30">
        <v>97467027602</v>
      </c>
      <c r="B198" s="26">
        <v>2760</v>
      </c>
      <c r="C198" s="26" t="s">
        <v>273</v>
      </c>
      <c r="D198" s="31">
        <v>60</v>
      </c>
      <c r="E198" s="31">
        <v>3</v>
      </c>
      <c r="F198" s="38">
        <v>6.2425000000000001E-2</v>
      </c>
      <c r="G198" s="32" t="s">
        <v>535</v>
      </c>
      <c r="H198" s="33">
        <v>15.042899999999999</v>
      </c>
      <c r="I198" s="11"/>
      <c r="J198" s="33">
        <f t="shared" si="29"/>
        <v>0</v>
      </c>
      <c r="M198" s="20" t="str">
        <f t="shared" si="24"/>
        <v>-</v>
      </c>
      <c r="N198" s="20" t="str">
        <f t="shared" si="26"/>
        <v>-</v>
      </c>
      <c r="O198" s="21" t="str">
        <f t="shared" si="25"/>
        <v>-</v>
      </c>
      <c r="P198" s="22" t="str">
        <f t="shared" si="27"/>
        <v>-</v>
      </c>
      <c r="R198" s="22" t="str">
        <f t="shared" si="28"/>
        <v>-</v>
      </c>
    </row>
    <row r="199" spans="1:18" ht="14.4" x14ac:dyDescent="0.25">
      <c r="A199" s="30">
        <v>97467028203</v>
      </c>
      <c r="B199" s="26">
        <v>2820</v>
      </c>
      <c r="C199" s="26" t="s">
        <v>274</v>
      </c>
      <c r="D199" s="31">
        <v>90</v>
      </c>
      <c r="E199" s="31">
        <v>3</v>
      </c>
      <c r="F199" s="38">
        <v>0.20657</v>
      </c>
      <c r="G199" s="32" t="s">
        <v>535</v>
      </c>
      <c r="H199" s="33">
        <v>23.9604</v>
      </c>
      <c r="I199" s="11"/>
      <c r="J199" s="33">
        <f t="shared" si="29"/>
        <v>0</v>
      </c>
      <c r="M199" s="20" t="str">
        <f t="shared" si="24"/>
        <v>-</v>
      </c>
      <c r="N199" s="20" t="str">
        <f t="shared" si="26"/>
        <v>-</v>
      </c>
      <c r="O199" s="21" t="str">
        <f t="shared" si="25"/>
        <v>-</v>
      </c>
      <c r="P199" s="22" t="str">
        <f t="shared" si="27"/>
        <v>-</v>
      </c>
      <c r="R199" s="22" t="str">
        <f t="shared" si="28"/>
        <v>-</v>
      </c>
    </row>
    <row r="200" spans="1:18" ht="14.4" x14ac:dyDescent="0.25">
      <c r="A200" s="30">
        <v>97467029989</v>
      </c>
      <c r="B200" s="26">
        <v>2998</v>
      </c>
      <c r="C200" s="26" t="s">
        <v>179</v>
      </c>
      <c r="D200" s="31">
        <v>90</v>
      </c>
      <c r="E200" s="31">
        <v>3</v>
      </c>
      <c r="F200" s="38">
        <v>8.2854999999999998E-2</v>
      </c>
      <c r="G200" s="32" t="s">
        <v>535</v>
      </c>
      <c r="H200" s="33">
        <v>15.350399999999999</v>
      </c>
      <c r="I200" s="11"/>
      <c r="J200" s="33">
        <f t="shared" si="29"/>
        <v>0</v>
      </c>
      <c r="M200" s="20" t="str">
        <f t="shared" si="24"/>
        <v>-</v>
      </c>
      <c r="N200" s="20" t="str">
        <f t="shared" si="26"/>
        <v>-</v>
      </c>
      <c r="O200" s="21" t="str">
        <f t="shared" si="25"/>
        <v>-</v>
      </c>
      <c r="P200" s="22" t="str">
        <f t="shared" si="27"/>
        <v>-</v>
      </c>
      <c r="R200" s="22" t="str">
        <f t="shared" si="28"/>
        <v>-</v>
      </c>
    </row>
    <row r="201" spans="1:18" ht="13.2" customHeight="1" x14ac:dyDescent="0.25">
      <c r="A201" s="30">
        <v>97467299924</v>
      </c>
      <c r="B201" s="26">
        <v>29992</v>
      </c>
      <c r="C201" s="25" t="s">
        <v>545</v>
      </c>
      <c r="D201" s="31">
        <v>180</v>
      </c>
      <c r="E201" s="31">
        <v>3</v>
      </c>
      <c r="F201" s="38">
        <v>0.36093000000000003</v>
      </c>
      <c r="G201" s="32" t="s">
        <v>535</v>
      </c>
      <c r="H201" s="33">
        <v>34.415399999999998</v>
      </c>
      <c r="I201" s="11"/>
      <c r="J201" s="33">
        <f t="shared" si="29"/>
        <v>0</v>
      </c>
      <c r="M201" s="20" t="str">
        <f t="shared" si="24"/>
        <v>-</v>
      </c>
      <c r="N201" s="20" t="str">
        <f t="shared" si="26"/>
        <v>-</v>
      </c>
      <c r="O201" s="21" t="str">
        <f t="shared" si="25"/>
        <v>-</v>
      </c>
      <c r="P201" s="22" t="str">
        <f t="shared" si="27"/>
        <v>-</v>
      </c>
      <c r="R201" s="22" t="str">
        <f t="shared" si="28"/>
        <v>-</v>
      </c>
    </row>
    <row r="202" spans="1:18" ht="14.4" x14ac:dyDescent="0.25">
      <c r="A202" s="30">
        <v>97467030008</v>
      </c>
      <c r="B202" s="26">
        <v>3000</v>
      </c>
      <c r="C202" s="25" t="s">
        <v>277</v>
      </c>
      <c r="D202" s="31">
        <v>60</v>
      </c>
      <c r="E202" s="31">
        <v>3</v>
      </c>
      <c r="F202" s="38">
        <v>9.307E-2</v>
      </c>
      <c r="G202" s="32" t="s">
        <v>535</v>
      </c>
      <c r="H202" s="33">
        <v>16.887899999999998</v>
      </c>
      <c r="I202" s="11"/>
      <c r="J202" s="33">
        <f t="shared" si="29"/>
        <v>0</v>
      </c>
      <c r="M202" s="20" t="str">
        <f t="shared" si="24"/>
        <v>-</v>
      </c>
      <c r="N202" s="20" t="str">
        <f t="shared" si="26"/>
        <v>-</v>
      </c>
      <c r="O202" s="21" t="str">
        <f t="shared" si="25"/>
        <v>-</v>
      </c>
      <c r="P202" s="22" t="str">
        <f t="shared" si="27"/>
        <v>-</v>
      </c>
      <c r="R202" s="22" t="str">
        <f t="shared" si="28"/>
        <v>-</v>
      </c>
    </row>
    <row r="203" spans="1:18" ht="14.4" x14ac:dyDescent="0.25">
      <c r="A203" s="30">
        <v>97467030015</v>
      </c>
      <c r="B203" s="26">
        <v>3001</v>
      </c>
      <c r="C203" s="25" t="s">
        <v>277</v>
      </c>
      <c r="D203" s="31">
        <v>120</v>
      </c>
      <c r="E203" s="31">
        <v>3</v>
      </c>
      <c r="F203" s="38">
        <v>0.175925</v>
      </c>
      <c r="G203" s="32" t="s">
        <v>535</v>
      </c>
      <c r="H203" s="33">
        <v>30.110399999999998</v>
      </c>
      <c r="I203" s="11"/>
      <c r="J203" s="33">
        <f t="shared" si="29"/>
        <v>0</v>
      </c>
      <c r="M203" s="20" t="str">
        <f t="shared" si="24"/>
        <v>-</v>
      </c>
      <c r="N203" s="20" t="str">
        <f t="shared" si="26"/>
        <v>-</v>
      </c>
      <c r="O203" s="21" t="str">
        <f t="shared" si="25"/>
        <v>-</v>
      </c>
      <c r="P203" s="22" t="str">
        <f t="shared" si="27"/>
        <v>-</v>
      </c>
      <c r="R203" s="22" t="str">
        <f t="shared" si="28"/>
        <v>-</v>
      </c>
    </row>
    <row r="204" spans="1:18" ht="14.4" x14ac:dyDescent="0.25">
      <c r="A204" s="30">
        <v>97467300811</v>
      </c>
      <c r="B204" s="26">
        <v>30081</v>
      </c>
      <c r="C204" s="26" t="s">
        <v>278</v>
      </c>
      <c r="D204" s="31">
        <v>60</v>
      </c>
      <c r="E204" s="31">
        <v>3</v>
      </c>
      <c r="F204" s="38">
        <v>0.116905</v>
      </c>
      <c r="G204" s="32" t="s">
        <v>535</v>
      </c>
      <c r="H204" s="33">
        <v>20.270400000000002</v>
      </c>
      <c r="I204" s="11"/>
      <c r="J204" s="33">
        <f t="shared" si="29"/>
        <v>0</v>
      </c>
      <c r="M204" s="20" t="str">
        <f t="shared" si="24"/>
        <v>-</v>
      </c>
      <c r="N204" s="20" t="str">
        <f t="shared" si="26"/>
        <v>-</v>
      </c>
      <c r="O204" s="21" t="str">
        <f t="shared" si="25"/>
        <v>-</v>
      </c>
      <c r="P204" s="22" t="str">
        <f t="shared" si="27"/>
        <v>-</v>
      </c>
      <c r="R204" s="22" t="str">
        <f t="shared" si="28"/>
        <v>-</v>
      </c>
    </row>
    <row r="205" spans="1:18" ht="14.4" x14ac:dyDescent="0.25">
      <c r="A205" s="30">
        <v>97467300910</v>
      </c>
      <c r="B205" s="26">
        <v>30091</v>
      </c>
      <c r="C205" s="26" t="s">
        <v>278</v>
      </c>
      <c r="D205" s="31">
        <v>90</v>
      </c>
      <c r="E205" s="31">
        <v>3</v>
      </c>
      <c r="F205" s="38">
        <v>0.15209</v>
      </c>
      <c r="G205" s="32" t="s">
        <v>535</v>
      </c>
      <c r="H205" s="33">
        <v>28.572900000000001</v>
      </c>
      <c r="I205" s="11"/>
      <c r="J205" s="33">
        <f t="shared" si="29"/>
        <v>0</v>
      </c>
      <c r="M205" s="20" t="str">
        <f t="shared" si="24"/>
        <v>-</v>
      </c>
      <c r="N205" s="20" t="str">
        <f t="shared" si="26"/>
        <v>-</v>
      </c>
      <c r="O205" s="21" t="str">
        <f t="shared" si="25"/>
        <v>-</v>
      </c>
      <c r="P205" s="22" t="str">
        <f t="shared" si="27"/>
        <v>-</v>
      </c>
      <c r="R205" s="22" t="str">
        <f t="shared" si="28"/>
        <v>-</v>
      </c>
    </row>
    <row r="206" spans="1:18" ht="14.4" x14ac:dyDescent="0.25">
      <c r="A206" s="30">
        <v>97467030404</v>
      </c>
      <c r="B206" s="26">
        <v>3040</v>
      </c>
      <c r="C206" s="26" t="s">
        <v>279</v>
      </c>
      <c r="D206" s="31">
        <v>30</v>
      </c>
      <c r="E206" s="31">
        <v>3</v>
      </c>
      <c r="F206" s="38">
        <v>0.10669000000000001</v>
      </c>
      <c r="G206" s="32" t="s">
        <v>535</v>
      </c>
      <c r="H206" s="33">
        <v>15.965399999999999</v>
      </c>
      <c r="I206" s="11"/>
      <c r="J206" s="33">
        <f t="shared" si="29"/>
        <v>0</v>
      </c>
      <c r="M206" s="20" t="str">
        <f t="shared" si="24"/>
        <v>-</v>
      </c>
      <c r="N206" s="20" t="str">
        <f t="shared" si="26"/>
        <v>-</v>
      </c>
      <c r="O206" s="21" t="str">
        <f t="shared" si="25"/>
        <v>-</v>
      </c>
      <c r="P206" s="22" t="str">
        <f t="shared" si="27"/>
        <v>-</v>
      </c>
      <c r="R206" s="22" t="str">
        <f t="shared" si="28"/>
        <v>-</v>
      </c>
    </row>
    <row r="207" spans="1:18" ht="14.4" x14ac:dyDescent="0.25">
      <c r="A207" s="30">
        <v>97467030411</v>
      </c>
      <c r="B207" s="26">
        <v>3041</v>
      </c>
      <c r="C207" s="26" t="s">
        <v>279</v>
      </c>
      <c r="D207" s="31">
        <v>60</v>
      </c>
      <c r="E207" s="31">
        <v>3</v>
      </c>
      <c r="F207" s="38">
        <v>0.198625</v>
      </c>
      <c r="G207" s="32" t="s">
        <v>535</v>
      </c>
      <c r="H207" s="33">
        <v>28.572900000000001</v>
      </c>
      <c r="I207" s="11"/>
      <c r="J207" s="33">
        <f t="shared" si="29"/>
        <v>0</v>
      </c>
      <c r="M207" s="20" t="str">
        <f t="shared" si="24"/>
        <v>-</v>
      </c>
      <c r="N207" s="20" t="str">
        <f t="shared" si="26"/>
        <v>-</v>
      </c>
      <c r="O207" s="21" t="str">
        <f t="shared" si="25"/>
        <v>-</v>
      </c>
      <c r="P207" s="22" t="str">
        <f t="shared" si="27"/>
        <v>-</v>
      </c>
      <c r="R207" s="22" t="str">
        <f t="shared" si="28"/>
        <v>-</v>
      </c>
    </row>
    <row r="208" spans="1:18" ht="14.4" x14ac:dyDescent="0.25">
      <c r="A208" s="30">
        <v>97467030428</v>
      </c>
      <c r="B208" s="26">
        <v>3042</v>
      </c>
      <c r="C208" s="26" t="s">
        <v>279</v>
      </c>
      <c r="D208" s="31">
        <v>90</v>
      </c>
      <c r="E208" s="31">
        <v>3</v>
      </c>
      <c r="F208" s="38">
        <v>0.28148000000000001</v>
      </c>
      <c r="G208" s="32" t="s">
        <v>535</v>
      </c>
      <c r="H208" s="33">
        <v>40.56539999999999</v>
      </c>
      <c r="I208" s="11"/>
      <c r="J208" s="33">
        <f t="shared" si="29"/>
        <v>0</v>
      </c>
      <c r="M208" s="20" t="str">
        <f t="shared" si="24"/>
        <v>-</v>
      </c>
      <c r="N208" s="20" t="str">
        <f t="shared" si="26"/>
        <v>-</v>
      </c>
      <c r="O208" s="21" t="str">
        <f t="shared" si="25"/>
        <v>-</v>
      </c>
      <c r="P208" s="22" t="str">
        <f t="shared" si="27"/>
        <v>-</v>
      </c>
      <c r="R208" s="22" t="str">
        <f t="shared" si="28"/>
        <v>-</v>
      </c>
    </row>
    <row r="209" spans="1:18" ht="14.4" x14ac:dyDescent="0.25">
      <c r="A209" s="30">
        <v>97467030435</v>
      </c>
      <c r="B209" s="26">
        <v>3043</v>
      </c>
      <c r="C209" s="26" t="s">
        <v>279</v>
      </c>
      <c r="D209" s="31">
        <v>180</v>
      </c>
      <c r="E209" s="31">
        <v>3</v>
      </c>
      <c r="F209" s="38">
        <v>0.55842000000000003</v>
      </c>
      <c r="G209" s="32" t="s">
        <v>535</v>
      </c>
      <c r="H209" s="33">
        <v>72.545399999999987</v>
      </c>
      <c r="I209" s="11"/>
      <c r="J209" s="33">
        <f t="shared" si="29"/>
        <v>0</v>
      </c>
      <c r="M209" s="20" t="str">
        <f t="shared" si="24"/>
        <v>-</v>
      </c>
      <c r="N209" s="20" t="str">
        <f t="shared" si="26"/>
        <v>-</v>
      </c>
      <c r="O209" s="21" t="str">
        <f t="shared" si="25"/>
        <v>-</v>
      </c>
      <c r="P209" s="22" t="str">
        <f t="shared" si="27"/>
        <v>-</v>
      </c>
      <c r="R209" s="22" t="str">
        <f t="shared" si="28"/>
        <v>-</v>
      </c>
    </row>
    <row r="210" spans="1:18" ht="14.4" x14ac:dyDescent="0.25">
      <c r="A210" s="30">
        <v>97467303416</v>
      </c>
      <c r="B210" s="26">
        <v>30341</v>
      </c>
      <c r="C210" s="26" t="s">
        <v>29</v>
      </c>
      <c r="D210" s="31">
        <v>30</v>
      </c>
      <c r="E210" s="31">
        <v>3</v>
      </c>
      <c r="F210" s="38">
        <v>0.10214999999999999</v>
      </c>
      <c r="G210" s="32" t="s">
        <v>535</v>
      </c>
      <c r="H210" s="33">
        <v>11.045400000000001</v>
      </c>
      <c r="I210" s="11"/>
      <c r="J210" s="33">
        <f t="shared" si="29"/>
        <v>0</v>
      </c>
      <c r="M210" s="20" t="str">
        <f t="shared" si="24"/>
        <v>-</v>
      </c>
      <c r="N210" s="20" t="str">
        <f t="shared" si="26"/>
        <v>-</v>
      </c>
      <c r="O210" s="21" t="str">
        <f t="shared" si="25"/>
        <v>-</v>
      </c>
      <c r="P210" s="22" t="str">
        <f t="shared" si="27"/>
        <v>-</v>
      </c>
      <c r="R210" s="22" t="str">
        <f t="shared" si="28"/>
        <v>-</v>
      </c>
    </row>
    <row r="211" spans="1:18" ht="14.4" x14ac:dyDescent="0.25">
      <c r="A211" s="30">
        <v>97467303454</v>
      </c>
      <c r="B211" s="26">
        <v>30345</v>
      </c>
      <c r="C211" s="26" t="s">
        <v>30</v>
      </c>
      <c r="D211" s="31">
        <v>30</v>
      </c>
      <c r="E211" s="31">
        <v>3</v>
      </c>
      <c r="F211" s="38">
        <v>0.103285</v>
      </c>
      <c r="G211" s="32" t="s">
        <v>535</v>
      </c>
      <c r="H211" s="33">
        <v>11.045400000000001</v>
      </c>
      <c r="I211" s="11"/>
      <c r="J211" s="33">
        <f t="shared" si="29"/>
        <v>0</v>
      </c>
      <c r="M211" s="20" t="str">
        <f t="shared" si="24"/>
        <v>-</v>
      </c>
      <c r="N211" s="20" t="str">
        <f t="shared" si="26"/>
        <v>-</v>
      </c>
      <c r="O211" s="21" t="str">
        <f t="shared" si="25"/>
        <v>-</v>
      </c>
      <c r="P211" s="22" t="str">
        <f t="shared" si="27"/>
        <v>-</v>
      </c>
      <c r="R211" s="22" t="str">
        <f t="shared" si="28"/>
        <v>-</v>
      </c>
    </row>
    <row r="212" spans="1:18" ht="14.4" hidden="1" x14ac:dyDescent="0.25">
      <c r="A212" s="30">
        <v>97467030466</v>
      </c>
      <c r="B212" s="26">
        <v>3046</v>
      </c>
      <c r="C212" s="26" t="s">
        <v>280</v>
      </c>
      <c r="D212" s="31">
        <v>180</v>
      </c>
      <c r="E212" s="31">
        <v>3</v>
      </c>
      <c r="F212" s="38"/>
      <c r="G212" s="32" t="s">
        <v>535</v>
      </c>
      <c r="H212" s="33">
        <v>39.950399999999988</v>
      </c>
      <c r="I212" s="11"/>
      <c r="J212" s="33">
        <f t="shared" si="29"/>
        <v>0</v>
      </c>
      <c r="M212" s="20" t="str">
        <f t="shared" si="24"/>
        <v>-</v>
      </c>
      <c r="N212" s="20" t="str">
        <f t="shared" si="26"/>
        <v>-</v>
      </c>
      <c r="O212" s="21" t="str">
        <f t="shared" si="25"/>
        <v>-</v>
      </c>
      <c r="P212" s="22" t="str">
        <f t="shared" si="27"/>
        <v>-</v>
      </c>
      <c r="R212" s="22" t="str">
        <f t="shared" si="28"/>
        <v>-</v>
      </c>
    </row>
    <row r="213" spans="1:18" ht="14.4" x14ac:dyDescent="0.25">
      <c r="A213" s="30">
        <v>97467030879</v>
      </c>
      <c r="B213" s="26">
        <v>3087</v>
      </c>
      <c r="C213" s="26" t="s">
        <v>285</v>
      </c>
      <c r="D213" s="31">
        <v>90</v>
      </c>
      <c r="E213" s="31">
        <v>3</v>
      </c>
      <c r="F213" s="38">
        <v>0.34049999999999997</v>
      </c>
      <c r="G213" s="32" t="s">
        <v>535</v>
      </c>
      <c r="H213" s="33">
        <v>21.192899999999998</v>
      </c>
      <c r="I213" s="11"/>
      <c r="J213" s="33">
        <f t="shared" si="29"/>
        <v>0</v>
      </c>
      <c r="M213" s="20" t="str">
        <f t="shared" si="24"/>
        <v>-</v>
      </c>
      <c r="N213" s="20" t="str">
        <f t="shared" si="26"/>
        <v>-</v>
      </c>
      <c r="O213" s="21" t="str">
        <f t="shared" si="25"/>
        <v>-</v>
      </c>
      <c r="P213" s="22" t="str">
        <f t="shared" si="27"/>
        <v>-</v>
      </c>
      <c r="R213" s="22" t="str">
        <f t="shared" si="28"/>
        <v>-</v>
      </c>
    </row>
    <row r="214" spans="1:18" ht="14.4" x14ac:dyDescent="0.25">
      <c r="A214" s="30">
        <v>97467030893</v>
      </c>
      <c r="B214" s="26">
        <v>3089</v>
      </c>
      <c r="C214" s="25" t="s">
        <v>285</v>
      </c>
      <c r="D214" s="31">
        <v>180</v>
      </c>
      <c r="E214" s="31">
        <v>3</v>
      </c>
      <c r="F214" s="38">
        <v>0.64127499999999993</v>
      </c>
      <c r="G214" s="32" t="s">
        <v>535</v>
      </c>
      <c r="H214" s="33">
        <v>39.642899999999997</v>
      </c>
      <c r="I214" s="11"/>
      <c r="J214" s="33">
        <f t="shared" si="29"/>
        <v>0</v>
      </c>
      <c r="M214" s="20" t="str">
        <f t="shared" si="24"/>
        <v>-</v>
      </c>
      <c r="N214" s="20" t="str">
        <f t="shared" si="26"/>
        <v>-</v>
      </c>
      <c r="O214" s="21" t="str">
        <f t="shared" si="25"/>
        <v>-</v>
      </c>
      <c r="P214" s="22" t="str">
        <f t="shared" si="27"/>
        <v>-</v>
      </c>
      <c r="R214" s="22" t="str">
        <f t="shared" si="28"/>
        <v>-</v>
      </c>
    </row>
    <row r="215" spans="1:18" ht="14.4" x14ac:dyDescent="0.25">
      <c r="A215" s="30">
        <v>97467308718</v>
      </c>
      <c r="B215" s="26">
        <v>30871</v>
      </c>
      <c r="C215" s="25" t="s">
        <v>286</v>
      </c>
      <c r="D215" s="31">
        <v>60</v>
      </c>
      <c r="E215" s="31">
        <v>3</v>
      </c>
      <c r="F215" s="38">
        <v>0.24515999999999999</v>
      </c>
      <c r="G215" s="32" t="s">
        <v>535</v>
      </c>
      <c r="H215" s="33">
        <v>14.735399999999998</v>
      </c>
      <c r="I215" s="11"/>
      <c r="J215" s="33">
        <f t="shared" si="29"/>
        <v>0</v>
      </c>
      <c r="M215" s="20" t="str">
        <f t="shared" si="24"/>
        <v>-</v>
      </c>
      <c r="N215" s="20" t="str">
        <f t="shared" si="26"/>
        <v>-</v>
      </c>
      <c r="O215" s="21" t="str">
        <f t="shared" si="25"/>
        <v>-</v>
      </c>
      <c r="P215" s="22" t="str">
        <f t="shared" si="27"/>
        <v>-</v>
      </c>
      <c r="R215" s="22" t="str">
        <f t="shared" si="28"/>
        <v>-</v>
      </c>
    </row>
    <row r="216" spans="1:18" ht="14.4" x14ac:dyDescent="0.25">
      <c r="A216" s="30">
        <v>97467308725</v>
      </c>
      <c r="B216" s="26">
        <v>30872</v>
      </c>
      <c r="C216" s="26" t="s">
        <v>286</v>
      </c>
      <c r="D216" s="31">
        <v>90</v>
      </c>
      <c r="E216" s="31">
        <v>3</v>
      </c>
      <c r="F216" s="38">
        <v>0.34390500000000002</v>
      </c>
      <c r="G216" s="32" t="s">
        <v>535</v>
      </c>
      <c r="H216" s="33">
        <v>21.192899999999998</v>
      </c>
      <c r="I216" s="11"/>
      <c r="J216" s="33">
        <f t="shared" si="29"/>
        <v>0</v>
      </c>
      <c r="M216" s="20" t="str">
        <f t="shared" si="24"/>
        <v>-</v>
      </c>
      <c r="N216" s="20" t="str">
        <f t="shared" si="26"/>
        <v>-</v>
      </c>
      <c r="O216" s="21" t="str">
        <f t="shared" si="25"/>
        <v>-</v>
      </c>
      <c r="P216" s="22" t="str">
        <f t="shared" si="27"/>
        <v>-</v>
      </c>
      <c r="R216" s="22" t="str">
        <f t="shared" si="28"/>
        <v>-</v>
      </c>
    </row>
    <row r="217" spans="1:18" ht="14.4" x14ac:dyDescent="0.25">
      <c r="A217" s="30">
        <v>97467032859</v>
      </c>
      <c r="B217" s="26">
        <v>3285</v>
      </c>
      <c r="C217" s="26" t="s">
        <v>287</v>
      </c>
      <c r="D217" s="31">
        <v>90</v>
      </c>
      <c r="E217" s="31">
        <v>3</v>
      </c>
      <c r="F217" s="38">
        <v>0.22700000000000001</v>
      </c>
      <c r="G217" s="32" t="s">
        <v>535</v>
      </c>
      <c r="H217" s="33">
        <v>36.863099999999996</v>
      </c>
      <c r="I217" s="11"/>
      <c r="J217" s="33">
        <f t="shared" si="29"/>
        <v>0</v>
      </c>
      <c r="M217" s="20" t="str">
        <f t="shared" si="24"/>
        <v>-</v>
      </c>
      <c r="N217" s="20" t="str">
        <f t="shared" si="26"/>
        <v>-</v>
      </c>
      <c r="O217" s="21" t="str">
        <f t="shared" si="25"/>
        <v>-</v>
      </c>
      <c r="P217" s="22" t="str">
        <f t="shared" si="27"/>
        <v>-</v>
      </c>
      <c r="R217" s="22" t="str">
        <f t="shared" si="28"/>
        <v>-</v>
      </c>
    </row>
    <row r="218" spans="1:18" ht="14.4" x14ac:dyDescent="0.25">
      <c r="A218" s="30">
        <v>97467937703</v>
      </c>
      <c r="B218" s="26">
        <v>93770</v>
      </c>
      <c r="C218" s="26" t="s">
        <v>289</v>
      </c>
      <c r="D218" s="31" t="s">
        <v>119</v>
      </c>
      <c r="E218" s="31">
        <v>3</v>
      </c>
      <c r="F218" s="38">
        <v>0.54025999999999996</v>
      </c>
      <c r="G218" s="32" t="s">
        <v>535</v>
      </c>
      <c r="H218" s="33">
        <v>58.855500000000006</v>
      </c>
      <c r="I218" s="11"/>
      <c r="J218" s="33">
        <f t="shared" si="29"/>
        <v>0</v>
      </c>
      <c r="M218" s="20" t="str">
        <f t="shared" si="24"/>
        <v>-</v>
      </c>
      <c r="N218" s="20" t="str">
        <f t="shared" si="26"/>
        <v>-</v>
      </c>
      <c r="O218" s="21" t="str">
        <f t="shared" si="25"/>
        <v>-</v>
      </c>
      <c r="P218" s="22" t="str">
        <f t="shared" si="27"/>
        <v>-</v>
      </c>
      <c r="R218" s="22" t="str">
        <f t="shared" si="28"/>
        <v>-</v>
      </c>
    </row>
    <row r="219" spans="1:18" ht="14.4" x14ac:dyDescent="0.25">
      <c r="A219" s="30">
        <v>97467937710</v>
      </c>
      <c r="B219" s="26">
        <v>93771</v>
      </c>
      <c r="C219" s="26" t="s">
        <v>290</v>
      </c>
      <c r="D219" s="31" t="s">
        <v>119</v>
      </c>
      <c r="E219" s="31">
        <v>3</v>
      </c>
      <c r="F219" s="38">
        <v>0.27580500000000002</v>
      </c>
      <c r="G219" s="32" t="s">
        <v>535</v>
      </c>
      <c r="H219" s="33">
        <v>33.025500000000001</v>
      </c>
      <c r="I219" s="11"/>
      <c r="J219" s="33">
        <f t="shared" si="29"/>
        <v>0</v>
      </c>
      <c r="M219" s="20" t="str">
        <f t="shared" si="24"/>
        <v>-</v>
      </c>
      <c r="N219" s="20" t="str">
        <f t="shared" si="26"/>
        <v>-</v>
      </c>
      <c r="O219" s="21" t="str">
        <f t="shared" si="25"/>
        <v>-</v>
      </c>
      <c r="P219" s="22" t="str">
        <f t="shared" si="27"/>
        <v>-</v>
      </c>
      <c r="R219" s="22" t="str">
        <f t="shared" si="28"/>
        <v>-</v>
      </c>
    </row>
    <row r="220" spans="1:18" ht="14.4" x14ac:dyDescent="0.25">
      <c r="A220" s="30">
        <v>97467037731</v>
      </c>
      <c r="B220" s="26">
        <v>3773</v>
      </c>
      <c r="C220" s="26" t="s">
        <v>292</v>
      </c>
      <c r="D220" s="31">
        <v>90</v>
      </c>
      <c r="E220" s="31">
        <v>3</v>
      </c>
      <c r="F220" s="38">
        <v>0.17138500000000001</v>
      </c>
      <c r="G220" s="32" t="s">
        <v>535</v>
      </c>
      <c r="H220" s="33">
        <v>21.500399999999999</v>
      </c>
      <c r="I220" s="11"/>
      <c r="J220" s="33">
        <f t="shared" si="29"/>
        <v>0</v>
      </c>
      <c r="M220" s="20" t="str">
        <f t="shared" si="24"/>
        <v>-</v>
      </c>
      <c r="N220" s="20" t="str">
        <f t="shared" si="26"/>
        <v>-</v>
      </c>
      <c r="O220" s="21" t="str">
        <f t="shared" si="25"/>
        <v>-</v>
      </c>
      <c r="P220" s="22" t="str">
        <f t="shared" si="27"/>
        <v>-</v>
      </c>
      <c r="R220" s="22" t="str">
        <f t="shared" si="28"/>
        <v>-</v>
      </c>
    </row>
    <row r="221" spans="1:18" ht="14.4" x14ac:dyDescent="0.25">
      <c r="A221" s="30">
        <v>97467037748</v>
      </c>
      <c r="B221" s="26">
        <v>3774</v>
      </c>
      <c r="C221" s="26" t="s">
        <v>293</v>
      </c>
      <c r="D221" s="31">
        <v>90</v>
      </c>
      <c r="E221" s="31">
        <v>3</v>
      </c>
      <c r="F221" s="38">
        <v>0.18841000000000002</v>
      </c>
      <c r="G221" s="32" t="s">
        <v>535</v>
      </c>
      <c r="H221" s="33">
        <v>24.575399999999995</v>
      </c>
      <c r="I221" s="11"/>
      <c r="J221" s="33">
        <f t="shared" si="29"/>
        <v>0</v>
      </c>
      <c r="M221" s="20" t="str">
        <f t="shared" si="24"/>
        <v>-</v>
      </c>
      <c r="N221" s="20" t="str">
        <f t="shared" si="26"/>
        <v>-</v>
      </c>
      <c r="O221" s="21" t="str">
        <f t="shared" si="25"/>
        <v>-</v>
      </c>
      <c r="P221" s="22" t="str">
        <f t="shared" si="27"/>
        <v>-</v>
      </c>
      <c r="R221" s="22" t="str">
        <f t="shared" si="28"/>
        <v>-</v>
      </c>
    </row>
    <row r="222" spans="1:18" ht="14.4" x14ac:dyDescent="0.25">
      <c r="A222" s="30">
        <v>97467377479</v>
      </c>
      <c r="B222" s="26">
        <v>37747</v>
      </c>
      <c r="C222" s="26" t="s">
        <v>294</v>
      </c>
      <c r="D222" s="31" t="s">
        <v>120</v>
      </c>
      <c r="E222" s="31">
        <v>3</v>
      </c>
      <c r="F222" s="38">
        <v>0.42335499999999998</v>
      </c>
      <c r="G222" s="32" t="s">
        <v>535</v>
      </c>
      <c r="H222" s="33">
        <v>23.652899999999999</v>
      </c>
      <c r="I222" s="11"/>
      <c r="J222" s="33">
        <f t="shared" si="29"/>
        <v>0</v>
      </c>
      <c r="M222" s="20" t="str">
        <f t="shared" si="24"/>
        <v>-</v>
      </c>
      <c r="N222" s="20" t="str">
        <f t="shared" si="26"/>
        <v>-</v>
      </c>
      <c r="O222" s="21" t="str">
        <f t="shared" si="25"/>
        <v>-</v>
      </c>
      <c r="P222" s="22" t="str">
        <f t="shared" si="27"/>
        <v>-</v>
      </c>
      <c r="R222" s="22" t="str">
        <f t="shared" si="28"/>
        <v>-</v>
      </c>
    </row>
    <row r="223" spans="1:18" ht="14.4" x14ac:dyDescent="0.25">
      <c r="A223" s="30">
        <v>97467377493</v>
      </c>
      <c r="B223" s="26">
        <v>37749</v>
      </c>
      <c r="C223" s="26" t="s">
        <v>295</v>
      </c>
      <c r="D223" s="31" t="s">
        <v>121</v>
      </c>
      <c r="E223" s="31">
        <v>3</v>
      </c>
      <c r="F223" s="38">
        <v>0.79109499999999999</v>
      </c>
      <c r="G223" s="32" t="s">
        <v>535</v>
      </c>
      <c r="H223" s="33">
        <v>39.950399999999988</v>
      </c>
      <c r="I223" s="11"/>
      <c r="J223" s="33">
        <f t="shared" si="29"/>
        <v>0</v>
      </c>
      <c r="M223" s="20" t="str">
        <f t="shared" si="24"/>
        <v>-</v>
      </c>
      <c r="N223" s="20" t="str">
        <f t="shared" si="26"/>
        <v>-</v>
      </c>
      <c r="O223" s="21" t="str">
        <f t="shared" si="25"/>
        <v>-</v>
      </c>
      <c r="P223" s="22" t="str">
        <f t="shared" si="27"/>
        <v>-</v>
      </c>
      <c r="R223" s="22" t="str">
        <f t="shared" si="28"/>
        <v>-</v>
      </c>
    </row>
    <row r="224" spans="1:18" ht="14.4" x14ac:dyDescent="0.25">
      <c r="A224" s="30">
        <v>97467037786</v>
      </c>
      <c r="B224" s="26">
        <v>3778</v>
      </c>
      <c r="C224" s="26" t="s">
        <v>296</v>
      </c>
      <c r="D224" s="31">
        <v>180</v>
      </c>
      <c r="E224" s="31">
        <v>3</v>
      </c>
      <c r="F224" s="38">
        <v>0.198625</v>
      </c>
      <c r="G224" s="32" t="s">
        <v>535</v>
      </c>
      <c r="H224" s="33">
        <v>10.430399999999999</v>
      </c>
      <c r="I224" s="11"/>
      <c r="J224" s="33">
        <f t="shared" si="29"/>
        <v>0</v>
      </c>
      <c r="M224" s="20" t="str">
        <f t="shared" si="24"/>
        <v>-</v>
      </c>
      <c r="N224" s="20" t="str">
        <f t="shared" si="26"/>
        <v>-</v>
      </c>
      <c r="O224" s="21" t="str">
        <f t="shared" si="25"/>
        <v>-</v>
      </c>
      <c r="P224" s="22" t="str">
        <f t="shared" si="27"/>
        <v>-</v>
      </c>
      <c r="R224" s="22" t="str">
        <f t="shared" si="28"/>
        <v>-</v>
      </c>
    </row>
    <row r="225" spans="1:18" ht="14.4" x14ac:dyDescent="0.25">
      <c r="A225" s="30">
        <v>97467037878</v>
      </c>
      <c r="B225" s="26">
        <v>3787</v>
      </c>
      <c r="C225" s="26" t="s">
        <v>297</v>
      </c>
      <c r="D225" s="31">
        <v>60</v>
      </c>
      <c r="E225" s="31">
        <v>3</v>
      </c>
      <c r="F225" s="38">
        <v>7.3775000000000007E-2</v>
      </c>
      <c r="G225" s="32" t="s">
        <v>535</v>
      </c>
      <c r="H225" s="33">
        <v>13.505400000000002</v>
      </c>
      <c r="I225" s="11"/>
      <c r="J225" s="33">
        <f t="shared" si="29"/>
        <v>0</v>
      </c>
      <c r="M225" s="20" t="str">
        <f t="shared" si="24"/>
        <v>-</v>
      </c>
      <c r="N225" s="20" t="str">
        <f t="shared" si="26"/>
        <v>-</v>
      </c>
      <c r="O225" s="21" t="str">
        <f t="shared" si="25"/>
        <v>-</v>
      </c>
      <c r="P225" s="22" t="str">
        <f t="shared" si="27"/>
        <v>-</v>
      </c>
      <c r="R225" s="22" t="str">
        <f t="shared" si="28"/>
        <v>-</v>
      </c>
    </row>
    <row r="226" spans="1:18" ht="14.4" x14ac:dyDescent="0.25">
      <c r="A226" s="30">
        <v>97467395183</v>
      </c>
      <c r="B226" s="26">
        <v>39518</v>
      </c>
      <c r="C226" s="26" t="s">
        <v>14</v>
      </c>
      <c r="D226" s="31">
        <v>60</v>
      </c>
      <c r="E226" s="31">
        <v>3</v>
      </c>
      <c r="F226" s="38">
        <v>1.1350000000000001E-2</v>
      </c>
      <c r="G226" s="32" t="s">
        <v>535</v>
      </c>
      <c r="H226" s="33">
        <v>11.660399999999999</v>
      </c>
      <c r="I226" s="11"/>
      <c r="J226" s="33">
        <f t="shared" si="29"/>
        <v>0</v>
      </c>
      <c r="M226" s="20" t="str">
        <f t="shared" si="24"/>
        <v>-</v>
      </c>
      <c r="N226" s="20" t="str">
        <f t="shared" si="26"/>
        <v>-</v>
      </c>
      <c r="O226" s="21" t="str">
        <f t="shared" si="25"/>
        <v>-</v>
      </c>
      <c r="P226" s="22" t="str">
        <f t="shared" si="27"/>
        <v>-</v>
      </c>
      <c r="R226" s="22" t="str">
        <f t="shared" si="28"/>
        <v>-</v>
      </c>
    </row>
    <row r="227" spans="1:18" ht="14.4" x14ac:dyDescent="0.25">
      <c r="A227" s="30">
        <v>97467039520</v>
      </c>
      <c r="B227" s="26">
        <v>3952</v>
      </c>
      <c r="C227" s="26" t="s">
        <v>542</v>
      </c>
      <c r="D227" s="31">
        <v>120</v>
      </c>
      <c r="E227" s="31">
        <v>3</v>
      </c>
      <c r="F227" s="38">
        <v>0.13506499999999999</v>
      </c>
      <c r="G227" s="32" t="s">
        <v>535</v>
      </c>
      <c r="H227" s="33">
        <v>21.192899999999998</v>
      </c>
      <c r="I227" s="11"/>
      <c r="J227" s="33">
        <f t="shared" si="29"/>
        <v>0</v>
      </c>
      <c r="M227" s="20" t="str">
        <f t="shared" si="24"/>
        <v>-</v>
      </c>
      <c r="N227" s="20" t="str">
        <f t="shared" si="26"/>
        <v>-</v>
      </c>
      <c r="O227" s="21" t="str">
        <f t="shared" si="25"/>
        <v>-</v>
      </c>
      <c r="P227" s="22" t="str">
        <f t="shared" si="27"/>
        <v>-</v>
      </c>
      <c r="R227" s="22" t="str">
        <f t="shared" si="28"/>
        <v>-</v>
      </c>
    </row>
    <row r="228" spans="1:18" ht="14.4" x14ac:dyDescent="0.25">
      <c r="A228" s="30">
        <v>97467039537</v>
      </c>
      <c r="B228" s="26">
        <v>3953</v>
      </c>
      <c r="C228" s="26" t="s">
        <v>542</v>
      </c>
      <c r="D228" s="31">
        <v>180</v>
      </c>
      <c r="E228" s="31">
        <v>3</v>
      </c>
      <c r="F228" s="38">
        <v>0.18614</v>
      </c>
      <c r="G228" s="32" t="s">
        <v>535</v>
      </c>
      <c r="H228" s="33">
        <v>29.802900000000001</v>
      </c>
      <c r="I228" s="11"/>
      <c r="J228" s="33">
        <f t="shared" si="29"/>
        <v>0</v>
      </c>
      <c r="M228" s="20" t="str">
        <f t="shared" si="24"/>
        <v>-</v>
      </c>
      <c r="N228" s="20" t="str">
        <f t="shared" si="26"/>
        <v>-</v>
      </c>
      <c r="O228" s="21" t="str">
        <f t="shared" si="25"/>
        <v>-</v>
      </c>
      <c r="P228" s="22" t="str">
        <f t="shared" si="27"/>
        <v>-</v>
      </c>
      <c r="R228" s="22" t="str">
        <f t="shared" si="28"/>
        <v>-</v>
      </c>
    </row>
    <row r="229" spans="1:18" ht="14.4" x14ac:dyDescent="0.25">
      <c r="A229" s="30">
        <v>97467039568</v>
      </c>
      <c r="B229" s="26">
        <v>3956</v>
      </c>
      <c r="C229" s="26" t="s">
        <v>299</v>
      </c>
      <c r="D229" s="31">
        <v>90</v>
      </c>
      <c r="E229" s="31">
        <v>3</v>
      </c>
      <c r="F229" s="38">
        <v>0.22246000000000002</v>
      </c>
      <c r="G229" s="32" t="s">
        <v>535</v>
      </c>
      <c r="H229" s="33">
        <v>11.045400000000001</v>
      </c>
      <c r="I229" s="11"/>
      <c r="J229" s="33">
        <f t="shared" si="29"/>
        <v>0</v>
      </c>
      <c r="M229" s="20" t="str">
        <f t="shared" si="24"/>
        <v>-</v>
      </c>
      <c r="N229" s="20" t="str">
        <f t="shared" si="26"/>
        <v>-</v>
      </c>
      <c r="O229" s="21" t="str">
        <f t="shared" si="25"/>
        <v>-</v>
      </c>
      <c r="P229" s="22" t="str">
        <f t="shared" si="27"/>
        <v>-</v>
      </c>
      <c r="R229" s="22" t="str">
        <f t="shared" si="28"/>
        <v>-</v>
      </c>
    </row>
    <row r="230" spans="1:18" ht="14.4" x14ac:dyDescent="0.25">
      <c r="A230" s="30">
        <v>97467039575</v>
      </c>
      <c r="B230" s="26">
        <v>3957</v>
      </c>
      <c r="C230" s="26" t="s">
        <v>300</v>
      </c>
      <c r="D230" s="31">
        <v>180</v>
      </c>
      <c r="E230" s="31">
        <v>3</v>
      </c>
      <c r="F230" s="38">
        <v>0.42789500000000003</v>
      </c>
      <c r="G230" s="32" t="s">
        <v>535</v>
      </c>
      <c r="H230" s="33">
        <v>19.6554</v>
      </c>
      <c r="I230" s="11"/>
      <c r="J230" s="33">
        <f t="shared" si="29"/>
        <v>0</v>
      </c>
      <c r="M230" s="20" t="str">
        <f t="shared" si="24"/>
        <v>-</v>
      </c>
      <c r="N230" s="20" t="str">
        <f t="shared" si="26"/>
        <v>-</v>
      </c>
      <c r="O230" s="21" t="str">
        <f t="shared" si="25"/>
        <v>-</v>
      </c>
      <c r="P230" s="22" t="str">
        <f t="shared" si="27"/>
        <v>-</v>
      </c>
      <c r="R230" s="22" t="str">
        <f t="shared" si="28"/>
        <v>-</v>
      </c>
    </row>
    <row r="231" spans="1:18" ht="14.4" x14ac:dyDescent="0.25">
      <c r="A231" s="30">
        <v>97467395428</v>
      </c>
      <c r="B231" s="26">
        <v>39542</v>
      </c>
      <c r="C231" s="26" t="s">
        <v>31</v>
      </c>
      <c r="D231" s="31" t="s">
        <v>118</v>
      </c>
      <c r="E231" s="31">
        <v>3</v>
      </c>
      <c r="F231" s="38">
        <v>0.34390500000000002</v>
      </c>
      <c r="G231" s="32" t="s">
        <v>535</v>
      </c>
      <c r="H231" s="33">
        <v>19.889100000000003</v>
      </c>
      <c r="I231" s="11"/>
      <c r="J231" s="33">
        <f t="shared" si="29"/>
        <v>0</v>
      </c>
      <c r="M231" s="20" t="str">
        <f t="shared" si="24"/>
        <v>-</v>
      </c>
      <c r="N231" s="20" t="str">
        <f t="shared" si="26"/>
        <v>-</v>
      </c>
      <c r="O231" s="21" t="str">
        <f t="shared" si="25"/>
        <v>-</v>
      </c>
      <c r="P231" s="22" t="str">
        <f t="shared" si="27"/>
        <v>-</v>
      </c>
      <c r="R231" s="22" t="str">
        <f t="shared" si="28"/>
        <v>-</v>
      </c>
    </row>
    <row r="232" spans="1:18" ht="14.4" x14ac:dyDescent="0.25">
      <c r="A232" s="30">
        <v>97467039605</v>
      </c>
      <c r="B232" s="26">
        <v>3960</v>
      </c>
      <c r="C232" s="26" t="s">
        <v>180</v>
      </c>
      <c r="D232" s="31">
        <v>180</v>
      </c>
      <c r="E232" s="31">
        <v>3</v>
      </c>
      <c r="F232" s="38">
        <v>0.20429999999999998</v>
      </c>
      <c r="G232" s="32" t="s">
        <v>535</v>
      </c>
      <c r="H232" s="33">
        <v>11.3529</v>
      </c>
      <c r="I232" s="11"/>
      <c r="J232" s="33">
        <f t="shared" si="29"/>
        <v>0</v>
      </c>
      <c r="M232" s="20" t="str">
        <f t="shared" si="24"/>
        <v>-</v>
      </c>
      <c r="N232" s="20" t="str">
        <f t="shared" si="26"/>
        <v>-</v>
      </c>
      <c r="O232" s="21" t="str">
        <f t="shared" si="25"/>
        <v>-</v>
      </c>
      <c r="P232" s="22" t="str">
        <f t="shared" si="27"/>
        <v>-</v>
      </c>
      <c r="R232" s="22" t="str">
        <f t="shared" si="28"/>
        <v>-</v>
      </c>
    </row>
    <row r="233" spans="1:18" ht="14.4" x14ac:dyDescent="0.25">
      <c r="A233" s="30">
        <v>97467039629</v>
      </c>
      <c r="B233" s="26">
        <v>3962</v>
      </c>
      <c r="C233" s="26" t="s">
        <v>301</v>
      </c>
      <c r="D233" s="31">
        <v>90</v>
      </c>
      <c r="E233" s="31">
        <v>3</v>
      </c>
      <c r="F233" s="38">
        <v>0.10101499999999999</v>
      </c>
      <c r="G233" s="32" t="s">
        <v>535</v>
      </c>
      <c r="H233" s="33">
        <v>14.427899999999998</v>
      </c>
      <c r="I233" s="11"/>
      <c r="J233" s="33">
        <f t="shared" si="29"/>
        <v>0</v>
      </c>
      <c r="M233" s="20" t="str">
        <f t="shared" si="24"/>
        <v>-</v>
      </c>
      <c r="N233" s="20" t="str">
        <f t="shared" si="26"/>
        <v>-</v>
      </c>
      <c r="O233" s="21" t="str">
        <f t="shared" si="25"/>
        <v>-</v>
      </c>
      <c r="P233" s="22" t="str">
        <f t="shared" si="27"/>
        <v>-</v>
      </c>
      <c r="R233" s="22" t="str">
        <f t="shared" si="28"/>
        <v>-</v>
      </c>
    </row>
    <row r="234" spans="1:18" ht="14.4" x14ac:dyDescent="0.25">
      <c r="A234" s="30">
        <v>97467039643</v>
      </c>
      <c r="B234" s="26">
        <v>3964</v>
      </c>
      <c r="C234" s="26" t="s">
        <v>302</v>
      </c>
      <c r="D234" s="31">
        <v>90</v>
      </c>
      <c r="E234" s="31">
        <v>3</v>
      </c>
      <c r="F234" s="38">
        <v>0.17819499999999999</v>
      </c>
      <c r="G234" s="32" t="s">
        <v>535</v>
      </c>
      <c r="H234" s="33">
        <v>18.4254</v>
      </c>
      <c r="I234" s="11"/>
      <c r="J234" s="33">
        <f t="shared" si="29"/>
        <v>0</v>
      </c>
      <c r="M234" s="20" t="str">
        <f t="shared" si="24"/>
        <v>-</v>
      </c>
      <c r="N234" s="20" t="str">
        <f t="shared" si="26"/>
        <v>-</v>
      </c>
      <c r="O234" s="21" t="str">
        <f t="shared" si="25"/>
        <v>-</v>
      </c>
      <c r="P234" s="22" t="str">
        <f t="shared" si="27"/>
        <v>-</v>
      </c>
      <c r="R234" s="22" t="str">
        <f t="shared" si="28"/>
        <v>-</v>
      </c>
    </row>
    <row r="235" spans="1:18" ht="14.4" x14ac:dyDescent="0.25">
      <c r="A235" s="30">
        <v>97467033412</v>
      </c>
      <c r="B235" s="26">
        <v>3341</v>
      </c>
      <c r="C235" s="26" t="s">
        <v>182</v>
      </c>
      <c r="D235" s="31">
        <v>90</v>
      </c>
      <c r="E235" s="31">
        <v>3</v>
      </c>
      <c r="F235" s="38">
        <v>0.25991500000000001</v>
      </c>
      <c r="G235" s="32" t="s">
        <v>535</v>
      </c>
      <c r="H235" s="33">
        <v>14.1204</v>
      </c>
      <c r="I235" s="11"/>
      <c r="J235" s="33">
        <f t="shared" si="29"/>
        <v>0</v>
      </c>
      <c r="M235" s="20" t="str">
        <f t="shared" si="24"/>
        <v>-</v>
      </c>
      <c r="N235" s="20" t="str">
        <f t="shared" si="26"/>
        <v>-</v>
      </c>
      <c r="O235" s="21" t="str">
        <f t="shared" si="25"/>
        <v>-</v>
      </c>
      <c r="P235" s="22" t="str">
        <f t="shared" si="27"/>
        <v>-</v>
      </c>
      <c r="R235" s="22" t="str">
        <f t="shared" si="28"/>
        <v>-</v>
      </c>
    </row>
    <row r="236" spans="1:18" ht="14.4" x14ac:dyDescent="0.25">
      <c r="A236" s="30">
        <v>97467334106</v>
      </c>
      <c r="B236" s="26">
        <v>33410</v>
      </c>
      <c r="C236" s="26" t="s">
        <v>182</v>
      </c>
      <c r="D236" s="31">
        <v>180</v>
      </c>
      <c r="E236" s="31">
        <v>3</v>
      </c>
      <c r="F236" s="38">
        <v>0.50167000000000006</v>
      </c>
      <c r="G236" s="32" t="s">
        <v>535</v>
      </c>
      <c r="H236" s="33">
        <v>26.727899999999998</v>
      </c>
      <c r="I236" s="11"/>
      <c r="J236" s="33">
        <f t="shared" si="29"/>
        <v>0</v>
      </c>
      <c r="M236" s="20" t="str">
        <f t="shared" si="24"/>
        <v>-</v>
      </c>
      <c r="N236" s="20" t="str">
        <f t="shared" si="26"/>
        <v>-</v>
      </c>
      <c r="O236" s="21" t="str">
        <f t="shared" si="25"/>
        <v>-</v>
      </c>
      <c r="P236" s="22" t="str">
        <f t="shared" si="27"/>
        <v>-</v>
      </c>
      <c r="R236" s="22" t="str">
        <f t="shared" si="28"/>
        <v>-</v>
      </c>
    </row>
    <row r="237" spans="1:18" ht="14.4" x14ac:dyDescent="0.25">
      <c r="A237" s="30">
        <v>97467336025</v>
      </c>
      <c r="B237" s="26">
        <v>33602</v>
      </c>
      <c r="C237" s="26" t="s">
        <v>185</v>
      </c>
      <c r="D237" s="31">
        <v>120</v>
      </c>
      <c r="E237" s="31">
        <v>3</v>
      </c>
      <c r="F237" s="38">
        <v>0.14527999999999999</v>
      </c>
      <c r="G237" s="32" t="s">
        <v>535</v>
      </c>
      <c r="H237" s="33">
        <v>8.5853999999999999</v>
      </c>
      <c r="I237" s="11"/>
      <c r="J237" s="33">
        <f t="shared" si="29"/>
        <v>0</v>
      </c>
      <c r="M237" s="20" t="str">
        <f t="shared" si="24"/>
        <v>-</v>
      </c>
      <c r="N237" s="20" t="str">
        <f t="shared" si="26"/>
        <v>-</v>
      </c>
      <c r="O237" s="21" t="str">
        <f t="shared" si="25"/>
        <v>-</v>
      </c>
      <c r="P237" s="22" t="str">
        <f t="shared" si="27"/>
        <v>-</v>
      </c>
      <c r="R237" s="22" t="str">
        <f t="shared" si="28"/>
        <v>-</v>
      </c>
    </row>
    <row r="238" spans="1:18" ht="14.4" x14ac:dyDescent="0.25">
      <c r="A238" s="30">
        <v>97467336032</v>
      </c>
      <c r="B238" s="26">
        <v>33603</v>
      </c>
      <c r="C238" s="26" t="s">
        <v>185</v>
      </c>
      <c r="D238" s="31">
        <v>240</v>
      </c>
      <c r="E238" s="31">
        <v>3</v>
      </c>
      <c r="F238" s="38">
        <v>0.30645</v>
      </c>
      <c r="G238" s="32" t="s">
        <v>535</v>
      </c>
      <c r="H238" s="33">
        <v>15.350399999999999</v>
      </c>
      <c r="I238" s="11"/>
      <c r="J238" s="33">
        <f t="shared" si="29"/>
        <v>0</v>
      </c>
      <c r="M238" s="20" t="str">
        <f t="shared" ref="M238:M301" si="30">IFERROR(IF($M$2*F238=0, "-", $M$2*F238), "-")</f>
        <v>-</v>
      </c>
      <c r="N238" s="20" t="str">
        <f t="shared" ref="N238:N299" si="31">IF(I238&gt;0,H238+M238,"-")</f>
        <v>-</v>
      </c>
      <c r="O238" s="21" t="str">
        <f t="shared" ref="O238:O301" si="32">IF(I238&gt;0,I238*F238, "-")</f>
        <v>-</v>
      </c>
      <c r="P238" s="22" t="str">
        <f t="shared" si="27"/>
        <v>-</v>
      </c>
      <c r="R238" s="22" t="str">
        <f t="shared" ref="R238:R299" si="33">IFERROR(IF(P238+J238=0, "-", IF(P238&gt;0, P238+J238, "-")), "-")</f>
        <v>-</v>
      </c>
    </row>
    <row r="239" spans="1:18" ht="14.4" x14ac:dyDescent="0.25">
      <c r="A239" s="30">
        <v>97467336049</v>
      </c>
      <c r="B239" s="26">
        <v>33604</v>
      </c>
      <c r="C239" s="26" t="s">
        <v>303</v>
      </c>
      <c r="D239" s="31" t="s">
        <v>97</v>
      </c>
      <c r="E239" s="31">
        <v>3</v>
      </c>
      <c r="F239" s="38">
        <v>0.67078499999999996</v>
      </c>
      <c r="G239" s="32" t="s">
        <v>535</v>
      </c>
      <c r="H239" s="33">
        <v>19.6554</v>
      </c>
      <c r="I239" s="11"/>
      <c r="J239" s="33">
        <f t="shared" si="29"/>
        <v>0</v>
      </c>
      <c r="M239" s="20" t="str">
        <f t="shared" si="30"/>
        <v>-</v>
      </c>
      <c r="N239" s="20" t="str">
        <f t="shared" si="31"/>
        <v>-</v>
      </c>
      <c r="O239" s="21" t="str">
        <f t="shared" si="32"/>
        <v>-</v>
      </c>
      <c r="P239" s="22" t="str">
        <f t="shared" ref="P239:P302" si="34">IFERROR(IF($M$2&gt;0, $M$2*O239, "-"), "-")</f>
        <v>-</v>
      </c>
      <c r="R239" s="22" t="str">
        <f t="shared" si="33"/>
        <v>-</v>
      </c>
    </row>
    <row r="240" spans="1:18" ht="14.4" x14ac:dyDescent="0.25">
      <c r="A240" s="30">
        <v>97467336056</v>
      </c>
      <c r="B240" s="26">
        <v>33605</v>
      </c>
      <c r="C240" s="26" t="s">
        <v>304</v>
      </c>
      <c r="D240" s="31" t="s">
        <v>98</v>
      </c>
      <c r="E240" s="31">
        <v>3</v>
      </c>
      <c r="F240" s="38">
        <v>0.53798999999999997</v>
      </c>
      <c r="G240" s="32" t="s">
        <v>535</v>
      </c>
      <c r="H240" s="33">
        <v>19.6554</v>
      </c>
      <c r="I240" s="11"/>
      <c r="J240" s="33">
        <f t="shared" si="29"/>
        <v>0</v>
      </c>
      <c r="M240" s="20" t="str">
        <f t="shared" si="30"/>
        <v>-</v>
      </c>
      <c r="N240" s="20" t="str">
        <f t="shared" si="31"/>
        <v>-</v>
      </c>
      <c r="O240" s="21" t="str">
        <f t="shared" si="32"/>
        <v>-</v>
      </c>
      <c r="P240" s="22" t="str">
        <f t="shared" si="34"/>
        <v>-</v>
      </c>
      <c r="R240" s="22" t="str">
        <f t="shared" si="33"/>
        <v>-</v>
      </c>
    </row>
    <row r="241" spans="1:18" ht="14.4" x14ac:dyDescent="0.25">
      <c r="A241" s="30">
        <v>97467336063</v>
      </c>
      <c r="B241" s="26">
        <v>33606</v>
      </c>
      <c r="C241" s="26" t="s">
        <v>305</v>
      </c>
      <c r="D241" s="31" t="s">
        <v>99</v>
      </c>
      <c r="E241" s="31">
        <v>3</v>
      </c>
      <c r="F241" s="38">
        <v>0.53231499999999998</v>
      </c>
      <c r="G241" s="32" t="s">
        <v>535</v>
      </c>
      <c r="H241" s="33">
        <v>19.6554</v>
      </c>
      <c r="I241" s="11"/>
      <c r="J241" s="33">
        <f t="shared" si="29"/>
        <v>0</v>
      </c>
      <c r="M241" s="20" t="str">
        <f t="shared" si="30"/>
        <v>-</v>
      </c>
      <c r="N241" s="20" t="str">
        <f t="shared" si="31"/>
        <v>-</v>
      </c>
      <c r="O241" s="21" t="str">
        <f t="shared" si="32"/>
        <v>-</v>
      </c>
      <c r="P241" s="22" t="str">
        <f t="shared" si="34"/>
        <v>-</v>
      </c>
      <c r="R241" s="22" t="str">
        <f t="shared" si="33"/>
        <v>-</v>
      </c>
    </row>
    <row r="242" spans="1:18" ht="14.4" hidden="1" x14ac:dyDescent="0.25">
      <c r="A242" s="30">
        <v>97467336070</v>
      </c>
      <c r="B242" s="26">
        <v>33607</v>
      </c>
      <c r="C242" s="26" t="s">
        <v>186</v>
      </c>
      <c r="D242" s="31" t="s">
        <v>100</v>
      </c>
      <c r="E242" s="31">
        <v>3</v>
      </c>
      <c r="F242" s="38"/>
      <c r="G242" s="32" t="s">
        <v>535</v>
      </c>
      <c r="H242" s="33">
        <v>31.697099999999999</v>
      </c>
      <c r="I242" s="11"/>
      <c r="J242" s="33">
        <f t="shared" si="29"/>
        <v>0</v>
      </c>
      <c r="M242" s="20" t="str">
        <f t="shared" si="30"/>
        <v>-</v>
      </c>
      <c r="N242" s="20" t="str">
        <f t="shared" si="31"/>
        <v>-</v>
      </c>
      <c r="O242" s="21" t="str">
        <f t="shared" si="32"/>
        <v>-</v>
      </c>
      <c r="P242" s="22" t="str">
        <f t="shared" si="34"/>
        <v>-</v>
      </c>
      <c r="R242" s="22" t="str">
        <f t="shared" si="33"/>
        <v>-</v>
      </c>
    </row>
    <row r="243" spans="1:18" ht="14.4" x14ac:dyDescent="0.25">
      <c r="A243" s="30">
        <v>97467336087</v>
      </c>
      <c r="B243" s="26">
        <v>33608</v>
      </c>
      <c r="C243" s="26" t="s">
        <v>306</v>
      </c>
      <c r="D243" s="31">
        <v>60</v>
      </c>
      <c r="E243" s="31">
        <v>3</v>
      </c>
      <c r="F243" s="38">
        <v>0.30985500000000005</v>
      </c>
      <c r="G243" s="32" t="s">
        <v>535</v>
      </c>
      <c r="H243" s="33">
        <v>13.812900000000001</v>
      </c>
      <c r="I243" s="11"/>
      <c r="J243" s="33">
        <f t="shared" si="29"/>
        <v>0</v>
      </c>
      <c r="M243" s="20" t="str">
        <f t="shared" si="30"/>
        <v>-</v>
      </c>
      <c r="N243" s="20" t="str">
        <f t="shared" si="31"/>
        <v>-</v>
      </c>
      <c r="O243" s="21" t="str">
        <f t="shared" si="32"/>
        <v>-</v>
      </c>
      <c r="P243" s="22" t="str">
        <f t="shared" si="34"/>
        <v>-</v>
      </c>
      <c r="R243" s="22" t="str">
        <f t="shared" si="33"/>
        <v>-</v>
      </c>
    </row>
    <row r="244" spans="1:18" ht="14.4" x14ac:dyDescent="0.25">
      <c r="A244" s="30">
        <v>97467336094</v>
      </c>
      <c r="B244" s="26">
        <v>33609</v>
      </c>
      <c r="C244" s="26" t="s">
        <v>187</v>
      </c>
      <c r="D244" s="31">
        <v>90</v>
      </c>
      <c r="E244" s="31">
        <v>3</v>
      </c>
      <c r="F244" s="38">
        <v>0.13733499999999998</v>
      </c>
      <c r="G244" s="32" t="s">
        <v>535</v>
      </c>
      <c r="H244" s="33">
        <v>11.660399999999999</v>
      </c>
      <c r="I244" s="11"/>
      <c r="J244" s="33">
        <f t="shared" si="29"/>
        <v>0</v>
      </c>
      <c r="M244" s="20" t="str">
        <f t="shared" si="30"/>
        <v>-</v>
      </c>
      <c r="N244" s="20" t="str">
        <f t="shared" si="31"/>
        <v>-</v>
      </c>
      <c r="O244" s="21" t="str">
        <f t="shared" si="32"/>
        <v>-</v>
      </c>
      <c r="P244" s="22" t="str">
        <f t="shared" si="34"/>
        <v>-</v>
      </c>
      <c r="R244" s="22" t="str">
        <f t="shared" si="33"/>
        <v>-</v>
      </c>
    </row>
    <row r="245" spans="1:18" ht="14.4" x14ac:dyDescent="0.25">
      <c r="A245" s="30">
        <v>97467033634</v>
      </c>
      <c r="B245" s="26">
        <v>3363</v>
      </c>
      <c r="C245" s="26" t="s">
        <v>188</v>
      </c>
      <c r="D245" s="31">
        <v>90</v>
      </c>
      <c r="E245" s="31">
        <v>3</v>
      </c>
      <c r="F245" s="38">
        <v>0.30985500000000005</v>
      </c>
      <c r="G245" s="32" t="s">
        <v>535</v>
      </c>
      <c r="H245" s="33">
        <v>15.042899999999999</v>
      </c>
      <c r="I245" s="11"/>
      <c r="J245" s="33">
        <f t="shared" si="29"/>
        <v>0</v>
      </c>
      <c r="M245" s="20" t="str">
        <f t="shared" si="30"/>
        <v>-</v>
      </c>
      <c r="N245" s="20" t="str">
        <f t="shared" si="31"/>
        <v>-</v>
      </c>
      <c r="O245" s="21" t="str">
        <f t="shared" si="32"/>
        <v>-</v>
      </c>
      <c r="P245" s="22" t="str">
        <f t="shared" si="34"/>
        <v>-</v>
      </c>
      <c r="R245" s="22" t="str">
        <f t="shared" si="33"/>
        <v>-</v>
      </c>
    </row>
    <row r="246" spans="1:18" ht="14.4" x14ac:dyDescent="0.25">
      <c r="A246" s="30">
        <v>97467033641</v>
      </c>
      <c r="B246" s="26">
        <v>3364</v>
      </c>
      <c r="C246" s="26" t="s">
        <v>188</v>
      </c>
      <c r="D246" s="31">
        <v>180</v>
      </c>
      <c r="E246" s="31">
        <v>3</v>
      </c>
      <c r="F246" s="38">
        <v>0.60268500000000003</v>
      </c>
      <c r="G246" s="32" t="s">
        <v>535</v>
      </c>
      <c r="H246" s="33">
        <v>27.650399999999998</v>
      </c>
      <c r="I246" s="11"/>
      <c r="J246" s="33">
        <f t="shared" si="29"/>
        <v>0</v>
      </c>
      <c r="M246" s="20" t="str">
        <f t="shared" si="30"/>
        <v>-</v>
      </c>
      <c r="N246" s="20" t="str">
        <f t="shared" si="31"/>
        <v>-</v>
      </c>
      <c r="O246" s="21" t="str">
        <f t="shared" si="32"/>
        <v>-</v>
      </c>
      <c r="P246" s="22" t="str">
        <f t="shared" si="34"/>
        <v>-</v>
      </c>
      <c r="R246" s="22" t="str">
        <f t="shared" si="33"/>
        <v>-</v>
      </c>
    </row>
    <row r="247" spans="1:18" ht="14.4" x14ac:dyDescent="0.25">
      <c r="A247" s="30">
        <v>97467336452</v>
      </c>
      <c r="B247" s="26">
        <v>33645</v>
      </c>
      <c r="C247" s="26" t="s">
        <v>307</v>
      </c>
      <c r="D247" s="31">
        <v>180</v>
      </c>
      <c r="E247" s="31">
        <v>3</v>
      </c>
      <c r="F247" s="38">
        <v>0.32233999999999996</v>
      </c>
      <c r="G247" s="32" t="s">
        <v>535</v>
      </c>
      <c r="H247" s="33">
        <v>15.042899999999999</v>
      </c>
      <c r="I247" s="11"/>
      <c r="J247" s="33">
        <f t="shared" si="29"/>
        <v>0</v>
      </c>
      <c r="M247" s="20" t="str">
        <f t="shared" si="30"/>
        <v>-</v>
      </c>
      <c r="N247" s="20" t="str">
        <f t="shared" si="31"/>
        <v>-</v>
      </c>
      <c r="O247" s="21" t="str">
        <f t="shared" si="32"/>
        <v>-</v>
      </c>
      <c r="P247" s="22" t="str">
        <f t="shared" si="34"/>
        <v>-</v>
      </c>
      <c r="R247" s="22" t="str">
        <f t="shared" si="33"/>
        <v>-</v>
      </c>
    </row>
    <row r="248" spans="1:18" ht="14.4" x14ac:dyDescent="0.25">
      <c r="A248" s="30">
        <v>97467336469</v>
      </c>
      <c r="B248" s="26">
        <v>33646</v>
      </c>
      <c r="C248" s="26" t="s">
        <v>308</v>
      </c>
      <c r="D248" s="31">
        <v>90</v>
      </c>
      <c r="E248" s="31">
        <v>3</v>
      </c>
      <c r="F248" s="38">
        <v>0.29964000000000002</v>
      </c>
      <c r="G248" s="32" t="s">
        <v>535</v>
      </c>
      <c r="H248" s="33">
        <v>12.5829</v>
      </c>
      <c r="I248" s="11"/>
      <c r="J248" s="33">
        <f t="shared" si="29"/>
        <v>0</v>
      </c>
      <c r="M248" s="20" t="str">
        <f t="shared" si="30"/>
        <v>-</v>
      </c>
      <c r="N248" s="20" t="str">
        <f t="shared" si="31"/>
        <v>-</v>
      </c>
      <c r="O248" s="21" t="str">
        <f t="shared" si="32"/>
        <v>-</v>
      </c>
      <c r="P248" s="22" t="str">
        <f t="shared" si="34"/>
        <v>-</v>
      </c>
      <c r="R248" s="22" t="str">
        <f t="shared" si="33"/>
        <v>-</v>
      </c>
    </row>
    <row r="249" spans="1:18" ht="14.4" x14ac:dyDescent="0.25">
      <c r="A249" s="30">
        <v>97467336476</v>
      </c>
      <c r="B249" s="26">
        <v>33647</v>
      </c>
      <c r="C249" s="26" t="s">
        <v>308</v>
      </c>
      <c r="D249" s="31">
        <v>180</v>
      </c>
      <c r="E249" s="31">
        <v>3</v>
      </c>
      <c r="F249" s="38">
        <v>0.60268500000000003</v>
      </c>
      <c r="G249" s="32" t="s">
        <v>535</v>
      </c>
      <c r="H249" s="33">
        <v>22.730399999999999</v>
      </c>
      <c r="I249" s="11"/>
      <c r="J249" s="33">
        <f t="shared" si="29"/>
        <v>0</v>
      </c>
      <c r="M249" s="20" t="str">
        <f t="shared" si="30"/>
        <v>-</v>
      </c>
      <c r="N249" s="20" t="str">
        <f t="shared" si="31"/>
        <v>-</v>
      </c>
      <c r="O249" s="21" t="str">
        <f t="shared" si="32"/>
        <v>-</v>
      </c>
      <c r="P249" s="22" t="str">
        <f t="shared" si="34"/>
        <v>-</v>
      </c>
      <c r="R249" s="22" t="str">
        <f t="shared" si="33"/>
        <v>-</v>
      </c>
    </row>
    <row r="250" spans="1:18" ht="14.4" x14ac:dyDescent="0.25">
      <c r="A250" s="30">
        <v>97467033696</v>
      </c>
      <c r="B250" s="26">
        <v>3369</v>
      </c>
      <c r="C250" s="26" t="s">
        <v>311</v>
      </c>
      <c r="D250" s="31">
        <v>90</v>
      </c>
      <c r="E250" s="31">
        <v>3</v>
      </c>
      <c r="F250" s="38">
        <v>0.14755000000000001</v>
      </c>
      <c r="G250" s="32" t="s">
        <v>535</v>
      </c>
      <c r="H250" s="33">
        <v>8.8929000000000009</v>
      </c>
      <c r="I250" s="11"/>
      <c r="J250" s="33">
        <f t="shared" si="29"/>
        <v>0</v>
      </c>
      <c r="M250" s="20" t="str">
        <f t="shared" si="30"/>
        <v>-</v>
      </c>
      <c r="N250" s="20" t="str">
        <f t="shared" si="31"/>
        <v>-</v>
      </c>
      <c r="O250" s="21" t="str">
        <f t="shared" si="32"/>
        <v>-</v>
      </c>
      <c r="P250" s="22" t="str">
        <f t="shared" si="34"/>
        <v>-</v>
      </c>
      <c r="R250" s="22" t="str">
        <f t="shared" si="33"/>
        <v>-</v>
      </c>
    </row>
    <row r="251" spans="1:18" ht="14.4" x14ac:dyDescent="0.25">
      <c r="A251" s="30">
        <v>97467033702</v>
      </c>
      <c r="B251" s="26">
        <v>3370</v>
      </c>
      <c r="C251" s="26" t="s">
        <v>189</v>
      </c>
      <c r="D251" s="31">
        <v>90</v>
      </c>
      <c r="E251" s="31">
        <v>3</v>
      </c>
      <c r="F251" s="38">
        <v>9.5340000000000008E-2</v>
      </c>
      <c r="G251" s="32" t="s">
        <v>535</v>
      </c>
      <c r="H251" s="33">
        <v>8.5853999999999999</v>
      </c>
      <c r="I251" s="11"/>
      <c r="J251" s="33">
        <f t="shared" si="29"/>
        <v>0</v>
      </c>
      <c r="M251" s="20" t="str">
        <f t="shared" si="30"/>
        <v>-</v>
      </c>
      <c r="N251" s="20" t="str">
        <f t="shared" si="31"/>
        <v>-</v>
      </c>
      <c r="O251" s="21" t="str">
        <f t="shared" si="32"/>
        <v>-</v>
      </c>
      <c r="P251" s="22" t="str">
        <f t="shared" si="34"/>
        <v>-</v>
      </c>
      <c r="R251" s="22" t="str">
        <f t="shared" si="33"/>
        <v>-</v>
      </c>
    </row>
    <row r="252" spans="1:18" ht="14.4" x14ac:dyDescent="0.25">
      <c r="A252" s="30">
        <v>97467034211</v>
      </c>
      <c r="B252" s="26">
        <v>3421</v>
      </c>
      <c r="C252" s="26" t="s">
        <v>313</v>
      </c>
      <c r="D252" s="31">
        <v>90</v>
      </c>
      <c r="E252" s="31">
        <v>3</v>
      </c>
      <c r="F252" s="38">
        <v>0.19521999999999998</v>
      </c>
      <c r="G252" s="32" t="s">
        <v>535</v>
      </c>
      <c r="H252" s="33">
        <v>11.9679</v>
      </c>
      <c r="I252" s="11"/>
      <c r="J252" s="33">
        <f t="shared" si="29"/>
        <v>0</v>
      </c>
      <c r="M252" s="20" t="str">
        <f t="shared" si="30"/>
        <v>-</v>
      </c>
      <c r="N252" s="20" t="str">
        <f t="shared" si="31"/>
        <v>-</v>
      </c>
      <c r="O252" s="21" t="str">
        <f t="shared" si="32"/>
        <v>-</v>
      </c>
      <c r="P252" s="22" t="str">
        <f t="shared" si="34"/>
        <v>-</v>
      </c>
      <c r="R252" s="22" t="str">
        <f t="shared" si="33"/>
        <v>-</v>
      </c>
    </row>
    <row r="253" spans="1:18" ht="14.4" x14ac:dyDescent="0.25">
      <c r="A253" s="30">
        <v>97467035010</v>
      </c>
      <c r="B253" s="26">
        <v>3501</v>
      </c>
      <c r="C253" s="26" t="s">
        <v>193</v>
      </c>
      <c r="D253" s="31">
        <v>90</v>
      </c>
      <c r="E253" s="31">
        <v>3</v>
      </c>
      <c r="F253" s="38">
        <v>0.107825</v>
      </c>
      <c r="G253" s="32" t="s">
        <v>535</v>
      </c>
      <c r="H253" s="33">
        <v>14.427899999999998</v>
      </c>
      <c r="I253" s="11"/>
      <c r="J253" s="33">
        <f t="shared" si="29"/>
        <v>0</v>
      </c>
      <c r="M253" s="20" t="str">
        <f t="shared" si="30"/>
        <v>-</v>
      </c>
      <c r="N253" s="20" t="str">
        <f t="shared" si="31"/>
        <v>-</v>
      </c>
      <c r="O253" s="21" t="str">
        <f t="shared" si="32"/>
        <v>-</v>
      </c>
      <c r="P253" s="22" t="str">
        <f t="shared" si="34"/>
        <v>-</v>
      </c>
      <c r="R253" s="22" t="str">
        <f t="shared" si="33"/>
        <v>-</v>
      </c>
    </row>
    <row r="254" spans="1:18" ht="14.4" x14ac:dyDescent="0.25">
      <c r="A254" s="30">
        <v>97467036307</v>
      </c>
      <c r="B254" s="26">
        <v>3630</v>
      </c>
      <c r="C254" s="26" t="s">
        <v>195</v>
      </c>
      <c r="D254" s="31">
        <v>90</v>
      </c>
      <c r="E254" s="31">
        <v>3</v>
      </c>
      <c r="F254" s="38">
        <v>6.3560000000000005E-2</v>
      </c>
      <c r="G254" s="32" t="s">
        <v>535</v>
      </c>
      <c r="H254" s="33">
        <v>6.1253999999999991</v>
      </c>
      <c r="I254" s="11"/>
      <c r="J254" s="33">
        <f t="shared" si="29"/>
        <v>0</v>
      </c>
      <c r="M254" s="20" t="str">
        <f t="shared" si="30"/>
        <v>-</v>
      </c>
      <c r="N254" s="20" t="str">
        <f t="shared" si="31"/>
        <v>-</v>
      </c>
      <c r="O254" s="21" t="str">
        <f t="shared" si="32"/>
        <v>-</v>
      </c>
      <c r="P254" s="22" t="str">
        <f t="shared" si="34"/>
        <v>-</v>
      </c>
      <c r="R254" s="22" t="str">
        <f t="shared" si="33"/>
        <v>-</v>
      </c>
    </row>
    <row r="255" spans="1:18" ht="14.4" x14ac:dyDescent="0.25">
      <c r="A255" s="30">
        <v>97467036413</v>
      </c>
      <c r="B255" s="26">
        <v>3641</v>
      </c>
      <c r="C255" s="26" t="s">
        <v>196</v>
      </c>
      <c r="D255" s="31">
        <v>90</v>
      </c>
      <c r="E255" s="31">
        <v>3</v>
      </c>
      <c r="F255" s="38">
        <v>8.6260000000000003E-2</v>
      </c>
      <c r="G255" s="32" t="s">
        <v>535</v>
      </c>
      <c r="H255" s="33">
        <v>7.9703999999999997</v>
      </c>
      <c r="I255" s="11"/>
      <c r="J255" s="33">
        <f t="shared" si="29"/>
        <v>0</v>
      </c>
      <c r="M255" s="20" t="str">
        <f t="shared" si="30"/>
        <v>-</v>
      </c>
      <c r="N255" s="20" t="str">
        <f t="shared" si="31"/>
        <v>-</v>
      </c>
      <c r="O255" s="21" t="str">
        <f t="shared" si="32"/>
        <v>-</v>
      </c>
      <c r="P255" s="22" t="str">
        <f t="shared" si="34"/>
        <v>-</v>
      </c>
      <c r="R255" s="22" t="str">
        <f t="shared" si="33"/>
        <v>-</v>
      </c>
    </row>
    <row r="256" spans="1:18" ht="14.4" x14ac:dyDescent="0.25">
      <c r="A256" s="30">
        <v>97467036451</v>
      </c>
      <c r="B256" s="26">
        <v>3645</v>
      </c>
      <c r="C256" s="26" t="s">
        <v>197</v>
      </c>
      <c r="D256" s="31">
        <v>90</v>
      </c>
      <c r="E256" s="31">
        <v>3</v>
      </c>
      <c r="F256" s="38">
        <v>0.11803999999999999</v>
      </c>
      <c r="G256" s="32" t="s">
        <v>535</v>
      </c>
      <c r="H256" s="33">
        <v>9.8154000000000003</v>
      </c>
      <c r="I256" s="11"/>
      <c r="J256" s="33">
        <f t="shared" si="29"/>
        <v>0</v>
      </c>
      <c r="M256" s="20" t="str">
        <f t="shared" si="30"/>
        <v>-</v>
      </c>
      <c r="N256" s="20" t="str">
        <f t="shared" si="31"/>
        <v>-</v>
      </c>
      <c r="O256" s="21" t="str">
        <f t="shared" si="32"/>
        <v>-</v>
      </c>
      <c r="P256" s="22" t="str">
        <f t="shared" si="34"/>
        <v>-</v>
      </c>
      <c r="R256" s="22" t="str">
        <f t="shared" si="33"/>
        <v>-</v>
      </c>
    </row>
    <row r="257" spans="1:18" ht="14.4" x14ac:dyDescent="0.25">
      <c r="A257" s="30">
        <v>97467036604</v>
      </c>
      <c r="B257" s="26">
        <v>3660</v>
      </c>
      <c r="C257" s="26" t="s">
        <v>198</v>
      </c>
      <c r="D257" s="31">
        <v>90</v>
      </c>
      <c r="E257" s="31">
        <v>3</v>
      </c>
      <c r="F257" s="38">
        <v>0.20657</v>
      </c>
      <c r="G257" s="32" t="s">
        <v>535</v>
      </c>
      <c r="H257" s="33">
        <v>17.195399999999999</v>
      </c>
      <c r="I257" s="11"/>
      <c r="J257" s="33">
        <f t="shared" si="29"/>
        <v>0</v>
      </c>
      <c r="M257" s="20" t="str">
        <f t="shared" si="30"/>
        <v>-</v>
      </c>
      <c r="N257" s="20" t="str">
        <f t="shared" si="31"/>
        <v>-</v>
      </c>
      <c r="O257" s="21" t="str">
        <f t="shared" si="32"/>
        <v>-</v>
      </c>
      <c r="P257" s="22" t="str">
        <f t="shared" si="34"/>
        <v>-</v>
      </c>
      <c r="R257" s="22" t="str">
        <f t="shared" si="33"/>
        <v>-</v>
      </c>
    </row>
    <row r="258" spans="1:18" ht="14.4" x14ac:dyDescent="0.25">
      <c r="A258" s="30">
        <v>97467039681</v>
      </c>
      <c r="B258" s="26">
        <v>3968</v>
      </c>
      <c r="C258" s="27" t="s">
        <v>541</v>
      </c>
      <c r="D258" s="31">
        <v>90</v>
      </c>
      <c r="E258" s="31">
        <v>3</v>
      </c>
      <c r="F258" s="38">
        <v>0.228135</v>
      </c>
      <c r="G258" s="32" t="s">
        <v>535</v>
      </c>
      <c r="H258" s="33">
        <v>17.810400000000001</v>
      </c>
      <c r="I258" s="11"/>
      <c r="J258" s="33">
        <f t="shared" si="29"/>
        <v>0</v>
      </c>
      <c r="M258" s="20" t="str">
        <f t="shared" si="30"/>
        <v>-</v>
      </c>
      <c r="N258" s="20" t="str">
        <f t="shared" si="31"/>
        <v>-</v>
      </c>
      <c r="O258" s="21" t="str">
        <f t="shared" si="32"/>
        <v>-</v>
      </c>
      <c r="P258" s="22" t="str">
        <f t="shared" si="34"/>
        <v>-</v>
      </c>
      <c r="R258" s="22" t="str">
        <f t="shared" si="33"/>
        <v>-</v>
      </c>
    </row>
    <row r="259" spans="1:18" ht="14.4" x14ac:dyDescent="0.25">
      <c r="A259" s="30">
        <v>97467039698</v>
      </c>
      <c r="B259" s="26">
        <v>3969</v>
      </c>
      <c r="C259" s="27" t="s">
        <v>541</v>
      </c>
      <c r="D259" s="31">
        <v>120</v>
      </c>
      <c r="E259" s="31">
        <v>3</v>
      </c>
      <c r="F259" s="38">
        <v>0.28375</v>
      </c>
      <c r="G259" s="32" t="s">
        <v>535</v>
      </c>
      <c r="H259" s="33">
        <v>22.730399999999999</v>
      </c>
      <c r="I259" s="11"/>
      <c r="J259" s="33">
        <f t="shared" ref="J259:J322" si="35">H259*I259</f>
        <v>0</v>
      </c>
      <c r="M259" s="20" t="str">
        <f t="shared" si="30"/>
        <v>-</v>
      </c>
      <c r="N259" s="20" t="str">
        <f t="shared" si="31"/>
        <v>-</v>
      </c>
      <c r="O259" s="21" t="str">
        <f t="shared" si="32"/>
        <v>-</v>
      </c>
      <c r="P259" s="22" t="str">
        <f t="shared" si="34"/>
        <v>-</v>
      </c>
      <c r="R259" s="22" t="str">
        <f t="shared" si="33"/>
        <v>-</v>
      </c>
    </row>
    <row r="260" spans="1:18" ht="14.4" x14ac:dyDescent="0.25">
      <c r="A260" s="30">
        <v>97467039735</v>
      </c>
      <c r="B260" s="26">
        <v>3973</v>
      </c>
      <c r="C260" s="26" t="s">
        <v>314</v>
      </c>
      <c r="D260" s="31">
        <v>60</v>
      </c>
      <c r="E260" s="31">
        <v>3</v>
      </c>
      <c r="F260" s="38">
        <v>8.3989999999999995E-2</v>
      </c>
      <c r="G260" s="32" t="s">
        <v>535</v>
      </c>
      <c r="H260" s="33">
        <v>18.4131</v>
      </c>
      <c r="I260" s="11"/>
      <c r="J260" s="33">
        <f t="shared" si="35"/>
        <v>0</v>
      </c>
      <c r="M260" s="20" t="str">
        <f t="shared" si="30"/>
        <v>-</v>
      </c>
      <c r="N260" s="20" t="str">
        <f t="shared" si="31"/>
        <v>-</v>
      </c>
      <c r="O260" s="21" t="str">
        <f t="shared" si="32"/>
        <v>-</v>
      </c>
      <c r="P260" s="22" t="str">
        <f t="shared" si="34"/>
        <v>-</v>
      </c>
      <c r="R260" s="22" t="str">
        <f t="shared" si="33"/>
        <v>-</v>
      </c>
    </row>
    <row r="261" spans="1:18" ht="14.4" x14ac:dyDescent="0.25">
      <c r="A261" s="30">
        <v>97467046788</v>
      </c>
      <c r="B261" s="26">
        <v>4678</v>
      </c>
      <c r="C261" s="26" t="s">
        <v>315</v>
      </c>
      <c r="D261" s="31">
        <v>60</v>
      </c>
      <c r="E261" s="31">
        <v>3</v>
      </c>
      <c r="F261" s="38">
        <v>0.17819499999999999</v>
      </c>
      <c r="G261" s="32" t="s">
        <v>535</v>
      </c>
      <c r="H261" s="33">
        <v>22.422899999999998</v>
      </c>
      <c r="I261" s="11"/>
      <c r="J261" s="33">
        <f t="shared" si="35"/>
        <v>0</v>
      </c>
      <c r="M261" s="20" t="str">
        <f t="shared" si="30"/>
        <v>-</v>
      </c>
      <c r="N261" s="20" t="str">
        <f t="shared" si="31"/>
        <v>-</v>
      </c>
      <c r="O261" s="21" t="str">
        <f t="shared" si="32"/>
        <v>-</v>
      </c>
      <c r="P261" s="22" t="str">
        <f t="shared" si="34"/>
        <v>-</v>
      </c>
      <c r="R261" s="22" t="str">
        <f t="shared" si="33"/>
        <v>-</v>
      </c>
    </row>
    <row r="262" spans="1:18" ht="14.4" x14ac:dyDescent="0.25">
      <c r="A262" s="30">
        <v>97467046795</v>
      </c>
      <c r="B262" s="26">
        <v>4679</v>
      </c>
      <c r="C262" s="26" t="s">
        <v>315</v>
      </c>
      <c r="D262" s="31">
        <v>90</v>
      </c>
      <c r="E262" s="31">
        <v>3</v>
      </c>
      <c r="F262" s="38">
        <v>0.262185</v>
      </c>
      <c r="G262" s="32" t="s">
        <v>535</v>
      </c>
      <c r="H262" s="33">
        <v>31.340399999999999</v>
      </c>
      <c r="I262" s="11"/>
      <c r="J262" s="33">
        <f t="shared" si="35"/>
        <v>0</v>
      </c>
      <c r="M262" s="20" t="str">
        <f t="shared" si="30"/>
        <v>-</v>
      </c>
      <c r="N262" s="20" t="str">
        <f t="shared" si="31"/>
        <v>-</v>
      </c>
      <c r="O262" s="21" t="str">
        <f t="shared" si="32"/>
        <v>-</v>
      </c>
      <c r="P262" s="22" t="str">
        <f t="shared" si="34"/>
        <v>-</v>
      </c>
      <c r="R262" s="22" t="str">
        <f t="shared" si="33"/>
        <v>-</v>
      </c>
    </row>
    <row r="263" spans="1:18" ht="14.4" x14ac:dyDescent="0.25">
      <c r="A263" s="30">
        <v>97467042100</v>
      </c>
      <c r="B263" s="26">
        <v>4210</v>
      </c>
      <c r="C263" s="26" t="s">
        <v>318</v>
      </c>
      <c r="D263" s="31" t="s">
        <v>122</v>
      </c>
      <c r="E263" s="31">
        <v>3</v>
      </c>
      <c r="F263" s="38">
        <v>0.46534999999999999</v>
      </c>
      <c r="G263" s="32" t="s">
        <v>535</v>
      </c>
      <c r="H263" s="33">
        <v>15.830099999999998</v>
      </c>
      <c r="I263" s="11"/>
      <c r="J263" s="33">
        <f t="shared" si="35"/>
        <v>0</v>
      </c>
      <c r="M263" s="20" t="str">
        <f t="shared" si="30"/>
        <v>-</v>
      </c>
      <c r="N263" s="20" t="str">
        <f t="shared" si="31"/>
        <v>-</v>
      </c>
      <c r="O263" s="21" t="str">
        <f t="shared" si="32"/>
        <v>-</v>
      </c>
      <c r="P263" s="22" t="str">
        <f t="shared" si="34"/>
        <v>-</v>
      </c>
      <c r="R263" s="22" t="str">
        <f t="shared" si="33"/>
        <v>-</v>
      </c>
    </row>
    <row r="264" spans="1:18" ht="14.4" x14ac:dyDescent="0.25">
      <c r="A264" s="30">
        <v>97467043770</v>
      </c>
      <c r="B264" s="26">
        <v>4377</v>
      </c>
      <c r="C264" s="26" t="s">
        <v>320</v>
      </c>
      <c r="D264" s="31">
        <v>90</v>
      </c>
      <c r="E264" s="31">
        <v>3</v>
      </c>
      <c r="F264" s="38">
        <v>6.3560000000000005E-2</v>
      </c>
      <c r="G264" s="32" t="s">
        <v>535</v>
      </c>
      <c r="H264" s="33">
        <v>7.9703999999999997</v>
      </c>
      <c r="I264" s="11"/>
      <c r="J264" s="33">
        <f t="shared" si="35"/>
        <v>0</v>
      </c>
      <c r="M264" s="20" t="str">
        <f t="shared" si="30"/>
        <v>-</v>
      </c>
      <c r="N264" s="20" t="str">
        <f t="shared" si="31"/>
        <v>-</v>
      </c>
      <c r="O264" s="21" t="str">
        <f t="shared" si="32"/>
        <v>-</v>
      </c>
      <c r="P264" s="22" t="str">
        <f t="shared" si="34"/>
        <v>-</v>
      </c>
      <c r="R264" s="22" t="str">
        <f t="shared" si="33"/>
        <v>-</v>
      </c>
    </row>
    <row r="265" spans="1:18" ht="14.4" x14ac:dyDescent="0.25">
      <c r="A265" s="30">
        <v>97467043800</v>
      </c>
      <c r="B265" s="26">
        <v>4380</v>
      </c>
      <c r="C265" s="26" t="s">
        <v>321</v>
      </c>
      <c r="D265" s="31">
        <v>60</v>
      </c>
      <c r="E265" s="31">
        <v>3</v>
      </c>
      <c r="F265" s="38">
        <v>9.4205000000000011E-2</v>
      </c>
      <c r="G265" s="32" t="s">
        <v>535</v>
      </c>
      <c r="H265" s="33">
        <v>10.1229</v>
      </c>
      <c r="I265" s="11"/>
      <c r="J265" s="33">
        <f t="shared" si="35"/>
        <v>0</v>
      </c>
      <c r="M265" s="20" t="str">
        <f t="shared" si="30"/>
        <v>-</v>
      </c>
      <c r="N265" s="20" t="str">
        <f t="shared" si="31"/>
        <v>-</v>
      </c>
      <c r="O265" s="21" t="str">
        <f t="shared" si="32"/>
        <v>-</v>
      </c>
      <c r="P265" s="22" t="str">
        <f t="shared" si="34"/>
        <v>-</v>
      </c>
      <c r="R265" s="22" t="str">
        <f t="shared" si="33"/>
        <v>-</v>
      </c>
    </row>
    <row r="266" spans="1:18" ht="14.4" x14ac:dyDescent="0.25">
      <c r="A266" s="30">
        <v>97467043831</v>
      </c>
      <c r="B266" s="26">
        <v>4383</v>
      </c>
      <c r="C266" s="26" t="s">
        <v>322</v>
      </c>
      <c r="D266" s="31">
        <v>60</v>
      </c>
      <c r="E266" s="31">
        <v>3</v>
      </c>
      <c r="F266" s="38">
        <v>0.18160000000000001</v>
      </c>
      <c r="G266" s="32" t="s">
        <v>535</v>
      </c>
      <c r="H266" s="33">
        <v>21.807899999999997</v>
      </c>
      <c r="I266" s="11"/>
      <c r="J266" s="33">
        <f t="shared" si="35"/>
        <v>0</v>
      </c>
      <c r="M266" s="20" t="str">
        <f t="shared" si="30"/>
        <v>-</v>
      </c>
      <c r="N266" s="20" t="str">
        <f t="shared" si="31"/>
        <v>-</v>
      </c>
      <c r="O266" s="21" t="str">
        <f t="shared" si="32"/>
        <v>-</v>
      </c>
      <c r="P266" s="22" t="str">
        <f t="shared" si="34"/>
        <v>-</v>
      </c>
      <c r="R266" s="22" t="str">
        <f t="shared" si="33"/>
        <v>-</v>
      </c>
    </row>
    <row r="267" spans="1:18" ht="14.4" x14ac:dyDescent="0.25">
      <c r="A267" s="30">
        <v>97467043848</v>
      </c>
      <c r="B267" s="26">
        <v>4384</v>
      </c>
      <c r="C267" s="26" t="s">
        <v>540</v>
      </c>
      <c r="D267" s="31">
        <v>30</v>
      </c>
      <c r="E267" s="31">
        <v>3</v>
      </c>
      <c r="F267" s="38">
        <v>6.1289999999999997E-2</v>
      </c>
      <c r="G267" s="32" t="s">
        <v>535</v>
      </c>
      <c r="H267" s="33">
        <v>25.190399999999997</v>
      </c>
      <c r="I267" s="11"/>
      <c r="J267" s="33">
        <f t="shared" si="35"/>
        <v>0</v>
      </c>
      <c r="M267" s="20" t="str">
        <f t="shared" si="30"/>
        <v>-</v>
      </c>
      <c r="N267" s="20" t="str">
        <f t="shared" si="31"/>
        <v>-</v>
      </c>
      <c r="O267" s="21" t="str">
        <f t="shared" si="32"/>
        <v>-</v>
      </c>
      <c r="P267" s="22" t="str">
        <f t="shared" si="34"/>
        <v>-</v>
      </c>
      <c r="R267" s="22" t="str">
        <f t="shared" si="33"/>
        <v>-</v>
      </c>
    </row>
    <row r="268" spans="1:18" ht="14.4" x14ac:dyDescent="0.25">
      <c r="A268" s="30">
        <v>97467043855</v>
      </c>
      <c r="B268" s="26">
        <v>4385</v>
      </c>
      <c r="C268" s="26" t="s">
        <v>540</v>
      </c>
      <c r="D268" s="31">
        <v>60</v>
      </c>
      <c r="E268" s="31">
        <v>3</v>
      </c>
      <c r="F268" s="38">
        <v>8.7395E-2</v>
      </c>
      <c r="G268" s="32" t="s">
        <v>535</v>
      </c>
      <c r="H268" s="33">
        <v>44.562899999999999</v>
      </c>
      <c r="I268" s="11"/>
      <c r="J268" s="33">
        <f t="shared" si="35"/>
        <v>0</v>
      </c>
      <c r="M268" s="20" t="str">
        <f t="shared" si="30"/>
        <v>-</v>
      </c>
      <c r="N268" s="20" t="str">
        <f t="shared" si="31"/>
        <v>-</v>
      </c>
      <c r="O268" s="21" t="str">
        <f t="shared" si="32"/>
        <v>-</v>
      </c>
      <c r="P268" s="22" t="str">
        <f t="shared" si="34"/>
        <v>-</v>
      </c>
      <c r="R268" s="22" t="str">
        <f t="shared" si="33"/>
        <v>-</v>
      </c>
    </row>
    <row r="269" spans="1:18" ht="14.4" x14ac:dyDescent="0.25">
      <c r="A269" s="30">
        <v>97467043862</v>
      </c>
      <c r="B269" s="26">
        <v>4386</v>
      </c>
      <c r="C269" s="26" t="s">
        <v>323</v>
      </c>
      <c r="D269" s="31">
        <v>90</v>
      </c>
      <c r="E269" s="31">
        <v>3</v>
      </c>
      <c r="F269" s="38">
        <v>0.23835000000000001</v>
      </c>
      <c r="G269" s="32" t="s">
        <v>535</v>
      </c>
      <c r="H269" s="33">
        <v>18.302399999999999</v>
      </c>
      <c r="I269" s="11"/>
      <c r="J269" s="33">
        <f t="shared" si="35"/>
        <v>0</v>
      </c>
      <c r="M269" s="20" t="str">
        <f t="shared" si="30"/>
        <v>-</v>
      </c>
      <c r="N269" s="20" t="str">
        <f t="shared" si="31"/>
        <v>-</v>
      </c>
      <c r="O269" s="21" t="str">
        <f t="shared" si="32"/>
        <v>-</v>
      </c>
      <c r="P269" s="22" t="str">
        <f t="shared" si="34"/>
        <v>-</v>
      </c>
      <c r="R269" s="22" t="str">
        <f t="shared" si="33"/>
        <v>-</v>
      </c>
    </row>
    <row r="270" spans="1:18" ht="14.4" x14ac:dyDescent="0.25">
      <c r="A270" s="30">
        <v>97467438675</v>
      </c>
      <c r="B270" s="26">
        <v>43867</v>
      </c>
      <c r="C270" s="26" t="s">
        <v>324</v>
      </c>
      <c r="D270" s="31" t="s">
        <v>123</v>
      </c>
      <c r="E270" s="31">
        <v>3</v>
      </c>
      <c r="F270" s="38">
        <v>0.26785999999999999</v>
      </c>
      <c r="G270" s="32" t="s">
        <v>535</v>
      </c>
      <c r="H270" s="33">
        <v>25.645500000000002</v>
      </c>
      <c r="I270" s="11"/>
      <c r="J270" s="33">
        <f t="shared" si="35"/>
        <v>0</v>
      </c>
      <c r="M270" s="20" t="str">
        <f t="shared" si="30"/>
        <v>-</v>
      </c>
      <c r="N270" s="20" t="str">
        <f t="shared" si="31"/>
        <v>-</v>
      </c>
      <c r="O270" s="21" t="str">
        <f t="shared" si="32"/>
        <v>-</v>
      </c>
      <c r="P270" s="22" t="str">
        <f t="shared" si="34"/>
        <v>-</v>
      </c>
      <c r="R270" s="22" t="str">
        <f t="shared" si="33"/>
        <v>-</v>
      </c>
    </row>
    <row r="271" spans="1:18" ht="14.4" x14ac:dyDescent="0.25">
      <c r="A271" s="30">
        <v>97467439023</v>
      </c>
      <c r="B271" s="26">
        <v>43902</v>
      </c>
      <c r="C271" s="26" t="s">
        <v>325</v>
      </c>
      <c r="D271" s="31">
        <v>30</v>
      </c>
      <c r="E271" s="31">
        <v>3</v>
      </c>
      <c r="F271" s="38">
        <v>9.4205000000000011E-2</v>
      </c>
      <c r="G271" s="32" t="s">
        <v>535</v>
      </c>
      <c r="H271" s="33">
        <v>32.570399999999999</v>
      </c>
      <c r="I271" s="11"/>
      <c r="J271" s="33">
        <f t="shared" si="35"/>
        <v>0</v>
      </c>
      <c r="M271" s="20" t="str">
        <f t="shared" si="30"/>
        <v>-</v>
      </c>
      <c r="N271" s="20" t="str">
        <f t="shared" si="31"/>
        <v>-</v>
      </c>
      <c r="O271" s="21" t="str">
        <f t="shared" si="32"/>
        <v>-</v>
      </c>
      <c r="P271" s="22" t="str">
        <f t="shared" si="34"/>
        <v>-</v>
      </c>
      <c r="R271" s="22" t="str">
        <f t="shared" si="33"/>
        <v>-</v>
      </c>
    </row>
    <row r="272" spans="1:18" ht="14.4" x14ac:dyDescent="0.25">
      <c r="A272" s="30">
        <v>97467439047</v>
      </c>
      <c r="B272" s="26">
        <v>43904</v>
      </c>
      <c r="C272" s="26" t="s">
        <v>326</v>
      </c>
      <c r="D272" s="31">
        <v>30</v>
      </c>
      <c r="E272" s="31">
        <v>3</v>
      </c>
      <c r="F272" s="38">
        <v>9.4205000000000011E-2</v>
      </c>
      <c r="G272" s="32" t="s">
        <v>535</v>
      </c>
      <c r="H272" s="33">
        <v>25.190399999999997</v>
      </c>
      <c r="I272" s="11"/>
      <c r="J272" s="33">
        <f t="shared" si="35"/>
        <v>0</v>
      </c>
      <c r="M272" s="20" t="str">
        <f t="shared" si="30"/>
        <v>-</v>
      </c>
      <c r="N272" s="20" t="str">
        <f t="shared" si="31"/>
        <v>-</v>
      </c>
      <c r="O272" s="21" t="str">
        <f t="shared" si="32"/>
        <v>-</v>
      </c>
      <c r="P272" s="22" t="str">
        <f t="shared" si="34"/>
        <v>-</v>
      </c>
      <c r="R272" s="22" t="str">
        <f t="shared" si="33"/>
        <v>-</v>
      </c>
    </row>
    <row r="273" spans="1:18" ht="14.4" x14ac:dyDescent="0.25">
      <c r="A273" s="30">
        <v>97467439061</v>
      </c>
      <c r="B273" s="26">
        <v>43906</v>
      </c>
      <c r="C273" s="26" t="s">
        <v>327</v>
      </c>
      <c r="D273" s="31">
        <v>30</v>
      </c>
      <c r="E273" s="31">
        <v>3</v>
      </c>
      <c r="F273" s="38">
        <v>9.4205000000000011E-2</v>
      </c>
      <c r="G273" s="32" t="s">
        <v>535</v>
      </c>
      <c r="H273" s="33">
        <v>25.190399999999997</v>
      </c>
      <c r="I273" s="11"/>
      <c r="J273" s="33">
        <f t="shared" si="35"/>
        <v>0</v>
      </c>
      <c r="M273" s="20" t="str">
        <f t="shared" si="30"/>
        <v>-</v>
      </c>
      <c r="N273" s="20" t="str">
        <f t="shared" si="31"/>
        <v>-</v>
      </c>
      <c r="O273" s="21" t="str">
        <f t="shared" si="32"/>
        <v>-</v>
      </c>
      <c r="P273" s="22" t="str">
        <f t="shared" si="34"/>
        <v>-</v>
      </c>
      <c r="R273" s="22" t="str">
        <f t="shared" si="33"/>
        <v>-</v>
      </c>
    </row>
    <row r="274" spans="1:18" ht="14.4" x14ac:dyDescent="0.25">
      <c r="A274" s="30">
        <v>97467044005</v>
      </c>
      <c r="B274" s="26">
        <v>4400</v>
      </c>
      <c r="C274" s="26" t="s">
        <v>330</v>
      </c>
      <c r="D274" s="31">
        <v>180</v>
      </c>
      <c r="E274" s="31">
        <v>3</v>
      </c>
      <c r="F274" s="38">
        <v>0.15095500000000001</v>
      </c>
      <c r="G274" s="32" t="s">
        <v>535</v>
      </c>
      <c r="H274" s="33">
        <v>10.1229</v>
      </c>
      <c r="I274" s="11"/>
      <c r="J274" s="33">
        <f t="shared" si="35"/>
        <v>0</v>
      </c>
      <c r="M274" s="20" t="str">
        <f t="shared" si="30"/>
        <v>-</v>
      </c>
      <c r="N274" s="20" t="str">
        <f t="shared" si="31"/>
        <v>-</v>
      </c>
      <c r="O274" s="21" t="str">
        <f t="shared" si="32"/>
        <v>-</v>
      </c>
      <c r="P274" s="22" t="str">
        <f t="shared" si="34"/>
        <v>-</v>
      </c>
      <c r="R274" s="22" t="str">
        <f t="shared" si="33"/>
        <v>-</v>
      </c>
    </row>
    <row r="275" spans="1:18" ht="14.4" x14ac:dyDescent="0.25">
      <c r="A275" s="30">
        <v>97467044067</v>
      </c>
      <c r="B275" s="26">
        <v>4406</v>
      </c>
      <c r="C275" s="26" t="s">
        <v>331</v>
      </c>
      <c r="D275" s="31">
        <v>60</v>
      </c>
      <c r="E275" s="31">
        <v>3</v>
      </c>
      <c r="F275" s="38">
        <v>0.15436000000000002</v>
      </c>
      <c r="G275" s="32" t="s">
        <v>535</v>
      </c>
      <c r="H275" s="33">
        <v>27.035399999999996</v>
      </c>
      <c r="I275" s="11"/>
      <c r="J275" s="33">
        <f t="shared" si="35"/>
        <v>0</v>
      </c>
      <c r="M275" s="20" t="str">
        <f t="shared" si="30"/>
        <v>-</v>
      </c>
      <c r="N275" s="20" t="str">
        <f t="shared" si="31"/>
        <v>-</v>
      </c>
      <c r="O275" s="21" t="str">
        <f t="shared" si="32"/>
        <v>-</v>
      </c>
      <c r="P275" s="22" t="str">
        <f t="shared" si="34"/>
        <v>-</v>
      </c>
      <c r="R275" s="22" t="str">
        <f t="shared" si="33"/>
        <v>-</v>
      </c>
    </row>
    <row r="276" spans="1:18" ht="14.4" x14ac:dyDescent="0.25">
      <c r="A276" s="30">
        <v>97467044081</v>
      </c>
      <c r="B276" s="26">
        <v>4408</v>
      </c>
      <c r="C276" s="26" t="s">
        <v>332</v>
      </c>
      <c r="D276" s="31">
        <v>60</v>
      </c>
      <c r="E276" s="31">
        <v>3</v>
      </c>
      <c r="F276" s="38">
        <v>0.116905</v>
      </c>
      <c r="G276" s="32" t="s">
        <v>535</v>
      </c>
      <c r="H276" s="33">
        <v>18.117899999999999</v>
      </c>
      <c r="I276" s="11"/>
      <c r="J276" s="33">
        <f t="shared" si="35"/>
        <v>0</v>
      </c>
      <c r="M276" s="20" t="str">
        <f t="shared" si="30"/>
        <v>-</v>
      </c>
      <c r="N276" s="20" t="str">
        <f t="shared" si="31"/>
        <v>-</v>
      </c>
      <c r="O276" s="21" t="str">
        <f t="shared" si="32"/>
        <v>-</v>
      </c>
      <c r="P276" s="22" t="str">
        <f t="shared" si="34"/>
        <v>-</v>
      </c>
      <c r="R276" s="22" t="str">
        <f t="shared" si="33"/>
        <v>-</v>
      </c>
    </row>
    <row r="277" spans="1:18" ht="14.4" x14ac:dyDescent="0.25">
      <c r="A277" s="30">
        <v>97467044098</v>
      </c>
      <c r="B277" s="26">
        <v>4409</v>
      </c>
      <c r="C277" s="26" t="s">
        <v>332</v>
      </c>
      <c r="D277" s="31">
        <v>90</v>
      </c>
      <c r="E277" s="31">
        <v>3</v>
      </c>
      <c r="F277" s="38">
        <v>0.17252000000000001</v>
      </c>
      <c r="G277" s="32" t="s">
        <v>535</v>
      </c>
      <c r="H277" s="33">
        <v>25.805399999999999</v>
      </c>
      <c r="I277" s="11"/>
      <c r="J277" s="33">
        <f t="shared" si="35"/>
        <v>0</v>
      </c>
      <c r="M277" s="20" t="str">
        <f t="shared" si="30"/>
        <v>-</v>
      </c>
      <c r="N277" s="20" t="str">
        <f t="shared" si="31"/>
        <v>-</v>
      </c>
      <c r="O277" s="21" t="str">
        <f t="shared" si="32"/>
        <v>-</v>
      </c>
      <c r="P277" s="22" t="str">
        <f t="shared" si="34"/>
        <v>-</v>
      </c>
      <c r="R277" s="22" t="str">
        <f t="shared" si="33"/>
        <v>-</v>
      </c>
    </row>
    <row r="278" spans="1:18" ht="14.4" x14ac:dyDescent="0.25">
      <c r="A278" s="30">
        <v>97467044319</v>
      </c>
      <c r="B278" s="26">
        <v>4431</v>
      </c>
      <c r="C278" s="26" t="s">
        <v>333</v>
      </c>
      <c r="D278" s="31">
        <v>60</v>
      </c>
      <c r="E278" s="31">
        <v>3</v>
      </c>
      <c r="F278" s="38">
        <v>6.1289999999999997E-2</v>
      </c>
      <c r="G278" s="32" t="s">
        <v>535</v>
      </c>
      <c r="H278" s="33">
        <v>12.275400000000001</v>
      </c>
      <c r="I278" s="11"/>
      <c r="J278" s="33">
        <f t="shared" si="35"/>
        <v>0</v>
      </c>
      <c r="M278" s="20" t="str">
        <f t="shared" si="30"/>
        <v>-</v>
      </c>
      <c r="N278" s="20" t="str">
        <f t="shared" si="31"/>
        <v>-</v>
      </c>
      <c r="O278" s="21" t="str">
        <f t="shared" si="32"/>
        <v>-</v>
      </c>
      <c r="P278" s="22" t="str">
        <f t="shared" si="34"/>
        <v>-</v>
      </c>
      <c r="R278" s="22" t="str">
        <f t="shared" si="33"/>
        <v>-</v>
      </c>
    </row>
    <row r="279" spans="1:18" ht="14.4" hidden="1" x14ac:dyDescent="0.25">
      <c r="A279" s="30">
        <v>807205116365</v>
      </c>
      <c r="B279" s="26" t="s">
        <v>153</v>
      </c>
      <c r="C279" s="26" t="s">
        <v>334</v>
      </c>
      <c r="D279" s="31">
        <v>90</v>
      </c>
      <c r="E279" s="31">
        <v>3</v>
      </c>
      <c r="F279" s="38"/>
      <c r="G279" s="32" t="s">
        <v>535</v>
      </c>
      <c r="H279" s="33">
        <v>8.61</v>
      </c>
      <c r="I279" s="11"/>
      <c r="J279" s="33">
        <f t="shared" si="35"/>
        <v>0</v>
      </c>
      <c r="M279" s="20" t="str">
        <f t="shared" si="30"/>
        <v>-</v>
      </c>
      <c r="N279" s="20" t="str">
        <f t="shared" si="31"/>
        <v>-</v>
      </c>
      <c r="O279" s="21" t="str">
        <f t="shared" si="32"/>
        <v>-</v>
      </c>
      <c r="P279" s="22" t="str">
        <f t="shared" si="34"/>
        <v>-</v>
      </c>
      <c r="R279" s="22" t="str">
        <f t="shared" si="33"/>
        <v>-</v>
      </c>
    </row>
    <row r="280" spans="1:18" ht="14.4" x14ac:dyDescent="0.25">
      <c r="A280" s="30">
        <v>97467037236</v>
      </c>
      <c r="B280" s="26">
        <v>3723</v>
      </c>
      <c r="C280" s="26" t="s">
        <v>335</v>
      </c>
      <c r="D280" s="31">
        <v>90</v>
      </c>
      <c r="E280" s="31">
        <v>3</v>
      </c>
      <c r="F280" s="38">
        <v>0.18160000000000001</v>
      </c>
      <c r="G280" s="32" t="s">
        <v>535</v>
      </c>
      <c r="H280" s="33">
        <v>26.420399999999997</v>
      </c>
      <c r="I280" s="11"/>
      <c r="J280" s="33">
        <f t="shared" si="35"/>
        <v>0</v>
      </c>
      <c r="M280" s="20" t="str">
        <f t="shared" si="30"/>
        <v>-</v>
      </c>
      <c r="N280" s="20" t="str">
        <f t="shared" si="31"/>
        <v>-</v>
      </c>
      <c r="O280" s="21" t="str">
        <f t="shared" si="32"/>
        <v>-</v>
      </c>
      <c r="P280" s="22" t="str">
        <f t="shared" si="34"/>
        <v>-</v>
      </c>
      <c r="R280" s="22" t="str">
        <f t="shared" si="33"/>
        <v>-</v>
      </c>
    </row>
    <row r="281" spans="1:18" ht="14.4" x14ac:dyDescent="0.25">
      <c r="A281" s="30">
        <v>97467044401</v>
      </c>
      <c r="B281" s="26">
        <v>4440</v>
      </c>
      <c r="C281" s="26" t="s">
        <v>340</v>
      </c>
      <c r="D281" s="31">
        <v>50</v>
      </c>
      <c r="E281" s="31">
        <v>3</v>
      </c>
      <c r="F281" s="38">
        <v>8.058499999999999E-2</v>
      </c>
      <c r="G281" s="32" t="s">
        <v>535</v>
      </c>
      <c r="H281" s="33">
        <v>12.275400000000001</v>
      </c>
      <c r="I281" s="11"/>
      <c r="J281" s="33">
        <f t="shared" si="35"/>
        <v>0</v>
      </c>
      <c r="M281" s="20" t="str">
        <f t="shared" si="30"/>
        <v>-</v>
      </c>
      <c r="N281" s="20" t="str">
        <f t="shared" si="31"/>
        <v>-</v>
      </c>
      <c r="O281" s="21" t="str">
        <f t="shared" si="32"/>
        <v>-</v>
      </c>
      <c r="P281" s="22" t="str">
        <f t="shared" si="34"/>
        <v>-</v>
      </c>
      <c r="R281" s="22" t="str">
        <f t="shared" si="33"/>
        <v>-</v>
      </c>
    </row>
    <row r="282" spans="1:18" ht="14.4" x14ac:dyDescent="0.25">
      <c r="A282" s="30">
        <v>97467044524</v>
      </c>
      <c r="B282" s="26">
        <v>4452</v>
      </c>
      <c r="C282" s="26" t="s">
        <v>341</v>
      </c>
      <c r="D282" s="31">
        <v>90</v>
      </c>
      <c r="E282" s="31">
        <v>3</v>
      </c>
      <c r="F282" s="38">
        <v>0.130525</v>
      </c>
      <c r="G282" s="32" t="s">
        <v>535</v>
      </c>
      <c r="H282" s="33">
        <v>14.735399999999998</v>
      </c>
      <c r="I282" s="11"/>
      <c r="J282" s="33">
        <f t="shared" si="35"/>
        <v>0</v>
      </c>
      <c r="M282" s="20" t="str">
        <f t="shared" si="30"/>
        <v>-</v>
      </c>
      <c r="N282" s="20" t="str">
        <f t="shared" si="31"/>
        <v>-</v>
      </c>
      <c r="O282" s="21" t="str">
        <f t="shared" si="32"/>
        <v>-</v>
      </c>
      <c r="P282" s="22" t="str">
        <f t="shared" si="34"/>
        <v>-</v>
      </c>
      <c r="R282" s="22" t="str">
        <f t="shared" si="33"/>
        <v>-</v>
      </c>
    </row>
    <row r="283" spans="1:18" ht="14.4" x14ac:dyDescent="0.25">
      <c r="A283" s="30">
        <v>97467044531</v>
      </c>
      <c r="B283" s="26">
        <v>4453</v>
      </c>
      <c r="C283" s="26" t="s">
        <v>341</v>
      </c>
      <c r="D283" s="31">
        <v>180</v>
      </c>
      <c r="E283" s="31">
        <v>3</v>
      </c>
      <c r="F283" s="38">
        <v>0.24629500000000001</v>
      </c>
      <c r="G283" s="32" t="s">
        <v>535</v>
      </c>
      <c r="H283" s="33">
        <v>27.035399999999996</v>
      </c>
      <c r="I283" s="11"/>
      <c r="J283" s="33">
        <f t="shared" si="35"/>
        <v>0</v>
      </c>
      <c r="M283" s="20" t="str">
        <f t="shared" si="30"/>
        <v>-</v>
      </c>
      <c r="N283" s="20" t="str">
        <f t="shared" si="31"/>
        <v>-</v>
      </c>
      <c r="O283" s="21" t="str">
        <f t="shared" si="32"/>
        <v>-</v>
      </c>
      <c r="P283" s="22" t="str">
        <f t="shared" si="34"/>
        <v>-</v>
      </c>
      <c r="R283" s="22" t="str">
        <f t="shared" si="33"/>
        <v>-</v>
      </c>
    </row>
    <row r="284" spans="1:18" ht="14.4" x14ac:dyDescent="0.25">
      <c r="A284" s="30">
        <v>97467044548</v>
      </c>
      <c r="B284" s="26">
        <v>4454</v>
      </c>
      <c r="C284" s="26" t="s">
        <v>342</v>
      </c>
      <c r="D284" s="31">
        <v>90</v>
      </c>
      <c r="E284" s="31">
        <v>3</v>
      </c>
      <c r="F284" s="38">
        <v>9.8744999999999999E-2</v>
      </c>
      <c r="G284" s="32" t="s">
        <v>535</v>
      </c>
      <c r="H284" s="33">
        <v>17.195399999999999</v>
      </c>
      <c r="I284" s="11"/>
      <c r="J284" s="33">
        <f t="shared" si="35"/>
        <v>0</v>
      </c>
      <c r="M284" s="20" t="str">
        <f t="shared" si="30"/>
        <v>-</v>
      </c>
      <c r="N284" s="20" t="str">
        <f t="shared" si="31"/>
        <v>-</v>
      </c>
      <c r="O284" s="21" t="str">
        <f t="shared" si="32"/>
        <v>-</v>
      </c>
      <c r="P284" s="22" t="str">
        <f t="shared" si="34"/>
        <v>-</v>
      </c>
      <c r="R284" s="22" t="str">
        <f t="shared" si="33"/>
        <v>-</v>
      </c>
    </row>
    <row r="285" spans="1:18" ht="14.4" x14ac:dyDescent="0.25">
      <c r="A285" s="30">
        <v>97467445413</v>
      </c>
      <c r="B285" s="26">
        <v>44541</v>
      </c>
      <c r="C285" s="26" t="s">
        <v>343</v>
      </c>
      <c r="D285" s="31">
        <v>180</v>
      </c>
      <c r="E285" s="31">
        <v>3</v>
      </c>
      <c r="F285" s="38">
        <v>0.17138500000000001</v>
      </c>
      <c r="G285" s="32" t="s">
        <v>535</v>
      </c>
      <c r="H285" s="33">
        <v>30.7254</v>
      </c>
      <c r="I285" s="11"/>
      <c r="J285" s="33">
        <f t="shared" si="35"/>
        <v>0</v>
      </c>
      <c r="M285" s="20" t="str">
        <f t="shared" si="30"/>
        <v>-</v>
      </c>
      <c r="N285" s="20" t="str">
        <f t="shared" si="31"/>
        <v>-</v>
      </c>
      <c r="O285" s="21" t="str">
        <f t="shared" si="32"/>
        <v>-</v>
      </c>
      <c r="P285" s="22" t="str">
        <f t="shared" si="34"/>
        <v>-</v>
      </c>
      <c r="R285" s="22" t="str">
        <f t="shared" si="33"/>
        <v>-</v>
      </c>
    </row>
    <row r="286" spans="1:18" ht="14.4" x14ac:dyDescent="0.25">
      <c r="A286" s="30">
        <v>97467044555</v>
      </c>
      <c r="B286" s="26">
        <v>4455</v>
      </c>
      <c r="C286" s="26" t="s">
        <v>344</v>
      </c>
      <c r="D286" s="31">
        <v>90</v>
      </c>
      <c r="E286" s="31">
        <v>3</v>
      </c>
      <c r="F286" s="38">
        <v>0.18387000000000001</v>
      </c>
      <c r="G286" s="32" t="s">
        <v>535</v>
      </c>
      <c r="H286" s="33">
        <v>8.8929000000000009</v>
      </c>
      <c r="I286" s="11"/>
      <c r="J286" s="33">
        <f t="shared" si="35"/>
        <v>0</v>
      </c>
      <c r="M286" s="20" t="str">
        <f t="shared" si="30"/>
        <v>-</v>
      </c>
      <c r="N286" s="20" t="str">
        <f t="shared" si="31"/>
        <v>-</v>
      </c>
      <c r="O286" s="21" t="str">
        <f t="shared" si="32"/>
        <v>-</v>
      </c>
      <c r="P286" s="22" t="str">
        <f t="shared" si="34"/>
        <v>-</v>
      </c>
      <c r="R286" s="22" t="str">
        <f t="shared" si="33"/>
        <v>-</v>
      </c>
    </row>
    <row r="287" spans="1:18" ht="14.4" x14ac:dyDescent="0.25">
      <c r="A287" s="30">
        <v>97467044586</v>
      </c>
      <c r="B287" s="26">
        <v>4458</v>
      </c>
      <c r="C287" s="26" t="s">
        <v>345</v>
      </c>
      <c r="D287" s="31">
        <v>180</v>
      </c>
      <c r="E287" s="31">
        <v>3</v>
      </c>
      <c r="F287" s="38">
        <v>0.16344</v>
      </c>
      <c r="G287" s="32" t="s">
        <v>535</v>
      </c>
      <c r="H287" s="33">
        <v>26.1129</v>
      </c>
      <c r="I287" s="11"/>
      <c r="J287" s="33">
        <f t="shared" si="35"/>
        <v>0</v>
      </c>
      <c r="M287" s="20" t="str">
        <f t="shared" si="30"/>
        <v>-</v>
      </c>
      <c r="N287" s="20" t="str">
        <f t="shared" si="31"/>
        <v>-</v>
      </c>
      <c r="O287" s="21" t="str">
        <f t="shared" si="32"/>
        <v>-</v>
      </c>
      <c r="P287" s="22" t="str">
        <f t="shared" si="34"/>
        <v>-</v>
      </c>
      <c r="R287" s="22" t="str">
        <f t="shared" si="33"/>
        <v>-</v>
      </c>
    </row>
    <row r="288" spans="1:18" ht="14.4" x14ac:dyDescent="0.25">
      <c r="A288" s="30">
        <v>97467044807</v>
      </c>
      <c r="B288" s="26">
        <v>4480</v>
      </c>
      <c r="C288" s="26" t="s">
        <v>347</v>
      </c>
      <c r="D288" s="31">
        <v>90</v>
      </c>
      <c r="E288" s="31">
        <v>3</v>
      </c>
      <c r="F288" s="38">
        <v>7.9450000000000007E-2</v>
      </c>
      <c r="G288" s="32" t="s">
        <v>535</v>
      </c>
      <c r="H288" s="33">
        <v>8.5853999999999999</v>
      </c>
      <c r="I288" s="11"/>
      <c r="J288" s="33">
        <f t="shared" si="35"/>
        <v>0</v>
      </c>
      <c r="M288" s="20" t="str">
        <f t="shared" si="30"/>
        <v>-</v>
      </c>
      <c r="N288" s="20" t="str">
        <f t="shared" si="31"/>
        <v>-</v>
      </c>
      <c r="O288" s="21" t="str">
        <f t="shared" si="32"/>
        <v>-</v>
      </c>
      <c r="P288" s="22" t="str">
        <f t="shared" si="34"/>
        <v>-</v>
      </c>
      <c r="R288" s="22" t="str">
        <f t="shared" si="33"/>
        <v>-</v>
      </c>
    </row>
    <row r="289" spans="1:18" ht="14.4" x14ac:dyDescent="0.25">
      <c r="A289" s="30">
        <v>97467045002</v>
      </c>
      <c r="B289" s="26">
        <v>4500</v>
      </c>
      <c r="C289" s="26" t="s">
        <v>348</v>
      </c>
      <c r="D289" s="31">
        <v>180</v>
      </c>
      <c r="E289" s="31">
        <v>3</v>
      </c>
      <c r="F289" s="38">
        <v>0.31780000000000003</v>
      </c>
      <c r="G289" s="32" t="s">
        <v>535</v>
      </c>
      <c r="H289" s="33">
        <v>15.350399999999999</v>
      </c>
      <c r="I289" s="11"/>
      <c r="J289" s="33">
        <f t="shared" si="35"/>
        <v>0</v>
      </c>
      <c r="M289" s="20" t="str">
        <f t="shared" si="30"/>
        <v>-</v>
      </c>
      <c r="N289" s="20" t="str">
        <f t="shared" si="31"/>
        <v>-</v>
      </c>
      <c r="O289" s="21" t="str">
        <f t="shared" si="32"/>
        <v>-</v>
      </c>
      <c r="P289" s="22" t="str">
        <f t="shared" si="34"/>
        <v>-</v>
      </c>
      <c r="R289" s="22" t="str">
        <f t="shared" si="33"/>
        <v>-</v>
      </c>
    </row>
    <row r="290" spans="1:18" ht="14.4" x14ac:dyDescent="0.25">
      <c r="A290" s="30">
        <v>97467487116</v>
      </c>
      <c r="B290" s="26">
        <v>48711</v>
      </c>
      <c r="C290" s="26" t="s">
        <v>349</v>
      </c>
      <c r="D290" s="31" t="s">
        <v>92</v>
      </c>
      <c r="E290" s="31">
        <v>3</v>
      </c>
      <c r="F290" s="38">
        <v>1.32795</v>
      </c>
      <c r="G290" s="32" t="s">
        <v>535</v>
      </c>
      <c r="H290" s="33">
        <v>33.911099999999998</v>
      </c>
      <c r="I290" s="11"/>
      <c r="J290" s="33">
        <f t="shared" si="35"/>
        <v>0</v>
      </c>
      <c r="M290" s="20" t="str">
        <f t="shared" si="30"/>
        <v>-</v>
      </c>
      <c r="N290" s="20" t="str">
        <f t="shared" si="31"/>
        <v>-</v>
      </c>
      <c r="O290" s="21" t="str">
        <f t="shared" si="32"/>
        <v>-</v>
      </c>
      <c r="P290" s="22" t="str">
        <f t="shared" si="34"/>
        <v>-</v>
      </c>
      <c r="R290" s="22" t="str">
        <f t="shared" si="33"/>
        <v>-</v>
      </c>
    </row>
    <row r="291" spans="1:18" ht="14.4" x14ac:dyDescent="0.25">
      <c r="A291" s="30">
        <v>97467487154</v>
      </c>
      <c r="B291" s="26">
        <v>48715</v>
      </c>
      <c r="C291" s="26" t="s">
        <v>349</v>
      </c>
      <c r="D291" s="31" t="s">
        <v>93</v>
      </c>
      <c r="E291" s="31">
        <v>3</v>
      </c>
      <c r="F291" s="38">
        <v>0.350715</v>
      </c>
      <c r="G291" s="32" t="s">
        <v>535</v>
      </c>
      <c r="H291" s="33">
        <v>10.8855</v>
      </c>
      <c r="I291" s="11"/>
      <c r="J291" s="33">
        <f t="shared" si="35"/>
        <v>0</v>
      </c>
      <c r="M291" s="20" t="str">
        <f t="shared" si="30"/>
        <v>-</v>
      </c>
      <c r="N291" s="20" t="str">
        <f t="shared" si="31"/>
        <v>-</v>
      </c>
      <c r="O291" s="21" t="str">
        <f t="shared" si="32"/>
        <v>-</v>
      </c>
      <c r="P291" s="22" t="str">
        <f t="shared" si="34"/>
        <v>-</v>
      </c>
      <c r="R291" s="22" t="str">
        <f t="shared" si="33"/>
        <v>-</v>
      </c>
    </row>
    <row r="292" spans="1:18" ht="14.4" x14ac:dyDescent="0.25">
      <c r="A292" s="30">
        <v>97467487161</v>
      </c>
      <c r="B292" s="26">
        <v>48716</v>
      </c>
      <c r="C292" s="26" t="s">
        <v>350</v>
      </c>
      <c r="D292" s="31">
        <v>60</v>
      </c>
      <c r="E292" s="31">
        <v>3</v>
      </c>
      <c r="F292" s="38">
        <v>0.20202999999999999</v>
      </c>
      <c r="G292" s="32" t="s">
        <v>535</v>
      </c>
      <c r="H292" s="33">
        <v>28.757399999999997</v>
      </c>
      <c r="I292" s="11"/>
      <c r="J292" s="33">
        <f t="shared" si="35"/>
        <v>0</v>
      </c>
      <c r="M292" s="20" t="str">
        <f t="shared" si="30"/>
        <v>-</v>
      </c>
      <c r="N292" s="20" t="str">
        <f t="shared" si="31"/>
        <v>-</v>
      </c>
      <c r="O292" s="21" t="str">
        <f t="shared" si="32"/>
        <v>-</v>
      </c>
      <c r="P292" s="22" t="str">
        <f t="shared" si="34"/>
        <v>-</v>
      </c>
      <c r="R292" s="22" t="str">
        <f t="shared" si="33"/>
        <v>-</v>
      </c>
    </row>
    <row r="293" spans="1:18" ht="14.4" x14ac:dyDescent="0.25">
      <c r="A293" s="30">
        <v>97467487185</v>
      </c>
      <c r="B293" s="26">
        <v>48718</v>
      </c>
      <c r="C293" s="26" t="s">
        <v>351</v>
      </c>
      <c r="D293" s="31">
        <v>60</v>
      </c>
      <c r="E293" s="31">
        <v>3</v>
      </c>
      <c r="F293" s="38">
        <v>0.11577</v>
      </c>
      <c r="G293" s="32" t="s">
        <v>535</v>
      </c>
      <c r="H293" s="33">
        <v>28.572900000000001</v>
      </c>
      <c r="I293" s="11"/>
      <c r="J293" s="33">
        <f t="shared" si="35"/>
        <v>0</v>
      </c>
      <c r="M293" s="20" t="str">
        <f t="shared" si="30"/>
        <v>-</v>
      </c>
      <c r="N293" s="20" t="str">
        <f t="shared" si="31"/>
        <v>-</v>
      </c>
      <c r="O293" s="21" t="str">
        <f t="shared" si="32"/>
        <v>-</v>
      </c>
      <c r="P293" s="22" t="str">
        <f t="shared" si="34"/>
        <v>-</v>
      </c>
      <c r="R293" s="22" t="str">
        <f t="shared" si="33"/>
        <v>-</v>
      </c>
    </row>
    <row r="294" spans="1:18" ht="14.4" x14ac:dyDescent="0.25">
      <c r="A294" s="30">
        <v>97467487192</v>
      </c>
      <c r="B294" s="26">
        <v>48719</v>
      </c>
      <c r="C294" s="26" t="s">
        <v>352</v>
      </c>
      <c r="D294" s="31">
        <v>90</v>
      </c>
      <c r="E294" s="31">
        <v>3</v>
      </c>
      <c r="F294" s="38">
        <v>0.15776500000000002</v>
      </c>
      <c r="G294" s="32" t="s">
        <v>535</v>
      </c>
      <c r="H294" s="33">
        <v>42.9024</v>
      </c>
      <c r="I294" s="11"/>
      <c r="J294" s="33">
        <f t="shared" si="35"/>
        <v>0</v>
      </c>
      <c r="M294" s="20" t="str">
        <f t="shared" si="30"/>
        <v>-</v>
      </c>
      <c r="N294" s="20" t="str">
        <f t="shared" si="31"/>
        <v>-</v>
      </c>
      <c r="O294" s="21" t="str">
        <f t="shared" si="32"/>
        <v>-</v>
      </c>
      <c r="P294" s="22" t="str">
        <f t="shared" si="34"/>
        <v>-</v>
      </c>
      <c r="R294" s="22" t="str">
        <f t="shared" si="33"/>
        <v>-</v>
      </c>
    </row>
    <row r="295" spans="1:18" ht="14.4" x14ac:dyDescent="0.25">
      <c r="A295" s="30">
        <v>97467487208</v>
      </c>
      <c r="B295" s="26">
        <v>48720</v>
      </c>
      <c r="C295" s="26" t="s">
        <v>353</v>
      </c>
      <c r="D295" s="31">
        <v>90</v>
      </c>
      <c r="E295" s="31">
        <v>3</v>
      </c>
      <c r="F295" s="38">
        <v>0.27466999999999997</v>
      </c>
      <c r="G295" s="32" t="s">
        <v>535</v>
      </c>
      <c r="H295" s="33">
        <v>55.202399999999997</v>
      </c>
      <c r="I295" s="11"/>
      <c r="J295" s="33">
        <f t="shared" si="35"/>
        <v>0</v>
      </c>
      <c r="M295" s="20" t="str">
        <f t="shared" si="30"/>
        <v>-</v>
      </c>
      <c r="N295" s="20" t="str">
        <f t="shared" si="31"/>
        <v>-</v>
      </c>
      <c r="O295" s="21" t="str">
        <f t="shared" si="32"/>
        <v>-</v>
      </c>
      <c r="P295" s="22" t="str">
        <f t="shared" si="34"/>
        <v>-</v>
      </c>
      <c r="R295" s="22" t="str">
        <f t="shared" si="33"/>
        <v>-</v>
      </c>
    </row>
    <row r="296" spans="1:18" ht="14.4" x14ac:dyDescent="0.25">
      <c r="A296" s="30">
        <v>97467487260</v>
      </c>
      <c r="B296" s="26">
        <v>48726</v>
      </c>
      <c r="C296" s="26" t="s">
        <v>354</v>
      </c>
      <c r="D296" s="31">
        <v>60</v>
      </c>
      <c r="E296" s="31">
        <v>3</v>
      </c>
      <c r="F296" s="38">
        <v>0.10101499999999999</v>
      </c>
      <c r="G296" s="32" t="s">
        <v>535</v>
      </c>
      <c r="H296" s="33">
        <v>16.887899999999998</v>
      </c>
      <c r="I296" s="11"/>
      <c r="J296" s="33">
        <f t="shared" si="35"/>
        <v>0</v>
      </c>
      <c r="M296" s="20" t="str">
        <f t="shared" si="30"/>
        <v>-</v>
      </c>
      <c r="N296" s="20" t="str">
        <f t="shared" si="31"/>
        <v>-</v>
      </c>
      <c r="O296" s="21" t="str">
        <f t="shared" si="32"/>
        <v>-</v>
      </c>
      <c r="P296" s="22" t="str">
        <f t="shared" si="34"/>
        <v>-</v>
      </c>
      <c r="R296" s="22" t="str">
        <f t="shared" si="33"/>
        <v>-</v>
      </c>
    </row>
    <row r="297" spans="1:18" ht="14.4" x14ac:dyDescent="0.25">
      <c r="A297" s="30">
        <v>97467487277</v>
      </c>
      <c r="B297" s="26">
        <v>48727</v>
      </c>
      <c r="C297" s="26" t="s">
        <v>355</v>
      </c>
      <c r="D297" s="31">
        <v>60</v>
      </c>
      <c r="E297" s="31">
        <v>3</v>
      </c>
      <c r="F297" s="38">
        <v>0.10101499999999999</v>
      </c>
      <c r="G297" s="32" t="s">
        <v>535</v>
      </c>
      <c r="H297" s="33">
        <v>16.887899999999998</v>
      </c>
      <c r="I297" s="11"/>
      <c r="J297" s="33">
        <f t="shared" si="35"/>
        <v>0</v>
      </c>
      <c r="M297" s="20" t="str">
        <f t="shared" si="30"/>
        <v>-</v>
      </c>
      <c r="N297" s="20" t="str">
        <f t="shared" si="31"/>
        <v>-</v>
      </c>
      <c r="O297" s="21" t="str">
        <f t="shared" si="32"/>
        <v>-</v>
      </c>
      <c r="P297" s="22" t="str">
        <f t="shared" si="34"/>
        <v>-</v>
      </c>
      <c r="R297" s="22" t="str">
        <f t="shared" si="33"/>
        <v>-</v>
      </c>
    </row>
    <row r="298" spans="1:18" ht="14.4" x14ac:dyDescent="0.25">
      <c r="A298" s="30">
        <v>97467048720</v>
      </c>
      <c r="B298" s="26">
        <v>4872</v>
      </c>
      <c r="C298" s="26" t="s">
        <v>356</v>
      </c>
      <c r="D298" s="31">
        <v>60</v>
      </c>
      <c r="E298" s="31">
        <v>3</v>
      </c>
      <c r="F298" s="38">
        <v>0.10101499999999999</v>
      </c>
      <c r="G298" s="32" t="s">
        <v>535</v>
      </c>
      <c r="H298" s="33">
        <v>27.3429</v>
      </c>
      <c r="I298" s="11"/>
      <c r="J298" s="33">
        <f t="shared" si="35"/>
        <v>0</v>
      </c>
      <c r="M298" s="20" t="str">
        <f t="shared" si="30"/>
        <v>-</v>
      </c>
      <c r="N298" s="20" t="str">
        <f t="shared" si="31"/>
        <v>-</v>
      </c>
      <c r="O298" s="21" t="str">
        <f t="shared" si="32"/>
        <v>-</v>
      </c>
      <c r="P298" s="22" t="str">
        <f t="shared" si="34"/>
        <v>-</v>
      </c>
      <c r="R298" s="22" t="str">
        <f t="shared" si="33"/>
        <v>-</v>
      </c>
    </row>
    <row r="299" spans="1:18" ht="14.4" x14ac:dyDescent="0.25">
      <c r="A299" s="30">
        <v>97467048737</v>
      </c>
      <c r="B299" s="26">
        <v>4873</v>
      </c>
      <c r="C299" s="26" t="s">
        <v>357</v>
      </c>
      <c r="D299" s="31">
        <v>90</v>
      </c>
      <c r="E299" s="31">
        <v>3</v>
      </c>
      <c r="F299" s="38">
        <v>0.22586500000000001</v>
      </c>
      <c r="G299" s="32" t="s">
        <v>535</v>
      </c>
      <c r="H299" s="33">
        <v>39.027900000000002</v>
      </c>
      <c r="I299" s="11"/>
      <c r="J299" s="33">
        <f t="shared" si="35"/>
        <v>0</v>
      </c>
      <c r="M299" s="20" t="str">
        <f t="shared" si="30"/>
        <v>-</v>
      </c>
      <c r="N299" s="20" t="str">
        <f t="shared" si="31"/>
        <v>-</v>
      </c>
      <c r="O299" s="21" t="str">
        <f t="shared" si="32"/>
        <v>-</v>
      </c>
      <c r="P299" s="22" t="str">
        <f t="shared" si="34"/>
        <v>-</v>
      </c>
      <c r="R299" s="22" t="str">
        <f t="shared" si="33"/>
        <v>-</v>
      </c>
    </row>
    <row r="300" spans="1:18" ht="14.4" x14ac:dyDescent="0.25">
      <c r="A300" s="30">
        <v>97467492547</v>
      </c>
      <c r="B300" s="26">
        <v>49254</v>
      </c>
      <c r="C300" s="26" t="s">
        <v>358</v>
      </c>
      <c r="D300" s="31">
        <v>60</v>
      </c>
      <c r="E300" s="31">
        <v>3</v>
      </c>
      <c r="F300" s="38">
        <v>0.17706</v>
      </c>
      <c r="G300" s="32" t="s">
        <v>535</v>
      </c>
      <c r="H300" s="33">
        <v>20.885399999999997</v>
      </c>
      <c r="I300" s="11"/>
      <c r="J300" s="33">
        <f t="shared" si="35"/>
        <v>0</v>
      </c>
      <c r="M300" s="20" t="str">
        <f t="shared" si="30"/>
        <v>-</v>
      </c>
      <c r="N300" s="20" t="str">
        <f t="shared" ref="N300:N360" si="36">IF(I300&gt;0,H300+M300,"-")</f>
        <v>-</v>
      </c>
      <c r="O300" s="21" t="str">
        <f t="shared" si="32"/>
        <v>-</v>
      </c>
      <c r="P300" s="22" t="str">
        <f t="shared" si="34"/>
        <v>-</v>
      </c>
      <c r="R300" s="22" t="str">
        <f t="shared" ref="R300:R360" si="37">IFERROR(IF(P300+J300=0, "-", IF(P300&gt;0, P300+J300, "-")), "-")</f>
        <v>-</v>
      </c>
    </row>
    <row r="301" spans="1:18" ht="14.4" x14ac:dyDescent="0.25">
      <c r="A301" s="30">
        <v>97467492653</v>
      </c>
      <c r="B301" s="26">
        <v>49265</v>
      </c>
      <c r="C301" s="26" t="s">
        <v>359</v>
      </c>
      <c r="D301" s="31">
        <v>60</v>
      </c>
      <c r="E301" s="31">
        <v>3</v>
      </c>
      <c r="F301" s="38">
        <v>4.5400000000000003E-2</v>
      </c>
      <c r="G301" s="32" t="s">
        <v>535</v>
      </c>
      <c r="H301" s="33">
        <v>27.650399999999998</v>
      </c>
      <c r="I301" s="11"/>
      <c r="J301" s="33">
        <f t="shared" si="35"/>
        <v>0</v>
      </c>
      <c r="M301" s="20" t="str">
        <f t="shared" si="30"/>
        <v>-</v>
      </c>
      <c r="N301" s="20" t="str">
        <f t="shared" si="36"/>
        <v>-</v>
      </c>
      <c r="O301" s="21" t="str">
        <f t="shared" si="32"/>
        <v>-</v>
      </c>
      <c r="P301" s="22" t="str">
        <f t="shared" si="34"/>
        <v>-</v>
      </c>
      <c r="R301" s="22" t="str">
        <f t="shared" si="37"/>
        <v>-</v>
      </c>
    </row>
    <row r="302" spans="1:18" ht="14.4" x14ac:dyDescent="0.25">
      <c r="A302" s="30">
        <v>97467459632</v>
      </c>
      <c r="B302" s="26">
        <v>45963</v>
      </c>
      <c r="C302" s="26" t="s">
        <v>368</v>
      </c>
      <c r="D302" s="31" t="s">
        <v>128</v>
      </c>
      <c r="E302" s="31">
        <v>3</v>
      </c>
      <c r="F302" s="38">
        <v>0.34277000000000002</v>
      </c>
      <c r="G302" s="32" t="s">
        <v>535</v>
      </c>
      <c r="H302" s="33">
        <v>36.863099999999996</v>
      </c>
      <c r="I302" s="11"/>
      <c r="J302" s="33">
        <f t="shared" si="35"/>
        <v>0</v>
      </c>
      <c r="M302" s="20" t="str">
        <f t="shared" ref="M302:M365" si="38">IFERROR(IF($M$2*F302=0, "-", $M$2*F302), "-")</f>
        <v>-</v>
      </c>
      <c r="N302" s="20" t="str">
        <f t="shared" si="36"/>
        <v>-</v>
      </c>
      <c r="O302" s="21" t="str">
        <f t="shared" ref="O302:O365" si="39">IF(I302&gt;0,I302*F302, "-")</f>
        <v>-</v>
      </c>
      <c r="P302" s="22" t="str">
        <f t="shared" si="34"/>
        <v>-</v>
      </c>
      <c r="R302" s="22" t="str">
        <f t="shared" si="37"/>
        <v>-</v>
      </c>
    </row>
    <row r="303" spans="1:18" ht="14.4" x14ac:dyDescent="0.25">
      <c r="A303" s="30">
        <v>97467495647</v>
      </c>
      <c r="B303" s="26">
        <v>49564</v>
      </c>
      <c r="C303" s="26" t="s">
        <v>375</v>
      </c>
      <c r="D303" s="31">
        <v>30</v>
      </c>
      <c r="E303" s="31">
        <v>3</v>
      </c>
      <c r="F303" s="38">
        <v>9.8744999999999999E-2</v>
      </c>
      <c r="G303" s="32" t="s">
        <v>535</v>
      </c>
      <c r="H303" s="33">
        <v>36.125100000000003</v>
      </c>
      <c r="I303" s="11"/>
      <c r="J303" s="33">
        <f t="shared" si="35"/>
        <v>0</v>
      </c>
      <c r="M303" s="20" t="str">
        <f t="shared" si="38"/>
        <v>-</v>
      </c>
      <c r="N303" s="20" t="str">
        <f t="shared" si="36"/>
        <v>-</v>
      </c>
      <c r="O303" s="21" t="str">
        <f t="shared" si="39"/>
        <v>-</v>
      </c>
      <c r="P303" s="22" t="str">
        <f t="shared" ref="P303:P366" si="40">IFERROR(IF($M$2&gt;0, $M$2*O303, "-"), "-")</f>
        <v>-</v>
      </c>
      <c r="R303" s="22" t="str">
        <f t="shared" si="37"/>
        <v>-</v>
      </c>
    </row>
    <row r="304" spans="1:18" ht="14.4" x14ac:dyDescent="0.25">
      <c r="A304" s="30">
        <v>97467495678</v>
      </c>
      <c r="B304" s="26">
        <v>49567</v>
      </c>
      <c r="C304" s="26" t="s">
        <v>375</v>
      </c>
      <c r="D304" s="31">
        <v>60</v>
      </c>
      <c r="E304" s="31">
        <v>3</v>
      </c>
      <c r="F304" s="38">
        <v>0.17024999999999998</v>
      </c>
      <c r="G304" s="32" t="s">
        <v>535</v>
      </c>
      <c r="H304" s="33">
        <v>65.645099999999999</v>
      </c>
      <c r="I304" s="11"/>
      <c r="J304" s="33">
        <f t="shared" si="35"/>
        <v>0</v>
      </c>
      <c r="M304" s="20" t="str">
        <f t="shared" si="38"/>
        <v>-</v>
      </c>
      <c r="N304" s="20" t="str">
        <f t="shared" si="36"/>
        <v>-</v>
      </c>
      <c r="O304" s="21" t="str">
        <f t="shared" si="39"/>
        <v>-</v>
      </c>
      <c r="P304" s="22" t="str">
        <f t="shared" si="40"/>
        <v>-</v>
      </c>
      <c r="R304" s="22" t="str">
        <f t="shared" si="37"/>
        <v>-</v>
      </c>
    </row>
    <row r="305" spans="1:18" ht="13.2" customHeight="1" x14ac:dyDescent="0.25">
      <c r="A305" s="30">
        <v>97467495685</v>
      </c>
      <c r="B305" s="26">
        <v>49568</v>
      </c>
      <c r="C305" s="25" t="s">
        <v>376</v>
      </c>
      <c r="D305" s="31">
        <v>30</v>
      </c>
      <c r="E305" s="31">
        <v>3</v>
      </c>
      <c r="F305" s="38">
        <v>4.8804999999999994E-2</v>
      </c>
      <c r="G305" s="32" t="s">
        <v>535</v>
      </c>
      <c r="H305" s="33">
        <v>22.841099999999997</v>
      </c>
      <c r="I305" s="11"/>
      <c r="J305" s="33">
        <f t="shared" si="35"/>
        <v>0</v>
      </c>
      <c r="M305" s="20" t="str">
        <f t="shared" si="38"/>
        <v>-</v>
      </c>
      <c r="N305" s="20" t="str">
        <f t="shared" si="36"/>
        <v>-</v>
      </c>
      <c r="O305" s="21" t="str">
        <f t="shared" si="39"/>
        <v>-</v>
      </c>
      <c r="P305" s="22" t="str">
        <f t="shared" si="40"/>
        <v>-</v>
      </c>
      <c r="R305" s="22" t="str">
        <f t="shared" si="37"/>
        <v>-</v>
      </c>
    </row>
    <row r="306" spans="1:18" ht="14.4" x14ac:dyDescent="0.25">
      <c r="A306" s="30">
        <v>97467495692</v>
      </c>
      <c r="B306" s="26">
        <v>49569</v>
      </c>
      <c r="C306" s="25" t="s">
        <v>376</v>
      </c>
      <c r="D306" s="31">
        <v>60</v>
      </c>
      <c r="E306" s="31">
        <v>3</v>
      </c>
      <c r="F306" s="38">
        <v>0.14755000000000001</v>
      </c>
      <c r="G306" s="32" t="s">
        <v>535</v>
      </c>
      <c r="H306" s="33">
        <v>41.2911</v>
      </c>
      <c r="I306" s="11"/>
      <c r="J306" s="33">
        <f t="shared" si="35"/>
        <v>0</v>
      </c>
      <c r="M306" s="20" t="str">
        <f t="shared" si="38"/>
        <v>-</v>
      </c>
      <c r="N306" s="20" t="str">
        <f t="shared" si="36"/>
        <v>-</v>
      </c>
      <c r="O306" s="21" t="str">
        <f t="shared" si="39"/>
        <v>-</v>
      </c>
      <c r="P306" s="22" t="str">
        <f t="shared" si="40"/>
        <v>-</v>
      </c>
      <c r="R306" s="22" t="str">
        <f t="shared" si="37"/>
        <v>-</v>
      </c>
    </row>
    <row r="307" spans="1:18" ht="14.4" x14ac:dyDescent="0.25">
      <c r="A307" s="30">
        <v>97467495722</v>
      </c>
      <c r="B307" s="26">
        <v>49572</v>
      </c>
      <c r="C307" s="26" t="s">
        <v>377</v>
      </c>
      <c r="D307" s="31">
        <v>30</v>
      </c>
      <c r="E307" s="31">
        <v>3</v>
      </c>
      <c r="F307" s="38">
        <v>3.9725000000000003E-2</v>
      </c>
      <c r="G307" s="32" t="s">
        <v>535</v>
      </c>
      <c r="H307" s="33">
        <v>12.5091</v>
      </c>
      <c r="I307" s="11"/>
      <c r="J307" s="33">
        <f t="shared" si="35"/>
        <v>0</v>
      </c>
      <c r="M307" s="20" t="str">
        <f t="shared" si="38"/>
        <v>-</v>
      </c>
      <c r="N307" s="20" t="str">
        <f t="shared" si="36"/>
        <v>-</v>
      </c>
      <c r="O307" s="21" t="str">
        <f t="shared" si="39"/>
        <v>-</v>
      </c>
      <c r="P307" s="22" t="str">
        <f t="shared" si="40"/>
        <v>-</v>
      </c>
      <c r="R307" s="22" t="str">
        <f t="shared" si="37"/>
        <v>-</v>
      </c>
    </row>
    <row r="308" spans="1:18" ht="14.4" x14ac:dyDescent="0.25">
      <c r="A308" s="30">
        <v>97467495739</v>
      </c>
      <c r="B308" s="26">
        <v>49573</v>
      </c>
      <c r="C308" s="26" t="s">
        <v>377</v>
      </c>
      <c r="D308" s="31">
        <v>60</v>
      </c>
      <c r="E308" s="31">
        <v>3</v>
      </c>
      <c r="F308" s="38">
        <v>5.4480000000000001E-2</v>
      </c>
      <c r="G308" s="32" t="s">
        <v>535</v>
      </c>
      <c r="H308" s="33">
        <v>22.103099999999998</v>
      </c>
      <c r="I308" s="11"/>
      <c r="J308" s="33">
        <f t="shared" si="35"/>
        <v>0</v>
      </c>
      <c r="M308" s="20" t="str">
        <f t="shared" si="38"/>
        <v>-</v>
      </c>
      <c r="N308" s="20" t="str">
        <f t="shared" si="36"/>
        <v>-</v>
      </c>
      <c r="O308" s="21" t="str">
        <f t="shared" si="39"/>
        <v>-</v>
      </c>
      <c r="P308" s="22" t="str">
        <f t="shared" si="40"/>
        <v>-</v>
      </c>
      <c r="R308" s="22" t="str">
        <f t="shared" si="37"/>
        <v>-</v>
      </c>
    </row>
    <row r="309" spans="1:18" ht="14.4" x14ac:dyDescent="0.25">
      <c r="A309" s="30">
        <v>97467049659</v>
      </c>
      <c r="B309" s="26">
        <v>4965</v>
      </c>
      <c r="C309" s="26" t="s">
        <v>378</v>
      </c>
      <c r="D309" s="31">
        <v>60</v>
      </c>
      <c r="E309" s="31">
        <v>3</v>
      </c>
      <c r="F309" s="38">
        <v>0.132795</v>
      </c>
      <c r="G309" s="32" t="s">
        <v>535</v>
      </c>
      <c r="H309" s="33">
        <v>17.195399999999999</v>
      </c>
      <c r="I309" s="11"/>
      <c r="J309" s="33">
        <f t="shared" si="35"/>
        <v>0</v>
      </c>
      <c r="M309" s="20" t="str">
        <f t="shared" si="38"/>
        <v>-</v>
      </c>
      <c r="N309" s="20" t="str">
        <f t="shared" si="36"/>
        <v>-</v>
      </c>
      <c r="O309" s="21" t="str">
        <f t="shared" si="39"/>
        <v>-</v>
      </c>
      <c r="P309" s="22" t="str">
        <f t="shared" si="40"/>
        <v>-</v>
      </c>
      <c r="R309" s="22" t="str">
        <f t="shared" si="37"/>
        <v>-</v>
      </c>
    </row>
    <row r="310" spans="1:18" ht="14.4" x14ac:dyDescent="0.25">
      <c r="A310" s="30">
        <v>97467049666</v>
      </c>
      <c r="B310" s="26">
        <v>4966</v>
      </c>
      <c r="C310" s="26" t="s">
        <v>379</v>
      </c>
      <c r="D310" s="31">
        <v>90</v>
      </c>
      <c r="E310" s="31">
        <v>3</v>
      </c>
      <c r="F310" s="38">
        <v>0.185005</v>
      </c>
      <c r="G310" s="32" t="s">
        <v>535</v>
      </c>
      <c r="H310" s="33">
        <v>24.575399999999995</v>
      </c>
      <c r="I310" s="11"/>
      <c r="J310" s="33">
        <f t="shared" si="35"/>
        <v>0</v>
      </c>
      <c r="M310" s="20" t="str">
        <f t="shared" si="38"/>
        <v>-</v>
      </c>
      <c r="N310" s="20" t="str">
        <f t="shared" si="36"/>
        <v>-</v>
      </c>
      <c r="O310" s="21" t="str">
        <f t="shared" si="39"/>
        <v>-</v>
      </c>
      <c r="P310" s="22" t="str">
        <f t="shared" si="40"/>
        <v>-</v>
      </c>
      <c r="R310" s="22" t="str">
        <f t="shared" si="37"/>
        <v>-</v>
      </c>
    </row>
    <row r="311" spans="1:18" ht="14.4" x14ac:dyDescent="0.25">
      <c r="A311" s="30">
        <v>97467496941</v>
      </c>
      <c r="B311" s="26">
        <v>49694</v>
      </c>
      <c r="C311" s="26" t="s">
        <v>382</v>
      </c>
      <c r="D311" s="31">
        <v>60</v>
      </c>
      <c r="E311" s="31">
        <v>3</v>
      </c>
      <c r="F311" s="38">
        <v>3.4049999999999997E-2</v>
      </c>
      <c r="G311" s="32" t="s">
        <v>535</v>
      </c>
      <c r="H311" s="33">
        <v>14.427899999999998</v>
      </c>
      <c r="I311" s="11"/>
      <c r="J311" s="33">
        <f t="shared" si="35"/>
        <v>0</v>
      </c>
      <c r="M311" s="20" t="str">
        <f t="shared" si="38"/>
        <v>-</v>
      </c>
      <c r="N311" s="20" t="str">
        <f t="shared" si="36"/>
        <v>-</v>
      </c>
      <c r="O311" s="21" t="str">
        <f t="shared" si="39"/>
        <v>-</v>
      </c>
      <c r="P311" s="22" t="str">
        <f t="shared" si="40"/>
        <v>-</v>
      </c>
      <c r="R311" s="22" t="str">
        <f t="shared" si="37"/>
        <v>-</v>
      </c>
    </row>
    <row r="312" spans="1:18" ht="14.4" x14ac:dyDescent="0.25">
      <c r="A312" s="30">
        <v>97467046870</v>
      </c>
      <c r="B312" s="26">
        <v>4687</v>
      </c>
      <c r="C312" s="26" t="s">
        <v>383</v>
      </c>
      <c r="D312" s="31">
        <v>60</v>
      </c>
      <c r="E312" s="31">
        <v>3</v>
      </c>
      <c r="F312" s="38">
        <v>0.105555</v>
      </c>
      <c r="G312" s="32" t="s">
        <v>535</v>
      </c>
      <c r="H312" s="33">
        <v>21.192899999999998</v>
      </c>
      <c r="I312" s="11"/>
      <c r="J312" s="33">
        <f t="shared" si="35"/>
        <v>0</v>
      </c>
      <c r="M312" s="20" t="str">
        <f t="shared" si="38"/>
        <v>-</v>
      </c>
      <c r="N312" s="20" t="str">
        <f t="shared" si="36"/>
        <v>-</v>
      </c>
      <c r="O312" s="21" t="str">
        <f t="shared" si="39"/>
        <v>-</v>
      </c>
      <c r="P312" s="22" t="str">
        <f t="shared" si="40"/>
        <v>-</v>
      </c>
      <c r="R312" s="22" t="str">
        <f t="shared" si="37"/>
        <v>-</v>
      </c>
    </row>
    <row r="313" spans="1:18" ht="14.4" x14ac:dyDescent="0.25">
      <c r="A313" s="30">
        <v>97467474215</v>
      </c>
      <c r="B313" s="26">
        <v>47421</v>
      </c>
      <c r="C313" s="26" t="s">
        <v>385</v>
      </c>
      <c r="D313" s="31">
        <v>90</v>
      </c>
      <c r="E313" s="31">
        <v>3</v>
      </c>
      <c r="F313" s="38">
        <v>8.6260000000000003E-2</v>
      </c>
      <c r="G313" s="32" t="s">
        <v>535</v>
      </c>
      <c r="H313" s="33">
        <v>10.7379</v>
      </c>
      <c r="I313" s="11"/>
      <c r="J313" s="33">
        <f t="shared" si="35"/>
        <v>0</v>
      </c>
      <c r="M313" s="20" t="str">
        <f t="shared" si="38"/>
        <v>-</v>
      </c>
      <c r="N313" s="20" t="str">
        <f t="shared" si="36"/>
        <v>-</v>
      </c>
      <c r="O313" s="21" t="str">
        <f t="shared" si="39"/>
        <v>-</v>
      </c>
      <c r="P313" s="22" t="str">
        <f t="shared" si="40"/>
        <v>-</v>
      </c>
      <c r="R313" s="22" t="str">
        <f t="shared" si="37"/>
        <v>-</v>
      </c>
    </row>
    <row r="314" spans="1:18" ht="14.4" x14ac:dyDescent="0.25">
      <c r="A314" s="30">
        <v>97467475922</v>
      </c>
      <c r="B314" s="26">
        <v>47592</v>
      </c>
      <c r="C314" s="26" t="s">
        <v>15</v>
      </c>
      <c r="D314" s="31">
        <v>90</v>
      </c>
      <c r="E314" s="31">
        <v>3</v>
      </c>
      <c r="F314" s="38">
        <v>0.28828999999999999</v>
      </c>
      <c r="G314" s="32" t="s">
        <v>535</v>
      </c>
      <c r="H314" s="33">
        <v>12.275400000000001</v>
      </c>
      <c r="I314" s="11"/>
      <c r="J314" s="33">
        <f t="shared" si="35"/>
        <v>0</v>
      </c>
      <c r="M314" s="20" t="str">
        <f t="shared" si="38"/>
        <v>-</v>
      </c>
      <c r="N314" s="20" t="str">
        <f t="shared" si="36"/>
        <v>-</v>
      </c>
      <c r="O314" s="21" t="str">
        <f t="shared" si="39"/>
        <v>-</v>
      </c>
      <c r="P314" s="22" t="str">
        <f t="shared" si="40"/>
        <v>-</v>
      </c>
      <c r="R314" s="22" t="str">
        <f t="shared" si="37"/>
        <v>-</v>
      </c>
    </row>
    <row r="315" spans="1:18" ht="14.4" x14ac:dyDescent="0.25">
      <c r="A315" s="30">
        <v>97467475939</v>
      </c>
      <c r="B315" s="26">
        <v>47593</v>
      </c>
      <c r="C315" s="26" t="s">
        <v>16</v>
      </c>
      <c r="D315" s="31">
        <v>60</v>
      </c>
      <c r="E315" s="31">
        <v>3</v>
      </c>
      <c r="F315" s="38">
        <v>9.1935000000000003E-2</v>
      </c>
      <c r="G315" s="32" t="s">
        <v>535</v>
      </c>
      <c r="H315" s="33">
        <v>11.045400000000001</v>
      </c>
      <c r="I315" s="11"/>
      <c r="J315" s="33">
        <f t="shared" si="35"/>
        <v>0</v>
      </c>
      <c r="M315" s="20" t="str">
        <f t="shared" si="38"/>
        <v>-</v>
      </c>
      <c r="N315" s="20" t="str">
        <f t="shared" si="36"/>
        <v>-</v>
      </c>
      <c r="O315" s="21" t="str">
        <f t="shared" si="39"/>
        <v>-</v>
      </c>
      <c r="P315" s="22" t="str">
        <f t="shared" si="40"/>
        <v>-</v>
      </c>
      <c r="R315" s="22" t="str">
        <f t="shared" si="37"/>
        <v>-</v>
      </c>
    </row>
    <row r="316" spans="1:18" ht="14.4" x14ac:dyDescent="0.25">
      <c r="A316" s="30">
        <v>97467475946</v>
      </c>
      <c r="B316" s="26">
        <v>47594</v>
      </c>
      <c r="C316" s="26" t="s">
        <v>17</v>
      </c>
      <c r="D316" s="31">
        <v>60</v>
      </c>
      <c r="E316" s="31">
        <v>3</v>
      </c>
      <c r="F316" s="38">
        <v>9.1935000000000003E-2</v>
      </c>
      <c r="G316" s="32" t="s">
        <v>535</v>
      </c>
      <c r="H316" s="33">
        <v>11.660399999999999</v>
      </c>
      <c r="I316" s="11"/>
      <c r="J316" s="33">
        <f t="shared" si="35"/>
        <v>0</v>
      </c>
      <c r="M316" s="20" t="str">
        <f t="shared" si="38"/>
        <v>-</v>
      </c>
      <c r="N316" s="20" t="str">
        <f t="shared" si="36"/>
        <v>-</v>
      </c>
      <c r="O316" s="21" t="str">
        <f t="shared" si="39"/>
        <v>-</v>
      </c>
      <c r="P316" s="22" t="str">
        <f t="shared" si="40"/>
        <v>-</v>
      </c>
      <c r="R316" s="22" t="str">
        <f t="shared" si="37"/>
        <v>-</v>
      </c>
    </row>
    <row r="317" spans="1:18" ht="14.4" x14ac:dyDescent="0.25">
      <c r="A317" s="30">
        <v>97467475953</v>
      </c>
      <c r="B317" s="26">
        <v>47595</v>
      </c>
      <c r="C317" s="26" t="s">
        <v>18</v>
      </c>
      <c r="D317" s="31">
        <v>30</v>
      </c>
      <c r="E317" s="31">
        <v>3</v>
      </c>
      <c r="F317" s="38">
        <v>0.12485</v>
      </c>
      <c r="G317" s="32" t="s">
        <v>535</v>
      </c>
      <c r="H317" s="33">
        <v>15.042899999999999</v>
      </c>
      <c r="I317" s="11"/>
      <c r="J317" s="33">
        <f t="shared" si="35"/>
        <v>0</v>
      </c>
      <c r="M317" s="20" t="str">
        <f t="shared" si="38"/>
        <v>-</v>
      </c>
      <c r="N317" s="20" t="str">
        <f t="shared" si="36"/>
        <v>-</v>
      </c>
      <c r="O317" s="21" t="str">
        <f t="shared" si="39"/>
        <v>-</v>
      </c>
      <c r="P317" s="22" t="str">
        <f t="shared" si="40"/>
        <v>-</v>
      </c>
      <c r="R317" s="22" t="str">
        <f t="shared" si="37"/>
        <v>-</v>
      </c>
    </row>
    <row r="318" spans="1:18" ht="14.4" x14ac:dyDescent="0.25">
      <c r="A318" s="30">
        <v>97467047600</v>
      </c>
      <c r="B318" s="26">
        <v>4760</v>
      </c>
      <c r="C318" s="26" t="s">
        <v>386</v>
      </c>
      <c r="D318" s="31">
        <v>60</v>
      </c>
      <c r="E318" s="31">
        <v>3</v>
      </c>
      <c r="F318" s="38">
        <v>5.4480000000000001E-2</v>
      </c>
      <c r="G318" s="32" t="s">
        <v>535</v>
      </c>
      <c r="H318" s="33">
        <v>17.195399999999999</v>
      </c>
      <c r="I318" s="11"/>
      <c r="J318" s="33">
        <f t="shared" si="35"/>
        <v>0</v>
      </c>
      <c r="M318" s="20" t="str">
        <f t="shared" si="38"/>
        <v>-</v>
      </c>
      <c r="N318" s="20" t="str">
        <f t="shared" si="36"/>
        <v>-</v>
      </c>
      <c r="O318" s="21" t="str">
        <f t="shared" si="39"/>
        <v>-</v>
      </c>
      <c r="P318" s="22" t="str">
        <f t="shared" si="40"/>
        <v>-</v>
      </c>
      <c r="R318" s="22" t="str">
        <f t="shared" si="37"/>
        <v>-</v>
      </c>
    </row>
    <row r="319" spans="1:18" ht="14.4" x14ac:dyDescent="0.25">
      <c r="A319" s="30">
        <v>97467047624</v>
      </c>
      <c r="B319" s="26">
        <v>4762</v>
      </c>
      <c r="C319" s="26" t="s">
        <v>387</v>
      </c>
      <c r="D319" s="31" t="s">
        <v>94</v>
      </c>
      <c r="E319" s="31">
        <v>3</v>
      </c>
      <c r="F319" s="38">
        <v>9.6475000000000005E-2</v>
      </c>
      <c r="G319" s="32" t="s">
        <v>535</v>
      </c>
      <c r="H319" s="33">
        <v>13.505400000000002</v>
      </c>
      <c r="I319" s="11"/>
      <c r="J319" s="33">
        <f t="shared" si="35"/>
        <v>0</v>
      </c>
      <c r="M319" s="20" t="str">
        <f t="shared" si="38"/>
        <v>-</v>
      </c>
      <c r="N319" s="20" t="str">
        <f t="shared" si="36"/>
        <v>-</v>
      </c>
      <c r="O319" s="21" t="str">
        <f t="shared" si="39"/>
        <v>-</v>
      </c>
      <c r="P319" s="22" t="str">
        <f t="shared" si="40"/>
        <v>-</v>
      </c>
      <c r="R319" s="22" t="str">
        <f t="shared" si="37"/>
        <v>-</v>
      </c>
    </row>
    <row r="320" spans="1:18" ht="14.4" x14ac:dyDescent="0.25">
      <c r="A320" s="30">
        <v>97467048324</v>
      </c>
      <c r="B320" s="26">
        <v>4832</v>
      </c>
      <c r="C320" s="26" t="s">
        <v>388</v>
      </c>
      <c r="D320" s="31">
        <v>60</v>
      </c>
      <c r="E320" s="31">
        <v>3</v>
      </c>
      <c r="F320" s="38">
        <v>0.164575</v>
      </c>
      <c r="G320" s="32" t="s">
        <v>535</v>
      </c>
      <c r="H320" s="33">
        <v>23.5791</v>
      </c>
      <c r="I320" s="11"/>
      <c r="J320" s="33">
        <f t="shared" si="35"/>
        <v>0</v>
      </c>
      <c r="M320" s="20" t="str">
        <f t="shared" si="38"/>
        <v>-</v>
      </c>
      <c r="N320" s="20" t="str">
        <f t="shared" si="36"/>
        <v>-</v>
      </c>
      <c r="O320" s="21" t="str">
        <f t="shared" si="39"/>
        <v>-</v>
      </c>
      <c r="P320" s="22" t="str">
        <f t="shared" si="40"/>
        <v>-</v>
      </c>
      <c r="R320" s="22" t="str">
        <f t="shared" si="37"/>
        <v>-</v>
      </c>
    </row>
    <row r="321" spans="1:18" ht="13.2" customHeight="1" x14ac:dyDescent="0.25">
      <c r="A321" s="30">
        <v>97467048331</v>
      </c>
      <c r="B321" s="26">
        <v>4833</v>
      </c>
      <c r="C321" s="25" t="s">
        <v>389</v>
      </c>
      <c r="D321" s="31">
        <v>60</v>
      </c>
      <c r="E321" s="31">
        <v>3</v>
      </c>
      <c r="F321" s="38">
        <v>0.16911499999999999</v>
      </c>
      <c r="G321" s="32" t="s">
        <v>535</v>
      </c>
      <c r="H321" s="33">
        <v>23.5791</v>
      </c>
      <c r="I321" s="11"/>
      <c r="J321" s="33">
        <f t="shared" si="35"/>
        <v>0</v>
      </c>
      <c r="M321" s="20" t="str">
        <f t="shared" si="38"/>
        <v>-</v>
      </c>
      <c r="N321" s="20" t="str">
        <f t="shared" si="36"/>
        <v>-</v>
      </c>
      <c r="O321" s="21" t="str">
        <f t="shared" si="39"/>
        <v>-</v>
      </c>
      <c r="P321" s="22" t="str">
        <f t="shared" si="40"/>
        <v>-</v>
      </c>
      <c r="R321" s="22" t="str">
        <f t="shared" si="37"/>
        <v>-</v>
      </c>
    </row>
    <row r="322" spans="1:18" ht="14.4" x14ac:dyDescent="0.25">
      <c r="A322" s="30">
        <v>97467048348</v>
      </c>
      <c r="B322" s="26">
        <v>4834</v>
      </c>
      <c r="C322" s="25" t="s">
        <v>390</v>
      </c>
      <c r="D322" s="31">
        <v>60</v>
      </c>
      <c r="E322" s="31">
        <v>3</v>
      </c>
      <c r="F322" s="38">
        <v>0.16797999999999999</v>
      </c>
      <c r="G322" s="32" t="s">
        <v>535</v>
      </c>
      <c r="H322" s="33">
        <v>22.103099999999998</v>
      </c>
      <c r="I322" s="11"/>
      <c r="J322" s="33">
        <f t="shared" si="35"/>
        <v>0</v>
      </c>
      <c r="M322" s="20" t="str">
        <f t="shared" si="38"/>
        <v>-</v>
      </c>
      <c r="N322" s="20" t="str">
        <f t="shared" si="36"/>
        <v>-</v>
      </c>
      <c r="O322" s="21" t="str">
        <f t="shared" si="39"/>
        <v>-</v>
      </c>
      <c r="P322" s="22" t="str">
        <f t="shared" si="40"/>
        <v>-</v>
      </c>
      <c r="R322" s="22" t="str">
        <f t="shared" si="37"/>
        <v>-</v>
      </c>
    </row>
    <row r="323" spans="1:18" ht="14.4" x14ac:dyDescent="0.25">
      <c r="A323" s="30">
        <v>97467048416</v>
      </c>
      <c r="B323" s="26">
        <v>4841</v>
      </c>
      <c r="C323" s="25" t="s">
        <v>391</v>
      </c>
      <c r="D323" s="31">
        <v>60</v>
      </c>
      <c r="E323" s="31">
        <v>3</v>
      </c>
      <c r="F323" s="38">
        <v>0.187275</v>
      </c>
      <c r="G323" s="32" t="s">
        <v>535</v>
      </c>
      <c r="H323" s="33">
        <v>20.258099999999999</v>
      </c>
      <c r="I323" s="11"/>
      <c r="J323" s="33">
        <f t="shared" ref="J323:J386" si="41">H323*I323</f>
        <v>0</v>
      </c>
      <c r="M323" s="20" t="str">
        <f t="shared" si="38"/>
        <v>-</v>
      </c>
      <c r="N323" s="20" t="str">
        <f t="shared" si="36"/>
        <v>-</v>
      </c>
      <c r="O323" s="21" t="str">
        <f t="shared" si="39"/>
        <v>-</v>
      </c>
      <c r="P323" s="22" t="str">
        <f t="shared" si="40"/>
        <v>-</v>
      </c>
      <c r="R323" s="22" t="str">
        <f t="shared" si="37"/>
        <v>-</v>
      </c>
    </row>
    <row r="324" spans="1:18" ht="14.4" x14ac:dyDescent="0.25">
      <c r="A324" s="30">
        <v>97467048423</v>
      </c>
      <c r="B324" s="26">
        <v>4842</v>
      </c>
      <c r="C324" s="25" t="s">
        <v>391</v>
      </c>
      <c r="D324" s="31">
        <v>90</v>
      </c>
      <c r="E324" s="31">
        <v>3</v>
      </c>
      <c r="F324" s="38">
        <v>0.25197000000000003</v>
      </c>
      <c r="G324" s="32" t="s">
        <v>535</v>
      </c>
      <c r="H324" s="33">
        <v>28.597499999999997</v>
      </c>
      <c r="I324" s="11"/>
      <c r="J324" s="33">
        <f t="shared" si="41"/>
        <v>0</v>
      </c>
      <c r="M324" s="20" t="str">
        <f t="shared" si="38"/>
        <v>-</v>
      </c>
      <c r="N324" s="20" t="str">
        <f t="shared" si="36"/>
        <v>-</v>
      </c>
      <c r="O324" s="21" t="str">
        <f t="shared" si="39"/>
        <v>-</v>
      </c>
      <c r="P324" s="22" t="str">
        <f t="shared" si="40"/>
        <v>-</v>
      </c>
      <c r="R324" s="22" t="str">
        <f t="shared" si="37"/>
        <v>-</v>
      </c>
    </row>
    <row r="325" spans="1:18" ht="14.4" x14ac:dyDescent="0.25">
      <c r="A325" s="30">
        <v>97467048430</v>
      </c>
      <c r="B325" s="26">
        <v>4843</v>
      </c>
      <c r="C325" s="26" t="s">
        <v>392</v>
      </c>
      <c r="D325" s="31">
        <v>120</v>
      </c>
      <c r="E325" s="31">
        <v>3</v>
      </c>
      <c r="F325" s="38">
        <v>0.19975999999999999</v>
      </c>
      <c r="G325" s="32" t="s">
        <v>535</v>
      </c>
      <c r="H325" s="33">
        <v>20.258099999999999</v>
      </c>
      <c r="I325" s="11"/>
      <c r="J325" s="33">
        <f t="shared" si="41"/>
        <v>0</v>
      </c>
      <c r="M325" s="20" t="str">
        <f t="shared" si="38"/>
        <v>-</v>
      </c>
      <c r="N325" s="20" t="str">
        <f t="shared" si="36"/>
        <v>-</v>
      </c>
      <c r="O325" s="21" t="str">
        <f t="shared" si="39"/>
        <v>-</v>
      </c>
      <c r="P325" s="22" t="str">
        <f t="shared" si="40"/>
        <v>-</v>
      </c>
      <c r="R325" s="22" t="str">
        <f t="shared" si="37"/>
        <v>-</v>
      </c>
    </row>
    <row r="326" spans="1:18" ht="14.4" x14ac:dyDescent="0.25">
      <c r="A326" s="30">
        <v>97467048447</v>
      </c>
      <c r="B326" s="26">
        <v>4844</v>
      </c>
      <c r="C326" s="26" t="s">
        <v>393</v>
      </c>
      <c r="D326" s="31" t="s">
        <v>133</v>
      </c>
      <c r="E326" s="31">
        <v>3</v>
      </c>
      <c r="F326" s="38">
        <v>0.6129</v>
      </c>
      <c r="G326" s="32" t="s">
        <v>535</v>
      </c>
      <c r="H326" s="33">
        <v>21.365099999999998</v>
      </c>
      <c r="I326" s="11"/>
      <c r="J326" s="33">
        <f t="shared" si="41"/>
        <v>0</v>
      </c>
      <c r="M326" s="20" t="str">
        <f t="shared" si="38"/>
        <v>-</v>
      </c>
      <c r="N326" s="20" t="str">
        <f t="shared" si="36"/>
        <v>-</v>
      </c>
      <c r="O326" s="21" t="str">
        <f t="shared" si="39"/>
        <v>-</v>
      </c>
      <c r="P326" s="22" t="str">
        <f t="shared" si="40"/>
        <v>-</v>
      </c>
      <c r="R326" s="22" t="str">
        <f t="shared" si="37"/>
        <v>-</v>
      </c>
    </row>
    <row r="327" spans="1:18" ht="14.4" x14ac:dyDescent="0.25">
      <c r="A327" s="30">
        <v>97467048706</v>
      </c>
      <c r="B327" s="26">
        <v>4870</v>
      </c>
      <c r="C327" s="26" t="s">
        <v>394</v>
      </c>
      <c r="D327" s="31">
        <v>60</v>
      </c>
      <c r="E327" s="31">
        <v>3</v>
      </c>
      <c r="F327" s="38">
        <v>9.5340000000000008E-2</v>
      </c>
      <c r="G327" s="32" t="s">
        <v>535</v>
      </c>
      <c r="H327" s="33">
        <v>22.730399999999999</v>
      </c>
      <c r="I327" s="11"/>
      <c r="J327" s="33">
        <f t="shared" si="41"/>
        <v>0</v>
      </c>
      <c r="M327" s="20" t="str">
        <f t="shared" si="38"/>
        <v>-</v>
      </c>
      <c r="N327" s="20" t="str">
        <f t="shared" si="36"/>
        <v>-</v>
      </c>
      <c r="O327" s="21" t="str">
        <f t="shared" si="39"/>
        <v>-</v>
      </c>
      <c r="P327" s="22" t="str">
        <f t="shared" si="40"/>
        <v>-</v>
      </c>
      <c r="R327" s="22" t="str">
        <f t="shared" si="37"/>
        <v>-</v>
      </c>
    </row>
    <row r="328" spans="1:18" ht="14.4" hidden="1" x14ac:dyDescent="0.25">
      <c r="A328" s="30">
        <v>807205108742</v>
      </c>
      <c r="B328" s="26" t="s">
        <v>154</v>
      </c>
      <c r="C328" s="26" t="s">
        <v>395</v>
      </c>
      <c r="D328" s="31">
        <v>60</v>
      </c>
      <c r="E328" s="31">
        <v>3</v>
      </c>
      <c r="F328" s="38"/>
      <c r="G328" s="32" t="s">
        <v>535</v>
      </c>
      <c r="H328" s="33">
        <v>20.5779</v>
      </c>
      <c r="I328" s="11"/>
      <c r="J328" s="33">
        <f t="shared" si="41"/>
        <v>0</v>
      </c>
      <c r="M328" s="20" t="str">
        <f t="shared" si="38"/>
        <v>-</v>
      </c>
      <c r="N328" s="20" t="str">
        <f t="shared" si="36"/>
        <v>-</v>
      </c>
      <c r="O328" s="21" t="str">
        <f t="shared" si="39"/>
        <v>-</v>
      </c>
      <c r="P328" s="22" t="str">
        <f t="shared" si="40"/>
        <v>-</v>
      </c>
      <c r="R328" s="22" t="str">
        <f t="shared" si="37"/>
        <v>-</v>
      </c>
    </row>
    <row r="329" spans="1:18" ht="14.4" x14ac:dyDescent="0.25">
      <c r="A329" s="30">
        <v>97467049208</v>
      </c>
      <c r="B329" s="26">
        <v>4920</v>
      </c>
      <c r="C329" s="26" t="s">
        <v>396</v>
      </c>
      <c r="D329" s="31">
        <v>60</v>
      </c>
      <c r="E329" s="31">
        <v>3</v>
      </c>
      <c r="F329" s="38">
        <v>0.17819499999999999</v>
      </c>
      <c r="G329" s="32" t="s">
        <v>535</v>
      </c>
      <c r="H329" s="33">
        <v>27.957900000000002</v>
      </c>
      <c r="I329" s="11"/>
      <c r="J329" s="33">
        <f t="shared" si="41"/>
        <v>0</v>
      </c>
      <c r="M329" s="20" t="str">
        <f t="shared" si="38"/>
        <v>-</v>
      </c>
      <c r="N329" s="20" t="str">
        <f t="shared" si="36"/>
        <v>-</v>
      </c>
      <c r="O329" s="21" t="str">
        <f t="shared" si="39"/>
        <v>-</v>
      </c>
      <c r="P329" s="22" t="str">
        <f t="shared" si="40"/>
        <v>-</v>
      </c>
      <c r="R329" s="22" t="str">
        <f t="shared" si="37"/>
        <v>-</v>
      </c>
    </row>
    <row r="330" spans="1:18" ht="14.4" x14ac:dyDescent="0.25">
      <c r="A330" s="30">
        <v>97467049239</v>
      </c>
      <c r="B330" s="26">
        <v>4923</v>
      </c>
      <c r="C330" s="27" t="s">
        <v>546</v>
      </c>
      <c r="D330" s="31">
        <v>90</v>
      </c>
      <c r="E330" s="31">
        <v>3</v>
      </c>
      <c r="F330" s="38">
        <v>0.23267499999999999</v>
      </c>
      <c r="G330" s="32" t="s">
        <v>535</v>
      </c>
      <c r="H330" s="33">
        <v>31.955399999999997</v>
      </c>
      <c r="I330" s="11"/>
      <c r="J330" s="33">
        <f t="shared" si="41"/>
        <v>0</v>
      </c>
      <c r="M330" s="20" t="str">
        <f t="shared" si="38"/>
        <v>-</v>
      </c>
      <c r="N330" s="20" t="str">
        <f t="shared" si="36"/>
        <v>-</v>
      </c>
      <c r="O330" s="21" t="str">
        <f t="shared" si="39"/>
        <v>-</v>
      </c>
      <c r="P330" s="22" t="str">
        <f t="shared" si="40"/>
        <v>-</v>
      </c>
      <c r="R330" s="22" t="str">
        <f t="shared" si="37"/>
        <v>-</v>
      </c>
    </row>
    <row r="331" spans="1:18" ht="14.4" x14ac:dyDescent="0.25">
      <c r="A331" s="30">
        <v>97467049246</v>
      </c>
      <c r="B331" s="26">
        <v>4924</v>
      </c>
      <c r="C331" s="27" t="s">
        <v>546</v>
      </c>
      <c r="D331" s="31">
        <v>180</v>
      </c>
      <c r="E331" s="31">
        <v>3</v>
      </c>
      <c r="F331" s="38">
        <v>0.38136000000000003</v>
      </c>
      <c r="G331" s="32" t="s">
        <v>535</v>
      </c>
      <c r="H331" s="33">
        <v>54.402899999999988</v>
      </c>
      <c r="I331" s="11"/>
      <c r="J331" s="33">
        <f t="shared" si="41"/>
        <v>0</v>
      </c>
      <c r="M331" s="20" t="str">
        <f t="shared" si="38"/>
        <v>-</v>
      </c>
      <c r="N331" s="20" t="str">
        <f t="shared" si="36"/>
        <v>-</v>
      </c>
      <c r="O331" s="21" t="str">
        <f t="shared" si="39"/>
        <v>-</v>
      </c>
      <c r="P331" s="22" t="str">
        <f t="shared" si="40"/>
        <v>-</v>
      </c>
      <c r="R331" s="22" t="str">
        <f t="shared" si="37"/>
        <v>-</v>
      </c>
    </row>
    <row r="332" spans="1:18" ht="14.4" x14ac:dyDescent="0.25">
      <c r="A332" s="30">
        <v>97467049284</v>
      </c>
      <c r="B332" s="26">
        <v>4928</v>
      </c>
      <c r="C332" s="26" t="s">
        <v>199</v>
      </c>
      <c r="D332" s="31" t="s">
        <v>92</v>
      </c>
      <c r="E332" s="31">
        <v>3</v>
      </c>
      <c r="F332" s="38">
        <v>1.3415699999999999</v>
      </c>
      <c r="G332" s="32" t="s">
        <v>535</v>
      </c>
      <c r="H332" s="33">
        <v>35.534700000000001</v>
      </c>
      <c r="I332" s="11"/>
      <c r="J332" s="33">
        <f t="shared" si="41"/>
        <v>0</v>
      </c>
      <c r="M332" s="20" t="str">
        <f t="shared" si="38"/>
        <v>-</v>
      </c>
      <c r="N332" s="20" t="str">
        <f t="shared" si="36"/>
        <v>-</v>
      </c>
      <c r="O332" s="21" t="str">
        <f t="shared" si="39"/>
        <v>-</v>
      </c>
      <c r="P332" s="22" t="str">
        <f t="shared" si="40"/>
        <v>-</v>
      </c>
      <c r="R332" s="22" t="str">
        <f t="shared" si="37"/>
        <v>-</v>
      </c>
    </row>
    <row r="333" spans="1:18" ht="14.4" x14ac:dyDescent="0.25">
      <c r="A333" s="30">
        <v>97467492912</v>
      </c>
      <c r="B333" s="26">
        <v>49291</v>
      </c>
      <c r="C333" s="26" t="s">
        <v>200</v>
      </c>
      <c r="D333" s="31" t="s">
        <v>92</v>
      </c>
      <c r="E333" s="31">
        <v>3</v>
      </c>
      <c r="F333" s="38">
        <v>1.3415699999999999</v>
      </c>
      <c r="G333" s="32" t="s">
        <v>535</v>
      </c>
      <c r="H333" s="33">
        <v>41.992199999999997</v>
      </c>
      <c r="I333" s="11"/>
      <c r="J333" s="33">
        <f t="shared" si="41"/>
        <v>0</v>
      </c>
      <c r="M333" s="20" t="str">
        <f t="shared" si="38"/>
        <v>-</v>
      </c>
      <c r="N333" s="20" t="str">
        <f t="shared" si="36"/>
        <v>-</v>
      </c>
      <c r="O333" s="21" t="str">
        <f t="shared" si="39"/>
        <v>-</v>
      </c>
      <c r="P333" s="22" t="str">
        <f t="shared" si="40"/>
        <v>-</v>
      </c>
      <c r="R333" s="22" t="str">
        <f t="shared" si="37"/>
        <v>-</v>
      </c>
    </row>
    <row r="334" spans="1:18" ht="14.4" x14ac:dyDescent="0.25">
      <c r="A334" s="30">
        <v>97467049307</v>
      </c>
      <c r="B334" s="26">
        <v>4930</v>
      </c>
      <c r="C334" s="26" t="s">
        <v>397</v>
      </c>
      <c r="D334" s="31">
        <v>120</v>
      </c>
      <c r="E334" s="31">
        <v>3</v>
      </c>
      <c r="F334" s="38">
        <v>0.27466999999999997</v>
      </c>
      <c r="G334" s="32" t="s">
        <v>535</v>
      </c>
      <c r="H334" s="33">
        <v>41.573999999999998</v>
      </c>
      <c r="I334" s="11"/>
      <c r="J334" s="33">
        <f t="shared" si="41"/>
        <v>0</v>
      </c>
      <c r="M334" s="20" t="str">
        <f t="shared" si="38"/>
        <v>-</v>
      </c>
      <c r="N334" s="20" t="str">
        <f t="shared" si="36"/>
        <v>-</v>
      </c>
      <c r="O334" s="21" t="str">
        <f t="shared" si="39"/>
        <v>-</v>
      </c>
      <c r="P334" s="22" t="str">
        <f t="shared" si="40"/>
        <v>-</v>
      </c>
      <c r="R334" s="22" t="str">
        <f t="shared" si="37"/>
        <v>-</v>
      </c>
    </row>
    <row r="335" spans="1:18" ht="14.4" x14ac:dyDescent="0.25">
      <c r="A335" s="30">
        <v>97467049819</v>
      </c>
      <c r="B335" s="26">
        <v>4981</v>
      </c>
      <c r="C335" s="26" t="s">
        <v>201</v>
      </c>
      <c r="D335" s="31">
        <v>30</v>
      </c>
      <c r="E335" s="31">
        <v>3</v>
      </c>
      <c r="F335" s="38">
        <v>0.45400000000000001</v>
      </c>
      <c r="G335" s="32" t="s">
        <v>535</v>
      </c>
      <c r="H335" s="33">
        <v>9.8154000000000003</v>
      </c>
      <c r="I335" s="11"/>
      <c r="J335" s="33">
        <f t="shared" si="41"/>
        <v>0</v>
      </c>
      <c r="M335" s="20" t="str">
        <f t="shared" si="38"/>
        <v>-</v>
      </c>
      <c r="N335" s="20" t="str">
        <f t="shared" si="36"/>
        <v>-</v>
      </c>
      <c r="O335" s="21" t="str">
        <f t="shared" si="39"/>
        <v>-</v>
      </c>
      <c r="P335" s="22" t="str">
        <f t="shared" si="40"/>
        <v>-</v>
      </c>
      <c r="R335" s="22" t="str">
        <f t="shared" si="37"/>
        <v>-</v>
      </c>
    </row>
    <row r="336" spans="1:18" ht="14.4" x14ac:dyDescent="0.25">
      <c r="A336" s="30">
        <v>97467049970</v>
      </c>
      <c r="B336" s="26">
        <v>4997</v>
      </c>
      <c r="C336" s="26" t="s">
        <v>398</v>
      </c>
      <c r="D336" s="31">
        <v>60</v>
      </c>
      <c r="E336" s="31">
        <v>3</v>
      </c>
      <c r="F336" s="38">
        <v>0.46534999999999999</v>
      </c>
      <c r="G336" s="32" t="s">
        <v>535</v>
      </c>
      <c r="H336" s="33">
        <v>22.730399999999999</v>
      </c>
      <c r="I336" s="11"/>
      <c r="J336" s="33">
        <f t="shared" si="41"/>
        <v>0</v>
      </c>
      <c r="M336" s="20" t="str">
        <f t="shared" si="38"/>
        <v>-</v>
      </c>
      <c r="N336" s="20" t="str">
        <f t="shared" si="36"/>
        <v>-</v>
      </c>
      <c r="O336" s="21" t="str">
        <f t="shared" si="39"/>
        <v>-</v>
      </c>
      <c r="P336" s="22" t="str">
        <f t="shared" si="40"/>
        <v>-</v>
      </c>
      <c r="R336" s="22" t="str">
        <f t="shared" si="37"/>
        <v>-</v>
      </c>
    </row>
    <row r="337" spans="1:18" ht="14.4" x14ac:dyDescent="0.25">
      <c r="A337" s="30">
        <v>97467050037</v>
      </c>
      <c r="B337" s="26">
        <v>5003</v>
      </c>
      <c r="C337" s="26" t="s">
        <v>399</v>
      </c>
      <c r="D337" s="31">
        <v>60</v>
      </c>
      <c r="E337" s="31">
        <v>3</v>
      </c>
      <c r="F337" s="38">
        <v>0.110095</v>
      </c>
      <c r="G337" s="32" t="s">
        <v>535</v>
      </c>
      <c r="H337" s="33">
        <v>26.1129</v>
      </c>
      <c r="I337" s="11"/>
      <c r="J337" s="33">
        <f t="shared" si="41"/>
        <v>0</v>
      </c>
      <c r="M337" s="20" t="str">
        <f t="shared" si="38"/>
        <v>-</v>
      </c>
      <c r="N337" s="20" t="str">
        <f t="shared" si="36"/>
        <v>-</v>
      </c>
      <c r="O337" s="21" t="str">
        <f t="shared" si="39"/>
        <v>-</v>
      </c>
      <c r="P337" s="22" t="str">
        <f t="shared" si="40"/>
        <v>-</v>
      </c>
      <c r="R337" s="22" t="str">
        <f t="shared" si="37"/>
        <v>-</v>
      </c>
    </row>
    <row r="338" spans="1:18" ht="14.4" x14ac:dyDescent="0.25">
      <c r="A338" s="30">
        <v>97467050075</v>
      </c>
      <c r="B338" s="26">
        <v>5007</v>
      </c>
      <c r="C338" s="26" t="s">
        <v>202</v>
      </c>
      <c r="D338" s="31">
        <v>60</v>
      </c>
      <c r="E338" s="31">
        <v>3</v>
      </c>
      <c r="F338" s="38">
        <v>6.8099999999999994E-2</v>
      </c>
      <c r="G338" s="32" t="s">
        <v>535</v>
      </c>
      <c r="H338" s="33">
        <v>21.500399999999999</v>
      </c>
      <c r="I338" s="11"/>
      <c r="J338" s="33">
        <f t="shared" si="41"/>
        <v>0</v>
      </c>
      <c r="M338" s="20" t="str">
        <f t="shared" si="38"/>
        <v>-</v>
      </c>
      <c r="N338" s="20" t="str">
        <f t="shared" si="36"/>
        <v>-</v>
      </c>
      <c r="O338" s="21" t="str">
        <f t="shared" si="39"/>
        <v>-</v>
      </c>
      <c r="P338" s="22" t="str">
        <f t="shared" si="40"/>
        <v>-</v>
      </c>
      <c r="R338" s="22" t="str">
        <f t="shared" si="37"/>
        <v>-</v>
      </c>
    </row>
    <row r="339" spans="1:18" ht="14.4" x14ac:dyDescent="0.25">
      <c r="A339" s="30">
        <v>97467306011</v>
      </c>
      <c r="B339" s="26">
        <v>30601</v>
      </c>
      <c r="C339" s="26" t="s">
        <v>400</v>
      </c>
      <c r="D339" s="31" t="s">
        <v>92</v>
      </c>
      <c r="E339" s="31">
        <v>3</v>
      </c>
      <c r="F339" s="38">
        <v>1.2598500000000001</v>
      </c>
      <c r="G339" s="32" t="s">
        <v>535</v>
      </c>
      <c r="H339" s="33">
        <v>36.125100000000003</v>
      </c>
      <c r="I339" s="11"/>
      <c r="J339" s="33">
        <f t="shared" si="41"/>
        <v>0</v>
      </c>
      <c r="M339" s="20" t="str">
        <f t="shared" si="38"/>
        <v>-</v>
      </c>
      <c r="N339" s="20" t="str">
        <f t="shared" si="36"/>
        <v>-</v>
      </c>
      <c r="O339" s="21" t="str">
        <f t="shared" si="39"/>
        <v>-</v>
      </c>
      <c r="P339" s="22" t="str">
        <f t="shared" si="40"/>
        <v>-</v>
      </c>
      <c r="R339" s="22" t="str">
        <f t="shared" si="37"/>
        <v>-</v>
      </c>
    </row>
    <row r="340" spans="1:18" ht="14.4" x14ac:dyDescent="0.25">
      <c r="A340" s="30">
        <v>97467306059</v>
      </c>
      <c r="B340" s="26">
        <v>30605</v>
      </c>
      <c r="C340" s="26" t="s">
        <v>401</v>
      </c>
      <c r="D340" s="31" t="s">
        <v>93</v>
      </c>
      <c r="E340" s="31">
        <v>3</v>
      </c>
      <c r="F340" s="38">
        <v>0.350715</v>
      </c>
      <c r="G340" s="32" t="s">
        <v>535</v>
      </c>
      <c r="H340" s="33">
        <v>12.140099999999999</v>
      </c>
      <c r="I340" s="11"/>
      <c r="J340" s="33">
        <f t="shared" si="41"/>
        <v>0</v>
      </c>
      <c r="M340" s="20" t="str">
        <f t="shared" si="38"/>
        <v>-</v>
      </c>
      <c r="N340" s="20" t="str">
        <f t="shared" si="36"/>
        <v>-</v>
      </c>
      <c r="O340" s="21" t="str">
        <f t="shared" si="39"/>
        <v>-</v>
      </c>
      <c r="P340" s="22" t="str">
        <f t="shared" si="40"/>
        <v>-</v>
      </c>
      <c r="R340" s="22" t="str">
        <f t="shared" si="37"/>
        <v>-</v>
      </c>
    </row>
    <row r="341" spans="1:18" ht="14.4" x14ac:dyDescent="0.25">
      <c r="A341" s="30">
        <v>97467030862</v>
      </c>
      <c r="B341" s="26">
        <v>3086</v>
      </c>
      <c r="C341" s="26" t="s">
        <v>402</v>
      </c>
      <c r="D341" s="31">
        <v>90</v>
      </c>
      <c r="E341" s="31">
        <v>3</v>
      </c>
      <c r="F341" s="38">
        <v>0.72526500000000005</v>
      </c>
      <c r="G341" s="32" t="s">
        <v>535</v>
      </c>
      <c r="H341" s="33">
        <v>21.192899999999998</v>
      </c>
      <c r="I341" s="11"/>
      <c r="J341" s="33">
        <f t="shared" si="41"/>
        <v>0</v>
      </c>
      <c r="M341" s="20" t="str">
        <f t="shared" si="38"/>
        <v>-</v>
      </c>
      <c r="N341" s="20" t="str">
        <f t="shared" si="36"/>
        <v>-</v>
      </c>
      <c r="O341" s="21" t="str">
        <f t="shared" si="39"/>
        <v>-</v>
      </c>
      <c r="P341" s="22" t="str">
        <f t="shared" si="40"/>
        <v>-</v>
      </c>
      <c r="R341" s="22" t="str">
        <f t="shared" si="37"/>
        <v>-</v>
      </c>
    </row>
    <row r="342" spans="1:18" ht="14.4" x14ac:dyDescent="0.25">
      <c r="A342" s="30">
        <v>97467030886</v>
      </c>
      <c r="B342" s="26">
        <v>3088</v>
      </c>
      <c r="C342" s="26" t="s">
        <v>403</v>
      </c>
      <c r="D342" s="31">
        <v>90</v>
      </c>
      <c r="E342" s="31">
        <v>3</v>
      </c>
      <c r="F342" s="38">
        <v>0.15776500000000002</v>
      </c>
      <c r="G342" s="32" t="s">
        <v>535</v>
      </c>
      <c r="H342" s="33">
        <v>19.347899999999999</v>
      </c>
      <c r="I342" s="11"/>
      <c r="J342" s="33">
        <f t="shared" si="41"/>
        <v>0</v>
      </c>
      <c r="M342" s="20" t="str">
        <f t="shared" si="38"/>
        <v>-</v>
      </c>
      <c r="N342" s="20" t="str">
        <f t="shared" si="36"/>
        <v>-</v>
      </c>
      <c r="O342" s="21" t="str">
        <f t="shared" si="39"/>
        <v>-</v>
      </c>
      <c r="P342" s="22" t="str">
        <f t="shared" si="40"/>
        <v>-</v>
      </c>
      <c r="R342" s="22" t="str">
        <f t="shared" si="37"/>
        <v>-</v>
      </c>
    </row>
    <row r="343" spans="1:18" ht="14.4" x14ac:dyDescent="0.25">
      <c r="A343" s="30">
        <v>97467308411</v>
      </c>
      <c r="B343" s="26">
        <v>30841</v>
      </c>
      <c r="C343" s="26" t="s">
        <v>404</v>
      </c>
      <c r="D343" s="31" t="s">
        <v>92</v>
      </c>
      <c r="E343" s="31">
        <v>3</v>
      </c>
      <c r="F343" s="38">
        <v>1.2598500000000001</v>
      </c>
      <c r="G343" s="32" t="s">
        <v>535</v>
      </c>
      <c r="H343" s="33">
        <v>19.889100000000003</v>
      </c>
      <c r="I343" s="11"/>
      <c r="J343" s="33">
        <f t="shared" si="41"/>
        <v>0</v>
      </c>
      <c r="M343" s="20" t="str">
        <f t="shared" si="38"/>
        <v>-</v>
      </c>
      <c r="N343" s="20" t="str">
        <f t="shared" si="36"/>
        <v>-</v>
      </c>
      <c r="O343" s="21" t="str">
        <f t="shared" si="39"/>
        <v>-</v>
      </c>
      <c r="P343" s="22" t="str">
        <f t="shared" si="40"/>
        <v>-</v>
      </c>
      <c r="R343" s="22" t="str">
        <f t="shared" si="37"/>
        <v>-</v>
      </c>
    </row>
    <row r="344" spans="1:18" ht="14.4" x14ac:dyDescent="0.25">
      <c r="A344" s="30">
        <v>97467030930</v>
      </c>
      <c r="B344" s="26">
        <v>3093</v>
      </c>
      <c r="C344" s="27" t="s">
        <v>538</v>
      </c>
      <c r="D344" s="31">
        <v>60</v>
      </c>
      <c r="E344" s="31">
        <v>3</v>
      </c>
      <c r="F344" s="38">
        <v>0.19295000000000001</v>
      </c>
      <c r="G344" s="32" t="s">
        <v>535</v>
      </c>
      <c r="H344" s="33">
        <v>25.190399999999997</v>
      </c>
      <c r="I344" s="11"/>
      <c r="J344" s="33">
        <f t="shared" si="41"/>
        <v>0</v>
      </c>
      <c r="M344" s="20" t="str">
        <f t="shared" si="38"/>
        <v>-</v>
      </c>
      <c r="N344" s="20" t="str">
        <f t="shared" si="36"/>
        <v>-</v>
      </c>
      <c r="O344" s="21" t="str">
        <f t="shared" si="39"/>
        <v>-</v>
      </c>
      <c r="P344" s="22" t="str">
        <f t="shared" si="40"/>
        <v>-</v>
      </c>
      <c r="R344" s="22" t="str">
        <f t="shared" si="37"/>
        <v>-</v>
      </c>
    </row>
    <row r="345" spans="1:18" ht="14.4" x14ac:dyDescent="0.25">
      <c r="A345" s="30">
        <v>97467030954</v>
      </c>
      <c r="B345" s="26">
        <v>3095</v>
      </c>
      <c r="C345" s="27" t="s">
        <v>539</v>
      </c>
      <c r="D345" s="31">
        <v>60</v>
      </c>
      <c r="E345" s="31">
        <v>3</v>
      </c>
      <c r="F345" s="38">
        <v>0.21565000000000001</v>
      </c>
      <c r="G345" s="32" t="s">
        <v>535</v>
      </c>
      <c r="H345" s="33">
        <v>25.190399999999997</v>
      </c>
      <c r="I345" s="11"/>
      <c r="J345" s="33">
        <f t="shared" si="41"/>
        <v>0</v>
      </c>
      <c r="M345" s="20" t="str">
        <f t="shared" si="38"/>
        <v>-</v>
      </c>
      <c r="N345" s="20" t="str">
        <f t="shared" si="36"/>
        <v>-</v>
      </c>
      <c r="O345" s="21" t="str">
        <f t="shared" si="39"/>
        <v>-</v>
      </c>
      <c r="P345" s="22" t="str">
        <f t="shared" si="40"/>
        <v>-</v>
      </c>
      <c r="R345" s="22" t="str">
        <f t="shared" si="37"/>
        <v>-</v>
      </c>
    </row>
    <row r="346" spans="1:18" ht="14.4" x14ac:dyDescent="0.25">
      <c r="A346" s="30">
        <v>97467309517</v>
      </c>
      <c r="B346" s="26">
        <v>30951</v>
      </c>
      <c r="C346" s="26" t="s">
        <v>406</v>
      </c>
      <c r="D346" s="31" t="s">
        <v>92</v>
      </c>
      <c r="E346" s="31">
        <v>3</v>
      </c>
      <c r="F346" s="38">
        <v>1.2598500000000001</v>
      </c>
      <c r="G346" s="32" t="s">
        <v>535</v>
      </c>
      <c r="H346" s="33">
        <v>36.863099999999996</v>
      </c>
      <c r="I346" s="11"/>
      <c r="J346" s="33">
        <f t="shared" si="41"/>
        <v>0</v>
      </c>
      <c r="M346" s="20" t="str">
        <f t="shared" si="38"/>
        <v>-</v>
      </c>
      <c r="N346" s="20" t="str">
        <f t="shared" si="36"/>
        <v>-</v>
      </c>
      <c r="O346" s="21" t="str">
        <f t="shared" si="39"/>
        <v>-</v>
      </c>
      <c r="P346" s="22" t="str">
        <f t="shared" si="40"/>
        <v>-</v>
      </c>
      <c r="R346" s="22" t="str">
        <f t="shared" si="37"/>
        <v>-</v>
      </c>
    </row>
    <row r="347" spans="1:18" ht="14.4" x14ac:dyDescent="0.25">
      <c r="A347" s="30">
        <v>97467051805</v>
      </c>
      <c r="B347" s="26">
        <v>5180</v>
      </c>
      <c r="C347" s="26" t="s">
        <v>407</v>
      </c>
      <c r="D347" s="31">
        <v>60</v>
      </c>
      <c r="E347" s="31">
        <v>3</v>
      </c>
      <c r="F347" s="38">
        <v>7.4910000000000004E-2</v>
      </c>
      <c r="G347" s="32" t="s">
        <v>535</v>
      </c>
      <c r="H347" s="33">
        <v>33.800399999999996</v>
      </c>
      <c r="I347" s="11"/>
      <c r="J347" s="33">
        <f t="shared" si="41"/>
        <v>0</v>
      </c>
      <c r="M347" s="20" t="str">
        <f t="shared" si="38"/>
        <v>-</v>
      </c>
      <c r="N347" s="20" t="str">
        <f t="shared" si="36"/>
        <v>-</v>
      </c>
      <c r="O347" s="21" t="str">
        <f t="shared" si="39"/>
        <v>-</v>
      </c>
      <c r="P347" s="22" t="str">
        <f t="shared" si="40"/>
        <v>-</v>
      </c>
      <c r="R347" s="22" t="str">
        <f t="shared" si="37"/>
        <v>-</v>
      </c>
    </row>
    <row r="348" spans="1:18" ht="14.4" x14ac:dyDescent="0.25">
      <c r="A348" s="30">
        <v>97467052208</v>
      </c>
      <c r="B348" s="26">
        <v>5220</v>
      </c>
      <c r="C348" s="26" t="s">
        <v>408</v>
      </c>
      <c r="D348" s="31">
        <v>30</v>
      </c>
      <c r="E348" s="31">
        <v>3</v>
      </c>
      <c r="F348" s="38">
        <v>0.105555</v>
      </c>
      <c r="G348" s="32" t="s">
        <v>535</v>
      </c>
      <c r="H348" s="33">
        <v>23.345399999999998</v>
      </c>
      <c r="I348" s="11"/>
      <c r="J348" s="33">
        <f t="shared" si="41"/>
        <v>0</v>
      </c>
      <c r="M348" s="20" t="str">
        <f t="shared" si="38"/>
        <v>-</v>
      </c>
      <c r="N348" s="20" t="str">
        <f t="shared" si="36"/>
        <v>-</v>
      </c>
      <c r="O348" s="21" t="str">
        <f t="shared" si="39"/>
        <v>-</v>
      </c>
      <c r="P348" s="22" t="str">
        <f t="shared" si="40"/>
        <v>-</v>
      </c>
      <c r="R348" s="22" t="str">
        <f t="shared" si="37"/>
        <v>-</v>
      </c>
    </row>
    <row r="349" spans="1:18" ht="14.4" x14ac:dyDescent="0.25">
      <c r="A349" s="30">
        <v>97467052246</v>
      </c>
      <c r="B349" s="26">
        <v>5224</v>
      </c>
      <c r="C349" s="26" t="s">
        <v>409</v>
      </c>
      <c r="D349" s="31">
        <v>60</v>
      </c>
      <c r="E349" s="31">
        <v>3</v>
      </c>
      <c r="F349" s="38">
        <v>0.11803999999999999</v>
      </c>
      <c r="G349" s="32" t="s">
        <v>535</v>
      </c>
      <c r="H349" s="33">
        <v>23.9604</v>
      </c>
      <c r="I349" s="11"/>
      <c r="J349" s="33">
        <f t="shared" si="41"/>
        <v>0</v>
      </c>
      <c r="M349" s="20" t="str">
        <f t="shared" si="38"/>
        <v>-</v>
      </c>
      <c r="N349" s="20" t="str">
        <f t="shared" si="36"/>
        <v>-</v>
      </c>
      <c r="O349" s="21" t="str">
        <f t="shared" si="39"/>
        <v>-</v>
      </c>
      <c r="P349" s="22" t="str">
        <f t="shared" si="40"/>
        <v>-</v>
      </c>
      <c r="R349" s="22" t="str">
        <f t="shared" si="37"/>
        <v>-</v>
      </c>
    </row>
    <row r="350" spans="1:18" ht="14.4" x14ac:dyDescent="0.25">
      <c r="A350" s="30">
        <v>97467307018</v>
      </c>
      <c r="B350" s="26">
        <v>30701</v>
      </c>
      <c r="C350" s="26" t="s">
        <v>410</v>
      </c>
      <c r="D350" s="31" t="s">
        <v>92</v>
      </c>
      <c r="E350" s="31">
        <v>3</v>
      </c>
      <c r="F350" s="38">
        <v>1.2598500000000001</v>
      </c>
      <c r="G350" s="32" t="s">
        <v>535</v>
      </c>
      <c r="H350" s="33">
        <v>48.302099999999996</v>
      </c>
      <c r="I350" s="11"/>
      <c r="J350" s="33">
        <f t="shared" si="41"/>
        <v>0</v>
      </c>
      <c r="M350" s="20" t="str">
        <f t="shared" si="38"/>
        <v>-</v>
      </c>
      <c r="N350" s="20" t="str">
        <f t="shared" si="36"/>
        <v>-</v>
      </c>
      <c r="O350" s="21" t="str">
        <f t="shared" si="39"/>
        <v>-</v>
      </c>
      <c r="P350" s="22" t="str">
        <f t="shared" si="40"/>
        <v>-</v>
      </c>
      <c r="R350" s="22" t="str">
        <f t="shared" si="37"/>
        <v>-</v>
      </c>
    </row>
    <row r="351" spans="1:18" ht="14.4" x14ac:dyDescent="0.25">
      <c r="A351" s="30">
        <v>97467307056</v>
      </c>
      <c r="B351" s="26">
        <v>30705</v>
      </c>
      <c r="C351" s="26" t="s">
        <v>411</v>
      </c>
      <c r="D351" s="31" t="s">
        <v>93</v>
      </c>
      <c r="E351" s="31">
        <v>3</v>
      </c>
      <c r="F351" s="38">
        <v>0.350715</v>
      </c>
      <c r="G351" s="32" t="s">
        <v>535</v>
      </c>
      <c r="H351" s="33">
        <v>16.199099999999998</v>
      </c>
      <c r="I351" s="11"/>
      <c r="J351" s="33">
        <f t="shared" si="41"/>
        <v>0</v>
      </c>
      <c r="M351" s="20" t="str">
        <f t="shared" si="38"/>
        <v>-</v>
      </c>
      <c r="N351" s="20" t="str">
        <f t="shared" si="36"/>
        <v>-</v>
      </c>
      <c r="O351" s="21" t="str">
        <f t="shared" si="39"/>
        <v>-</v>
      </c>
      <c r="P351" s="22" t="str">
        <f t="shared" si="40"/>
        <v>-</v>
      </c>
      <c r="R351" s="22" t="str">
        <f t="shared" si="37"/>
        <v>-</v>
      </c>
    </row>
    <row r="352" spans="1:18" ht="14.4" x14ac:dyDescent="0.25">
      <c r="A352" s="30">
        <v>97467907010</v>
      </c>
      <c r="B352" s="26">
        <v>90701</v>
      </c>
      <c r="C352" s="26" t="s">
        <v>412</v>
      </c>
      <c r="D352" s="31" t="s">
        <v>101</v>
      </c>
      <c r="E352" s="31">
        <v>3</v>
      </c>
      <c r="F352" s="38">
        <v>0.68667500000000004</v>
      </c>
      <c r="G352" s="32" t="s">
        <v>535</v>
      </c>
      <c r="H352" s="33">
        <v>23.468399999999995</v>
      </c>
      <c r="I352" s="11"/>
      <c r="J352" s="33">
        <f t="shared" si="41"/>
        <v>0</v>
      </c>
      <c r="M352" s="20" t="str">
        <f t="shared" si="38"/>
        <v>-</v>
      </c>
      <c r="N352" s="20" t="str">
        <f t="shared" si="36"/>
        <v>-</v>
      </c>
      <c r="O352" s="21" t="str">
        <f t="shared" si="39"/>
        <v>-</v>
      </c>
      <c r="P352" s="22" t="str">
        <f t="shared" si="40"/>
        <v>-</v>
      </c>
      <c r="R352" s="22" t="str">
        <f t="shared" si="37"/>
        <v>-</v>
      </c>
    </row>
    <row r="353" spans="1:18" ht="14.4" x14ac:dyDescent="0.25">
      <c r="A353" s="30">
        <v>97467307070</v>
      </c>
      <c r="B353" s="26">
        <v>30707</v>
      </c>
      <c r="C353" s="26" t="s">
        <v>413</v>
      </c>
      <c r="D353" s="31" t="s">
        <v>110</v>
      </c>
      <c r="E353" s="31">
        <v>3</v>
      </c>
      <c r="F353" s="38">
        <v>0.73661500000000002</v>
      </c>
      <c r="G353" s="32" t="s">
        <v>535</v>
      </c>
      <c r="H353" s="33">
        <v>43.505099999999992</v>
      </c>
      <c r="I353" s="11"/>
      <c r="J353" s="33">
        <f t="shared" si="41"/>
        <v>0</v>
      </c>
      <c r="M353" s="20" t="str">
        <f t="shared" si="38"/>
        <v>-</v>
      </c>
      <c r="N353" s="20" t="str">
        <f t="shared" si="36"/>
        <v>-</v>
      </c>
      <c r="O353" s="21" t="str">
        <f t="shared" si="39"/>
        <v>-</v>
      </c>
      <c r="P353" s="22" t="str">
        <f t="shared" si="40"/>
        <v>-</v>
      </c>
      <c r="R353" s="22" t="str">
        <f t="shared" si="37"/>
        <v>-</v>
      </c>
    </row>
    <row r="354" spans="1:18" ht="14.4" x14ac:dyDescent="0.25">
      <c r="A354" s="30">
        <v>97467307117</v>
      </c>
      <c r="B354" s="26">
        <v>30711</v>
      </c>
      <c r="C354" s="26" t="s">
        <v>414</v>
      </c>
      <c r="D354" s="31">
        <v>90</v>
      </c>
      <c r="E354" s="31">
        <v>3</v>
      </c>
      <c r="F354" s="38">
        <v>0.307585</v>
      </c>
      <c r="G354" s="32" t="s">
        <v>535</v>
      </c>
      <c r="H354" s="33">
        <v>39.642899999999997</v>
      </c>
      <c r="I354" s="11"/>
      <c r="J354" s="33">
        <f t="shared" si="41"/>
        <v>0</v>
      </c>
      <c r="M354" s="20" t="str">
        <f t="shared" si="38"/>
        <v>-</v>
      </c>
      <c r="N354" s="20" t="str">
        <f t="shared" si="36"/>
        <v>-</v>
      </c>
      <c r="O354" s="21" t="str">
        <f t="shared" si="39"/>
        <v>-</v>
      </c>
      <c r="P354" s="22" t="str">
        <f t="shared" si="40"/>
        <v>-</v>
      </c>
      <c r="R354" s="22" t="str">
        <f t="shared" si="37"/>
        <v>-</v>
      </c>
    </row>
    <row r="355" spans="1:18" ht="14.4" x14ac:dyDescent="0.25">
      <c r="A355" s="30">
        <v>97467307124</v>
      </c>
      <c r="B355" s="26">
        <v>30712</v>
      </c>
      <c r="C355" s="26" t="s">
        <v>414</v>
      </c>
      <c r="D355" s="31">
        <v>180</v>
      </c>
      <c r="E355" s="31">
        <v>3</v>
      </c>
      <c r="F355" s="38">
        <v>1.4210199999999999</v>
      </c>
      <c r="G355" s="32" t="s">
        <v>535</v>
      </c>
      <c r="H355" s="33">
        <v>70.700399999999988</v>
      </c>
      <c r="I355" s="11"/>
      <c r="J355" s="33">
        <f t="shared" si="41"/>
        <v>0</v>
      </c>
      <c r="M355" s="20" t="str">
        <f t="shared" si="38"/>
        <v>-</v>
      </c>
      <c r="N355" s="20" t="str">
        <f t="shared" si="36"/>
        <v>-</v>
      </c>
      <c r="O355" s="21" t="str">
        <f t="shared" si="39"/>
        <v>-</v>
      </c>
      <c r="P355" s="22" t="str">
        <f t="shared" si="40"/>
        <v>-</v>
      </c>
      <c r="R355" s="22" t="str">
        <f t="shared" si="37"/>
        <v>-</v>
      </c>
    </row>
    <row r="356" spans="1:18" ht="14.4" x14ac:dyDescent="0.25">
      <c r="A356" s="30">
        <v>97467307148</v>
      </c>
      <c r="B356" s="26">
        <v>30714</v>
      </c>
      <c r="C356" s="26" t="s">
        <v>415</v>
      </c>
      <c r="D356" s="31">
        <v>180</v>
      </c>
      <c r="E356" s="31">
        <v>3</v>
      </c>
      <c r="F356" s="38">
        <v>0.264455</v>
      </c>
      <c r="G356" s="32" t="s">
        <v>535</v>
      </c>
      <c r="H356" s="33">
        <v>40.56539999999999</v>
      </c>
      <c r="I356" s="11"/>
      <c r="J356" s="33">
        <f t="shared" si="41"/>
        <v>0</v>
      </c>
      <c r="M356" s="20" t="str">
        <f t="shared" si="38"/>
        <v>-</v>
      </c>
      <c r="N356" s="20" t="str">
        <f t="shared" si="36"/>
        <v>-</v>
      </c>
      <c r="O356" s="21" t="str">
        <f t="shared" si="39"/>
        <v>-</v>
      </c>
      <c r="P356" s="22" t="str">
        <f t="shared" si="40"/>
        <v>-</v>
      </c>
      <c r="R356" s="22" t="str">
        <f t="shared" si="37"/>
        <v>-</v>
      </c>
    </row>
    <row r="357" spans="1:18" ht="14.4" x14ac:dyDescent="0.25">
      <c r="A357" s="30">
        <v>97467307162</v>
      </c>
      <c r="B357" s="26">
        <v>30716</v>
      </c>
      <c r="C357" s="26" t="s">
        <v>416</v>
      </c>
      <c r="D357" s="31">
        <v>90</v>
      </c>
      <c r="E357" s="31">
        <v>3</v>
      </c>
      <c r="F357" s="38">
        <v>0.12712000000000001</v>
      </c>
      <c r="G357" s="32" t="s">
        <v>535</v>
      </c>
      <c r="H357" s="33">
        <v>21.500399999999999</v>
      </c>
      <c r="I357" s="11"/>
      <c r="J357" s="33">
        <f t="shared" si="41"/>
        <v>0</v>
      </c>
      <c r="M357" s="20" t="str">
        <f t="shared" si="38"/>
        <v>-</v>
      </c>
      <c r="N357" s="20" t="str">
        <f t="shared" si="36"/>
        <v>-</v>
      </c>
      <c r="O357" s="21" t="str">
        <f t="shared" si="39"/>
        <v>-</v>
      </c>
      <c r="P357" s="22" t="str">
        <f t="shared" si="40"/>
        <v>-</v>
      </c>
      <c r="R357" s="22" t="str">
        <f t="shared" si="37"/>
        <v>-</v>
      </c>
    </row>
    <row r="358" spans="1:18" ht="14.4" x14ac:dyDescent="0.25">
      <c r="A358" s="30">
        <v>97467307193</v>
      </c>
      <c r="B358" s="26">
        <v>30719</v>
      </c>
      <c r="C358" s="26" t="s">
        <v>417</v>
      </c>
      <c r="D358" s="31">
        <v>90</v>
      </c>
      <c r="E358" s="31">
        <v>3</v>
      </c>
      <c r="F358" s="38">
        <v>0.69689000000000001</v>
      </c>
      <c r="G358" s="32" t="s">
        <v>535</v>
      </c>
      <c r="H358" s="33">
        <v>41.180399999999992</v>
      </c>
      <c r="I358" s="11"/>
      <c r="J358" s="33">
        <f t="shared" si="41"/>
        <v>0</v>
      </c>
      <c r="M358" s="20" t="str">
        <f t="shared" si="38"/>
        <v>-</v>
      </c>
      <c r="N358" s="20" t="str">
        <f t="shared" si="36"/>
        <v>-</v>
      </c>
      <c r="O358" s="21" t="str">
        <f t="shared" si="39"/>
        <v>-</v>
      </c>
      <c r="P358" s="22" t="str">
        <f t="shared" si="40"/>
        <v>-</v>
      </c>
      <c r="R358" s="22" t="str">
        <f t="shared" si="37"/>
        <v>-</v>
      </c>
    </row>
    <row r="359" spans="1:18" ht="14.4" x14ac:dyDescent="0.25">
      <c r="A359" s="30">
        <v>97467307483</v>
      </c>
      <c r="B359" s="26">
        <v>30748</v>
      </c>
      <c r="C359" s="26" t="s">
        <v>418</v>
      </c>
      <c r="D359" s="31" t="s">
        <v>134</v>
      </c>
      <c r="E359" s="31">
        <v>3</v>
      </c>
      <c r="F359" s="38">
        <v>0.611765</v>
      </c>
      <c r="G359" s="32" t="s">
        <v>535</v>
      </c>
      <c r="H359" s="33">
        <v>42.0291</v>
      </c>
      <c r="I359" s="11"/>
      <c r="J359" s="33">
        <f t="shared" si="41"/>
        <v>0</v>
      </c>
      <c r="M359" s="20" t="str">
        <f t="shared" si="38"/>
        <v>-</v>
      </c>
      <c r="N359" s="20" t="str">
        <f t="shared" si="36"/>
        <v>-</v>
      </c>
      <c r="O359" s="21" t="str">
        <f t="shared" si="39"/>
        <v>-</v>
      </c>
      <c r="P359" s="22" t="str">
        <f t="shared" si="40"/>
        <v>-</v>
      </c>
      <c r="R359" s="22" t="str">
        <f t="shared" si="37"/>
        <v>-</v>
      </c>
    </row>
    <row r="360" spans="1:18" ht="14.4" x14ac:dyDescent="0.25">
      <c r="A360" s="30">
        <v>97467305786</v>
      </c>
      <c r="B360" s="26">
        <v>30578</v>
      </c>
      <c r="C360" s="26" t="s">
        <v>419</v>
      </c>
      <c r="D360" s="31">
        <v>180</v>
      </c>
      <c r="E360" s="31">
        <v>3</v>
      </c>
      <c r="F360" s="38">
        <v>0.23835000000000001</v>
      </c>
      <c r="G360" s="32" t="s">
        <v>535</v>
      </c>
      <c r="H360" s="33">
        <v>31.328099999999996</v>
      </c>
      <c r="I360" s="11"/>
      <c r="J360" s="33">
        <f t="shared" si="41"/>
        <v>0</v>
      </c>
      <c r="M360" s="20" t="str">
        <f t="shared" si="38"/>
        <v>-</v>
      </c>
      <c r="N360" s="20" t="str">
        <f t="shared" si="36"/>
        <v>-</v>
      </c>
      <c r="O360" s="21" t="str">
        <f t="shared" si="39"/>
        <v>-</v>
      </c>
      <c r="P360" s="22" t="str">
        <f t="shared" si="40"/>
        <v>-</v>
      </c>
      <c r="R360" s="22" t="str">
        <f t="shared" si="37"/>
        <v>-</v>
      </c>
    </row>
    <row r="361" spans="1:18" ht="14.4" x14ac:dyDescent="0.25">
      <c r="A361" s="30">
        <v>97467030510</v>
      </c>
      <c r="B361" s="26">
        <v>3051</v>
      </c>
      <c r="C361" s="26" t="s">
        <v>420</v>
      </c>
      <c r="D361" s="31">
        <v>90</v>
      </c>
      <c r="E361" s="31">
        <v>3</v>
      </c>
      <c r="F361" s="38">
        <v>0.63560000000000005</v>
      </c>
      <c r="G361" s="32" t="s">
        <v>535</v>
      </c>
      <c r="H361" s="33">
        <v>34.107900000000001</v>
      </c>
      <c r="I361" s="11"/>
      <c r="J361" s="33">
        <f t="shared" si="41"/>
        <v>0</v>
      </c>
      <c r="M361" s="20" t="str">
        <f t="shared" si="38"/>
        <v>-</v>
      </c>
      <c r="N361" s="20" t="str">
        <f t="shared" ref="N361:N421" si="42">IF(I361&gt;0,H361+M361,"-")</f>
        <v>-</v>
      </c>
      <c r="O361" s="21" t="str">
        <f t="shared" si="39"/>
        <v>-</v>
      </c>
      <c r="P361" s="22" t="str">
        <f t="shared" si="40"/>
        <v>-</v>
      </c>
      <c r="R361" s="22" t="str">
        <f t="shared" ref="R361:R421" si="43">IFERROR(IF(P361+J361=0, "-", IF(P361&gt;0, P361+J361, "-")), "-")</f>
        <v>-</v>
      </c>
    </row>
    <row r="362" spans="1:18" ht="14.4" x14ac:dyDescent="0.25">
      <c r="A362" s="30">
        <v>97467030527</v>
      </c>
      <c r="B362" s="26">
        <v>3052</v>
      </c>
      <c r="C362" s="26" t="s">
        <v>421</v>
      </c>
      <c r="D362" s="31">
        <v>180</v>
      </c>
      <c r="E362" s="31">
        <v>3</v>
      </c>
      <c r="F362" s="38">
        <v>0.50053499999999995</v>
      </c>
      <c r="G362" s="32" t="s">
        <v>535</v>
      </c>
      <c r="H362" s="33">
        <v>61.475399999999993</v>
      </c>
      <c r="I362" s="11"/>
      <c r="J362" s="33">
        <f t="shared" si="41"/>
        <v>0</v>
      </c>
      <c r="M362" s="20" t="str">
        <f t="shared" si="38"/>
        <v>-</v>
      </c>
      <c r="N362" s="20" t="str">
        <f t="shared" si="42"/>
        <v>-</v>
      </c>
      <c r="O362" s="21" t="str">
        <f t="shared" si="39"/>
        <v>-</v>
      </c>
      <c r="P362" s="22" t="str">
        <f t="shared" si="40"/>
        <v>-</v>
      </c>
      <c r="R362" s="22" t="str">
        <f t="shared" si="43"/>
        <v>-</v>
      </c>
    </row>
    <row r="363" spans="1:18" ht="14.4" x14ac:dyDescent="0.25">
      <c r="A363" s="30">
        <v>97467305229</v>
      </c>
      <c r="B363" s="26">
        <v>30522</v>
      </c>
      <c r="C363" s="26" t="s">
        <v>422</v>
      </c>
      <c r="D363" s="31">
        <v>180</v>
      </c>
      <c r="E363" s="31">
        <v>3</v>
      </c>
      <c r="F363" s="38">
        <v>0.26105</v>
      </c>
      <c r="G363" s="32" t="s">
        <v>535</v>
      </c>
      <c r="H363" s="33">
        <v>38.597399999999993</v>
      </c>
      <c r="I363" s="11"/>
      <c r="J363" s="33">
        <f t="shared" si="41"/>
        <v>0</v>
      </c>
      <c r="M363" s="20" t="str">
        <f t="shared" si="38"/>
        <v>-</v>
      </c>
      <c r="N363" s="20" t="str">
        <f t="shared" si="42"/>
        <v>-</v>
      </c>
      <c r="O363" s="21" t="str">
        <f t="shared" si="39"/>
        <v>-</v>
      </c>
      <c r="P363" s="22" t="str">
        <f t="shared" si="40"/>
        <v>-</v>
      </c>
      <c r="R363" s="22" t="str">
        <f t="shared" si="43"/>
        <v>-</v>
      </c>
    </row>
    <row r="364" spans="1:18" ht="14.4" x14ac:dyDescent="0.25">
      <c r="A364" s="30">
        <v>97467305267</v>
      </c>
      <c r="B364" s="26">
        <v>30526</v>
      </c>
      <c r="C364" s="26" t="s">
        <v>423</v>
      </c>
      <c r="D364" s="31">
        <v>180</v>
      </c>
      <c r="E364" s="31">
        <v>3</v>
      </c>
      <c r="F364" s="38">
        <v>0.48577999999999999</v>
      </c>
      <c r="G364" s="32" t="s">
        <v>535</v>
      </c>
      <c r="H364" s="33">
        <v>63.627899999999997</v>
      </c>
      <c r="I364" s="11"/>
      <c r="J364" s="33">
        <f t="shared" si="41"/>
        <v>0</v>
      </c>
      <c r="M364" s="20" t="str">
        <f t="shared" si="38"/>
        <v>-</v>
      </c>
      <c r="N364" s="20" t="str">
        <f t="shared" si="42"/>
        <v>-</v>
      </c>
      <c r="O364" s="21" t="str">
        <f t="shared" si="39"/>
        <v>-</v>
      </c>
      <c r="P364" s="22" t="str">
        <f t="shared" si="40"/>
        <v>-</v>
      </c>
      <c r="R364" s="22" t="str">
        <f t="shared" si="43"/>
        <v>-</v>
      </c>
    </row>
    <row r="365" spans="1:18" ht="14.4" x14ac:dyDescent="0.25">
      <c r="A365" s="30">
        <v>97467305311</v>
      </c>
      <c r="B365" s="26">
        <v>30531</v>
      </c>
      <c r="C365" s="26" t="s">
        <v>424</v>
      </c>
      <c r="D365" s="31" t="s">
        <v>92</v>
      </c>
      <c r="E365" s="31">
        <v>3</v>
      </c>
      <c r="F365" s="38">
        <v>1.2598500000000001</v>
      </c>
      <c r="G365" s="32" t="s">
        <v>535</v>
      </c>
      <c r="H365" s="33">
        <v>44.243099999999998</v>
      </c>
      <c r="I365" s="11"/>
      <c r="J365" s="33">
        <f t="shared" si="41"/>
        <v>0</v>
      </c>
      <c r="M365" s="20" t="str">
        <f t="shared" si="38"/>
        <v>-</v>
      </c>
      <c r="N365" s="20" t="str">
        <f t="shared" si="42"/>
        <v>-</v>
      </c>
      <c r="O365" s="21" t="str">
        <f t="shared" si="39"/>
        <v>-</v>
      </c>
      <c r="P365" s="22" t="str">
        <f t="shared" si="40"/>
        <v>-</v>
      </c>
      <c r="R365" s="22" t="str">
        <f t="shared" si="43"/>
        <v>-</v>
      </c>
    </row>
    <row r="366" spans="1:18" ht="14.4" x14ac:dyDescent="0.25">
      <c r="A366" s="30">
        <v>97467307292</v>
      </c>
      <c r="B366" s="26">
        <v>30729</v>
      </c>
      <c r="C366" s="26" t="s">
        <v>203</v>
      </c>
      <c r="D366" s="31">
        <v>120</v>
      </c>
      <c r="E366" s="31">
        <v>3</v>
      </c>
      <c r="F366" s="38">
        <v>0.22700000000000001</v>
      </c>
      <c r="G366" s="32" t="s">
        <v>535</v>
      </c>
      <c r="H366" s="33">
        <v>47.342699999999994</v>
      </c>
      <c r="I366" s="11"/>
      <c r="J366" s="33">
        <f t="shared" si="41"/>
        <v>0</v>
      </c>
      <c r="M366" s="20" t="str">
        <f t="shared" ref="M366:M429" si="44">IFERROR(IF($M$2*F366=0, "-", $M$2*F366), "-")</f>
        <v>-</v>
      </c>
      <c r="N366" s="20" t="str">
        <f t="shared" si="42"/>
        <v>-</v>
      </c>
      <c r="O366" s="21" t="str">
        <f t="shared" ref="O366:O429" si="45">IF(I366&gt;0,I366*F366, "-")</f>
        <v>-</v>
      </c>
      <c r="P366" s="22" t="str">
        <f t="shared" si="40"/>
        <v>-</v>
      </c>
      <c r="R366" s="22" t="str">
        <f t="shared" si="43"/>
        <v>-</v>
      </c>
    </row>
    <row r="367" spans="1:18" ht="14.4" x14ac:dyDescent="0.25">
      <c r="A367" s="30">
        <v>97467307315</v>
      </c>
      <c r="B367" s="26">
        <v>30731</v>
      </c>
      <c r="C367" s="26" t="s">
        <v>204</v>
      </c>
      <c r="D367" s="31">
        <v>120</v>
      </c>
      <c r="E367" s="31">
        <v>3</v>
      </c>
      <c r="F367" s="38">
        <v>0.23267499999999999</v>
      </c>
      <c r="G367" s="32" t="s">
        <v>535</v>
      </c>
      <c r="H367" s="33">
        <v>41.1066</v>
      </c>
      <c r="I367" s="11"/>
      <c r="J367" s="33">
        <f t="shared" si="41"/>
        <v>0</v>
      </c>
      <c r="M367" s="20" t="str">
        <f t="shared" si="44"/>
        <v>-</v>
      </c>
      <c r="N367" s="20" t="str">
        <f t="shared" si="42"/>
        <v>-</v>
      </c>
      <c r="O367" s="21" t="str">
        <f t="shared" si="45"/>
        <v>-</v>
      </c>
      <c r="P367" s="22" t="str">
        <f t="shared" ref="P367:P430" si="46">IFERROR(IF($M$2&gt;0, $M$2*O367, "-"), "-")</f>
        <v>-</v>
      </c>
      <c r="R367" s="22" t="str">
        <f t="shared" si="43"/>
        <v>-</v>
      </c>
    </row>
    <row r="368" spans="1:18" ht="14.4" x14ac:dyDescent="0.25">
      <c r="A368" s="30">
        <v>97467307339</v>
      </c>
      <c r="B368" s="26">
        <v>30733</v>
      </c>
      <c r="C368" s="26" t="s">
        <v>205</v>
      </c>
      <c r="D368" s="31">
        <v>60</v>
      </c>
      <c r="E368" s="31">
        <v>3</v>
      </c>
      <c r="F368" s="38">
        <v>9.8744999999999999E-2</v>
      </c>
      <c r="G368" s="32" t="s">
        <v>535</v>
      </c>
      <c r="H368" s="33">
        <v>27.638099999999994</v>
      </c>
      <c r="I368" s="11"/>
      <c r="J368" s="33">
        <f t="shared" si="41"/>
        <v>0</v>
      </c>
      <c r="M368" s="20" t="str">
        <f t="shared" si="44"/>
        <v>-</v>
      </c>
      <c r="N368" s="20" t="str">
        <f t="shared" si="42"/>
        <v>-</v>
      </c>
      <c r="O368" s="21" t="str">
        <f t="shared" si="45"/>
        <v>-</v>
      </c>
      <c r="P368" s="22" t="str">
        <f t="shared" si="46"/>
        <v>-</v>
      </c>
      <c r="R368" s="22" t="str">
        <f t="shared" si="43"/>
        <v>-</v>
      </c>
    </row>
    <row r="369" spans="1:18" ht="14.4" x14ac:dyDescent="0.25">
      <c r="A369" s="30">
        <v>97467307346</v>
      </c>
      <c r="B369" s="26">
        <v>30734</v>
      </c>
      <c r="C369" s="26" t="s">
        <v>426</v>
      </c>
      <c r="D369" s="31">
        <v>60</v>
      </c>
      <c r="E369" s="31">
        <v>3</v>
      </c>
      <c r="F369" s="38">
        <v>9.9879999999999997E-2</v>
      </c>
      <c r="G369" s="32" t="s">
        <v>535</v>
      </c>
      <c r="H369" s="33">
        <v>13.763699999999998</v>
      </c>
      <c r="I369" s="11"/>
      <c r="J369" s="33">
        <f t="shared" si="41"/>
        <v>0</v>
      </c>
      <c r="M369" s="20" t="str">
        <f t="shared" si="44"/>
        <v>-</v>
      </c>
      <c r="N369" s="20" t="str">
        <f t="shared" si="42"/>
        <v>-</v>
      </c>
      <c r="O369" s="21" t="str">
        <f t="shared" si="45"/>
        <v>-</v>
      </c>
      <c r="P369" s="22" t="str">
        <f t="shared" si="46"/>
        <v>-</v>
      </c>
      <c r="R369" s="22" t="str">
        <f t="shared" si="43"/>
        <v>-</v>
      </c>
    </row>
    <row r="370" spans="1:18" ht="14.4" x14ac:dyDescent="0.25">
      <c r="A370" s="30">
        <v>97467307353</v>
      </c>
      <c r="B370" s="26">
        <v>30735</v>
      </c>
      <c r="C370" s="26" t="s">
        <v>206</v>
      </c>
      <c r="D370" s="31">
        <v>60</v>
      </c>
      <c r="E370" s="31">
        <v>3</v>
      </c>
      <c r="F370" s="38">
        <v>0.10669000000000001</v>
      </c>
      <c r="G370" s="32" t="s">
        <v>535</v>
      </c>
      <c r="H370" s="33">
        <v>12.029399999999999</v>
      </c>
      <c r="I370" s="11"/>
      <c r="J370" s="33">
        <f t="shared" si="41"/>
        <v>0</v>
      </c>
      <c r="M370" s="20" t="str">
        <f t="shared" si="44"/>
        <v>-</v>
      </c>
      <c r="N370" s="20" t="str">
        <f t="shared" si="42"/>
        <v>-</v>
      </c>
      <c r="O370" s="21" t="str">
        <f t="shared" si="45"/>
        <v>-</v>
      </c>
      <c r="P370" s="22" t="str">
        <f t="shared" si="46"/>
        <v>-</v>
      </c>
      <c r="R370" s="22" t="str">
        <f t="shared" si="43"/>
        <v>-</v>
      </c>
    </row>
    <row r="371" spans="1:18" ht="14.4" x14ac:dyDescent="0.25">
      <c r="A371" s="30">
        <v>97467307360</v>
      </c>
      <c r="B371" s="26">
        <v>30736</v>
      </c>
      <c r="C371" s="26" t="s">
        <v>207</v>
      </c>
      <c r="D371" s="31">
        <v>30</v>
      </c>
      <c r="E371" s="31">
        <v>3</v>
      </c>
      <c r="F371" s="38">
        <v>7.7180000000000012E-2</v>
      </c>
      <c r="G371" s="32" t="s">
        <v>535</v>
      </c>
      <c r="H371" s="33">
        <v>16.494299999999999</v>
      </c>
      <c r="I371" s="11"/>
      <c r="J371" s="33">
        <f t="shared" si="41"/>
        <v>0</v>
      </c>
      <c r="M371" s="20" t="str">
        <f t="shared" si="44"/>
        <v>-</v>
      </c>
      <c r="N371" s="20" t="str">
        <f t="shared" si="42"/>
        <v>-</v>
      </c>
      <c r="O371" s="21" t="str">
        <f t="shared" si="45"/>
        <v>-</v>
      </c>
      <c r="P371" s="22" t="str">
        <f t="shared" si="46"/>
        <v>-</v>
      </c>
      <c r="R371" s="22" t="str">
        <f t="shared" si="43"/>
        <v>-</v>
      </c>
    </row>
    <row r="372" spans="1:18" ht="14.4" x14ac:dyDescent="0.25">
      <c r="A372" s="30">
        <v>97467307377</v>
      </c>
      <c r="B372" s="26">
        <v>30737</v>
      </c>
      <c r="C372" s="26" t="s">
        <v>208</v>
      </c>
      <c r="D372" s="31">
        <v>60</v>
      </c>
      <c r="E372" s="31">
        <v>3</v>
      </c>
      <c r="F372" s="38">
        <v>0.110095</v>
      </c>
      <c r="G372" s="32" t="s">
        <v>535</v>
      </c>
      <c r="H372" s="33">
        <v>13.800599999999999</v>
      </c>
      <c r="I372" s="11"/>
      <c r="J372" s="33">
        <f t="shared" si="41"/>
        <v>0</v>
      </c>
      <c r="M372" s="20" t="str">
        <f t="shared" si="44"/>
        <v>-</v>
      </c>
      <c r="N372" s="20" t="str">
        <f t="shared" si="42"/>
        <v>-</v>
      </c>
      <c r="O372" s="21" t="str">
        <f t="shared" si="45"/>
        <v>-</v>
      </c>
      <c r="P372" s="22" t="str">
        <f t="shared" si="46"/>
        <v>-</v>
      </c>
      <c r="R372" s="22" t="str">
        <f t="shared" si="43"/>
        <v>-</v>
      </c>
    </row>
    <row r="373" spans="1:18" ht="14.4" x14ac:dyDescent="0.25">
      <c r="A373" s="30">
        <v>97467307384</v>
      </c>
      <c r="B373" s="26">
        <v>30738</v>
      </c>
      <c r="C373" s="26" t="s">
        <v>209</v>
      </c>
      <c r="D373" s="31">
        <v>60</v>
      </c>
      <c r="E373" s="31">
        <v>3</v>
      </c>
      <c r="F373" s="38">
        <v>0.116905</v>
      </c>
      <c r="G373" s="32" t="s">
        <v>535</v>
      </c>
      <c r="H373" s="33">
        <v>19.741499999999998</v>
      </c>
      <c r="I373" s="11"/>
      <c r="J373" s="33">
        <f t="shared" si="41"/>
        <v>0</v>
      </c>
      <c r="M373" s="20" t="str">
        <f t="shared" si="44"/>
        <v>-</v>
      </c>
      <c r="N373" s="20" t="str">
        <f t="shared" si="42"/>
        <v>-</v>
      </c>
      <c r="O373" s="21" t="str">
        <f t="shared" si="45"/>
        <v>-</v>
      </c>
      <c r="P373" s="22" t="str">
        <f t="shared" si="46"/>
        <v>-</v>
      </c>
      <c r="R373" s="22" t="str">
        <f t="shared" si="43"/>
        <v>-</v>
      </c>
    </row>
    <row r="374" spans="1:18" ht="14.4" x14ac:dyDescent="0.25">
      <c r="A374" s="30">
        <v>97467307407</v>
      </c>
      <c r="B374" s="26">
        <v>30740</v>
      </c>
      <c r="C374" s="26" t="s">
        <v>210</v>
      </c>
      <c r="D374" s="31">
        <v>60</v>
      </c>
      <c r="E374" s="31">
        <v>3</v>
      </c>
      <c r="F374" s="38">
        <v>0.110095</v>
      </c>
      <c r="G374" s="32" t="s">
        <v>535</v>
      </c>
      <c r="H374" s="33">
        <v>18.4131</v>
      </c>
      <c r="I374" s="11"/>
      <c r="J374" s="33">
        <f t="shared" si="41"/>
        <v>0</v>
      </c>
      <c r="M374" s="20" t="str">
        <f t="shared" si="44"/>
        <v>-</v>
      </c>
      <c r="N374" s="20" t="str">
        <f t="shared" si="42"/>
        <v>-</v>
      </c>
      <c r="O374" s="21" t="str">
        <f t="shared" si="45"/>
        <v>-</v>
      </c>
      <c r="P374" s="22" t="str">
        <f t="shared" si="46"/>
        <v>-</v>
      </c>
      <c r="R374" s="22" t="str">
        <f t="shared" si="43"/>
        <v>-</v>
      </c>
    </row>
    <row r="375" spans="1:18" ht="14.4" x14ac:dyDescent="0.25">
      <c r="A375" s="30">
        <v>97467307414</v>
      </c>
      <c r="B375" s="26">
        <v>30741</v>
      </c>
      <c r="C375" s="26" t="s">
        <v>211</v>
      </c>
      <c r="D375" s="31">
        <v>90</v>
      </c>
      <c r="E375" s="31">
        <v>3</v>
      </c>
      <c r="F375" s="38">
        <v>0.18387000000000001</v>
      </c>
      <c r="G375" s="32" t="s">
        <v>535</v>
      </c>
      <c r="H375" s="33">
        <v>40.553100000000001</v>
      </c>
      <c r="I375" s="11"/>
      <c r="J375" s="33">
        <f t="shared" si="41"/>
        <v>0</v>
      </c>
      <c r="M375" s="20" t="str">
        <f t="shared" si="44"/>
        <v>-</v>
      </c>
      <c r="N375" s="20" t="str">
        <f t="shared" si="42"/>
        <v>-</v>
      </c>
      <c r="O375" s="21" t="str">
        <f t="shared" si="45"/>
        <v>-</v>
      </c>
      <c r="P375" s="22" t="str">
        <f t="shared" si="46"/>
        <v>-</v>
      </c>
      <c r="R375" s="22" t="str">
        <f t="shared" si="43"/>
        <v>-</v>
      </c>
    </row>
    <row r="376" spans="1:18" ht="14.4" x14ac:dyDescent="0.25">
      <c r="A376" s="30">
        <v>97467307438</v>
      </c>
      <c r="B376" s="26">
        <v>30743</v>
      </c>
      <c r="C376" s="26" t="s">
        <v>212</v>
      </c>
      <c r="D376" s="31">
        <v>90</v>
      </c>
      <c r="E376" s="31">
        <v>3</v>
      </c>
      <c r="F376" s="38">
        <v>0.187275</v>
      </c>
      <c r="G376" s="32" t="s">
        <v>535</v>
      </c>
      <c r="H376" s="33">
        <v>40.553100000000001</v>
      </c>
      <c r="I376" s="11"/>
      <c r="J376" s="33">
        <f t="shared" si="41"/>
        <v>0</v>
      </c>
      <c r="M376" s="20" t="str">
        <f t="shared" si="44"/>
        <v>-</v>
      </c>
      <c r="N376" s="20" t="str">
        <f t="shared" si="42"/>
        <v>-</v>
      </c>
      <c r="O376" s="21" t="str">
        <f t="shared" si="45"/>
        <v>-</v>
      </c>
      <c r="P376" s="22" t="str">
        <f t="shared" si="46"/>
        <v>-</v>
      </c>
      <c r="R376" s="22" t="str">
        <f t="shared" si="43"/>
        <v>-</v>
      </c>
    </row>
    <row r="377" spans="1:18" ht="14.4" x14ac:dyDescent="0.25">
      <c r="A377" s="30">
        <v>97467307452</v>
      </c>
      <c r="B377" s="26">
        <v>30745</v>
      </c>
      <c r="C377" s="26" t="s">
        <v>213</v>
      </c>
      <c r="D377" s="31">
        <v>30</v>
      </c>
      <c r="E377" s="31">
        <v>3</v>
      </c>
      <c r="F377" s="38">
        <v>0.11236500000000001</v>
      </c>
      <c r="G377" s="32" t="s">
        <v>535</v>
      </c>
      <c r="H377" s="33">
        <v>27.269100000000002</v>
      </c>
      <c r="I377" s="11"/>
      <c r="J377" s="33">
        <f t="shared" si="41"/>
        <v>0</v>
      </c>
      <c r="M377" s="20" t="str">
        <f t="shared" si="44"/>
        <v>-</v>
      </c>
      <c r="N377" s="20" t="str">
        <f t="shared" si="42"/>
        <v>-</v>
      </c>
      <c r="O377" s="21" t="str">
        <f t="shared" si="45"/>
        <v>-</v>
      </c>
      <c r="P377" s="22" t="str">
        <f t="shared" si="46"/>
        <v>-</v>
      </c>
      <c r="R377" s="22" t="str">
        <f t="shared" si="43"/>
        <v>-</v>
      </c>
    </row>
    <row r="378" spans="1:18" ht="14.4" x14ac:dyDescent="0.25">
      <c r="A378" s="30">
        <v>97467307476</v>
      </c>
      <c r="B378" s="26">
        <v>30747</v>
      </c>
      <c r="C378" s="26" t="s">
        <v>214</v>
      </c>
      <c r="D378" s="31">
        <v>30</v>
      </c>
      <c r="E378" s="31">
        <v>3</v>
      </c>
      <c r="F378" s="38">
        <v>0.116905</v>
      </c>
      <c r="G378" s="32" t="s">
        <v>535</v>
      </c>
      <c r="H378" s="33">
        <v>27.269100000000002</v>
      </c>
      <c r="I378" s="11"/>
      <c r="J378" s="33">
        <f t="shared" si="41"/>
        <v>0</v>
      </c>
      <c r="M378" s="20" t="str">
        <f t="shared" si="44"/>
        <v>-</v>
      </c>
      <c r="N378" s="20" t="str">
        <f t="shared" si="42"/>
        <v>-</v>
      </c>
      <c r="O378" s="21" t="str">
        <f t="shared" si="45"/>
        <v>-</v>
      </c>
      <c r="P378" s="22" t="str">
        <f t="shared" si="46"/>
        <v>-</v>
      </c>
      <c r="R378" s="22" t="str">
        <f t="shared" si="43"/>
        <v>-</v>
      </c>
    </row>
    <row r="379" spans="1:18" ht="14.4" x14ac:dyDescent="0.25">
      <c r="A379" s="30">
        <v>97467307506</v>
      </c>
      <c r="B379" s="26">
        <v>30750</v>
      </c>
      <c r="C379" s="26" t="s">
        <v>215</v>
      </c>
      <c r="D379" s="31">
        <v>60</v>
      </c>
      <c r="E379" s="31">
        <v>3</v>
      </c>
      <c r="F379" s="38">
        <v>0.219055</v>
      </c>
      <c r="G379" s="32" t="s">
        <v>535</v>
      </c>
      <c r="H379" s="33">
        <v>22.103099999999998</v>
      </c>
      <c r="I379" s="11"/>
      <c r="J379" s="33">
        <f t="shared" si="41"/>
        <v>0</v>
      </c>
      <c r="M379" s="20" t="str">
        <f t="shared" si="44"/>
        <v>-</v>
      </c>
      <c r="N379" s="20" t="str">
        <f t="shared" si="42"/>
        <v>-</v>
      </c>
      <c r="O379" s="21" t="str">
        <f t="shared" si="45"/>
        <v>-</v>
      </c>
      <c r="P379" s="22" t="str">
        <f t="shared" si="46"/>
        <v>-</v>
      </c>
      <c r="R379" s="22" t="str">
        <f t="shared" si="43"/>
        <v>-</v>
      </c>
    </row>
    <row r="380" spans="1:18" ht="14.4" x14ac:dyDescent="0.25">
      <c r="A380" s="30">
        <v>97467307513</v>
      </c>
      <c r="B380" s="26">
        <v>30751</v>
      </c>
      <c r="C380" s="26" t="s">
        <v>216</v>
      </c>
      <c r="D380" s="31">
        <v>60</v>
      </c>
      <c r="E380" s="31">
        <v>3</v>
      </c>
      <c r="F380" s="38">
        <v>5.7884999999999999E-2</v>
      </c>
      <c r="G380" s="32" t="s">
        <v>535</v>
      </c>
      <c r="H380" s="33">
        <v>8.0810999999999993</v>
      </c>
      <c r="I380" s="11"/>
      <c r="J380" s="33">
        <f t="shared" si="41"/>
        <v>0</v>
      </c>
      <c r="M380" s="20" t="str">
        <f t="shared" si="44"/>
        <v>-</v>
      </c>
      <c r="N380" s="20" t="str">
        <f t="shared" si="42"/>
        <v>-</v>
      </c>
      <c r="O380" s="21" t="str">
        <f t="shared" si="45"/>
        <v>-</v>
      </c>
      <c r="P380" s="22" t="str">
        <f t="shared" si="46"/>
        <v>-</v>
      </c>
      <c r="R380" s="22" t="str">
        <f t="shared" si="43"/>
        <v>-</v>
      </c>
    </row>
    <row r="381" spans="1:18" ht="14.4" x14ac:dyDescent="0.25">
      <c r="A381" s="30">
        <v>97467305410</v>
      </c>
      <c r="B381" s="26">
        <v>30541</v>
      </c>
      <c r="C381" s="26" t="s">
        <v>427</v>
      </c>
      <c r="D381" s="31" t="s">
        <v>92</v>
      </c>
      <c r="E381" s="31">
        <v>3</v>
      </c>
      <c r="F381" s="38">
        <v>1.2598500000000001</v>
      </c>
      <c r="G381" s="32" t="s">
        <v>535</v>
      </c>
      <c r="H381" s="33">
        <v>40.553100000000001</v>
      </c>
      <c r="I381" s="11"/>
      <c r="J381" s="33">
        <f t="shared" si="41"/>
        <v>0</v>
      </c>
      <c r="M381" s="20" t="str">
        <f t="shared" si="44"/>
        <v>-</v>
      </c>
      <c r="N381" s="20" t="str">
        <f t="shared" si="42"/>
        <v>-</v>
      </c>
      <c r="O381" s="21" t="str">
        <f t="shared" si="45"/>
        <v>-</v>
      </c>
      <c r="P381" s="22" t="str">
        <f t="shared" si="46"/>
        <v>-</v>
      </c>
      <c r="R381" s="22" t="str">
        <f t="shared" si="43"/>
        <v>-</v>
      </c>
    </row>
    <row r="382" spans="1:18" ht="14.4" x14ac:dyDescent="0.25">
      <c r="A382" s="30">
        <v>97467305519</v>
      </c>
      <c r="B382" s="26">
        <v>30551</v>
      </c>
      <c r="C382" s="26" t="s">
        <v>428</v>
      </c>
      <c r="D382" s="31">
        <v>90</v>
      </c>
      <c r="E382" s="31">
        <v>3</v>
      </c>
      <c r="F382" s="38">
        <v>0.27694000000000002</v>
      </c>
      <c r="G382" s="32" t="s">
        <v>535</v>
      </c>
      <c r="H382" s="33">
        <v>32.570399999999999</v>
      </c>
      <c r="I382" s="11"/>
      <c r="J382" s="33">
        <f t="shared" si="41"/>
        <v>0</v>
      </c>
      <c r="M382" s="20" t="str">
        <f t="shared" si="44"/>
        <v>-</v>
      </c>
      <c r="N382" s="20" t="str">
        <f t="shared" si="42"/>
        <v>-</v>
      </c>
      <c r="O382" s="21" t="str">
        <f t="shared" si="45"/>
        <v>-</v>
      </c>
      <c r="P382" s="22" t="str">
        <f t="shared" si="46"/>
        <v>-</v>
      </c>
      <c r="R382" s="22" t="str">
        <f t="shared" si="43"/>
        <v>-</v>
      </c>
    </row>
    <row r="383" spans="1:18" ht="14.4" x14ac:dyDescent="0.25">
      <c r="A383" s="30">
        <v>97467030565</v>
      </c>
      <c r="B383" s="26">
        <v>3056</v>
      </c>
      <c r="C383" s="26" t="s">
        <v>429</v>
      </c>
      <c r="D383" s="31">
        <v>30</v>
      </c>
      <c r="E383" s="31">
        <v>3</v>
      </c>
      <c r="F383" s="38">
        <v>0.103285</v>
      </c>
      <c r="G383" s="32" t="s">
        <v>535</v>
      </c>
      <c r="H383" s="33">
        <v>10.7379</v>
      </c>
      <c r="I383" s="11"/>
      <c r="J383" s="33">
        <f t="shared" si="41"/>
        <v>0</v>
      </c>
      <c r="M383" s="20" t="str">
        <f t="shared" si="44"/>
        <v>-</v>
      </c>
      <c r="N383" s="20" t="str">
        <f t="shared" si="42"/>
        <v>-</v>
      </c>
      <c r="O383" s="21" t="str">
        <f t="shared" si="45"/>
        <v>-</v>
      </c>
      <c r="P383" s="22" t="str">
        <f t="shared" si="46"/>
        <v>-</v>
      </c>
      <c r="R383" s="22" t="str">
        <f t="shared" si="43"/>
        <v>-</v>
      </c>
    </row>
    <row r="384" spans="1:18" ht="14.4" x14ac:dyDescent="0.25">
      <c r="A384" s="30">
        <v>97467030572</v>
      </c>
      <c r="B384" s="26">
        <v>3057</v>
      </c>
      <c r="C384" s="26" t="s">
        <v>429</v>
      </c>
      <c r="D384" s="31">
        <v>90</v>
      </c>
      <c r="E384" s="31">
        <v>3</v>
      </c>
      <c r="F384" s="38">
        <v>0.25764500000000001</v>
      </c>
      <c r="G384" s="32" t="s">
        <v>535</v>
      </c>
      <c r="H384" s="33">
        <v>29.187899999999999</v>
      </c>
      <c r="I384" s="11"/>
      <c r="J384" s="33">
        <f t="shared" si="41"/>
        <v>0</v>
      </c>
      <c r="M384" s="20" t="str">
        <f t="shared" si="44"/>
        <v>-</v>
      </c>
      <c r="N384" s="20" t="str">
        <f t="shared" si="42"/>
        <v>-</v>
      </c>
      <c r="O384" s="21" t="str">
        <f t="shared" si="45"/>
        <v>-</v>
      </c>
      <c r="P384" s="22" t="str">
        <f t="shared" si="46"/>
        <v>-</v>
      </c>
      <c r="R384" s="22" t="str">
        <f t="shared" si="43"/>
        <v>-</v>
      </c>
    </row>
    <row r="385" spans="1:18" ht="14.4" x14ac:dyDescent="0.25">
      <c r="A385" s="30">
        <v>97467030589</v>
      </c>
      <c r="B385" s="26">
        <v>3058</v>
      </c>
      <c r="C385" s="26" t="s">
        <v>429</v>
      </c>
      <c r="D385" s="31">
        <v>180</v>
      </c>
      <c r="E385" s="31">
        <v>3</v>
      </c>
      <c r="F385" s="38">
        <v>0.49713000000000002</v>
      </c>
      <c r="G385" s="32" t="s">
        <v>535</v>
      </c>
      <c r="H385" s="33">
        <v>52.250399999999999</v>
      </c>
      <c r="I385" s="11"/>
      <c r="J385" s="33">
        <f t="shared" si="41"/>
        <v>0</v>
      </c>
      <c r="M385" s="20" t="str">
        <f t="shared" si="44"/>
        <v>-</v>
      </c>
      <c r="N385" s="20" t="str">
        <f t="shared" si="42"/>
        <v>-</v>
      </c>
      <c r="O385" s="21" t="str">
        <f t="shared" si="45"/>
        <v>-</v>
      </c>
      <c r="P385" s="22" t="str">
        <f t="shared" si="46"/>
        <v>-</v>
      </c>
      <c r="R385" s="22" t="str">
        <f t="shared" si="43"/>
        <v>-</v>
      </c>
    </row>
    <row r="386" spans="1:18" ht="14.4" x14ac:dyDescent="0.25">
      <c r="A386" s="30">
        <v>97467305816</v>
      </c>
      <c r="B386" s="26">
        <v>30581</v>
      </c>
      <c r="C386" s="26" t="s">
        <v>430</v>
      </c>
      <c r="D386" s="31">
        <v>90</v>
      </c>
      <c r="E386" s="31">
        <v>3</v>
      </c>
      <c r="F386" s="38">
        <v>0.25083500000000003</v>
      </c>
      <c r="G386" s="32" t="s">
        <v>535</v>
      </c>
      <c r="H386" s="33">
        <v>29.187899999999999</v>
      </c>
      <c r="I386" s="11"/>
      <c r="J386" s="33">
        <f t="shared" si="41"/>
        <v>0</v>
      </c>
      <c r="M386" s="20" t="str">
        <f t="shared" si="44"/>
        <v>-</v>
      </c>
      <c r="N386" s="20" t="str">
        <f t="shared" si="42"/>
        <v>-</v>
      </c>
      <c r="O386" s="21" t="str">
        <f t="shared" si="45"/>
        <v>-</v>
      </c>
      <c r="P386" s="22" t="str">
        <f t="shared" si="46"/>
        <v>-</v>
      </c>
      <c r="R386" s="22" t="str">
        <f t="shared" si="43"/>
        <v>-</v>
      </c>
    </row>
    <row r="387" spans="1:18" ht="14.4" x14ac:dyDescent="0.25">
      <c r="A387" s="30">
        <v>97467305991</v>
      </c>
      <c r="B387" s="26">
        <v>30599</v>
      </c>
      <c r="C387" s="26" t="s">
        <v>430</v>
      </c>
      <c r="D387" s="31">
        <v>180</v>
      </c>
      <c r="E387" s="31">
        <v>3</v>
      </c>
      <c r="F387" s="38">
        <v>0.47215999999999997</v>
      </c>
      <c r="G387" s="32" t="s">
        <v>535</v>
      </c>
      <c r="H387" s="33">
        <v>52.250399999999999</v>
      </c>
      <c r="I387" s="11"/>
      <c r="J387" s="33">
        <f t="shared" ref="J387:J450" si="47">H387*I387</f>
        <v>0</v>
      </c>
      <c r="M387" s="20" t="str">
        <f t="shared" si="44"/>
        <v>-</v>
      </c>
      <c r="N387" s="20" t="str">
        <f t="shared" si="42"/>
        <v>-</v>
      </c>
      <c r="O387" s="21" t="str">
        <f t="shared" si="45"/>
        <v>-</v>
      </c>
      <c r="P387" s="22" t="str">
        <f t="shared" si="46"/>
        <v>-</v>
      </c>
      <c r="R387" s="22" t="str">
        <f t="shared" si="43"/>
        <v>-</v>
      </c>
    </row>
    <row r="388" spans="1:18" ht="14.4" x14ac:dyDescent="0.25">
      <c r="A388" s="30">
        <v>97467305823</v>
      </c>
      <c r="B388" s="26">
        <v>30582</v>
      </c>
      <c r="C388" s="26" t="s">
        <v>431</v>
      </c>
      <c r="D388" s="31">
        <v>90</v>
      </c>
      <c r="E388" s="31">
        <v>3</v>
      </c>
      <c r="F388" s="38">
        <v>0.13166</v>
      </c>
      <c r="G388" s="32" t="s">
        <v>535</v>
      </c>
      <c r="H388" s="33">
        <v>16.580399999999997</v>
      </c>
      <c r="I388" s="11"/>
      <c r="J388" s="33">
        <f t="shared" si="47"/>
        <v>0</v>
      </c>
      <c r="M388" s="20" t="str">
        <f t="shared" si="44"/>
        <v>-</v>
      </c>
      <c r="N388" s="20" t="str">
        <f t="shared" si="42"/>
        <v>-</v>
      </c>
      <c r="O388" s="21" t="str">
        <f t="shared" si="45"/>
        <v>-</v>
      </c>
      <c r="P388" s="22" t="str">
        <f t="shared" si="46"/>
        <v>-</v>
      </c>
      <c r="R388" s="22" t="str">
        <f t="shared" si="43"/>
        <v>-</v>
      </c>
    </row>
    <row r="389" spans="1:18" ht="14.4" x14ac:dyDescent="0.25">
      <c r="A389" s="30">
        <v>97467305830</v>
      </c>
      <c r="B389" s="26">
        <v>30583</v>
      </c>
      <c r="C389" s="26" t="s">
        <v>431</v>
      </c>
      <c r="D389" s="31">
        <v>180</v>
      </c>
      <c r="E389" s="31">
        <v>3</v>
      </c>
      <c r="F389" s="38">
        <v>0.24970000000000001</v>
      </c>
      <c r="G389" s="32" t="s">
        <v>535</v>
      </c>
      <c r="H389" s="33">
        <v>29.802900000000001</v>
      </c>
      <c r="I389" s="11"/>
      <c r="J389" s="33">
        <f t="shared" si="47"/>
        <v>0</v>
      </c>
      <c r="M389" s="20" t="str">
        <f t="shared" si="44"/>
        <v>-</v>
      </c>
      <c r="N389" s="20" t="str">
        <f t="shared" si="42"/>
        <v>-</v>
      </c>
      <c r="O389" s="21" t="str">
        <f t="shared" si="45"/>
        <v>-</v>
      </c>
      <c r="P389" s="22" t="str">
        <f t="shared" si="46"/>
        <v>-</v>
      </c>
      <c r="R389" s="22" t="str">
        <f t="shared" si="43"/>
        <v>-</v>
      </c>
    </row>
    <row r="390" spans="1:18" ht="14.4" x14ac:dyDescent="0.25">
      <c r="A390" s="30">
        <v>97467305847</v>
      </c>
      <c r="B390" s="26">
        <v>30584</v>
      </c>
      <c r="C390" s="26" t="s">
        <v>431</v>
      </c>
      <c r="D390" s="31">
        <v>360</v>
      </c>
      <c r="E390" s="31">
        <v>3</v>
      </c>
      <c r="F390" s="38">
        <v>0.46988999999999997</v>
      </c>
      <c r="G390" s="32" t="s">
        <v>535</v>
      </c>
      <c r="H390" s="33">
        <v>53.480399999999996</v>
      </c>
      <c r="I390" s="11"/>
      <c r="J390" s="33">
        <f t="shared" si="47"/>
        <v>0</v>
      </c>
      <c r="M390" s="20" t="str">
        <f t="shared" si="44"/>
        <v>-</v>
      </c>
      <c r="N390" s="20" t="str">
        <f t="shared" si="42"/>
        <v>-</v>
      </c>
      <c r="O390" s="21" t="str">
        <f t="shared" si="45"/>
        <v>-</v>
      </c>
      <c r="P390" s="22" t="str">
        <f t="shared" si="46"/>
        <v>-</v>
      </c>
      <c r="R390" s="22" t="str">
        <f t="shared" si="43"/>
        <v>-</v>
      </c>
    </row>
    <row r="391" spans="1:18" ht="14.4" x14ac:dyDescent="0.25">
      <c r="A391" s="30">
        <v>97467305878</v>
      </c>
      <c r="B391" s="26">
        <v>30587</v>
      </c>
      <c r="C391" s="26" t="s">
        <v>432</v>
      </c>
      <c r="D391" s="31">
        <v>90</v>
      </c>
      <c r="E391" s="31">
        <v>3</v>
      </c>
      <c r="F391" s="38">
        <v>0.13506499999999999</v>
      </c>
      <c r="G391" s="32" t="s">
        <v>535</v>
      </c>
      <c r="H391" s="33">
        <v>16.2729</v>
      </c>
      <c r="I391" s="11"/>
      <c r="J391" s="33">
        <f t="shared" si="47"/>
        <v>0</v>
      </c>
      <c r="M391" s="20" t="str">
        <f t="shared" si="44"/>
        <v>-</v>
      </c>
      <c r="N391" s="20" t="str">
        <f t="shared" si="42"/>
        <v>-</v>
      </c>
      <c r="O391" s="21" t="str">
        <f t="shared" si="45"/>
        <v>-</v>
      </c>
      <c r="P391" s="22" t="str">
        <f t="shared" si="46"/>
        <v>-</v>
      </c>
      <c r="R391" s="22" t="str">
        <f t="shared" si="43"/>
        <v>-</v>
      </c>
    </row>
    <row r="392" spans="1:18" ht="14.4" x14ac:dyDescent="0.25">
      <c r="A392" s="30">
        <v>97467305885</v>
      </c>
      <c r="B392" s="26">
        <v>30588</v>
      </c>
      <c r="C392" s="26" t="s">
        <v>432</v>
      </c>
      <c r="D392" s="31">
        <v>180</v>
      </c>
      <c r="E392" s="31">
        <v>3</v>
      </c>
      <c r="F392" s="38">
        <v>0.24629500000000001</v>
      </c>
      <c r="G392" s="32" t="s">
        <v>535</v>
      </c>
      <c r="H392" s="33">
        <v>29.495399999999997</v>
      </c>
      <c r="I392" s="11"/>
      <c r="J392" s="33">
        <f t="shared" si="47"/>
        <v>0</v>
      </c>
      <c r="M392" s="20" t="str">
        <f t="shared" si="44"/>
        <v>-</v>
      </c>
      <c r="N392" s="20" t="str">
        <f t="shared" si="42"/>
        <v>-</v>
      </c>
      <c r="O392" s="21" t="str">
        <f t="shared" si="45"/>
        <v>-</v>
      </c>
      <c r="P392" s="22" t="str">
        <f t="shared" si="46"/>
        <v>-</v>
      </c>
      <c r="R392" s="22" t="str">
        <f t="shared" si="43"/>
        <v>-</v>
      </c>
    </row>
    <row r="393" spans="1:18" ht="14.4" x14ac:dyDescent="0.25">
      <c r="A393" s="30">
        <v>97467305939</v>
      </c>
      <c r="B393" s="26">
        <v>30593</v>
      </c>
      <c r="C393" s="26" t="s">
        <v>433</v>
      </c>
      <c r="D393" s="31">
        <v>180</v>
      </c>
      <c r="E393" s="31">
        <v>3</v>
      </c>
      <c r="F393" s="38">
        <v>0.25083500000000003</v>
      </c>
      <c r="G393" s="32" t="s">
        <v>535</v>
      </c>
      <c r="H393" s="33">
        <v>29.495399999999997</v>
      </c>
      <c r="I393" s="11"/>
      <c r="J393" s="33">
        <f t="shared" si="47"/>
        <v>0</v>
      </c>
      <c r="M393" s="20" t="str">
        <f t="shared" si="44"/>
        <v>-</v>
      </c>
      <c r="N393" s="20" t="str">
        <f t="shared" si="42"/>
        <v>-</v>
      </c>
      <c r="O393" s="21" t="str">
        <f t="shared" si="45"/>
        <v>-</v>
      </c>
      <c r="P393" s="22" t="str">
        <f t="shared" si="46"/>
        <v>-</v>
      </c>
      <c r="R393" s="22" t="str">
        <f t="shared" si="43"/>
        <v>-</v>
      </c>
    </row>
    <row r="394" spans="1:18" ht="14.4" x14ac:dyDescent="0.25">
      <c r="A394" s="30">
        <v>97467305946</v>
      </c>
      <c r="B394" s="26">
        <v>30594</v>
      </c>
      <c r="C394" s="26" t="s">
        <v>217</v>
      </c>
      <c r="D394" s="31" t="s">
        <v>101</v>
      </c>
      <c r="E394" s="31">
        <v>3</v>
      </c>
      <c r="F394" s="38">
        <v>2.2314099999999999</v>
      </c>
      <c r="G394" s="32" t="s">
        <v>535</v>
      </c>
      <c r="H394" s="33">
        <v>36.863099999999996</v>
      </c>
      <c r="I394" s="11"/>
      <c r="J394" s="33">
        <f t="shared" si="47"/>
        <v>0</v>
      </c>
      <c r="M394" s="20" t="str">
        <f t="shared" si="44"/>
        <v>-</v>
      </c>
      <c r="N394" s="20" t="str">
        <f t="shared" si="42"/>
        <v>-</v>
      </c>
      <c r="O394" s="21" t="str">
        <f t="shared" si="45"/>
        <v>-</v>
      </c>
      <c r="P394" s="22" t="str">
        <f t="shared" si="46"/>
        <v>-</v>
      </c>
      <c r="R394" s="22" t="str">
        <f t="shared" si="43"/>
        <v>-</v>
      </c>
    </row>
    <row r="395" spans="1:18" ht="14.4" x14ac:dyDescent="0.25">
      <c r="A395" s="30">
        <v>97467305953</v>
      </c>
      <c r="B395" s="26">
        <v>30595</v>
      </c>
      <c r="C395" s="26" t="s">
        <v>434</v>
      </c>
      <c r="D395" s="31" t="s">
        <v>102</v>
      </c>
      <c r="E395" s="31">
        <v>3</v>
      </c>
      <c r="F395" s="38">
        <v>0.68554000000000004</v>
      </c>
      <c r="G395" s="32" t="s">
        <v>535</v>
      </c>
      <c r="H395" s="33">
        <v>25.424100000000003</v>
      </c>
      <c r="I395" s="11"/>
      <c r="J395" s="33">
        <f t="shared" si="47"/>
        <v>0</v>
      </c>
      <c r="M395" s="20" t="str">
        <f t="shared" si="44"/>
        <v>-</v>
      </c>
      <c r="N395" s="20" t="str">
        <f t="shared" si="42"/>
        <v>-</v>
      </c>
      <c r="O395" s="21" t="str">
        <f t="shared" si="45"/>
        <v>-</v>
      </c>
      <c r="P395" s="22" t="str">
        <f t="shared" si="46"/>
        <v>-</v>
      </c>
      <c r="R395" s="22" t="str">
        <f t="shared" si="43"/>
        <v>-</v>
      </c>
    </row>
    <row r="396" spans="1:18" ht="14.4" x14ac:dyDescent="0.25">
      <c r="A396" s="30">
        <v>97467305960</v>
      </c>
      <c r="B396" s="26">
        <v>30596</v>
      </c>
      <c r="C396" s="26" t="s">
        <v>434</v>
      </c>
      <c r="D396" s="31" t="s">
        <v>103</v>
      </c>
      <c r="E396" s="31">
        <v>3</v>
      </c>
      <c r="F396" s="38">
        <v>1.3131950000000001</v>
      </c>
      <c r="G396" s="32" t="s">
        <v>535</v>
      </c>
      <c r="H396" s="33">
        <v>45.350099999999998</v>
      </c>
      <c r="I396" s="11"/>
      <c r="J396" s="33">
        <f t="shared" si="47"/>
        <v>0</v>
      </c>
      <c r="M396" s="20" t="str">
        <f t="shared" si="44"/>
        <v>-</v>
      </c>
      <c r="N396" s="20" t="str">
        <f t="shared" si="42"/>
        <v>-</v>
      </c>
      <c r="O396" s="21" t="str">
        <f t="shared" si="45"/>
        <v>-</v>
      </c>
      <c r="P396" s="22" t="str">
        <f t="shared" si="46"/>
        <v>-</v>
      </c>
      <c r="R396" s="22" t="str">
        <f t="shared" si="43"/>
        <v>-</v>
      </c>
    </row>
    <row r="397" spans="1:18" ht="14.4" x14ac:dyDescent="0.25">
      <c r="A397" s="30">
        <v>97467905979</v>
      </c>
      <c r="B397" s="26">
        <v>90597</v>
      </c>
      <c r="C397" s="26" t="s">
        <v>218</v>
      </c>
      <c r="D397" s="31" t="s">
        <v>104</v>
      </c>
      <c r="E397" s="31">
        <v>3</v>
      </c>
      <c r="F397" s="38">
        <v>0.45627000000000001</v>
      </c>
      <c r="G397" s="32" t="s">
        <v>535</v>
      </c>
      <c r="H397" s="33">
        <v>22.103099999999998</v>
      </c>
      <c r="I397" s="11"/>
      <c r="J397" s="33">
        <f t="shared" si="47"/>
        <v>0</v>
      </c>
      <c r="M397" s="20" t="str">
        <f t="shared" si="44"/>
        <v>-</v>
      </c>
      <c r="N397" s="20" t="str">
        <f t="shared" si="42"/>
        <v>-</v>
      </c>
      <c r="O397" s="21" t="str">
        <f t="shared" si="45"/>
        <v>-</v>
      </c>
      <c r="P397" s="22" t="str">
        <f t="shared" si="46"/>
        <v>-</v>
      </c>
      <c r="R397" s="22" t="str">
        <f t="shared" si="43"/>
        <v>-</v>
      </c>
    </row>
    <row r="398" spans="1:18" ht="14.4" x14ac:dyDescent="0.25">
      <c r="A398" s="30">
        <v>97467456020</v>
      </c>
      <c r="B398" s="26">
        <v>45602</v>
      </c>
      <c r="C398" s="26" t="s">
        <v>435</v>
      </c>
      <c r="D398" s="31" t="s">
        <v>133</v>
      </c>
      <c r="E398" s="31">
        <v>3</v>
      </c>
      <c r="F398" s="38">
        <v>0.64467999999999992</v>
      </c>
      <c r="G398" s="32" t="s">
        <v>535</v>
      </c>
      <c r="H398" s="33">
        <v>17.675099999999997</v>
      </c>
      <c r="I398" s="11"/>
      <c r="J398" s="33">
        <f t="shared" si="47"/>
        <v>0</v>
      </c>
      <c r="M398" s="20" t="str">
        <f t="shared" si="44"/>
        <v>-</v>
      </c>
      <c r="N398" s="20" t="str">
        <f t="shared" si="42"/>
        <v>-</v>
      </c>
      <c r="O398" s="21" t="str">
        <f t="shared" si="45"/>
        <v>-</v>
      </c>
      <c r="P398" s="22" t="str">
        <f t="shared" si="46"/>
        <v>-</v>
      </c>
      <c r="R398" s="22" t="str">
        <f t="shared" si="43"/>
        <v>-</v>
      </c>
    </row>
    <row r="399" spans="1:18" ht="14.4" x14ac:dyDescent="0.25">
      <c r="A399" s="30">
        <v>97467045705</v>
      </c>
      <c r="B399" s="26">
        <v>4570</v>
      </c>
      <c r="C399" s="26" t="s">
        <v>436</v>
      </c>
      <c r="D399" s="31" t="s">
        <v>135</v>
      </c>
      <c r="E399" s="31">
        <v>3</v>
      </c>
      <c r="F399" s="38">
        <v>0.64467999999999992</v>
      </c>
      <c r="G399" s="32" t="s">
        <v>535</v>
      </c>
      <c r="H399" s="33">
        <v>22.103099999999998</v>
      </c>
      <c r="I399" s="11"/>
      <c r="J399" s="33">
        <f t="shared" si="47"/>
        <v>0</v>
      </c>
      <c r="M399" s="20" t="str">
        <f t="shared" si="44"/>
        <v>-</v>
      </c>
      <c r="N399" s="20" t="str">
        <f t="shared" si="42"/>
        <v>-</v>
      </c>
      <c r="O399" s="21" t="str">
        <f t="shared" si="45"/>
        <v>-</v>
      </c>
      <c r="P399" s="22" t="str">
        <f t="shared" si="46"/>
        <v>-</v>
      </c>
      <c r="R399" s="22" t="str">
        <f t="shared" si="43"/>
        <v>-</v>
      </c>
    </row>
    <row r="400" spans="1:18" ht="14.4" x14ac:dyDescent="0.25">
      <c r="A400" s="30">
        <v>97467045712</v>
      </c>
      <c r="B400" s="26">
        <v>4571</v>
      </c>
      <c r="C400" s="26" t="s">
        <v>436</v>
      </c>
      <c r="D400" s="31" t="s">
        <v>136</v>
      </c>
      <c r="E400" s="31">
        <v>3</v>
      </c>
      <c r="F400" s="38">
        <v>1.2496350000000001</v>
      </c>
      <c r="G400" s="32" t="s">
        <v>535</v>
      </c>
      <c r="H400" s="33">
        <v>39.446100000000001</v>
      </c>
      <c r="I400" s="11"/>
      <c r="J400" s="33">
        <f t="shared" si="47"/>
        <v>0</v>
      </c>
      <c r="M400" s="20" t="str">
        <f t="shared" si="44"/>
        <v>-</v>
      </c>
      <c r="N400" s="20" t="str">
        <f t="shared" si="42"/>
        <v>-</v>
      </c>
      <c r="O400" s="21" t="str">
        <f t="shared" si="45"/>
        <v>-</v>
      </c>
      <c r="P400" s="22" t="str">
        <f t="shared" si="46"/>
        <v>-</v>
      </c>
      <c r="R400" s="22" t="str">
        <f t="shared" si="43"/>
        <v>-</v>
      </c>
    </row>
    <row r="401" spans="1:18" ht="14.4" x14ac:dyDescent="0.25">
      <c r="A401" s="30">
        <v>97467958210</v>
      </c>
      <c r="B401" s="26">
        <v>95821</v>
      </c>
      <c r="C401" s="26" t="s">
        <v>437</v>
      </c>
      <c r="D401" s="31" t="s">
        <v>104</v>
      </c>
      <c r="E401" s="31">
        <v>3</v>
      </c>
      <c r="F401" s="38">
        <v>0.42335499999999998</v>
      </c>
      <c r="G401" s="32" t="s">
        <v>535</v>
      </c>
      <c r="H401" s="33">
        <v>15.497999999999998</v>
      </c>
      <c r="I401" s="11"/>
      <c r="J401" s="33">
        <f t="shared" si="47"/>
        <v>0</v>
      </c>
      <c r="M401" s="20" t="str">
        <f t="shared" si="44"/>
        <v>-</v>
      </c>
      <c r="N401" s="20" t="str">
        <f t="shared" si="42"/>
        <v>-</v>
      </c>
      <c r="O401" s="21" t="str">
        <f t="shared" si="45"/>
        <v>-</v>
      </c>
      <c r="P401" s="22" t="str">
        <f t="shared" si="46"/>
        <v>-</v>
      </c>
      <c r="R401" s="22" t="str">
        <f t="shared" si="43"/>
        <v>-</v>
      </c>
    </row>
    <row r="402" spans="1:18" ht="14.4" x14ac:dyDescent="0.25">
      <c r="A402" s="30">
        <v>97467958319</v>
      </c>
      <c r="B402" s="26">
        <v>95831</v>
      </c>
      <c r="C402" s="26" t="s">
        <v>438</v>
      </c>
      <c r="D402" s="31" t="s">
        <v>104</v>
      </c>
      <c r="E402" s="31">
        <v>3</v>
      </c>
      <c r="F402" s="38">
        <v>0.36433500000000002</v>
      </c>
      <c r="G402" s="32" t="s">
        <v>535</v>
      </c>
      <c r="H402" s="33">
        <v>15.497999999999998</v>
      </c>
      <c r="I402" s="11"/>
      <c r="J402" s="33">
        <f t="shared" si="47"/>
        <v>0</v>
      </c>
      <c r="M402" s="20" t="str">
        <f t="shared" si="44"/>
        <v>-</v>
      </c>
      <c r="N402" s="20" t="str">
        <f t="shared" si="42"/>
        <v>-</v>
      </c>
      <c r="O402" s="21" t="str">
        <f t="shared" si="45"/>
        <v>-</v>
      </c>
      <c r="P402" s="22" t="str">
        <f t="shared" si="46"/>
        <v>-</v>
      </c>
      <c r="R402" s="22" t="str">
        <f t="shared" si="43"/>
        <v>-</v>
      </c>
    </row>
    <row r="403" spans="1:18" ht="14.4" x14ac:dyDescent="0.25">
      <c r="A403" s="30">
        <v>97467958418</v>
      </c>
      <c r="B403" s="26">
        <v>95841</v>
      </c>
      <c r="C403" s="26" t="s">
        <v>439</v>
      </c>
      <c r="D403" s="31" t="s">
        <v>104</v>
      </c>
      <c r="E403" s="31">
        <v>3</v>
      </c>
      <c r="F403" s="38">
        <v>0.39270999999999995</v>
      </c>
      <c r="G403" s="32" t="s">
        <v>535</v>
      </c>
      <c r="H403" s="33">
        <v>15.497999999999998</v>
      </c>
      <c r="I403" s="11"/>
      <c r="J403" s="33">
        <f t="shared" si="47"/>
        <v>0</v>
      </c>
      <c r="M403" s="20" t="str">
        <f t="shared" si="44"/>
        <v>-</v>
      </c>
      <c r="N403" s="20" t="str">
        <f t="shared" si="42"/>
        <v>-</v>
      </c>
      <c r="O403" s="21" t="str">
        <f t="shared" si="45"/>
        <v>-</v>
      </c>
      <c r="P403" s="22" t="str">
        <f t="shared" si="46"/>
        <v>-</v>
      </c>
      <c r="R403" s="22" t="str">
        <f t="shared" si="43"/>
        <v>-</v>
      </c>
    </row>
    <row r="404" spans="1:18" ht="14.4" x14ac:dyDescent="0.25">
      <c r="A404" s="30">
        <v>97467958616</v>
      </c>
      <c r="B404" s="26">
        <v>95861</v>
      </c>
      <c r="C404" s="26" t="s">
        <v>440</v>
      </c>
      <c r="D404" s="31" t="s">
        <v>104</v>
      </c>
      <c r="E404" s="31">
        <v>3</v>
      </c>
      <c r="F404" s="38">
        <v>0.42676000000000003</v>
      </c>
      <c r="G404" s="32" t="s">
        <v>535</v>
      </c>
      <c r="H404" s="33">
        <v>15.497999999999998</v>
      </c>
      <c r="I404" s="11"/>
      <c r="J404" s="33">
        <f t="shared" si="47"/>
        <v>0</v>
      </c>
      <c r="M404" s="20" t="str">
        <f t="shared" si="44"/>
        <v>-</v>
      </c>
      <c r="N404" s="20" t="str">
        <f t="shared" si="42"/>
        <v>-</v>
      </c>
      <c r="O404" s="21" t="str">
        <f t="shared" si="45"/>
        <v>-</v>
      </c>
      <c r="P404" s="22" t="str">
        <f t="shared" si="46"/>
        <v>-</v>
      </c>
      <c r="R404" s="22" t="str">
        <f t="shared" si="43"/>
        <v>-</v>
      </c>
    </row>
    <row r="405" spans="1:18" ht="14.4" x14ac:dyDescent="0.25">
      <c r="A405" s="30">
        <v>97467045736</v>
      </c>
      <c r="B405" s="26">
        <v>4573</v>
      </c>
      <c r="C405" s="26" t="s">
        <v>441</v>
      </c>
      <c r="D405" s="31" t="s">
        <v>110</v>
      </c>
      <c r="E405" s="31">
        <v>3</v>
      </c>
      <c r="F405" s="38">
        <v>0.72299500000000005</v>
      </c>
      <c r="G405" s="32" t="s">
        <v>535</v>
      </c>
      <c r="H405" s="33">
        <v>22.103099999999998</v>
      </c>
      <c r="I405" s="11"/>
      <c r="J405" s="33">
        <f t="shared" si="47"/>
        <v>0</v>
      </c>
      <c r="M405" s="20" t="str">
        <f t="shared" si="44"/>
        <v>-</v>
      </c>
      <c r="N405" s="20" t="str">
        <f t="shared" si="42"/>
        <v>-</v>
      </c>
      <c r="O405" s="21" t="str">
        <f t="shared" si="45"/>
        <v>-</v>
      </c>
      <c r="P405" s="22" t="str">
        <f t="shared" si="46"/>
        <v>-</v>
      </c>
      <c r="R405" s="22" t="str">
        <f t="shared" si="43"/>
        <v>-</v>
      </c>
    </row>
    <row r="406" spans="1:18" ht="14.4" x14ac:dyDescent="0.25">
      <c r="A406" s="30">
        <v>97467045743</v>
      </c>
      <c r="B406" s="26">
        <v>4574</v>
      </c>
      <c r="C406" s="26" t="s">
        <v>441</v>
      </c>
      <c r="D406" s="31" t="s">
        <v>105</v>
      </c>
      <c r="E406" s="31">
        <v>3</v>
      </c>
      <c r="F406" s="38">
        <v>1.3835650000000002</v>
      </c>
      <c r="G406" s="32" t="s">
        <v>535</v>
      </c>
      <c r="H406" s="33">
        <v>39.446100000000001</v>
      </c>
      <c r="I406" s="11"/>
      <c r="J406" s="33">
        <f t="shared" si="47"/>
        <v>0</v>
      </c>
      <c r="M406" s="20" t="str">
        <f t="shared" si="44"/>
        <v>-</v>
      </c>
      <c r="N406" s="20" t="str">
        <f t="shared" si="42"/>
        <v>-</v>
      </c>
      <c r="O406" s="21" t="str">
        <f t="shared" si="45"/>
        <v>-</v>
      </c>
      <c r="P406" s="22" t="str">
        <f t="shared" si="46"/>
        <v>-</v>
      </c>
      <c r="R406" s="22" t="str">
        <f t="shared" si="43"/>
        <v>-</v>
      </c>
    </row>
    <row r="407" spans="1:18" ht="14.4" x14ac:dyDescent="0.25">
      <c r="A407" s="30">
        <v>97467045767</v>
      </c>
      <c r="B407" s="26">
        <v>4576</v>
      </c>
      <c r="C407" s="26" t="s">
        <v>442</v>
      </c>
      <c r="D407" s="31" t="s">
        <v>110</v>
      </c>
      <c r="E407" s="31">
        <v>3</v>
      </c>
      <c r="F407" s="38">
        <v>0.73775000000000002</v>
      </c>
      <c r="G407" s="32" t="s">
        <v>535</v>
      </c>
      <c r="H407" s="33">
        <v>22.103099999999998</v>
      </c>
      <c r="I407" s="11"/>
      <c r="J407" s="33">
        <f t="shared" si="47"/>
        <v>0</v>
      </c>
      <c r="M407" s="20" t="str">
        <f t="shared" si="44"/>
        <v>-</v>
      </c>
      <c r="N407" s="20" t="str">
        <f t="shared" si="42"/>
        <v>-</v>
      </c>
      <c r="O407" s="21" t="str">
        <f t="shared" si="45"/>
        <v>-</v>
      </c>
      <c r="P407" s="22" t="str">
        <f t="shared" si="46"/>
        <v>-</v>
      </c>
      <c r="R407" s="22" t="str">
        <f t="shared" si="43"/>
        <v>-</v>
      </c>
    </row>
    <row r="408" spans="1:18" ht="14.4" x14ac:dyDescent="0.25">
      <c r="A408" s="30">
        <v>97467045774</v>
      </c>
      <c r="B408" s="26">
        <v>4577</v>
      </c>
      <c r="C408" s="26" t="s">
        <v>442</v>
      </c>
      <c r="D408" s="31" t="s">
        <v>105</v>
      </c>
      <c r="E408" s="31">
        <v>3</v>
      </c>
      <c r="F408" s="38">
        <v>1.3903750000000001</v>
      </c>
      <c r="G408" s="32" t="s">
        <v>535</v>
      </c>
      <c r="H408" s="33">
        <v>39.446100000000001</v>
      </c>
      <c r="I408" s="11"/>
      <c r="J408" s="33">
        <f t="shared" si="47"/>
        <v>0</v>
      </c>
      <c r="M408" s="20" t="str">
        <f t="shared" si="44"/>
        <v>-</v>
      </c>
      <c r="N408" s="20" t="str">
        <f t="shared" si="42"/>
        <v>-</v>
      </c>
      <c r="O408" s="21" t="str">
        <f t="shared" si="45"/>
        <v>-</v>
      </c>
      <c r="P408" s="22" t="str">
        <f t="shared" si="46"/>
        <v>-</v>
      </c>
      <c r="R408" s="22" t="str">
        <f t="shared" si="43"/>
        <v>-</v>
      </c>
    </row>
    <row r="409" spans="1:18" ht="14.4" x14ac:dyDescent="0.25">
      <c r="A409" s="30">
        <v>97467045804</v>
      </c>
      <c r="B409" s="26">
        <v>4580</v>
      </c>
      <c r="C409" s="26" t="s">
        <v>443</v>
      </c>
      <c r="D409" s="31" t="s">
        <v>106</v>
      </c>
      <c r="E409" s="31">
        <v>3</v>
      </c>
      <c r="F409" s="38">
        <v>0.72413000000000005</v>
      </c>
      <c r="G409" s="32" t="s">
        <v>535</v>
      </c>
      <c r="H409" s="33">
        <v>22.103099999999998</v>
      </c>
      <c r="I409" s="11"/>
      <c r="J409" s="33">
        <f t="shared" si="47"/>
        <v>0</v>
      </c>
      <c r="M409" s="20" t="str">
        <f t="shared" si="44"/>
        <v>-</v>
      </c>
      <c r="N409" s="20" t="str">
        <f t="shared" si="42"/>
        <v>-</v>
      </c>
      <c r="O409" s="21" t="str">
        <f t="shared" si="45"/>
        <v>-</v>
      </c>
      <c r="P409" s="22" t="str">
        <f t="shared" si="46"/>
        <v>-</v>
      </c>
      <c r="R409" s="22" t="str">
        <f t="shared" si="43"/>
        <v>-</v>
      </c>
    </row>
    <row r="410" spans="1:18" ht="14.4" x14ac:dyDescent="0.25">
      <c r="A410" s="30">
        <v>97467045811</v>
      </c>
      <c r="B410" s="26">
        <v>4581</v>
      </c>
      <c r="C410" s="26" t="s">
        <v>219</v>
      </c>
      <c r="D410" s="31" t="s">
        <v>107</v>
      </c>
      <c r="E410" s="31">
        <v>3</v>
      </c>
      <c r="F410" s="38">
        <v>1.38697</v>
      </c>
      <c r="G410" s="32" t="s">
        <v>535</v>
      </c>
      <c r="H410" s="33">
        <v>39.446100000000001</v>
      </c>
      <c r="I410" s="11"/>
      <c r="J410" s="33">
        <f t="shared" si="47"/>
        <v>0</v>
      </c>
      <c r="M410" s="20" t="str">
        <f t="shared" si="44"/>
        <v>-</v>
      </c>
      <c r="N410" s="20" t="str">
        <f t="shared" si="42"/>
        <v>-</v>
      </c>
      <c r="O410" s="21" t="str">
        <f t="shared" si="45"/>
        <v>-</v>
      </c>
      <c r="P410" s="22" t="str">
        <f t="shared" si="46"/>
        <v>-</v>
      </c>
      <c r="R410" s="22" t="str">
        <f t="shared" si="43"/>
        <v>-</v>
      </c>
    </row>
    <row r="411" spans="1:18" ht="14.4" x14ac:dyDescent="0.25">
      <c r="A411" s="30">
        <v>97467458819</v>
      </c>
      <c r="B411" s="26">
        <v>45881</v>
      </c>
      <c r="C411" s="26" t="s">
        <v>220</v>
      </c>
      <c r="D411" s="31" t="s">
        <v>108</v>
      </c>
      <c r="E411" s="31">
        <v>3</v>
      </c>
      <c r="F411" s="38">
        <v>0.51075000000000004</v>
      </c>
      <c r="G411" s="32" t="s">
        <v>535</v>
      </c>
      <c r="H411" s="33">
        <v>22.103099999999998</v>
      </c>
      <c r="I411" s="11"/>
      <c r="J411" s="33">
        <f t="shared" si="47"/>
        <v>0</v>
      </c>
      <c r="M411" s="20" t="str">
        <f t="shared" si="44"/>
        <v>-</v>
      </c>
      <c r="N411" s="20" t="str">
        <f t="shared" si="42"/>
        <v>-</v>
      </c>
      <c r="O411" s="21" t="str">
        <f t="shared" si="45"/>
        <v>-</v>
      </c>
      <c r="P411" s="22" t="str">
        <f t="shared" si="46"/>
        <v>-</v>
      </c>
      <c r="R411" s="22" t="str">
        <f t="shared" si="43"/>
        <v>-</v>
      </c>
    </row>
    <row r="412" spans="1:18" ht="14.4" x14ac:dyDescent="0.25">
      <c r="A412" s="30">
        <v>97467458840</v>
      </c>
      <c r="B412" s="26">
        <v>45884</v>
      </c>
      <c r="C412" s="26" t="s">
        <v>220</v>
      </c>
      <c r="D412" s="31" t="s">
        <v>137</v>
      </c>
      <c r="E412" s="31">
        <v>3</v>
      </c>
      <c r="F412" s="38">
        <v>0.83989999999999998</v>
      </c>
      <c r="G412" s="32" t="s">
        <v>535</v>
      </c>
      <c r="H412" s="33">
        <v>39.446100000000001</v>
      </c>
      <c r="I412" s="11"/>
      <c r="J412" s="33">
        <f t="shared" si="47"/>
        <v>0</v>
      </c>
      <c r="M412" s="20" t="str">
        <f t="shared" si="44"/>
        <v>-</v>
      </c>
      <c r="N412" s="20" t="str">
        <f t="shared" si="42"/>
        <v>-</v>
      </c>
      <c r="O412" s="21" t="str">
        <f t="shared" si="45"/>
        <v>-</v>
      </c>
      <c r="P412" s="22" t="str">
        <f t="shared" si="46"/>
        <v>-</v>
      </c>
      <c r="R412" s="22" t="str">
        <f t="shared" si="43"/>
        <v>-</v>
      </c>
    </row>
    <row r="413" spans="1:18" ht="14.4" x14ac:dyDescent="0.25">
      <c r="A413" s="30">
        <v>97467045903</v>
      </c>
      <c r="B413" s="26">
        <v>4590</v>
      </c>
      <c r="C413" s="26" t="s">
        <v>221</v>
      </c>
      <c r="D413" s="31" t="s">
        <v>108</v>
      </c>
      <c r="E413" s="31">
        <v>3</v>
      </c>
      <c r="F413" s="38">
        <v>0.51075000000000004</v>
      </c>
      <c r="G413" s="32" t="s">
        <v>535</v>
      </c>
      <c r="H413" s="33">
        <v>22.103099999999998</v>
      </c>
      <c r="I413" s="11"/>
      <c r="J413" s="33">
        <f t="shared" si="47"/>
        <v>0</v>
      </c>
      <c r="M413" s="20" t="str">
        <f t="shared" si="44"/>
        <v>-</v>
      </c>
      <c r="N413" s="20" t="str">
        <f t="shared" si="42"/>
        <v>-</v>
      </c>
      <c r="O413" s="21" t="str">
        <f t="shared" si="45"/>
        <v>-</v>
      </c>
      <c r="P413" s="22" t="str">
        <f t="shared" si="46"/>
        <v>-</v>
      </c>
      <c r="R413" s="22" t="str">
        <f t="shared" si="43"/>
        <v>-</v>
      </c>
    </row>
    <row r="414" spans="1:18" ht="14.4" x14ac:dyDescent="0.25">
      <c r="A414" s="30">
        <v>97467045835</v>
      </c>
      <c r="B414" s="26">
        <v>4583</v>
      </c>
      <c r="C414" s="26" t="s">
        <v>444</v>
      </c>
      <c r="D414" s="31" t="s">
        <v>102</v>
      </c>
      <c r="E414" s="31">
        <v>3</v>
      </c>
      <c r="F414" s="38">
        <v>0.71391499999999997</v>
      </c>
      <c r="G414" s="32" t="s">
        <v>535</v>
      </c>
      <c r="H414" s="33">
        <v>22.103099999999998</v>
      </c>
      <c r="I414" s="11"/>
      <c r="J414" s="33">
        <f t="shared" si="47"/>
        <v>0</v>
      </c>
      <c r="M414" s="20" t="str">
        <f t="shared" si="44"/>
        <v>-</v>
      </c>
      <c r="N414" s="20" t="str">
        <f t="shared" si="42"/>
        <v>-</v>
      </c>
      <c r="O414" s="21" t="str">
        <f t="shared" si="45"/>
        <v>-</v>
      </c>
      <c r="P414" s="22" t="str">
        <f t="shared" si="46"/>
        <v>-</v>
      </c>
      <c r="R414" s="22" t="str">
        <f t="shared" si="43"/>
        <v>-</v>
      </c>
    </row>
    <row r="415" spans="1:18" ht="14.4" x14ac:dyDescent="0.25">
      <c r="A415" s="30">
        <v>97467045842</v>
      </c>
      <c r="B415" s="26">
        <v>4584</v>
      </c>
      <c r="C415" s="26" t="s">
        <v>444</v>
      </c>
      <c r="D415" s="31" t="s">
        <v>138</v>
      </c>
      <c r="E415" s="31">
        <v>3</v>
      </c>
      <c r="F415" s="38">
        <v>1.31887</v>
      </c>
      <c r="G415" s="32" t="s">
        <v>535</v>
      </c>
      <c r="H415" s="33">
        <v>39.446100000000001</v>
      </c>
      <c r="I415" s="11"/>
      <c r="J415" s="33">
        <f t="shared" si="47"/>
        <v>0</v>
      </c>
      <c r="M415" s="20" t="str">
        <f t="shared" si="44"/>
        <v>-</v>
      </c>
      <c r="N415" s="20" t="str">
        <f t="shared" si="42"/>
        <v>-</v>
      </c>
      <c r="O415" s="21" t="str">
        <f t="shared" si="45"/>
        <v>-</v>
      </c>
      <c r="P415" s="22" t="str">
        <f t="shared" si="46"/>
        <v>-</v>
      </c>
      <c r="R415" s="22" t="str">
        <f t="shared" si="43"/>
        <v>-</v>
      </c>
    </row>
    <row r="416" spans="1:18" ht="14.4" x14ac:dyDescent="0.25">
      <c r="A416" s="30">
        <v>97467458482</v>
      </c>
      <c r="B416" s="26">
        <v>45848</v>
      </c>
      <c r="C416" s="26" t="s">
        <v>222</v>
      </c>
      <c r="D416" s="31" t="s">
        <v>109</v>
      </c>
      <c r="E416" s="31">
        <v>3</v>
      </c>
      <c r="F416" s="38">
        <v>0.72413000000000005</v>
      </c>
      <c r="G416" s="32" t="s">
        <v>535</v>
      </c>
      <c r="H416" s="33">
        <v>22.103099999999998</v>
      </c>
      <c r="I416" s="11"/>
      <c r="J416" s="33">
        <f t="shared" si="47"/>
        <v>0</v>
      </c>
      <c r="M416" s="20" t="str">
        <f t="shared" si="44"/>
        <v>-</v>
      </c>
      <c r="N416" s="20" t="str">
        <f t="shared" si="42"/>
        <v>-</v>
      </c>
      <c r="O416" s="21" t="str">
        <f t="shared" si="45"/>
        <v>-</v>
      </c>
      <c r="P416" s="22" t="str">
        <f t="shared" si="46"/>
        <v>-</v>
      </c>
      <c r="R416" s="22" t="str">
        <f t="shared" si="43"/>
        <v>-</v>
      </c>
    </row>
    <row r="417" spans="1:18" ht="14.4" x14ac:dyDescent="0.25">
      <c r="A417" s="30">
        <v>97467458703</v>
      </c>
      <c r="B417" s="26">
        <v>45870</v>
      </c>
      <c r="C417" s="26" t="s">
        <v>223</v>
      </c>
      <c r="D417" s="31" t="s">
        <v>110</v>
      </c>
      <c r="E417" s="31">
        <v>3</v>
      </c>
      <c r="F417" s="38">
        <v>0.70710499999999998</v>
      </c>
      <c r="G417" s="32" t="s">
        <v>535</v>
      </c>
      <c r="H417" s="33">
        <v>22.103099999999998</v>
      </c>
      <c r="I417" s="11"/>
      <c r="J417" s="33">
        <f t="shared" si="47"/>
        <v>0</v>
      </c>
      <c r="M417" s="20" t="str">
        <f t="shared" si="44"/>
        <v>-</v>
      </c>
      <c r="N417" s="20" t="str">
        <f t="shared" si="42"/>
        <v>-</v>
      </c>
      <c r="O417" s="21" t="str">
        <f t="shared" si="45"/>
        <v>-</v>
      </c>
      <c r="P417" s="22" t="str">
        <f t="shared" si="46"/>
        <v>-</v>
      </c>
      <c r="R417" s="22" t="str">
        <f t="shared" si="43"/>
        <v>-</v>
      </c>
    </row>
    <row r="418" spans="1:18" ht="14.4" x14ac:dyDescent="0.25">
      <c r="A418" s="30">
        <v>97467458710</v>
      </c>
      <c r="B418" s="26">
        <v>45871</v>
      </c>
      <c r="C418" s="26" t="s">
        <v>223</v>
      </c>
      <c r="D418" s="31" t="s">
        <v>111</v>
      </c>
      <c r="E418" s="31">
        <v>3</v>
      </c>
      <c r="F418" s="38">
        <v>1.3313550000000001</v>
      </c>
      <c r="G418" s="32" t="s">
        <v>535</v>
      </c>
      <c r="H418" s="33">
        <v>39.446100000000001</v>
      </c>
      <c r="I418" s="11"/>
      <c r="J418" s="33">
        <f t="shared" si="47"/>
        <v>0</v>
      </c>
      <c r="M418" s="20" t="str">
        <f t="shared" si="44"/>
        <v>-</v>
      </c>
      <c r="N418" s="20" t="str">
        <f t="shared" si="42"/>
        <v>-</v>
      </c>
      <c r="O418" s="21" t="str">
        <f t="shared" si="45"/>
        <v>-</v>
      </c>
      <c r="P418" s="22" t="str">
        <f t="shared" si="46"/>
        <v>-</v>
      </c>
      <c r="R418" s="22" t="str">
        <f t="shared" si="43"/>
        <v>-</v>
      </c>
    </row>
    <row r="419" spans="1:18" ht="14.4" x14ac:dyDescent="0.25">
      <c r="A419" s="30">
        <v>97467458789</v>
      </c>
      <c r="B419" s="26">
        <v>45878</v>
      </c>
      <c r="C419" s="26" t="s">
        <v>445</v>
      </c>
      <c r="D419" s="31" t="s">
        <v>110</v>
      </c>
      <c r="E419" s="31">
        <v>3</v>
      </c>
      <c r="F419" s="38">
        <v>0.73661500000000002</v>
      </c>
      <c r="G419" s="32" t="s">
        <v>535</v>
      </c>
      <c r="H419" s="33">
        <v>25.424100000000003</v>
      </c>
      <c r="I419" s="11"/>
      <c r="J419" s="33">
        <f t="shared" si="47"/>
        <v>0</v>
      </c>
      <c r="M419" s="20" t="str">
        <f t="shared" si="44"/>
        <v>-</v>
      </c>
      <c r="N419" s="20" t="str">
        <f t="shared" si="42"/>
        <v>-</v>
      </c>
      <c r="O419" s="21" t="str">
        <f t="shared" si="45"/>
        <v>-</v>
      </c>
      <c r="P419" s="22" t="str">
        <f t="shared" si="46"/>
        <v>-</v>
      </c>
      <c r="R419" s="22" t="str">
        <f t="shared" si="43"/>
        <v>-</v>
      </c>
    </row>
    <row r="420" spans="1:18" ht="14.4" x14ac:dyDescent="0.25">
      <c r="A420" s="30">
        <v>97467458871</v>
      </c>
      <c r="B420" s="26">
        <v>45887</v>
      </c>
      <c r="C420" s="26" t="s">
        <v>446</v>
      </c>
      <c r="D420" s="31" t="s">
        <v>139</v>
      </c>
      <c r="E420" s="31">
        <v>3</v>
      </c>
      <c r="F420" s="38">
        <v>0.66056999999999999</v>
      </c>
      <c r="G420" s="32" t="s">
        <v>535</v>
      </c>
      <c r="H420" s="33">
        <v>22.103099999999998</v>
      </c>
      <c r="I420" s="11"/>
      <c r="J420" s="33">
        <f t="shared" si="47"/>
        <v>0</v>
      </c>
      <c r="M420" s="20" t="str">
        <f t="shared" si="44"/>
        <v>-</v>
      </c>
      <c r="N420" s="20" t="str">
        <f t="shared" si="42"/>
        <v>-</v>
      </c>
      <c r="O420" s="21" t="str">
        <f t="shared" si="45"/>
        <v>-</v>
      </c>
      <c r="P420" s="22" t="str">
        <f t="shared" si="46"/>
        <v>-</v>
      </c>
      <c r="R420" s="22" t="str">
        <f t="shared" si="43"/>
        <v>-</v>
      </c>
    </row>
    <row r="421" spans="1:18" ht="14.4" x14ac:dyDescent="0.25">
      <c r="A421" s="30">
        <v>97467458888</v>
      </c>
      <c r="B421" s="26">
        <v>45888</v>
      </c>
      <c r="C421" s="26" t="s">
        <v>446</v>
      </c>
      <c r="D421" s="31" t="s">
        <v>111</v>
      </c>
      <c r="E421" s="31">
        <v>3</v>
      </c>
      <c r="F421" s="38">
        <v>1.347245</v>
      </c>
      <c r="G421" s="32" t="s">
        <v>535</v>
      </c>
      <c r="H421" s="33">
        <v>39.446100000000001</v>
      </c>
      <c r="I421" s="11"/>
      <c r="J421" s="33">
        <f t="shared" si="47"/>
        <v>0</v>
      </c>
      <c r="M421" s="20" t="str">
        <f t="shared" si="44"/>
        <v>-</v>
      </c>
      <c r="N421" s="20" t="str">
        <f t="shared" si="42"/>
        <v>-</v>
      </c>
      <c r="O421" s="21" t="str">
        <f t="shared" si="45"/>
        <v>-</v>
      </c>
      <c r="P421" s="22" t="str">
        <f t="shared" si="46"/>
        <v>-</v>
      </c>
      <c r="R421" s="22" t="str">
        <f t="shared" si="43"/>
        <v>-</v>
      </c>
    </row>
    <row r="422" spans="1:18" ht="14.4" x14ac:dyDescent="0.25">
      <c r="A422" s="30">
        <v>97467458949</v>
      </c>
      <c r="B422" s="26">
        <v>45894</v>
      </c>
      <c r="C422" s="26" t="s">
        <v>447</v>
      </c>
      <c r="D422" s="31" t="s">
        <v>109</v>
      </c>
      <c r="E422" s="31">
        <v>3</v>
      </c>
      <c r="F422" s="38">
        <v>0.64354499999999992</v>
      </c>
      <c r="G422" s="32" t="s">
        <v>535</v>
      </c>
      <c r="H422" s="33">
        <v>22.103099999999998</v>
      </c>
      <c r="I422" s="11"/>
      <c r="J422" s="33">
        <f t="shared" si="47"/>
        <v>0</v>
      </c>
      <c r="M422" s="20" t="str">
        <f t="shared" si="44"/>
        <v>-</v>
      </c>
      <c r="N422" s="20" t="str">
        <f t="shared" ref="N422:N478" si="48">IF(I422&gt;0,H422+M422,"-")</f>
        <v>-</v>
      </c>
      <c r="O422" s="21" t="str">
        <f t="shared" si="45"/>
        <v>-</v>
      </c>
      <c r="P422" s="22" t="str">
        <f t="shared" si="46"/>
        <v>-</v>
      </c>
      <c r="R422" s="22" t="str">
        <f t="shared" ref="R422:R478" si="49">IFERROR(IF(P422+J422=0, "-", IF(P422&gt;0, P422+J422, "-")), "-")</f>
        <v>-</v>
      </c>
    </row>
    <row r="423" spans="1:18" ht="14.4" x14ac:dyDescent="0.25">
      <c r="A423" s="30">
        <v>97467458963</v>
      </c>
      <c r="B423" s="26">
        <v>45896</v>
      </c>
      <c r="C423" s="26" t="s">
        <v>447</v>
      </c>
      <c r="D423" s="31" t="s">
        <v>140</v>
      </c>
      <c r="E423" s="31">
        <v>3</v>
      </c>
      <c r="F423" s="38">
        <v>1.1577</v>
      </c>
      <c r="G423" s="32" t="s">
        <v>535</v>
      </c>
      <c r="H423" s="33">
        <v>39.446100000000001</v>
      </c>
      <c r="I423" s="11"/>
      <c r="J423" s="33">
        <f t="shared" si="47"/>
        <v>0</v>
      </c>
      <c r="M423" s="20" t="str">
        <f t="shared" si="44"/>
        <v>-</v>
      </c>
      <c r="N423" s="20" t="str">
        <f t="shared" si="48"/>
        <v>-</v>
      </c>
      <c r="O423" s="21" t="str">
        <f t="shared" si="45"/>
        <v>-</v>
      </c>
      <c r="P423" s="22" t="str">
        <f t="shared" si="46"/>
        <v>-</v>
      </c>
      <c r="R423" s="22" t="str">
        <f t="shared" si="49"/>
        <v>-</v>
      </c>
    </row>
    <row r="424" spans="1:18" ht="14.4" x14ac:dyDescent="0.25">
      <c r="A424" s="30">
        <v>97467459137</v>
      </c>
      <c r="B424" s="26">
        <v>45913</v>
      </c>
      <c r="C424" s="26" t="s">
        <v>448</v>
      </c>
      <c r="D424" s="31" t="s">
        <v>136</v>
      </c>
      <c r="E424" s="31">
        <v>3</v>
      </c>
      <c r="F424" s="38">
        <v>1.0895999999999999</v>
      </c>
      <c r="G424" s="32" t="s">
        <v>535</v>
      </c>
      <c r="H424" s="33">
        <v>39.446100000000001</v>
      </c>
      <c r="I424" s="11"/>
      <c r="J424" s="33">
        <f t="shared" si="47"/>
        <v>0</v>
      </c>
      <c r="M424" s="20" t="str">
        <f t="shared" si="44"/>
        <v>-</v>
      </c>
      <c r="N424" s="20" t="str">
        <f t="shared" si="48"/>
        <v>-</v>
      </c>
      <c r="O424" s="21" t="str">
        <f t="shared" si="45"/>
        <v>-</v>
      </c>
      <c r="P424" s="22" t="str">
        <f t="shared" si="46"/>
        <v>-</v>
      </c>
      <c r="R424" s="22" t="str">
        <f t="shared" si="49"/>
        <v>-</v>
      </c>
    </row>
    <row r="425" spans="1:18" ht="14.4" x14ac:dyDescent="0.25">
      <c r="A425" s="30">
        <v>97467459182</v>
      </c>
      <c r="B425" s="26">
        <v>45918</v>
      </c>
      <c r="C425" s="26" t="s">
        <v>449</v>
      </c>
      <c r="D425" s="31" t="s">
        <v>109</v>
      </c>
      <c r="E425" s="31">
        <v>3</v>
      </c>
      <c r="F425" s="38">
        <v>0.68099999999999994</v>
      </c>
      <c r="G425" s="32" t="s">
        <v>535</v>
      </c>
      <c r="H425" s="33">
        <v>22.103099999999998</v>
      </c>
      <c r="I425" s="11"/>
      <c r="J425" s="33">
        <f t="shared" si="47"/>
        <v>0</v>
      </c>
      <c r="M425" s="20" t="str">
        <f t="shared" si="44"/>
        <v>-</v>
      </c>
      <c r="N425" s="20" t="str">
        <f t="shared" si="48"/>
        <v>-</v>
      </c>
      <c r="O425" s="21" t="str">
        <f t="shared" si="45"/>
        <v>-</v>
      </c>
      <c r="P425" s="22" t="str">
        <f t="shared" si="46"/>
        <v>-</v>
      </c>
      <c r="R425" s="22" t="str">
        <f t="shared" si="49"/>
        <v>-</v>
      </c>
    </row>
    <row r="426" spans="1:18" ht="14.4" x14ac:dyDescent="0.25">
      <c r="A426" s="30">
        <v>97467458161</v>
      </c>
      <c r="B426" s="26">
        <v>45816</v>
      </c>
      <c r="C426" s="26" t="s">
        <v>224</v>
      </c>
      <c r="D426" s="31" t="s">
        <v>112</v>
      </c>
      <c r="E426" s="31">
        <v>3</v>
      </c>
      <c r="F426" s="38">
        <v>2.2359499999999999</v>
      </c>
      <c r="G426" s="32" t="s">
        <v>535</v>
      </c>
      <c r="H426" s="33">
        <v>59.003100000000003</v>
      </c>
      <c r="I426" s="11"/>
      <c r="J426" s="33">
        <f t="shared" si="47"/>
        <v>0</v>
      </c>
      <c r="M426" s="20" t="str">
        <f t="shared" si="44"/>
        <v>-</v>
      </c>
      <c r="N426" s="20" t="str">
        <f t="shared" si="48"/>
        <v>-</v>
      </c>
      <c r="O426" s="21" t="str">
        <f t="shared" si="45"/>
        <v>-</v>
      </c>
      <c r="P426" s="22" t="str">
        <f t="shared" si="46"/>
        <v>-</v>
      </c>
      <c r="R426" s="22" t="str">
        <f t="shared" si="49"/>
        <v>-</v>
      </c>
    </row>
    <row r="427" spans="1:18" ht="14.4" x14ac:dyDescent="0.25">
      <c r="A427" s="30">
        <v>97467457164</v>
      </c>
      <c r="B427" s="26">
        <v>45716</v>
      </c>
      <c r="C427" s="26" t="s">
        <v>225</v>
      </c>
      <c r="D427" s="31" t="s">
        <v>113</v>
      </c>
      <c r="E427" s="31">
        <v>3</v>
      </c>
      <c r="F427" s="38">
        <v>2.1076950000000001</v>
      </c>
      <c r="G427" s="32" t="s">
        <v>535</v>
      </c>
      <c r="H427" s="33">
        <v>59.003100000000003</v>
      </c>
      <c r="I427" s="11"/>
      <c r="J427" s="33">
        <f t="shared" si="47"/>
        <v>0</v>
      </c>
      <c r="M427" s="20" t="str">
        <f t="shared" si="44"/>
        <v>-</v>
      </c>
      <c r="N427" s="20" t="str">
        <f t="shared" si="48"/>
        <v>-</v>
      </c>
      <c r="O427" s="21" t="str">
        <f t="shared" si="45"/>
        <v>-</v>
      </c>
      <c r="P427" s="22" t="str">
        <f t="shared" si="46"/>
        <v>-</v>
      </c>
      <c r="R427" s="22" t="str">
        <f t="shared" si="49"/>
        <v>-</v>
      </c>
    </row>
    <row r="428" spans="1:18" ht="14.4" x14ac:dyDescent="0.25">
      <c r="A428" s="30">
        <v>97467457461</v>
      </c>
      <c r="B428" s="26">
        <v>45746</v>
      </c>
      <c r="C428" s="26" t="s">
        <v>226</v>
      </c>
      <c r="D428" s="31" t="s">
        <v>114</v>
      </c>
      <c r="E428" s="31">
        <v>3</v>
      </c>
      <c r="F428" s="38">
        <v>2.4924600000000003</v>
      </c>
      <c r="G428" s="32" t="s">
        <v>535</v>
      </c>
      <c r="H428" s="33">
        <v>59.003100000000003</v>
      </c>
      <c r="I428" s="11"/>
      <c r="J428" s="33">
        <f t="shared" si="47"/>
        <v>0</v>
      </c>
      <c r="M428" s="20" t="str">
        <f t="shared" si="44"/>
        <v>-</v>
      </c>
      <c r="N428" s="20" t="str">
        <f t="shared" si="48"/>
        <v>-</v>
      </c>
      <c r="O428" s="21" t="str">
        <f t="shared" si="45"/>
        <v>-</v>
      </c>
      <c r="P428" s="22" t="str">
        <f t="shared" si="46"/>
        <v>-</v>
      </c>
      <c r="R428" s="22" t="str">
        <f t="shared" si="49"/>
        <v>-</v>
      </c>
    </row>
    <row r="429" spans="1:18" ht="14.4" x14ac:dyDescent="0.25">
      <c r="A429" s="30">
        <v>97467457768</v>
      </c>
      <c r="B429" s="26">
        <v>45776</v>
      </c>
      <c r="C429" s="26" t="s">
        <v>227</v>
      </c>
      <c r="D429" s="31" t="s">
        <v>114</v>
      </c>
      <c r="E429" s="31">
        <v>3</v>
      </c>
      <c r="F429" s="38">
        <v>2.5287800000000002</v>
      </c>
      <c r="G429" s="32" t="s">
        <v>535</v>
      </c>
      <c r="H429" s="33">
        <v>59.003100000000003</v>
      </c>
      <c r="I429" s="11"/>
      <c r="J429" s="33">
        <f t="shared" si="47"/>
        <v>0</v>
      </c>
      <c r="M429" s="20" t="str">
        <f t="shared" si="44"/>
        <v>-</v>
      </c>
      <c r="N429" s="20" t="str">
        <f t="shared" si="48"/>
        <v>-</v>
      </c>
      <c r="O429" s="21" t="str">
        <f t="shared" si="45"/>
        <v>-</v>
      </c>
      <c r="P429" s="22" t="str">
        <f t="shared" si="46"/>
        <v>-</v>
      </c>
      <c r="R429" s="22" t="str">
        <f t="shared" si="49"/>
        <v>-</v>
      </c>
    </row>
    <row r="430" spans="1:18" ht="14.4" x14ac:dyDescent="0.25">
      <c r="A430" s="30">
        <v>97467458635</v>
      </c>
      <c r="B430" s="26">
        <v>45863</v>
      </c>
      <c r="C430" s="26" t="s">
        <v>450</v>
      </c>
      <c r="D430" s="31" t="s">
        <v>115</v>
      </c>
      <c r="E430" s="31">
        <v>3</v>
      </c>
      <c r="F430" s="38">
        <v>0.77180000000000004</v>
      </c>
      <c r="G430" s="32" t="s">
        <v>535</v>
      </c>
      <c r="H430" s="33">
        <v>32.435099999999998</v>
      </c>
      <c r="I430" s="11"/>
      <c r="J430" s="33">
        <f t="shared" si="47"/>
        <v>0</v>
      </c>
      <c r="M430" s="20" t="str">
        <f t="shared" ref="M430:M493" si="50">IFERROR(IF($M$2*F430=0, "-", $M$2*F430), "-")</f>
        <v>-</v>
      </c>
      <c r="N430" s="20" t="str">
        <f t="shared" si="48"/>
        <v>-</v>
      </c>
      <c r="O430" s="21" t="str">
        <f t="shared" ref="O430:O493" si="51">IF(I430&gt;0,I430*F430, "-")</f>
        <v>-</v>
      </c>
      <c r="P430" s="22" t="str">
        <f t="shared" si="46"/>
        <v>-</v>
      </c>
      <c r="R430" s="22" t="str">
        <f t="shared" si="49"/>
        <v>-</v>
      </c>
    </row>
    <row r="431" spans="1:18" ht="14.4" x14ac:dyDescent="0.25">
      <c r="A431" s="30">
        <v>97467045880</v>
      </c>
      <c r="B431" s="26">
        <v>4588</v>
      </c>
      <c r="C431" s="26" t="s">
        <v>451</v>
      </c>
      <c r="D431" s="31" t="s">
        <v>115</v>
      </c>
      <c r="E431" s="31">
        <v>3</v>
      </c>
      <c r="F431" s="38">
        <v>0.76499000000000006</v>
      </c>
      <c r="G431" s="32" t="s">
        <v>535</v>
      </c>
      <c r="H431" s="33">
        <v>32.435099999999998</v>
      </c>
      <c r="I431" s="11"/>
      <c r="J431" s="33">
        <f t="shared" si="47"/>
        <v>0</v>
      </c>
      <c r="M431" s="20" t="str">
        <f t="shared" si="50"/>
        <v>-</v>
      </c>
      <c r="N431" s="20" t="str">
        <f t="shared" si="48"/>
        <v>-</v>
      </c>
      <c r="O431" s="21" t="str">
        <f t="shared" si="51"/>
        <v>-</v>
      </c>
      <c r="P431" s="22" t="str">
        <f t="shared" ref="P431:P494" si="52">IFERROR(IF($M$2&gt;0, $M$2*O431, "-"), "-")</f>
        <v>-</v>
      </c>
      <c r="R431" s="22" t="str">
        <f t="shared" si="49"/>
        <v>-</v>
      </c>
    </row>
    <row r="432" spans="1:18" ht="14.4" x14ac:dyDescent="0.25">
      <c r="A432" s="30">
        <v>97467459519</v>
      </c>
      <c r="B432" s="26">
        <v>45951</v>
      </c>
      <c r="C432" s="26" t="s">
        <v>452</v>
      </c>
      <c r="D432" s="31" t="s">
        <v>102</v>
      </c>
      <c r="E432" s="31">
        <v>3</v>
      </c>
      <c r="F432" s="38">
        <v>0.71391499999999997</v>
      </c>
      <c r="G432" s="32" t="s">
        <v>535</v>
      </c>
      <c r="H432" s="33">
        <v>20.996099999999998</v>
      </c>
      <c r="I432" s="11"/>
      <c r="J432" s="33">
        <f t="shared" si="47"/>
        <v>0</v>
      </c>
      <c r="M432" s="20" t="str">
        <f t="shared" si="50"/>
        <v>-</v>
      </c>
      <c r="N432" s="20" t="str">
        <f t="shared" si="48"/>
        <v>-</v>
      </c>
      <c r="O432" s="21" t="str">
        <f t="shared" si="51"/>
        <v>-</v>
      </c>
      <c r="P432" s="22" t="str">
        <f t="shared" si="52"/>
        <v>-</v>
      </c>
      <c r="R432" s="22" t="str">
        <f t="shared" si="49"/>
        <v>-</v>
      </c>
    </row>
    <row r="433" spans="1:18" ht="14.4" x14ac:dyDescent="0.25">
      <c r="A433" s="30">
        <v>97467459557</v>
      </c>
      <c r="B433" s="26">
        <v>45955</v>
      </c>
      <c r="C433" s="26" t="s">
        <v>453</v>
      </c>
      <c r="D433" s="31" t="s">
        <v>141</v>
      </c>
      <c r="E433" s="31">
        <v>3</v>
      </c>
      <c r="F433" s="38">
        <v>0.71391499999999997</v>
      </c>
      <c r="G433" s="32" t="s">
        <v>535</v>
      </c>
      <c r="H433" s="33">
        <v>22.103099999999998</v>
      </c>
      <c r="I433" s="11"/>
      <c r="J433" s="33">
        <f t="shared" si="47"/>
        <v>0</v>
      </c>
      <c r="M433" s="20" t="str">
        <f t="shared" si="50"/>
        <v>-</v>
      </c>
      <c r="N433" s="20" t="str">
        <f t="shared" si="48"/>
        <v>-</v>
      </c>
      <c r="O433" s="21" t="str">
        <f t="shared" si="51"/>
        <v>-</v>
      </c>
      <c r="P433" s="22" t="str">
        <f t="shared" si="52"/>
        <v>-</v>
      </c>
      <c r="R433" s="22" t="str">
        <f t="shared" si="49"/>
        <v>-</v>
      </c>
    </row>
    <row r="434" spans="1:18" ht="14.4" x14ac:dyDescent="0.25">
      <c r="A434" s="30">
        <v>97467459564</v>
      </c>
      <c r="B434" s="26">
        <v>45956</v>
      </c>
      <c r="C434" s="26" t="s">
        <v>454</v>
      </c>
      <c r="D434" s="31" t="s">
        <v>142</v>
      </c>
      <c r="E434" s="31">
        <v>3</v>
      </c>
      <c r="F434" s="38">
        <v>0.68326999999999993</v>
      </c>
      <c r="G434" s="32" t="s">
        <v>535</v>
      </c>
      <c r="H434" s="33">
        <v>34.649099999999997</v>
      </c>
      <c r="I434" s="11"/>
      <c r="J434" s="33">
        <f t="shared" si="47"/>
        <v>0</v>
      </c>
      <c r="M434" s="20" t="str">
        <f t="shared" si="50"/>
        <v>-</v>
      </c>
      <c r="N434" s="20" t="str">
        <f t="shared" si="48"/>
        <v>-</v>
      </c>
      <c r="O434" s="21" t="str">
        <f t="shared" si="51"/>
        <v>-</v>
      </c>
      <c r="P434" s="22" t="str">
        <f t="shared" si="52"/>
        <v>-</v>
      </c>
      <c r="R434" s="22" t="str">
        <f t="shared" si="49"/>
        <v>-</v>
      </c>
    </row>
    <row r="435" spans="1:18" ht="14.4" x14ac:dyDescent="0.25">
      <c r="A435" s="30">
        <v>97467459571</v>
      </c>
      <c r="B435" s="26">
        <v>45957</v>
      </c>
      <c r="C435" s="26" t="s">
        <v>455</v>
      </c>
      <c r="D435" s="31" t="s">
        <v>143</v>
      </c>
      <c r="E435" s="31">
        <v>3</v>
      </c>
      <c r="F435" s="38">
        <v>0.92388999999999999</v>
      </c>
      <c r="G435" s="32" t="s">
        <v>535</v>
      </c>
      <c r="H435" s="33">
        <v>29.483099999999993</v>
      </c>
      <c r="I435" s="11"/>
      <c r="J435" s="33">
        <f t="shared" si="47"/>
        <v>0</v>
      </c>
      <c r="M435" s="20" t="str">
        <f t="shared" si="50"/>
        <v>-</v>
      </c>
      <c r="N435" s="20" t="str">
        <f t="shared" si="48"/>
        <v>-</v>
      </c>
      <c r="O435" s="21" t="str">
        <f t="shared" si="51"/>
        <v>-</v>
      </c>
      <c r="P435" s="22" t="str">
        <f t="shared" si="52"/>
        <v>-</v>
      </c>
      <c r="R435" s="22" t="str">
        <f t="shared" si="49"/>
        <v>-</v>
      </c>
    </row>
    <row r="436" spans="1:18" ht="14.4" x14ac:dyDescent="0.25">
      <c r="A436" s="30">
        <v>97467459014</v>
      </c>
      <c r="B436" s="26">
        <v>45901</v>
      </c>
      <c r="C436" s="26" t="s">
        <v>456</v>
      </c>
      <c r="D436" s="31" t="s">
        <v>116</v>
      </c>
      <c r="E436" s="31">
        <v>3</v>
      </c>
      <c r="F436" s="38">
        <v>0.60268500000000003</v>
      </c>
      <c r="G436" s="32" t="s">
        <v>535</v>
      </c>
      <c r="H436" s="33">
        <v>22.103099999999998</v>
      </c>
      <c r="I436" s="11"/>
      <c r="J436" s="33">
        <f t="shared" si="47"/>
        <v>0</v>
      </c>
      <c r="M436" s="20" t="str">
        <f t="shared" si="50"/>
        <v>-</v>
      </c>
      <c r="N436" s="20" t="str">
        <f t="shared" si="48"/>
        <v>-</v>
      </c>
      <c r="O436" s="21" t="str">
        <f t="shared" si="51"/>
        <v>-</v>
      </c>
      <c r="P436" s="22" t="str">
        <f t="shared" si="52"/>
        <v>-</v>
      </c>
      <c r="R436" s="22" t="str">
        <f t="shared" si="49"/>
        <v>-</v>
      </c>
    </row>
    <row r="437" spans="1:18" ht="14.4" x14ac:dyDescent="0.25">
      <c r="A437" s="30">
        <v>97467459021</v>
      </c>
      <c r="B437" s="26">
        <v>45902</v>
      </c>
      <c r="C437" s="26" t="s">
        <v>457</v>
      </c>
      <c r="D437" s="31" t="s">
        <v>117</v>
      </c>
      <c r="E437" s="31">
        <v>3</v>
      </c>
      <c r="F437" s="38">
        <v>1.03739</v>
      </c>
      <c r="G437" s="32" t="s">
        <v>535</v>
      </c>
      <c r="H437" s="33">
        <v>34.649099999999997</v>
      </c>
      <c r="I437" s="11"/>
      <c r="J437" s="33">
        <f t="shared" si="47"/>
        <v>0</v>
      </c>
      <c r="M437" s="20" t="str">
        <f t="shared" si="50"/>
        <v>-</v>
      </c>
      <c r="N437" s="20" t="str">
        <f t="shared" si="48"/>
        <v>-</v>
      </c>
      <c r="O437" s="21" t="str">
        <f t="shared" si="51"/>
        <v>-</v>
      </c>
      <c r="P437" s="22" t="str">
        <f t="shared" si="52"/>
        <v>-</v>
      </c>
      <c r="R437" s="22" t="str">
        <f t="shared" si="49"/>
        <v>-</v>
      </c>
    </row>
    <row r="438" spans="1:18" ht="14.4" x14ac:dyDescent="0.25">
      <c r="A438" s="30">
        <v>97467043251</v>
      </c>
      <c r="B438" s="26">
        <v>4325</v>
      </c>
      <c r="C438" s="26" t="s">
        <v>228</v>
      </c>
      <c r="D438" s="31">
        <v>90</v>
      </c>
      <c r="E438" s="31">
        <v>3</v>
      </c>
      <c r="F438" s="38">
        <v>0.19295000000000001</v>
      </c>
      <c r="G438" s="32" t="s">
        <v>535</v>
      </c>
      <c r="H438" s="33">
        <v>34.415399999999998</v>
      </c>
      <c r="I438" s="11"/>
      <c r="J438" s="33">
        <f t="shared" si="47"/>
        <v>0</v>
      </c>
      <c r="M438" s="20" t="str">
        <f t="shared" si="50"/>
        <v>-</v>
      </c>
      <c r="N438" s="20" t="str">
        <f t="shared" si="48"/>
        <v>-</v>
      </c>
      <c r="O438" s="21" t="str">
        <f t="shared" si="51"/>
        <v>-</v>
      </c>
      <c r="P438" s="22" t="str">
        <f t="shared" si="52"/>
        <v>-</v>
      </c>
      <c r="R438" s="22" t="str">
        <f t="shared" si="49"/>
        <v>-</v>
      </c>
    </row>
    <row r="439" spans="1:18" ht="14.4" x14ac:dyDescent="0.25">
      <c r="A439" s="30">
        <v>97467043282</v>
      </c>
      <c r="B439" s="26">
        <v>4328</v>
      </c>
      <c r="C439" s="26" t="s">
        <v>229</v>
      </c>
      <c r="D439" s="31">
        <v>90</v>
      </c>
      <c r="E439" s="31">
        <v>3</v>
      </c>
      <c r="F439" s="38">
        <v>0.14755000000000001</v>
      </c>
      <c r="G439" s="32" t="s">
        <v>535</v>
      </c>
      <c r="H439" s="33">
        <v>29.495399999999997</v>
      </c>
      <c r="I439" s="11"/>
      <c r="J439" s="33">
        <f t="shared" si="47"/>
        <v>0</v>
      </c>
      <c r="M439" s="20" t="str">
        <f t="shared" si="50"/>
        <v>-</v>
      </c>
      <c r="N439" s="20" t="str">
        <f t="shared" si="48"/>
        <v>-</v>
      </c>
      <c r="O439" s="21" t="str">
        <f t="shared" si="51"/>
        <v>-</v>
      </c>
      <c r="P439" s="22" t="str">
        <f t="shared" si="52"/>
        <v>-</v>
      </c>
      <c r="R439" s="22" t="str">
        <f t="shared" si="49"/>
        <v>-</v>
      </c>
    </row>
    <row r="440" spans="1:18" ht="14.4" x14ac:dyDescent="0.25">
      <c r="A440" s="30">
        <v>97467043381</v>
      </c>
      <c r="B440" s="26">
        <v>4338</v>
      </c>
      <c r="C440" s="26" t="s">
        <v>458</v>
      </c>
      <c r="D440" s="31">
        <v>60</v>
      </c>
      <c r="E440" s="31">
        <v>3</v>
      </c>
      <c r="F440" s="38">
        <v>0.144145</v>
      </c>
      <c r="G440" s="32" t="s">
        <v>535</v>
      </c>
      <c r="H440" s="33">
        <v>23.652899999999999</v>
      </c>
      <c r="I440" s="11"/>
      <c r="J440" s="33">
        <f t="shared" si="47"/>
        <v>0</v>
      </c>
      <c r="M440" s="20" t="str">
        <f t="shared" si="50"/>
        <v>-</v>
      </c>
      <c r="N440" s="20" t="str">
        <f t="shared" si="48"/>
        <v>-</v>
      </c>
      <c r="O440" s="21" t="str">
        <f t="shared" si="51"/>
        <v>-</v>
      </c>
      <c r="P440" s="22" t="str">
        <f t="shared" si="52"/>
        <v>-</v>
      </c>
      <c r="R440" s="22" t="str">
        <f t="shared" si="49"/>
        <v>-</v>
      </c>
    </row>
    <row r="441" spans="1:18" ht="14.4" x14ac:dyDescent="0.25">
      <c r="A441" s="30">
        <v>97467047099</v>
      </c>
      <c r="B441" s="26">
        <v>4709</v>
      </c>
      <c r="C441" s="26" t="s">
        <v>230</v>
      </c>
      <c r="D441" s="31">
        <v>60</v>
      </c>
      <c r="E441" s="31">
        <v>3</v>
      </c>
      <c r="F441" s="38">
        <v>9.9879999999999997E-2</v>
      </c>
      <c r="G441" s="32" t="s">
        <v>535</v>
      </c>
      <c r="H441" s="33">
        <v>22.730399999999999</v>
      </c>
      <c r="I441" s="11"/>
      <c r="J441" s="33">
        <f t="shared" si="47"/>
        <v>0</v>
      </c>
      <c r="M441" s="20" t="str">
        <f t="shared" si="50"/>
        <v>-</v>
      </c>
      <c r="N441" s="20" t="str">
        <f t="shared" si="48"/>
        <v>-</v>
      </c>
      <c r="O441" s="21" t="str">
        <f t="shared" si="51"/>
        <v>-</v>
      </c>
      <c r="P441" s="22" t="str">
        <f t="shared" si="52"/>
        <v>-</v>
      </c>
      <c r="R441" s="22" t="str">
        <f t="shared" si="49"/>
        <v>-</v>
      </c>
    </row>
    <row r="442" spans="1:18" ht="14.4" x14ac:dyDescent="0.25">
      <c r="A442" s="30">
        <v>97467047112</v>
      </c>
      <c r="B442" s="26">
        <v>4711</v>
      </c>
      <c r="C442" s="26" t="s">
        <v>231</v>
      </c>
      <c r="D442" s="31">
        <v>60</v>
      </c>
      <c r="E442" s="31">
        <v>3</v>
      </c>
      <c r="F442" s="38">
        <v>9.7609999999999988E-2</v>
      </c>
      <c r="G442" s="32" t="s">
        <v>535</v>
      </c>
      <c r="H442" s="33">
        <v>14.427899999999998</v>
      </c>
      <c r="I442" s="11"/>
      <c r="J442" s="33">
        <f t="shared" si="47"/>
        <v>0</v>
      </c>
      <c r="M442" s="20" t="str">
        <f t="shared" si="50"/>
        <v>-</v>
      </c>
      <c r="N442" s="20" t="str">
        <f t="shared" si="48"/>
        <v>-</v>
      </c>
      <c r="O442" s="21" t="str">
        <f t="shared" si="51"/>
        <v>-</v>
      </c>
      <c r="P442" s="22" t="str">
        <f t="shared" si="52"/>
        <v>-</v>
      </c>
      <c r="R442" s="22" t="str">
        <f t="shared" si="49"/>
        <v>-</v>
      </c>
    </row>
    <row r="443" spans="1:18" ht="14.4" x14ac:dyDescent="0.25">
      <c r="A443" s="30">
        <v>97467047136</v>
      </c>
      <c r="B443" s="26">
        <v>4713</v>
      </c>
      <c r="C443" s="26" t="s">
        <v>459</v>
      </c>
      <c r="D443" s="31">
        <v>60</v>
      </c>
      <c r="E443" s="31">
        <v>3</v>
      </c>
      <c r="F443" s="38">
        <v>9.7609999999999988E-2</v>
      </c>
      <c r="G443" s="32" t="s">
        <v>535</v>
      </c>
      <c r="H443" s="33">
        <v>27.957900000000002</v>
      </c>
      <c r="I443" s="11"/>
      <c r="J443" s="33">
        <f t="shared" si="47"/>
        <v>0</v>
      </c>
      <c r="M443" s="20" t="str">
        <f t="shared" si="50"/>
        <v>-</v>
      </c>
      <c r="N443" s="20" t="str">
        <f t="shared" si="48"/>
        <v>-</v>
      </c>
      <c r="O443" s="21" t="str">
        <f t="shared" si="51"/>
        <v>-</v>
      </c>
      <c r="P443" s="22" t="str">
        <f t="shared" si="52"/>
        <v>-</v>
      </c>
      <c r="R443" s="22" t="str">
        <f t="shared" si="49"/>
        <v>-</v>
      </c>
    </row>
    <row r="444" spans="1:18" ht="14.4" x14ac:dyDescent="0.25">
      <c r="A444" s="30">
        <v>97467471405</v>
      </c>
      <c r="B444" s="26">
        <v>47140</v>
      </c>
      <c r="C444" s="26" t="s">
        <v>232</v>
      </c>
      <c r="D444" s="31">
        <v>60</v>
      </c>
      <c r="E444" s="31">
        <v>3</v>
      </c>
      <c r="F444" s="38">
        <v>0.119175</v>
      </c>
      <c r="G444" s="32" t="s">
        <v>535</v>
      </c>
      <c r="H444" s="33">
        <v>23.652899999999999</v>
      </c>
      <c r="I444" s="11"/>
      <c r="J444" s="33">
        <f t="shared" si="47"/>
        <v>0</v>
      </c>
      <c r="M444" s="20" t="str">
        <f t="shared" si="50"/>
        <v>-</v>
      </c>
      <c r="N444" s="20" t="str">
        <f t="shared" si="48"/>
        <v>-</v>
      </c>
      <c r="O444" s="21" t="str">
        <f t="shared" si="51"/>
        <v>-</v>
      </c>
      <c r="P444" s="22" t="str">
        <f t="shared" si="52"/>
        <v>-</v>
      </c>
      <c r="R444" s="22" t="str">
        <f t="shared" si="49"/>
        <v>-</v>
      </c>
    </row>
    <row r="445" spans="1:18" ht="14.4" x14ac:dyDescent="0.25">
      <c r="A445" s="30">
        <v>97467410060</v>
      </c>
      <c r="B445" s="26">
        <v>41006</v>
      </c>
      <c r="C445" s="26" t="s">
        <v>233</v>
      </c>
      <c r="D445" s="31">
        <v>100</v>
      </c>
      <c r="E445" s="31">
        <v>3</v>
      </c>
      <c r="F445" s="38">
        <v>0.42221999999999998</v>
      </c>
      <c r="G445" s="32" t="s">
        <v>535</v>
      </c>
      <c r="H445" s="33">
        <v>11.9679</v>
      </c>
      <c r="I445" s="11"/>
      <c r="J445" s="33">
        <f t="shared" si="47"/>
        <v>0</v>
      </c>
      <c r="M445" s="20" t="str">
        <f t="shared" si="50"/>
        <v>-</v>
      </c>
      <c r="N445" s="20" t="str">
        <f t="shared" si="48"/>
        <v>-</v>
      </c>
      <c r="O445" s="21" t="str">
        <f t="shared" si="51"/>
        <v>-</v>
      </c>
      <c r="P445" s="22" t="str">
        <f t="shared" si="52"/>
        <v>-</v>
      </c>
      <c r="R445" s="22" t="str">
        <f t="shared" si="49"/>
        <v>-</v>
      </c>
    </row>
    <row r="446" spans="1:18" ht="14.4" x14ac:dyDescent="0.25">
      <c r="A446" s="30">
        <v>97467410077</v>
      </c>
      <c r="B446" s="26">
        <v>41007</v>
      </c>
      <c r="C446" s="26" t="s">
        <v>234</v>
      </c>
      <c r="D446" s="31">
        <v>30</v>
      </c>
      <c r="E446" s="31">
        <v>3</v>
      </c>
      <c r="F446" s="38">
        <v>8.058499999999999E-2</v>
      </c>
      <c r="G446" s="32" t="s">
        <v>535</v>
      </c>
      <c r="H446" s="33">
        <v>22.115399999999998</v>
      </c>
      <c r="I446" s="11"/>
      <c r="J446" s="33">
        <f t="shared" si="47"/>
        <v>0</v>
      </c>
      <c r="M446" s="20" t="str">
        <f t="shared" si="50"/>
        <v>-</v>
      </c>
      <c r="N446" s="20" t="str">
        <f t="shared" si="48"/>
        <v>-</v>
      </c>
      <c r="O446" s="21" t="str">
        <f t="shared" si="51"/>
        <v>-</v>
      </c>
      <c r="P446" s="22" t="str">
        <f t="shared" si="52"/>
        <v>-</v>
      </c>
      <c r="R446" s="22" t="str">
        <f t="shared" si="49"/>
        <v>-</v>
      </c>
    </row>
    <row r="447" spans="1:18" ht="14.4" x14ac:dyDescent="0.25">
      <c r="A447" s="30">
        <v>97467059306</v>
      </c>
      <c r="B447" s="26">
        <v>5930</v>
      </c>
      <c r="C447" s="26" t="s">
        <v>460</v>
      </c>
      <c r="D447" s="31" t="s">
        <v>144</v>
      </c>
      <c r="E447" s="31">
        <v>3</v>
      </c>
      <c r="F447" s="38">
        <v>0.107825</v>
      </c>
      <c r="G447" s="32" t="s">
        <v>535</v>
      </c>
      <c r="H447" s="33">
        <v>14.723100000000001</v>
      </c>
      <c r="I447" s="11"/>
      <c r="J447" s="33">
        <f t="shared" si="47"/>
        <v>0</v>
      </c>
      <c r="M447" s="20" t="str">
        <f t="shared" si="50"/>
        <v>-</v>
      </c>
      <c r="N447" s="20" t="str">
        <f t="shared" si="48"/>
        <v>-</v>
      </c>
      <c r="O447" s="21" t="str">
        <f t="shared" si="51"/>
        <v>-</v>
      </c>
      <c r="P447" s="22" t="str">
        <f t="shared" si="52"/>
        <v>-</v>
      </c>
      <c r="R447" s="22" t="str">
        <f t="shared" si="49"/>
        <v>-</v>
      </c>
    </row>
    <row r="448" spans="1:18" ht="14.4" x14ac:dyDescent="0.25">
      <c r="A448" s="30">
        <v>97467059610</v>
      </c>
      <c r="B448" s="26">
        <v>5961</v>
      </c>
      <c r="C448" s="26" t="s">
        <v>461</v>
      </c>
      <c r="D448" s="31" t="s">
        <v>145</v>
      </c>
      <c r="E448" s="31">
        <v>3</v>
      </c>
      <c r="F448" s="38">
        <v>0.12825500000000001</v>
      </c>
      <c r="G448" s="32" t="s">
        <v>535</v>
      </c>
      <c r="H448" s="33">
        <v>5.1290999999999993</v>
      </c>
      <c r="I448" s="11"/>
      <c r="J448" s="33">
        <f t="shared" si="47"/>
        <v>0</v>
      </c>
      <c r="M448" s="20" t="str">
        <f t="shared" si="50"/>
        <v>-</v>
      </c>
      <c r="N448" s="20" t="str">
        <f t="shared" si="48"/>
        <v>-</v>
      </c>
      <c r="O448" s="21" t="str">
        <f t="shared" si="51"/>
        <v>-</v>
      </c>
      <c r="P448" s="22" t="str">
        <f t="shared" si="52"/>
        <v>-</v>
      </c>
      <c r="R448" s="22" t="str">
        <f t="shared" si="49"/>
        <v>-</v>
      </c>
    </row>
    <row r="449" spans="1:18" ht="14.4" x14ac:dyDescent="0.25">
      <c r="A449" s="30">
        <v>97467059634</v>
      </c>
      <c r="B449" s="26">
        <v>5963</v>
      </c>
      <c r="C449" s="26" t="s">
        <v>463</v>
      </c>
      <c r="D449" s="31" t="s">
        <v>145</v>
      </c>
      <c r="E449" s="31">
        <v>3</v>
      </c>
      <c r="F449" s="38">
        <v>0.13166</v>
      </c>
      <c r="G449" s="32" t="s">
        <v>535</v>
      </c>
      <c r="H449" s="33">
        <v>4.3910999999999998</v>
      </c>
      <c r="I449" s="11"/>
      <c r="J449" s="33">
        <f t="shared" si="47"/>
        <v>0</v>
      </c>
      <c r="M449" s="20" t="str">
        <f t="shared" si="50"/>
        <v>-</v>
      </c>
      <c r="N449" s="20" t="str">
        <f t="shared" si="48"/>
        <v>-</v>
      </c>
      <c r="O449" s="21" t="str">
        <f t="shared" si="51"/>
        <v>-</v>
      </c>
      <c r="P449" s="22" t="str">
        <f t="shared" si="52"/>
        <v>-</v>
      </c>
      <c r="R449" s="22" t="str">
        <f t="shared" si="49"/>
        <v>-</v>
      </c>
    </row>
    <row r="450" spans="1:18" ht="14.4" x14ac:dyDescent="0.25">
      <c r="A450" s="30">
        <v>97467059702</v>
      </c>
      <c r="B450" s="26">
        <v>5970</v>
      </c>
      <c r="C450" s="26" t="s">
        <v>464</v>
      </c>
      <c r="D450" s="31" t="s">
        <v>146</v>
      </c>
      <c r="E450" s="31">
        <v>3</v>
      </c>
      <c r="F450" s="38">
        <v>7.0370000000000002E-2</v>
      </c>
      <c r="G450" s="32" t="s">
        <v>535</v>
      </c>
      <c r="H450" s="33">
        <v>9.9260999999999999</v>
      </c>
      <c r="I450" s="11"/>
      <c r="J450" s="33">
        <f t="shared" si="47"/>
        <v>0</v>
      </c>
      <c r="M450" s="20" t="str">
        <f t="shared" si="50"/>
        <v>-</v>
      </c>
      <c r="N450" s="20" t="str">
        <f t="shared" si="48"/>
        <v>-</v>
      </c>
      <c r="O450" s="21" t="str">
        <f t="shared" si="51"/>
        <v>-</v>
      </c>
      <c r="P450" s="22" t="str">
        <f t="shared" si="52"/>
        <v>-</v>
      </c>
      <c r="R450" s="22" t="str">
        <f t="shared" si="49"/>
        <v>-</v>
      </c>
    </row>
    <row r="451" spans="1:18" ht="14.4" x14ac:dyDescent="0.25">
      <c r="A451" s="30">
        <v>97467060203</v>
      </c>
      <c r="B451" s="26">
        <v>6020</v>
      </c>
      <c r="C451" s="26" t="s">
        <v>465</v>
      </c>
      <c r="D451" s="31" t="s">
        <v>147</v>
      </c>
      <c r="E451" s="31">
        <v>3</v>
      </c>
      <c r="F451" s="38">
        <v>4.4264999999999999E-2</v>
      </c>
      <c r="G451" s="32" t="s">
        <v>535</v>
      </c>
      <c r="H451" s="33">
        <v>7.3430999999999997</v>
      </c>
      <c r="I451" s="11"/>
      <c r="J451" s="33">
        <f t="shared" ref="J451:J514" si="53">H451*I451</f>
        <v>0</v>
      </c>
      <c r="M451" s="20" t="str">
        <f t="shared" si="50"/>
        <v>-</v>
      </c>
      <c r="N451" s="20" t="str">
        <f t="shared" si="48"/>
        <v>-</v>
      </c>
      <c r="O451" s="21" t="str">
        <f t="shared" si="51"/>
        <v>-</v>
      </c>
      <c r="P451" s="22" t="str">
        <f t="shared" si="52"/>
        <v>-</v>
      </c>
      <c r="R451" s="22" t="str">
        <f t="shared" si="49"/>
        <v>-</v>
      </c>
    </row>
    <row r="452" spans="1:18" ht="14.4" x14ac:dyDescent="0.25">
      <c r="A452" s="30">
        <v>97467820029</v>
      </c>
      <c r="B452" s="26">
        <v>82002</v>
      </c>
      <c r="C452" s="26" t="s">
        <v>466</v>
      </c>
      <c r="D452" s="31">
        <v>90</v>
      </c>
      <c r="E452" s="31">
        <v>3</v>
      </c>
      <c r="F452" s="38">
        <v>0.12257999999999999</v>
      </c>
      <c r="G452" s="32" t="s">
        <v>535</v>
      </c>
      <c r="H452" s="33">
        <v>33.800399999999996</v>
      </c>
      <c r="I452" s="11"/>
      <c r="J452" s="33">
        <f t="shared" si="53"/>
        <v>0</v>
      </c>
      <c r="M452" s="20" t="str">
        <f t="shared" si="50"/>
        <v>-</v>
      </c>
      <c r="N452" s="20" t="str">
        <f t="shared" si="48"/>
        <v>-</v>
      </c>
      <c r="O452" s="21" t="str">
        <f t="shared" si="51"/>
        <v>-</v>
      </c>
      <c r="P452" s="22" t="str">
        <f t="shared" si="52"/>
        <v>-</v>
      </c>
      <c r="R452" s="22" t="str">
        <f t="shared" si="49"/>
        <v>-</v>
      </c>
    </row>
    <row r="453" spans="1:18" ht="14.4" x14ac:dyDescent="0.25">
      <c r="A453" s="30">
        <v>97467820043</v>
      </c>
      <c r="B453" s="26">
        <v>82004</v>
      </c>
      <c r="C453" s="26" t="s">
        <v>467</v>
      </c>
      <c r="D453" s="31">
        <v>90</v>
      </c>
      <c r="E453" s="31">
        <v>3</v>
      </c>
      <c r="F453" s="38">
        <v>0.10214999999999999</v>
      </c>
      <c r="G453" s="32" t="s">
        <v>535</v>
      </c>
      <c r="H453" s="33">
        <v>24.575399999999995</v>
      </c>
      <c r="I453" s="11"/>
      <c r="J453" s="33">
        <f t="shared" si="53"/>
        <v>0</v>
      </c>
      <c r="M453" s="20" t="str">
        <f t="shared" si="50"/>
        <v>-</v>
      </c>
      <c r="N453" s="20" t="str">
        <f t="shared" si="48"/>
        <v>-</v>
      </c>
      <c r="O453" s="21" t="str">
        <f t="shared" si="51"/>
        <v>-</v>
      </c>
      <c r="P453" s="22" t="str">
        <f t="shared" si="52"/>
        <v>-</v>
      </c>
      <c r="R453" s="22" t="str">
        <f t="shared" si="49"/>
        <v>-</v>
      </c>
    </row>
    <row r="454" spans="1:18" ht="14.4" x14ac:dyDescent="0.25">
      <c r="A454" s="30">
        <v>97467820203</v>
      </c>
      <c r="B454" s="26">
        <v>82020</v>
      </c>
      <c r="C454" s="26" t="s">
        <v>469</v>
      </c>
      <c r="D454" s="31" t="s">
        <v>149</v>
      </c>
      <c r="E454" s="31">
        <v>3</v>
      </c>
      <c r="F454" s="38">
        <v>0.84670999999999996</v>
      </c>
      <c r="G454" s="32" t="s">
        <v>535</v>
      </c>
      <c r="H454" s="33">
        <v>41.2911</v>
      </c>
      <c r="I454" s="11"/>
      <c r="J454" s="33">
        <f t="shared" si="53"/>
        <v>0</v>
      </c>
      <c r="M454" s="20" t="str">
        <f t="shared" si="50"/>
        <v>-</v>
      </c>
      <c r="N454" s="20" t="str">
        <f t="shared" si="48"/>
        <v>-</v>
      </c>
      <c r="O454" s="21" t="str">
        <f t="shared" si="51"/>
        <v>-</v>
      </c>
      <c r="P454" s="22" t="str">
        <f t="shared" si="52"/>
        <v>-</v>
      </c>
      <c r="R454" s="22" t="str">
        <f t="shared" si="49"/>
        <v>-</v>
      </c>
    </row>
    <row r="455" spans="1:18" ht="14.4" x14ac:dyDescent="0.25">
      <c r="A455" s="30">
        <v>97467591011</v>
      </c>
      <c r="B455" s="26">
        <v>59101</v>
      </c>
      <c r="C455" s="26" t="s">
        <v>470</v>
      </c>
      <c r="D455" s="31">
        <v>100</v>
      </c>
      <c r="E455" s="31">
        <v>3</v>
      </c>
      <c r="F455" s="38">
        <v>0.1135</v>
      </c>
      <c r="G455" s="32" t="s">
        <v>535</v>
      </c>
      <c r="H455" s="33">
        <v>7.3553999999999995</v>
      </c>
      <c r="I455" s="11"/>
      <c r="J455" s="33">
        <f t="shared" si="53"/>
        <v>0</v>
      </c>
      <c r="M455" s="20" t="str">
        <f t="shared" si="50"/>
        <v>-</v>
      </c>
      <c r="N455" s="20" t="str">
        <f t="shared" si="48"/>
        <v>-</v>
      </c>
      <c r="O455" s="21" t="str">
        <f t="shared" si="51"/>
        <v>-</v>
      </c>
      <c r="P455" s="22" t="str">
        <f t="shared" si="52"/>
        <v>-</v>
      </c>
      <c r="R455" s="22" t="str">
        <f t="shared" si="49"/>
        <v>-</v>
      </c>
    </row>
    <row r="456" spans="1:18" ht="14.4" x14ac:dyDescent="0.25">
      <c r="A456" s="30">
        <v>97467591158</v>
      </c>
      <c r="B456" s="26">
        <v>59115</v>
      </c>
      <c r="C456" s="26" t="s">
        <v>471</v>
      </c>
      <c r="D456" s="31">
        <v>1</v>
      </c>
      <c r="E456" s="31">
        <v>3</v>
      </c>
      <c r="F456" s="38">
        <v>1.1350000000000001E-2</v>
      </c>
      <c r="G456" s="32" t="s">
        <v>535</v>
      </c>
      <c r="H456" s="33">
        <v>3.6776999999999997</v>
      </c>
      <c r="I456" s="11"/>
      <c r="J456" s="33">
        <f t="shared" si="53"/>
        <v>0</v>
      </c>
      <c r="M456" s="20" t="str">
        <f t="shared" si="50"/>
        <v>-</v>
      </c>
      <c r="N456" s="20" t="str">
        <f t="shared" si="48"/>
        <v>-</v>
      </c>
      <c r="O456" s="21" t="str">
        <f t="shared" si="51"/>
        <v>-</v>
      </c>
      <c r="P456" s="22" t="str">
        <f t="shared" si="52"/>
        <v>-</v>
      </c>
      <c r="R456" s="22" t="str">
        <f t="shared" si="49"/>
        <v>-</v>
      </c>
    </row>
    <row r="457" spans="1:18" ht="14.4" x14ac:dyDescent="0.25">
      <c r="A457" s="30">
        <v>97467591325</v>
      </c>
      <c r="B457" s="26">
        <v>59132</v>
      </c>
      <c r="C457" s="26" t="s">
        <v>472</v>
      </c>
      <c r="D457" s="31">
        <v>25</v>
      </c>
      <c r="E457" s="31">
        <v>3</v>
      </c>
      <c r="F457" s="38">
        <v>7.2639999999999996E-2</v>
      </c>
      <c r="G457" s="32" t="s">
        <v>535</v>
      </c>
      <c r="H457" s="33">
        <v>29.212499999999999</v>
      </c>
      <c r="I457" s="11"/>
      <c r="J457" s="33">
        <f t="shared" si="53"/>
        <v>0</v>
      </c>
      <c r="M457" s="20" t="str">
        <f t="shared" si="50"/>
        <v>-</v>
      </c>
      <c r="N457" s="20" t="str">
        <f t="shared" si="48"/>
        <v>-</v>
      </c>
      <c r="O457" s="21" t="str">
        <f t="shared" si="51"/>
        <v>-</v>
      </c>
      <c r="P457" s="22" t="str">
        <f t="shared" si="52"/>
        <v>-</v>
      </c>
      <c r="R457" s="22" t="str">
        <f t="shared" si="49"/>
        <v>-</v>
      </c>
    </row>
    <row r="458" spans="1:18" ht="14.4" x14ac:dyDescent="0.25">
      <c r="A458" s="30">
        <v>97467410022</v>
      </c>
      <c r="B458" s="26">
        <v>41002</v>
      </c>
      <c r="C458" s="26" t="s">
        <v>473</v>
      </c>
      <c r="D458" s="31">
        <v>60</v>
      </c>
      <c r="E458" s="31">
        <v>3</v>
      </c>
      <c r="F458" s="38">
        <v>0.15776500000000002</v>
      </c>
      <c r="G458" s="32" t="s">
        <v>535</v>
      </c>
      <c r="H458" s="33">
        <v>19.6554</v>
      </c>
      <c r="I458" s="11"/>
      <c r="J458" s="33">
        <f t="shared" si="53"/>
        <v>0</v>
      </c>
      <c r="M458" s="20" t="str">
        <f t="shared" si="50"/>
        <v>-</v>
      </c>
      <c r="N458" s="20" t="str">
        <f t="shared" si="48"/>
        <v>-</v>
      </c>
      <c r="O458" s="21" t="str">
        <f t="shared" si="51"/>
        <v>-</v>
      </c>
      <c r="P458" s="22" t="str">
        <f t="shared" si="52"/>
        <v>-</v>
      </c>
      <c r="R458" s="22" t="str">
        <f t="shared" si="49"/>
        <v>-</v>
      </c>
    </row>
    <row r="459" spans="1:18" ht="14.4" x14ac:dyDescent="0.25">
      <c r="A459" s="30">
        <v>97467028241</v>
      </c>
      <c r="B459" s="26">
        <v>2824</v>
      </c>
      <c r="C459" s="26" t="s">
        <v>477</v>
      </c>
      <c r="D459" s="31">
        <v>60</v>
      </c>
      <c r="E459" s="31">
        <v>3</v>
      </c>
      <c r="F459" s="38">
        <v>7.2639999999999996E-2</v>
      </c>
      <c r="G459" s="32" t="s">
        <v>535</v>
      </c>
      <c r="H459" s="33">
        <v>14.1204</v>
      </c>
      <c r="I459" s="11"/>
      <c r="J459" s="33">
        <f t="shared" si="53"/>
        <v>0</v>
      </c>
      <c r="M459" s="20" t="str">
        <f t="shared" si="50"/>
        <v>-</v>
      </c>
      <c r="N459" s="20" t="str">
        <f t="shared" si="48"/>
        <v>-</v>
      </c>
      <c r="O459" s="21" t="str">
        <f t="shared" si="51"/>
        <v>-</v>
      </c>
      <c r="P459" s="22" t="str">
        <f t="shared" si="52"/>
        <v>-</v>
      </c>
      <c r="R459" s="22" t="str">
        <f t="shared" si="49"/>
        <v>-</v>
      </c>
    </row>
    <row r="460" spans="1:18" ht="14.4" x14ac:dyDescent="0.25">
      <c r="A460" s="30">
        <v>97467395169</v>
      </c>
      <c r="B460" s="26">
        <v>39516</v>
      </c>
      <c r="C460" s="26" t="s">
        <v>478</v>
      </c>
      <c r="D460" s="31">
        <v>60</v>
      </c>
      <c r="E460" s="31">
        <v>3</v>
      </c>
      <c r="F460" s="38">
        <v>1.1350000000000001E-2</v>
      </c>
      <c r="G460" s="32" t="s">
        <v>535</v>
      </c>
      <c r="H460" s="33">
        <v>18.4131</v>
      </c>
      <c r="I460" s="11"/>
      <c r="J460" s="33">
        <f t="shared" si="53"/>
        <v>0</v>
      </c>
      <c r="M460" s="20" t="str">
        <f t="shared" si="50"/>
        <v>-</v>
      </c>
      <c r="N460" s="20" t="str">
        <f t="shared" si="48"/>
        <v>-</v>
      </c>
      <c r="O460" s="21" t="str">
        <f t="shared" si="51"/>
        <v>-</v>
      </c>
      <c r="P460" s="22" t="str">
        <f t="shared" si="52"/>
        <v>-</v>
      </c>
      <c r="R460" s="22" t="str">
        <f t="shared" si="49"/>
        <v>-</v>
      </c>
    </row>
    <row r="461" spans="1:18" ht="14.4" x14ac:dyDescent="0.25">
      <c r="A461" s="30">
        <v>97467496118</v>
      </c>
      <c r="B461" s="26">
        <v>49611</v>
      </c>
      <c r="C461" s="26" t="s">
        <v>19</v>
      </c>
      <c r="D461" s="31">
        <v>60</v>
      </c>
      <c r="E461" s="31">
        <v>3</v>
      </c>
      <c r="F461" s="38">
        <v>1.1350000000000001E-2</v>
      </c>
      <c r="G461" s="32" t="s">
        <v>535</v>
      </c>
      <c r="H461" s="33">
        <v>20.996099999999998</v>
      </c>
      <c r="I461" s="11"/>
      <c r="J461" s="33">
        <f t="shared" si="53"/>
        <v>0</v>
      </c>
      <c r="M461" s="20" t="str">
        <f t="shared" si="50"/>
        <v>-</v>
      </c>
      <c r="N461" s="20" t="str">
        <f t="shared" si="48"/>
        <v>-</v>
      </c>
      <c r="O461" s="21" t="str">
        <f t="shared" si="51"/>
        <v>-</v>
      </c>
      <c r="P461" s="22" t="str">
        <f t="shared" si="52"/>
        <v>-</v>
      </c>
      <c r="R461" s="22" t="str">
        <f t="shared" si="49"/>
        <v>-</v>
      </c>
    </row>
    <row r="462" spans="1:18" ht="14.4" x14ac:dyDescent="0.25">
      <c r="A462" s="30">
        <v>97467496125</v>
      </c>
      <c r="B462" s="26">
        <v>49612</v>
      </c>
      <c r="C462" s="26" t="s">
        <v>482</v>
      </c>
      <c r="D462" s="31">
        <v>60</v>
      </c>
      <c r="E462" s="31">
        <v>3</v>
      </c>
      <c r="F462" s="38">
        <v>8.6260000000000003E-2</v>
      </c>
      <c r="G462" s="32" t="s">
        <v>535</v>
      </c>
      <c r="H462" s="33">
        <v>24.317099999999996</v>
      </c>
      <c r="I462" s="11"/>
      <c r="J462" s="33">
        <f t="shared" si="53"/>
        <v>0</v>
      </c>
      <c r="M462" s="20" t="str">
        <f t="shared" si="50"/>
        <v>-</v>
      </c>
      <c r="N462" s="20" t="str">
        <f t="shared" si="48"/>
        <v>-</v>
      </c>
      <c r="O462" s="21" t="str">
        <f t="shared" si="51"/>
        <v>-</v>
      </c>
      <c r="P462" s="22" t="str">
        <f t="shared" si="52"/>
        <v>-</v>
      </c>
      <c r="R462" s="22" t="str">
        <f t="shared" si="49"/>
        <v>-</v>
      </c>
    </row>
    <row r="463" spans="1:18" ht="14.4" x14ac:dyDescent="0.25">
      <c r="A463" s="30">
        <v>97467496149</v>
      </c>
      <c r="B463" s="26">
        <v>49614</v>
      </c>
      <c r="C463" s="26" t="s">
        <v>483</v>
      </c>
      <c r="D463" s="31">
        <v>30</v>
      </c>
      <c r="E463" s="31">
        <v>3</v>
      </c>
      <c r="F463" s="38">
        <v>8.5124999999999992E-2</v>
      </c>
      <c r="G463" s="32" t="s">
        <v>535</v>
      </c>
      <c r="H463" s="33">
        <v>24.317099999999996</v>
      </c>
      <c r="I463" s="11"/>
      <c r="J463" s="33">
        <f t="shared" si="53"/>
        <v>0</v>
      </c>
      <c r="M463" s="20" t="str">
        <f t="shared" si="50"/>
        <v>-</v>
      </c>
      <c r="N463" s="20" t="str">
        <f t="shared" si="48"/>
        <v>-</v>
      </c>
      <c r="O463" s="21" t="str">
        <f t="shared" si="51"/>
        <v>-</v>
      </c>
      <c r="P463" s="22" t="str">
        <f t="shared" si="52"/>
        <v>-</v>
      </c>
      <c r="R463" s="22" t="str">
        <f t="shared" si="49"/>
        <v>-</v>
      </c>
    </row>
    <row r="464" spans="1:18" ht="14.4" x14ac:dyDescent="0.25">
      <c r="A464" s="30">
        <v>97467496156</v>
      </c>
      <c r="B464" s="26">
        <v>49615</v>
      </c>
      <c r="C464" s="26" t="s">
        <v>483</v>
      </c>
      <c r="D464" s="31">
        <v>60</v>
      </c>
      <c r="E464" s="31">
        <v>3</v>
      </c>
      <c r="F464" s="38">
        <v>0.14074</v>
      </c>
      <c r="G464" s="32" t="s">
        <v>535</v>
      </c>
      <c r="H464" s="33">
        <v>41.2911</v>
      </c>
      <c r="I464" s="11"/>
      <c r="J464" s="33">
        <f t="shared" si="53"/>
        <v>0</v>
      </c>
      <c r="M464" s="20" t="str">
        <f t="shared" si="50"/>
        <v>-</v>
      </c>
      <c r="N464" s="20" t="str">
        <f t="shared" si="48"/>
        <v>-</v>
      </c>
      <c r="O464" s="21" t="str">
        <f t="shared" si="51"/>
        <v>-</v>
      </c>
      <c r="P464" s="22" t="str">
        <f t="shared" si="52"/>
        <v>-</v>
      </c>
      <c r="R464" s="22" t="str">
        <f t="shared" si="49"/>
        <v>-</v>
      </c>
    </row>
    <row r="465" spans="1:18" ht="14.4" x14ac:dyDescent="0.25">
      <c r="A465" s="30">
        <v>97467496163</v>
      </c>
      <c r="B465" s="26">
        <v>49616</v>
      </c>
      <c r="C465" s="26" t="s">
        <v>484</v>
      </c>
      <c r="D465" s="31">
        <v>60</v>
      </c>
      <c r="E465" s="31">
        <v>3</v>
      </c>
      <c r="F465" s="38">
        <v>8.6260000000000003E-2</v>
      </c>
      <c r="G465" s="32" t="s">
        <v>535</v>
      </c>
      <c r="H465" s="33">
        <v>25.055099999999996</v>
      </c>
      <c r="I465" s="11"/>
      <c r="J465" s="33">
        <f t="shared" si="53"/>
        <v>0</v>
      </c>
      <c r="M465" s="20" t="str">
        <f t="shared" si="50"/>
        <v>-</v>
      </c>
      <c r="N465" s="20" t="str">
        <f t="shared" si="48"/>
        <v>-</v>
      </c>
      <c r="O465" s="21" t="str">
        <f t="shared" si="51"/>
        <v>-</v>
      </c>
      <c r="P465" s="22" t="str">
        <f t="shared" si="52"/>
        <v>-</v>
      </c>
      <c r="R465" s="22" t="str">
        <f t="shared" si="49"/>
        <v>-</v>
      </c>
    </row>
    <row r="466" spans="1:18" ht="14.4" x14ac:dyDescent="0.25">
      <c r="A466" s="30">
        <v>97467051003</v>
      </c>
      <c r="B466" s="26">
        <v>5100</v>
      </c>
      <c r="C466" s="26" t="s">
        <v>486</v>
      </c>
      <c r="D466" s="31">
        <v>90</v>
      </c>
      <c r="E466" s="31">
        <v>3</v>
      </c>
      <c r="F466" s="38">
        <v>0.12825500000000001</v>
      </c>
      <c r="G466" s="32" t="s">
        <v>535</v>
      </c>
      <c r="H466" s="33">
        <v>17.195399999999999</v>
      </c>
      <c r="I466" s="11"/>
      <c r="J466" s="33">
        <f t="shared" si="53"/>
        <v>0</v>
      </c>
      <c r="M466" s="20" t="str">
        <f t="shared" si="50"/>
        <v>-</v>
      </c>
      <c r="N466" s="20" t="str">
        <f t="shared" si="48"/>
        <v>-</v>
      </c>
      <c r="O466" s="21" t="str">
        <f t="shared" si="51"/>
        <v>-</v>
      </c>
      <c r="P466" s="22" t="str">
        <f t="shared" si="52"/>
        <v>-</v>
      </c>
      <c r="R466" s="22" t="str">
        <f t="shared" si="49"/>
        <v>-</v>
      </c>
    </row>
    <row r="467" spans="1:18" ht="14.4" x14ac:dyDescent="0.25">
      <c r="A467" s="30">
        <v>97467051683</v>
      </c>
      <c r="B467" s="26">
        <v>5168</v>
      </c>
      <c r="C467" s="26" t="s">
        <v>490</v>
      </c>
      <c r="D467" s="31">
        <v>60</v>
      </c>
      <c r="E467" s="31">
        <v>3</v>
      </c>
      <c r="F467" s="38">
        <v>6.0155E-2</v>
      </c>
      <c r="G467" s="32" t="s">
        <v>535</v>
      </c>
      <c r="H467" s="33">
        <v>16.937100000000001</v>
      </c>
      <c r="I467" s="11"/>
      <c r="J467" s="33">
        <f t="shared" si="53"/>
        <v>0</v>
      </c>
      <c r="M467" s="20" t="str">
        <f t="shared" si="50"/>
        <v>-</v>
      </c>
      <c r="N467" s="20" t="str">
        <f t="shared" si="48"/>
        <v>-</v>
      </c>
      <c r="O467" s="21" t="str">
        <f t="shared" si="51"/>
        <v>-</v>
      </c>
      <c r="P467" s="22" t="str">
        <f t="shared" si="52"/>
        <v>-</v>
      </c>
      <c r="R467" s="22" t="str">
        <f t="shared" si="49"/>
        <v>-</v>
      </c>
    </row>
    <row r="468" spans="1:18" ht="14.4" x14ac:dyDescent="0.25">
      <c r="A468" s="30">
        <v>97467051706</v>
      </c>
      <c r="B468" s="26">
        <v>5170</v>
      </c>
      <c r="C468" s="26" t="s">
        <v>491</v>
      </c>
      <c r="D468" s="31">
        <v>60</v>
      </c>
      <c r="E468" s="31">
        <v>3</v>
      </c>
      <c r="F468" s="38">
        <v>1.1350000000000001E-2</v>
      </c>
      <c r="G468" s="32" t="s">
        <v>535</v>
      </c>
      <c r="H468" s="33">
        <v>6.7403999999999993</v>
      </c>
      <c r="I468" s="11"/>
      <c r="J468" s="33">
        <f t="shared" si="53"/>
        <v>0</v>
      </c>
      <c r="M468" s="20" t="str">
        <f t="shared" si="50"/>
        <v>-</v>
      </c>
      <c r="N468" s="20" t="str">
        <f t="shared" si="48"/>
        <v>-</v>
      </c>
      <c r="O468" s="21" t="str">
        <f t="shared" si="51"/>
        <v>-</v>
      </c>
      <c r="P468" s="22" t="str">
        <f t="shared" si="52"/>
        <v>-</v>
      </c>
      <c r="R468" s="22" t="str">
        <f t="shared" si="49"/>
        <v>-</v>
      </c>
    </row>
    <row r="469" spans="1:18" ht="14.4" x14ac:dyDescent="0.25">
      <c r="A469" s="30">
        <v>97467080010</v>
      </c>
      <c r="B469" s="26">
        <v>8001</v>
      </c>
      <c r="C469" s="26" t="s">
        <v>492</v>
      </c>
      <c r="D469" s="31">
        <v>90</v>
      </c>
      <c r="E469" s="31">
        <v>3</v>
      </c>
      <c r="F469" s="38">
        <v>0.22700000000000001</v>
      </c>
      <c r="G469" s="32" t="s">
        <v>535</v>
      </c>
      <c r="H469" s="33">
        <v>30.110399999999998</v>
      </c>
      <c r="I469" s="11"/>
      <c r="J469" s="33">
        <f t="shared" si="53"/>
        <v>0</v>
      </c>
      <c r="M469" s="20" t="str">
        <f t="shared" si="50"/>
        <v>-</v>
      </c>
      <c r="N469" s="20" t="str">
        <f t="shared" si="48"/>
        <v>-</v>
      </c>
      <c r="O469" s="21" t="str">
        <f t="shared" si="51"/>
        <v>-</v>
      </c>
      <c r="P469" s="22" t="str">
        <f t="shared" si="52"/>
        <v>-</v>
      </c>
      <c r="R469" s="22" t="str">
        <f t="shared" si="49"/>
        <v>-</v>
      </c>
    </row>
    <row r="470" spans="1:18" ht="14.4" x14ac:dyDescent="0.25">
      <c r="A470" s="30">
        <v>97467080027</v>
      </c>
      <c r="B470" s="26">
        <v>8002</v>
      </c>
      <c r="C470" s="26" t="s">
        <v>493</v>
      </c>
      <c r="D470" s="31">
        <v>90</v>
      </c>
      <c r="E470" s="31">
        <v>3</v>
      </c>
      <c r="F470" s="38">
        <v>0.219055</v>
      </c>
      <c r="G470" s="32" t="s">
        <v>535</v>
      </c>
      <c r="H470" s="33">
        <v>30.110399999999998</v>
      </c>
      <c r="I470" s="11"/>
      <c r="J470" s="33">
        <f t="shared" si="53"/>
        <v>0</v>
      </c>
      <c r="M470" s="20" t="str">
        <f t="shared" si="50"/>
        <v>-</v>
      </c>
      <c r="N470" s="20" t="str">
        <f t="shared" si="48"/>
        <v>-</v>
      </c>
      <c r="O470" s="21" t="str">
        <f t="shared" si="51"/>
        <v>-</v>
      </c>
      <c r="P470" s="22" t="str">
        <f t="shared" si="52"/>
        <v>-</v>
      </c>
      <c r="R470" s="22" t="str">
        <f t="shared" si="49"/>
        <v>-</v>
      </c>
    </row>
    <row r="471" spans="1:18" ht="14.4" x14ac:dyDescent="0.25">
      <c r="A471" s="30">
        <v>97467080034</v>
      </c>
      <c r="B471" s="26">
        <v>8003</v>
      </c>
      <c r="C471" s="26" t="s">
        <v>494</v>
      </c>
      <c r="D471" s="31">
        <v>90</v>
      </c>
      <c r="E471" s="31">
        <v>3</v>
      </c>
      <c r="F471" s="38">
        <v>0.18954500000000002</v>
      </c>
      <c r="G471" s="32" t="s">
        <v>535</v>
      </c>
      <c r="H471" s="33">
        <v>36.875399999999999</v>
      </c>
      <c r="I471" s="11"/>
      <c r="J471" s="33">
        <f t="shared" si="53"/>
        <v>0</v>
      </c>
      <c r="M471" s="20" t="str">
        <f t="shared" si="50"/>
        <v>-</v>
      </c>
      <c r="N471" s="20" t="str">
        <f t="shared" si="48"/>
        <v>-</v>
      </c>
      <c r="O471" s="21" t="str">
        <f t="shared" si="51"/>
        <v>-</v>
      </c>
      <c r="P471" s="22" t="str">
        <f t="shared" si="52"/>
        <v>-</v>
      </c>
      <c r="R471" s="22" t="str">
        <f t="shared" si="49"/>
        <v>-</v>
      </c>
    </row>
    <row r="472" spans="1:18" ht="14.4" x14ac:dyDescent="0.25">
      <c r="A472" s="30">
        <v>97467080058</v>
      </c>
      <c r="B472" s="26">
        <v>8005</v>
      </c>
      <c r="C472" s="26" t="s">
        <v>495</v>
      </c>
      <c r="D472" s="31">
        <v>90</v>
      </c>
      <c r="E472" s="31">
        <v>3</v>
      </c>
      <c r="F472" s="38">
        <v>0.12485</v>
      </c>
      <c r="G472" s="32" t="s">
        <v>535</v>
      </c>
      <c r="H472" s="33">
        <v>27.650399999999998</v>
      </c>
      <c r="I472" s="11"/>
      <c r="J472" s="33">
        <f t="shared" si="53"/>
        <v>0</v>
      </c>
      <c r="M472" s="20" t="str">
        <f t="shared" si="50"/>
        <v>-</v>
      </c>
      <c r="N472" s="20" t="str">
        <f t="shared" si="48"/>
        <v>-</v>
      </c>
      <c r="O472" s="21" t="str">
        <f t="shared" si="51"/>
        <v>-</v>
      </c>
      <c r="P472" s="22" t="str">
        <f t="shared" si="52"/>
        <v>-</v>
      </c>
      <c r="R472" s="22" t="str">
        <f t="shared" si="49"/>
        <v>-</v>
      </c>
    </row>
    <row r="473" spans="1:18" ht="14.4" x14ac:dyDescent="0.25">
      <c r="A473" s="30">
        <v>97467080072</v>
      </c>
      <c r="B473" s="26">
        <v>8007</v>
      </c>
      <c r="C473" s="26" t="s">
        <v>496</v>
      </c>
      <c r="D473" s="31">
        <v>90</v>
      </c>
      <c r="E473" s="31">
        <v>3</v>
      </c>
      <c r="F473" s="38">
        <v>0.14755000000000001</v>
      </c>
      <c r="G473" s="32" t="s">
        <v>535</v>
      </c>
      <c r="H473" s="33">
        <v>35.645400000000002</v>
      </c>
      <c r="I473" s="11"/>
      <c r="J473" s="33">
        <f t="shared" si="53"/>
        <v>0</v>
      </c>
      <c r="M473" s="20" t="str">
        <f t="shared" si="50"/>
        <v>-</v>
      </c>
      <c r="N473" s="20" t="str">
        <f t="shared" si="48"/>
        <v>-</v>
      </c>
      <c r="O473" s="21" t="str">
        <f t="shared" si="51"/>
        <v>-</v>
      </c>
      <c r="P473" s="22" t="str">
        <f t="shared" si="52"/>
        <v>-</v>
      </c>
      <c r="R473" s="22" t="str">
        <f t="shared" si="49"/>
        <v>-</v>
      </c>
    </row>
    <row r="474" spans="1:18" ht="14.4" x14ac:dyDescent="0.25">
      <c r="A474" s="30">
        <v>97467080089</v>
      </c>
      <c r="B474" s="26">
        <v>8008</v>
      </c>
      <c r="C474" s="26" t="s">
        <v>497</v>
      </c>
      <c r="D474" s="31">
        <v>90</v>
      </c>
      <c r="E474" s="31">
        <v>3</v>
      </c>
      <c r="F474" s="38">
        <v>0.21792</v>
      </c>
      <c r="G474" s="32" t="s">
        <v>535</v>
      </c>
      <c r="H474" s="33">
        <v>26.420399999999997</v>
      </c>
      <c r="I474" s="11"/>
      <c r="J474" s="33">
        <f t="shared" si="53"/>
        <v>0</v>
      </c>
      <c r="M474" s="20" t="str">
        <f t="shared" si="50"/>
        <v>-</v>
      </c>
      <c r="N474" s="20" t="str">
        <f t="shared" si="48"/>
        <v>-</v>
      </c>
      <c r="O474" s="21" t="str">
        <f t="shared" si="51"/>
        <v>-</v>
      </c>
      <c r="P474" s="22" t="str">
        <f t="shared" si="52"/>
        <v>-</v>
      </c>
      <c r="R474" s="22" t="str">
        <f t="shared" si="49"/>
        <v>-</v>
      </c>
    </row>
    <row r="475" spans="1:18" ht="14.4" x14ac:dyDescent="0.25">
      <c r="A475" s="30">
        <v>97467080096</v>
      </c>
      <c r="B475" s="26">
        <v>8009</v>
      </c>
      <c r="C475" s="26" t="s">
        <v>498</v>
      </c>
      <c r="D475" s="31">
        <v>90</v>
      </c>
      <c r="E475" s="31">
        <v>3</v>
      </c>
      <c r="F475" s="38">
        <v>0.144145</v>
      </c>
      <c r="G475" s="32" t="s">
        <v>535</v>
      </c>
      <c r="H475" s="33">
        <v>28.2654</v>
      </c>
      <c r="I475" s="11"/>
      <c r="J475" s="33">
        <f t="shared" si="53"/>
        <v>0</v>
      </c>
      <c r="M475" s="20" t="str">
        <f t="shared" si="50"/>
        <v>-</v>
      </c>
      <c r="N475" s="20" t="str">
        <f t="shared" si="48"/>
        <v>-</v>
      </c>
      <c r="O475" s="21" t="str">
        <f t="shared" si="51"/>
        <v>-</v>
      </c>
      <c r="P475" s="22" t="str">
        <f t="shared" si="52"/>
        <v>-</v>
      </c>
      <c r="R475" s="22" t="str">
        <f t="shared" si="49"/>
        <v>-</v>
      </c>
    </row>
    <row r="476" spans="1:18" ht="14.4" x14ac:dyDescent="0.25">
      <c r="A476" s="30">
        <v>97467080102</v>
      </c>
      <c r="B476" s="26">
        <v>8010</v>
      </c>
      <c r="C476" s="26" t="s">
        <v>499</v>
      </c>
      <c r="D476" s="31">
        <v>60</v>
      </c>
      <c r="E476" s="31">
        <v>3</v>
      </c>
      <c r="F476" s="38">
        <v>0.11803999999999999</v>
      </c>
      <c r="G476" s="32" t="s">
        <v>535</v>
      </c>
      <c r="H476" s="33">
        <v>30.7254</v>
      </c>
      <c r="I476" s="11"/>
      <c r="J476" s="33">
        <f t="shared" si="53"/>
        <v>0</v>
      </c>
      <c r="M476" s="20" t="str">
        <f t="shared" si="50"/>
        <v>-</v>
      </c>
      <c r="N476" s="20" t="str">
        <f t="shared" si="48"/>
        <v>-</v>
      </c>
      <c r="O476" s="21" t="str">
        <f t="shared" si="51"/>
        <v>-</v>
      </c>
      <c r="P476" s="22" t="str">
        <f t="shared" si="52"/>
        <v>-</v>
      </c>
      <c r="R476" s="22" t="str">
        <f t="shared" si="49"/>
        <v>-</v>
      </c>
    </row>
    <row r="477" spans="1:18" ht="14.4" x14ac:dyDescent="0.25">
      <c r="A477" s="30">
        <v>97467080119</v>
      </c>
      <c r="B477" s="26">
        <v>8011</v>
      </c>
      <c r="C477" s="26" t="s">
        <v>500</v>
      </c>
      <c r="D477" s="31">
        <v>60</v>
      </c>
      <c r="E477" s="31">
        <v>3</v>
      </c>
      <c r="F477" s="38">
        <v>0.119175</v>
      </c>
      <c r="G477" s="32" t="s">
        <v>535</v>
      </c>
      <c r="H477" s="33">
        <v>30.110399999999998</v>
      </c>
      <c r="I477" s="11"/>
      <c r="J477" s="33">
        <f t="shared" si="53"/>
        <v>0</v>
      </c>
      <c r="M477" s="20" t="str">
        <f t="shared" si="50"/>
        <v>-</v>
      </c>
      <c r="N477" s="20" t="str">
        <f t="shared" si="48"/>
        <v>-</v>
      </c>
      <c r="O477" s="21" t="str">
        <f t="shared" si="51"/>
        <v>-</v>
      </c>
      <c r="P477" s="22" t="str">
        <f t="shared" si="52"/>
        <v>-</v>
      </c>
      <c r="R477" s="22" t="str">
        <f t="shared" si="49"/>
        <v>-</v>
      </c>
    </row>
    <row r="478" spans="1:18" ht="14.4" x14ac:dyDescent="0.25">
      <c r="A478" s="30">
        <v>97467080126</v>
      </c>
      <c r="B478" s="26">
        <v>8012</v>
      </c>
      <c r="C478" s="26" t="s">
        <v>501</v>
      </c>
      <c r="D478" s="31">
        <v>90</v>
      </c>
      <c r="E478" s="31">
        <v>3</v>
      </c>
      <c r="F478" s="38">
        <v>0.219055</v>
      </c>
      <c r="G478" s="32" t="s">
        <v>535</v>
      </c>
      <c r="H478" s="33">
        <v>39.335399999999993</v>
      </c>
      <c r="I478" s="11"/>
      <c r="J478" s="33">
        <f t="shared" si="53"/>
        <v>0</v>
      </c>
      <c r="M478" s="20" t="str">
        <f t="shared" si="50"/>
        <v>-</v>
      </c>
      <c r="N478" s="20" t="str">
        <f t="shared" si="48"/>
        <v>-</v>
      </c>
      <c r="O478" s="21" t="str">
        <f t="shared" si="51"/>
        <v>-</v>
      </c>
      <c r="P478" s="22" t="str">
        <f t="shared" si="52"/>
        <v>-</v>
      </c>
      <c r="R478" s="22" t="str">
        <f t="shared" si="49"/>
        <v>-</v>
      </c>
    </row>
    <row r="479" spans="1:18" ht="14.4" x14ac:dyDescent="0.25">
      <c r="A479" s="30">
        <v>97467080157</v>
      </c>
      <c r="B479" s="26">
        <v>8015</v>
      </c>
      <c r="C479" s="26" t="s">
        <v>502</v>
      </c>
      <c r="D479" s="31">
        <v>90</v>
      </c>
      <c r="E479" s="31">
        <v>3</v>
      </c>
      <c r="F479" s="38">
        <v>0.20202999999999999</v>
      </c>
      <c r="G479" s="32" t="s">
        <v>535</v>
      </c>
      <c r="H479" s="33">
        <v>24.575399999999995</v>
      </c>
      <c r="I479" s="11"/>
      <c r="J479" s="33">
        <f t="shared" si="53"/>
        <v>0</v>
      </c>
      <c r="M479" s="20" t="str">
        <f t="shared" si="50"/>
        <v>-</v>
      </c>
      <c r="N479" s="20" t="str">
        <f t="shared" ref="N479:N517" si="54">IF(I479&gt;0,H479+M479,"-")</f>
        <v>-</v>
      </c>
      <c r="O479" s="21" t="str">
        <f t="shared" si="51"/>
        <v>-</v>
      </c>
      <c r="P479" s="22" t="str">
        <f t="shared" si="52"/>
        <v>-</v>
      </c>
      <c r="R479" s="22" t="str">
        <f t="shared" ref="R479:R517" si="55">IFERROR(IF(P479+J479=0, "-", IF(P479&gt;0, P479+J479, "-")), "-")</f>
        <v>-</v>
      </c>
    </row>
    <row r="480" spans="1:18" ht="14.4" x14ac:dyDescent="0.25">
      <c r="A480" s="30">
        <v>97467080232</v>
      </c>
      <c r="B480" s="26">
        <v>8023</v>
      </c>
      <c r="C480" s="26" t="s">
        <v>503</v>
      </c>
      <c r="D480" s="31">
        <v>60</v>
      </c>
      <c r="E480" s="31">
        <v>3</v>
      </c>
      <c r="F480" s="38">
        <v>0.14982000000000001</v>
      </c>
      <c r="G480" s="32" t="s">
        <v>535</v>
      </c>
      <c r="H480" s="33">
        <v>17.195399999999999</v>
      </c>
      <c r="I480" s="11"/>
      <c r="J480" s="33">
        <f t="shared" si="53"/>
        <v>0</v>
      </c>
      <c r="M480" s="20" t="str">
        <f t="shared" si="50"/>
        <v>-</v>
      </c>
      <c r="N480" s="20" t="str">
        <f t="shared" si="54"/>
        <v>-</v>
      </c>
      <c r="O480" s="21" t="str">
        <f t="shared" si="51"/>
        <v>-</v>
      </c>
      <c r="P480" s="22" t="str">
        <f t="shared" si="52"/>
        <v>-</v>
      </c>
      <c r="R480" s="22" t="str">
        <f t="shared" si="55"/>
        <v>-</v>
      </c>
    </row>
    <row r="481" spans="1:18" ht="14.4" x14ac:dyDescent="0.25">
      <c r="A481" s="30">
        <v>97467080249</v>
      </c>
      <c r="B481" s="26">
        <v>8024</v>
      </c>
      <c r="C481" s="26" t="s">
        <v>504</v>
      </c>
      <c r="D481" s="31">
        <v>90</v>
      </c>
      <c r="E481" s="31">
        <v>3</v>
      </c>
      <c r="F481" s="38">
        <v>0.22019</v>
      </c>
      <c r="G481" s="32" t="s">
        <v>535</v>
      </c>
      <c r="H481" s="33">
        <v>36.875399999999999</v>
      </c>
      <c r="I481" s="11"/>
      <c r="J481" s="33">
        <f t="shared" si="53"/>
        <v>0</v>
      </c>
      <c r="M481" s="20" t="str">
        <f t="shared" si="50"/>
        <v>-</v>
      </c>
      <c r="N481" s="20" t="str">
        <f t="shared" si="54"/>
        <v>-</v>
      </c>
      <c r="O481" s="21" t="str">
        <f t="shared" si="51"/>
        <v>-</v>
      </c>
      <c r="P481" s="22" t="str">
        <f t="shared" si="52"/>
        <v>-</v>
      </c>
      <c r="R481" s="22" t="str">
        <f t="shared" si="55"/>
        <v>-</v>
      </c>
    </row>
    <row r="482" spans="1:18" ht="14.4" x14ac:dyDescent="0.25">
      <c r="A482" s="30">
        <v>97467080287</v>
      </c>
      <c r="B482" s="26">
        <v>8028</v>
      </c>
      <c r="C482" s="26" t="s">
        <v>505</v>
      </c>
      <c r="D482" s="31">
        <v>90</v>
      </c>
      <c r="E482" s="31">
        <v>3</v>
      </c>
      <c r="F482" s="38">
        <v>0.23154</v>
      </c>
      <c r="G482" s="32" t="s">
        <v>535</v>
      </c>
      <c r="H482" s="33">
        <v>26.420399999999997</v>
      </c>
      <c r="I482" s="11"/>
      <c r="J482" s="33">
        <f t="shared" si="53"/>
        <v>0</v>
      </c>
      <c r="M482" s="20" t="str">
        <f t="shared" si="50"/>
        <v>-</v>
      </c>
      <c r="N482" s="20" t="str">
        <f t="shared" si="54"/>
        <v>-</v>
      </c>
      <c r="O482" s="21" t="str">
        <f t="shared" si="51"/>
        <v>-</v>
      </c>
      <c r="P482" s="22" t="str">
        <f t="shared" si="52"/>
        <v>-</v>
      </c>
      <c r="R482" s="22" t="str">
        <f t="shared" si="55"/>
        <v>-</v>
      </c>
    </row>
    <row r="483" spans="1:18" ht="14.4" x14ac:dyDescent="0.25">
      <c r="A483" s="30">
        <v>97467048010</v>
      </c>
      <c r="B483" s="26">
        <v>4801</v>
      </c>
      <c r="C483" s="26" t="s">
        <v>506</v>
      </c>
      <c r="D483" s="31" t="s">
        <v>150</v>
      </c>
      <c r="E483" s="31">
        <v>3</v>
      </c>
      <c r="F483" s="38">
        <v>0.40292499999999998</v>
      </c>
      <c r="G483" s="32" t="s">
        <v>535</v>
      </c>
      <c r="H483" s="33">
        <v>14.723100000000001</v>
      </c>
      <c r="I483" s="11"/>
      <c r="J483" s="33">
        <f t="shared" si="53"/>
        <v>0</v>
      </c>
      <c r="M483" s="20" t="str">
        <f t="shared" si="50"/>
        <v>-</v>
      </c>
      <c r="N483" s="20" t="str">
        <f t="shared" si="54"/>
        <v>-</v>
      </c>
      <c r="O483" s="21" t="str">
        <f t="shared" si="51"/>
        <v>-</v>
      </c>
      <c r="P483" s="22" t="str">
        <f t="shared" si="52"/>
        <v>-</v>
      </c>
      <c r="R483" s="22" t="str">
        <f t="shared" si="55"/>
        <v>-</v>
      </c>
    </row>
    <row r="484" spans="1:18" ht="14.4" x14ac:dyDescent="0.25">
      <c r="A484" s="30">
        <v>97467048027</v>
      </c>
      <c r="B484" s="26">
        <v>4802</v>
      </c>
      <c r="C484" s="26" t="s">
        <v>507</v>
      </c>
      <c r="D484" s="31" t="s">
        <v>151</v>
      </c>
      <c r="E484" s="31">
        <v>3</v>
      </c>
      <c r="F484" s="38">
        <v>0.37454999999999999</v>
      </c>
      <c r="G484" s="32" t="s">
        <v>535</v>
      </c>
      <c r="H484" s="33">
        <v>17.675099999999997</v>
      </c>
      <c r="I484" s="11"/>
      <c r="J484" s="33">
        <f t="shared" si="53"/>
        <v>0</v>
      </c>
      <c r="M484" s="20" t="str">
        <f t="shared" si="50"/>
        <v>-</v>
      </c>
      <c r="N484" s="20" t="str">
        <f t="shared" si="54"/>
        <v>-</v>
      </c>
      <c r="O484" s="21" t="str">
        <f t="shared" si="51"/>
        <v>-</v>
      </c>
      <c r="P484" s="22" t="str">
        <f t="shared" si="52"/>
        <v>-</v>
      </c>
      <c r="R484" s="22" t="str">
        <f t="shared" si="55"/>
        <v>-</v>
      </c>
    </row>
    <row r="485" spans="1:18" ht="14.4" x14ac:dyDescent="0.25">
      <c r="A485" s="30">
        <v>97467048034</v>
      </c>
      <c r="B485" s="26">
        <v>4803</v>
      </c>
      <c r="C485" s="26" t="s">
        <v>508</v>
      </c>
      <c r="D485" s="31" t="s">
        <v>152</v>
      </c>
      <c r="E485" s="31">
        <v>3</v>
      </c>
      <c r="F485" s="38">
        <v>0.30077500000000001</v>
      </c>
      <c r="G485" s="32" t="s">
        <v>535</v>
      </c>
      <c r="H485" s="33">
        <v>16.199099999999998</v>
      </c>
      <c r="I485" s="11"/>
      <c r="J485" s="33">
        <f t="shared" si="53"/>
        <v>0</v>
      </c>
      <c r="M485" s="20" t="str">
        <f t="shared" si="50"/>
        <v>-</v>
      </c>
      <c r="N485" s="20" t="str">
        <f t="shared" si="54"/>
        <v>-</v>
      </c>
      <c r="O485" s="21" t="str">
        <f t="shared" si="51"/>
        <v>-</v>
      </c>
      <c r="P485" s="22" t="str">
        <f t="shared" si="52"/>
        <v>-</v>
      </c>
      <c r="R485" s="22" t="str">
        <f t="shared" si="55"/>
        <v>-</v>
      </c>
    </row>
    <row r="486" spans="1:18" ht="14.4" x14ac:dyDescent="0.25">
      <c r="A486" s="30">
        <v>97467810020</v>
      </c>
      <c r="B486" s="26">
        <v>81002</v>
      </c>
      <c r="C486" s="26" t="s">
        <v>509</v>
      </c>
      <c r="D486" s="31">
        <v>90</v>
      </c>
      <c r="E486" s="31">
        <v>3</v>
      </c>
      <c r="F486" s="38">
        <v>0.12598500000000001</v>
      </c>
      <c r="G486" s="32" t="s">
        <v>535</v>
      </c>
      <c r="H486" s="33">
        <v>35.0304</v>
      </c>
      <c r="I486" s="11"/>
      <c r="J486" s="33">
        <f t="shared" si="53"/>
        <v>0</v>
      </c>
      <c r="M486" s="20" t="str">
        <f t="shared" si="50"/>
        <v>-</v>
      </c>
      <c r="N486" s="20" t="str">
        <f t="shared" si="54"/>
        <v>-</v>
      </c>
      <c r="O486" s="21" t="str">
        <f t="shared" si="51"/>
        <v>-</v>
      </c>
      <c r="P486" s="22" t="str">
        <f t="shared" si="52"/>
        <v>-</v>
      </c>
      <c r="R486" s="22" t="str">
        <f t="shared" si="55"/>
        <v>-</v>
      </c>
    </row>
    <row r="487" spans="1:18" ht="14.4" x14ac:dyDescent="0.25">
      <c r="A487" s="30">
        <v>97467810044</v>
      </c>
      <c r="B487" s="26">
        <v>81004</v>
      </c>
      <c r="C487" s="26" t="s">
        <v>510</v>
      </c>
      <c r="D487" s="31">
        <v>90</v>
      </c>
      <c r="E487" s="31">
        <v>3</v>
      </c>
      <c r="F487" s="38">
        <v>0.153225</v>
      </c>
      <c r="G487" s="32" t="s">
        <v>535</v>
      </c>
      <c r="H487" s="33">
        <v>31.955399999999997</v>
      </c>
      <c r="I487" s="11"/>
      <c r="J487" s="33">
        <f t="shared" si="53"/>
        <v>0</v>
      </c>
      <c r="M487" s="20" t="str">
        <f t="shared" si="50"/>
        <v>-</v>
      </c>
      <c r="N487" s="20" t="str">
        <f t="shared" si="54"/>
        <v>-</v>
      </c>
      <c r="O487" s="21" t="str">
        <f t="shared" si="51"/>
        <v>-</v>
      </c>
      <c r="P487" s="22" t="str">
        <f t="shared" si="52"/>
        <v>-</v>
      </c>
      <c r="R487" s="22" t="str">
        <f t="shared" si="55"/>
        <v>-</v>
      </c>
    </row>
    <row r="488" spans="1:18" ht="14.4" x14ac:dyDescent="0.25">
      <c r="A488" s="30">
        <v>97467810082</v>
      </c>
      <c r="B488" s="26">
        <v>81008</v>
      </c>
      <c r="C488" s="26" t="s">
        <v>511</v>
      </c>
      <c r="D488" s="31">
        <v>60</v>
      </c>
      <c r="E488" s="31">
        <v>3</v>
      </c>
      <c r="F488" s="38">
        <v>9.4205000000000011E-2</v>
      </c>
      <c r="G488" s="32" t="s">
        <v>535</v>
      </c>
      <c r="H488" s="33">
        <v>23.345399999999998</v>
      </c>
      <c r="I488" s="11"/>
      <c r="J488" s="33">
        <f t="shared" si="53"/>
        <v>0</v>
      </c>
      <c r="M488" s="20" t="str">
        <f t="shared" si="50"/>
        <v>-</v>
      </c>
      <c r="N488" s="20" t="str">
        <f t="shared" si="54"/>
        <v>-</v>
      </c>
      <c r="O488" s="21" t="str">
        <f t="shared" si="51"/>
        <v>-</v>
      </c>
      <c r="P488" s="22" t="str">
        <f t="shared" si="52"/>
        <v>-</v>
      </c>
      <c r="R488" s="22" t="str">
        <f t="shared" si="55"/>
        <v>-</v>
      </c>
    </row>
    <row r="489" spans="1:18" ht="14.4" x14ac:dyDescent="0.25">
      <c r="A489" s="30">
        <v>97467073289</v>
      </c>
      <c r="B489" s="26">
        <v>7328</v>
      </c>
      <c r="C489" s="26" t="s">
        <v>236</v>
      </c>
      <c r="D489" s="31">
        <v>30</v>
      </c>
      <c r="E489" s="31">
        <v>3</v>
      </c>
      <c r="F489" s="38">
        <v>8.7395E-2</v>
      </c>
      <c r="G489" s="32" t="s">
        <v>535</v>
      </c>
      <c r="H489" s="33">
        <v>15.965399999999999</v>
      </c>
      <c r="I489" s="11"/>
      <c r="J489" s="33">
        <f t="shared" si="53"/>
        <v>0</v>
      </c>
      <c r="M489" s="20" t="str">
        <f t="shared" si="50"/>
        <v>-</v>
      </c>
      <c r="N489" s="20" t="str">
        <f t="shared" si="54"/>
        <v>-</v>
      </c>
      <c r="O489" s="21" t="str">
        <f t="shared" si="51"/>
        <v>-</v>
      </c>
      <c r="P489" s="22" t="str">
        <f t="shared" si="52"/>
        <v>-</v>
      </c>
      <c r="R489" s="22" t="str">
        <f t="shared" si="55"/>
        <v>-</v>
      </c>
    </row>
    <row r="490" spans="1:18" ht="14.4" x14ac:dyDescent="0.25">
      <c r="A490" s="30">
        <v>97467073302</v>
      </c>
      <c r="B490" s="26">
        <v>7330</v>
      </c>
      <c r="C490" s="26" t="s">
        <v>237</v>
      </c>
      <c r="D490" s="31">
        <v>30</v>
      </c>
      <c r="E490" s="31">
        <v>3</v>
      </c>
      <c r="F490" s="38">
        <v>8.058499999999999E-2</v>
      </c>
      <c r="G490" s="32" t="s">
        <v>535</v>
      </c>
      <c r="H490" s="33">
        <v>10.7379</v>
      </c>
      <c r="I490" s="11"/>
      <c r="J490" s="33">
        <f t="shared" si="53"/>
        <v>0</v>
      </c>
      <c r="M490" s="20" t="str">
        <f t="shared" si="50"/>
        <v>-</v>
      </c>
      <c r="N490" s="20" t="str">
        <f t="shared" si="54"/>
        <v>-</v>
      </c>
      <c r="O490" s="21" t="str">
        <f t="shared" si="51"/>
        <v>-</v>
      </c>
      <c r="P490" s="22" t="str">
        <f t="shared" si="52"/>
        <v>-</v>
      </c>
      <c r="R490" s="22" t="str">
        <f t="shared" si="55"/>
        <v>-</v>
      </c>
    </row>
    <row r="491" spans="1:18" ht="14.4" x14ac:dyDescent="0.25">
      <c r="A491" s="30">
        <v>97467073425</v>
      </c>
      <c r="B491" s="26">
        <v>7342</v>
      </c>
      <c r="C491" s="26" t="s">
        <v>239</v>
      </c>
      <c r="D491" s="31">
        <v>30</v>
      </c>
      <c r="E491" s="31">
        <v>3</v>
      </c>
      <c r="F491" s="38">
        <v>8.6260000000000003E-2</v>
      </c>
      <c r="G491" s="32" t="s">
        <v>535</v>
      </c>
      <c r="H491" s="33">
        <v>21.500399999999999</v>
      </c>
      <c r="I491" s="11"/>
      <c r="J491" s="33">
        <f t="shared" si="53"/>
        <v>0</v>
      </c>
      <c r="M491" s="20" t="str">
        <f t="shared" si="50"/>
        <v>-</v>
      </c>
      <c r="N491" s="20" t="str">
        <f t="shared" si="54"/>
        <v>-</v>
      </c>
      <c r="O491" s="21" t="str">
        <f t="shared" si="51"/>
        <v>-</v>
      </c>
      <c r="P491" s="22" t="str">
        <f t="shared" si="52"/>
        <v>-</v>
      </c>
      <c r="R491" s="22" t="str">
        <f t="shared" si="55"/>
        <v>-</v>
      </c>
    </row>
    <row r="492" spans="1:18" ht="14.4" x14ac:dyDescent="0.25">
      <c r="A492" s="30">
        <v>97467073500</v>
      </c>
      <c r="B492" s="26">
        <v>7350</v>
      </c>
      <c r="C492" s="26" t="s">
        <v>240</v>
      </c>
      <c r="D492" s="31">
        <v>60</v>
      </c>
      <c r="E492" s="31">
        <v>3</v>
      </c>
      <c r="F492" s="38">
        <v>9.9879999999999997E-2</v>
      </c>
      <c r="G492" s="32" t="s">
        <v>535</v>
      </c>
      <c r="H492" s="33">
        <v>17.195399999999999</v>
      </c>
      <c r="I492" s="11"/>
      <c r="J492" s="33">
        <f t="shared" si="53"/>
        <v>0</v>
      </c>
      <c r="M492" s="20" t="str">
        <f t="shared" si="50"/>
        <v>-</v>
      </c>
      <c r="N492" s="20" t="str">
        <f t="shared" si="54"/>
        <v>-</v>
      </c>
      <c r="O492" s="21" t="str">
        <f t="shared" si="51"/>
        <v>-</v>
      </c>
      <c r="P492" s="22" t="str">
        <f t="shared" si="52"/>
        <v>-</v>
      </c>
      <c r="R492" s="22" t="str">
        <f t="shared" si="55"/>
        <v>-</v>
      </c>
    </row>
    <row r="493" spans="1:18" ht="14.4" x14ac:dyDescent="0.25">
      <c r="A493" s="30">
        <v>97467073609</v>
      </c>
      <c r="B493" s="26">
        <v>7360</v>
      </c>
      <c r="C493" s="26" t="s">
        <v>242</v>
      </c>
      <c r="D493" s="31">
        <v>30</v>
      </c>
      <c r="E493" s="31">
        <v>3</v>
      </c>
      <c r="F493" s="38">
        <v>8.9664999999999995E-2</v>
      </c>
      <c r="G493" s="32" t="s">
        <v>535</v>
      </c>
      <c r="H493" s="33">
        <v>16.887899999999998</v>
      </c>
      <c r="I493" s="11"/>
      <c r="J493" s="33">
        <f t="shared" si="53"/>
        <v>0</v>
      </c>
      <c r="M493" s="20" t="str">
        <f t="shared" si="50"/>
        <v>-</v>
      </c>
      <c r="N493" s="20" t="str">
        <f t="shared" si="54"/>
        <v>-</v>
      </c>
      <c r="O493" s="21" t="str">
        <f t="shared" si="51"/>
        <v>-</v>
      </c>
      <c r="P493" s="22" t="str">
        <f t="shared" si="52"/>
        <v>-</v>
      </c>
      <c r="R493" s="22" t="str">
        <f t="shared" si="55"/>
        <v>-</v>
      </c>
    </row>
    <row r="494" spans="1:18" ht="14.4" x14ac:dyDescent="0.25">
      <c r="A494" s="30">
        <v>97467073616</v>
      </c>
      <c r="B494" s="26">
        <v>7361</v>
      </c>
      <c r="C494" s="26" t="s">
        <v>242</v>
      </c>
      <c r="D494" s="31">
        <v>60</v>
      </c>
      <c r="E494" s="31">
        <v>3</v>
      </c>
      <c r="F494" s="38">
        <v>0.17706</v>
      </c>
      <c r="G494" s="32" t="s">
        <v>535</v>
      </c>
      <c r="H494" s="33">
        <v>30.110399999999998</v>
      </c>
      <c r="I494" s="11"/>
      <c r="J494" s="33">
        <f t="shared" si="53"/>
        <v>0</v>
      </c>
      <c r="M494" s="20" t="str">
        <f t="shared" ref="M494:M518" si="56">IFERROR(IF($M$2*F494=0, "-", $M$2*F494), "-")</f>
        <v>-</v>
      </c>
      <c r="N494" s="20" t="str">
        <f t="shared" si="54"/>
        <v>-</v>
      </c>
      <c r="O494" s="21" t="str">
        <f t="shared" ref="O494:O518" si="57">IF(I494&gt;0,I494*F494, "-")</f>
        <v>-</v>
      </c>
      <c r="P494" s="22" t="str">
        <f t="shared" si="52"/>
        <v>-</v>
      </c>
      <c r="R494" s="22" t="str">
        <f t="shared" si="55"/>
        <v>-</v>
      </c>
    </row>
    <row r="495" spans="1:18" ht="14.4" x14ac:dyDescent="0.25">
      <c r="A495" s="30">
        <v>97467073623</v>
      </c>
      <c r="B495" s="26">
        <v>7362</v>
      </c>
      <c r="C495" s="26" t="s">
        <v>243</v>
      </c>
      <c r="D495" s="31">
        <v>60</v>
      </c>
      <c r="E495" s="31">
        <v>3</v>
      </c>
      <c r="F495" s="38">
        <v>8.9664999999999995E-2</v>
      </c>
      <c r="G495" s="32" t="s">
        <v>535</v>
      </c>
      <c r="H495" s="33">
        <v>18.117899999999999</v>
      </c>
      <c r="I495" s="11"/>
      <c r="J495" s="33">
        <f t="shared" si="53"/>
        <v>0</v>
      </c>
      <c r="M495" s="20" t="str">
        <f t="shared" si="56"/>
        <v>-</v>
      </c>
      <c r="N495" s="20" t="str">
        <f t="shared" si="54"/>
        <v>-</v>
      </c>
      <c r="O495" s="21" t="str">
        <f t="shared" si="57"/>
        <v>-</v>
      </c>
      <c r="P495" s="22" t="str">
        <f t="shared" ref="P495:P558" si="58">IFERROR(IF($M$2&gt;0, $M$2*O495, "-"), "-")</f>
        <v>-</v>
      </c>
      <c r="R495" s="22" t="str">
        <f t="shared" si="55"/>
        <v>-</v>
      </c>
    </row>
    <row r="496" spans="1:18" ht="14.4" x14ac:dyDescent="0.25">
      <c r="A496" s="30">
        <v>97467073630</v>
      </c>
      <c r="B496" s="26">
        <v>7363</v>
      </c>
      <c r="C496" s="26" t="s">
        <v>243</v>
      </c>
      <c r="D496" s="31">
        <v>120</v>
      </c>
      <c r="E496" s="31">
        <v>3</v>
      </c>
      <c r="F496" s="38">
        <v>0.18614</v>
      </c>
      <c r="G496" s="32" t="s">
        <v>535</v>
      </c>
      <c r="H496" s="33">
        <v>32.877899999999997</v>
      </c>
      <c r="I496" s="11"/>
      <c r="J496" s="33">
        <f t="shared" si="53"/>
        <v>0</v>
      </c>
      <c r="M496" s="20" t="str">
        <f t="shared" si="56"/>
        <v>-</v>
      </c>
      <c r="N496" s="20" t="str">
        <f t="shared" si="54"/>
        <v>-</v>
      </c>
      <c r="O496" s="21" t="str">
        <f t="shared" si="57"/>
        <v>-</v>
      </c>
      <c r="P496" s="22" t="str">
        <f t="shared" si="58"/>
        <v>-</v>
      </c>
      <c r="R496" s="22" t="str">
        <f t="shared" si="55"/>
        <v>-</v>
      </c>
    </row>
    <row r="497" spans="1:18" ht="14.4" x14ac:dyDescent="0.25">
      <c r="A497" s="30">
        <v>97467736412</v>
      </c>
      <c r="B497" s="26">
        <v>73641</v>
      </c>
      <c r="C497" s="26" t="s">
        <v>244</v>
      </c>
      <c r="D497" s="31">
        <v>30</v>
      </c>
      <c r="E497" s="31">
        <v>3</v>
      </c>
      <c r="F497" s="38">
        <v>8.5124999999999992E-2</v>
      </c>
      <c r="G497" s="32" t="s">
        <v>535</v>
      </c>
      <c r="H497" s="33">
        <v>28.2654</v>
      </c>
      <c r="I497" s="11"/>
      <c r="J497" s="33">
        <f t="shared" si="53"/>
        <v>0</v>
      </c>
      <c r="M497" s="20" t="str">
        <f t="shared" si="56"/>
        <v>-</v>
      </c>
      <c r="N497" s="20" t="str">
        <f t="shared" si="54"/>
        <v>-</v>
      </c>
      <c r="O497" s="21" t="str">
        <f t="shared" si="57"/>
        <v>-</v>
      </c>
      <c r="P497" s="22" t="str">
        <f t="shared" si="58"/>
        <v>-</v>
      </c>
      <c r="R497" s="22" t="str">
        <f t="shared" si="55"/>
        <v>-</v>
      </c>
    </row>
    <row r="498" spans="1:18" ht="14.4" x14ac:dyDescent="0.25">
      <c r="A498" s="30">
        <v>97467073654</v>
      </c>
      <c r="B498" s="26">
        <v>7365</v>
      </c>
      <c r="C498" s="26" t="s">
        <v>245</v>
      </c>
      <c r="D498" s="31">
        <v>30</v>
      </c>
      <c r="E498" s="31">
        <v>3</v>
      </c>
      <c r="F498" s="38">
        <v>9.307E-2</v>
      </c>
      <c r="G498" s="32" t="s">
        <v>535</v>
      </c>
      <c r="H498" s="33">
        <v>38.720399999999998</v>
      </c>
      <c r="I498" s="11"/>
      <c r="J498" s="33">
        <f t="shared" si="53"/>
        <v>0</v>
      </c>
      <c r="M498" s="20" t="str">
        <f t="shared" si="56"/>
        <v>-</v>
      </c>
      <c r="N498" s="20" t="str">
        <f t="shared" si="54"/>
        <v>-</v>
      </c>
      <c r="O498" s="21" t="str">
        <f t="shared" si="57"/>
        <v>-</v>
      </c>
      <c r="P498" s="22" t="str">
        <f t="shared" si="58"/>
        <v>-</v>
      </c>
      <c r="R498" s="22" t="str">
        <f t="shared" si="55"/>
        <v>-</v>
      </c>
    </row>
    <row r="499" spans="1:18" ht="14.4" x14ac:dyDescent="0.25">
      <c r="A499" s="30">
        <v>97467073715</v>
      </c>
      <c r="B499" s="26">
        <v>7371</v>
      </c>
      <c r="C499" s="26" t="s">
        <v>246</v>
      </c>
      <c r="D499" s="31">
        <v>120</v>
      </c>
      <c r="E499" s="31">
        <v>3</v>
      </c>
      <c r="F499" s="38">
        <v>0.164575</v>
      </c>
      <c r="G499" s="32" t="s">
        <v>535</v>
      </c>
      <c r="H499" s="33">
        <v>39.950399999999988</v>
      </c>
      <c r="I499" s="11"/>
      <c r="J499" s="33">
        <f t="shared" si="53"/>
        <v>0</v>
      </c>
      <c r="M499" s="20" t="str">
        <f t="shared" si="56"/>
        <v>-</v>
      </c>
      <c r="N499" s="20" t="str">
        <f t="shared" si="54"/>
        <v>-</v>
      </c>
      <c r="O499" s="21" t="str">
        <f t="shared" si="57"/>
        <v>-</v>
      </c>
      <c r="P499" s="22" t="str">
        <f t="shared" si="58"/>
        <v>-</v>
      </c>
      <c r="R499" s="22" t="str">
        <f t="shared" si="55"/>
        <v>-</v>
      </c>
    </row>
    <row r="500" spans="1:18" ht="14.4" x14ac:dyDescent="0.25">
      <c r="A500" s="30">
        <v>97467073807</v>
      </c>
      <c r="B500" s="26">
        <v>7380</v>
      </c>
      <c r="C500" s="26" t="s">
        <v>247</v>
      </c>
      <c r="D500" s="31">
        <v>60</v>
      </c>
      <c r="E500" s="31">
        <v>3</v>
      </c>
      <c r="F500" s="38">
        <v>0.116905</v>
      </c>
      <c r="G500" s="32" t="s">
        <v>535</v>
      </c>
      <c r="H500" s="33">
        <v>19.962900000000001</v>
      </c>
      <c r="I500" s="11"/>
      <c r="J500" s="33">
        <f t="shared" si="53"/>
        <v>0</v>
      </c>
      <c r="M500" s="20" t="str">
        <f t="shared" si="56"/>
        <v>-</v>
      </c>
      <c r="N500" s="20" t="str">
        <f t="shared" si="54"/>
        <v>-</v>
      </c>
      <c r="O500" s="21" t="str">
        <f t="shared" si="57"/>
        <v>-</v>
      </c>
      <c r="P500" s="22" t="str">
        <f t="shared" si="58"/>
        <v>-</v>
      </c>
      <c r="R500" s="22" t="str">
        <f t="shared" si="55"/>
        <v>-</v>
      </c>
    </row>
    <row r="501" spans="1:18" ht="14.4" x14ac:dyDescent="0.25">
      <c r="A501" s="30">
        <v>97467071124</v>
      </c>
      <c r="B501" s="26">
        <v>7112</v>
      </c>
      <c r="C501" s="26" t="s">
        <v>249</v>
      </c>
      <c r="D501" s="31">
        <v>60</v>
      </c>
      <c r="E501" s="31">
        <v>3</v>
      </c>
      <c r="F501" s="38">
        <v>8.3989999999999995E-2</v>
      </c>
      <c r="G501" s="32" t="s">
        <v>535</v>
      </c>
      <c r="H501" s="33">
        <v>21.192899999999998</v>
      </c>
      <c r="I501" s="11"/>
      <c r="J501" s="33">
        <f t="shared" si="53"/>
        <v>0</v>
      </c>
      <c r="M501" s="20" t="str">
        <f t="shared" si="56"/>
        <v>-</v>
      </c>
      <c r="N501" s="20" t="str">
        <f t="shared" si="54"/>
        <v>-</v>
      </c>
      <c r="O501" s="21" t="str">
        <f t="shared" si="57"/>
        <v>-</v>
      </c>
      <c r="P501" s="22" t="str">
        <f t="shared" si="58"/>
        <v>-</v>
      </c>
      <c r="R501" s="22" t="str">
        <f t="shared" si="55"/>
        <v>-</v>
      </c>
    </row>
    <row r="502" spans="1:18" ht="14.4" x14ac:dyDescent="0.25">
      <c r="A502" s="30">
        <v>97467071247</v>
      </c>
      <c r="B502" s="26">
        <v>7124</v>
      </c>
      <c r="C502" s="26" t="s">
        <v>250</v>
      </c>
      <c r="D502" s="31">
        <v>60</v>
      </c>
      <c r="E502" s="31">
        <v>3</v>
      </c>
      <c r="F502" s="38">
        <v>6.2425000000000001E-2</v>
      </c>
      <c r="G502" s="32" t="s">
        <v>535</v>
      </c>
      <c r="H502" s="33">
        <v>17.5029</v>
      </c>
      <c r="I502" s="11"/>
      <c r="J502" s="33">
        <f t="shared" si="53"/>
        <v>0</v>
      </c>
      <c r="M502" s="20" t="str">
        <f t="shared" si="56"/>
        <v>-</v>
      </c>
      <c r="N502" s="20" t="str">
        <f t="shared" si="54"/>
        <v>-</v>
      </c>
      <c r="O502" s="21" t="str">
        <f t="shared" si="57"/>
        <v>-</v>
      </c>
      <c r="P502" s="22" t="str">
        <f t="shared" si="58"/>
        <v>-</v>
      </c>
      <c r="R502" s="22" t="str">
        <f t="shared" si="55"/>
        <v>-</v>
      </c>
    </row>
    <row r="503" spans="1:18" ht="14.4" x14ac:dyDescent="0.25">
      <c r="A503" s="30">
        <v>97467071445</v>
      </c>
      <c r="B503" s="26">
        <v>7144</v>
      </c>
      <c r="C503" s="26" t="s">
        <v>251</v>
      </c>
      <c r="D503" s="31">
        <v>60</v>
      </c>
      <c r="E503" s="31">
        <v>3</v>
      </c>
      <c r="F503" s="38">
        <v>5.2209999999999999E-2</v>
      </c>
      <c r="G503" s="32" t="s">
        <v>535</v>
      </c>
      <c r="H503" s="33">
        <v>15.965399999999999</v>
      </c>
      <c r="I503" s="11"/>
      <c r="J503" s="33">
        <f t="shared" si="53"/>
        <v>0</v>
      </c>
      <c r="M503" s="20" t="str">
        <f t="shared" si="56"/>
        <v>-</v>
      </c>
      <c r="N503" s="20" t="str">
        <f t="shared" si="54"/>
        <v>-</v>
      </c>
      <c r="O503" s="21" t="str">
        <f t="shared" si="57"/>
        <v>-</v>
      </c>
      <c r="P503" s="22" t="str">
        <f t="shared" si="58"/>
        <v>-</v>
      </c>
      <c r="R503" s="22" t="str">
        <f t="shared" si="55"/>
        <v>-</v>
      </c>
    </row>
    <row r="504" spans="1:18" ht="14.4" x14ac:dyDescent="0.25">
      <c r="A504" s="30">
        <v>97467071704</v>
      </c>
      <c r="B504" s="26">
        <v>7170</v>
      </c>
      <c r="C504" s="26" t="s">
        <v>252</v>
      </c>
      <c r="D504" s="31">
        <v>60</v>
      </c>
      <c r="E504" s="31">
        <v>3</v>
      </c>
      <c r="F504" s="38">
        <v>7.9450000000000007E-2</v>
      </c>
      <c r="G504" s="32" t="s">
        <v>535</v>
      </c>
      <c r="H504" s="33">
        <v>25.190399999999997</v>
      </c>
      <c r="I504" s="11"/>
      <c r="J504" s="33">
        <f t="shared" si="53"/>
        <v>0</v>
      </c>
      <c r="M504" s="20" t="str">
        <f t="shared" si="56"/>
        <v>-</v>
      </c>
      <c r="N504" s="20" t="str">
        <f t="shared" si="54"/>
        <v>-</v>
      </c>
      <c r="O504" s="21" t="str">
        <f t="shared" si="57"/>
        <v>-</v>
      </c>
      <c r="P504" s="22" t="str">
        <f t="shared" si="58"/>
        <v>-</v>
      </c>
      <c r="R504" s="22" t="str">
        <f t="shared" si="55"/>
        <v>-</v>
      </c>
    </row>
    <row r="505" spans="1:18" ht="14.4" x14ac:dyDescent="0.25">
      <c r="A505" s="30">
        <v>97467071889</v>
      </c>
      <c r="B505" s="26">
        <v>7188</v>
      </c>
      <c r="C505" s="26" t="s">
        <v>253</v>
      </c>
      <c r="D505" s="31">
        <v>60</v>
      </c>
      <c r="E505" s="31">
        <v>3</v>
      </c>
      <c r="F505" s="38">
        <v>6.9235000000000005E-2</v>
      </c>
      <c r="G505" s="32" t="s">
        <v>535</v>
      </c>
      <c r="H505" s="33">
        <v>13.812900000000001</v>
      </c>
      <c r="I505" s="11"/>
      <c r="J505" s="33">
        <f t="shared" si="53"/>
        <v>0</v>
      </c>
      <c r="M505" s="20" t="str">
        <f t="shared" si="56"/>
        <v>-</v>
      </c>
      <c r="N505" s="20" t="str">
        <f t="shared" si="54"/>
        <v>-</v>
      </c>
      <c r="O505" s="21" t="str">
        <f t="shared" si="57"/>
        <v>-</v>
      </c>
      <c r="P505" s="22" t="str">
        <f t="shared" si="58"/>
        <v>-</v>
      </c>
      <c r="R505" s="22" t="str">
        <f t="shared" si="55"/>
        <v>-</v>
      </c>
    </row>
    <row r="506" spans="1:18" ht="14.4" x14ac:dyDescent="0.25">
      <c r="A506" s="30">
        <v>97467071926</v>
      </c>
      <c r="B506" s="26">
        <v>7192</v>
      </c>
      <c r="C506" s="26" t="s">
        <v>254</v>
      </c>
      <c r="D506" s="31">
        <v>60</v>
      </c>
      <c r="E506" s="31">
        <v>3</v>
      </c>
      <c r="F506" s="38">
        <v>8.6260000000000003E-2</v>
      </c>
      <c r="G506" s="32" t="s">
        <v>535</v>
      </c>
      <c r="H506" s="33">
        <v>23.652899999999999</v>
      </c>
      <c r="I506" s="11"/>
      <c r="J506" s="33">
        <f t="shared" si="53"/>
        <v>0</v>
      </c>
      <c r="M506" s="20" t="str">
        <f t="shared" si="56"/>
        <v>-</v>
      </c>
      <c r="N506" s="20" t="str">
        <f t="shared" si="54"/>
        <v>-</v>
      </c>
      <c r="O506" s="21" t="str">
        <f t="shared" si="57"/>
        <v>-</v>
      </c>
      <c r="P506" s="22" t="str">
        <f t="shared" si="58"/>
        <v>-</v>
      </c>
      <c r="R506" s="22" t="str">
        <f t="shared" si="55"/>
        <v>-</v>
      </c>
    </row>
    <row r="507" spans="1:18" ht="14.4" x14ac:dyDescent="0.25">
      <c r="A507" s="30">
        <v>97467072244</v>
      </c>
      <c r="B507" s="26">
        <v>7224</v>
      </c>
      <c r="C507" s="26" t="s">
        <v>255</v>
      </c>
      <c r="D507" s="31">
        <v>60</v>
      </c>
      <c r="E507" s="31">
        <v>3</v>
      </c>
      <c r="F507" s="38">
        <v>7.2639999999999996E-2</v>
      </c>
      <c r="G507" s="32" t="s">
        <v>535</v>
      </c>
      <c r="H507" s="33">
        <v>9.5078999999999994</v>
      </c>
      <c r="I507" s="11"/>
      <c r="J507" s="33">
        <f t="shared" si="53"/>
        <v>0</v>
      </c>
      <c r="M507" s="20" t="str">
        <f t="shared" si="56"/>
        <v>-</v>
      </c>
      <c r="N507" s="20" t="str">
        <f t="shared" si="54"/>
        <v>-</v>
      </c>
      <c r="O507" s="21" t="str">
        <f t="shared" si="57"/>
        <v>-</v>
      </c>
      <c r="P507" s="22" t="str">
        <f t="shared" si="58"/>
        <v>-</v>
      </c>
      <c r="R507" s="22" t="str">
        <f t="shared" si="55"/>
        <v>-</v>
      </c>
    </row>
    <row r="508" spans="1:18" ht="14.4" x14ac:dyDescent="0.25">
      <c r="A508" s="30">
        <v>97467072282</v>
      </c>
      <c r="B508" s="26">
        <v>7228</v>
      </c>
      <c r="C508" s="26" t="s">
        <v>256</v>
      </c>
      <c r="D508" s="31">
        <v>60</v>
      </c>
      <c r="E508" s="31">
        <v>3</v>
      </c>
      <c r="F508" s="38">
        <v>6.8099999999999994E-2</v>
      </c>
      <c r="G508" s="32" t="s">
        <v>535</v>
      </c>
      <c r="H508" s="33">
        <v>20.885399999999997</v>
      </c>
      <c r="I508" s="11"/>
      <c r="J508" s="33">
        <f t="shared" si="53"/>
        <v>0</v>
      </c>
      <c r="M508" s="20" t="str">
        <f t="shared" si="56"/>
        <v>-</v>
      </c>
      <c r="N508" s="20" t="str">
        <f t="shared" si="54"/>
        <v>-</v>
      </c>
      <c r="O508" s="21" t="str">
        <f t="shared" si="57"/>
        <v>-</v>
      </c>
      <c r="P508" s="22" t="str">
        <f t="shared" si="58"/>
        <v>-</v>
      </c>
      <c r="R508" s="22" t="str">
        <f t="shared" si="55"/>
        <v>-</v>
      </c>
    </row>
    <row r="509" spans="1:18" ht="14.4" x14ac:dyDescent="0.25">
      <c r="A509" s="30">
        <v>97467072367</v>
      </c>
      <c r="B509" s="26">
        <v>7236</v>
      </c>
      <c r="C509" s="26" t="s">
        <v>257</v>
      </c>
      <c r="D509" s="31">
        <v>60</v>
      </c>
      <c r="E509" s="31">
        <v>3</v>
      </c>
      <c r="F509" s="38">
        <v>6.3560000000000005E-2</v>
      </c>
      <c r="G509" s="32" t="s">
        <v>535</v>
      </c>
      <c r="H509" s="33">
        <v>11.9679</v>
      </c>
      <c r="I509" s="11"/>
      <c r="J509" s="33">
        <f t="shared" si="53"/>
        <v>0</v>
      </c>
      <c r="M509" s="20" t="str">
        <f t="shared" si="56"/>
        <v>-</v>
      </c>
      <c r="N509" s="20" t="str">
        <f t="shared" si="54"/>
        <v>-</v>
      </c>
      <c r="O509" s="21" t="str">
        <f t="shared" si="57"/>
        <v>-</v>
      </c>
      <c r="P509" s="22" t="str">
        <f t="shared" si="58"/>
        <v>-</v>
      </c>
      <c r="R509" s="22" t="str">
        <f t="shared" si="55"/>
        <v>-</v>
      </c>
    </row>
    <row r="510" spans="1:18" ht="14.4" x14ac:dyDescent="0.25">
      <c r="A510" s="30">
        <v>97467072473</v>
      </c>
      <c r="B510" s="26">
        <v>7247</v>
      </c>
      <c r="C510" s="26" t="s">
        <v>258</v>
      </c>
      <c r="D510" s="31">
        <v>60</v>
      </c>
      <c r="E510" s="31">
        <v>3</v>
      </c>
      <c r="F510" s="38">
        <v>6.8099999999999994E-2</v>
      </c>
      <c r="G510" s="32" t="s">
        <v>535</v>
      </c>
      <c r="H510" s="33">
        <v>14.735399999999998</v>
      </c>
      <c r="I510" s="11"/>
      <c r="J510" s="33">
        <f t="shared" si="53"/>
        <v>0</v>
      </c>
      <c r="M510" s="20" t="str">
        <f t="shared" si="56"/>
        <v>-</v>
      </c>
      <c r="N510" s="20" t="str">
        <f t="shared" si="54"/>
        <v>-</v>
      </c>
      <c r="O510" s="21" t="str">
        <f t="shared" si="57"/>
        <v>-</v>
      </c>
      <c r="P510" s="22" t="str">
        <f t="shared" si="58"/>
        <v>-</v>
      </c>
      <c r="R510" s="22" t="str">
        <f t="shared" si="55"/>
        <v>-</v>
      </c>
    </row>
    <row r="511" spans="1:18" ht="14.4" x14ac:dyDescent="0.25">
      <c r="A511" s="30">
        <v>97467072497</v>
      </c>
      <c r="B511" s="26">
        <v>7249</v>
      </c>
      <c r="C511" s="26" t="s">
        <v>258</v>
      </c>
      <c r="D511" s="31">
        <v>120</v>
      </c>
      <c r="E511" s="31">
        <v>3</v>
      </c>
      <c r="F511" s="38">
        <v>0.12712000000000001</v>
      </c>
      <c r="G511" s="32" t="s">
        <v>535</v>
      </c>
      <c r="H511" s="33">
        <v>26.727899999999998</v>
      </c>
      <c r="I511" s="11"/>
      <c r="J511" s="33">
        <f t="shared" si="53"/>
        <v>0</v>
      </c>
      <c r="M511" s="20" t="str">
        <f t="shared" si="56"/>
        <v>-</v>
      </c>
      <c r="N511" s="20" t="str">
        <f t="shared" si="54"/>
        <v>-</v>
      </c>
      <c r="O511" s="21" t="str">
        <f t="shared" si="57"/>
        <v>-</v>
      </c>
      <c r="P511" s="22" t="str">
        <f t="shared" si="58"/>
        <v>-</v>
      </c>
      <c r="R511" s="22" t="str">
        <f t="shared" si="55"/>
        <v>-</v>
      </c>
    </row>
    <row r="512" spans="1:18" ht="14.4" x14ac:dyDescent="0.25">
      <c r="A512" s="30">
        <v>97467072848</v>
      </c>
      <c r="B512" s="26">
        <v>7284</v>
      </c>
      <c r="C512" s="26" t="s">
        <v>259</v>
      </c>
      <c r="D512" s="31">
        <v>60</v>
      </c>
      <c r="E512" s="31">
        <v>3</v>
      </c>
      <c r="F512" s="38">
        <v>6.6964999999999997E-2</v>
      </c>
      <c r="G512" s="32" t="s">
        <v>535</v>
      </c>
      <c r="H512" s="33">
        <v>19.962900000000001</v>
      </c>
      <c r="I512" s="11"/>
      <c r="J512" s="33">
        <f t="shared" si="53"/>
        <v>0</v>
      </c>
      <c r="M512" s="20" t="str">
        <f t="shared" si="56"/>
        <v>-</v>
      </c>
      <c r="N512" s="20" t="str">
        <f t="shared" si="54"/>
        <v>-</v>
      </c>
      <c r="O512" s="21" t="str">
        <f t="shared" si="57"/>
        <v>-</v>
      </c>
      <c r="P512" s="22" t="str">
        <f t="shared" si="58"/>
        <v>-</v>
      </c>
      <c r="R512" s="22" t="str">
        <f t="shared" si="55"/>
        <v>-</v>
      </c>
    </row>
    <row r="513" spans="1:18" ht="14.4" x14ac:dyDescent="0.25">
      <c r="A513" s="30">
        <v>97467074163</v>
      </c>
      <c r="B513" s="26">
        <v>7416</v>
      </c>
      <c r="C513" s="26" t="s">
        <v>260</v>
      </c>
      <c r="D513" s="31">
        <v>60</v>
      </c>
      <c r="E513" s="31">
        <v>3</v>
      </c>
      <c r="F513" s="38">
        <v>7.2639999999999996E-2</v>
      </c>
      <c r="G513" s="32" t="s">
        <v>535</v>
      </c>
      <c r="H513" s="33">
        <v>25.190399999999997</v>
      </c>
      <c r="I513" s="11"/>
      <c r="J513" s="33">
        <f t="shared" si="53"/>
        <v>0</v>
      </c>
      <c r="M513" s="20" t="str">
        <f t="shared" si="56"/>
        <v>-</v>
      </c>
      <c r="N513" s="20" t="str">
        <f t="shared" si="54"/>
        <v>-</v>
      </c>
      <c r="O513" s="21" t="str">
        <f t="shared" si="57"/>
        <v>-</v>
      </c>
      <c r="P513" s="22" t="str">
        <f t="shared" si="58"/>
        <v>-</v>
      </c>
      <c r="R513" s="22" t="str">
        <f t="shared" si="55"/>
        <v>-</v>
      </c>
    </row>
    <row r="514" spans="1:18" ht="14.4" x14ac:dyDescent="0.25">
      <c r="A514" s="30">
        <v>97467074361</v>
      </c>
      <c r="B514" s="26">
        <v>7436</v>
      </c>
      <c r="C514" s="26" t="s">
        <v>261</v>
      </c>
      <c r="D514" s="31">
        <v>60</v>
      </c>
      <c r="E514" s="31">
        <v>3</v>
      </c>
      <c r="F514" s="38">
        <v>7.0370000000000002E-2</v>
      </c>
      <c r="G514" s="32" t="s">
        <v>535</v>
      </c>
      <c r="H514" s="33">
        <v>16.887899999999998</v>
      </c>
      <c r="I514" s="11"/>
      <c r="J514" s="33">
        <f t="shared" si="53"/>
        <v>0</v>
      </c>
      <c r="M514" s="20" t="str">
        <f t="shared" si="56"/>
        <v>-</v>
      </c>
      <c r="N514" s="20" t="str">
        <f t="shared" si="54"/>
        <v>-</v>
      </c>
      <c r="O514" s="21" t="str">
        <f t="shared" si="57"/>
        <v>-</v>
      </c>
      <c r="P514" s="22" t="str">
        <f t="shared" si="58"/>
        <v>-</v>
      </c>
      <c r="R514" s="22" t="str">
        <f t="shared" si="55"/>
        <v>-</v>
      </c>
    </row>
    <row r="515" spans="1:18" ht="14.4" x14ac:dyDescent="0.25">
      <c r="A515" s="30">
        <v>97467074477</v>
      </c>
      <c r="B515" s="26">
        <v>7447</v>
      </c>
      <c r="C515" s="26" t="s">
        <v>235</v>
      </c>
      <c r="D515" s="31">
        <v>60</v>
      </c>
      <c r="E515" s="31">
        <v>3</v>
      </c>
      <c r="F515" s="38">
        <v>0.10669000000000001</v>
      </c>
      <c r="G515" s="32" t="s">
        <v>535</v>
      </c>
      <c r="H515" s="33">
        <v>8.5853999999999999</v>
      </c>
      <c r="I515" s="11"/>
      <c r="J515" s="33">
        <f t="shared" ref="J515:J578" si="59">H515*I515</f>
        <v>0</v>
      </c>
      <c r="M515" s="20" t="str">
        <f t="shared" si="56"/>
        <v>-</v>
      </c>
      <c r="N515" s="20" t="str">
        <f t="shared" si="54"/>
        <v>-</v>
      </c>
      <c r="O515" s="21" t="str">
        <f t="shared" si="57"/>
        <v>-</v>
      </c>
      <c r="P515" s="22" t="str">
        <f t="shared" si="58"/>
        <v>-</v>
      </c>
      <c r="R515" s="22" t="str">
        <f t="shared" si="55"/>
        <v>-</v>
      </c>
    </row>
    <row r="516" spans="1:18" ht="14.4" x14ac:dyDescent="0.25">
      <c r="A516" s="30">
        <v>97467073128</v>
      </c>
      <c r="B516" s="26">
        <v>7312</v>
      </c>
      <c r="C516" s="26" t="s">
        <v>262</v>
      </c>
      <c r="D516" s="31">
        <v>30</v>
      </c>
      <c r="E516" s="31">
        <v>3</v>
      </c>
      <c r="F516" s="38">
        <v>9.307E-2</v>
      </c>
      <c r="G516" s="32" t="s">
        <v>535</v>
      </c>
      <c r="H516" s="33">
        <v>10.7379</v>
      </c>
      <c r="I516" s="11"/>
      <c r="J516" s="33">
        <f t="shared" si="59"/>
        <v>0</v>
      </c>
      <c r="M516" s="20" t="str">
        <f t="shared" si="56"/>
        <v>-</v>
      </c>
      <c r="N516" s="20" t="str">
        <f t="shared" si="54"/>
        <v>-</v>
      </c>
      <c r="O516" s="21" t="str">
        <f t="shared" si="57"/>
        <v>-</v>
      </c>
      <c r="P516" s="22" t="str">
        <f t="shared" si="58"/>
        <v>-</v>
      </c>
      <c r="R516" s="22" t="str">
        <f t="shared" si="55"/>
        <v>-</v>
      </c>
    </row>
    <row r="517" spans="1:18" ht="14.4" x14ac:dyDescent="0.25">
      <c r="A517" s="30">
        <v>97467073142</v>
      </c>
      <c r="B517" s="26">
        <v>7314</v>
      </c>
      <c r="C517" s="26" t="s">
        <v>263</v>
      </c>
      <c r="D517" s="31">
        <v>30</v>
      </c>
      <c r="E517" s="31">
        <v>3</v>
      </c>
      <c r="F517" s="38">
        <v>6.1289999999999997E-2</v>
      </c>
      <c r="G517" s="32" t="s">
        <v>535</v>
      </c>
      <c r="H517" s="33">
        <v>18.117899999999999</v>
      </c>
      <c r="I517" s="11"/>
      <c r="J517" s="33">
        <f t="shared" si="59"/>
        <v>0</v>
      </c>
      <c r="M517" s="20" t="str">
        <f t="shared" si="56"/>
        <v>-</v>
      </c>
      <c r="N517" s="20" t="str">
        <f t="shared" si="54"/>
        <v>-</v>
      </c>
      <c r="O517" s="21" t="str">
        <f t="shared" si="57"/>
        <v>-</v>
      </c>
      <c r="P517" s="22" t="str">
        <f t="shared" si="58"/>
        <v>-</v>
      </c>
      <c r="R517" s="22" t="str">
        <f t="shared" si="55"/>
        <v>-</v>
      </c>
    </row>
    <row r="518" spans="1:18" ht="14.4" x14ac:dyDescent="0.25">
      <c r="A518" s="30">
        <v>97467073166</v>
      </c>
      <c r="B518" s="26">
        <v>7316</v>
      </c>
      <c r="C518" s="26" t="s">
        <v>264</v>
      </c>
      <c r="D518" s="31">
        <v>30</v>
      </c>
      <c r="E518" s="31">
        <v>3</v>
      </c>
      <c r="F518" s="38">
        <v>9.7609999999999988E-2</v>
      </c>
      <c r="G518" s="32" t="s">
        <v>535</v>
      </c>
      <c r="H518" s="33">
        <v>18.4254</v>
      </c>
      <c r="I518" s="11"/>
      <c r="J518" s="33">
        <f t="shared" si="59"/>
        <v>0</v>
      </c>
      <c r="M518" s="20" t="str">
        <f t="shared" si="56"/>
        <v>-</v>
      </c>
      <c r="N518" s="20" t="str">
        <f>IF(I518&gt;0,H518+M518,"-")</f>
        <v>-</v>
      </c>
      <c r="O518" s="21" t="str">
        <f t="shared" si="57"/>
        <v>-</v>
      </c>
      <c r="P518" s="22" t="str">
        <f t="shared" si="58"/>
        <v>-</v>
      </c>
      <c r="R518" s="22" t="str">
        <f>IFERROR(IF(P518+J518=0, "-", IF(P518&gt;0, P518+J518, "-")), "-")</f>
        <v>-</v>
      </c>
    </row>
    <row r="519" spans="1:18" ht="14.4" x14ac:dyDescent="0.25">
      <c r="A519" s="30">
        <v>97467073265</v>
      </c>
      <c r="B519" s="26">
        <v>7326</v>
      </c>
      <c r="C519" s="26" t="s">
        <v>265</v>
      </c>
      <c r="D519" s="31">
        <v>30</v>
      </c>
      <c r="E519" s="31">
        <v>3</v>
      </c>
      <c r="F519" s="38">
        <v>8.5124999999999992E-2</v>
      </c>
      <c r="G519" s="32" t="s">
        <v>535</v>
      </c>
      <c r="H519" s="33">
        <v>29.802900000000001</v>
      </c>
      <c r="I519" s="11"/>
      <c r="J519" s="33">
        <f t="shared" si="59"/>
        <v>0</v>
      </c>
      <c r="M519" s="20" t="str">
        <f t="shared" ref="M519:M534" si="60">IFERROR(IF($M$2*F519=0, "-", $M$2*F519), "-")</f>
        <v>-</v>
      </c>
      <c r="N519" s="20" t="str">
        <f t="shared" ref="N519:N534" si="61">IF(I519&gt;0,H519+M519,"-")</f>
        <v>-</v>
      </c>
      <c r="O519" s="21" t="str">
        <f t="shared" ref="O519:O534" si="62">IF(I519&gt;0,I519*F519, "-")</f>
        <v>-</v>
      </c>
      <c r="P519" s="22" t="str">
        <f t="shared" ref="P519:P534" si="63">IFERROR(IF($M$2&gt;0, $M$2*O519, "-"), "-")</f>
        <v>-</v>
      </c>
      <c r="R519" s="22" t="str">
        <f t="shared" ref="R519:R534" si="64">IFERROR(IF(P519+J519=0, "-", IF(P519&gt;0, P519+J519, "-")), "-")</f>
        <v>-</v>
      </c>
    </row>
    <row r="520" spans="1:18" ht="31.2" customHeight="1" x14ac:dyDescent="0.25">
      <c r="A520" s="30">
        <v>97467046047</v>
      </c>
      <c r="B520" s="26">
        <v>4604</v>
      </c>
      <c r="C520" s="26" t="s">
        <v>519</v>
      </c>
      <c r="D520" s="31"/>
      <c r="E520" s="31">
        <v>3</v>
      </c>
      <c r="F520" s="38">
        <v>0.72413000000000005</v>
      </c>
      <c r="G520" s="32" t="s">
        <v>535</v>
      </c>
      <c r="H520" s="33">
        <v>24.6861</v>
      </c>
      <c r="I520" s="11"/>
      <c r="J520" s="33">
        <f t="shared" si="59"/>
        <v>0</v>
      </c>
      <c r="M520" s="20" t="str">
        <f t="shared" si="60"/>
        <v>-</v>
      </c>
      <c r="N520" s="20" t="str">
        <f t="shared" si="61"/>
        <v>-</v>
      </c>
      <c r="O520" s="21" t="str">
        <f t="shared" si="62"/>
        <v>-</v>
      </c>
      <c r="P520" s="22" t="str">
        <f t="shared" si="63"/>
        <v>-</v>
      </c>
      <c r="R520" s="22" t="str">
        <f t="shared" si="64"/>
        <v>-</v>
      </c>
    </row>
    <row r="521" spans="1:18" ht="14.4" x14ac:dyDescent="0.25">
      <c r="A521" s="30">
        <v>97467046061</v>
      </c>
      <c r="B521" s="26">
        <v>4606</v>
      </c>
      <c r="C521" s="26" t="s">
        <v>520</v>
      </c>
      <c r="D521" s="31"/>
      <c r="E521" s="31">
        <v>3</v>
      </c>
      <c r="F521" s="38">
        <v>0.72413000000000005</v>
      </c>
      <c r="G521" s="32" t="s">
        <v>535</v>
      </c>
      <c r="H521" s="33">
        <v>24.6861</v>
      </c>
      <c r="I521" s="11"/>
      <c r="J521" s="33">
        <f t="shared" si="59"/>
        <v>0</v>
      </c>
      <c r="M521" s="20" t="str">
        <f t="shared" si="60"/>
        <v>-</v>
      </c>
      <c r="N521" s="20" t="str">
        <f t="shared" si="61"/>
        <v>-</v>
      </c>
      <c r="O521" s="21" t="str">
        <f t="shared" si="62"/>
        <v>-</v>
      </c>
      <c r="P521" s="22" t="str">
        <f t="shared" si="63"/>
        <v>-</v>
      </c>
      <c r="R521" s="22" t="str">
        <f t="shared" si="64"/>
        <v>-</v>
      </c>
    </row>
    <row r="522" spans="1:18" ht="14.4" x14ac:dyDescent="0.25">
      <c r="A522" s="30">
        <v>97467048713</v>
      </c>
      <c r="B522" s="26">
        <v>4871</v>
      </c>
      <c r="C522" s="26" t="s">
        <v>521</v>
      </c>
      <c r="D522" s="31"/>
      <c r="E522" s="31">
        <v>3</v>
      </c>
      <c r="F522" s="38">
        <v>0.11577</v>
      </c>
      <c r="G522" s="32" t="s">
        <v>535</v>
      </c>
      <c r="H522" s="33">
        <v>20.5779</v>
      </c>
      <c r="I522" s="11"/>
      <c r="J522" s="33">
        <f t="shared" si="59"/>
        <v>0</v>
      </c>
      <c r="M522" s="20" t="str">
        <f t="shared" si="60"/>
        <v>-</v>
      </c>
      <c r="N522" s="20" t="str">
        <f t="shared" si="61"/>
        <v>-</v>
      </c>
      <c r="O522" s="21" t="str">
        <f t="shared" si="62"/>
        <v>-</v>
      </c>
      <c r="P522" s="22" t="str">
        <f t="shared" si="63"/>
        <v>-</v>
      </c>
      <c r="R522" s="22" t="str">
        <f t="shared" si="64"/>
        <v>-</v>
      </c>
    </row>
    <row r="523" spans="1:18" ht="14.4" x14ac:dyDescent="0.25">
      <c r="A523" s="30">
        <v>97467051720</v>
      </c>
      <c r="B523" s="26">
        <v>5172</v>
      </c>
      <c r="C523" s="26" t="s">
        <v>522</v>
      </c>
      <c r="D523" s="31"/>
      <c r="E523" s="31">
        <v>3</v>
      </c>
      <c r="F523" s="38">
        <v>6.6964999999999997E-2</v>
      </c>
      <c r="G523" s="32" t="s">
        <v>535</v>
      </c>
      <c r="H523" s="33">
        <v>20.627099999999999</v>
      </c>
      <c r="I523" s="11"/>
      <c r="J523" s="33">
        <f t="shared" si="59"/>
        <v>0</v>
      </c>
      <c r="M523" s="20" t="str">
        <f t="shared" si="60"/>
        <v>-</v>
      </c>
      <c r="N523" s="20" t="str">
        <f t="shared" si="61"/>
        <v>-</v>
      </c>
      <c r="O523" s="21" t="str">
        <f t="shared" si="62"/>
        <v>-</v>
      </c>
      <c r="P523" s="22" t="str">
        <f t="shared" si="63"/>
        <v>-</v>
      </c>
      <c r="R523" s="22" t="str">
        <f t="shared" si="64"/>
        <v>-</v>
      </c>
    </row>
    <row r="524" spans="1:18" ht="14.4" x14ac:dyDescent="0.25">
      <c r="A524" s="30">
        <v>97467078321</v>
      </c>
      <c r="B524" s="26">
        <v>7832</v>
      </c>
      <c r="C524" s="26" t="s">
        <v>523</v>
      </c>
      <c r="D524" s="31"/>
      <c r="E524" s="31">
        <v>3</v>
      </c>
      <c r="F524" s="38">
        <v>9.7609999999999988E-2</v>
      </c>
      <c r="G524" s="32" t="s">
        <v>535</v>
      </c>
      <c r="H524" s="33">
        <v>14.1204</v>
      </c>
      <c r="I524" s="11"/>
      <c r="J524" s="33">
        <f t="shared" si="59"/>
        <v>0</v>
      </c>
      <c r="M524" s="20" t="str">
        <f t="shared" si="60"/>
        <v>-</v>
      </c>
      <c r="N524" s="20" t="str">
        <f t="shared" si="61"/>
        <v>-</v>
      </c>
      <c r="O524" s="21" t="str">
        <f t="shared" si="62"/>
        <v>-</v>
      </c>
      <c r="P524" s="22" t="str">
        <f t="shared" si="63"/>
        <v>-</v>
      </c>
      <c r="R524" s="22" t="str">
        <f t="shared" si="64"/>
        <v>-</v>
      </c>
    </row>
    <row r="525" spans="1:18" ht="14.4" x14ac:dyDescent="0.25">
      <c r="A525" s="30">
        <v>97467078499</v>
      </c>
      <c r="B525" s="26">
        <v>7849</v>
      </c>
      <c r="C525" s="26" t="s">
        <v>524</v>
      </c>
      <c r="D525" s="31"/>
      <c r="E525" s="31">
        <v>3</v>
      </c>
      <c r="F525" s="38">
        <v>9.9879999999999997E-2</v>
      </c>
      <c r="G525" s="32" t="s">
        <v>535</v>
      </c>
      <c r="H525" s="33">
        <v>8.2779000000000007</v>
      </c>
      <c r="I525" s="11"/>
      <c r="J525" s="33">
        <f t="shared" si="59"/>
        <v>0</v>
      </c>
      <c r="M525" s="20" t="str">
        <f t="shared" si="60"/>
        <v>-</v>
      </c>
      <c r="N525" s="20" t="str">
        <f t="shared" si="61"/>
        <v>-</v>
      </c>
      <c r="O525" s="21" t="str">
        <f t="shared" si="62"/>
        <v>-</v>
      </c>
      <c r="P525" s="22" t="str">
        <f t="shared" si="63"/>
        <v>-</v>
      </c>
      <c r="R525" s="22" t="str">
        <f t="shared" si="64"/>
        <v>-</v>
      </c>
    </row>
    <row r="526" spans="1:18" ht="14.4" x14ac:dyDescent="0.25">
      <c r="A526" s="30">
        <v>97467299467</v>
      </c>
      <c r="B526" s="26">
        <v>29946</v>
      </c>
      <c r="C526" s="26" t="s">
        <v>525</v>
      </c>
      <c r="D526" s="31"/>
      <c r="E526" s="31">
        <v>3</v>
      </c>
      <c r="F526" s="38">
        <v>0.40178999999999998</v>
      </c>
      <c r="G526" s="32" t="s">
        <v>535</v>
      </c>
      <c r="H526" s="33">
        <v>18.4131</v>
      </c>
      <c r="I526" s="11"/>
      <c r="J526" s="33">
        <f t="shared" si="59"/>
        <v>0</v>
      </c>
      <c r="M526" s="20" t="str">
        <f t="shared" si="60"/>
        <v>-</v>
      </c>
      <c r="N526" s="20" t="str">
        <f t="shared" si="61"/>
        <v>-</v>
      </c>
      <c r="O526" s="21" t="str">
        <f t="shared" si="62"/>
        <v>-</v>
      </c>
      <c r="P526" s="22" t="str">
        <f t="shared" si="63"/>
        <v>-</v>
      </c>
      <c r="R526" s="22" t="str">
        <f t="shared" si="64"/>
        <v>-</v>
      </c>
    </row>
    <row r="527" spans="1:18" ht="14.4" x14ac:dyDescent="0.25">
      <c r="A527" s="30">
        <v>97467336100</v>
      </c>
      <c r="B527" s="26">
        <v>33610</v>
      </c>
      <c r="C527" s="26" t="s">
        <v>526</v>
      </c>
      <c r="D527" s="31"/>
      <c r="E527" s="31">
        <v>3</v>
      </c>
      <c r="F527" s="38">
        <v>0.25878000000000001</v>
      </c>
      <c r="G527" s="32" t="s">
        <v>535</v>
      </c>
      <c r="H527" s="33">
        <v>20.885399999999997</v>
      </c>
      <c r="I527" s="11"/>
      <c r="J527" s="33">
        <f t="shared" si="59"/>
        <v>0</v>
      </c>
      <c r="M527" s="20" t="str">
        <f t="shared" si="60"/>
        <v>-</v>
      </c>
      <c r="N527" s="20" t="str">
        <f t="shared" si="61"/>
        <v>-</v>
      </c>
      <c r="O527" s="21" t="str">
        <f t="shared" si="62"/>
        <v>-</v>
      </c>
      <c r="P527" s="22" t="str">
        <f t="shared" si="63"/>
        <v>-</v>
      </c>
      <c r="R527" s="22" t="str">
        <f t="shared" si="64"/>
        <v>-</v>
      </c>
    </row>
    <row r="528" spans="1:18" ht="14.4" x14ac:dyDescent="0.25">
      <c r="A528" s="30">
        <v>97467395435</v>
      </c>
      <c r="B528" s="26">
        <v>39543</v>
      </c>
      <c r="C528" s="26" t="s">
        <v>527</v>
      </c>
      <c r="D528" s="31"/>
      <c r="E528" s="31">
        <v>3</v>
      </c>
      <c r="F528" s="38">
        <v>0.22359500000000002</v>
      </c>
      <c r="G528" s="32" t="s">
        <v>535</v>
      </c>
      <c r="H528" s="33">
        <v>21.500399999999999</v>
      </c>
      <c r="I528" s="11"/>
      <c r="J528" s="33">
        <f t="shared" si="59"/>
        <v>0</v>
      </c>
      <c r="M528" s="20" t="str">
        <f t="shared" si="60"/>
        <v>-</v>
      </c>
      <c r="N528" s="20" t="str">
        <f t="shared" si="61"/>
        <v>-</v>
      </c>
      <c r="O528" s="21" t="str">
        <f t="shared" si="62"/>
        <v>-</v>
      </c>
      <c r="P528" s="22" t="str">
        <f t="shared" si="63"/>
        <v>-</v>
      </c>
      <c r="R528" s="22" t="str">
        <f t="shared" si="64"/>
        <v>-</v>
      </c>
    </row>
    <row r="529" spans="1:18" ht="14.4" x14ac:dyDescent="0.25">
      <c r="A529" s="30">
        <v>97467452954</v>
      </c>
      <c r="B529" s="26">
        <v>45295</v>
      </c>
      <c r="C529" s="26" t="s">
        <v>528</v>
      </c>
      <c r="D529" s="31"/>
      <c r="E529" s="31">
        <v>3</v>
      </c>
      <c r="F529" s="38">
        <v>0.72413000000000005</v>
      </c>
      <c r="G529" s="32" t="s">
        <v>535</v>
      </c>
      <c r="H529" s="33">
        <v>31.328099999999996</v>
      </c>
      <c r="I529" s="11"/>
      <c r="J529" s="33">
        <f t="shared" si="59"/>
        <v>0</v>
      </c>
      <c r="M529" s="20" t="str">
        <f t="shared" si="60"/>
        <v>-</v>
      </c>
      <c r="N529" s="20" t="str">
        <f t="shared" si="61"/>
        <v>-</v>
      </c>
      <c r="O529" s="21" t="str">
        <f t="shared" si="62"/>
        <v>-</v>
      </c>
      <c r="P529" s="22" t="str">
        <f t="shared" si="63"/>
        <v>-</v>
      </c>
      <c r="R529" s="22" t="str">
        <f t="shared" si="64"/>
        <v>-</v>
      </c>
    </row>
    <row r="530" spans="1:18" ht="14.4" x14ac:dyDescent="0.25">
      <c r="A530" s="30">
        <v>97467459229</v>
      </c>
      <c r="B530" s="26">
        <v>45922</v>
      </c>
      <c r="C530" s="26" t="s">
        <v>529</v>
      </c>
      <c r="D530" s="31"/>
      <c r="E530" s="31">
        <v>3</v>
      </c>
      <c r="F530" s="38">
        <v>0.67532499999999995</v>
      </c>
      <c r="G530" s="32" t="s">
        <v>535</v>
      </c>
      <c r="H530" s="33">
        <v>22.103099999999998</v>
      </c>
      <c r="I530" s="11"/>
      <c r="J530" s="33">
        <f t="shared" si="59"/>
        <v>0</v>
      </c>
      <c r="M530" s="20" t="str">
        <f t="shared" si="60"/>
        <v>-</v>
      </c>
      <c r="N530" s="20" t="str">
        <f t="shared" si="61"/>
        <v>-</v>
      </c>
      <c r="O530" s="21" t="str">
        <f t="shared" si="62"/>
        <v>-</v>
      </c>
      <c r="P530" s="22" t="str">
        <f t="shared" si="63"/>
        <v>-</v>
      </c>
      <c r="R530" s="22" t="str">
        <f t="shared" si="64"/>
        <v>-</v>
      </c>
    </row>
    <row r="531" spans="1:18" ht="14.4" x14ac:dyDescent="0.25">
      <c r="A531" s="30">
        <v>97467496132</v>
      </c>
      <c r="B531" s="26">
        <v>49613</v>
      </c>
      <c r="C531" s="26" t="s">
        <v>530</v>
      </c>
      <c r="D531" s="31"/>
      <c r="E531" s="31">
        <v>3</v>
      </c>
      <c r="F531" s="38">
        <v>8.6260000000000003E-2</v>
      </c>
      <c r="G531" s="32" t="s">
        <v>535</v>
      </c>
      <c r="H531" s="33">
        <v>13.616099999999999</v>
      </c>
      <c r="I531" s="11"/>
      <c r="J531" s="33">
        <f t="shared" si="59"/>
        <v>0</v>
      </c>
      <c r="M531" s="20" t="str">
        <f t="shared" si="60"/>
        <v>-</v>
      </c>
      <c r="N531" s="20" t="str">
        <f t="shared" si="61"/>
        <v>-</v>
      </c>
      <c r="O531" s="21" t="str">
        <f t="shared" si="62"/>
        <v>-</v>
      </c>
      <c r="P531" s="22" t="str">
        <f t="shared" si="63"/>
        <v>-</v>
      </c>
      <c r="R531" s="22" t="str">
        <f t="shared" si="64"/>
        <v>-</v>
      </c>
    </row>
    <row r="532" spans="1:18" ht="14.4" x14ac:dyDescent="0.25">
      <c r="A532" s="30">
        <v>97467830134</v>
      </c>
      <c r="B532" s="26">
        <v>83013</v>
      </c>
      <c r="C532" s="26" t="s">
        <v>531</v>
      </c>
      <c r="D532" s="31"/>
      <c r="E532" s="31">
        <v>3</v>
      </c>
      <c r="F532" s="38">
        <v>0.11577</v>
      </c>
      <c r="G532" s="32" t="s">
        <v>535</v>
      </c>
      <c r="H532" s="33">
        <v>27.638099999999994</v>
      </c>
      <c r="I532" s="11"/>
      <c r="J532" s="33">
        <f t="shared" si="59"/>
        <v>0</v>
      </c>
      <c r="M532" s="20" t="str">
        <f t="shared" si="60"/>
        <v>-</v>
      </c>
      <c r="N532" s="20" t="str">
        <f t="shared" si="61"/>
        <v>-</v>
      </c>
      <c r="O532" s="21" t="str">
        <f t="shared" si="62"/>
        <v>-</v>
      </c>
      <c r="P532" s="22" t="str">
        <f t="shared" si="63"/>
        <v>-</v>
      </c>
      <c r="R532" s="22" t="str">
        <f t="shared" si="64"/>
        <v>-</v>
      </c>
    </row>
    <row r="533" spans="1:18" ht="14.4" hidden="1" x14ac:dyDescent="0.25">
      <c r="A533" s="30">
        <v>97467996632</v>
      </c>
      <c r="B533" s="26">
        <v>99663</v>
      </c>
      <c r="C533" s="26" t="s">
        <v>533</v>
      </c>
      <c r="D533" s="31"/>
      <c r="E533" s="31">
        <v>3</v>
      </c>
      <c r="F533" s="38"/>
      <c r="G533" s="32" t="s">
        <v>535</v>
      </c>
      <c r="H533" s="33">
        <v>3.2594999999999992</v>
      </c>
      <c r="I533" s="11"/>
      <c r="J533" s="33">
        <f t="shared" si="59"/>
        <v>0</v>
      </c>
      <c r="M533" s="20" t="str">
        <f t="shared" si="60"/>
        <v>-</v>
      </c>
      <c r="N533" s="20" t="str">
        <f t="shared" si="61"/>
        <v>-</v>
      </c>
      <c r="O533" s="21" t="str">
        <f t="shared" si="62"/>
        <v>-</v>
      </c>
      <c r="P533" s="22" t="str">
        <f t="shared" si="63"/>
        <v>-</v>
      </c>
      <c r="R533" s="22" t="str">
        <f t="shared" si="64"/>
        <v>-</v>
      </c>
    </row>
    <row r="534" spans="1:18" ht="14.4" x14ac:dyDescent="0.25">
      <c r="A534" s="30">
        <v>97467999718</v>
      </c>
      <c r="B534" s="26">
        <v>99971</v>
      </c>
      <c r="C534" s="26" t="s">
        <v>534</v>
      </c>
      <c r="D534" s="31"/>
      <c r="E534" s="31">
        <v>3</v>
      </c>
      <c r="F534" s="38">
        <v>3.3482500000000002</v>
      </c>
      <c r="G534" s="32" t="s">
        <v>535</v>
      </c>
      <c r="H534" s="33">
        <v>87.637499999999989</v>
      </c>
      <c r="I534" s="11"/>
      <c r="J534" s="33">
        <f t="shared" si="59"/>
        <v>0</v>
      </c>
      <c r="M534" s="20" t="str">
        <f t="shared" si="60"/>
        <v>-</v>
      </c>
      <c r="N534" s="20" t="str">
        <f t="shared" si="61"/>
        <v>-</v>
      </c>
      <c r="O534" s="21" t="str">
        <f t="shared" si="62"/>
        <v>-</v>
      </c>
      <c r="P534" s="22" t="str">
        <f t="shared" si="63"/>
        <v>-</v>
      </c>
      <c r="R534" s="22" t="str">
        <f t="shared" si="64"/>
        <v>-</v>
      </c>
    </row>
    <row r="535" spans="1:18" ht="14.4" x14ac:dyDescent="0.25">
      <c r="M535" s="20"/>
      <c r="N535" s="20"/>
      <c r="O535" s="21"/>
      <c r="P535" s="22"/>
      <c r="R535" s="22"/>
    </row>
    <row r="536" spans="1:18" ht="14.4" x14ac:dyDescent="0.25">
      <c r="M536" s="20"/>
      <c r="N536" s="20"/>
      <c r="O536" s="21"/>
      <c r="P536" s="22"/>
      <c r="R536" s="22"/>
    </row>
    <row r="537" spans="1:18" ht="15" thickBot="1" x14ac:dyDescent="0.3">
      <c r="M537" s="20"/>
      <c r="N537" s="20"/>
      <c r="O537" s="21"/>
      <c r="P537" s="22"/>
      <c r="R537" s="22"/>
    </row>
    <row r="538" spans="1:18" ht="15" thickBot="1" x14ac:dyDescent="0.3">
      <c r="C538" s="24" t="e" vm="2">
        <v>#VALUE!</v>
      </c>
      <c r="M538" s="20"/>
      <c r="N538" s="20"/>
      <c r="O538" s="21"/>
      <c r="P538" s="22"/>
      <c r="R538" s="22"/>
    </row>
    <row r="539" spans="1:18" ht="14.4" x14ac:dyDescent="0.25">
      <c r="C539" s="3" t="s">
        <v>12</v>
      </c>
      <c r="M539" s="20"/>
      <c r="N539" s="20"/>
      <c r="O539" s="21"/>
      <c r="P539" s="22"/>
      <c r="R539" s="22"/>
    </row>
    <row r="540" spans="1:18" ht="14.4" x14ac:dyDescent="0.25">
      <c r="C540" s="1" t="s">
        <v>11</v>
      </c>
      <c r="M540" s="20"/>
      <c r="N540" s="20"/>
      <c r="O540" s="21"/>
      <c r="P540" s="22"/>
      <c r="R540" s="22"/>
    </row>
    <row r="541" spans="1:18" ht="15" thickBot="1" x14ac:dyDescent="0.3">
      <c r="C541" s="4" t="s">
        <v>8</v>
      </c>
      <c r="M541" s="20"/>
      <c r="N541" s="20"/>
      <c r="O541" s="21"/>
      <c r="P541" s="22"/>
      <c r="R541" s="22"/>
    </row>
    <row r="542" spans="1:18" ht="14.4" x14ac:dyDescent="0.25">
      <c r="C542" s="5" t="s">
        <v>9</v>
      </c>
      <c r="M542" s="20"/>
      <c r="N542" s="20"/>
      <c r="O542" s="21"/>
      <c r="P542" s="22"/>
      <c r="R542" s="22"/>
    </row>
    <row r="543" spans="1:18" ht="15" thickBot="1" x14ac:dyDescent="0.3">
      <c r="C543" s="2" t="s">
        <v>10</v>
      </c>
      <c r="M543" s="20"/>
      <c r="N543" s="20"/>
      <c r="O543" s="21"/>
      <c r="P543" s="22"/>
      <c r="R543" s="22"/>
    </row>
    <row r="544" spans="1:18" ht="14.4" x14ac:dyDescent="0.25">
      <c r="M544" s="20"/>
      <c r="N544" s="20"/>
      <c r="O544" s="21"/>
      <c r="P544" s="22"/>
      <c r="R544" s="22"/>
    </row>
    <row r="545" spans="13:18" ht="14.4" x14ac:dyDescent="0.25">
      <c r="M545" s="20"/>
      <c r="N545" s="20"/>
      <c r="O545" s="21"/>
      <c r="P545" s="22"/>
      <c r="R545" s="22"/>
    </row>
    <row r="546" spans="13:18" ht="14.4" x14ac:dyDescent="0.25">
      <c r="M546" s="20"/>
      <c r="N546" s="20"/>
      <c r="O546" s="21"/>
      <c r="P546" s="22"/>
      <c r="R546" s="22"/>
    </row>
    <row r="547" spans="13:18" ht="14.4" x14ac:dyDescent="0.25">
      <c r="M547" s="20"/>
      <c r="N547" s="20"/>
      <c r="O547" s="21"/>
      <c r="P547" s="22"/>
      <c r="R547" s="22"/>
    </row>
    <row r="548" spans="13:18" ht="14.4" x14ac:dyDescent="0.25">
      <c r="M548" s="20"/>
      <c r="N548" s="20"/>
      <c r="O548" s="21"/>
      <c r="P548" s="22"/>
      <c r="R548" s="22"/>
    </row>
    <row r="549" spans="13:18" ht="14.4" x14ac:dyDescent="0.25">
      <c r="M549" s="20"/>
      <c r="N549" s="20"/>
      <c r="O549" s="21"/>
      <c r="P549" s="22"/>
      <c r="R549" s="22"/>
    </row>
    <row r="550" spans="13:18" ht="14.4" x14ac:dyDescent="0.25">
      <c r="M550" s="20"/>
      <c r="N550" s="20"/>
      <c r="O550" s="21"/>
      <c r="P550" s="22"/>
      <c r="R550" s="22"/>
    </row>
    <row r="551" spans="13:18" ht="14.4" x14ac:dyDescent="0.25">
      <c r="M551" s="20"/>
      <c r="N551" s="20"/>
      <c r="O551" s="21"/>
      <c r="P551" s="22"/>
      <c r="R551" s="22"/>
    </row>
    <row r="552" spans="13:18" ht="14.4" x14ac:dyDescent="0.25">
      <c r="M552" s="20"/>
      <c r="N552" s="20"/>
      <c r="O552" s="21"/>
      <c r="P552" s="22"/>
      <c r="R552" s="22"/>
    </row>
    <row r="553" spans="13:18" ht="14.4" x14ac:dyDescent="0.25">
      <c r="M553" s="20"/>
      <c r="N553" s="20"/>
      <c r="O553" s="21"/>
      <c r="P553" s="22"/>
      <c r="R553" s="22"/>
    </row>
    <row r="554" spans="13:18" ht="14.4" x14ac:dyDescent="0.25">
      <c r="M554" s="20"/>
      <c r="N554" s="20"/>
      <c r="O554" s="21"/>
      <c r="P554" s="22"/>
      <c r="R554" s="22"/>
    </row>
    <row r="555" spans="13:18" ht="14.4" x14ac:dyDescent="0.25">
      <c r="M555" s="20"/>
      <c r="N555" s="20"/>
      <c r="O555" s="21"/>
      <c r="P555" s="22"/>
      <c r="R555" s="22"/>
    </row>
    <row r="556" spans="13:18" ht="14.4" x14ac:dyDescent="0.25">
      <c r="M556" s="20"/>
      <c r="N556" s="20"/>
      <c r="O556" s="21"/>
      <c r="P556" s="22"/>
      <c r="R556" s="22"/>
    </row>
    <row r="557" spans="13:18" ht="14.4" x14ac:dyDescent="0.25">
      <c r="M557" s="20"/>
      <c r="N557" s="20"/>
      <c r="O557" s="21"/>
      <c r="P557" s="22"/>
      <c r="R557" s="22"/>
    </row>
    <row r="558" spans="13:18" ht="14.4" x14ac:dyDescent="0.25">
      <c r="M558" s="20"/>
      <c r="N558" s="20"/>
      <c r="O558" s="21"/>
      <c r="P558" s="22"/>
      <c r="R558" s="22"/>
    </row>
    <row r="559" spans="13:18" ht="14.4" x14ac:dyDescent="0.25">
      <c r="M559" s="20"/>
      <c r="N559" s="20"/>
      <c r="O559" s="21"/>
      <c r="P559" s="22"/>
      <c r="R559" s="22"/>
    </row>
    <row r="560" spans="13:18" ht="14.4" x14ac:dyDescent="0.25">
      <c r="M560" s="20"/>
      <c r="N560" s="20"/>
      <c r="O560" s="21"/>
      <c r="P560" s="22"/>
      <c r="R560" s="22"/>
    </row>
    <row r="561" spans="13:18" ht="14.4" x14ac:dyDescent="0.25">
      <c r="M561" s="20"/>
      <c r="N561" s="20"/>
      <c r="O561" s="21"/>
      <c r="P561" s="22"/>
      <c r="R561" s="22"/>
    </row>
    <row r="562" spans="13:18" ht="14.4" x14ac:dyDescent="0.25">
      <c r="M562" s="20"/>
      <c r="N562" s="20"/>
      <c r="O562" s="21"/>
      <c r="P562" s="22"/>
      <c r="R562" s="22"/>
    </row>
    <row r="563" spans="13:18" ht="14.4" x14ac:dyDescent="0.25">
      <c r="M563" s="20"/>
      <c r="N563" s="20"/>
      <c r="O563" s="21"/>
      <c r="P563" s="22"/>
      <c r="R563" s="22"/>
    </row>
    <row r="564" spans="13:18" ht="14.4" x14ac:dyDescent="0.25">
      <c r="M564" s="20"/>
      <c r="N564" s="20"/>
      <c r="O564" s="21"/>
      <c r="P564" s="22"/>
      <c r="R564" s="22"/>
    </row>
    <row r="565" spans="13:18" ht="14.4" x14ac:dyDescent="0.25">
      <c r="M565" s="20"/>
      <c r="N565" s="20"/>
      <c r="O565" s="21"/>
      <c r="P565" s="22"/>
      <c r="R565" s="22"/>
    </row>
    <row r="566" spans="13:18" ht="14.4" x14ac:dyDescent="0.25">
      <c r="M566" s="20"/>
      <c r="N566" s="20"/>
      <c r="O566" s="21"/>
      <c r="P566" s="22"/>
      <c r="R566" s="22"/>
    </row>
    <row r="567" spans="13:18" ht="14.4" x14ac:dyDescent="0.25">
      <c r="M567" s="20"/>
      <c r="N567" s="20"/>
      <c r="O567" s="21"/>
      <c r="P567" s="22"/>
      <c r="R567" s="22"/>
    </row>
    <row r="568" spans="13:18" ht="14.4" x14ac:dyDescent="0.25">
      <c r="M568" s="20"/>
      <c r="N568" s="20"/>
      <c r="O568" s="21"/>
      <c r="P568" s="22"/>
      <c r="R568" s="22"/>
    </row>
    <row r="569" spans="13:18" ht="14.4" x14ac:dyDescent="0.25">
      <c r="M569" s="20"/>
      <c r="N569" s="20"/>
      <c r="O569" s="21"/>
      <c r="P569" s="22"/>
      <c r="R569" s="22"/>
    </row>
    <row r="570" spans="13:18" ht="14.4" x14ac:dyDescent="0.25">
      <c r="M570" s="20"/>
      <c r="N570" s="20"/>
      <c r="O570" s="21"/>
      <c r="P570" s="22"/>
      <c r="R570" s="22"/>
    </row>
    <row r="571" spans="13:18" ht="14.4" x14ac:dyDescent="0.25">
      <c r="M571" s="20"/>
      <c r="N571" s="20"/>
      <c r="O571" s="21"/>
      <c r="P571" s="22"/>
      <c r="R571" s="22"/>
    </row>
    <row r="572" spans="13:18" ht="14.4" x14ac:dyDescent="0.25">
      <c r="M572" s="20"/>
      <c r="N572" s="20"/>
      <c r="O572" s="21"/>
      <c r="P572" s="22"/>
      <c r="R572" s="22"/>
    </row>
    <row r="573" spans="13:18" ht="14.4" x14ac:dyDescent="0.25">
      <c r="M573" s="20"/>
      <c r="N573" s="20"/>
      <c r="O573" s="21"/>
      <c r="P573" s="22"/>
      <c r="R573" s="22"/>
    </row>
    <row r="574" spans="13:18" ht="14.4" x14ac:dyDescent="0.25">
      <c r="M574" s="20"/>
      <c r="N574" s="20"/>
      <c r="O574" s="21"/>
      <c r="P574" s="22"/>
      <c r="R574" s="22"/>
    </row>
    <row r="575" spans="13:18" ht="14.4" x14ac:dyDescent="0.25">
      <c r="M575" s="20"/>
      <c r="N575" s="20"/>
      <c r="O575" s="21"/>
      <c r="P575" s="22"/>
      <c r="R575" s="22"/>
    </row>
    <row r="576" spans="13:18" ht="14.4" x14ac:dyDescent="0.25">
      <c r="M576" s="20"/>
      <c r="N576" s="20"/>
      <c r="O576" s="21"/>
      <c r="P576" s="22"/>
      <c r="R576" s="22"/>
    </row>
    <row r="577" spans="13:18" ht="14.4" x14ac:dyDescent="0.25">
      <c r="M577" s="20"/>
      <c r="N577" s="20"/>
      <c r="O577" s="21"/>
      <c r="P577" s="22"/>
      <c r="R577" s="22"/>
    </row>
    <row r="578" spans="13:18" ht="14.4" x14ac:dyDescent="0.25">
      <c r="M578" s="20"/>
      <c r="N578" s="20"/>
      <c r="O578" s="21"/>
      <c r="P578" s="22"/>
      <c r="R578" s="22"/>
    </row>
    <row r="579" spans="13:18" ht="14.4" x14ac:dyDescent="0.25">
      <c r="M579" s="20"/>
      <c r="N579" s="20"/>
      <c r="O579" s="21"/>
      <c r="P579" s="22"/>
      <c r="R579" s="22"/>
    </row>
    <row r="580" spans="13:18" ht="14.4" x14ac:dyDescent="0.25">
      <c r="M580" s="20"/>
      <c r="N580" s="20"/>
      <c r="O580" s="21"/>
      <c r="P580" s="22"/>
      <c r="R580" s="22"/>
    </row>
    <row r="581" spans="13:18" ht="14.4" x14ac:dyDescent="0.25">
      <c r="M581" s="20"/>
      <c r="N581" s="20"/>
      <c r="O581" s="21"/>
      <c r="P581" s="22"/>
      <c r="R581" s="22"/>
    </row>
    <row r="582" spans="13:18" ht="14.4" x14ac:dyDescent="0.25">
      <c r="M582" s="20"/>
      <c r="N582" s="20"/>
      <c r="O582" s="21"/>
      <c r="P582" s="22"/>
      <c r="R582" s="22"/>
    </row>
    <row r="583" spans="13:18" ht="14.4" x14ac:dyDescent="0.25">
      <c r="M583" s="20"/>
      <c r="N583" s="20"/>
      <c r="O583" s="21"/>
      <c r="P583" s="22"/>
      <c r="R583" s="22"/>
    </row>
    <row r="584" spans="13:18" ht="14.4" x14ac:dyDescent="0.25">
      <c r="M584" s="20"/>
      <c r="N584" s="20"/>
      <c r="O584" s="21"/>
      <c r="P584" s="22"/>
      <c r="R584" s="22"/>
    </row>
    <row r="585" spans="13:18" ht="14.4" x14ac:dyDescent="0.25">
      <c r="M585" s="20"/>
      <c r="N585" s="20"/>
      <c r="O585" s="21"/>
      <c r="P585" s="22"/>
      <c r="R585" s="22"/>
    </row>
    <row r="586" spans="13:18" ht="14.4" x14ac:dyDescent="0.25">
      <c r="M586" s="20"/>
      <c r="N586" s="20"/>
      <c r="O586" s="21"/>
      <c r="P586" s="22"/>
      <c r="R586" s="22"/>
    </row>
    <row r="587" spans="13:18" ht="14.4" x14ac:dyDescent="0.25">
      <c r="M587" s="20"/>
      <c r="N587" s="20"/>
      <c r="O587" s="21"/>
      <c r="P587" s="22"/>
      <c r="R587" s="22"/>
    </row>
    <row r="588" spans="13:18" ht="14.4" x14ac:dyDescent="0.25">
      <c r="M588" s="20"/>
      <c r="N588" s="20"/>
      <c r="O588" s="21"/>
      <c r="P588" s="22"/>
      <c r="R588" s="22"/>
    </row>
    <row r="589" spans="13:18" ht="14.4" x14ac:dyDescent="0.25">
      <c r="M589" s="20"/>
      <c r="N589" s="20"/>
      <c r="O589" s="21"/>
      <c r="P589" s="22"/>
      <c r="R589" s="22"/>
    </row>
    <row r="590" spans="13:18" ht="14.4" x14ac:dyDescent="0.25">
      <c r="M590" s="20"/>
      <c r="N590" s="20"/>
      <c r="O590" s="21"/>
      <c r="P590" s="22"/>
      <c r="R590" s="22"/>
    </row>
    <row r="591" spans="13:18" ht="14.4" x14ac:dyDescent="0.25">
      <c r="M591" s="20"/>
      <c r="N591" s="20"/>
      <c r="O591" s="21"/>
      <c r="P591" s="22"/>
      <c r="R591" s="22"/>
    </row>
    <row r="592" spans="13:18" ht="14.4" x14ac:dyDescent="0.25">
      <c r="M592" s="20"/>
      <c r="N592" s="20"/>
      <c r="O592" s="21"/>
      <c r="P592" s="22"/>
      <c r="R592" s="22"/>
    </row>
    <row r="593" spans="13:18" ht="14.4" x14ac:dyDescent="0.25">
      <c r="M593" s="20"/>
      <c r="N593" s="20"/>
      <c r="O593" s="21"/>
      <c r="P593" s="22"/>
      <c r="R593" s="22"/>
    </row>
    <row r="594" spans="13:18" ht="14.4" x14ac:dyDescent="0.25">
      <c r="M594" s="20"/>
      <c r="N594" s="20"/>
      <c r="O594" s="21"/>
      <c r="P594" s="22"/>
      <c r="R594" s="22"/>
    </row>
    <row r="595" spans="13:18" ht="14.4" x14ac:dyDescent="0.25">
      <c r="M595" s="20"/>
      <c r="N595" s="20"/>
      <c r="O595" s="21"/>
      <c r="P595" s="22"/>
      <c r="R595" s="22"/>
    </row>
    <row r="596" spans="13:18" ht="14.4" x14ac:dyDescent="0.25">
      <c r="M596" s="20"/>
      <c r="N596" s="20"/>
      <c r="O596" s="21"/>
      <c r="P596" s="22"/>
      <c r="R596" s="22"/>
    </row>
    <row r="597" spans="13:18" ht="14.4" x14ac:dyDescent="0.25">
      <c r="M597" s="20"/>
      <c r="N597" s="20"/>
      <c r="O597" s="21"/>
      <c r="P597" s="22"/>
      <c r="R597" s="22"/>
    </row>
    <row r="598" spans="13:18" ht="14.4" x14ac:dyDescent="0.25">
      <c r="M598" s="20"/>
      <c r="N598" s="20"/>
      <c r="O598" s="21"/>
      <c r="P598" s="22"/>
      <c r="R598" s="22"/>
    </row>
    <row r="599" spans="13:18" ht="14.4" x14ac:dyDescent="0.25">
      <c r="M599" s="20"/>
      <c r="N599" s="20"/>
      <c r="O599" s="21"/>
      <c r="P599" s="22"/>
      <c r="R599" s="22"/>
    </row>
    <row r="600" spans="13:18" ht="14.4" x14ac:dyDescent="0.25">
      <c r="M600" s="20"/>
      <c r="N600" s="20"/>
      <c r="O600" s="21"/>
      <c r="P600" s="22"/>
      <c r="R600" s="22"/>
    </row>
    <row r="601" spans="13:18" ht="14.4" x14ac:dyDescent="0.25">
      <c r="M601" s="20"/>
      <c r="N601" s="20"/>
      <c r="O601" s="21"/>
      <c r="P601" s="22"/>
      <c r="R601" s="22"/>
    </row>
    <row r="602" spans="13:18" ht="14.4" x14ac:dyDescent="0.25">
      <c r="M602" s="20"/>
      <c r="N602" s="20"/>
      <c r="O602" s="21"/>
      <c r="P602" s="22"/>
      <c r="R602" s="22"/>
    </row>
    <row r="603" spans="13:18" ht="14.4" x14ac:dyDescent="0.25">
      <c r="M603" s="20"/>
      <c r="N603" s="20"/>
      <c r="O603" s="21"/>
      <c r="P603" s="22"/>
      <c r="R603" s="22"/>
    </row>
    <row r="604" spans="13:18" ht="14.4" x14ac:dyDescent="0.25">
      <c r="M604" s="20"/>
      <c r="N604" s="20"/>
      <c r="O604" s="21"/>
      <c r="P604" s="22"/>
      <c r="R604" s="22"/>
    </row>
    <row r="605" spans="13:18" ht="14.4" x14ac:dyDescent="0.25">
      <c r="M605" s="20"/>
      <c r="N605" s="20"/>
      <c r="O605" s="21"/>
      <c r="P605" s="22"/>
      <c r="R605" s="22"/>
    </row>
    <row r="606" spans="13:18" ht="14.4" x14ac:dyDescent="0.25">
      <c r="M606" s="20"/>
      <c r="N606" s="20"/>
      <c r="O606" s="21"/>
      <c r="P606" s="22"/>
      <c r="R606" s="22"/>
    </row>
    <row r="607" spans="13:18" ht="14.4" x14ac:dyDescent="0.25">
      <c r="M607" s="20"/>
      <c r="N607" s="20"/>
      <c r="O607" s="21"/>
      <c r="P607" s="22"/>
      <c r="R607" s="22"/>
    </row>
    <row r="608" spans="13:18" ht="14.4" x14ac:dyDescent="0.25">
      <c r="M608" s="20"/>
      <c r="N608" s="20"/>
      <c r="O608" s="21"/>
      <c r="P608" s="22"/>
      <c r="R608" s="22"/>
    </row>
    <row r="609" spans="13:18" ht="14.4" x14ac:dyDescent="0.25">
      <c r="M609" s="20"/>
      <c r="N609" s="20"/>
      <c r="O609" s="21"/>
      <c r="P609" s="22"/>
      <c r="R609" s="22"/>
    </row>
    <row r="610" spans="13:18" ht="14.4" x14ac:dyDescent="0.25">
      <c r="M610" s="20"/>
      <c r="N610" s="20"/>
      <c r="O610" s="21"/>
      <c r="P610" s="22"/>
      <c r="R610" s="22"/>
    </row>
    <row r="611" spans="13:18" ht="14.4" x14ac:dyDescent="0.25">
      <c r="M611" s="20"/>
      <c r="N611" s="20"/>
      <c r="O611" s="21"/>
      <c r="P611" s="22"/>
      <c r="R611" s="22"/>
    </row>
    <row r="612" spans="13:18" ht="14.4" x14ac:dyDescent="0.25">
      <c r="M612" s="20"/>
      <c r="N612" s="20"/>
      <c r="O612" s="21"/>
      <c r="P612" s="22"/>
      <c r="R612" s="22"/>
    </row>
    <row r="613" spans="13:18" ht="14.4" x14ac:dyDescent="0.25">
      <c r="M613" s="20"/>
      <c r="N613" s="20"/>
      <c r="O613" s="21"/>
      <c r="P613" s="22"/>
      <c r="R613" s="22"/>
    </row>
    <row r="614" spans="13:18" ht="14.4" x14ac:dyDescent="0.25">
      <c r="M614" s="20"/>
      <c r="N614" s="20"/>
      <c r="O614" s="21"/>
      <c r="P614" s="22"/>
      <c r="R614" s="22"/>
    </row>
    <row r="615" spans="13:18" ht="14.4" x14ac:dyDescent="0.25">
      <c r="M615" s="20"/>
      <c r="N615" s="20"/>
      <c r="O615" s="21"/>
      <c r="P615" s="22"/>
      <c r="R615" s="22"/>
    </row>
    <row r="616" spans="13:18" ht="14.4" x14ac:dyDescent="0.25">
      <c r="M616" s="20"/>
      <c r="N616" s="20"/>
      <c r="O616" s="21"/>
      <c r="P616" s="22"/>
      <c r="R616" s="22"/>
    </row>
    <row r="617" spans="13:18" ht="14.4" x14ac:dyDescent="0.25">
      <c r="M617" s="20"/>
      <c r="N617" s="20"/>
      <c r="O617" s="21"/>
      <c r="P617" s="22"/>
      <c r="R617" s="22"/>
    </row>
    <row r="618" spans="13:18" ht="14.4" x14ac:dyDescent="0.25">
      <c r="M618" s="20"/>
      <c r="N618" s="20"/>
      <c r="O618" s="21"/>
      <c r="P618" s="22"/>
      <c r="R618" s="22"/>
    </row>
    <row r="619" spans="13:18" ht="14.4" x14ac:dyDescent="0.25">
      <c r="M619" s="20"/>
      <c r="N619" s="20"/>
      <c r="O619" s="21"/>
      <c r="P619" s="22"/>
      <c r="R619" s="22"/>
    </row>
    <row r="620" spans="13:18" ht="14.4" x14ac:dyDescent="0.25">
      <c r="M620" s="20"/>
      <c r="N620" s="20"/>
      <c r="O620" s="21"/>
      <c r="P620" s="22"/>
      <c r="R620" s="22"/>
    </row>
    <row r="621" spans="13:18" ht="14.4" x14ac:dyDescent="0.25">
      <c r="M621" s="20"/>
      <c r="N621" s="20"/>
      <c r="O621" s="21"/>
      <c r="P621" s="22"/>
      <c r="R621" s="22"/>
    </row>
    <row r="622" spans="13:18" ht="14.4" x14ac:dyDescent="0.25">
      <c r="M622" s="20"/>
      <c r="N622" s="20"/>
      <c r="O622" s="21"/>
      <c r="P622" s="22"/>
      <c r="R622" s="22"/>
    </row>
    <row r="623" spans="13:18" ht="14.4" x14ac:dyDescent="0.25">
      <c r="M623" s="20"/>
      <c r="N623" s="20"/>
      <c r="O623" s="21"/>
      <c r="P623" s="22"/>
      <c r="R623" s="22"/>
    </row>
    <row r="624" spans="13:18" ht="14.4" x14ac:dyDescent="0.25">
      <c r="M624" s="20"/>
      <c r="N624" s="20"/>
      <c r="O624" s="21"/>
      <c r="P624" s="22"/>
      <c r="R624" s="22"/>
    </row>
    <row r="625" spans="13:18" ht="14.4" x14ac:dyDescent="0.25">
      <c r="M625" s="20"/>
      <c r="N625" s="20"/>
      <c r="O625" s="21"/>
      <c r="P625" s="22"/>
      <c r="R625" s="22"/>
    </row>
    <row r="626" spans="13:18" ht="14.4" x14ac:dyDescent="0.25">
      <c r="M626" s="20"/>
      <c r="N626" s="20"/>
      <c r="O626" s="21"/>
      <c r="P626" s="22"/>
      <c r="R626" s="22"/>
    </row>
    <row r="627" spans="13:18" ht="14.4" x14ac:dyDescent="0.25">
      <c r="M627" s="20"/>
      <c r="N627" s="20"/>
      <c r="O627" s="21"/>
      <c r="P627" s="22"/>
      <c r="R627" s="22"/>
    </row>
    <row r="628" spans="13:18" ht="14.4" x14ac:dyDescent="0.25">
      <c r="M628" s="20"/>
      <c r="N628" s="20"/>
      <c r="O628" s="21"/>
      <c r="P628" s="22"/>
      <c r="R628" s="22"/>
    </row>
    <row r="629" spans="13:18" ht="14.4" x14ac:dyDescent="0.25">
      <c r="M629" s="20"/>
      <c r="N629" s="20"/>
      <c r="O629" s="21"/>
      <c r="P629" s="22"/>
      <c r="R629" s="22"/>
    </row>
    <row r="630" spans="13:18" ht="14.4" x14ac:dyDescent="0.25">
      <c r="M630" s="20"/>
      <c r="N630" s="20"/>
      <c r="O630" s="21"/>
      <c r="P630" s="22"/>
      <c r="R630" s="22"/>
    </row>
    <row r="631" spans="13:18" ht="14.4" x14ac:dyDescent="0.25">
      <c r="M631" s="20"/>
      <c r="N631" s="20"/>
      <c r="O631" s="21"/>
      <c r="P631" s="22"/>
      <c r="R631" s="22"/>
    </row>
    <row r="632" spans="13:18" ht="14.4" x14ac:dyDescent="0.25">
      <c r="M632" s="20"/>
      <c r="N632" s="20"/>
      <c r="O632" s="21"/>
      <c r="P632" s="22"/>
      <c r="R632" s="22"/>
    </row>
    <row r="633" spans="13:18" ht="14.4" x14ac:dyDescent="0.25">
      <c r="M633" s="20"/>
      <c r="N633" s="20"/>
      <c r="O633" s="21"/>
      <c r="P633" s="22"/>
      <c r="R633" s="22"/>
    </row>
    <row r="634" spans="13:18" ht="14.4" x14ac:dyDescent="0.25">
      <c r="M634" s="20"/>
      <c r="N634" s="20"/>
      <c r="O634" s="21"/>
      <c r="P634" s="22"/>
      <c r="R634" s="22"/>
    </row>
    <row r="635" spans="13:18" ht="14.4" x14ac:dyDescent="0.25">
      <c r="M635" s="20"/>
      <c r="N635" s="20"/>
      <c r="O635" s="21"/>
      <c r="P635" s="22"/>
      <c r="R635" s="22"/>
    </row>
    <row r="636" spans="13:18" ht="14.4" x14ac:dyDescent="0.25">
      <c r="M636" s="20"/>
      <c r="N636" s="20"/>
      <c r="O636" s="21"/>
      <c r="P636" s="22"/>
      <c r="R636" s="22"/>
    </row>
    <row r="637" spans="13:18" ht="14.4" x14ac:dyDescent="0.25">
      <c r="M637" s="20"/>
      <c r="N637" s="20"/>
      <c r="O637" s="21"/>
      <c r="P637" s="22"/>
      <c r="R637" s="22"/>
    </row>
    <row r="638" spans="13:18" ht="14.4" x14ac:dyDescent="0.25">
      <c r="M638" s="20"/>
      <c r="N638" s="20"/>
      <c r="O638" s="21"/>
      <c r="P638" s="22"/>
      <c r="R638" s="22"/>
    </row>
    <row r="639" spans="13:18" ht="14.4" x14ac:dyDescent="0.25">
      <c r="M639" s="20"/>
      <c r="N639" s="20"/>
      <c r="O639" s="21"/>
      <c r="P639" s="22"/>
      <c r="R639" s="22"/>
    </row>
    <row r="640" spans="13:18" ht="14.4" x14ac:dyDescent="0.25">
      <c r="M640" s="20"/>
      <c r="N640" s="20"/>
      <c r="O640" s="21"/>
      <c r="P640" s="22"/>
      <c r="R640" s="22"/>
    </row>
    <row r="641" spans="13:18" ht="14.4" x14ac:dyDescent="0.25">
      <c r="M641" s="20"/>
      <c r="N641" s="20"/>
      <c r="O641" s="21"/>
      <c r="P641" s="22"/>
      <c r="R641" s="22"/>
    </row>
    <row r="642" spans="13:18" ht="14.4" x14ac:dyDescent="0.25">
      <c r="M642" s="20"/>
      <c r="N642" s="20"/>
      <c r="O642" s="21"/>
      <c r="P642" s="22"/>
      <c r="R642" s="22"/>
    </row>
    <row r="643" spans="13:18" ht="14.4" x14ac:dyDescent="0.25">
      <c r="M643" s="20"/>
      <c r="N643" s="20"/>
      <c r="O643" s="21"/>
      <c r="P643" s="22"/>
      <c r="R643" s="22"/>
    </row>
    <row r="644" spans="13:18" ht="14.4" x14ac:dyDescent="0.25">
      <c r="M644" s="20"/>
      <c r="N644" s="20"/>
      <c r="O644" s="21"/>
      <c r="P644" s="22"/>
      <c r="R644" s="22"/>
    </row>
    <row r="645" spans="13:18" ht="14.4" x14ac:dyDescent="0.25">
      <c r="M645" s="20"/>
      <c r="N645" s="20"/>
      <c r="O645" s="21"/>
      <c r="P645" s="22"/>
      <c r="R645" s="22"/>
    </row>
    <row r="646" spans="13:18" ht="14.4" x14ac:dyDescent="0.25">
      <c r="M646" s="20"/>
      <c r="N646" s="20"/>
      <c r="O646" s="21"/>
      <c r="P646" s="22"/>
      <c r="R646" s="22"/>
    </row>
    <row r="647" spans="13:18" ht="14.4" x14ac:dyDescent="0.25">
      <c r="M647" s="20"/>
      <c r="N647" s="20"/>
      <c r="O647" s="21"/>
      <c r="P647" s="22"/>
      <c r="R647" s="22"/>
    </row>
    <row r="648" spans="13:18" ht="14.4" x14ac:dyDescent="0.25">
      <c r="M648" s="20"/>
      <c r="N648" s="20"/>
      <c r="O648" s="21"/>
      <c r="P648" s="22"/>
      <c r="R648" s="22"/>
    </row>
    <row r="649" spans="13:18" ht="14.4" x14ac:dyDescent="0.25">
      <c r="M649" s="20"/>
      <c r="N649" s="20"/>
      <c r="O649" s="21"/>
      <c r="P649" s="22"/>
      <c r="R649" s="22"/>
    </row>
    <row r="650" spans="13:18" ht="14.4" x14ac:dyDescent="0.25">
      <c r="M650" s="20"/>
      <c r="N650" s="20"/>
      <c r="O650" s="21"/>
      <c r="P650" s="22"/>
      <c r="R650" s="22"/>
    </row>
    <row r="651" spans="13:18" ht="14.4" x14ac:dyDescent="0.25">
      <c r="M651" s="20"/>
      <c r="N651" s="20"/>
      <c r="O651" s="21"/>
      <c r="P651" s="22"/>
      <c r="R651" s="22"/>
    </row>
    <row r="652" spans="13:18" ht="14.4" x14ac:dyDescent="0.25">
      <c r="M652" s="20"/>
      <c r="N652" s="20"/>
      <c r="O652" s="21"/>
      <c r="P652" s="22"/>
      <c r="R652" s="22"/>
    </row>
    <row r="653" spans="13:18" ht="14.4" x14ac:dyDescent="0.25">
      <c r="M653" s="20"/>
      <c r="N653" s="20"/>
      <c r="O653" s="21"/>
      <c r="P653" s="22"/>
      <c r="R653" s="22"/>
    </row>
    <row r="654" spans="13:18" ht="14.4" x14ac:dyDescent="0.25">
      <c r="M654" s="20"/>
      <c r="N654" s="20"/>
      <c r="O654" s="21"/>
      <c r="P654" s="22"/>
      <c r="R654" s="22"/>
    </row>
    <row r="655" spans="13:18" ht="14.4" x14ac:dyDescent="0.25">
      <c r="M655" s="20"/>
      <c r="N655" s="20"/>
      <c r="O655" s="21"/>
      <c r="P655" s="22"/>
      <c r="R655" s="22"/>
    </row>
    <row r="656" spans="13:18" ht="14.4" x14ac:dyDescent="0.25">
      <c r="M656" s="20"/>
      <c r="N656" s="20"/>
      <c r="O656" s="21"/>
      <c r="P656" s="22"/>
      <c r="R656" s="22"/>
    </row>
    <row r="657" spans="13:18" ht="14.4" x14ac:dyDescent="0.25">
      <c r="M657" s="20"/>
      <c r="N657" s="20"/>
      <c r="O657" s="21"/>
      <c r="P657" s="22"/>
      <c r="R657" s="22"/>
    </row>
    <row r="658" spans="13:18" ht="14.4" x14ac:dyDescent="0.25">
      <c r="M658" s="20"/>
      <c r="N658" s="20"/>
      <c r="O658" s="21"/>
      <c r="P658" s="22"/>
      <c r="R658" s="22"/>
    </row>
    <row r="659" spans="13:18" ht="14.4" x14ac:dyDescent="0.25">
      <c r="M659" s="20"/>
      <c r="N659" s="20"/>
      <c r="O659" s="21"/>
      <c r="P659" s="22"/>
      <c r="R659" s="22"/>
    </row>
    <row r="660" spans="13:18" ht="14.4" x14ac:dyDescent="0.25">
      <c r="M660" s="20"/>
      <c r="N660" s="20"/>
      <c r="O660" s="21"/>
      <c r="P660" s="22"/>
      <c r="R660" s="22"/>
    </row>
    <row r="661" spans="13:18" ht="14.4" x14ac:dyDescent="0.25">
      <c r="M661" s="20"/>
      <c r="N661" s="20"/>
      <c r="O661" s="21"/>
      <c r="P661" s="22"/>
      <c r="R661" s="22"/>
    </row>
    <row r="662" spans="13:18" ht="14.4" x14ac:dyDescent="0.25">
      <c r="M662" s="20"/>
      <c r="N662" s="20"/>
      <c r="O662" s="21"/>
      <c r="P662" s="22"/>
      <c r="R662" s="22"/>
    </row>
    <row r="663" spans="13:18" ht="14.4" x14ac:dyDescent="0.25">
      <c r="M663" s="20"/>
      <c r="N663" s="20"/>
      <c r="O663" s="21"/>
      <c r="P663" s="22"/>
      <c r="R663" s="22"/>
    </row>
    <row r="664" spans="13:18" ht="14.4" x14ac:dyDescent="0.25">
      <c r="M664" s="20"/>
      <c r="N664" s="20"/>
      <c r="O664" s="21"/>
      <c r="P664" s="22"/>
      <c r="R664" s="22"/>
    </row>
    <row r="665" spans="13:18" ht="14.4" x14ac:dyDescent="0.25">
      <c r="M665" s="20"/>
      <c r="N665" s="20"/>
      <c r="O665" s="21"/>
      <c r="P665" s="22"/>
      <c r="R665" s="22"/>
    </row>
    <row r="666" spans="13:18" ht="14.4" x14ac:dyDescent="0.25">
      <c r="M666" s="20"/>
      <c r="N666" s="20"/>
      <c r="O666" s="21"/>
      <c r="P666" s="22"/>
      <c r="R666" s="22"/>
    </row>
    <row r="667" spans="13:18" ht="14.4" x14ac:dyDescent="0.25">
      <c r="M667" s="20"/>
      <c r="N667" s="20"/>
      <c r="O667" s="21"/>
      <c r="P667" s="22"/>
      <c r="R667" s="22"/>
    </row>
    <row r="668" spans="13:18" ht="14.4" x14ac:dyDescent="0.25">
      <c r="M668" s="20"/>
      <c r="N668" s="20"/>
      <c r="O668" s="21"/>
      <c r="P668" s="22"/>
      <c r="R668" s="22"/>
    </row>
    <row r="669" spans="13:18" ht="14.4" x14ac:dyDescent="0.25">
      <c r="M669" s="20"/>
      <c r="N669" s="20"/>
      <c r="O669" s="21"/>
      <c r="P669" s="22"/>
      <c r="R669" s="22"/>
    </row>
    <row r="670" spans="13:18" ht="14.4" x14ac:dyDescent="0.25">
      <c r="M670" s="20"/>
      <c r="N670" s="20"/>
      <c r="O670" s="21"/>
      <c r="P670" s="22"/>
      <c r="R670" s="22"/>
    </row>
    <row r="671" spans="13:18" ht="14.4" x14ac:dyDescent="0.25">
      <c r="M671" s="20"/>
      <c r="N671" s="20"/>
      <c r="O671" s="21"/>
      <c r="P671" s="22"/>
      <c r="R671" s="22"/>
    </row>
    <row r="672" spans="13:18" ht="14.4" x14ac:dyDescent="0.25">
      <c r="M672" s="20"/>
      <c r="N672" s="20"/>
      <c r="O672" s="21"/>
      <c r="P672" s="22"/>
      <c r="R672" s="22"/>
    </row>
    <row r="673" spans="13:18" ht="14.4" x14ac:dyDescent="0.25">
      <c r="M673" s="20"/>
      <c r="N673" s="20"/>
      <c r="O673" s="21"/>
      <c r="P673" s="22"/>
      <c r="R673" s="22"/>
    </row>
    <row r="674" spans="13:18" ht="14.4" x14ac:dyDescent="0.25">
      <c r="M674" s="20"/>
      <c r="N674" s="20"/>
      <c r="O674" s="21"/>
      <c r="P674" s="22"/>
      <c r="R674" s="22"/>
    </row>
    <row r="675" spans="13:18" ht="14.4" x14ac:dyDescent="0.25">
      <c r="M675" s="20"/>
      <c r="N675" s="20"/>
      <c r="O675" s="21"/>
      <c r="P675" s="22"/>
      <c r="R675" s="22"/>
    </row>
    <row r="676" spans="13:18" ht="14.4" x14ac:dyDescent="0.25">
      <c r="M676" s="20"/>
      <c r="N676" s="20"/>
      <c r="O676" s="21"/>
      <c r="P676" s="22"/>
      <c r="R676" s="22"/>
    </row>
    <row r="677" spans="13:18" ht="14.4" x14ac:dyDescent="0.25">
      <c r="M677" s="20"/>
      <c r="N677" s="20"/>
      <c r="O677" s="21"/>
      <c r="P677" s="22"/>
      <c r="R677" s="22"/>
    </row>
    <row r="678" spans="13:18" ht="14.4" x14ac:dyDescent="0.25">
      <c r="M678" s="20"/>
      <c r="N678" s="20"/>
      <c r="O678" s="21"/>
      <c r="P678" s="22"/>
      <c r="R678" s="22"/>
    </row>
    <row r="679" spans="13:18" ht="14.4" x14ac:dyDescent="0.25">
      <c r="M679" s="20"/>
      <c r="N679" s="20"/>
      <c r="O679" s="21"/>
      <c r="P679" s="22"/>
      <c r="R679" s="22"/>
    </row>
    <row r="680" spans="13:18" ht="14.4" x14ac:dyDescent="0.25">
      <c r="M680" s="20"/>
      <c r="N680" s="20"/>
      <c r="O680" s="21"/>
      <c r="P680" s="22"/>
      <c r="R680" s="22"/>
    </row>
    <row r="681" spans="13:18" ht="14.4" x14ac:dyDescent="0.25">
      <c r="M681" s="20"/>
      <c r="N681" s="20"/>
      <c r="O681" s="21"/>
      <c r="P681" s="22"/>
      <c r="R681" s="22"/>
    </row>
    <row r="682" spans="13:18" ht="14.4" x14ac:dyDescent="0.25">
      <c r="M682" s="20"/>
      <c r="N682" s="20"/>
      <c r="O682" s="21"/>
      <c r="P682" s="22"/>
      <c r="R682" s="22"/>
    </row>
    <row r="683" spans="13:18" ht="14.4" x14ac:dyDescent="0.25">
      <c r="M683" s="20"/>
      <c r="N683" s="20"/>
      <c r="O683" s="21"/>
      <c r="P683" s="22"/>
      <c r="R683" s="22"/>
    </row>
  </sheetData>
  <sheetProtection algorithmName="SHA-512" hashValue="WP4mQHGI60DJPaltD90msQPbpETkJDc7ND4irSibhu7TTGo3n6UWdSH31pDQLYMmdBPRfo/OLN3yESj6CCNCWw==" saltValue="6uNAZ9J1fk/HfN9Fcp80Dw==" spinCount="100000" sheet="1" formatCells="0" formatColumns="0" formatRows="0" insertColumns="0" insertRows="0" insertHyperlinks="0" deleteColumns="0" deleteRows="0" sort="0" autoFilter="0" pivotTables="0"/>
  <autoFilter ref="A2:K534" xr:uid="{00000000-0001-0000-0000-000000000000}">
    <filterColumn colId="5">
      <customFilters>
        <customFilter operator="notEqual" val=" "/>
      </customFilters>
    </filterColumn>
    <sortState xmlns:xlrd2="http://schemas.microsoft.com/office/spreadsheetml/2017/richdata2" ref="A3:K534">
      <sortCondition ref="G2:G518"/>
    </sortState>
  </autoFilter>
  <mergeCells count="3">
    <mergeCell ref="N1:N2"/>
    <mergeCell ref="A1:G1"/>
    <mergeCell ref="H1:J1"/>
  </mergeCells>
  <conditionalFormatting sqref="A1 A2:B1048576">
    <cfRule type="duplicateValues" dxfId="4" priority="5"/>
  </conditionalFormatting>
  <conditionalFormatting sqref="G3:G534">
    <cfRule type="containsText" dxfId="3" priority="1" operator="containsText" text="В">
      <formula>NOT(ISERROR(SEARCH("В",G3)))</formula>
    </cfRule>
    <cfRule type="containsText" dxfId="2" priority="2" operator="containsText" text="А">
      <formula>NOT(ISERROR(SEARCH("А",G3)))</formula>
    </cfRule>
    <cfRule type="containsText" dxfId="1" priority="3" operator="containsText" text="С">
      <formula>NOT(ISERROR(SEARCH("С",G3)))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">
    <cfRule type="expression" dxfId="0" priority="6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3 units)." prompt="Order quantity must be a multiple of Sales per Unit Case (3 units)." sqref="I3:I534" xr:uid="{DD0EC7A8-DDDB-42C0-9092-F55D8E36D9C8}">
      <formula1>MOD(I3,E3)=0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5E3831BBAC1B4589BF4C184343CB39" ma:contentTypeVersion="15" ma:contentTypeDescription="Create a new document." ma:contentTypeScope="" ma:versionID="793ca84d605ffdf8875a3f599e990ef7">
  <xsd:schema xmlns:xsd="http://www.w3.org/2001/XMLSchema" xmlns:xs="http://www.w3.org/2001/XMLSchema" xmlns:p="http://schemas.microsoft.com/office/2006/metadata/properties" xmlns:ns2="f5dfdd5d-2e18-4e40-b1f2-4ab139ad9645" xmlns:ns3="34b7b483-2474-4948-b6f3-0d188707f78b" targetNamespace="http://schemas.microsoft.com/office/2006/metadata/properties" ma:root="true" ma:fieldsID="93ce8a8d6af2a29e664ddb1f60c3a63d" ns2:_="" ns3:_="">
    <xsd:import namespace="f5dfdd5d-2e18-4e40-b1f2-4ab139ad9645"/>
    <xsd:import namespace="34b7b483-2474-4948-b6f3-0d188707f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fdd5d-2e18-4e40-b1f2-4ab139ad9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e44215e-e0a7-4b51-8a5b-4d402b3e83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7b483-2474-4948-b6f3-0d188707f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08dd4ec-6dc9-4e05-aa9e-6125ce4eee47}" ma:internalName="TaxCatchAll" ma:showField="CatchAllData" ma:web="34b7b483-2474-4948-b6f3-0d188707f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dfdd5d-2e18-4e40-b1f2-4ab139ad9645">
      <Terms xmlns="http://schemas.microsoft.com/office/infopath/2007/PartnerControls"/>
    </lcf76f155ced4ddcb4097134ff3c332f>
    <TaxCatchAll xmlns="34b7b483-2474-4948-b6f3-0d188707f78b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0B24D0-4F3F-4E07-B09E-10FB7696D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dfdd5d-2e18-4e40-b1f2-4ab139ad9645"/>
    <ds:schemaRef ds:uri="34b7b483-2474-4948-b6f3-0d188707f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6023BB-C6AB-470E-AE5B-AD163A303D42}">
  <ds:schemaRefs>
    <ds:schemaRef ds:uri="http://purl.org/dc/elements/1.1/"/>
    <ds:schemaRef ds:uri="http://schemas.microsoft.com/office/2006/metadata/properties"/>
    <ds:schemaRef ds:uri="f5dfdd5d-2e18-4e40-b1f2-4ab139ad9645"/>
    <ds:schemaRef ds:uri="34b7b483-2474-4948-b6f3-0d188707f78b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7687F89-95F5-43C3-BF5C-60233F40B6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(NaturesPlus)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Денис Хомик</cp:lastModifiedBy>
  <dcterms:created xsi:type="dcterms:W3CDTF">2023-01-30T16:57:29Z</dcterms:created>
  <dcterms:modified xsi:type="dcterms:W3CDTF">2026-03-17T15:06:33Z</dcterms:modified>
</cp:coreProperties>
</file>